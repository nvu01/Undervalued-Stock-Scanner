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9210650E-20DA-47CE-A9F1-950A39A9E829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Main_L!$A$1:$M$135</definedName>
    <definedName name="ExternalData_1" localSheetId="2" hidden="1">Main_M!$A$1:$M$183</definedName>
    <definedName name="ExternalData_1" localSheetId="3" hidden="1">Main_S!$A$1:$M$201</definedName>
    <definedName name="ExternalData_5" localSheetId="4" hidden="1">'Quartile Tables'!$A$2:$Y$16</definedName>
    <definedName name="ExternalData_6" localSheetId="4" hidden="1">'Quartile Tables'!$A$20:$Y$34</definedName>
    <definedName name="ExternalData_7" localSheetId="4" hidden="1">'Quartile Tables'!$A$38:$Y$52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2" i="1" l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W52" i="1" a="1"/>
  <c r="W52" i="1" s="1"/>
  <c r="W51" i="1" a="1"/>
  <c r="W51" i="1" s="1"/>
  <c r="W50" i="1" a="1"/>
  <c r="W50" i="1" s="1"/>
  <c r="W49" i="1" a="1"/>
  <c r="W49" i="1" s="1"/>
  <c r="W48" i="1" a="1"/>
  <c r="W48" i="1" s="1"/>
  <c r="W47" i="1" a="1"/>
  <c r="W47" i="1" s="1"/>
  <c r="W46" i="1" a="1"/>
  <c r="W46" i="1" s="1"/>
  <c r="W45" i="1" a="1"/>
  <c r="W45" i="1" s="1"/>
  <c r="W44" i="1" a="1"/>
  <c r="W44" i="1" s="1"/>
  <c r="W43" i="1" a="1"/>
  <c r="W43" i="1" s="1"/>
  <c r="W42" i="1" a="1"/>
  <c r="W42" i="1" s="1"/>
  <c r="W41" i="1" a="1"/>
  <c r="W41" i="1" s="1"/>
  <c r="W40" i="1" a="1"/>
  <c r="W40" i="1" s="1"/>
  <c r="W39" i="1" a="1"/>
  <c r="W39" i="1" s="1"/>
  <c r="V52" i="1" a="1"/>
  <c r="V52" i="1" s="1"/>
  <c r="V51" i="1" a="1"/>
  <c r="V51" i="1" s="1"/>
  <c r="V50" i="1" a="1"/>
  <c r="V50" i="1" s="1"/>
  <c r="V49" i="1" a="1"/>
  <c r="V49" i="1" s="1"/>
  <c r="V48" i="1" a="1"/>
  <c r="V48" i="1" s="1"/>
  <c r="V47" i="1" a="1"/>
  <c r="V47" i="1" s="1"/>
  <c r="V46" i="1" a="1"/>
  <c r="V46" i="1" s="1"/>
  <c r="V45" i="1" a="1"/>
  <c r="V45" i="1" s="1"/>
  <c r="V44" i="1" a="1"/>
  <c r="V44" i="1" s="1"/>
  <c r="V43" i="1" a="1"/>
  <c r="V43" i="1" s="1"/>
  <c r="V42" i="1" a="1"/>
  <c r="V42" i="1" s="1"/>
  <c r="V41" i="1" a="1"/>
  <c r="V41" i="1" s="1"/>
  <c r="V40" i="1" a="1"/>
  <c r="V40" i="1" s="1"/>
  <c r="V39" i="1" a="1"/>
  <c r="V39" i="1" s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O52" i="1" a="1"/>
  <c r="O52" i="1" s="1"/>
  <c r="O51" i="1" a="1"/>
  <c r="O51" i="1"/>
  <c r="O50" i="1" a="1"/>
  <c r="O50" i="1" s="1"/>
  <c r="O49" i="1" a="1"/>
  <c r="O49" i="1" s="1"/>
  <c r="O48" i="1" a="1"/>
  <c r="O48" i="1" s="1"/>
  <c r="O47" i="1" a="1"/>
  <c r="O47" i="1"/>
  <c r="O46" i="1" a="1"/>
  <c r="O46" i="1" s="1"/>
  <c r="O45" i="1" a="1"/>
  <c r="O45" i="1" s="1"/>
  <c r="O44" i="1" a="1"/>
  <c r="O44" i="1" s="1"/>
  <c r="O43" i="1" a="1"/>
  <c r="O43" i="1" s="1"/>
  <c r="O42" i="1" a="1"/>
  <c r="O42" i="1" s="1"/>
  <c r="O41" i="1" a="1"/>
  <c r="O41" i="1" s="1"/>
  <c r="O40" i="1" a="1"/>
  <c r="O40" i="1" s="1"/>
  <c r="O39" i="1" a="1"/>
  <c r="O39" i="1" s="1"/>
  <c r="N52" i="1" a="1"/>
  <c r="N52" i="1" s="1"/>
  <c r="N51" i="1" a="1"/>
  <c r="N51" i="1" s="1"/>
  <c r="N50" i="1" a="1"/>
  <c r="N50" i="1" s="1"/>
  <c r="N49" i="1" a="1"/>
  <c r="N49" i="1" s="1"/>
  <c r="N48" i="1" a="1"/>
  <c r="N48" i="1" s="1"/>
  <c r="N47" i="1" a="1"/>
  <c r="N47" i="1" s="1"/>
  <c r="N46" i="1" a="1"/>
  <c r="N46" i="1" s="1"/>
  <c r="N45" i="1" a="1"/>
  <c r="N45" i="1" s="1"/>
  <c r="N44" i="1" a="1"/>
  <c r="N44" i="1"/>
  <c r="N43" i="1" a="1"/>
  <c r="N43" i="1" s="1"/>
  <c r="N42" i="1" a="1"/>
  <c r="N42" i="1" s="1"/>
  <c r="N41" i="1" a="1"/>
  <c r="N41" i="1" s="1"/>
  <c r="N40" i="1" a="1"/>
  <c r="N40" i="1" s="1"/>
  <c r="N39" i="1" a="1"/>
  <c r="N39" i="1" s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K52" i="1" a="1"/>
  <c r="K52" i="1" s="1"/>
  <c r="K51" i="1" a="1"/>
  <c r="K51" i="1" s="1"/>
  <c r="K50" i="1" a="1"/>
  <c r="K50" i="1" s="1"/>
  <c r="K49" i="1" a="1"/>
  <c r="K49" i="1" s="1"/>
  <c r="K48" i="1" a="1"/>
  <c r="K48" i="1" s="1"/>
  <c r="K47" i="1" a="1"/>
  <c r="K47" i="1" s="1"/>
  <c r="K46" i="1" a="1"/>
  <c r="K46" i="1" s="1"/>
  <c r="K45" i="1" a="1"/>
  <c r="K45" i="1" s="1"/>
  <c r="K44" i="1" a="1"/>
  <c r="K44" i="1" s="1"/>
  <c r="K43" i="1" a="1"/>
  <c r="K43" i="1" s="1"/>
  <c r="K42" i="1" a="1"/>
  <c r="K42" i="1" s="1"/>
  <c r="K41" i="1" a="1"/>
  <c r="K41" i="1" s="1"/>
  <c r="K40" i="1" a="1"/>
  <c r="K40" i="1" s="1"/>
  <c r="K39" i="1" a="1"/>
  <c r="K39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W34" i="1" a="1"/>
  <c r="W34" i="1"/>
  <c r="W33" i="1" a="1"/>
  <c r="W33" i="1" s="1"/>
  <c r="W32" i="1" a="1"/>
  <c r="W32" i="1" s="1"/>
  <c r="W31" i="1" a="1"/>
  <c r="W31" i="1" s="1"/>
  <c r="W30" i="1" a="1"/>
  <c r="W30" i="1" s="1"/>
  <c r="W29" i="1" a="1"/>
  <c r="W29" i="1" s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V34" i="1" a="1"/>
  <c r="V34" i="1" s="1"/>
  <c r="V33" i="1" a="1"/>
  <c r="V33" i="1" s="1"/>
  <c r="V32" i="1" a="1"/>
  <c r="V32" i="1" s="1"/>
  <c r="V31" i="1" a="1"/>
  <c r="V31" i="1" s="1"/>
  <c r="V30" i="1" a="1"/>
  <c r="V30" i="1" s="1"/>
  <c r="V29" i="1" a="1"/>
  <c r="V29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29" i="1" a="1"/>
  <c r="O29" i="1" s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N34" i="1" a="1"/>
  <c r="N34" i="1" s="1"/>
  <c r="N33" i="1" a="1"/>
  <c r="N33" i="1" s="1"/>
  <c r="N32" i="1" a="1"/>
  <c r="N32" i="1" s="1"/>
  <c r="N31" i="1" a="1"/>
  <c r="N31" i="1" s="1"/>
  <c r="N30" i="1" a="1"/>
  <c r="N30" i="1" s="1"/>
  <c r="N29" i="1" a="1"/>
  <c r="N29" i="1" s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N22" i="1" a="1"/>
  <c r="N22" i="1"/>
  <c r="N21" i="1" a="1"/>
  <c r="N21" i="1" s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K34" i="1" a="1"/>
  <c r="K34" i="1" s="1"/>
  <c r="K33" i="1" a="1"/>
  <c r="K33" i="1" s="1"/>
  <c r="K32" i="1" a="1"/>
  <c r="K32" i="1" s="1"/>
  <c r="K31" i="1" a="1"/>
  <c r="K31" i="1" s="1"/>
  <c r="K30" i="1" a="1"/>
  <c r="K30" i="1" s="1"/>
  <c r="K29" i="1" a="1"/>
  <c r="K29" i="1" s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34" i="1" a="1"/>
  <c r="J34" i="1" s="1"/>
  <c r="J33" i="1" a="1"/>
  <c r="J33" i="1" s="1"/>
  <c r="J32" i="1" a="1"/>
  <c r="J32" i="1" s="1"/>
  <c r="J31" i="1" a="1"/>
  <c r="J31" i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W16" i="1" a="1"/>
  <c r="W16" i="1" s="1"/>
  <c r="W15" i="1" a="1"/>
  <c r="W15" i="1" s="1"/>
  <c r="W14" i="1" a="1"/>
  <c r="W14" i="1" s="1"/>
  <c r="W13" i="1" a="1"/>
  <c r="W13" i="1" s="1"/>
  <c r="W12" i="1" a="1"/>
  <c r="W12" i="1" s="1"/>
  <c r="W11" i="1" a="1"/>
  <c r="W11" i="1" s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16" i="1" a="1"/>
  <c r="V16" i="1" s="1"/>
  <c r="V15" i="1" a="1"/>
  <c r="V15" i="1"/>
  <c r="V14" i="1" a="1"/>
  <c r="V14" i="1" s="1"/>
  <c r="V13" i="1" a="1"/>
  <c r="V13" i="1" s="1"/>
  <c r="V12" i="1" a="1"/>
  <c r="V12" i="1" s="1"/>
  <c r="V11" i="1" a="1"/>
  <c r="V11" i="1" s="1"/>
  <c r="V10" i="1" a="1"/>
  <c r="V10" i="1" s="1"/>
  <c r="V9" i="1" a="1"/>
  <c r="V9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O16" i="1" a="1"/>
  <c r="O16" i="1" s="1"/>
  <c r="O15" i="1" a="1"/>
  <c r="O15" i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/>
  <c r="O3" i="1" a="1"/>
  <c r="O3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/>
  <c r="K7" i="1" a="1"/>
  <c r="K7" i="1" s="1"/>
  <c r="K6" i="1" a="1"/>
  <c r="K6" i="1" s="1"/>
  <c r="K5" i="1" a="1"/>
  <c r="K5" i="1"/>
  <c r="K4" i="1" a="1"/>
  <c r="K4" i="1" s="1"/>
  <c r="K3" i="1" a="1"/>
  <c r="K3" i="1" s="1"/>
  <c r="J16" i="1" a="1"/>
  <c r="J16" i="1" s="1"/>
  <c r="J15" i="1" a="1"/>
  <c r="J15" i="1" s="1"/>
  <c r="J14" i="1" a="1"/>
  <c r="J14" i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/>
  <c r="M188" i="4"/>
  <c r="M186" i="4"/>
  <c r="T186" i="4" s="1"/>
  <c r="M185" i="4"/>
  <c r="T185" i="4" s="1"/>
  <c r="M184" i="4"/>
  <c r="M181" i="4"/>
  <c r="T181" i="4" s="1"/>
  <c r="M164" i="4"/>
  <c r="M151" i="4"/>
  <c r="T151" i="4" s="1"/>
  <c r="M150" i="4"/>
  <c r="T150" i="4" s="1"/>
  <c r="M127" i="4"/>
  <c r="M125" i="4"/>
  <c r="M124" i="4"/>
  <c r="M108" i="4"/>
  <c r="T108" i="4" s="1"/>
  <c r="M107" i="4"/>
  <c r="T107" i="4" s="1"/>
  <c r="M106" i="4"/>
  <c r="T106" i="4" s="1"/>
  <c r="M74" i="4"/>
  <c r="M71" i="4"/>
  <c r="T71" i="4" s="1"/>
  <c r="M70" i="4"/>
  <c r="M66" i="4"/>
  <c r="T66" i="4" s="1"/>
  <c r="M56" i="4"/>
  <c r="T56" i="4" s="1"/>
  <c r="M53" i="4"/>
  <c r="T53" i="4" s="1"/>
  <c r="M50" i="4"/>
  <c r="T50" i="4" s="1"/>
  <c r="M48" i="4"/>
  <c r="M47" i="4"/>
  <c r="T47" i="4" s="1"/>
  <c r="M45" i="4"/>
  <c r="M44" i="4"/>
  <c r="T44" i="4" s="1"/>
  <c r="M41" i="4"/>
  <c r="T41" i="4" s="1"/>
  <c r="M30" i="4"/>
  <c r="T30" i="4" s="1"/>
  <c r="M19" i="4"/>
  <c r="M11" i="4"/>
  <c r="M10" i="4"/>
  <c r="T10" i="4" s="1"/>
  <c r="I188" i="4"/>
  <c r="I187" i="4"/>
  <c r="P187" i="4" s="1"/>
  <c r="I186" i="4"/>
  <c r="P186" i="4" s="1"/>
  <c r="I185" i="4"/>
  <c r="P185" i="4" s="1"/>
  <c r="I184" i="4"/>
  <c r="I170" i="4"/>
  <c r="P170" i="4" s="1"/>
  <c r="I168" i="4"/>
  <c r="P168" i="4" s="1"/>
  <c r="I164" i="4"/>
  <c r="P164" i="4" s="1"/>
  <c r="I145" i="4"/>
  <c r="I144" i="4"/>
  <c r="P144" i="4" s="1"/>
  <c r="I142" i="4"/>
  <c r="I131" i="4"/>
  <c r="P131" i="4" s="1"/>
  <c r="I130" i="4"/>
  <c r="I126" i="4"/>
  <c r="P126" i="4" s="1"/>
  <c r="I125" i="4"/>
  <c r="I124" i="4"/>
  <c r="I108" i="4"/>
  <c r="P108" i="4" s="1"/>
  <c r="I107" i="4"/>
  <c r="I106" i="4"/>
  <c r="P106" i="4" s="1"/>
  <c r="I105" i="4"/>
  <c r="P105" i="4" s="1"/>
  <c r="I87" i="4"/>
  <c r="P87" i="4" s="1"/>
  <c r="I68" i="4"/>
  <c r="P68" i="4" s="1"/>
  <c r="I66" i="4"/>
  <c r="I61" i="4"/>
  <c r="I50" i="4"/>
  <c r="P50" i="4" s="1"/>
  <c r="I48" i="4"/>
  <c r="I46" i="4"/>
  <c r="P46" i="4" s="1"/>
  <c r="I45" i="4"/>
  <c r="I44" i="4"/>
  <c r="I43" i="4"/>
  <c r="P43" i="4" s="1"/>
  <c r="I41" i="4"/>
  <c r="P41" i="4" s="1"/>
  <c r="I30" i="4"/>
  <c r="P30" i="4" s="1"/>
  <c r="I11" i="4"/>
  <c r="I10" i="4"/>
  <c r="H192" i="4"/>
  <c r="H191" i="4"/>
  <c r="H188" i="4"/>
  <c r="O188" i="4" s="1"/>
  <c r="H187" i="4"/>
  <c r="H185" i="4"/>
  <c r="H184" i="4"/>
  <c r="O184" i="4" s="1"/>
  <c r="H171" i="4"/>
  <c r="H170" i="4"/>
  <c r="O170" i="4" s="1"/>
  <c r="H168" i="4"/>
  <c r="O168" i="4" s="1"/>
  <c r="H166" i="4"/>
  <c r="N166" i="4" s="1"/>
  <c r="H164" i="4"/>
  <c r="H145" i="4"/>
  <c r="O145" i="4" s="1"/>
  <c r="H144" i="4"/>
  <c r="N144" i="4" s="1"/>
  <c r="H131" i="4"/>
  <c r="H130" i="4"/>
  <c r="H126" i="4"/>
  <c r="H125" i="4"/>
  <c r="H124" i="4"/>
  <c r="O124" i="4" s="1"/>
  <c r="H111" i="4"/>
  <c r="O111" i="4" s="1"/>
  <c r="H107" i="4"/>
  <c r="O107" i="4" s="1"/>
  <c r="H106" i="4"/>
  <c r="O106" i="4" s="1"/>
  <c r="H105" i="4"/>
  <c r="H104" i="4"/>
  <c r="H87" i="4"/>
  <c r="H73" i="4"/>
  <c r="H72" i="4"/>
  <c r="O72" i="4" s="1"/>
  <c r="H71" i="4"/>
  <c r="H70" i="4"/>
  <c r="H68" i="4"/>
  <c r="N68" i="4" s="1"/>
  <c r="H66" i="4"/>
  <c r="H50" i="4"/>
  <c r="H47" i="4"/>
  <c r="H46" i="4"/>
  <c r="H45" i="4"/>
  <c r="O45" i="4" s="1"/>
  <c r="H44" i="4"/>
  <c r="O44" i="4" s="1"/>
  <c r="H26" i="4"/>
  <c r="H25" i="4"/>
  <c r="H11" i="4"/>
  <c r="H10" i="4"/>
  <c r="H3" i="4"/>
  <c r="D201" i="4"/>
  <c r="I201" i="4" s="1"/>
  <c r="P201" i="4" s="1"/>
  <c r="D200" i="4"/>
  <c r="H200" i="4" s="1"/>
  <c r="D199" i="4"/>
  <c r="M199" i="4" s="1"/>
  <c r="T199" i="4" s="1"/>
  <c r="D198" i="4"/>
  <c r="M198" i="4" s="1"/>
  <c r="D197" i="4"/>
  <c r="M197" i="4" s="1"/>
  <c r="T197" i="4" s="1"/>
  <c r="D196" i="4"/>
  <c r="M196" i="4" s="1"/>
  <c r="T196" i="4" s="1"/>
  <c r="D195" i="4"/>
  <c r="M195" i="4" s="1"/>
  <c r="D194" i="4"/>
  <c r="M194" i="4" s="1"/>
  <c r="D193" i="4"/>
  <c r="D192" i="4"/>
  <c r="D191" i="4"/>
  <c r="M191" i="4" s="1"/>
  <c r="D190" i="4"/>
  <c r="D189" i="4"/>
  <c r="M189" i="4" s="1"/>
  <c r="D188" i="4"/>
  <c r="D187" i="4"/>
  <c r="M187" i="4" s="1"/>
  <c r="T187" i="4" s="1"/>
  <c r="D186" i="4"/>
  <c r="H186" i="4" s="1"/>
  <c r="O186" i="4" s="1"/>
  <c r="D185" i="4"/>
  <c r="D184" i="4"/>
  <c r="D183" i="4"/>
  <c r="D182" i="4"/>
  <c r="D181" i="4"/>
  <c r="D180" i="4"/>
  <c r="D179" i="4"/>
  <c r="D178" i="4"/>
  <c r="M178" i="4" s="1"/>
  <c r="D177" i="4"/>
  <c r="M177" i="4" s="1"/>
  <c r="T177" i="4" s="1"/>
  <c r="D176" i="4"/>
  <c r="M176" i="4" s="1"/>
  <c r="T176" i="4" s="1"/>
  <c r="D175" i="4"/>
  <c r="M175" i="4" s="1"/>
  <c r="D174" i="4"/>
  <c r="M174" i="4" s="1"/>
  <c r="T174" i="4" s="1"/>
  <c r="D173" i="4"/>
  <c r="D172" i="4"/>
  <c r="D171" i="4"/>
  <c r="D170" i="4"/>
  <c r="M170" i="4" s="1"/>
  <c r="T170" i="4" s="1"/>
  <c r="D169" i="4"/>
  <c r="M169" i="4" s="1"/>
  <c r="D168" i="4"/>
  <c r="M168" i="4" s="1"/>
  <c r="T168" i="4" s="1"/>
  <c r="D167" i="4"/>
  <c r="M167" i="4" s="1"/>
  <c r="T167" i="4" s="1"/>
  <c r="D166" i="4"/>
  <c r="I166" i="4" s="1"/>
  <c r="D165" i="4"/>
  <c r="H165" i="4" s="1"/>
  <c r="D164" i="4"/>
  <c r="D163" i="4"/>
  <c r="D162" i="4"/>
  <c r="H162" i="4" s="1"/>
  <c r="D161" i="4"/>
  <c r="M161" i="4" s="1"/>
  <c r="T161" i="4" s="1"/>
  <c r="D160" i="4"/>
  <c r="I160" i="4" s="1"/>
  <c r="P160" i="4" s="1"/>
  <c r="D159" i="4"/>
  <c r="I159" i="4" s="1"/>
  <c r="P159" i="4" s="1"/>
  <c r="D158" i="4"/>
  <c r="M158" i="4" s="1"/>
  <c r="T158" i="4" s="1"/>
  <c r="D157" i="4"/>
  <c r="M157" i="4" s="1"/>
  <c r="T157" i="4" s="1"/>
  <c r="D156" i="4"/>
  <c r="M156" i="4" s="1"/>
  <c r="T156" i="4" s="1"/>
  <c r="D155" i="4"/>
  <c r="M155" i="4" s="1"/>
  <c r="T155" i="4" s="1"/>
  <c r="D154" i="4"/>
  <c r="M154" i="4" s="1"/>
  <c r="D153" i="4"/>
  <c r="I153" i="4" s="1"/>
  <c r="P153" i="4" s="1"/>
  <c r="D152" i="4"/>
  <c r="I152" i="4" s="1"/>
  <c r="D151" i="4"/>
  <c r="D150" i="4"/>
  <c r="D149" i="4"/>
  <c r="M149" i="4" s="1"/>
  <c r="D148" i="4"/>
  <c r="M148" i="4" s="1"/>
  <c r="T148" i="4" s="1"/>
  <c r="D147" i="4"/>
  <c r="M147" i="4" s="1"/>
  <c r="T147" i="4" s="1"/>
  <c r="D146" i="4"/>
  <c r="M146" i="4" s="1"/>
  <c r="T146" i="4" s="1"/>
  <c r="D145" i="4"/>
  <c r="M145" i="4" s="1"/>
  <c r="D144" i="4"/>
  <c r="M144" i="4" s="1"/>
  <c r="D143" i="4"/>
  <c r="M143" i="4" s="1"/>
  <c r="T143" i="4" s="1"/>
  <c r="D142" i="4"/>
  <c r="M142" i="4" s="1"/>
  <c r="D141" i="4"/>
  <c r="D140" i="4"/>
  <c r="D139" i="4"/>
  <c r="D138" i="4"/>
  <c r="M138" i="4" s="1"/>
  <c r="T138" i="4" s="1"/>
  <c r="D137" i="4"/>
  <c r="M137" i="4" s="1"/>
  <c r="D136" i="4"/>
  <c r="M136" i="4" s="1"/>
  <c r="D135" i="4"/>
  <c r="M135" i="4" s="1"/>
  <c r="T135" i="4" s="1"/>
  <c r="D134" i="4"/>
  <c r="M134" i="4" s="1"/>
  <c r="T134" i="4" s="1"/>
  <c r="D133" i="4"/>
  <c r="D132" i="4"/>
  <c r="D131" i="4"/>
  <c r="M131" i="4" s="1"/>
  <c r="D130" i="4"/>
  <c r="M130" i="4" s="1"/>
  <c r="D129" i="4"/>
  <c r="M129" i="4" s="1"/>
  <c r="D128" i="4"/>
  <c r="H128" i="4" s="1"/>
  <c r="O128" i="4" s="1"/>
  <c r="D127" i="4"/>
  <c r="H127" i="4" s="1"/>
  <c r="D126" i="4"/>
  <c r="M126" i="4" s="1"/>
  <c r="D125" i="4"/>
  <c r="D124" i="4"/>
  <c r="D123" i="4"/>
  <c r="M123" i="4" s="1"/>
  <c r="T123" i="4" s="1"/>
  <c r="D122" i="4"/>
  <c r="D121" i="4"/>
  <c r="D120" i="4"/>
  <c r="D119" i="4"/>
  <c r="M119" i="4" s="1"/>
  <c r="D118" i="4"/>
  <c r="M118" i="4" s="1"/>
  <c r="T118" i="4" s="1"/>
  <c r="D117" i="4"/>
  <c r="M117" i="4" s="1"/>
  <c r="D116" i="4"/>
  <c r="M116" i="4" s="1"/>
  <c r="D115" i="4"/>
  <c r="M115" i="4" s="1"/>
  <c r="D114" i="4"/>
  <c r="M114" i="4" s="1"/>
  <c r="T114" i="4" s="1"/>
  <c r="D113" i="4"/>
  <c r="M113" i="4" s="1"/>
  <c r="D112" i="4"/>
  <c r="D111" i="4"/>
  <c r="M111" i="4" s="1"/>
  <c r="D110" i="4"/>
  <c r="M110" i="4" s="1"/>
  <c r="T110" i="4" s="1"/>
  <c r="D109" i="4"/>
  <c r="M109" i="4" s="1"/>
  <c r="T109" i="4" s="1"/>
  <c r="D108" i="4"/>
  <c r="H108" i="4" s="1"/>
  <c r="D107" i="4"/>
  <c r="D106" i="4"/>
  <c r="D105" i="4"/>
  <c r="M105" i="4" s="1"/>
  <c r="T105" i="4" s="1"/>
  <c r="D104" i="4"/>
  <c r="I104" i="4" s="1"/>
  <c r="D103" i="4"/>
  <c r="D102" i="4"/>
  <c r="H102" i="4" s="1"/>
  <c r="O102" i="4" s="1"/>
  <c r="D101" i="4"/>
  <c r="D100" i="4"/>
  <c r="D99" i="4"/>
  <c r="M99" i="4" s="1"/>
  <c r="T99" i="4" s="1"/>
  <c r="D98" i="4"/>
  <c r="M98" i="4" s="1"/>
  <c r="D97" i="4"/>
  <c r="M97" i="4" s="1"/>
  <c r="D96" i="4"/>
  <c r="M96" i="4" s="1"/>
  <c r="D95" i="4"/>
  <c r="M95" i="4" s="1"/>
  <c r="D94" i="4"/>
  <c r="M94" i="4" s="1"/>
  <c r="T94" i="4" s="1"/>
  <c r="D93" i="4"/>
  <c r="D92" i="4"/>
  <c r="D91" i="4"/>
  <c r="D90" i="4"/>
  <c r="D89" i="4"/>
  <c r="D88" i="4"/>
  <c r="M88" i="4" s="1"/>
  <c r="T88" i="4" s="1"/>
  <c r="D87" i="4"/>
  <c r="M87" i="4" s="1"/>
  <c r="D86" i="4"/>
  <c r="M86" i="4" s="1"/>
  <c r="T86" i="4" s="1"/>
  <c r="D85" i="4"/>
  <c r="M85" i="4" s="1"/>
  <c r="T85" i="4" s="1"/>
  <c r="D84" i="4"/>
  <c r="I84" i="4" s="1"/>
  <c r="D83" i="4"/>
  <c r="H83" i="4" s="1"/>
  <c r="O83" i="4" s="1"/>
  <c r="D82" i="4"/>
  <c r="M82" i="4" s="1"/>
  <c r="T82" i="4" s="1"/>
  <c r="D81" i="4"/>
  <c r="M81" i="4" s="1"/>
  <c r="D80" i="4"/>
  <c r="D79" i="4"/>
  <c r="D78" i="4"/>
  <c r="M78" i="4" s="1"/>
  <c r="T78" i="4" s="1"/>
  <c r="D77" i="4"/>
  <c r="M77" i="4" s="1"/>
  <c r="T77" i="4" s="1"/>
  <c r="D76" i="4"/>
  <c r="M76" i="4" s="1"/>
  <c r="T76" i="4" s="1"/>
  <c r="D75" i="4"/>
  <c r="D74" i="4"/>
  <c r="I74" i="4" s="1"/>
  <c r="D73" i="4"/>
  <c r="M73" i="4" s="1"/>
  <c r="D72" i="4"/>
  <c r="I72" i="4" s="1"/>
  <c r="P72" i="4" s="1"/>
  <c r="D71" i="4"/>
  <c r="I71" i="4" s="1"/>
  <c r="D70" i="4"/>
  <c r="I70" i="4" s="1"/>
  <c r="P70" i="4" s="1"/>
  <c r="D69" i="4"/>
  <c r="D68" i="4"/>
  <c r="M68" i="4" s="1"/>
  <c r="T68" i="4" s="1"/>
  <c r="D67" i="4"/>
  <c r="I67" i="4" s="1"/>
  <c r="D66" i="4"/>
  <c r="D65" i="4"/>
  <c r="M65" i="4" s="1"/>
  <c r="D64" i="4"/>
  <c r="M64" i="4" s="1"/>
  <c r="D63" i="4"/>
  <c r="D62" i="4"/>
  <c r="D61" i="4"/>
  <c r="D60" i="4"/>
  <c r="M60" i="4" s="1"/>
  <c r="D59" i="4"/>
  <c r="D58" i="4"/>
  <c r="M58" i="4" s="1"/>
  <c r="T58" i="4" s="1"/>
  <c r="D57" i="4"/>
  <c r="M57" i="4" s="1"/>
  <c r="D56" i="4"/>
  <c r="I56" i="4" s="1"/>
  <c r="D55" i="4"/>
  <c r="D54" i="4"/>
  <c r="M54" i="4" s="1"/>
  <c r="T54" i="4" s="1"/>
  <c r="D53" i="4"/>
  <c r="H53" i="4" s="1"/>
  <c r="D52" i="4"/>
  <c r="D51" i="4"/>
  <c r="D50" i="4"/>
  <c r="D49" i="4"/>
  <c r="D48" i="4"/>
  <c r="H48" i="4" s="1"/>
  <c r="O48" i="4" s="1"/>
  <c r="D47" i="4"/>
  <c r="I47" i="4" s="1"/>
  <c r="D46" i="4"/>
  <c r="M46" i="4" s="1"/>
  <c r="T46" i="4" s="1"/>
  <c r="D45" i="4"/>
  <c r="D44" i="4"/>
  <c r="D43" i="4"/>
  <c r="M43" i="4" s="1"/>
  <c r="T43" i="4" s="1"/>
  <c r="D42" i="4"/>
  <c r="D41" i="4"/>
  <c r="H41" i="4" s="1"/>
  <c r="O41" i="4" s="1"/>
  <c r="D40" i="4"/>
  <c r="D39" i="4"/>
  <c r="D38" i="4"/>
  <c r="M38" i="4" s="1"/>
  <c r="D37" i="4"/>
  <c r="M37" i="4" s="1"/>
  <c r="T37" i="4" s="1"/>
  <c r="D36" i="4"/>
  <c r="M36" i="4" s="1"/>
  <c r="D35" i="4"/>
  <c r="D34" i="4"/>
  <c r="M34" i="4" s="1"/>
  <c r="T34" i="4" s="1"/>
  <c r="D33" i="4"/>
  <c r="D32" i="4"/>
  <c r="D31" i="4"/>
  <c r="D30" i="4"/>
  <c r="H30" i="4" s="1"/>
  <c r="D29" i="4"/>
  <c r="D28" i="4"/>
  <c r="M28" i="4" s="1"/>
  <c r="D27" i="4"/>
  <c r="M27" i="4" s="1"/>
  <c r="D26" i="4"/>
  <c r="M26" i="4" s="1"/>
  <c r="D25" i="4"/>
  <c r="M25" i="4" s="1"/>
  <c r="T25" i="4" s="1"/>
  <c r="D24" i="4"/>
  <c r="M24" i="4" s="1"/>
  <c r="T24" i="4" s="1"/>
  <c r="D23" i="4"/>
  <c r="M23" i="4" s="1"/>
  <c r="T23" i="4" s="1"/>
  <c r="D22" i="4"/>
  <c r="D21" i="4"/>
  <c r="D20" i="4"/>
  <c r="M20" i="4" s="1"/>
  <c r="D19" i="4"/>
  <c r="D18" i="4"/>
  <c r="M18" i="4" s="1"/>
  <c r="D17" i="4"/>
  <c r="M17" i="4" s="1"/>
  <c r="D16" i="4"/>
  <c r="M16" i="4" s="1"/>
  <c r="D15" i="4"/>
  <c r="D14" i="4"/>
  <c r="M14" i="4" s="1"/>
  <c r="D13" i="4"/>
  <c r="H13" i="4" s="1"/>
  <c r="D12" i="4"/>
  <c r="I12" i="4" s="1"/>
  <c r="D11" i="4"/>
  <c r="D10" i="4"/>
  <c r="D9" i="4"/>
  <c r="D8" i="4"/>
  <c r="M8" i="4" s="1"/>
  <c r="D7" i="4"/>
  <c r="M7" i="4" s="1"/>
  <c r="D6" i="4"/>
  <c r="M6" i="4" s="1"/>
  <c r="T6" i="4" s="1"/>
  <c r="D5" i="4"/>
  <c r="M5" i="4" s="1"/>
  <c r="D4" i="4"/>
  <c r="M4" i="4" s="1"/>
  <c r="D3" i="4"/>
  <c r="M3" i="4" s="1"/>
  <c r="D2" i="4"/>
  <c r="I2" i="4" s="1"/>
  <c r="P2" i="4" s="1"/>
  <c r="M182" i="3"/>
  <c r="M171" i="3"/>
  <c r="M170" i="3"/>
  <c r="T170" i="3" s="1"/>
  <c r="M169" i="3"/>
  <c r="T169" i="3" s="1"/>
  <c r="M166" i="3"/>
  <c r="T166" i="3" s="1"/>
  <c r="M146" i="3"/>
  <c r="M144" i="3"/>
  <c r="T144" i="3" s="1"/>
  <c r="M143" i="3"/>
  <c r="T143" i="3" s="1"/>
  <c r="M130" i="3"/>
  <c r="T130" i="3" s="1"/>
  <c r="M129" i="3"/>
  <c r="T129" i="3" s="1"/>
  <c r="M126" i="3"/>
  <c r="M124" i="3"/>
  <c r="M123" i="3"/>
  <c r="M122" i="3"/>
  <c r="M109" i="3"/>
  <c r="M108" i="3"/>
  <c r="T108" i="3" s="1"/>
  <c r="M101" i="3"/>
  <c r="T101" i="3" s="1"/>
  <c r="M93" i="3"/>
  <c r="T93" i="3" s="1"/>
  <c r="M92" i="3"/>
  <c r="T92" i="3" s="1"/>
  <c r="M91" i="3"/>
  <c r="T91" i="3" s="1"/>
  <c r="M86" i="3"/>
  <c r="T86" i="3" s="1"/>
  <c r="M85" i="3"/>
  <c r="T85" i="3" s="1"/>
  <c r="M84" i="3"/>
  <c r="T84" i="3" s="1"/>
  <c r="M68" i="3"/>
  <c r="T68" i="3" s="1"/>
  <c r="M66" i="3"/>
  <c r="M65" i="3"/>
  <c r="T65" i="3" s="1"/>
  <c r="M50" i="3"/>
  <c r="T50" i="3" s="1"/>
  <c r="M48" i="3"/>
  <c r="T48" i="3" s="1"/>
  <c r="M42" i="3"/>
  <c r="M32" i="3"/>
  <c r="T32" i="3" s="1"/>
  <c r="M31" i="3"/>
  <c r="M30" i="3"/>
  <c r="T30" i="3" s="1"/>
  <c r="M21" i="3"/>
  <c r="M4" i="3"/>
  <c r="M3" i="3"/>
  <c r="M2" i="3"/>
  <c r="I177" i="3"/>
  <c r="I173" i="3"/>
  <c r="I167" i="3"/>
  <c r="I166" i="3"/>
  <c r="P166" i="3" s="1"/>
  <c r="I150" i="3"/>
  <c r="P150" i="3" s="1"/>
  <c r="I149" i="3"/>
  <c r="P149" i="3" s="1"/>
  <c r="I139" i="3"/>
  <c r="P139" i="3" s="1"/>
  <c r="I133" i="3"/>
  <c r="I130" i="3"/>
  <c r="I126" i="3"/>
  <c r="P126" i="3" s="1"/>
  <c r="I125" i="3"/>
  <c r="I124" i="3"/>
  <c r="I114" i="3"/>
  <c r="P114" i="3" s="1"/>
  <c r="I113" i="3"/>
  <c r="P113" i="3" s="1"/>
  <c r="I109" i="3"/>
  <c r="I90" i="3"/>
  <c r="I87" i="3"/>
  <c r="I85" i="3"/>
  <c r="P85" i="3" s="1"/>
  <c r="I84" i="3"/>
  <c r="I77" i="3"/>
  <c r="I76" i="3"/>
  <c r="P76" i="3" s="1"/>
  <c r="I74" i="3"/>
  <c r="P74" i="3" s="1"/>
  <c r="I66" i="3"/>
  <c r="I65" i="3"/>
  <c r="I50" i="3"/>
  <c r="I49" i="3"/>
  <c r="I34" i="3"/>
  <c r="I32" i="3"/>
  <c r="P32" i="3" s="1"/>
  <c r="I30" i="3"/>
  <c r="N30" i="3" s="1"/>
  <c r="I29" i="3"/>
  <c r="N29" i="3" s="1"/>
  <c r="I25" i="3"/>
  <c r="I12" i="3"/>
  <c r="I4" i="3"/>
  <c r="N4" i="3" s="1"/>
  <c r="I3" i="3"/>
  <c r="N3" i="3" s="1"/>
  <c r="H169" i="3"/>
  <c r="N169" i="3" s="1"/>
  <c r="H168" i="3"/>
  <c r="H165" i="3"/>
  <c r="O165" i="3" s="1"/>
  <c r="H161" i="3"/>
  <c r="H159" i="3"/>
  <c r="O159" i="3" s="1"/>
  <c r="H158" i="3"/>
  <c r="O158" i="3" s="1"/>
  <c r="H149" i="3"/>
  <c r="H148" i="3"/>
  <c r="O148" i="3" s="1"/>
  <c r="H147" i="3"/>
  <c r="H133" i="3"/>
  <c r="N133" i="3" s="1"/>
  <c r="H131" i="3"/>
  <c r="H118" i="3"/>
  <c r="H107" i="3"/>
  <c r="O107" i="3" s="1"/>
  <c r="H106" i="3"/>
  <c r="O106" i="3" s="1"/>
  <c r="H105" i="3"/>
  <c r="O105" i="3" s="1"/>
  <c r="H96" i="3"/>
  <c r="H93" i="3"/>
  <c r="N93" i="3" s="1"/>
  <c r="H92" i="3"/>
  <c r="H91" i="3"/>
  <c r="O91" i="3" s="1"/>
  <c r="H69" i="3"/>
  <c r="O69" i="3" s="1"/>
  <c r="H68" i="3"/>
  <c r="O68" i="3" s="1"/>
  <c r="H66" i="3"/>
  <c r="O66" i="3" s="1"/>
  <c r="H65" i="3"/>
  <c r="H61" i="3"/>
  <c r="O61" i="3" s="1"/>
  <c r="H59" i="3"/>
  <c r="O59" i="3" s="1"/>
  <c r="H58" i="3"/>
  <c r="O58" i="3" s="1"/>
  <c r="H57" i="3"/>
  <c r="N57" i="3" s="1"/>
  <c r="H49" i="3"/>
  <c r="O49" i="3" s="1"/>
  <c r="H21" i="3"/>
  <c r="H17" i="3"/>
  <c r="O17" i="3" s="1"/>
  <c r="H10" i="3"/>
  <c r="H9" i="3"/>
  <c r="O9" i="3" s="1"/>
  <c r="H7" i="3"/>
  <c r="O7" i="3" s="1"/>
  <c r="D183" i="3"/>
  <c r="I183" i="3" s="1"/>
  <c r="P183" i="3" s="1"/>
  <c r="D182" i="3"/>
  <c r="I182" i="3" s="1"/>
  <c r="D181" i="3"/>
  <c r="M181" i="3" s="1"/>
  <c r="T181" i="3" s="1"/>
  <c r="D180" i="3"/>
  <c r="D179" i="3"/>
  <c r="I179" i="3" s="1"/>
  <c r="D178" i="3"/>
  <c r="D177" i="3"/>
  <c r="H177" i="3" s="1"/>
  <c r="D176" i="3"/>
  <c r="D175" i="3"/>
  <c r="H175" i="3" s="1"/>
  <c r="D174" i="3"/>
  <c r="H174" i="3" s="1"/>
  <c r="O174" i="3" s="1"/>
  <c r="D173" i="3"/>
  <c r="M173" i="3" s="1"/>
  <c r="T173" i="3" s="1"/>
  <c r="D172" i="3"/>
  <c r="I172" i="3" s="1"/>
  <c r="D171" i="3"/>
  <c r="I171" i="3" s="1"/>
  <c r="P171" i="3" s="1"/>
  <c r="D170" i="3"/>
  <c r="I170" i="3" s="1"/>
  <c r="D169" i="3"/>
  <c r="I169" i="3" s="1"/>
  <c r="D168" i="3"/>
  <c r="D167" i="3"/>
  <c r="M167" i="3" s="1"/>
  <c r="D166" i="3"/>
  <c r="H166" i="3" s="1"/>
  <c r="D165" i="3"/>
  <c r="D164" i="3"/>
  <c r="D163" i="3"/>
  <c r="D162" i="3"/>
  <c r="D161" i="3"/>
  <c r="D160" i="3"/>
  <c r="D159" i="3"/>
  <c r="D158" i="3"/>
  <c r="D157" i="3"/>
  <c r="I157" i="3" s="1"/>
  <c r="P157" i="3" s="1"/>
  <c r="D156" i="3"/>
  <c r="D155" i="3"/>
  <c r="I155" i="3" s="1"/>
  <c r="D154" i="3"/>
  <c r="D153" i="3"/>
  <c r="H153" i="3" s="1"/>
  <c r="D152" i="3"/>
  <c r="H152" i="3" s="1"/>
  <c r="D151" i="3"/>
  <c r="H151" i="3" s="1"/>
  <c r="O151" i="3" s="1"/>
  <c r="D150" i="3"/>
  <c r="H150" i="3" s="1"/>
  <c r="D149" i="3"/>
  <c r="M149" i="3" s="1"/>
  <c r="D148" i="3"/>
  <c r="I148" i="3" s="1"/>
  <c r="P148" i="3" s="1"/>
  <c r="D147" i="3"/>
  <c r="D146" i="3"/>
  <c r="H146" i="3" s="1"/>
  <c r="D145" i="3"/>
  <c r="D144" i="3"/>
  <c r="D143" i="3"/>
  <c r="D142" i="3"/>
  <c r="D141" i="3"/>
  <c r="D140" i="3"/>
  <c r="D139" i="3"/>
  <c r="D138" i="3"/>
  <c r="D137" i="3"/>
  <c r="D136" i="3"/>
  <c r="D135" i="3"/>
  <c r="M135" i="3" s="1"/>
  <c r="T135" i="3" s="1"/>
  <c r="D134" i="3"/>
  <c r="M134" i="3" s="1"/>
  <c r="D133" i="3"/>
  <c r="M133" i="3" s="1"/>
  <c r="D132" i="3"/>
  <c r="M132" i="3" s="1"/>
  <c r="T132" i="3" s="1"/>
  <c r="D131" i="3"/>
  <c r="I131" i="3" s="1"/>
  <c r="D130" i="3"/>
  <c r="H130" i="3" s="1"/>
  <c r="D129" i="3"/>
  <c r="H129" i="3" s="1"/>
  <c r="D128" i="3"/>
  <c r="D127" i="3"/>
  <c r="M127" i="3" s="1"/>
  <c r="T127" i="3" s="1"/>
  <c r="D126" i="3"/>
  <c r="H126" i="3" s="1"/>
  <c r="N126" i="3" s="1"/>
  <c r="D125" i="3"/>
  <c r="D124" i="3"/>
  <c r="H124" i="3" s="1"/>
  <c r="D123" i="3"/>
  <c r="H123" i="3" s="1"/>
  <c r="D122" i="3"/>
  <c r="I122" i="3" s="1"/>
  <c r="D121" i="3"/>
  <c r="D120" i="3"/>
  <c r="D119" i="3"/>
  <c r="H119" i="3" s="1"/>
  <c r="D118" i="3"/>
  <c r="D117" i="3"/>
  <c r="I117" i="3" s="1"/>
  <c r="D116" i="3"/>
  <c r="D115" i="3"/>
  <c r="D114" i="3"/>
  <c r="M114" i="3" s="1"/>
  <c r="D113" i="3"/>
  <c r="M113" i="3" s="1"/>
  <c r="T113" i="3" s="1"/>
  <c r="D112" i="3"/>
  <c r="M112" i="3" s="1"/>
  <c r="D111" i="3"/>
  <c r="M111" i="3" s="1"/>
  <c r="D110" i="3"/>
  <c r="M110" i="3" s="1"/>
  <c r="T110" i="3" s="1"/>
  <c r="D109" i="3"/>
  <c r="H109" i="3" s="1"/>
  <c r="D108" i="3"/>
  <c r="I108" i="3" s="1"/>
  <c r="D107" i="3"/>
  <c r="D106" i="3"/>
  <c r="I106" i="3" s="1"/>
  <c r="N106" i="3" s="1"/>
  <c r="D105" i="3"/>
  <c r="D104" i="3"/>
  <c r="D103" i="3"/>
  <c r="M103" i="3" s="1"/>
  <c r="T103" i="3" s="1"/>
  <c r="D102" i="3"/>
  <c r="D101" i="3"/>
  <c r="I101" i="3" s="1"/>
  <c r="P101" i="3" s="1"/>
  <c r="D100" i="3"/>
  <c r="D99" i="3"/>
  <c r="I99" i="3" s="1"/>
  <c r="P99" i="3" s="1"/>
  <c r="D98" i="3"/>
  <c r="D97" i="3"/>
  <c r="H97" i="3" s="1"/>
  <c r="D96" i="3"/>
  <c r="D95" i="3"/>
  <c r="D94" i="3"/>
  <c r="I94" i="3" s="1"/>
  <c r="D93" i="3"/>
  <c r="I93" i="3" s="1"/>
  <c r="D92" i="3"/>
  <c r="I92" i="3" s="1"/>
  <c r="P92" i="3" s="1"/>
  <c r="D91" i="3"/>
  <c r="I91" i="3" s="1"/>
  <c r="P91" i="3" s="1"/>
  <c r="D90" i="3"/>
  <c r="M90" i="3" s="1"/>
  <c r="D89" i="3"/>
  <c r="M89" i="3" s="1"/>
  <c r="D88" i="3"/>
  <c r="H88" i="3" s="1"/>
  <c r="D87" i="3"/>
  <c r="D86" i="3"/>
  <c r="H86" i="3" s="1"/>
  <c r="D85" i="3"/>
  <c r="H85" i="3" s="1"/>
  <c r="D84" i="3"/>
  <c r="H84" i="3" s="1"/>
  <c r="O84" i="3" s="1"/>
  <c r="D83" i="3"/>
  <c r="I83" i="3" s="1"/>
  <c r="P83" i="3" s="1"/>
  <c r="D82" i="3"/>
  <c r="D81" i="3"/>
  <c r="D80" i="3"/>
  <c r="D79" i="3"/>
  <c r="I79" i="3" s="1"/>
  <c r="P79" i="3" s="1"/>
  <c r="D78" i="3"/>
  <c r="D77" i="3"/>
  <c r="H77" i="3" s="1"/>
  <c r="D76" i="3"/>
  <c r="D75" i="3"/>
  <c r="D74" i="3"/>
  <c r="D73" i="3"/>
  <c r="M73" i="3" s="1"/>
  <c r="D72" i="3"/>
  <c r="I72" i="3" s="1"/>
  <c r="P72" i="3" s="1"/>
  <c r="D71" i="3"/>
  <c r="I71" i="3" s="1"/>
  <c r="D70" i="3"/>
  <c r="I70" i="3" s="1"/>
  <c r="D69" i="3"/>
  <c r="I69" i="3" s="1"/>
  <c r="D68" i="3"/>
  <c r="I68" i="3" s="1"/>
  <c r="D67" i="3"/>
  <c r="D66" i="3"/>
  <c r="D65" i="3"/>
  <c r="D64" i="3"/>
  <c r="D63" i="3"/>
  <c r="D62" i="3"/>
  <c r="M62" i="3" s="1"/>
  <c r="T62" i="3" s="1"/>
  <c r="D61" i="3"/>
  <c r="D60" i="3"/>
  <c r="D59" i="3"/>
  <c r="D58" i="3"/>
  <c r="D57" i="3"/>
  <c r="I57" i="3" s="1"/>
  <c r="P57" i="3" s="1"/>
  <c r="D56" i="3"/>
  <c r="D55" i="3"/>
  <c r="D54" i="3"/>
  <c r="D53" i="3"/>
  <c r="D52" i="3"/>
  <c r="H52" i="3" s="1"/>
  <c r="D51" i="3"/>
  <c r="H51" i="3" s="1"/>
  <c r="D50" i="3"/>
  <c r="H50" i="3" s="1"/>
  <c r="D49" i="3"/>
  <c r="M49" i="3" s="1"/>
  <c r="D48" i="3"/>
  <c r="D47" i="3"/>
  <c r="M47" i="3" s="1"/>
  <c r="T47" i="3" s="1"/>
  <c r="D46" i="3"/>
  <c r="D45" i="3"/>
  <c r="D44" i="3"/>
  <c r="H44" i="3" s="1"/>
  <c r="D43" i="3"/>
  <c r="D42" i="3"/>
  <c r="D41" i="3"/>
  <c r="D40" i="3"/>
  <c r="D39" i="3"/>
  <c r="D38" i="3"/>
  <c r="H38" i="3" s="1"/>
  <c r="D37" i="3"/>
  <c r="M37" i="3" s="1"/>
  <c r="D36" i="3"/>
  <c r="D35" i="3"/>
  <c r="D34" i="3"/>
  <c r="M34" i="3" s="1"/>
  <c r="D33" i="3"/>
  <c r="D32" i="3"/>
  <c r="H32" i="3" s="1"/>
  <c r="N32" i="3" s="1"/>
  <c r="D31" i="3"/>
  <c r="I31" i="3" s="1"/>
  <c r="P31" i="3" s="1"/>
  <c r="D30" i="3"/>
  <c r="H30" i="3" s="1"/>
  <c r="D29" i="3"/>
  <c r="H29" i="3" s="1"/>
  <c r="D28" i="3"/>
  <c r="M28" i="3" s="1"/>
  <c r="T28" i="3" s="1"/>
  <c r="D27" i="3"/>
  <c r="M27" i="3" s="1"/>
  <c r="D26" i="3"/>
  <c r="M26" i="3" s="1"/>
  <c r="D25" i="3"/>
  <c r="D24" i="3"/>
  <c r="I24" i="3" s="1"/>
  <c r="P24" i="3" s="1"/>
  <c r="D23" i="3"/>
  <c r="D22" i="3"/>
  <c r="M22" i="3" s="1"/>
  <c r="T22" i="3" s="1"/>
  <c r="D21" i="3"/>
  <c r="I21" i="3" s="1"/>
  <c r="D20" i="3"/>
  <c r="D19" i="3"/>
  <c r="H19" i="3" s="1"/>
  <c r="O19" i="3" s="1"/>
  <c r="D18" i="3"/>
  <c r="H18" i="3" s="1"/>
  <c r="O18" i="3" s="1"/>
  <c r="D17" i="3"/>
  <c r="I17" i="3" s="1"/>
  <c r="D16" i="3"/>
  <c r="D15" i="3"/>
  <c r="D14" i="3"/>
  <c r="D13" i="3"/>
  <c r="D12" i="3"/>
  <c r="M12" i="3" s="1"/>
  <c r="D11" i="3"/>
  <c r="M11" i="3" s="1"/>
  <c r="T11" i="3" s="1"/>
  <c r="D10" i="3"/>
  <c r="M10" i="3" s="1"/>
  <c r="D9" i="3"/>
  <c r="I9" i="3" s="1"/>
  <c r="P9" i="3" s="1"/>
  <c r="D8" i="3"/>
  <c r="M8" i="3" s="1"/>
  <c r="T8" i="3" s="1"/>
  <c r="D7" i="3"/>
  <c r="D6" i="3"/>
  <c r="I6" i="3" s="1"/>
  <c r="P6" i="3" s="1"/>
  <c r="D5" i="3"/>
  <c r="H5" i="3" s="1"/>
  <c r="D4" i="3"/>
  <c r="H4" i="3" s="1"/>
  <c r="D3" i="3"/>
  <c r="H3" i="3" s="1"/>
  <c r="D2" i="3"/>
  <c r="M134" i="2"/>
  <c r="T134" i="2" s="1"/>
  <c r="M133" i="2"/>
  <c r="T133" i="2" s="1"/>
  <c r="M132" i="2"/>
  <c r="T132" i="2" s="1"/>
  <c r="M112" i="2"/>
  <c r="T112" i="2" s="1"/>
  <c r="M108" i="2"/>
  <c r="T108" i="2" s="1"/>
  <c r="M105" i="2"/>
  <c r="T105" i="2" s="1"/>
  <c r="M104" i="2"/>
  <c r="M103" i="2"/>
  <c r="M102" i="2"/>
  <c r="T102" i="2" s="1"/>
  <c r="M99" i="2"/>
  <c r="M98" i="2"/>
  <c r="T98" i="2" s="1"/>
  <c r="M92" i="2"/>
  <c r="T92" i="2" s="1"/>
  <c r="M91" i="2"/>
  <c r="M90" i="2"/>
  <c r="T90" i="2" s="1"/>
  <c r="M81" i="2"/>
  <c r="T81" i="2" s="1"/>
  <c r="M79" i="2"/>
  <c r="M64" i="2"/>
  <c r="M53" i="2"/>
  <c r="T53" i="2" s="1"/>
  <c r="M52" i="2"/>
  <c r="M39" i="2"/>
  <c r="T39" i="2" s="1"/>
  <c r="M38" i="2"/>
  <c r="T38" i="2" s="1"/>
  <c r="M33" i="2"/>
  <c r="T33" i="2" s="1"/>
  <c r="M32" i="2"/>
  <c r="T32" i="2" s="1"/>
  <c r="M31" i="2"/>
  <c r="T31" i="2" s="1"/>
  <c r="M19" i="2"/>
  <c r="M12" i="2"/>
  <c r="I135" i="2"/>
  <c r="N135" i="2" s="1"/>
  <c r="I119" i="2"/>
  <c r="P119" i="2" s="1"/>
  <c r="I118" i="2"/>
  <c r="I117" i="2"/>
  <c r="P117" i="2" s="1"/>
  <c r="I116" i="2"/>
  <c r="P116" i="2" s="1"/>
  <c r="I115" i="2"/>
  <c r="P115" i="2" s="1"/>
  <c r="I114" i="2"/>
  <c r="P114" i="2" s="1"/>
  <c r="I113" i="2"/>
  <c r="P113" i="2" s="1"/>
  <c r="I108" i="2"/>
  <c r="I97" i="2"/>
  <c r="I96" i="2"/>
  <c r="I95" i="2"/>
  <c r="I94" i="2"/>
  <c r="P94" i="2" s="1"/>
  <c r="I83" i="2"/>
  <c r="N83" i="2" s="1"/>
  <c r="I81" i="2"/>
  <c r="I79" i="2"/>
  <c r="I78" i="2"/>
  <c r="P78" i="2" s="1"/>
  <c r="I77" i="2"/>
  <c r="P77" i="2" s="1"/>
  <c r="I76" i="2"/>
  <c r="P76" i="2" s="1"/>
  <c r="I74" i="2"/>
  <c r="P74" i="2" s="1"/>
  <c r="I73" i="2"/>
  <c r="I58" i="2"/>
  <c r="P58" i="2" s="1"/>
  <c r="I56" i="2"/>
  <c r="I38" i="2"/>
  <c r="P38" i="2" s="1"/>
  <c r="I37" i="2"/>
  <c r="N37" i="2" s="1"/>
  <c r="I36" i="2"/>
  <c r="P36" i="2" s="1"/>
  <c r="I35" i="2"/>
  <c r="P35" i="2" s="1"/>
  <c r="I34" i="2"/>
  <c r="P34" i="2" s="1"/>
  <c r="I33" i="2"/>
  <c r="I19" i="2"/>
  <c r="N19" i="2" s="1"/>
  <c r="I18" i="2"/>
  <c r="P18" i="2" s="1"/>
  <c r="I16" i="2"/>
  <c r="P16" i="2" s="1"/>
  <c r="H135" i="2"/>
  <c r="H132" i="2"/>
  <c r="O132" i="2" s="1"/>
  <c r="H119" i="2"/>
  <c r="O119" i="2" s="1"/>
  <c r="H118" i="2"/>
  <c r="O118" i="2" s="1"/>
  <c r="H117" i="2"/>
  <c r="O117" i="2" s="1"/>
  <c r="H116" i="2"/>
  <c r="O116" i="2" s="1"/>
  <c r="H115" i="2"/>
  <c r="H114" i="2"/>
  <c r="N114" i="2" s="1"/>
  <c r="H113" i="2"/>
  <c r="H112" i="2"/>
  <c r="H111" i="2"/>
  <c r="H108" i="2"/>
  <c r="H98" i="2"/>
  <c r="H97" i="2"/>
  <c r="H96" i="2"/>
  <c r="N96" i="2" s="1"/>
  <c r="H95" i="2"/>
  <c r="O95" i="2" s="1"/>
  <c r="H94" i="2"/>
  <c r="N94" i="2" s="1"/>
  <c r="H81" i="2"/>
  <c r="H79" i="2"/>
  <c r="H78" i="2"/>
  <c r="N78" i="2" s="1"/>
  <c r="H77" i="2"/>
  <c r="N77" i="2" s="1"/>
  <c r="H76" i="2"/>
  <c r="H74" i="2"/>
  <c r="O74" i="2" s="1"/>
  <c r="H72" i="2"/>
  <c r="O72" i="2" s="1"/>
  <c r="H57" i="2"/>
  <c r="H56" i="2"/>
  <c r="O56" i="2" s="1"/>
  <c r="H55" i="2"/>
  <c r="O55" i="2" s="1"/>
  <c r="H53" i="2"/>
  <c r="O53" i="2" s="1"/>
  <c r="H38" i="2"/>
  <c r="H37" i="2"/>
  <c r="H36" i="2"/>
  <c r="O36" i="2" s="1"/>
  <c r="H35" i="2"/>
  <c r="O35" i="2" s="1"/>
  <c r="H34" i="2"/>
  <c r="H33" i="2"/>
  <c r="H32" i="2"/>
  <c r="O32" i="2" s="1"/>
  <c r="H19" i="2"/>
  <c r="O19" i="2" s="1"/>
  <c r="H18" i="2"/>
  <c r="O18" i="2" s="1"/>
  <c r="H16" i="2"/>
  <c r="O16" i="2" s="1"/>
  <c r="D135" i="2"/>
  <c r="M135" i="2" s="1"/>
  <c r="D134" i="2"/>
  <c r="I134" i="2" s="1"/>
  <c r="P134" i="2" s="1"/>
  <c r="D133" i="2"/>
  <c r="H133" i="2" s="1"/>
  <c r="D132" i="2"/>
  <c r="I132" i="2" s="1"/>
  <c r="D131" i="2"/>
  <c r="D130" i="2"/>
  <c r="D129" i="2"/>
  <c r="M129" i="2" s="1"/>
  <c r="T129" i="2" s="1"/>
  <c r="D128" i="2"/>
  <c r="I128" i="2" s="1"/>
  <c r="P128" i="2" s="1"/>
  <c r="D127" i="2"/>
  <c r="D126" i="2"/>
  <c r="M126" i="2" s="1"/>
  <c r="T126" i="2" s="1"/>
  <c r="D125" i="2"/>
  <c r="I125" i="2" s="1"/>
  <c r="P125" i="2" s="1"/>
  <c r="D124" i="2"/>
  <c r="D123" i="2"/>
  <c r="D122" i="2"/>
  <c r="D121" i="2"/>
  <c r="D120" i="2"/>
  <c r="I120" i="2" s="1"/>
  <c r="P120" i="2" s="1"/>
  <c r="D119" i="2"/>
  <c r="M119" i="2" s="1"/>
  <c r="D118" i="2"/>
  <c r="M118" i="2" s="1"/>
  <c r="T118" i="2" s="1"/>
  <c r="D117" i="2"/>
  <c r="M117" i="2" s="1"/>
  <c r="T117" i="2" s="1"/>
  <c r="D116" i="2"/>
  <c r="M116" i="2" s="1"/>
  <c r="D115" i="2"/>
  <c r="M115" i="2" s="1"/>
  <c r="D114" i="2"/>
  <c r="M114" i="2" s="1"/>
  <c r="D113" i="2"/>
  <c r="M113" i="2" s="1"/>
  <c r="D112" i="2"/>
  <c r="I112" i="2" s="1"/>
  <c r="D111" i="2"/>
  <c r="D110" i="2"/>
  <c r="H110" i="2" s="1"/>
  <c r="D109" i="2"/>
  <c r="D108" i="2"/>
  <c r="D107" i="2"/>
  <c r="D106" i="2"/>
  <c r="D105" i="2"/>
  <c r="D104" i="2"/>
  <c r="D103" i="2"/>
  <c r="D102" i="2"/>
  <c r="D101" i="2"/>
  <c r="M101" i="2" s="1"/>
  <c r="T101" i="2" s="1"/>
  <c r="D100" i="2"/>
  <c r="D99" i="2"/>
  <c r="I99" i="2" s="1"/>
  <c r="D98" i="2"/>
  <c r="I98" i="2" s="1"/>
  <c r="D97" i="2"/>
  <c r="M97" i="2" s="1"/>
  <c r="D96" i="2"/>
  <c r="M96" i="2" s="1"/>
  <c r="D95" i="2"/>
  <c r="M95" i="2" s="1"/>
  <c r="T95" i="2" s="1"/>
  <c r="D94" i="2"/>
  <c r="M94" i="2" s="1"/>
  <c r="D93" i="2"/>
  <c r="D92" i="2"/>
  <c r="I92" i="2" s="1"/>
  <c r="D91" i="2"/>
  <c r="D90" i="2"/>
  <c r="D89" i="2"/>
  <c r="D88" i="2"/>
  <c r="D87" i="2"/>
  <c r="M87" i="2" s="1"/>
  <c r="T87" i="2" s="1"/>
  <c r="D86" i="2"/>
  <c r="D85" i="2"/>
  <c r="D84" i="2"/>
  <c r="D83" i="2"/>
  <c r="H83" i="2" s="1"/>
  <c r="O83" i="2" s="1"/>
  <c r="D82" i="2"/>
  <c r="H82" i="2" s="1"/>
  <c r="O82" i="2" s="1"/>
  <c r="D81" i="2"/>
  <c r="D80" i="2"/>
  <c r="D79" i="2"/>
  <c r="D78" i="2"/>
  <c r="M78" i="2" s="1"/>
  <c r="D77" i="2"/>
  <c r="M77" i="2" s="1"/>
  <c r="T77" i="2" s="1"/>
  <c r="D76" i="2"/>
  <c r="M76" i="2" s="1"/>
  <c r="D75" i="2"/>
  <c r="M75" i="2" s="1"/>
  <c r="T75" i="2" s="1"/>
  <c r="D74" i="2"/>
  <c r="M74" i="2" s="1"/>
  <c r="T74" i="2" s="1"/>
  <c r="D73" i="2"/>
  <c r="M73" i="2" s="1"/>
  <c r="D72" i="2"/>
  <c r="I72" i="2" s="1"/>
  <c r="P72" i="2" s="1"/>
  <c r="D71" i="2"/>
  <c r="D70" i="2"/>
  <c r="D69" i="2"/>
  <c r="D68" i="2"/>
  <c r="D67" i="2"/>
  <c r="D66" i="2"/>
  <c r="H66" i="2" s="1"/>
  <c r="D65" i="2"/>
  <c r="D64" i="2"/>
  <c r="H64" i="2" s="1"/>
  <c r="O64" i="2" s="1"/>
  <c r="D63" i="2"/>
  <c r="D62" i="2"/>
  <c r="H62" i="2" s="1"/>
  <c r="O62" i="2" s="1"/>
  <c r="D61" i="2"/>
  <c r="D60" i="2"/>
  <c r="D59" i="2"/>
  <c r="I59" i="2" s="1"/>
  <c r="D58" i="2"/>
  <c r="H58" i="2" s="1"/>
  <c r="O58" i="2" s="1"/>
  <c r="D57" i="2"/>
  <c r="M57" i="2" s="1"/>
  <c r="D56" i="2"/>
  <c r="M56" i="2" s="1"/>
  <c r="D55" i="2"/>
  <c r="M55" i="2" s="1"/>
  <c r="D54" i="2"/>
  <c r="M54" i="2" s="1"/>
  <c r="D53" i="2"/>
  <c r="I53" i="2" s="1"/>
  <c r="P53" i="2" s="1"/>
  <c r="D52" i="2"/>
  <c r="I52" i="2" s="1"/>
  <c r="D51" i="2"/>
  <c r="D50" i="2"/>
  <c r="D49" i="2"/>
  <c r="D48" i="2"/>
  <c r="D47" i="2"/>
  <c r="D46" i="2"/>
  <c r="D45" i="2"/>
  <c r="I45" i="2" s="1"/>
  <c r="P45" i="2" s="1"/>
  <c r="D44" i="2"/>
  <c r="M44" i="2" s="1"/>
  <c r="T44" i="2" s="1"/>
  <c r="D43" i="2"/>
  <c r="M43" i="2" s="1"/>
  <c r="T43" i="2" s="1"/>
  <c r="D42" i="2"/>
  <c r="H42" i="2" s="1"/>
  <c r="D41" i="2"/>
  <c r="D40" i="2"/>
  <c r="D39" i="2"/>
  <c r="H39" i="2" s="1"/>
  <c r="O39" i="2" s="1"/>
  <c r="D38" i="2"/>
  <c r="D37" i="2"/>
  <c r="M37" i="2" s="1"/>
  <c r="D36" i="2"/>
  <c r="M36" i="2" s="1"/>
  <c r="D35" i="2"/>
  <c r="M35" i="2" s="1"/>
  <c r="D34" i="2"/>
  <c r="M34" i="2" s="1"/>
  <c r="D33" i="2"/>
  <c r="D32" i="2"/>
  <c r="I32" i="2" s="1"/>
  <c r="D31" i="2"/>
  <c r="I31" i="2" s="1"/>
  <c r="P31" i="2" s="1"/>
  <c r="D30" i="2"/>
  <c r="I30" i="2" s="1"/>
  <c r="P30" i="2" s="1"/>
  <c r="D29" i="2"/>
  <c r="D28" i="2"/>
  <c r="M28" i="2" s="1"/>
  <c r="T28" i="2" s="1"/>
  <c r="D27" i="2"/>
  <c r="D26" i="2"/>
  <c r="D25" i="2"/>
  <c r="M25" i="2" s="1"/>
  <c r="T25" i="2" s="1"/>
  <c r="D24" i="2"/>
  <c r="D23" i="2"/>
  <c r="D22" i="2"/>
  <c r="D21" i="2"/>
  <c r="M21" i="2" s="1"/>
  <c r="T21" i="2" s="1"/>
  <c r="D20" i="2"/>
  <c r="D19" i="2"/>
  <c r="D18" i="2"/>
  <c r="M18" i="2" s="1"/>
  <c r="T18" i="2" s="1"/>
  <c r="D17" i="2"/>
  <c r="M17" i="2" s="1"/>
  <c r="D16" i="2"/>
  <c r="M16" i="2" s="1"/>
  <c r="D15" i="2"/>
  <c r="M15" i="2" s="1"/>
  <c r="T15" i="2" s="1"/>
  <c r="D14" i="2"/>
  <c r="M14" i="2" s="1"/>
  <c r="D13" i="2"/>
  <c r="D12" i="2"/>
  <c r="I12" i="2" s="1"/>
  <c r="D11" i="2"/>
  <c r="D10" i="2"/>
  <c r="D9" i="2"/>
  <c r="D8" i="2"/>
  <c r="D7" i="2"/>
  <c r="D6" i="2"/>
  <c r="H6" i="2" s="1"/>
  <c r="O6" i="2" s="1"/>
  <c r="D5" i="2"/>
  <c r="D4" i="2"/>
  <c r="D3" i="2"/>
  <c r="D2" i="2"/>
  <c r="N184" i="4"/>
  <c r="N188" i="4"/>
  <c r="N66" i="4"/>
  <c r="N164" i="4"/>
  <c r="N70" i="4"/>
  <c r="N124" i="4"/>
  <c r="N10" i="4"/>
  <c r="N47" i="4"/>
  <c r="N48" i="4"/>
  <c r="O53" i="4"/>
  <c r="O66" i="4"/>
  <c r="O164" i="4"/>
  <c r="O87" i="4"/>
  <c r="O3" i="4"/>
  <c r="O165" i="4"/>
  <c r="O166" i="4"/>
  <c r="O68" i="4"/>
  <c r="O191" i="4"/>
  <c r="O70" i="4"/>
  <c r="O71" i="4"/>
  <c r="O192" i="4"/>
  <c r="O171" i="4"/>
  <c r="O125" i="4"/>
  <c r="O10" i="4"/>
  <c r="O130" i="4"/>
  <c r="O11" i="4"/>
  <c r="O47" i="4"/>
  <c r="O131" i="4"/>
  <c r="O13" i="4"/>
  <c r="P184" i="4"/>
  <c r="P104" i="4"/>
  <c r="P107" i="4"/>
  <c r="P188" i="4"/>
  <c r="P66" i="4"/>
  <c r="P67" i="4"/>
  <c r="P166" i="4"/>
  <c r="P71" i="4"/>
  <c r="P45" i="4"/>
  <c r="P124" i="4"/>
  <c r="P74" i="4"/>
  <c r="P125" i="4"/>
  <c r="P10" i="4"/>
  <c r="P130" i="4"/>
  <c r="P11" i="4"/>
  <c r="P47" i="4"/>
  <c r="P48" i="4"/>
  <c r="P12" i="4"/>
  <c r="P61" i="4"/>
  <c r="P152" i="4"/>
  <c r="P142" i="4"/>
  <c r="Q154" i="4"/>
  <c r="Q95" i="4"/>
  <c r="Q64" i="4"/>
  <c r="Q96" i="4"/>
  <c r="Q50" i="4"/>
  <c r="Q155" i="4"/>
  <c r="Q51" i="4"/>
  <c r="Q145" i="4"/>
  <c r="Q2" i="4"/>
  <c r="Q156" i="4"/>
  <c r="Q180" i="4"/>
  <c r="Q157" i="4"/>
  <c r="Q97" i="4"/>
  <c r="Q20" i="4"/>
  <c r="Q52" i="4"/>
  <c r="Q21" i="4"/>
  <c r="Q134" i="4"/>
  <c r="Q98" i="4"/>
  <c r="Q181" i="4"/>
  <c r="Q135" i="4"/>
  <c r="Q22" i="4"/>
  <c r="Q99" i="4"/>
  <c r="Q158" i="4"/>
  <c r="Q100" i="4"/>
  <c r="Q101" i="4"/>
  <c r="Q53" i="4"/>
  <c r="Q102" i="4"/>
  <c r="Q28" i="4"/>
  <c r="Q159" i="4"/>
  <c r="Q160" i="4"/>
  <c r="Q182" i="4"/>
  <c r="Q103" i="4"/>
  <c r="Q183" i="4"/>
  <c r="Q184" i="4"/>
  <c r="Q104" i="4"/>
  <c r="Q105" i="4"/>
  <c r="Q29" i="4"/>
  <c r="Q106" i="4"/>
  <c r="Q136" i="4"/>
  <c r="Q86" i="4"/>
  <c r="Q161" i="4"/>
  <c r="Q185" i="4"/>
  <c r="Q162" i="4"/>
  <c r="Q65" i="4"/>
  <c r="Q146" i="4"/>
  <c r="Q30" i="4"/>
  <c r="Q186" i="4"/>
  <c r="Q107" i="4"/>
  <c r="Q187" i="4"/>
  <c r="Q188" i="4"/>
  <c r="Q31" i="4"/>
  <c r="Q147" i="4"/>
  <c r="Q108" i="4"/>
  <c r="Q32" i="4"/>
  <c r="Q66" i="4"/>
  <c r="Q23" i="4"/>
  <c r="Q109" i="4"/>
  <c r="Q33" i="4"/>
  <c r="Q163" i="4"/>
  <c r="Q164" i="4"/>
  <c r="Q87" i="4"/>
  <c r="Q34" i="4"/>
  <c r="Q54" i="4"/>
  <c r="Q189" i="4"/>
  <c r="Q110" i="4"/>
  <c r="Q111" i="4"/>
  <c r="Q112" i="4"/>
  <c r="Q113" i="4"/>
  <c r="Q114" i="4"/>
  <c r="Q35" i="4"/>
  <c r="Q67" i="4"/>
  <c r="Q36" i="4"/>
  <c r="Q3" i="4"/>
  <c r="Q115" i="4"/>
  <c r="Q37" i="4"/>
  <c r="Q200" i="4"/>
  <c r="Q55" i="4"/>
  <c r="Q165" i="4"/>
  <c r="Q166" i="4"/>
  <c r="Q24" i="4"/>
  <c r="Q68" i="4"/>
  <c r="Q56" i="4"/>
  <c r="Q190" i="4"/>
  <c r="Q191" i="4"/>
  <c r="Q38" i="4"/>
  <c r="Q4" i="4"/>
  <c r="Q116" i="4"/>
  <c r="Q39" i="4"/>
  <c r="Q25" i="4"/>
  <c r="Q69" i="4"/>
  <c r="Q5" i="4"/>
  <c r="Q167" i="4"/>
  <c r="Q117" i="4"/>
  <c r="Q137" i="4"/>
  <c r="Q40" i="4"/>
  <c r="Q118" i="4"/>
  <c r="Q70" i="4"/>
  <c r="Q168" i="4"/>
  <c r="Q26" i="4"/>
  <c r="Q41" i="4"/>
  <c r="Q169" i="4"/>
  <c r="Q119" i="4"/>
  <c r="Q57" i="4"/>
  <c r="Q58" i="4"/>
  <c r="Q6" i="4"/>
  <c r="Q71" i="4"/>
  <c r="Q120" i="4"/>
  <c r="Q42" i="4"/>
  <c r="Q170" i="4"/>
  <c r="Q72" i="4"/>
  <c r="Q121" i="4"/>
  <c r="Q43" i="4"/>
  <c r="Q44" i="4"/>
  <c r="Q73" i="4"/>
  <c r="Q7" i="4"/>
  <c r="Q122" i="4"/>
  <c r="Q123" i="4"/>
  <c r="Q148" i="4"/>
  <c r="Q59" i="4"/>
  <c r="Q192" i="4"/>
  <c r="Q45" i="4"/>
  <c r="Q88" i="4"/>
  <c r="Q149" i="4"/>
  <c r="Q17" i="4"/>
  <c r="Q171" i="4"/>
  <c r="Q124" i="4"/>
  <c r="Q193" i="4"/>
  <c r="Q74" i="4"/>
  <c r="Q125" i="4"/>
  <c r="Q8" i="4"/>
  <c r="Q126" i="4"/>
  <c r="Q194" i="4"/>
  <c r="Q127" i="4"/>
  <c r="Q195" i="4"/>
  <c r="Q46" i="4"/>
  <c r="Q128" i="4"/>
  <c r="Q196" i="4"/>
  <c r="Q172" i="4"/>
  <c r="Q75" i="4"/>
  <c r="Q138" i="4"/>
  <c r="Q173" i="4"/>
  <c r="Q129" i="4"/>
  <c r="Q150" i="4"/>
  <c r="Q151" i="4"/>
  <c r="Q139" i="4"/>
  <c r="Q76" i="4"/>
  <c r="Q77" i="4"/>
  <c r="Q78" i="4"/>
  <c r="Q174" i="4"/>
  <c r="Q9" i="4"/>
  <c r="Q79" i="4"/>
  <c r="Q80" i="4"/>
  <c r="Q175" i="4"/>
  <c r="Q10" i="4"/>
  <c r="Q81" i="4"/>
  <c r="Q130" i="4"/>
  <c r="Q89" i="4"/>
  <c r="Q11" i="4"/>
  <c r="Q197" i="4"/>
  <c r="Q176" i="4"/>
  <c r="Q47" i="4"/>
  <c r="Q60" i="4"/>
  <c r="Q48" i="4"/>
  <c r="Q82" i="4"/>
  <c r="Q12" i="4"/>
  <c r="Q177" i="4"/>
  <c r="Q131" i="4"/>
  <c r="Q178" i="4"/>
  <c r="Q83" i="4"/>
  <c r="Q61" i="4"/>
  <c r="Q140" i="4"/>
  <c r="Q132" i="4"/>
  <c r="Q152" i="4"/>
  <c r="Q49" i="4"/>
  <c r="Q133" i="4"/>
  <c r="Q84" i="4"/>
  <c r="Q13" i="4"/>
  <c r="Q90" i="4"/>
  <c r="Q14" i="4"/>
  <c r="Q18" i="4"/>
  <c r="Q19" i="4"/>
  <c r="Q27" i="4"/>
  <c r="Q91" i="4"/>
  <c r="Q15" i="4"/>
  <c r="Q179" i="4"/>
  <c r="Q198" i="4"/>
  <c r="Q92" i="4"/>
  <c r="Q93" i="4"/>
  <c r="Q62" i="4"/>
  <c r="Q94" i="4"/>
  <c r="Q201" i="4"/>
  <c r="Q153" i="4"/>
  <c r="Q141" i="4"/>
  <c r="Q63" i="4"/>
  <c r="Q142" i="4"/>
  <c r="Q16" i="4"/>
  <c r="Q143" i="4"/>
  <c r="Q144" i="4"/>
  <c r="Q85" i="4"/>
  <c r="Q199" i="4"/>
  <c r="R154" i="4"/>
  <c r="R95" i="4"/>
  <c r="R64" i="4"/>
  <c r="R96" i="4"/>
  <c r="R50" i="4"/>
  <c r="R155" i="4"/>
  <c r="R51" i="4"/>
  <c r="R145" i="4"/>
  <c r="R2" i="4"/>
  <c r="R156" i="4"/>
  <c r="R180" i="4"/>
  <c r="R157" i="4"/>
  <c r="R97" i="4"/>
  <c r="R20" i="4"/>
  <c r="R52" i="4"/>
  <c r="R21" i="4"/>
  <c r="R134" i="4"/>
  <c r="R98" i="4"/>
  <c r="R181" i="4"/>
  <c r="R135" i="4"/>
  <c r="R22" i="4"/>
  <c r="R99" i="4"/>
  <c r="R158" i="4"/>
  <c r="R100" i="4"/>
  <c r="R101" i="4"/>
  <c r="R53" i="4"/>
  <c r="R102" i="4"/>
  <c r="R28" i="4"/>
  <c r="R159" i="4"/>
  <c r="R160" i="4"/>
  <c r="R182" i="4"/>
  <c r="R103" i="4"/>
  <c r="R183" i="4"/>
  <c r="R184" i="4"/>
  <c r="R104" i="4"/>
  <c r="R105" i="4"/>
  <c r="R29" i="4"/>
  <c r="R106" i="4"/>
  <c r="R136" i="4"/>
  <c r="R86" i="4"/>
  <c r="R161" i="4"/>
  <c r="R185" i="4"/>
  <c r="R162" i="4"/>
  <c r="R65" i="4"/>
  <c r="R146" i="4"/>
  <c r="R30" i="4"/>
  <c r="R186" i="4"/>
  <c r="R107" i="4"/>
  <c r="R187" i="4"/>
  <c r="R188" i="4"/>
  <c r="R31" i="4"/>
  <c r="R147" i="4"/>
  <c r="R108" i="4"/>
  <c r="R32" i="4"/>
  <c r="R66" i="4"/>
  <c r="R23" i="4"/>
  <c r="R109" i="4"/>
  <c r="R33" i="4"/>
  <c r="R163" i="4"/>
  <c r="R164" i="4"/>
  <c r="R87" i="4"/>
  <c r="R34" i="4"/>
  <c r="R54" i="4"/>
  <c r="R189" i="4"/>
  <c r="R110" i="4"/>
  <c r="R111" i="4"/>
  <c r="R112" i="4"/>
  <c r="R113" i="4"/>
  <c r="R114" i="4"/>
  <c r="R35" i="4"/>
  <c r="R67" i="4"/>
  <c r="R36" i="4"/>
  <c r="R3" i="4"/>
  <c r="R115" i="4"/>
  <c r="R37" i="4"/>
  <c r="R200" i="4"/>
  <c r="R55" i="4"/>
  <c r="R165" i="4"/>
  <c r="R166" i="4"/>
  <c r="R24" i="4"/>
  <c r="R68" i="4"/>
  <c r="R56" i="4"/>
  <c r="R190" i="4"/>
  <c r="R191" i="4"/>
  <c r="R38" i="4"/>
  <c r="R4" i="4"/>
  <c r="R116" i="4"/>
  <c r="R39" i="4"/>
  <c r="R25" i="4"/>
  <c r="R69" i="4"/>
  <c r="R5" i="4"/>
  <c r="R167" i="4"/>
  <c r="R117" i="4"/>
  <c r="R137" i="4"/>
  <c r="R40" i="4"/>
  <c r="R118" i="4"/>
  <c r="R70" i="4"/>
  <c r="R168" i="4"/>
  <c r="R26" i="4"/>
  <c r="R41" i="4"/>
  <c r="R169" i="4"/>
  <c r="R119" i="4"/>
  <c r="R57" i="4"/>
  <c r="R58" i="4"/>
  <c r="R6" i="4"/>
  <c r="R71" i="4"/>
  <c r="R120" i="4"/>
  <c r="R42" i="4"/>
  <c r="R170" i="4"/>
  <c r="R72" i="4"/>
  <c r="R121" i="4"/>
  <c r="R43" i="4"/>
  <c r="R44" i="4"/>
  <c r="R73" i="4"/>
  <c r="R7" i="4"/>
  <c r="R122" i="4"/>
  <c r="R123" i="4"/>
  <c r="R148" i="4"/>
  <c r="R59" i="4"/>
  <c r="R192" i="4"/>
  <c r="R45" i="4"/>
  <c r="R88" i="4"/>
  <c r="R149" i="4"/>
  <c r="R17" i="4"/>
  <c r="R171" i="4"/>
  <c r="R124" i="4"/>
  <c r="R193" i="4"/>
  <c r="R74" i="4"/>
  <c r="R125" i="4"/>
  <c r="R8" i="4"/>
  <c r="R126" i="4"/>
  <c r="R194" i="4"/>
  <c r="R127" i="4"/>
  <c r="R195" i="4"/>
  <c r="R46" i="4"/>
  <c r="R128" i="4"/>
  <c r="R196" i="4"/>
  <c r="R172" i="4"/>
  <c r="R75" i="4"/>
  <c r="R138" i="4"/>
  <c r="R173" i="4"/>
  <c r="R129" i="4"/>
  <c r="R150" i="4"/>
  <c r="R151" i="4"/>
  <c r="R139" i="4"/>
  <c r="R76" i="4"/>
  <c r="R77" i="4"/>
  <c r="R78" i="4"/>
  <c r="R174" i="4"/>
  <c r="R9" i="4"/>
  <c r="R79" i="4"/>
  <c r="R80" i="4"/>
  <c r="R175" i="4"/>
  <c r="R10" i="4"/>
  <c r="R81" i="4"/>
  <c r="R130" i="4"/>
  <c r="R89" i="4"/>
  <c r="R11" i="4"/>
  <c r="R197" i="4"/>
  <c r="R176" i="4"/>
  <c r="R47" i="4"/>
  <c r="R60" i="4"/>
  <c r="R48" i="4"/>
  <c r="R82" i="4"/>
  <c r="R12" i="4"/>
  <c r="R177" i="4"/>
  <c r="R131" i="4"/>
  <c r="R178" i="4"/>
  <c r="R83" i="4"/>
  <c r="R61" i="4"/>
  <c r="R140" i="4"/>
  <c r="R132" i="4"/>
  <c r="R152" i="4"/>
  <c r="R49" i="4"/>
  <c r="R133" i="4"/>
  <c r="R84" i="4"/>
  <c r="R13" i="4"/>
  <c r="R90" i="4"/>
  <c r="R14" i="4"/>
  <c r="R18" i="4"/>
  <c r="R19" i="4"/>
  <c r="R27" i="4"/>
  <c r="R91" i="4"/>
  <c r="R15" i="4"/>
  <c r="R179" i="4"/>
  <c r="R198" i="4"/>
  <c r="R92" i="4"/>
  <c r="R93" i="4"/>
  <c r="R62" i="4"/>
  <c r="R94" i="4"/>
  <c r="R201" i="4"/>
  <c r="R153" i="4"/>
  <c r="R141" i="4"/>
  <c r="R63" i="4"/>
  <c r="R142" i="4"/>
  <c r="R16" i="4"/>
  <c r="R143" i="4"/>
  <c r="R144" i="4"/>
  <c r="R85" i="4"/>
  <c r="R199" i="4"/>
  <c r="S154" i="4"/>
  <c r="S95" i="4"/>
  <c r="S64" i="4"/>
  <c r="S96" i="4"/>
  <c r="S50" i="4"/>
  <c r="S155" i="4"/>
  <c r="S51" i="4"/>
  <c r="S145" i="4"/>
  <c r="S2" i="4"/>
  <c r="S156" i="4"/>
  <c r="S180" i="4"/>
  <c r="S157" i="4"/>
  <c r="S97" i="4"/>
  <c r="S20" i="4"/>
  <c r="S52" i="4"/>
  <c r="S21" i="4"/>
  <c r="S134" i="4"/>
  <c r="S98" i="4"/>
  <c r="S181" i="4"/>
  <c r="S135" i="4"/>
  <c r="S22" i="4"/>
  <c r="S99" i="4"/>
  <c r="S158" i="4"/>
  <c r="S100" i="4"/>
  <c r="S101" i="4"/>
  <c r="S53" i="4"/>
  <c r="S102" i="4"/>
  <c r="S28" i="4"/>
  <c r="S159" i="4"/>
  <c r="S160" i="4"/>
  <c r="S182" i="4"/>
  <c r="S103" i="4"/>
  <c r="S183" i="4"/>
  <c r="S184" i="4"/>
  <c r="S104" i="4"/>
  <c r="S105" i="4"/>
  <c r="S29" i="4"/>
  <c r="S106" i="4"/>
  <c r="S136" i="4"/>
  <c r="S86" i="4"/>
  <c r="S161" i="4"/>
  <c r="S185" i="4"/>
  <c r="S162" i="4"/>
  <c r="S65" i="4"/>
  <c r="S146" i="4"/>
  <c r="S30" i="4"/>
  <c r="S186" i="4"/>
  <c r="S107" i="4"/>
  <c r="S187" i="4"/>
  <c r="S188" i="4"/>
  <c r="S31" i="4"/>
  <c r="S147" i="4"/>
  <c r="S108" i="4"/>
  <c r="S32" i="4"/>
  <c r="S66" i="4"/>
  <c r="S23" i="4"/>
  <c r="S109" i="4"/>
  <c r="S33" i="4"/>
  <c r="S163" i="4"/>
  <c r="S164" i="4"/>
  <c r="S87" i="4"/>
  <c r="S34" i="4"/>
  <c r="S54" i="4"/>
  <c r="S189" i="4"/>
  <c r="S110" i="4"/>
  <c r="S111" i="4"/>
  <c r="S112" i="4"/>
  <c r="S113" i="4"/>
  <c r="S114" i="4"/>
  <c r="S35" i="4"/>
  <c r="S67" i="4"/>
  <c r="S36" i="4"/>
  <c r="S3" i="4"/>
  <c r="S115" i="4"/>
  <c r="S37" i="4"/>
  <c r="S200" i="4"/>
  <c r="S55" i="4"/>
  <c r="S165" i="4"/>
  <c r="S166" i="4"/>
  <c r="S24" i="4"/>
  <c r="S68" i="4"/>
  <c r="S56" i="4"/>
  <c r="S190" i="4"/>
  <c r="S191" i="4"/>
  <c r="S38" i="4"/>
  <c r="S4" i="4"/>
  <c r="S116" i="4"/>
  <c r="S39" i="4"/>
  <c r="S25" i="4"/>
  <c r="S69" i="4"/>
  <c r="S5" i="4"/>
  <c r="S167" i="4"/>
  <c r="S117" i="4"/>
  <c r="S137" i="4"/>
  <c r="S40" i="4"/>
  <c r="S118" i="4"/>
  <c r="S70" i="4"/>
  <c r="S168" i="4"/>
  <c r="S26" i="4"/>
  <c r="S41" i="4"/>
  <c r="S169" i="4"/>
  <c r="S119" i="4"/>
  <c r="S57" i="4"/>
  <c r="S58" i="4"/>
  <c r="S6" i="4"/>
  <c r="S71" i="4"/>
  <c r="S120" i="4"/>
  <c r="S42" i="4"/>
  <c r="S170" i="4"/>
  <c r="S72" i="4"/>
  <c r="S121" i="4"/>
  <c r="S43" i="4"/>
  <c r="S44" i="4"/>
  <c r="S73" i="4"/>
  <c r="S7" i="4"/>
  <c r="S122" i="4"/>
  <c r="S123" i="4"/>
  <c r="S148" i="4"/>
  <c r="S59" i="4"/>
  <c r="S192" i="4"/>
  <c r="S45" i="4"/>
  <c r="S88" i="4"/>
  <c r="S149" i="4"/>
  <c r="S17" i="4"/>
  <c r="S171" i="4"/>
  <c r="S124" i="4"/>
  <c r="S193" i="4"/>
  <c r="S74" i="4"/>
  <c r="S125" i="4"/>
  <c r="S8" i="4"/>
  <c r="S126" i="4"/>
  <c r="S194" i="4"/>
  <c r="S127" i="4"/>
  <c r="S195" i="4"/>
  <c r="S46" i="4"/>
  <c r="S128" i="4"/>
  <c r="S196" i="4"/>
  <c r="S172" i="4"/>
  <c r="S75" i="4"/>
  <c r="S138" i="4"/>
  <c r="S173" i="4"/>
  <c r="S129" i="4"/>
  <c r="S150" i="4"/>
  <c r="S151" i="4"/>
  <c r="S139" i="4"/>
  <c r="S76" i="4"/>
  <c r="S77" i="4"/>
  <c r="S78" i="4"/>
  <c r="S174" i="4"/>
  <c r="S9" i="4"/>
  <c r="S79" i="4"/>
  <c r="S80" i="4"/>
  <c r="S175" i="4"/>
  <c r="S10" i="4"/>
  <c r="S81" i="4"/>
  <c r="S130" i="4"/>
  <c r="S89" i="4"/>
  <c r="S11" i="4"/>
  <c r="S197" i="4"/>
  <c r="S176" i="4"/>
  <c r="S47" i="4"/>
  <c r="S60" i="4"/>
  <c r="S48" i="4"/>
  <c r="S82" i="4"/>
  <c r="S12" i="4"/>
  <c r="S177" i="4"/>
  <c r="S131" i="4"/>
  <c r="S178" i="4"/>
  <c r="S83" i="4"/>
  <c r="S61" i="4"/>
  <c r="S140" i="4"/>
  <c r="S132" i="4"/>
  <c r="S152" i="4"/>
  <c r="S49" i="4"/>
  <c r="S133" i="4"/>
  <c r="S84" i="4"/>
  <c r="S13" i="4"/>
  <c r="S90" i="4"/>
  <c r="S14" i="4"/>
  <c r="S18" i="4"/>
  <c r="S19" i="4"/>
  <c r="S27" i="4"/>
  <c r="S91" i="4"/>
  <c r="S15" i="4"/>
  <c r="S179" i="4"/>
  <c r="S198" i="4"/>
  <c r="S92" i="4"/>
  <c r="S93" i="4"/>
  <c r="S62" i="4"/>
  <c r="S94" i="4"/>
  <c r="S201" i="4"/>
  <c r="S153" i="4"/>
  <c r="S141" i="4"/>
  <c r="S63" i="4"/>
  <c r="S142" i="4"/>
  <c r="S16" i="4"/>
  <c r="S143" i="4"/>
  <c r="S144" i="4"/>
  <c r="S85" i="4"/>
  <c r="S199" i="4"/>
  <c r="T154" i="4"/>
  <c r="T95" i="4"/>
  <c r="T64" i="4"/>
  <c r="T96" i="4"/>
  <c r="T145" i="4"/>
  <c r="T97" i="4"/>
  <c r="T20" i="4"/>
  <c r="T98" i="4"/>
  <c r="T28" i="4"/>
  <c r="T184" i="4"/>
  <c r="T136" i="4"/>
  <c r="T65" i="4"/>
  <c r="T188" i="4"/>
  <c r="T164" i="4"/>
  <c r="T87" i="4"/>
  <c r="T189" i="4"/>
  <c r="T111" i="4"/>
  <c r="T113" i="4"/>
  <c r="T36" i="4"/>
  <c r="T3" i="4"/>
  <c r="T115" i="4"/>
  <c r="T191" i="4"/>
  <c r="T38" i="4"/>
  <c r="T4" i="4"/>
  <c r="T116" i="4"/>
  <c r="T5" i="4"/>
  <c r="T117" i="4"/>
  <c r="T137" i="4"/>
  <c r="T70" i="4"/>
  <c r="T26" i="4"/>
  <c r="T169" i="4"/>
  <c r="T119" i="4"/>
  <c r="T57" i="4"/>
  <c r="T73" i="4"/>
  <c r="T7" i="4"/>
  <c r="T45" i="4"/>
  <c r="T149" i="4"/>
  <c r="T17" i="4"/>
  <c r="T124" i="4"/>
  <c r="T74" i="4"/>
  <c r="T125" i="4"/>
  <c r="T8" i="4"/>
  <c r="T126" i="4"/>
  <c r="T194" i="4"/>
  <c r="T127" i="4"/>
  <c r="T195" i="4"/>
  <c r="T129" i="4"/>
  <c r="T175" i="4"/>
  <c r="T81" i="4"/>
  <c r="T130" i="4"/>
  <c r="T11" i="4"/>
  <c r="T60" i="4"/>
  <c r="T48" i="4"/>
  <c r="T131" i="4"/>
  <c r="T178" i="4"/>
  <c r="T14" i="4"/>
  <c r="T18" i="4"/>
  <c r="T19" i="4"/>
  <c r="T27" i="4"/>
  <c r="T198" i="4"/>
  <c r="T142" i="4"/>
  <c r="T16" i="4"/>
  <c r="T144" i="4"/>
  <c r="N91" i="3"/>
  <c r="N68" i="3"/>
  <c r="N21" i="3"/>
  <c r="N130" i="3"/>
  <c r="N131" i="3"/>
  <c r="N124" i="3"/>
  <c r="N65" i="3"/>
  <c r="N49" i="3"/>
  <c r="N66" i="3"/>
  <c r="N17" i="3"/>
  <c r="O52" i="3"/>
  <c r="O21" i="3"/>
  <c r="O166" i="3"/>
  <c r="O130" i="3"/>
  <c r="O131" i="3"/>
  <c r="O88" i="3"/>
  <c r="O168" i="3"/>
  <c r="O129" i="3"/>
  <c r="O175" i="3"/>
  <c r="O3" i="3"/>
  <c r="O4" i="3"/>
  <c r="O150" i="3"/>
  <c r="O29" i="3"/>
  <c r="O30" i="3"/>
  <c r="O152" i="3"/>
  <c r="O153" i="3"/>
  <c r="O44" i="3"/>
  <c r="O118" i="3"/>
  <c r="O119" i="3"/>
  <c r="O123" i="3"/>
  <c r="O124" i="3"/>
  <c r="O65" i="3"/>
  <c r="O177" i="3"/>
  <c r="O161" i="3"/>
  <c r="O50" i="3"/>
  <c r="O126" i="3"/>
  <c r="O85" i="3"/>
  <c r="O51" i="3"/>
  <c r="O77" i="3"/>
  <c r="O86" i="3"/>
  <c r="P93" i="3"/>
  <c r="P94" i="3"/>
  <c r="P68" i="3"/>
  <c r="P21" i="3"/>
  <c r="P69" i="3"/>
  <c r="P70" i="3"/>
  <c r="P130" i="3"/>
  <c r="P131" i="3"/>
  <c r="P71" i="3"/>
  <c r="P167" i="3"/>
  <c r="P169" i="3"/>
  <c r="P170" i="3"/>
  <c r="P172" i="3"/>
  <c r="P173" i="3"/>
  <c r="P106" i="3"/>
  <c r="P25" i="3"/>
  <c r="P108" i="3"/>
  <c r="P109" i="3"/>
  <c r="P4" i="3"/>
  <c r="P133" i="3"/>
  <c r="P29" i="3"/>
  <c r="P30" i="3"/>
  <c r="P182" i="3"/>
  <c r="P117" i="3"/>
  <c r="P155" i="3"/>
  <c r="P122" i="3"/>
  <c r="P124" i="3"/>
  <c r="P65" i="3"/>
  <c r="P49" i="3"/>
  <c r="P177" i="3"/>
  <c r="P66" i="3"/>
  <c r="P50" i="3"/>
  <c r="P12" i="3"/>
  <c r="P77" i="3"/>
  <c r="P34" i="3"/>
  <c r="P17" i="3"/>
  <c r="P90" i="3"/>
  <c r="P87" i="3"/>
  <c r="P179" i="3"/>
  <c r="Q78" i="3"/>
  <c r="Q127" i="3"/>
  <c r="Q52" i="3"/>
  <c r="Q137" i="3"/>
  <c r="Q91" i="3"/>
  <c r="Q53" i="3"/>
  <c r="Q67" i="3"/>
  <c r="Q128" i="3"/>
  <c r="Q54" i="3"/>
  <c r="Q163" i="3"/>
  <c r="Q92" i="3"/>
  <c r="Q93" i="3"/>
  <c r="Q164" i="3"/>
  <c r="Q138" i="3"/>
  <c r="Q36" i="3"/>
  <c r="Q94" i="3"/>
  <c r="Q95" i="3"/>
  <c r="Q68" i="3"/>
  <c r="Q21" i="3"/>
  <c r="Q69" i="3"/>
  <c r="Q70" i="3"/>
  <c r="Q139" i="3"/>
  <c r="Q165" i="3"/>
  <c r="Q37" i="3"/>
  <c r="Q55" i="3"/>
  <c r="Q79" i="3"/>
  <c r="Q166" i="3"/>
  <c r="Q130" i="3"/>
  <c r="Q56" i="3"/>
  <c r="Q131" i="3"/>
  <c r="Q80" i="3"/>
  <c r="Q71" i="3"/>
  <c r="Q96" i="3"/>
  <c r="Q140" i="3"/>
  <c r="Q97" i="3"/>
  <c r="Q57" i="3"/>
  <c r="Q98" i="3"/>
  <c r="Q38" i="3"/>
  <c r="Q88" i="3"/>
  <c r="Q81" i="3"/>
  <c r="Q22" i="3"/>
  <c r="Q141" i="3"/>
  <c r="Q58" i="3"/>
  <c r="Q167" i="3"/>
  <c r="Q168" i="3"/>
  <c r="Q169" i="3"/>
  <c r="Q170" i="3"/>
  <c r="Q129" i="3"/>
  <c r="Q99" i="3"/>
  <c r="Q171" i="3"/>
  <c r="Q59" i="3"/>
  <c r="Q100" i="3"/>
  <c r="Q101" i="3"/>
  <c r="Q142" i="3"/>
  <c r="Q102" i="3"/>
  <c r="Q2" i="3"/>
  <c r="Q23" i="3"/>
  <c r="Q172" i="3"/>
  <c r="Q103" i="3"/>
  <c r="Q104" i="3"/>
  <c r="Q24" i="3"/>
  <c r="Q105" i="3"/>
  <c r="Q173" i="3"/>
  <c r="Q106" i="3"/>
  <c r="Q174" i="3"/>
  <c r="Q107" i="3"/>
  <c r="Q25" i="3"/>
  <c r="Q108" i="3"/>
  <c r="Q143" i="3"/>
  <c r="Q72" i="3"/>
  <c r="Q73" i="3"/>
  <c r="Q144" i="3"/>
  <c r="Q26" i="3"/>
  <c r="Q39" i="3"/>
  <c r="Q109" i="3"/>
  <c r="Q40" i="3"/>
  <c r="Q145" i="3"/>
  <c r="Q180" i="3"/>
  <c r="Q74" i="3"/>
  <c r="Q27" i="3"/>
  <c r="Q146" i="3"/>
  <c r="Q175" i="3"/>
  <c r="Q147" i="3"/>
  <c r="Q110" i="3"/>
  <c r="Q148" i="3"/>
  <c r="Q149" i="3"/>
  <c r="Q111" i="3"/>
  <c r="Q60" i="3"/>
  <c r="Q3" i="3"/>
  <c r="Q4" i="3"/>
  <c r="Q112" i="3"/>
  <c r="Q113" i="3"/>
  <c r="Q28" i="3"/>
  <c r="Q75" i="3"/>
  <c r="Q150" i="3"/>
  <c r="Q5" i="3"/>
  <c r="Q132" i="3"/>
  <c r="Q61" i="3"/>
  <c r="Q6" i="3"/>
  <c r="Q114" i="3"/>
  <c r="Q82" i="3"/>
  <c r="Q19" i="3"/>
  <c r="Q133" i="3"/>
  <c r="Q115" i="3"/>
  <c r="Q41" i="3"/>
  <c r="Q176" i="3"/>
  <c r="Q181" i="3"/>
  <c r="Q29" i="3"/>
  <c r="Q62" i="3"/>
  <c r="Q30" i="3"/>
  <c r="Q116" i="3"/>
  <c r="Q63" i="3"/>
  <c r="Q182" i="3"/>
  <c r="Q42" i="3"/>
  <c r="Q151" i="3"/>
  <c r="Q134" i="3"/>
  <c r="Q43" i="3"/>
  <c r="Q152" i="3"/>
  <c r="Q64" i="3"/>
  <c r="Q31" i="3"/>
  <c r="Q153" i="3"/>
  <c r="Q154" i="3"/>
  <c r="Q32" i="3"/>
  <c r="Q44" i="3"/>
  <c r="Q20" i="3"/>
  <c r="Q117" i="3"/>
  <c r="Q155" i="3"/>
  <c r="Q118" i="3"/>
  <c r="Q119" i="3"/>
  <c r="Q89" i="3"/>
  <c r="Q33" i="3"/>
  <c r="Q156" i="3"/>
  <c r="Q120" i="3"/>
  <c r="Q121" i="3"/>
  <c r="Q122" i="3"/>
  <c r="Q157" i="3"/>
  <c r="Q45" i="3"/>
  <c r="Q7" i="3"/>
  <c r="Q46" i="3"/>
  <c r="Q123" i="3"/>
  <c r="Q47" i="3"/>
  <c r="Q83" i="3"/>
  <c r="Q8" i="3"/>
  <c r="Q9" i="3"/>
  <c r="Q84" i="3"/>
  <c r="Q158" i="3"/>
  <c r="Q159" i="3"/>
  <c r="Q183" i="3"/>
  <c r="Q124" i="3"/>
  <c r="Q65" i="3"/>
  <c r="Q76" i="3"/>
  <c r="Q48" i="3"/>
  <c r="Q125" i="3"/>
  <c r="Q49" i="3"/>
  <c r="Q10" i="3"/>
  <c r="Q177" i="3"/>
  <c r="Q160" i="3"/>
  <c r="Q161" i="3"/>
  <c r="Q66" i="3"/>
  <c r="Q50" i="3"/>
  <c r="Q11" i="3"/>
  <c r="Q12" i="3"/>
  <c r="Q162" i="3"/>
  <c r="Q13" i="3"/>
  <c r="Q126" i="3"/>
  <c r="Q85" i="3"/>
  <c r="Q14" i="3"/>
  <c r="Q135" i="3"/>
  <c r="Q51" i="3"/>
  <c r="Q77" i="3"/>
  <c r="Q15" i="3"/>
  <c r="Q34" i="3"/>
  <c r="Q16" i="3"/>
  <c r="Q35" i="3"/>
  <c r="Q136" i="3"/>
  <c r="Q86" i="3"/>
  <c r="Q17" i="3"/>
  <c r="Q90" i="3"/>
  <c r="Q87" i="3"/>
  <c r="Q178" i="3"/>
  <c r="Q18" i="3"/>
  <c r="Q179" i="3"/>
  <c r="R78" i="3"/>
  <c r="R127" i="3"/>
  <c r="R52" i="3"/>
  <c r="R137" i="3"/>
  <c r="R91" i="3"/>
  <c r="R53" i="3"/>
  <c r="R67" i="3"/>
  <c r="R128" i="3"/>
  <c r="R54" i="3"/>
  <c r="R163" i="3"/>
  <c r="R92" i="3"/>
  <c r="R93" i="3"/>
  <c r="R164" i="3"/>
  <c r="R138" i="3"/>
  <c r="R36" i="3"/>
  <c r="R94" i="3"/>
  <c r="R95" i="3"/>
  <c r="R68" i="3"/>
  <c r="R21" i="3"/>
  <c r="R69" i="3"/>
  <c r="R70" i="3"/>
  <c r="R139" i="3"/>
  <c r="R165" i="3"/>
  <c r="R37" i="3"/>
  <c r="R55" i="3"/>
  <c r="R79" i="3"/>
  <c r="R166" i="3"/>
  <c r="R130" i="3"/>
  <c r="R56" i="3"/>
  <c r="R131" i="3"/>
  <c r="R80" i="3"/>
  <c r="R71" i="3"/>
  <c r="R96" i="3"/>
  <c r="R140" i="3"/>
  <c r="R97" i="3"/>
  <c r="R57" i="3"/>
  <c r="R98" i="3"/>
  <c r="R38" i="3"/>
  <c r="R88" i="3"/>
  <c r="R81" i="3"/>
  <c r="R22" i="3"/>
  <c r="R141" i="3"/>
  <c r="R58" i="3"/>
  <c r="R167" i="3"/>
  <c r="R168" i="3"/>
  <c r="R169" i="3"/>
  <c r="R170" i="3"/>
  <c r="R129" i="3"/>
  <c r="R99" i="3"/>
  <c r="R171" i="3"/>
  <c r="R59" i="3"/>
  <c r="R100" i="3"/>
  <c r="R101" i="3"/>
  <c r="R142" i="3"/>
  <c r="R102" i="3"/>
  <c r="R2" i="3"/>
  <c r="R23" i="3"/>
  <c r="R172" i="3"/>
  <c r="R103" i="3"/>
  <c r="R104" i="3"/>
  <c r="R24" i="3"/>
  <c r="R105" i="3"/>
  <c r="R173" i="3"/>
  <c r="R106" i="3"/>
  <c r="R174" i="3"/>
  <c r="R107" i="3"/>
  <c r="R25" i="3"/>
  <c r="R108" i="3"/>
  <c r="R143" i="3"/>
  <c r="R72" i="3"/>
  <c r="R73" i="3"/>
  <c r="R144" i="3"/>
  <c r="R26" i="3"/>
  <c r="R39" i="3"/>
  <c r="R109" i="3"/>
  <c r="R40" i="3"/>
  <c r="R145" i="3"/>
  <c r="R180" i="3"/>
  <c r="R74" i="3"/>
  <c r="R27" i="3"/>
  <c r="R146" i="3"/>
  <c r="R175" i="3"/>
  <c r="R147" i="3"/>
  <c r="R110" i="3"/>
  <c r="R148" i="3"/>
  <c r="R149" i="3"/>
  <c r="R111" i="3"/>
  <c r="R60" i="3"/>
  <c r="R3" i="3"/>
  <c r="R4" i="3"/>
  <c r="R112" i="3"/>
  <c r="R113" i="3"/>
  <c r="R28" i="3"/>
  <c r="R75" i="3"/>
  <c r="R150" i="3"/>
  <c r="R5" i="3"/>
  <c r="R132" i="3"/>
  <c r="R61" i="3"/>
  <c r="R6" i="3"/>
  <c r="R114" i="3"/>
  <c r="R82" i="3"/>
  <c r="R19" i="3"/>
  <c r="R133" i="3"/>
  <c r="R115" i="3"/>
  <c r="R41" i="3"/>
  <c r="R176" i="3"/>
  <c r="R181" i="3"/>
  <c r="R29" i="3"/>
  <c r="R62" i="3"/>
  <c r="R30" i="3"/>
  <c r="R116" i="3"/>
  <c r="R63" i="3"/>
  <c r="R182" i="3"/>
  <c r="R42" i="3"/>
  <c r="R151" i="3"/>
  <c r="R134" i="3"/>
  <c r="R43" i="3"/>
  <c r="R152" i="3"/>
  <c r="R64" i="3"/>
  <c r="R31" i="3"/>
  <c r="R153" i="3"/>
  <c r="R154" i="3"/>
  <c r="R32" i="3"/>
  <c r="R44" i="3"/>
  <c r="R20" i="3"/>
  <c r="R117" i="3"/>
  <c r="R155" i="3"/>
  <c r="R118" i="3"/>
  <c r="R119" i="3"/>
  <c r="R89" i="3"/>
  <c r="R33" i="3"/>
  <c r="R156" i="3"/>
  <c r="R120" i="3"/>
  <c r="R121" i="3"/>
  <c r="R122" i="3"/>
  <c r="R157" i="3"/>
  <c r="R45" i="3"/>
  <c r="R7" i="3"/>
  <c r="R46" i="3"/>
  <c r="R123" i="3"/>
  <c r="R47" i="3"/>
  <c r="R83" i="3"/>
  <c r="R8" i="3"/>
  <c r="R9" i="3"/>
  <c r="R84" i="3"/>
  <c r="R158" i="3"/>
  <c r="R159" i="3"/>
  <c r="R183" i="3"/>
  <c r="R124" i="3"/>
  <c r="R65" i="3"/>
  <c r="R76" i="3"/>
  <c r="R48" i="3"/>
  <c r="R125" i="3"/>
  <c r="R49" i="3"/>
  <c r="R10" i="3"/>
  <c r="R177" i="3"/>
  <c r="R160" i="3"/>
  <c r="R161" i="3"/>
  <c r="R66" i="3"/>
  <c r="R50" i="3"/>
  <c r="R11" i="3"/>
  <c r="R12" i="3"/>
  <c r="R162" i="3"/>
  <c r="R13" i="3"/>
  <c r="R126" i="3"/>
  <c r="R85" i="3"/>
  <c r="R14" i="3"/>
  <c r="R135" i="3"/>
  <c r="R51" i="3"/>
  <c r="R77" i="3"/>
  <c r="R15" i="3"/>
  <c r="R34" i="3"/>
  <c r="R16" i="3"/>
  <c r="R35" i="3"/>
  <c r="R136" i="3"/>
  <c r="R86" i="3"/>
  <c r="R17" i="3"/>
  <c r="R90" i="3"/>
  <c r="R87" i="3"/>
  <c r="R178" i="3"/>
  <c r="R18" i="3"/>
  <c r="R179" i="3"/>
  <c r="S78" i="3"/>
  <c r="S127" i="3"/>
  <c r="S52" i="3"/>
  <c r="S137" i="3"/>
  <c r="S91" i="3"/>
  <c r="S53" i="3"/>
  <c r="S67" i="3"/>
  <c r="S128" i="3"/>
  <c r="S54" i="3"/>
  <c r="S163" i="3"/>
  <c r="S92" i="3"/>
  <c r="S93" i="3"/>
  <c r="S164" i="3"/>
  <c r="S138" i="3"/>
  <c r="S36" i="3"/>
  <c r="S94" i="3"/>
  <c r="S95" i="3"/>
  <c r="S68" i="3"/>
  <c r="S21" i="3"/>
  <c r="S69" i="3"/>
  <c r="S70" i="3"/>
  <c r="S139" i="3"/>
  <c r="S165" i="3"/>
  <c r="S37" i="3"/>
  <c r="S55" i="3"/>
  <c r="S79" i="3"/>
  <c r="S166" i="3"/>
  <c r="S130" i="3"/>
  <c r="S56" i="3"/>
  <c r="S131" i="3"/>
  <c r="S80" i="3"/>
  <c r="S71" i="3"/>
  <c r="S96" i="3"/>
  <c r="S140" i="3"/>
  <c r="S97" i="3"/>
  <c r="S57" i="3"/>
  <c r="S98" i="3"/>
  <c r="S38" i="3"/>
  <c r="S88" i="3"/>
  <c r="S81" i="3"/>
  <c r="S22" i="3"/>
  <c r="S141" i="3"/>
  <c r="S58" i="3"/>
  <c r="S167" i="3"/>
  <c r="S168" i="3"/>
  <c r="S169" i="3"/>
  <c r="S170" i="3"/>
  <c r="S129" i="3"/>
  <c r="S99" i="3"/>
  <c r="S171" i="3"/>
  <c r="S59" i="3"/>
  <c r="S100" i="3"/>
  <c r="S101" i="3"/>
  <c r="S142" i="3"/>
  <c r="S102" i="3"/>
  <c r="S2" i="3"/>
  <c r="S23" i="3"/>
  <c r="S172" i="3"/>
  <c r="S103" i="3"/>
  <c r="S104" i="3"/>
  <c r="S24" i="3"/>
  <c r="S105" i="3"/>
  <c r="S173" i="3"/>
  <c r="S106" i="3"/>
  <c r="S174" i="3"/>
  <c r="S107" i="3"/>
  <c r="S25" i="3"/>
  <c r="S108" i="3"/>
  <c r="S143" i="3"/>
  <c r="S72" i="3"/>
  <c r="S73" i="3"/>
  <c r="S144" i="3"/>
  <c r="S26" i="3"/>
  <c r="S39" i="3"/>
  <c r="S109" i="3"/>
  <c r="S40" i="3"/>
  <c r="S145" i="3"/>
  <c r="S180" i="3"/>
  <c r="S74" i="3"/>
  <c r="S27" i="3"/>
  <c r="S146" i="3"/>
  <c r="S175" i="3"/>
  <c r="S147" i="3"/>
  <c r="S110" i="3"/>
  <c r="S148" i="3"/>
  <c r="S149" i="3"/>
  <c r="S111" i="3"/>
  <c r="S60" i="3"/>
  <c r="S3" i="3"/>
  <c r="S4" i="3"/>
  <c r="S112" i="3"/>
  <c r="S113" i="3"/>
  <c r="S28" i="3"/>
  <c r="S75" i="3"/>
  <c r="S150" i="3"/>
  <c r="S5" i="3"/>
  <c r="S132" i="3"/>
  <c r="S61" i="3"/>
  <c r="S6" i="3"/>
  <c r="S114" i="3"/>
  <c r="S82" i="3"/>
  <c r="S19" i="3"/>
  <c r="S133" i="3"/>
  <c r="S115" i="3"/>
  <c r="S41" i="3"/>
  <c r="S176" i="3"/>
  <c r="S181" i="3"/>
  <c r="S29" i="3"/>
  <c r="S62" i="3"/>
  <c r="S30" i="3"/>
  <c r="S116" i="3"/>
  <c r="S63" i="3"/>
  <c r="S182" i="3"/>
  <c r="S42" i="3"/>
  <c r="S151" i="3"/>
  <c r="S134" i="3"/>
  <c r="S43" i="3"/>
  <c r="S152" i="3"/>
  <c r="S64" i="3"/>
  <c r="S31" i="3"/>
  <c r="S153" i="3"/>
  <c r="S154" i="3"/>
  <c r="S32" i="3"/>
  <c r="S44" i="3"/>
  <c r="S20" i="3"/>
  <c r="S117" i="3"/>
  <c r="S155" i="3"/>
  <c r="S118" i="3"/>
  <c r="S119" i="3"/>
  <c r="S89" i="3"/>
  <c r="S33" i="3"/>
  <c r="S156" i="3"/>
  <c r="S120" i="3"/>
  <c r="S121" i="3"/>
  <c r="S122" i="3"/>
  <c r="S157" i="3"/>
  <c r="S45" i="3"/>
  <c r="S7" i="3"/>
  <c r="S46" i="3"/>
  <c r="S123" i="3"/>
  <c r="S47" i="3"/>
  <c r="S83" i="3"/>
  <c r="S8" i="3"/>
  <c r="S9" i="3"/>
  <c r="S84" i="3"/>
  <c r="S158" i="3"/>
  <c r="S159" i="3"/>
  <c r="S183" i="3"/>
  <c r="S124" i="3"/>
  <c r="S65" i="3"/>
  <c r="S76" i="3"/>
  <c r="S48" i="3"/>
  <c r="S125" i="3"/>
  <c r="S49" i="3"/>
  <c r="S10" i="3"/>
  <c r="S177" i="3"/>
  <c r="S160" i="3"/>
  <c r="S161" i="3"/>
  <c r="S66" i="3"/>
  <c r="S50" i="3"/>
  <c r="S11" i="3"/>
  <c r="S12" i="3"/>
  <c r="S162" i="3"/>
  <c r="S13" i="3"/>
  <c r="S126" i="3"/>
  <c r="S85" i="3"/>
  <c r="S14" i="3"/>
  <c r="S135" i="3"/>
  <c r="S51" i="3"/>
  <c r="S77" i="3"/>
  <c r="S15" i="3"/>
  <c r="S34" i="3"/>
  <c r="S16" i="3"/>
  <c r="S35" i="3"/>
  <c r="S136" i="3"/>
  <c r="S86" i="3"/>
  <c r="S17" i="3"/>
  <c r="S90" i="3"/>
  <c r="S87" i="3"/>
  <c r="S178" i="3"/>
  <c r="S18" i="3"/>
  <c r="S179" i="3"/>
  <c r="T21" i="3"/>
  <c r="T37" i="3"/>
  <c r="T167" i="3"/>
  <c r="T171" i="3"/>
  <c r="T2" i="3"/>
  <c r="T73" i="3"/>
  <c r="T26" i="3"/>
  <c r="T109" i="3"/>
  <c r="T27" i="3"/>
  <c r="T146" i="3"/>
  <c r="T149" i="3"/>
  <c r="T111" i="3"/>
  <c r="T3" i="3"/>
  <c r="T4" i="3"/>
  <c r="T112" i="3"/>
  <c r="T114" i="3"/>
  <c r="T133" i="3"/>
  <c r="T182" i="3"/>
  <c r="T42" i="3"/>
  <c r="T134" i="3"/>
  <c r="T31" i="3"/>
  <c r="T89" i="3"/>
  <c r="T122" i="3"/>
  <c r="T123" i="3"/>
  <c r="T124" i="3"/>
  <c r="T49" i="3"/>
  <c r="T10" i="3"/>
  <c r="T66" i="3"/>
  <c r="T12" i="3"/>
  <c r="T126" i="3"/>
  <c r="T34" i="3"/>
  <c r="T90" i="3"/>
  <c r="N81" i="2"/>
  <c r="N36" i="2"/>
  <c r="N115" i="2"/>
  <c r="N53" i="2"/>
  <c r="N95" i="2"/>
  <c r="N16" i="2"/>
  <c r="N56" i="2"/>
  <c r="N72" i="2"/>
  <c r="N132" i="2"/>
  <c r="N35" i="2"/>
  <c r="N108" i="2"/>
  <c r="O81" i="2"/>
  <c r="O111" i="2"/>
  <c r="O78" i="2"/>
  <c r="O113" i="2"/>
  <c r="O115" i="2"/>
  <c r="O37" i="2"/>
  <c r="O38" i="2"/>
  <c r="O96" i="2"/>
  <c r="O97" i="2"/>
  <c r="O98" i="2"/>
  <c r="O42" i="2"/>
  <c r="O135" i="2"/>
  <c r="O79" i="2"/>
  <c r="O76" i="2"/>
  <c r="O108" i="2"/>
  <c r="O77" i="2"/>
  <c r="P81" i="2"/>
  <c r="P59" i="2"/>
  <c r="P112" i="2"/>
  <c r="P52" i="2"/>
  <c r="P32" i="2"/>
  <c r="P92" i="2"/>
  <c r="P118" i="2"/>
  <c r="P12" i="2"/>
  <c r="P95" i="2"/>
  <c r="P33" i="2"/>
  <c r="P96" i="2"/>
  <c r="P99" i="2"/>
  <c r="P56" i="2"/>
  <c r="P73" i="2"/>
  <c r="P19" i="2"/>
  <c r="P79" i="2"/>
  <c r="P132" i="2"/>
  <c r="P108" i="2"/>
  <c r="Q81" i="2"/>
  <c r="Q2" i="2"/>
  <c r="Q125" i="2"/>
  <c r="Q126" i="2"/>
  <c r="Q47" i="2"/>
  <c r="Q82" i="2"/>
  <c r="Q27" i="2"/>
  <c r="Q3" i="2"/>
  <c r="Q83" i="2"/>
  <c r="Q28" i="2"/>
  <c r="Q84" i="2"/>
  <c r="Q85" i="2"/>
  <c r="Q57" i="2"/>
  <c r="Q48" i="2"/>
  <c r="Q22" i="2"/>
  <c r="Q29" i="2"/>
  <c r="Q4" i="2"/>
  <c r="Q5" i="2"/>
  <c r="Q30" i="2"/>
  <c r="Q6" i="2"/>
  <c r="Q127" i="2"/>
  <c r="Q7" i="2"/>
  <c r="Q58" i="2"/>
  <c r="Q8" i="2"/>
  <c r="Q49" i="2"/>
  <c r="Q31" i="2"/>
  <c r="Q110" i="2"/>
  <c r="Q50" i="2"/>
  <c r="Q65" i="2"/>
  <c r="Q86" i="2"/>
  <c r="Q87" i="2"/>
  <c r="Q59" i="2"/>
  <c r="Q111" i="2"/>
  <c r="Q51" i="2"/>
  <c r="Q112" i="2"/>
  <c r="Q88" i="2"/>
  <c r="Q60" i="2"/>
  <c r="Q66" i="2"/>
  <c r="Q89" i="2"/>
  <c r="Q52" i="2"/>
  <c r="Q78" i="2"/>
  <c r="Q90" i="2"/>
  <c r="Q36" i="2"/>
  <c r="Q32" i="2"/>
  <c r="Q91" i="2"/>
  <c r="Q113" i="2"/>
  <c r="Q114" i="2"/>
  <c r="Q115" i="2"/>
  <c r="Q128" i="2"/>
  <c r="Q9" i="2"/>
  <c r="Q116" i="2"/>
  <c r="Q23" i="2"/>
  <c r="Q37" i="2"/>
  <c r="Q53" i="2"/>
  <c r="Q117" i="2"/>
  <c r="Q92" i="2"/>
  <c r="Q10" i="2"/>
  <c r="Q24" i="2"/>
  <c r="Q11" i="2"/>
  <c r="Q93" i="2"/>
  <c r="Q67" i="2"/>
  <c r="Q118" i="2"/>
  <c r="Q61" i="2"/>
  <c r="Q25" i="2"/>
  <c r="Q12" i="2"/>
  <c r="Q119" i="2"/>
  <c r="Q94" i="2"/>
  <c r="Q38" i="2"/>
  <c r="Q39" i="2"/>
  <c r="Q40" i="2"/>
  <c r="Q95" i="2"/>
  <c r="Q120" i="2"/>
  <c r="Q106" i="2"/>
  <c r="Q33" i="2"/>
  <c r="Q121" i="2"/>
  <c r="Q96" i="2"/>
  <c r="Q97" i="2"/>
  <c r="Q34" i="2"/>
  <c r="Q68" i="2"/>
  <c r="Q13" i="2"/>
  <c r="Q69" i="2"/>
  <c r="Q14" i="2"/>
  <c r="Q98" i="2"/>
  <c r="Q99" i="2"/>
  <c r="Q70" i="2"/>
  <c r="Q41" i="2"/>
  <c r="Q42" i="2"/>
  <c r="Q54" i="2"/>
  <c r="Q62" i="2"/>
  <c r="Q100" i="2"/>
  <c r="Q101" i="2"/>
  <c r="Q63" i="2"/>
  <c r="Q129" i="2"/>
  <c r="Q15" i="2"/>
  <c r="Q16" i="2"/>
  <c r="Q122" i="2"/>
  <c r="Q17" i="2"/>
  <c r="Q55" i="2"/>
  <c r="Q130" i="2"/>
  <c r="Q64" i="2"/>
  <c r="Q131" i="2"/>
  <c r="Q107" i="2"/>
  <c r="Q71" i="2"/>
  <c r="Q123" i="2"/>
  <c r="Q56" i="2"/>
  <c r="Q124" i="2"/>
  <c r="Q72" i="2"/>
  <c r="Q18" i="2"/>
  <c r="Q43" i="2"/>
  <c r="Q44" i="2"/>
  <c r="Q102" i="2"/>
  <c r="Q103" i="2"/>
  <c r="Q73" i="2"/>
  <c r="Q26" i="2"/>
  <c r="Q135" i="2"/>
  <c r="Q19" i="2"/>
  <c r="Q79" i="2"/>
  <c r="Q132" i="2"/>
  <c r="Q35" i="2"/>
  <c r="Q104" i="2"/>
  <c r="Q45" i="2"/>
  <c r="Q74" i="2"/>
  <c r="Q46" i="2"/>
  <c r="Q75" i="2"/>
  <c r="Q76" i="2"/>
  <c r="Q105" i="2"/>
  <c r="Q108" i="2"/>
  <c r="Q80" i="2"/>
  <c r="Q20" i="2"/>
  <c r="Q109" i="2"/>
  <c r="Q133" i="2"/>
  <c r="Q77" i="2"/>
  <c r="Q134" i="2"/>
  <c r="Q21" i="2"/>
  <c r="R81" i="2"/>
  <c r="R2" i="2"/>
  <c r="R125" i="2"/>
  <c r="R126" i="2"/>
  <c r="R47" i="2"/>
  <c r="R82" i="2"/>
  <c r="R27" i="2"/>
  <c r="R3" i="2"/>
  <c r="R83" i="2"/>
  <c r="R28" i="2"/>
  <c r="R84" i="2"/>
  <c r="R85" i="2"/>
  <c r="R57" i="2"/>
  <c r="R48" i="2"/>
  <c r="R22" i="2"/>
  <c r="R29" i="2"/>
  <c r="R4" i="2"/>
  <c r="R5" i="2"/>
  <c r="R30" i="2"/>
  <c r="R6" i="2"/>
  <c r="R127" i="2"/>
  <c r="R7" i="2"/>
  <c r="R58" i="2"/>
  <c r="R8" i="2"/>
  <c r="R49" i="2"/>
  <c r="R31" i="2"/>
  <c r="R110" i="2"/>
  <c r="R50" i="2"/>
  <c r="R65" i="2"/>
  <c r="R86" i="2"/>
  <c r="R87" i="2"/>
  <c r="R59" i="2"/>
  <c r="R111" i="2"/>
  <c r="R51" i="2"/>
  <c r="R112" i="2"/>
  <c r="R88" i="2"/>
  <c r="R60" i="2"/>
  <c r="R66" i="2"/>
  <c r="R89" i="2"/>
  <c r="R52" i="2"/>
  <c r="R78" i="2"/>
  <c r="R90" i="2"/>
  <c r="R36" i="2"/>
  <c r="R32" i="2"/>
  <c r="R91" i="2"/>
  <c r="R113" i="2"/>
  <c r="R114" i="2"/>
  <c r="R115" i="2"/>
  <c r="R128" i="2"/>
  <c r="R9" i="2"/>
  <c r="R116" i="2"/>
  <c r="R23" i="2"/>
  <c r="R37" i="2"/>
  <c r="R53" i="2"/>
  <c r="R117" i="2"/>
  <c r="R92" i="2"/>
  <c r="R10" i="2"/>
  <c r="R24" i="2"/>
  <c r="R11" i="2"/>
  <c r="R93" i="2"/>
  <c r="R67" i="2"/>
  <c r="R118" i="2"/>
  <c r="R61" i="2"/>
  <c r="R25" i="2"/>
  <c r="R12" i="2"/>
  <c r="R119" i="2"/>
  <c r="R94" i="2"/>
  <c r="R38" i="2"/>
  <c r="R39" i="2"/>
  <c r="R40" i="2"/>
  <c r="R95" i="2"/>
  <c r="R120" i="2"/>
  <c r="R106" i="2"/>
  <c r="R33" i="2"/>
  <c r="R121" i="2"/>
  <c r="R96" i="2"/>
  <c r="R97" i="2"/>
  <c r="R34" i="2"/>
  <c r="R68" i="2"/>
  <c r="R13" i="2"/>
  <c r="R69" i="2"/>
  <c r="R14" i="2"/>
  <c r="R98" i="2"/>
  <c r="R99" i="2"/>
  <c r="R70" i="2"/>
  <c r="R41" i="2"/>
  <c r="R42" i="2"/>
  <c r="R54" i="2"/>
  <c r="R62" i="2"/>
  <c r="R100" i="2"/>
  <c r="R101" i="2"/>
  <c r="R63" i="2"/>
  <c r="R129" i="2"/>
  <c r="R15" i="2"/>
  <c r="R16" i="2"/>
  <c r="R122" i="2"/>
  <c r="R17" i="2"/>
  <c r="R55" i="2"/>
  <c r="R130" i="2"/>
  <c r="R64" i="2"/>
  <c r="R131" i="2"/>
  <c r="R107" i="2"/>
  <c r="R71" i="2"/>
  <c r="R123" i="2"/>
  <c r="R56" i="2"/>
  <c r="R124" i="2"/>
  <c r="R72" i="2"/>
  <c r="R18" i="2"/>
  <c r="R43" i="2"/>
  <c r="R44" i="2"/>
  <c r="R102" i="2"/>
  <c r="R103" i="2"/>
  <c r="R73" i="2"/>
  <c r="R26" i="2"/>
  <c r="R135" i="2"/>
  <c r="R19" i="2"/>
  <c r="R79" i="2"/>
  <c r="R132" i="2"/>
  <c r="R35" i="2"/>
  <c r="R104" i="2"/>
  <c r="R45" i="2"/>
  <c r="R74" i="2"/>
  <c r="R46" i="2"/>
  <c r="R75" i="2"/>
  <c r="R76" i="2"/>
  <c r="R105" i="2"/>
  <c r="R108" i="2"/>
  <c r="R80" i="2"/>
  <c r="R20" i="2"/>
  <c r="R109" i="2"/>
  <c r="R133" i="2"/>
  <c r="R77" i="2"/>
  <c r="R134" i="2"/>
  <c r="R21" i="2"/>
  <c r="S81" i="2"/>
  <c r="S2" i="2"/>
  <c r="S125" i="2"/>
  <c r="S126" i="2"/>
  <c r="S47" i="2"/>
  <c r="S82" i="2"/>
  <c r="S27" i="2"/>
  <c r="S3" i="2"/>
  <c r="S83" i="2"/>
  <c r="S28" i="2"/>
  <c r="S84" i="2"/>
  <c r="S85" i="2"/>
  <c r="S57" i="2"/>
  <c r="S48" i="2"/>
  <c r="S22" i="2"/>
  <c r="S29" i="2"/>
  <c r="S4" i="2"/>
  <c r="S5" i="2"/>
  <c r="S30" i="2"/>
  <c r="S6" i="2"/>
  <c r="S127" i="2"/>
  <c r="S7" i="2"/>
  <c r="S58" i="2"/>
  <c r="S8" i="2"/>
  <c r="S49" i="2"/>
  <c r="S31" i="2"/>
  <c r="S110" i="2"/>
  <c r="S50" i="2"/>
  <c r="S65" i="2"/>
  <c r="S86" i="2"/>
  <c r="S87" i="2"/>
  <c r="S59" i="2"/>
  <c r="S111" i="2"/>
  <c r="S51" i="2"/>
  <c r="S112" i="2"/>
  <c r="S88" i="2"/>
  <c r="S60" i="2"/>
  <c r="S66" i="2"/>
  <c r="S89" i="2"/>
  <c r="S52" i="2"/>
  <c r="S78" i="2"/>
  <c r="S90" i="2"/>
  <c r="S36" i="2"/>
  <c r="S32" i="2"/>
  <c r="S91" i="2"/>
  <c r="S113" i="2"/>
  <c r="S114" i="2"/>
  <c r="S115" i="2"/>
  <c r="S128" i="2"/>
  <c r="S9" i="2"/>
  <c r="S116" i="2"/>
  <c r="S23" i="2"/>
  <c r="S37" i="2"/>
  <c r="S53" i="2"/>
  <c r="S117" i="2"/>
  <c r="S92" i="2"/>
  <c r="S10" i="2"/>
  <c r="S24" i="2"/>
  <c r="S11" i="2"/>
  <c r="S93" i="2"/>
  <c r="S67" i="2"/>
  <c r="S118" i="2"/>
  <c r="S61" i="2"/>
  <c r="S25" i="2"/>
  <c r="S12" i="2"/>
  <c r="S119" i="2"/>
  <c r="S94" i="2"/>
  <c r="S38" i="2"/>
  <c r="S39" i="2"/>
  <c r="S40" i="2"/>
  <c r="S95" i="2"/>
  <c r="S120" i="2"/>
  <c r="S106" i="2"/>
  <c r="S33" i="2"/>
  <c r="S121" i="2"/>
  <c r="S96" i="2"/>
  <c r="S97" i="2"/>
  <c r="S34" i="2"/>
  <c r="S68" i="2"/>
  <c r="S13" i="2"/>
  <c r="S69" i="2"/>
  <c r="S14" i="2"/>
  <c r="S98" i="2"/>
  <c r="S99" i="2"/>
  <c r="S70" i="2"/>
  <c r="S41" i="2"/>
  <c r="S42" i="2"/>
  <c r="S54" i="2"/>
  <c r="S62" i="2"/>
  <c r="S100" i="2"/>
  <c r="S101" i="2"/>
  <c r="S63" i="2"/>
  <c r="S129" i="2"/>
  <c r="S15" i="2"/>
  <c r="S16" i="2"/>
  <c r="S122" i="2"/>
  <c r="S17" i="2"/>
  <c r="S55" i="2"/>
  <c r="S130" i="2"/>
  <c r="S64" i="2"/>
  <c r="S131" i="2"/>
  <c r="S107" i="2"/>
  <c r="S71" i="2"/>
  <c r="S123" i="2"/>
  <c r="S56" i="2"/>
  <c r="S124" i="2"/>
  <c r="S72" i="2"/>
  <c r="S18" i="2"/>
  <c r="S43" i="2"/>
  <c r="S44" i="2"/>
  <c r="S102" i="2"/>
  <c r="S103" i="2"/>
  <c r="S73" i="2"/>
  <c r="S26" i="2"/>
  <c r="S135" i="2"/>
  <c r="S19" i="2"/>
  <c r="S79" i="2"/>
  <c r="S132" i="2"/>
  <c r="S35" i="2"/>
  <c r="S104" i="2"/>
  <c r="S45" i="2"/>
  <c r="S74" i="2"/>
  <c r="S46" i="2"/>
  <c r="S75" i="2"/>
  <c r="S76" i="2"/>
  <c r="S105" i="2"/>
  <c r="S108" i="2"/>
  <c r="S80" i="2"/>
  <c r="S20" i="2"/>
  <c r="S109" i="2"/>
  <c r="S133" i="2"/>
  <c r="S77" i="2"/>
  <c r="S134" i="2"/>
  <c r="S21" i="2"/>
  <c r="T57" i="2"/>
  <c r="T52" i="2"/>
  <c r="T78" i="2"/>
  <c r="T36" i="2"/>
  <c r="T91" i="2"/>
  <c r="T113" i="2"/>
  <c r="T114" i="2"/>
  <c r="T115" i="2"/>
  <c r="T116" i="2"/>
  <c r="T37" i="2"/>
  <c r="T12" i="2"/>
  <c r="T119" i="2"/>
  <c r="T94" i="2"/>
  <c r="T96" i="2"/>
  <c r="T97" i="2"/>
  <c r="T34" i="2"/>
  <c r="T14" i="2"/>
  <c r="T99" i="2"/>
  <c r="T54" i="2"/>
  <c r="T16" i="2"/>
  <c r="T17" i="2"/>
  <c r="T55" i="2"/>
  <c r="T64" i="2"/>
  <c r="T56" i="2"/>
  <c r="T103" i="2"/>
  <c r="T73" i="2"/>
  <c r="T135" i="2"/>
  <c r="T19" i="2"/>
  <c r="T79" i="2"/>
  <c r="T35" i="2"/>
  <c r="T104" i="2"/>
  <c r="T76" i="2"/>
  <c r="X5" i="3"/>
  <c r="C1" i="12" a="1"/>
  <c r="C1" i="12" s="1"/>
  <c r="C1" i="11" a="1"/>
  <c r="C1" i="11" s="1"/>
  <c r="C1" i="9" a="1"/>
  <c r="C1" i="9" s="1"/>
  <c r="I75" i="2" l="1"/>
  <c r="P75" i="2" s="1"/>
  <c r="H75" i="2"/>
  <c r="H17" i="2"/>
  <c r="I17" i="2"/>
  <c r="P17" i="2" s="1"/>
  <c r="I128" i="4"/>
  <c r="P128" i="4" s="1"/>
  <c r="H21" i="2"/>
  <c r="O21" i="2" s="1"/>
  <c r="I167" i="4"/>
  <c r="P167" i="4" s="1"/>
  <c r="H167" i="4"/>
  <c r="O167" i="4" s="1"/>
  <c r="M58" i="2"/>
  <c r="T58" i="2" s="1"/>
  <c r="N58" i="2"/>
  <c r="I132" i="3"/>
  <c r="P132" i="3" s="1"/>
  <c r="O5" i="3"/>
  <c r="N5" i="3"/>
  <c r="N33" i="2"/>
  <c r="O33" i="2"/>
  <c r="H5" i="2"/>
  <c r="O5" i="2" s="1"/>
  <c r="I5" i="2"/>
  <c r="M5" i="2"/>
  <c r="T5" i="2" s="1"/>
  <c r="H65" i="2"/>
  <c r="O65" i="2" s="1"/>
  <c r="M65" i="2"/>
  <c r="T65" i="2" s="1"/>
  <c r="H85" i="2"/>
  <c r="I85" i="2"/>
  <c r="P85" i="2" s="1"/>
  <c r="M42" i="2"/>
  <c r="T42" i="2" s="1"/>
  <c r="N161" i="3"/>
  <c r="N147" i="3"/>
  <c r="N50" i="4"/>
  <c r="O50" i="4"/>
  <c r="I121" i="2"/>
  <c r="P121" i="2" s="1"/>
  <c r="M121" i="2"/>
  <c r="T121" i="2" s="1"/>
  <c r="O34" i="2"/>
  <c r="N34" i="2"/>
  <c r="H84" i="2"/>
  <c r="I84" i="2"/>
  <c r="P84" i="2" s="1"/>
  <c r="O32" i="3"/>
  <c r="N185" i="4"/>
  <c r="O185" i="4"/>
  <c r="H63" i="2"/>
  <c r="O63" i="2" s="1"/>
  <c r="M63" i="2"/>
  <c r="T63" i="2" s="1"/>
  <c r="O57" i="3"/>
  <c r="I68" i="2"/>
  <c r="P68" i="2" s="1"/>
  <c r="H68" i="2"/>
  <c r="N68" i="2" s="1"/>
  <c r="I88" i="2"/>
  <c r="P88" i="2" s="1"/>
  <c r="H88" i="2"/>
  <c r="O112" i="2"/>
  <c r="N112" i="2"/>
  <c r="O104" i="4"/>
  <c r="N104" i="4"/>
  <c r="N9" i="3"/>
  <c r="M7" i="2"/>
  <c r="T7" i="2" s="1"/>
  <c r="I7" i="2"/>
  <c r="O94" i="2"/>
  <c r="N18" i="2"/>
  <c r="N113" i="2"/>
  <c r="N84" i="3"/>
  <c r="P84" i="3"/>
  <c r="M80" i="4"/>
  <c r="T80" i="4" s="1"/>
  <c r="H80" i="4"/>
  <c r="O80" i="4" s="1"/>
  <c r="N105" i="4"/>
  <c r="O105" i="4"/>
  <c r="M39" i="3"/>
  <c r="T39" i="3" s="1"/>
  <c r="H39" i="3"/>
  <c r="O39" i="3" s="1"/>
  <c r="H3" i="2"/>
  <c r="O3" i="2" s="1"/>
  <c r="M3" i="2"/>
  <c r="T3" i="2" s="1"/>
  <c r="I42" i="2"/>
  <c r="P42" i="2" s="1"/>
  <c r="N92" i="3"/>
  <c r="O92" i="3"/>
  <c r="I11" i="3"/>
  <c r="P11" i="3" s="1"/>
  <c r="H22" i="4"/>
  <c r="O22" i="4" s="1"/>
  <c r="M22" i="4"/>
  <c r="T22" i="4" s="1"/>
  <c r="M42" i="4"/>
  <c r="T42" i="4" s="1"/>
  <c r="H42" i="4"/>
  <c r="O42" i="4" s="1"/>
  <c r="O162" i="4"/>
  <c r="H41" i="2"/>
  <c r="I41" i="2"/>
  <c r="P41" i="2" s="1"/>
  <c r="H44" i="2"/>
  <c r="I44" i="2"/>
  <c r="P44" i="2" s="1"/>
  <c r="I21" i="2"/>
  <c r="P21" i="2" s="1"/>
  <c r="I41" i="3"/>
  <c r="P41" i="3" s="1"/>
  <c r="H41" i="3"/>
  <c r="I61" i="3"/>
  <c r="P61" i="3" s="1"/>
  <c r="M61" i="3"/>
  <c r="T61" i="3" s="1"/>
  <c r="I81" i="3"/>
  <c r="P81" i="3" s="1"/>
  <c r="M81" i="3"/>
  <c r="T81" i="3" s="1"/>
  <c r="H81" i="3"/>
  <c r="I121" i="3"/>
  <c r="P121" i="3" s="1"/>
  <c r="M121" i="3"/>
  <c r="T121" i="3" s="1"/>
  <c r="H121" i="3"/>
  <c r="I141" i="3"/>
  <c r="P141" i="3" s="1"/>
  <c r="H141" i="3"/>
  <c r="I161" i="3"/>
  <c r="P161" i="3" s="1"/>
  <c r="M161" i="3"/>
  <c r="T161" i="3" s="1"/>
  <c r="I181" i="3"/>
  <c r="P181" i="3" s="1"/>
  <c r="H181" i="3"/>
  <c r="N181" i="3" s="1"/>
  <c r="H43" i="2"/>
  <c r="I43" i="2"/>
  <c r="P43" i="2" s="1"/>
  <c r="N148" i="3"/>
  <c r="O114" i="2"/>
  <c r="I13" i="2"/>
  <c r="P13" i="2" s="1"/>
  <c r="H13" i="2"/>
  <c r="M13" i="2"/>
  <c r="T13" i="2" s="1"/>
  <c r="M93" i="2"/>
  <c r="T93" i="2" s="1"/>
  <c r="I93" i="2"/>
  <c r="P93" i="2" s="1"/>
  <c r="H93" i="2"/>
  <c r="O93" i="2" s="1"/>
  <c r="N133" i="2"/>
  <c r="O133" i="2"/>
  <c r="H73" i="2"/>
  <c r="I82" i="3"/>
  <c r="P82" i="3" s="1"/>
  <c r="M82" i="3"/>
  <c r="T82" i="3" s="1"/>
  <c r="I102" i="3"/>
  <c r="P102" i="3" s="1"/>
  <c r="M102" i="3"/>
  <c r="T102" i="3" s="1"/>
  <c r="I142" i="3"/>
  <c r="P142" i="3" s="1"/>
  <c r="M142" i="3"/>
  <c r="T142" i="3" s="1"/>
  <c r="I162" i="3"/>
  <c r="P162" i="3" s="1"/>
  <c r="M162" i="3"/>
  <c r="T162" i="3" s="1"/>
  <c r="H43" i="3"/>
  <c r="O43" i="3" s="1"/>
  <c r="I43" i="3"/>
  <c r="M43" i="3"/>
  <c r="T43" i="3" s="1"/>
  <c r="H143" i="3"/>
  <c r="I143" i="3"/>
  <c r="P143" i="3" s="1"/>
  <c r="N170" i="4"/>
  <c r="H23" i="3"/>
  <c r="O23" i="3" s="1"/>
  <c r="M23" i="3"/>
  <c r="T23" i="3" s="1"/>
  <c r="H63" i="3"/>
  <c r="I63" i="3"/>
  <c r="P63" i="3" s="1"/>
  <c r="H83" i="3"/>
  <c r="M83" i="3"/>
  <c r="T83" i="3" s="1"/>
  <c r="H103" i="3"/>
  <c r="O103" i="3" s="1"/>
  <c r="I103" i="3"/>
  <c r="O93" i="3"/>
  <c r="N168" i="4"/>
  <c r="I133" i="2"/>
  <c r="P133" i="2" s="1"/>
  <c r="M82" i="2"/>
  <c r="T82" i="2" s="1"/>
  <c r="H24" i="3"/>
  <c r="M24" i="3"/>
  <c r="T24" i="3" s="1"/>
  <c r="H64" i="3"/>
  <c r="I64" i="3"/>
  <c r="P64" i="3" s="1"/>
  <c r="M64" i="3"/>
  <c r="T64" i="3" s="1"/>
  <c r="H104" i="3"/>
  <c r="O104" i="3" s="1"/>
  <c r="I104" i="3"/>
  <c r="P104" i="3" s="1"/>
  <c r="M104" i="3"/>
  <c r="T104" i="3" s="1"/>
  <c r="H144" i="3"/>
  <c r="I144" i="3"/>
  <c r="P144" i="3" s="1"/>
  <c r="H164" i="3"/>
  <c r="O164" i="3" s="1"/>
  <c r="M164" i="3"/>
  <c r="T164" i="3" s="1"/>
  <c r="I164" i="3"/>
  <c r="O147" i="3"/>
  <c r="H121" i="2"/>
  <c r="M83" i="2"/>
  <c r="T83" i="2" s="1"/>
  <c r="I5" i="3"/>
  <c r="P5" i="3" s="1"/>
  <c r="M5" i="3"/>
  <c r="T5" i="3" s="1"/>
  <c r="H25" i="3"/>
  <c r="M25" i="3"/>
  <c r="T25" i="3" s="1"/>
  <c r="H45" i="3"/>
  <c r="I45" i="3"/>
  <c r="P45" i="3" s="1"/>
  <c r="N85" i="3"/>
  <c r="I105" i="3"/>
  <c r="M105" i="3"/>
  <c r="T105" i="3" s="1"/>
  <c r="M125" i="3"/>
  <c r="T125" i="3" s="1"/>
  <c r="H125" i="3"/>
  <c r="O125" i="3" s="1"/>
  <c r="H145" i="3"/>
  <c r="I145" i="3"/>
  <c r="P145" i="3" s="1"/>
  <c r="M145" i="3"/>
  <c r="T145" i="3" s="1"/>
  <c r="M165" i="3"/>
  <c r="T165" i="3" s="1"/>
  <c r="I165" i="3"/>
  <c r="P165" i="3" s="1"/>
  <c r="N127" i="4"/>
  <c r="I42" i="4"/>
  <c r="P42" i="4" s="1"/>
  <c r="H163" i="3"/>
  <c r="O163" i="3" s="1"/>
  <c r="M163" i="3"/>
  <c r="T163" i="3" s="1"/>
  <c r="I163" i="3"/>
  <c r="O17" i="2"/>
  <c r="N17" i="2"/>
  <c r="I61" i="2"/>
  <c r="P61" i="2" s="1"/>
  <c r="H61" i="2"/>
  <c r="M61" i="2"/>
  <c r="T61" i="2" s="1"/>
  <c r="H2" i="2"/>
  <c r="O2" i="2" s="1"/>
  <c r="M2" i="2"/>
  <c r="H4" i="2"/>
  <c r="O4" i="2" s="1"/>
  <c r="I4" i="2"/>
  <c r="M62" i="2"/>
  <c r="T62" i="2" s="1"/>
  <c r="H183" i="3"/>
  <c r="M183" i="3"/>
  <c r="T183" i="3" s="1"/>
  <c r="M4" i="2"/>
  <c r="T4" i="2" s="1"/>
  <c r="M88" i="2"/>
  <c r="T88" i="2" s="1"/>
  <c r="N86" i="3"/>
  <c r="N146" i="3"/>
  <c r="N125" i="3"/>
  <c r="N108" i="4"/>
  <c r="O108" i="4"/>
  <c r="N98" i="2"/>
  <c r="P98" i="2"/>
  <c r="M7" i="3"/>
  <c r="T7" i="3" s="1"/>
  <c r="I7" i="3"/>
  <c r="P7" i="3" s="1"/>
  <c r="M67" i="3"/>
  <c r="T67" i="3" s="1"/>
  <c r="H67" i="3"/>
  <c r="O67" i="3" s="1"/>
  <c r="M87" i="3"/>
  <c r="T87" i="3" s="1"/>
  <c r="H87" i="3"/>
  <c r="I107" i="3"/>
  <c r="M107" i="3"/>
  <c r="T107" i="3" s="1"/>
  <c r="I147" i="3"/>
  <c r="P147" i="3" s="1"/>
  <c r="M147" i="3"/>
  <c r="T147" i="3" s="1"/>
  <c r="O10" i="3"/>
  <c r="M44" i="3"/>
  <c r="T44" i="3" s="1"/>
  <c r="H101" i="2"/>
  <c r="I101" i="2"/>
  <c r="P101" i="2" s="1"/>
  <c r="N167" i="4"/>
  <c r="P125" i="3"/>
  <c r="O146" i="3"/>
  <c r="N118" i="2"/>
  <c r="I3" i="2"/>
  <c r="I39" i="3"/>
  <c r="P39" i="3" s="1"/>
  <c r="M45" i="3"/>
  <c r="T45" i="3" s="1"/>
  <c r="M172" i="3"/>
  <c r="T172" i="3" s="1"/>
  <c r="N44" i="4"/>
  <c r="H108" i="3"/>
  <c r="I86" i="3"/>
  <c r="P86" i="3" s="1"/>
  <c r="H67" i="4"/>
  <c r="I127" i="4"/>
  <c r="P127" i="4" s="1"/>
  <c r="N126" i="4"/>
  <c r="M128" i="4"/>
  <c r="T128" i="4" s="1"/>
  <c r="N69" i="3"/>
  <c r="H92" i="2"/>
  <c r="I39" i="2"/>
  <c r="P39" i="2" s="1"/>
  <c r="M59" i="2"/>
  <c r="T59" i="2" s="1"/>
  <c r="H70" i="3"/>
  <c r="H172" i="3"/>
  <c r="M9" i="3"/>
  <c r="T9" i="3" s="1"/>
  <c r="M51" i="3"/>
  <c r="T51" i="3" s="1"/>
  <c r="M148" i="3"/>
  <c r="T148" i="3" s="1"/>
  <c r="N11" i="4"/>
  <c r="M12" i="4"/>
  <c r="T12" i="4" s="1"/>
  <c r="H71" i="3"/>
  <c r="M52" i="3"/>
  <c r="T52" i="3" s="1"/>
  <c r="M106" i="3"/>
  <c r="T106" i="3" s="1"/>
  <c r="M150" i="3"/>
  <c r="T150" i="3" s="1"/>
  <c r="H24" i="4"/>
  <c r="O24" i="4" s="1"/>
  <c r="N130" i="4"/>
  <c r="M67" i="4"/>
  <c r="T67" i="4" s="1"/>
  <c r="H72" i="3"/>
  <c r="I146" i="3"/>
  <c r="P146" i="3" s="1"/>
  <c r="M151" i="3"/>
  <c r="T151" i="3" s="1"/>
  <c r="I3" i="4"/>
  <c r="P3" i="4" s="1"/>
  <c r="I52" i="3"/>
  <c r="P52" i="3" s="1"/>
  <c r="M153" i="3"/>
  <c r="T153" i="3" s="1"/>
  <c r="I81" i="4"/>
  <c r="P81" i="4" s="1"/>
  <c r="H12" i="2"/>
  <c r="I151" i="3"/>
  <c r="H28" i="4"/>
  <c r="O28" i="4" s="1"/>
  <c r="H147" i="4"/>
  <c r="I24" i="4"/>
  <c r="P24" i="4" s="1"/>
  <c r="I85" i="4"/>
  <c r="P85" i="4" s="1"/>
  <c r="I161" i="4"/>
  <c r="M165" i="4"/>
  <c r="T165" i="4" s="1"/>
  <c r="I51" i="3"/>
  <c r="P44" i="4"/>
  <c r="H135" i="3"/>
  <c r="O135" i="3" s="1"/>
  <c r="I152" i="3"/>
  <c r="H84" i="4"/>
  <c r="O84" i="4" s="1"/>
  <c r="H161" i="4"/>
  <c r="O161" i="4" s="1"/>
  <c r="I25" i="4"/>
  <c r="P25" i="4" s="1"/>
  <c r="I86" i="4"/>
  <c r="P86" i="4" s="1"/>
  <c r="I162" i="4"/>
  <c r="P162" i="4" s="1"/>
  <c r="M84" i="4"/>
  <c r="T84" i="4" s="1"/>
  <c r="M166" i="4"/>
  <c r="T166" i="4" s="1"/>
  <c r="M152" i="3"/>
  <c r="T152" i="3" s="1"/>
  <c r="M162" i="4"/>
  <c r="T162" i="4" s="1"/>
  <c r="H31" i="3"/>
  <c r="H132" i="3"/>
  <c r="H27" i="4"/>
  <c r="N27" i="4" s="1"/>
  <c r="H81" i="4"/>
  <c r="I147" i="4"/>
  <c r="P147" i="4" s="1"/>
  <c r="H14" i="2"/>
  <c r="H59" i="2"/>
  <c r="H99" i="2"/>
  <c r="I14" i="2"/>
  <c r="P14" i="2" s="1"/>
  <c r="I57" i="2"/>
  <c r="P57" i="2" s="1"/>
  <c r="I8" i="3"/>
  <c r="P8" i="3" s="1"/>
  <c r="I110" i="3"/>
  <c r="P110" i="3" s="1"/>
  <c r="H85" i="4"/>
  <c r="I26" i="4"/>
  <c r="P26" i="4" s="1"/>
  <c r="H15" i="2"/>
  <c r="I15" i="2"/>
  <c r="P15" i="2" s="1"/>
  <c r="M128" i="2"/>
  <c r="T128" i="2" s="1"/>
  <c r="N77" i="3"/>
  <c r="N177" i="3"/>
  <c r="H89" i="3"/>
  <c r="O89" i="3" s="1"/>
  <c r="I111" i="3"/>
  <c r="P111" i="3" s="1"/>
  <c r="H86" i="4"/>
  <c r="I27" i="4"/>
  <c r="P27" i="4" s="1"/>
  <c r="I102" i="4"/>
  <c r="P102" i="4" s="1"/>
  <c r="I165" i="4"/>
  <c r="P165" i="4" s="1"/>
  <c r="M104" i="4"/>
  <c r="T104" i="4" s="1"/>
  <c r="H90" i="3"/>
  <c r="I10" i="3"/>
  <c r="P10" i="3" s="1"/>
  <c r="I73" i="3"/>
  <c r="P73" i="3" s="1"/>
  <c r="I112" i="3"/>
  <c r="P112" i="3" s="1"/>
  <c r="M29" i="3"/>
  <c r="T29" i="3" s="1"/>
  <c r="H43" i="4"/>
  <c r="O43" i="4" s="1"/>
  <c r="I28" i="4"/>
  <c r="P28" i="4" s="1"/>
  <c r="H8" i="3"/>
  <c r="O8" i="3" s="1"/>
  <c r="O126" i="4"/>
  <c r="N8" i="3"/>
  <c r="O110" i="2"/>
  <c r="M20" i="2"/>
  <c r="T20" i="2" s="1"/>
  <c r="I20" i="2"/>
  <c r="P20" i="2" s="1"/>
  <c r="H40" i="2"/>
  <c r="M40" i="2"/>
  <c r="T40" i="2" s="1"/>
  <c r="I60" i="2"/>
  <c r="P60" i="2" s="1"/>
  <c r="H60" i="2"/>
  <c r="I80" i="2"/>
  <c r="P80" i="2" s="1"/>
  <c r="M80" i="2"/>
  <c r="T80" i="2" s="1"/>
  <c r="M100" i="2"/>
  <c r="T100" i="2" s="1"/>
  <c r="H100" i="2"/>
  <c r="H15" i="3"/>
  <c r="I15" i="3"/>
  <c r="P15" i="3" s="1"/>
  <c r="M35" i="3"/>
  <c r="T35" i="3" s="1"/>
  <c r="H35" i="3"/>
  <c r="I55" i="3"/>
  <c r="P55" i="3" s="1"/>
  <c r="H55" i="3"/>
  <c r="H75" i="3"/>
  <c r="M75" i="3"/>
  <c r="T75" i="3" s="1"/>
  <c r="I75" i="3"/>
  <c r="P75" i="3" s="1"/>
  <c r="I95" i="3"/>
  <c r="P95" i="3" s="1"/>
  <c r="M95" i="3"/>
  <c r="T95" i="3" s="1"/>
  <c r="M115" i="3"/>
  <c r="T115" i="3" s="1"/>
  <c r="H115" i="3"/>
  <c r="I115" i="3"/>
  <c r="P115" i="3" s="1"/>
  <c r="M15" i="3"/>
  <c r="T15" i="3" s="1"/>
  <c r="P3" i="3"/>
  <c r="O181" i="3"/>
  <c r="M16" i="3"/>
  <c r="T16" i="3" s="1"/>
  <c r="I16" i="3"/>
  <c r="P16" i="3" s="1"/>
  <c r="M36" i="3"/>
  <c r="T36" i="3" s="1"/>
  <c r="H36" i="3"/>
  <c r="N36" i="3" s="1"/>
  <c r="I36" i="3"/>
  <c r="P36" i="3" s="1"/>
  <c r="M56" i="3"/>
  <c r="T56" i="3" s="1"/>
  <c r="I56" i="3"/>
  <c r="P56" i="3" s="1"/>
  <c r="H56" i="3"/>
  <c r="M76" i="3"/>
  <c r="T76" i="3" s="1"/>
  <c r="H76" i="3"/>
  <c r="M96" i="3"/>
  <c r="T96" i="3" s="1"/>
  <c r="I96" i="3"/>
  <c r="P96" i="3" s="1"/>
  <c r="M116" i="3"/>
  <c r="T116" i="3" s="1"/>
  <c r="I116" i="3"/>
  <c r="P116" i="3" s="1"/>
  <c r="H116" i="3"/>
  <c r="M136" i="3"/>
  <c r="T136" i="3" s="1"/>
  <c r="I136" i="3"/>
  <c r="P136" i="3" s="1"/>
  <c r="M156" i="3"/>
  <c r="T156" i="3" s="1"/>
  <c r="I156" i="3"/>
  <c r="P156" i="3" s="1"/>
  <c r="H156" i="3"/>
  <c r="M176" i="3"/>
  <c r="T176" i="3" s="1"/>
  <c r="H176" i="3"/>
  <c r="O176" i="3" s="1"/>
  <c r="I176" i="3"/>
  <c r="M55" i="3"/>
  <c r="T55" i="3" s="1"/>
  <c r="O25" i="4"/>
  <c r="N25" i="4"/>
  <c r="O73" i="4"/>
  <c r="N73" i="4"/>
  <c r="N21" i="2"/>
  <c r="H136" i="3"/>
  <c r="I40" i="2"/>
  <c r="P40" i="2" s="1"/>
  <c r="P83" i="2"/>
  <c r="O133" i="3"/>
  <c r="N72" i="4"/>
  <c r="H20" i="2"/>
  <c r="I6" i="2"/>
  <c r="P6" i="2" s="1"/>
  <c r="M20" i="3"/>
  <c r="T20" i="3" s="1"/>
  <c r="I20" i="3"/>
  <c r="P20" i="3" s="1"/>
  <c r="H20" i="3"/>
  <c r="M40" i="3"/>
  <c r="T40" i="3" s="1"/>
  <c r="I40" i="3"/>
  <c r="P40" i="3" s="1"/>
  <c r="H40" i="3"/>
  <c r="M60" i="3"/>
  <c r="T60" i="3" s="1"/>
  <c r="I60" i="3"/>
  <c r="P60" i="3" s="1"/>
  <c r="H60" i="3"/>
  <c r="M80" i="3"/>
  <c r="T80" i="3" s="1"/>
  <c r="I80" i="3"/>
  <c r="P80" i="3" s="1"/>
  <c r="H80" i="3"/>
  <c r="M100" i="3"/>
  <c r="T100" i="3" s="1"/>
  <c r="I100" i="3"/>
  <c r="P100" i="3" s="1"/>
  <c r="H100" i="3"/>
  <c r="M120" i="3"/>
  <c r="T120" i="3" s="1"/>
  <c r="I120" i="3"/>
  <c r="H120" i="3"/>
  <c r="O120" i="3" s="1"/>
  <c r="O27" i="4"/>
  <c r="N145" i="4"/>
  <c r="P145" i="4"/>
  <c r="O66" i="2"/>
  <c r="H27" i="2"/>
  <c r="I27" i="2"/>
  <c r="P27" i="2" s="1"/>
  <c r="M47" i="2"/>
  <c r="T47" i="2" s="1"/>
  <c r="I47" i="2"/>
  <c r="P47" i="2" s="1"/>
  <c r="H47" i="2"/>
  <c r="H67" i="2"/>
  <c r="M67" i="2"/>
  <c r="T67" i="2" s="1"/>
  <c r="I87" i="2"/>
  <c r="P87" i="2" s="1"/>
  <c r="H87" i="2"/>
  <c r="H107" i="2"/>
  <c r="M107" i="2"/>
  <c r="T107" i="2" s="1"/>
  <c r="I127" i="2"/>
  <c r="H127" i="2"/>
  <c r="O127" i="2" s="1"/>
  <c r="M127" i="2"/>
  <c r="T127" i="2" s="1"/>
  <c r="H30" i="2"/>
  <c r="T2" i="2"/>
  <c r="P37" i="2"/>
  <c r="O68" i="2"/>
  <c r="I8" i="2"/>
  <c r="P8" i="2" s="1"/>
  <c r="H8" i="2"/>
  <c r="M8" i="2"/>
  <c r="T8" i="2" s="1"/>
  <c r="H31" i="2"/>
  <c r="H86" i="2"/>
  <c r="M86" i="2"/>
  <c r="T86" i="2" s="1"/>
  <c r="I86" i="2"/>
  <c r="P86" i="2" s="1"/>
  <c r="I9" i="2"/>
  <c r="P9" i="2" s="1"/>
  <c r="H9" i="2"/>
  <c r="M9" i="2"/>
  <c r="T9" i="2" s="1"/>
  <c r="I29" i="2"/>
  <c r="P29" i="2" s="1"/>
  <c r="H29" i="2"/>
  <c r="M29" i="2"/>
  <c r="T29" i="2" s="1"/>
  <c r="I49" i="2"/>
  <c r="P49" i="2" s="1"/>
  <c r="M49" i="2"/>
  <c r="T49" i="2" s="1"/>
  <c r="I69" i="2"/>
  <c r="P69" i="2" s="1"/>
  <c r="M69" i="2"/>
  <c r="T69" i="2" s="1"/>
  <c r="H69" i="2"/>
  <c r="I89" i="2"/>
  <c r="P89" i="2" s="1"/>
  <c r="M89" i="2"/>
  <c r="T89" i="2" s="1"/>
  <c r="I109" i="2"/>
  <c r="P109" i="2" s="1"/>
  <c r="H109" i="2"/>
  <c r="M109" i="2"/>
  <c r="T109" i="2" s="1"/>
  <c r="I129" i="2"/>
  <c r="P129" i="2" s="1"/>
  <c r="H129" i="2"/>
  <c r="O129" i="2" s="1"/>
  <c r="P97" i="2"/>
  <c r="N97" i="2"/>
  <c r="H95" i="3"/>
  <c r="I10" i="2"/>
  <c r="P10" i="2" s="1"/>
  <c r="H10" i="2"/>
  <c r="O10" i="2" s="1"/>
  <c r="I50" i="2"/>
  <c r="P50" i="2" s="1"/>
  <c r="M50" i="2"/>
  <c r="T50" i="2" s="1"/>
  <c r="I70" i="2"/>
  <c r="P70" i="2" s="1"/>
  <c r="M70" i="2"/>
  <c r="T70" i="2" s="1"/>
  <c r="H70" i="2"/>
  <c r="I90" i="2"/>
  <c r="P90" i="2" s="1"/>
  <c r="H90" i="2"/>
  <c r="I110" i="2"/>
  <c r="P110" i="2" s="1"/>
  <c r="M110" i="2"/>
  <c r="T110" i="2" s="1"/>
  <c r="I130" i="2"/>
  <c r="P130" i="2" s="1"/>
  <c r="H130" i="2"/>
  <c r="M130" i="2"/>
  <c r="T130" i="2" s="1"/>
  <c r="M6" i="2"/>
  <c r="T6" i="2" s="1"/>
  <c r="I11" i="2"/>
  <c r="P11" i="2" s="1"/>
  <c r="H11" i="2"/>
  <c r="M11" i="2"/>
  <c r="T11" i="2" s="1"/>
  <c r="I51" i="2"/>
  <c r="P51" i="2" s="1"/>
  <c r="H51" i="2"/>
  <c r="M51" i="2"/>
  <c r="T51" i="2" s="1"/>
  <c r="I71" i="2"/>
  <c r="P71" i="2" s="1"/>
  <c r="M71" i="2"/>
  <c r="T71" i="2" s="1"/>
  <c r="H71" i="2"/>
  <c r="I91" i="2"/>
  <c r="P91" i="2" s="1"/>
  <c r="H91" i="2"/>
  <c r="I111" i="2"/>
  <c r="M111" i="2"/>
  <c r="T111" i="2" s="1"/>
  <c r="I131" i="2"/>
  <c r="P131" i="2" s="1"/>
  <c r="H131" i="2"/>
  <c r="M131" i="2"/>
  <c r="T131" i="2" s="1"/>
  <c r="M10" i="2"/>
  <c r="T10" i="2" s="1"/>
  <c r="M60" i="2"/>
  <c r="T60" i="2" s="1"/>
  <c r="O57" i="2"/>
  <c r="O96" i="3"/>
  <c r="I66" i="2"/>
  <c r="P66" i="2" s="1"/>
  <c r="I100" i="2"/>
  <c r="P100" i="2" s="1"/>
  <c r="I67" i="2"/>
  <c r="P67" i="2" s="1"/>
  <c r="H106" i="2"/>
  <c r="M106" i="2"/>
  <c r="T106" i="2" s="1"/>
  <c r="I106" i="2"/>
  <c r="P106" i="2" s="1"/>
  <c r="O97" i="3"/>
  <c r="N61" i="3"/>
  <c r="N28" i="4"/>
  <c r="I107" i="2"/>
  <c r="P107" i="2" s="1"/>
  <c r="O109" i="3"/>
  <c r="N109" i="3"/>
  <c r="H16" i="3"/>
  <c r="N6" i="2"/>
  <c r="P84" i="4"/>
  <c r="H80" i="2"/>
  <c r="H46" i="2"/>
  <c r="M46" i="2"/>
  <c r="T46" i="2" s="1"/>
  <c r="I46" i="2"/>
  <c r="P46" i="2" s="1"/>
  <c r="P7" i="2"/>
  <c r="N150" i="3"/>
  <c r="H7" i="2"/>
  <c r="O7" i="2" s="1"/>
  <c r="M27" i="2"/>
  <c r="T27" i="2" s="1"/>
  <c r="I35" i="3"/>
  <c r="P35" i="3" s="1"/>
  <c r="H26" i="2"/>
  <c r="M26" i="2"/>
  <c r="T26" i="2" s="1"/>
  <c r="I26" i="2"/>
  <c r="P26" i="2" s="1"/>
  <c r="H49" i="2"/>
  <c r="M66" i="2"/>
  <c r="T66" i="2" s="1"/>
  <c r="N200" i="4"/>
  <c r="O200" i="4"/>
  <c r="H126" i="2"/>
  <c r="I126" i="2"/>
  <c r="P126" i="2" s="1"/>
  <c r="H50" i="2"/>
  <c r="H89" i="2"/>
  <c r="N121" i="2"/>
  <c r="M30" i="2"/>
  <c r="T30" i="2" s="1"/>
  <c r="M13" i="3"/>
  <c r="T13" i="3" s="1"/>
  <c r="H13" i="3"/>
  <c r="I13" i="3"/>
  <c r="P13" i="3" s="1"/>
  <c r="M33" i="3"/>
  <c r="T33" i="3" s="1"/>
  <c r="H33" i="3"/>
  <c r="I33" i="3"/>
  <c r="P33" i="3" s="1"/>
  <c r="H53" i="3"/>
  <c r="I53" i="3"/>
  <c r="P53" i="3" s="1"/>
  <c r="M53" i="3"/>
  <c r="T53" i="3" s="1"/>
  <c r="I28" i="2"/>
  <c r="P28" i="2" s="1"/>
  <c r="H28" i="2"/>
  <c r="I48" i="2"/>
  <c r="P48" i="2" s="1"/>
  <c r="M48" i="2"/>
  <c r="T48" i="2" s="1"/>
  <c r="M120" i="2"/>
  <c r="T120" i="2" s="1"/>
  <c r="H94" i="3"/>
  <c r="H134" i="3"/>
  <c r="M17" i="3"/>
  <c r="T17" i="3" s="1"/>
  <c r="O26" i="4"/>
  <c r="N26" i="4"/>
  <c r="M13" i="4"/>
  <c r="T13" i="4" s="1"/>
  <c r="M14" i="3"/>
  <c r="T14" i="3" s="1"/>
  <c r="H14" i="3"/>
  <c r="H54" i="3"/>
  <c r="I54" i="3"/>
  <c r="P54" i="3" s="1"/>
  <c r="H74" i="3"/>
  <c r="M74" i="3"/>
  <c r="T74" i="3" s="1"/>
  <c r="H154" i="3"/>
  <c r="I154" i="3"/>
  <c r="P154" i="3" s="1"/>
  <c r="M94" i="3"/>
  <c r="T94" i="3" s="1"/>
  <c r="N30" i="4"/>
  <c r="N131" i="4"/>
  <c r="O187" i="4"/>
  <c r="N187" i="4"/>
  <c r="I99" i="4"/>
  <c r="P99" i="4" s="1"/>
  <c r="I37" i="3"/>
  <c r="P37" i="3" s="1"/>
  <c r="M54" i="3"/>
  <c r="T54" i="3" s="1"/>
  <c r="M32" i="4"/>
  <c r="T32" i="4" s="1"/>
  <c r="I32" i="4"/>
  <c r="P32" i="4" s="1"/>
  <c r="H32" i="4"/>
  <c r="M52" i="4"/>
  <c r="T52" i="4" s="1"/>
  <c r="I52" i="4"/>
  <c r="P52" i="4" s="1"/>
  <c r="H52" i="4"/>
  <c r="O52" i="4" s="1"/>
  <c r="I92" i="4"/>
  <c r="P92" i="4" s="1"/>
  <c r="H92" i="4"/>
  <c r="M92" i="4"/>
  <c r="T92" i="4" s="1"/>
  <c r="I112" i="4"/>
  <c r="P112" i="4" s="1"/>
  <c r="M112" i="4"/>
  <c r="T112" i="4" s="1"/>
  <c r="M132" i="4"/>
  <c r="T132" i="4" s="1"/>
  <c r="I132" i="4"/>
  <c r="P132" i="4" s="1"/>
  <c r="H132" i="4"/>
  <c r="M172" i="4"/>
  <c r="T172" i="4" s="1"/>
  <c r="H172" i="4"/>
  <c r="M192" i="4"/>
  <c r="T192" i="4" s="1"/>
  <c r="I192" i="4"/>
  <c r="N41" i="4"/>
  <c r="M33" i="4"/>
  <c r="T33" i="4" s="1"/>
  <c r="I33" i="4"/>
  <c r="P33" i="4" s="1"/>
  <c r="H33" i="4"/>
  <c r="I93" i="4"/>
  <c r="P93" i="4" s="1"/>
  <c r="H93" i="4"/>
  <c r="M93" i="4"/>
  <c r="T93" i="4" s="1"/>
  <c r="M133" i="4"/>
  <c r="T133" i="4" s="1"/>
  <c r="H133" i="4"/>
  <c r="I133" i="4"/>
  <c r="P133" i="4" s="1"/>
  <c r="M173" i="4"/>
  <c r="T173" i="4" s="1"/>
  <c r="I173" i="4"/>
  <c r="P173" i="4" s="1"/>
  <c r="H173" i="4"/>
  <c r="I193" i="4"/>
  <c r="P193" i="4" s="1"/>
  <c r="H193" i="4"/>
  <c r="N42" i="4"/>
  <c r="I97" i="3"/>
  <c r="P97" i="3" s="1"/>
  <c r="M97" i="3"/>
  <c r="T97" i="3" s="1"/>
  <c r="M137" i="3"/>
  <c r="T137" i="3" s="1"/>
  <c r="H137" i="3"/>
  <c r="M57" i="3"/>
  <c r="T57" i="3" s="1"/>
  <c r="M72" i="4"/>
  <c r="T72" i="4" s="1"/>
  <c r="N119" i="2"/>
  <c r="M68" i="2"/>
  <c r="T68" i="2" s="1"/>
  <c r="M18" i="3"/>
  <c r="T18" i="3" s="1"/>
  <c r="I18" i="3"/>
  <c r="P18" i="3" s="1"/>
  <c r="M38" i="3"/>
  <c r="T38" i="3" s="1"/>
  <c r="I38" i="3"/>
  <c r="P38" i="3" s="1"/>
  <c r="M58" i="3"/>
  <c r="T58" i="3" s="1"/>
  <c r="I58" i="3"/>
  <c r="M78" i="3"/>
  <c r="T78" i="3" s="1"/>
  <c r="I78" i="3"/>
  <c r="P78" i="3" s="1"/>
  <c r="H78" i="3"/>
  <c r="M98" i="3"/>
  <c r="T98" i="3" s="1"/>
  <c r="I98" i="3"/>
  <c r="P98" i="3" s="1"/>
  <c r="H98" i="3"/>
  <c r="M118" i="3"/>
  <c r="T118" i="3" s="1"/>
  <c r="I118" i="3"/>
  <c r="M138" i="3"/>
  <c r="T138" i="3" s="1"/>
  <c r="I138" i="3"/>
  <c r="P138" i="3" s="1"/>
  <c r="H138" i="3"/>
  <c r="M158" i="3"/>
  <c r="T158" i="3" s="1"/>
  <c r="I158" i="3"/>
  <c r="P158" i="3" s="1"/>
  <c r="M178" i="3"/>
  <c r="T178" i="3" s="1"/>
  <c r="I178" i="3"/>
  <c r="H178" i="3"/>
  <c r="O178" i="3" s="1"/>
  <c r="H34" i="3"/>
  <c r="H99" i="4"/>
  <c r="H152" i="4"/>
  <c r="M193" i="4"/>
  <c r="T193" i="4" s="1"/>
  <c r="H120" i="2"/>
  <c r="O120" i="2" s="1"/>
  <c r="I82" i="2"/>
  <c r="M41" i="2"/>
  <c r="T41" i="2" s="1"/>
  <c r="M19" i="3"/>
  <c r="T19" i="3" s="1"/>
  <c r="I19" i="3"/>
  <c r="M59" i="3"/>
  <c r="T59" i="3" s="1"/>
  <c r="I59" i="3"/>
  <c r="P59" i="3" s="1"/>
  <c r="M79" i="3"/>
  <c r="T79" i="3" s="1"/>
  <c r="H79" i="3"/>
  <c r="M99" i="3"/>
  <c r="T99" i="3" s="1"/>
  <c r="H99" i="3"/>
  <c r="M119" i="3"/>
  <c r="T119" i="3" s="1"/>
  <c r="I119" i="3"/>
  <c r="M139" i="3"/>
  <c r="T139" i="3" s="1"/>
  <c r="H139" i="3"/>
  <c r="M159" i="3"/>
  <c r="T159" i="3" s="1"/>
  <c r="I159" i="3"/>
  <c r="P159" i="3" s="1"/>
  <c r="M179" i="3"/>
  <c r="T179" i="3" s="1"/>
  <c r="H179" i="3"/>
  <c r="H114" i="3"/>
  <c r="O149" i="3"/>
  <c r="N149" i="3"/>
  <c r="I174" i="3"/>
  <c r="M174" i="3"/>
  <c r="T174" i="3" s="1"/>
  <c r="P56" i="4"/>
  <c r="H153" i="4"/>
  <c r="H201" i="4"/>
  <c r="M140" i="3"/>
  <c r="T140" i="3" s="1"/>
  <c r="I140" i="3"/>
  <c r="P140" i="3" s="1"/>
  <c r="H140" i="3"/>
  <c r="M160" i="3"/>
  <c r="T160" i="3" s="1"/>
  <c r="I160" i="3"/>
  <c r="P160" i="3" s="1"/>
  <c r="H160" i="3"/>
  <c r="M180" i="3"/>
  <c r="T180" i="3" s="1"/>
  <c r="I180" i="3"/>
  <c r="P180" i="3" s="1"/>
  <c r="H180" i="3"/>
  <c r="H155" i="3"/>
  <c r="I134" i="3"/>
  <c r="P134" i="3" s="1"/>
  <c r="I175" i="3"/>
  <c r="M175" i="3"/>
  <c r="T175" i="3" s="1"/>
  <c r="O46" i="4"/>
  <c r="N46" i="4"/>
  <c r="H159" i="4"/>
  <c r="M201" i="4"/>
  <c r="T201" i="4" s="1"/>
  <c r="N117" i="2"/>
  <c r="H37" i="3"/>
  <c r="I135" i="3"/>
  <c r="P135" i="3" s="1"/>
  <c r="M177" i="3"/>
  <c r="T177" i="3" s="1"/>
  <c r="H160" i="4"/>
  <c r="N160" i="4" s="1"/>
  <c r="I53" i="4"/>
  <c r="I113" i="4"/>
  <c r="P113" i="4" s="1"/>
  <c r="M152" i="4"/>
  <c r="T152" i="4" s="1"/>
  <c r="H128" i="2"/>
  <c r="H117" i="3"/>
  <c r="H157" i="3"/>
  <c r="H19" i="4"/>
  <c r="I19" i="4"/>
  <c r="P19" i="4" s="1"/>
  <c r="M39" i="4"/>
  <c r="T39" i="4" s="1"/>
  <c r="I39" i="4"/>
  <c r="P39" i="4" s="1"/>
  <c r="H39" i="4"/>
  <c r="M59" i="4"/>
  <c r="T59" i="4" s="1"/>
  <c r="H59" i="4"/>
  <c r="I59" i="4"/>
  <c r="P59" i="4" s="1"/>
  <c r="I79" i="4"/>
  <c r="P79" i="4" s="1"/>
  <c r="H79" i="4"/>
  <c r="M79" i="4"/>
  <c r="T79" i="4" s="1"/>
  <c r="M139" i="4"/>
  <c r="T139" i="4" s="1"/>
  <c r="H139" i="4"/>
  <c r="I139" i="4"/>
  <c r="P139" i="4" s="1"/>
  <c r="M179" i="4"/>
  <c r="T179" i="4" s="1"/>
  <c r="I179" i="4"/>
  <c r="P179" i="4" s="1"/>
  <c r="H179" i="4"/>
  <c r="I199" i="4"/>
  <c r="P199" i="4" s="1"/>
  <c r="H199" i="4"/>
  <c r="O199" i="4" s="1"/>
  <c r="I119" i="4"/>
  <c r="I172" i="4"/>
  <c r="P172" i="4" s="1"/>
  <c r="M153" i="4"/>
  <c r="T153" i="4" s="1"/>
  <c r="N38" i="2"/>
  <c r="N39" i="3"/>
  <c r="I137" i="3"/>
  <c r="P137" i="3" s="1"/>
  <c r="H20" i="4"/>
  <c r="I20" i="4"/>
  <c r="P20" i="4" s="1"/>
  <c r="M40" i="4"/>
  <c r="T40" i="4" s="1"/>
  <c r="I40" i="4"/>
  <c r="H40" i="4"/>
  <c r="O40" i="4" s="1"/>
  <c r="H60" i="4"/>
  <c r="I60" i="4"/>
  <c r="P60" i="4" s="1"/>
  <c r="H100" i="4"/>
  <c r="I100" i="4"/>
  <c r="P100" i="4" s="1"/>
  <c r="M120" i="4"/>
  <c r="T120" i="4" s="1"/>
  <c r="I120" i="4"/>
  <c r="P120" i="4" s="1"/>
  <c r="H120" i="4"/>
  <c r="I140" i="4"/>
  <c r="P140" i="4" s="1"/>
  <c r="H140" i="4"/>
  <c r="M140" i="4"/>
  <c r="T140" i="4" s="1"/>
  <c r="M180" i="4"/>
  <c r="T180" i="4" s="1"/>
  <c r="I180" i="4"/>
  <c r="P180" i="4" s="1"/>
  <c r="H180" i="4"/>
  <c r="M200" i="4"/>
  <c r="T200" i="4" s="1"/>
  <c r="I200" i="4"/>
  <c r="P200" i="4" s="1"/>
  <c r="M100" i="4"/>
  <c r="T100" i="4" s="1"/>
  <c r="M159" i="4"/>
  <c r="T159" i="4" s="1"/>
  <c r="N101" i="2"/>
  <c r="N39" i="2"/>
  <c r="I14" i="3"/>
  <c r="P14" i="3" s="1"/>
  <c r="M77" i="3"/>
  <c r="T77" i="3" s="1"/>
  <c r="M21" i="4"/>
  <c r="T21" i="4" s="1"/>
  <c r="I21" i="4"/>
  <c r="P21" i="4" s="1"/>
  <c r="H21" i="4"/>
  <c r="M61" i="4"/>
  <c r="T61" i="4" s="1"/>
  <c r="H61" i="4"/>
  <c r="H101" i="4"/>
  <c r="I101" i="4"/>
  <c r="P101" i="4" s="1"/>
  <c r="M121" i="4"/>
  <c r="T121" i="4" s="1"/>
  <c r="I121" i="4"/>
  <c r="P121" i="4" s="1"/>
  <c r="H121" i="4"/>
  <c r="I141" i="4"/>
  <c r="P141" i="4" s="1"/>
  <c r="H141" i="4"/>
  <c r="M141" i="4"/>
  <c r="T141" i="4" s="1"/>
  <c r="I181" i="4"/>
  <c r="P181" i="4" s="1"/>
  <c r="H181" i="4"/>
  <c r="I13" i="4"/>
  <c r="P13" i="4" s="1"/>
  <c r="M101" i="4"/>
  <c r="T101" i="4" s="1"/>
  <c r="M160" i="4"/>
  <c r="T160" i="4" s="1"/>
  <c r="H22" i="2"/>
  <c r="M22" i="2"/>
  <c r="T22" i="2" s="1"/>
  <c r="I22" i="2"/>
  <c r="P22" i="2" s="1"/>
  <c r="H102" i="2"/>
  <c r="I102" i="2"/>
  <c r="P102" i="2" s="1"/>
  <c r="H122" i="2"/>
  <c r="M122" i="2"/>
  <c r="T122" i="2" s="1"/>
  <c r="I62" i="2"/>
  <c r="P62" i="2" s="1"/>
  <c r="N7" i="3"/>
  <c r="N121" i="3"/>
  <c r="O121" i="3"/>
  <c r="M117" i="3"/>
  <c r="T117" i="3" s="1"/>
  <c r="M2" i="4"/>
  <c r="H2" i="4"/>
  <c r="M62" i="4"/>
  <c r="T62" i="4" s="1"/>
  <c r="I62" i="4"/>
  <c r="P62" i="4" s="1"/>
  <c r="H62" i="4"/>
  <c r="I82" i="4"/>
  <c r="P82" i="4" s="1"/>
  <c r="H82" i="4"/>
  <c r="N102" i="4"/>
  <c r="M122" i="4"/>
  <c r="T122" i="4" s="1"/>
  <c r="I122" i="4"/>
  <c r="P122" i="4" s="1"/>
  <c r="H122" i="4"/>
  <c r="N3" i="4"/>
  <c r="H112" i="4"/>
  <c r="I22" i="4"/>
  <c r="M102" i="4"/>
  <c r="T102" i="4" s="1"/>
  <c r="N104" i="3"/>
  <c r="H23" i="2"/>
  <c r="M23" i="2"/>
  <c r="T23" i="2" s="1"/>
  <c r="I23" i="2"/>
  <c r="P23" i="2" s="1"/>
  <c r="H103" i="2"/>
  <c r="I103" i="2"/>
  <c r="P103" i="2" s="1"/>
  <c r="H123" i="2"/>
  <c r="M123" i="2"/>
  <c r="T123" i="2" s="1"/>
  <c r="N74" i="2"/>
  <c r="I63" i="2"/>
  <c r="I122" i="2"/>
  <c r="P122" i="2" s="1"/>
  <c r="M84" i="2"/>
  <c r="T84" i="2" s="1"/>
  <c r="H6" i="3"/>
  <c r="M6" i="3"/>
  <c r="H26" i="3"/>
  <c r="O26" i="3" s="1"/>
  <c r="I26" i="3"/>
  <c r="I46" i="3"/>
  <c r="M46" i="3"/>
  <c r="T46" i="3" s="1"/>
  <c r="H46" i="3"/>
  <c r="O46" i="3" s="1"/>
  <c r="M154" i="3"/>
  <c r="T154" i="3" s="1"/>
  <c r="H23" i="4"/>
  <c r="I23" i="4"/>
  <c r="P23" i="4" s="1"/>
  <c r="M63" i="4"/>
  <c r="T63" i="4" s="1"/>
  <c r="I63" i="4"/>
  <c r="P63" i="4" s="1"/>
  <c r="H63" i="4"/>
  <c r="I83" i="4"/>
  <c r="M83" i="4"/>
  <c r="T83" i="4" s="1"/>
  <c r="M103" i="4"/>
  <c r="T103" i="4" s="1"/>
  <c r="H103" i="4"/>
  <c r="I103" i="4"/>
  <c r="P103" i="4" s="1"/>
  <c r="I123" i="4"/>
  <c r="P123" i="4" s="1"/>
  <c r="H123" i="4"/>
  <c r="H143" i="4"/>
  <c r="I143" i="4"/>
  <c r="P143" i="4" s="1"/>
  <c r="M163" i="4"/>
  <c r="T163" i="4" s="1"/>
  <c r="I163" i="4"/>
  <c r="P163" i="4" s="1"/>
  <c r="H163" i="4"/>
  <c r="M183" i="4"/>
  <c r="T183" i="4" s="1"/>
  <c r="H183" i="4"/>
  <c r="I183" i="4"/>
  <c r="P183" i="4" s="1"/>
  <c r="H113" i="4"/>
  <c r="O30" i="4"/>
  <c r="N43" i="4"/>
  <c r="N106" i="4"/>
  <c r="H24" i="2"/>
  <c r="M24" i="2"/>
  <c r="T24" i="2" s="1"/>
  <c r="I24" i="2"/>
  <c r="P24" i="2" s="1"/>
  <c r="H104" i="2"/>
  <c r="I104" i="2"/>
  <c r="P104" i="2" s="1"/>
  <c r="H124" i="2"/>
  <c r="O124" i="2" s="1"/>
  <c r="M124" i="2"/>
  <c r="T124" i="2" s="1"/>
  <c r="I64" i="2"/>
  <c r="I123" i="2"/>
  <c r="P123" i="2" s="1"/>
  <c r="M85" i="2"/>
  <c r="T85" i="2" s="1"/>
  <c r="H27" i="3"/>
  <c r="I27" i="3"/>
  <c r="P27" i="3" s="1"/>
  <c r="I47" i="3"/>
  <c r="P47" i="3" s="1"/>
  <c r="H47" i="3"/>
  <c r="H127" i="3"/>
  <c r="I127" i="3"/>
  <c r="P127" i="3" s="1"/>
  <c r="N166" i="3"/>
  <c r="M155" i="3"/>
  <c r="T155" i="3" s="1"/>
  <c r="H119" i="4"/>
  <c r="O119" i="4" s="1"/>
  <c r="I73" i="4"/>
  <c r="P73" i="4" s="1"/>
  <c r="N76" i="2"/>
  <c r="O38" i="3"/>
  <c r="O127" i="4"/>
  <c r="H25" i="2"/>
  <c r="I25" i="2"/>
  <c r="P25" i="2" s="1"/>
  <c r="H45" i="2"/>
  <c r="M45" i="2"/>
  <c r="T45" i="2" s="1"/>
  <c r="H105" i="2"/>
  <c r="O105" i="2" s="1"/>
  <c r="I105" i="2"/>
  <c r="H125" i="2"/>
  <c r="M125" i="2"/>
  <c r="T125" i="2" s="1"/>
  <c r="H48" i="2"/>
  <c r="I2" i="2"/>
  <c r="I65" i="2"/>
  <c r="I124" i="2"/>
  <c r="H28" i="3"/>
  <c r="I28" i="3"/>
  <c r="P28" i="3" s="1"/>
  <c r="I48" i="3"/>
  <c r="P48" i="3" s="1"/>
  <c r="H48" i="3"/>
  <c r="M88" i="3"/>
  <c r="T88" i="3" s="1"/>
  <c r="I88" i="3"/>
  <c r="H128" i="3"/>
  <c r="I128" i="3"/>
  <c r="P128" i="3" s="1"/>
  <c r="M128" i="3"/>
  <c r="T128" i="3" s="1"/>
  <c r="I168" i="3"/>
  <c r="M168" i="3"/>
  <c r="T168" i="3" s="1"/>
  <c r="H167" i="3"/>
  <c r="I67" i="3"/>
  <c r="P67" i="3" s="1"/>
  <c r="M157" i="3"/>
  <c r="T157" i="3" s="1"/>
  <c r="H12" i="4"/>
  <c r="N71" i="4"/>
  <c r="I80" i="4"/>
  <c r="N125" i="4"/>
  <c r="N165" i="4"/>
  <c r="I182" i="4"/>
  <c r="P182" i="4" s="1"/>
  <c r="H182" i="4"/>
  <c r="N87" i="4"/>
  <c r="O86" i="4"/>
  <c r="N32" i="2"/>
  <c r="H11" i="3"/>
  <c r="H73" i="3"/>
  <c r="H170" i="3"/>
  <c r="I153" i="3"/>
  <c r="M69" i="3"/>
  <c r="T69" i="3" s="1"/>
  <c r="M131" i="3"/>
  <c r="T131" i="3" s="1"/>
  <c r="I191" i="4"/>
  <c r="M182" i="4"/>
  <c r="T182" i="4" s="1"/>
  <c r="H52" i="2"/>
  <c r="N50" i="3"/>
  <c r="H12" i="3"/>
  <c r="H110" i="3"/>
  <c r="H171" i="3"/>
  <c r="I89" i="3"/>
  <c r="P89" i="3" s="1"/>
  <c r="M70" i="3"/>
  <c r="T70" i="3" s="1"/>
  <c r="N107" i="4"/>
  <c r="I54" i="2"/>
  <c r="P54" i="2" s="1"/>
  <c r="H111" i="3"/>
  <c r="M71" i="3"/>
  <c r="T71" i="3" s="1"/>
  <c r="M9" i="4"/>
  <c r="T9" i="4" s="1"/>
  <c r="I9" i="4"/>
  <c r="P9" i="4" s="1"/>
  <c r="H9" i="4"/>
  <c r="M29" i="4"/>
  <c r="T29" i="4" s="1"/>
  <c r="I29" i="4"/>
  <c r="P29" i="4" s="1"/>
  <c r="H29" i="4"/>
  <c r="M49" i="4"/>
  <c r="T49" i="4" s="1"/>
  <c r="I49" i="4"/>
  <c r="P49" i="4" s="1"/>
  <c r="H49" i="4"/>
  <c r="M69" i="4"/>
  <c r="T69" i="4" s="1"/>
  <c r="I69" i="4"/>
  <c r="H69" i="4"/>
  <c r="O69" i="4" s="1"/>
  <c r="M89" i="4"/>
  <c r="T89" i="4" s="1"/>
  <c r="I89" i="4"/>
  <c r="P89" i="4" s="1"/>
  <c r="H89" i="4"/>
  <c r="H142" i="4"/>
  <c r="H54" i="2"/>
  <c r="N79" i="2"/>
  <c r="H134" i="2"/>
  <c r="I55" i="2"/>
  <c r="P55" i="2" s="1"/>
  <c r="M72" i="2"/>
  <c r="T72" i="2" s="1"/>
  <c r="H112" i="3"/>
  <c r="H173" i="3"/>
  <c r="I129" i="3"/>
  <c r="M72" i="3"/>
  <c r="T72" i="3" s="1"/>
  <c r="M90" i="4"/>
  <c r="T90" i="4" s="1"/>
  <c r="I90" i="4"/>
  <c r="P90" i="4" s="1"/>
  <c r="H90" i="4"/>
  <c r="I110" i="4"/>
  <c r="P110" i="4" s="1"/>
  <c r="H110" i="4"/>
  <c r="I150" i="4"/>
  <c r="P150" i="4" s="1"/>
  <c r="H150" i="4"/>
  <c r="N150" i="4" s="1"/>
  <c r="M190" i="4"/>
  <c r="T190" i="4" s="1"/>
  <c r="I190" i="4"/>
  <c r="P190" i="4" s="1"/>
  <c r="H190" i="4"/>
  <c r="I111" i="4"/>
  <c r="H113" i="3"/>
  <c r="M31" i="4"/>
  <c r="T31" i="4" s="1"/>
  <c r="I31" i="4"/>
  <c r="P31" i="4" s="1"/>
  <c r="H31" i="4"/>
  <c r="M51" i="4"/>
  <c r="T51" i="4" s="1"/>
  <c r="I51" i="4"/>
  <c r="P51" i="4" s="1"/>
  <c r="H51" i="4"/>
  <c r="M91" i="4"/>
  <c r="T91" i="4" s="1"/>
  <c r="I91" i="4"/>
  <c r="P91" i="4" s="1"/>
  <c r="H91" i="4"/>
  <c r="I151" i="4"/>
  <c r="P151" i="4" s="1"/>
  <c r="H151" i="4"/>
  <c r="M171" i="4"/>
  <c r="T171" i="4" s="1"/>
  <c r="I171" i="4"/>
  <c r="P171" i="4" s="1"/>
  <c r="M15" i="4"/>
  <c r="T15" i="4" s="1"/>
  <c r="I15" i="4"/>
  <c r="P15" i="4" s="1"/>
  <c r="H15" i="4"/>
  <c r="M35" i="4"/>
  <c r="T35" i="4" s="1"/>
  <c r="I35" i="4"/>
  <c r="P35" i="4" s="1"/>
  <c r="H35" i="4"/>
  <c r="M55" i="4"/>
  <c r="T55" i="4" s="1"/>
  <c r="I55" i="4"/>
  <c r="P55" i="4" s="1"/>
  <c r="H55" i="4"/>
  <c r="M75" i="4"/>
  <c r="T75" i="4" s="1"/>
  <c r="I75" i="4"/>
  <c r="P75" i="4" s="1"/>
  <c r="H75" i="4"/>
  <c r="I44" i="3"/>
  <c r="H4" i="4"/>
  <c r="H88" i="4"/>
  <c r="H146" i="4"/>
  <c r="I4" i="4"/>
  <c r="P4" i="4" s="1"/>
  <c r="I88" i="4"/>
  <c r="P88" i="4" s="1"/>
  <c r="I146" i="4"/>
  <c r="P146" i="4" s="1"/>
  <c r="I2" i="3"/>
  <c r="H2" i="3"/>
  <c r="I22" i="3"/>
  <c r="P22" i="3" s="1"/>
  <c r="H22" i="3"/>
  <c r="I42" i="3"/>
  <c r="P42" i="3" s="1"/>
  <c r="H42" i="3"/>
  <c r="O42" i="3" s="1"/>
  <c r="I62" i="3"/>
  <c r="P62" i="3" s="1"/>
  <c r="H62" i="3"/>
  <c r="M63" i="3"/>
  <c r="T63" i="3" s="1"/>
  <c r="H5" i="4"/>
  <c r="I5" i="4"/>
  <c r="P5" i="4" s="1"/>
  <c r="H101" i="3"/>
  <c r="H6" i="4"/>
  <c r="H64" i="4"/>
  <c r="H148" i="4"/>
  <c r="I6" i="4"/>
  <c r="P6" i="4" s="1"/>
  <c r="I64" i="4"/>
  <c r="P64" i="4" s="1"/>
  <c r="I148" i="4"/>
  <c r="P148" i="4" s="1"/>
  <c r="I23" i="3"/>
  <c r="I123" i="3"/>
  <c r="M41" i="3"/>
  <c r="T41" i="3" s="1"/>
  <c r="M141" i="3"/>
  <c r="T141" i="3" s="1"/>
  <c r="H7" i="4"/>
  <c r="H65" i="4"/>
  <c r="I7" i="4"/>
  <c r="P7" i="4" s="1"/>
  <c r="I65" i="4"/>
  <c r="P65" i="4" s="1"/>
  <c r="H8" i="4"/>
  <c r="I8" i="4"/>
  <c r="P8" i="4" s="1"/>
  <c r="H109" i="4"/>
  <c r="H129" i="4"/>
  <c r="H149" i="4"/>
  <c r="H169" i="4"/>
  <c r="H189" i="4"/>
  <c r="I109" i="4"/>
  <c r="P109" i="4" s="1"/>
  <c r="I129" i="4"/>
  <c r="P129" i="4" s="1"/>
  <c r="I149" i="4"/>
  <c r="P149" i="4" s="1"/>
  <c r="I169" i="4"/>
  <c r="P169" i="4" s="1"/>
  <c r="I189" i="4"/>
  <c r="P189" i="4" s="1"/>
  <c r="H14" i="4"/>
  <c r="H34" i="4"/>
  <c r="H54" i="4"/>
  <c r="H74" i="4"/>
  <c r="H94" i="4"/>
  <c r="H114" i="4"/>
  <c r="H134" i="4"/>
  <c r="H154" i="4"/>
  <c r="H174" i="4"/>
  <c r="H194" i="4"/>
  <c r="I14" i="4"/>
  <c r="P14" i="4" s="1"/>
  <c r="I34" i="4"/>
  <c r="P34" i="4" s="1"/>
  <c r="I54" i="4"/>
  <c r="P54" i="4" s="1"/>
  <c r="I94" i="4"/>
  <c r="P94" i="4" s="1"/>
  <c r="I114" i="4"/>
  <c r="P114" i="4" s="1"/>
  <c r="I134" i="4"/>
  <c r="P134" i="4" s="1"/>
  <c r="I154" i="4"/>
  <c r="P154" i="4" s="1"/>
  <c r="I174" i="4"/>
  <c r="P174" i="4" s="1"/>
  <c r="I194" i="4"/>
  <c r="P194" i="4" s="1"/>
  <c r="H95" i="4"/>
  <c r="H115" i="4"/>
  <c r="H135" i="4"/>
  <c r="H155" i="4"/>
  <c r="O155" i="4" s="1"/>
  <c r="H175" i="4"/>
  <c r="H195" i="4"/>
  <c r="I95" i="4"/>
  <c r="P95" i="4" s="1"/>
  <c r="I115" i="4"/>
  <c r="P115" i="4" s="1"/>
  <c r="I135" i="4"/>
  <c r="P135" i="4" s="1"/>
  <c r="I155" i="4"/>
  <c r="P155" i="4" s="1"/>
  <c r="I175" i="4"/>
  <c r="P175" i="4" s="1"/>
  <c r="I195" i="4"/>
  <c r="P195" i="4" s="1"/>
  <c r="H82" i="3"/>
  <c r="H102" i="3"/>
  <c r="O102" i="3" s="1"/>
  <c r="H122" i="3"/>
  <c r="H142" i="3"/>
  <c r="H162" i="3"/>
  <c r="H182" i="3"/>
  <c r="H16" i="4"/>
  <c r="H36" i="4"/>
  <c r="H56" i="4"/>
  <c r="O56" i="4" s="1"/>
  <c r="H76" i="4"/>
  <c r="H96" i="4"/>
  <c r="H116" i="4"/>
  <c r="H136" i="4"/>
  <c r="H156" i="4"/>
  <c r="O156" i="4" s="1"/>
  <c r="H176" i="4"/>
  <c r="H196" i="4"/>
  <c r="I16" i="4"/>
  <c r="P16" i="4" s="1"/>
  <c r="I36" i="4"/>
  <c r="P36" i="4" s="1"/>
  <c r="I76" i="4"/>
  <c r="P76" i="4" s="1"/>
  <c r="I96" i="4"/>
  <c r="P96" i="4" s="1"/>
  <c r="I116" i="4"/>
  <c r="P116" i="4" s="1"/>
  <c r="I136" i="4"/>
  <c r="P136" i="4" s="1"/>
  <c r="I156" i="4"/>
  <c r="P156" i="4" s="1"/>
  <c r="I176" i="4"/>
  <c r="P176" i="4" s="1"/>
  <c r="I196" i="4"/>
  <c r="P196" i="4" s="1"/>
  <c r="H17" i="4"/>
  <c r="O17" i="4" s="1"/>
  <c r="H37" i="4"/>
  <c r="H57" i="4"/>
  <c r="O57" i="4" s="1"/>
  <c r="H77" i="4"/>
  <c r="H97" i="4"/>
  <c r="H117" i="4"/>
  <c r="H137" i="4"/>
  <c r="H157" i="4"/>
  <c r="H177" i="4"/>
  <c r="H197" i="4"/>
  <c r="I17" i="4"/>
  <c r="I37" i="4"/>
  <c r="P37" i="4" s="1"/>
  <c r="I57" i="4"/>
  <c r="P57" i="4" s="1"/>
  <c r="I77" i="4"/>
  <c r="P77" i="4" s="1"/>
  <c r="I97" i="4"/>
  <c r="P97" i="4" s="1"/>
  <c r="I117" i="4"/>
  <c r="P117" i="4" s="1"/>
  <c r="I137" i="4"/>
  <c r="P137" i="4" s="1"/>
  <c r="I157" i="4"/>
  <c r="P157" i="4" s="1"/>
  <c r="I177" i="4"/>
  <c r="P177" i="4" s="1"/>
  <c r="I197" i="4"/>
  <c r="P197" i="4" s="1"/>
  <c r="H18" i="4"/>
  <c r="H38" i="4"/>
  <c r="H58" i="4"/>
  <c r="H78" i="4"/>
  <c r="H98" i="4"/>
  <c r="H118" i="4"/>
  <c r="H138" i="4"/>
  <c r="H158" i="4"/>
  <c r="H178" i="4"/>
  <c r="H198" i="4"/>
  <c r="I18" i="4"/>
  <c r="P18" i="4" s="1"/>
  <c r="I38" i="4"/>
  <c r="P38" i="4" s="1"/>
  <c r="I58" i="4"/>
  <c r="P58" i="4" s="1"/>
  <c r="I78" i="4"/>
  <c r="P78" i="4" s="1"/>
  <c r="I98" i="4"/>
  <c r="P98" i="4" s="1"/>
  <c r="I118" i="4"/>
  <c r="P118" i="4" s="1"/>
  <c r="I138" i="4"/>
  <c r="P138" i="4" s="1"/>
  <c r="I158" i="4"/>
  <c r="P158" i="4" s="1"/>
  <c r="I178" i="4"/>
  <c r="P178" i="4" s="1"/>
  <c r="I198" i="4"/>
  <c r="P198" i="4" s="1"/>
  <c r="N199" i="4"/>
  <c r="N186" i="4"/>
  <c r="O144" i="4"/>
  <c r="O94" i="4"/>
  <c r="N52" i="4"/>
  <c r="N45" i="4"/>
  <c r="N24" i="4"/>
  <c r="P46" i="3"/>
  <c r="O169" i="3"/>
  <c r="O35" i="3"/>
  <c r="P135" i="2"/>
  <c r="O121" i="2"/>
  <c r="N116" i="2"/>
  <c r="O101" i="2"/>
  <c r="O88" i="2"/>
  <c r="N10" i="2"/>
  <c r="X74" i="4"/>
  <c r="Y57" i="4"/>
  <c r="W173" i="4"/>
  <c r="Y138" i="4"/>
  <c r="Y147" i="4"/>
  <c r="Y190" i="4"/>
  <c r="W8" i="4"/>
  <c r="W166" i="4"/>
  <c r="W61" i="4"/>
  <c r="Y200" i="4"/>
  <c r="X87" i="4"/>
  <c r="Y3" i="4"/>
  <c r="Y145" i="4"/>
  <c r="W88" i="4"/>
  <c r="X156" i="4"/>
  <c r="Y85" i="4"/>
  <c r="W31" i="4"/>
  <c r="X18" i="4"/>
  <c r="Y89" i="4"/>
  <c r="X57" i="4"/>
  <c r="X80" i="4"/>
  <c r="Y134" i="4"/>
  <c r="W22" i="4"/>
  <c r="W27" i="4"/>
  <c r="W25" i="4"/>
  <c r="W20" i="4"/>
  <c r="W21" i="4"/>
  <c r="W23" i="4"/>
  <c r="W24" i="4"/>
  <c r="W26" i="4"/>
  <c r="X193" i="4"/>
  <c r="X180" i="4"/>
  <c r="X182" i="4"/>
  <c r="X195" i="4"/>
  <c r="W56" i="4"/>
  <c r="W60" i="4"/>
  <c r="W54" i="4"/>
  <c r="W57" i="4"/>
  <c r="W58" i="4"/>
  <c r="W53" i="4"/>
  <c r="W51" i="4"/>
  <c r="X94" i="4"/>
  <c r="X86" i="4"/>
  <c r="X89" i="4"/>
  <c r="W65" i="4"/>
  <c r="Y59" i="4"/>
  <c r="W139" i="4"/>
  <c r="W140" i="4"/>
  <c r="W141" i="4"/>
  <c r="W137" i="4"/>
  <c r="W142" i="4"/>
  <c r="W144" i="4"/>
  <c r="X78" i="4"/>
  <c r="W178" i="4"/>
  <c r="W100" i="4"/>
  <c r="X85" i="4"/>
  <c r="W176" i="4"/>
  <c r="X75" i="4"/>
  <c r="W164" i="4"/>
  <c r="Y149" i="4"/>
  <c r="Y146" i="4"/>
  <c r="Y139" i="4"/>
  <c r="Y140" i="4"/>
  <c r="Y141" i="4"/>
  <c r="Y137" i="4"/>
  <c r="Y142" i="4"/>
  <c r="Y144" i="4"/>
  <c r="Y88" i="4"/>
  <c r="Y91" i="4"/>
  <c r="Y90" i="4"/>
  <c r="Y143" i="4"/>
  <c r="Y201" i="4"/>
  <c r="Y86" i="4"/>
  <c r="W138" i="4"/>
  <c r="W136" i="4"/>
  <c r="W45" i="4"/>
  <c r="W47" i="4"/>
  <c r="W34" i="4"/>
  <c r="W48" i="4"/>
  <c r="W38" i="4"/>
  <c r="W30" i="4"/>
  <c r="W28" i="4"/>
  <c r="W39" i="4"/>
  <c r="W42" i="4"/>
  <c r="W35" i="4"/>
  <c r="W37" i="4"/>
  <c r="W40" i="4"/>
  <c r="W46" i="4"/>
  <c r="W33" i="4"/>
  <c r="X68" i="4"/>
  <c r="X64" i="4"/>
  <c r="X65" i="4"/>
  <c r="X82" i="4"/>
  <c r="X71" i="4"/>
  <c r="X76" i="4"/>
  <c r="X77" i="4"/>
  <c r="X67" i="4"/>
  <c r="X79" i="4"/>
  <c r="X185" i="4"/>
  <c r="Y94" i="4"/>
  <c r="Y136" i="4"/>
  <c r="Y35" i="4"/>
  <c r="W29" i="4"/>
  <c r="Y95" i="4"/>
  <c r="Y19" i="4"/>
  <c r="Y93" i="4"/>
  <c r="Y92" i="4"/>
  <c r="X84" i="4"/>
  <c r="W135" i="4"/>
  <c r="W143" i="4"/>
  <c r="X149" i="4"/>
  <c r="Y14" i="4"/>
  <c r="X83" i="4"/>
  <c r="X72" i="4"/>
  <c r="W134" i="4"/>
  <c r="W154" i="4"/>
  <c r="W161" i="4"/>
  <c r="W169" i="4"/>
  <c r="W159" i="4"/>
  <c r="W170" i="4"/>
  <c r="W174" i="4"/>
  <c r="W156" i="4"/>
  <c r="W160" i="4"/>
  <c r="W157" i="4"/>
  <c r="W167" i="4"/>
  <c r="W175" i="4"/>
  <c r="W165" i="4"/>
  <c r="W168" i="4"/>
  <c r="W172" i="4"/>
  <c r="X99" i="4"/>
  <c r="Y52" i="4"/>
  <c r="Y13" i="4"/>
  <c r="Y55" i="4"/>
  <c r="Y135" i="4"/>
  <c r="Y37" i="3"/>
  <c r="Y164" i="3"/>
  <c r="Y86" i="3"/>
  <c r="W53" i="3"/>
  <c r="Y128" i="3"/>
  <c r="X169" i="3"/>
  <c r="Y183" i="3"/>
  <c r="X39" i="3"/>
  <c r="X59" i="3"/>
  <c r="Y172" i="3"/>
  <c r="Y177" i="3"/>
  <c r="Y167" i="3"/>
  <c r="Y163" i="3"/>
  <c r="Y168" i="3"/>
  <c r="W50" i="3"/>
  <c r="X16" i="3"/>
  <c r="X183" i="3"/>
  <c r="W73" i="3"/>
  <c r="X10" i="3"/>
  <c r="W168" i="3"/>
  <c r="Y90" i="3"/>
  <c r="W117" i="3"/>
  <c r="W38" i="3"/>
  <c r="W90" i="3"/>
  <c r="Y181" i="3"/>
  <c r="X7" i="3"/>
  <c r="X17" i="3"/>
  <c r="W20" i="3"/>
  <c r="W9" i="3"/>
  <c r="X6" i="3"/>
  <c r="W132" i="3"/>
  <c r="X88" i="3"/>
  <c r="W161" i="3"/>
  <c r="Y51" i="3"/>
  <c r="X76" i="3"/>
  <c r="W182" i="3"/>
  <c r="X112" i="3"/>
  <c r="Y19" i="3"/>
  <c r="W160" i="3"/>
  <c r="X145" i="3"/>
  <c r="W129" i="3"/>
  <c r="Y132" i="3"/>
  <c r="W8" i="3"/>
  <c r="W6" i="3"/>
  <c r="W3" i="3"/>
  <c r="W5" i="3"/>
  <c r="W120" i="3"/>
  <c r="X89" i="3"/>
  <c r="X90" i="3"/>
  <c r="W52" i="3"/>
  <c r="W58" i="3"/>
  <c r="W55" i="3"/>
  <c r="W63" i="3"/>
  <c r="W66" i="3"/>
  <c r="W62" i="3"/>
  <c r="W59" i="3"/>
  <c r="W60" i="3"/>
  <c r="W54" i="3"/>
  <c r="W56" i="3"/>
  <c r="W64" i="3"/>
  <c r="W57" i="3"/>
  <c r="W61" i="3"/>
  <c r="Y20" i="3"/>
  <c r="X175" i="3"/>
  <c r="X179" i="3"/>
  <c r="X165" i="3"/>
  <c r="X173" i="3"/>
  <c r="X167" i="3"/>
  <c r="X168" i="3"/>
  <c r="X163" i="3"/>
  <c r="X172" i="3"/>
  <c r="W127" i="3"/>
  <c r="W128" i="3"/>
  <c r="X146" i="3"/>
  <c r="X141" i="3"/>
  <c r="X162" i="3"/>
  <c r="X137" i="3"/>
  <c r="X138" i="3"/>
  <c r="X157" i="3"/>
  <c r="X158" i="3"/>
  <c r="X149" i="3"/>
  <c r="X156" i="3"/>
  <c r="X143" i="3"/>
  <c r="X161" i="3"/>
  <c r="Y110" i="3"/>
  <c r="Y125" i="3"/>
  <c r="Y93" i="3"/>
  <c r="Y121" i="3"/>
  <c r="Y38" i="3"/>
  <c r="Y41" i="3"/>
  <c r="Y39" i="3"/>
  <c r="X47" i="3"/>
  <c r="X37" i="3"/>
  <c r="X44" i="3"/>
  <c r="X41" i="3"/>
  <c r="X50" i="3"/>
  <c r="X46" i="3"/>
  <c r="X42" i="3"/>
  <c r="X43" i="3"/>
  <c r="X48" i="3"/>
  <c r="X49" i="3"/>
  <c r="X38" i="3"/>
  <c r="W181" i="3"/>
  <c r="W115" i="3"/>
  <c r="W111" i="3"/>
  <c r="X67" i="3"/>
  <c r="Y174" i="3"/>
  <c r="X71" i="3"/>
  <c r="W178" i="3"/>
  <c r="W112" i="3"/>
  <c r="W172" i="3"/>
  <c r="W133" i="3"/>
  <c r="W131" i="3"/>
  <c r="W37" i="3"/>
  <c r="W44" i="3"/>
  <c r="W41" i="3"/>
  <c r="W48" i="3"/>
  <c r="Y6" i="3"/>
  <c r="Y18" i="3"/>
  <c r="Y12" i="3"/>
  <c r="X104" i="3"/>
  <c r="W152" i="3"/>
  <c r="X11" i="3"/>
  <c r="X18" i="3"/>
  <c r="X12" i="3"/>
  <c r="X8" i="3"/>
  <c r="X9" i="3"/>
  <c r="X13" i="3"/>
  <c r="X4" i="3"/>
  <c r="Y44" i="3"/>
  <c r="W43" i="3"/>
  <c r="W139" i="3"/>
  <c r="X73" i="3"/>
  <c r="X75" i="3"/>
  <c r="W49" i="3"/>
  <c r="X84" i="3"/>
  <c r="Y135" i="3"/>
  <c r="Y49" i="3"/>
  <c r="X113" i="3"/>
  <c r="W130" i="3"/>
  <c r="Y87" i="3"/>
  <c r="Y81" i="3"/>
  <c r="Y78" i="3"/>
  <c r="Y82" i="3"/>
  <c r="Y48" i="3"/>
  <c r="Y131" i="3"/>
  <c r="X3" i="3"/>
  <c r="X2" i="3"/>
  <c r="W183" i="3"/>
  <c r="W134" i="3"/>
  <c r="X70" i="3"/>
  <c r="X72" i="3"/>
  <c r="X77" i="3"/>
  <c r="Y43" i="3"/>
  <c r="Y4" i="3"/>
  <c r="Y2" i="3"/>
  <c r="X124" i="3"/>
  <c r="W151" i="3"/>
  <c r="W146" i="3"/>
  <c r="W142" i="3"/>
  <c r="Y165" i="3"/>
  <c r="Y178" i="3"/>
  <c r="Y173" i="3"/>
  <c r="Y175" i="3"/>
  <c r="Y179" i="3"/>
  <c r="Y169" i="3"/>
  <c r="Y176" i="3"/>
  <c r="Y17" i="3"/>
  <c r="Y134" i="3"/>
  <c r="Y3" i="3"/>
  <c r="Y166" i="3"/>
  <c r="X69" i="3"/>
  <c r="W136" i="3"/>
  <c r="W47" i="3"/>
  <c r="W42" i="3"/>
  <c r="Y84" i="3"/>
  <c r="W145" i="3"/>
  <c r="Y42" i="3"/>
  <c r="X105" i="3"/>
  <c r="X115" i="3"/>
  <c r="X126" i="3"/>
  <c r="X99" i="3"/>
  <c r="Y104" i="3"/>
  <c r="Y46" i="3"/>
  <c r="Y50" i="3"/>
  <c r="Y47" i="3"/>
  <c r="X74" i="3"/>
  <c r="W46" i="3"/>
  <c r="W99" i="3"/>
  <c r="W165" i="3"/>
  <c r="W173" i="3"/>
  <c r="W170" i="3"/>
  <c r="W167" i="3"/>
  <c r="W174" i="3"/>
  <c r="W169" i="3"/>
  <c r="W176" i="3"/>
  <c r="W163" i="3"/>
  <c r="W171" i="3"/>
  <c r="W78" i="3"/>
  <c r="Y127" i="3"/>
  <c r="Y16" i="3"/>
  <c r="Y9" i="3"/>
  <c r="W51" i="3"/>
  <c r="W36" i="3"/>
  <c r="Y7" i="3"/>
  <c r="Y171" i="3"/>
  <c r="X15" i="3"/>
  <c r="W135" i="3"/>
  <c r="W157" i="3"/>
  <c r="W19" i="3"/>
  <c r="Y15" i="3"/>
  <c r="Y45" i="3"/>
  <c r="Y40" i="3"/>
  <c r="Y36" i="3"/>
  <c r="W39" i="3"/>
  <c r="W81" i="3"/>
  <c r="W164" i="3"/>
  <c r="Y55" i="3"/>
  <c r="X68" i="3"/>
  <c r="W180" i="3"/>
  <c r="Y74" i="3"/>
  <c r="W45" i="3"/>
  <c r="W40" i="3"/>
  <c r="W147" i="3"/>
  <c r="W162" i="3"/>
  <c r="W159" i="3"/>
  <c r="W137" i="3"/>
  <c r="W155" i="3"/>
  <c r="W148" i="3"/>
  <c r="W158" i="3"/>
  <c r="W144" i="3"/>
  <c r="W156" i="3"/>
  <c r="Y170" i="3"/>
  <c r="X14" i="3"/>
  <c r="X12" i="2"/>
  <c r="X29" i="2"/>
  <c r="X61" i="2"/>
  <c r="X107" i="2"/>
  <c r="X100" i="2"/>
  <c r="X45" i="2"/>
  <c r="X124" i="2"/>
  <c r="W79" i="2"/>
  <c r="W32" i="2"/>
  <c r="W112" i="2"/>
  <c r="W116" i="2"/>
  <c r="Y135" i="2"/>
  <c r="X20" i="2"/>
  <c r="X78" i="2"/>
  <c r="W70" i="2"/>
  <c r="W22" i="2"/>
  <c r="X32" i="2"/>
  <c r="X72" i="2"/>
  <c r="Y80" i="2"/>
  <c r="W88" i="2"/>
  <c r="X56" i="2"/>
  <c r="Y88" i="2"/>
  <c r="X79" i="2"/>
  <c r="Y42" i="2"/>
  <c r="W49" i="2"/>
  <c r="Y50" i="2"/>
  <c r="Y123" i="2"/>
  <c r="W64" i="2"/>
  <c r="X127" i="2"/>
  <c r="Y23" i="2"/>
  <c r="W99" i="2"/>
  <c r="X121" i="2"/>
  <c r="X25" i="2"/>
  <c r="Y71" i="2"/>
  <c r="Y3" i="2"/>
  <c r="Y51" i="2"/>
  <c r="Y53" i="2"/>
  <c r="Y47" i="2"/>
  <c r="Y49" i="2"/>
  <c r="Y56" i="2"/>
  <c r="X2" i="2"/>
  <c r="X7" i="2"/>
  <c r="X14" i="2"/>
  <c r="X8" i="2"/>
  <c r="X15" i="2"/>
  <c r="X21" i="2"/>
  <c r="X16" i="2"/>
  <c r="X17" i="2"/>
  <c r="X13" i="2"/>
  <c r="X11" i="2"/>
  <c r="Y58" i="2"/>
  <c r="Y62" i="2"/>
  <c r="Y59" i="2"/>
  <c r="Y63" i="2"/>
  <c r="Y57" i="2"/>
  <c r="Y60" i="2"/>
  <c r="Y61" i="2"/>
  <c r="Y64" i="2"/>
  <c r="X28" i="2"/>
  <c r="W16" i="2"/>
  <c r="W19" i="2"/>
  <c r="W4" i="2"/>
  <c r="W10" i="2"/>
  <c r="W17" i="2"/>
  <c r="W5" i="2"/>
  <c r="W11" i="2"/>
  <c r="W6" i="2"/>
  <c r="W13" i="2"/>
  <c r="W2" i="2"/>
  <c r="W7" i="2"/>
  <c r="W14" i="2"/>
  <c r="W8" i="2"/>
  <c r="W12" i="2"/>
  <c r="W9" i="2"/>
  <c r="W3" i="2"/>
  <c r="W18" i="2"/>
  <c r="W20" i="2"/>
  <c r="W15" i="2"/>
  <c r="W21" i="2"/>
  <c r="W95" i="2"/>
  <c r="W67" i="2"/>
  <c r="X58" i="2"/>
  <c r="X57" i="2"/>
  <c r="X60" i="2"/>
  <c r="X64" i="2"/>
  <c r="Y128" i="2"/>
  <c r="Y133" i="2"/>
  <c r="Y125" i="2"/>
  <c r="Y129" i="2"/>
  <c r="Y134" i="2"/>
  <c r="Y132" i="2"/>
  <c r="Y130" i="2"/>
  <c r="Y127" i="2"/>
  <c r="Y131" i="2"/>
  <c r="Y126" i="2"/>
  <c r="W55" i="2"/>
  <c r="W52" i="2"/>
  <c r="W47" i="2"/>
  <c r="W54" i="2"/>
  <c r="W51" i="2"/>
  <c r="W48" i="2"/>
  <c r="W53" i="2"/>
  <c r="Y39" i="2"/>
  <c r="Y43" i="2"/>
  <c r="Y40" i="2"/>
  <c r="Y46" i="2"/>
  <c r="Y37" i="2"/>
  <c r="Y36" i="2"/>
  <c r="Y45" i="2"/>
  <c r="Y41" i="2"/>
  <c r="W57" i="2"/>
  <c r="X90" i="2"/>
  <c r="X99" i="2"/>
  <c r="X92" i="2"/>
  <c r="X91" i="2"/>
  <c r="X88" i="2"/>
  <c r="X82" i="2"/>
  <c r="X105" i="2"/>
  <c r="X94" i="2"/>
  <c r="X83" i="2"/>
  <c r="X86" i="2"/>
  <c r="X102" i="2"/>
  <c r="X85" i="2"/>
  <c r="X103" i="2"/>
  <c r="X104" i="2"/>
  <c r="X93" i="2"/>
  <c r="Y110" i="2"/>
  <c r="Y113" i="2"/>
  <c r="W111" i="2"/>
  <c r="Y124" i="2"/>
  <c r="Y119" i="2"/>
  <c r="W33" i="2"/>
  <c r="W120" i="2"/>
  <c r="W23" i="2"/>
  <c r="W85" i="2"/>
  <c r="W100" i="2"/>
  <c r="W83" i="2"/>
  <c r="Y2" i="2"/>
  <c r="W80" i="2"/>
  <c r="W115" i="2"/>
  <c r="X37" i="2"/>
  <c r="X111" i="2"/>
  <c r="W94" i="2"/>
  <c r="W114" i="2"/>
  <c r="W110" i="2"/>
  <c r="W124" i="2"/>
  <c r="W119" i="2"/>
  <c r="W113" i="2"/>
  <c r="W31" i="2"/>
  <c r="Y118" i="2"/>
  <c r="X135" i="2"/>
  <c r="X116" i="2"/>
  <c r="W91" i="2"/>
  <c r="Y122" i="2"/>
  <c r="X44" i="2"/>
  <c r="X40" i="2"/>
  <c r="W123" i="2"/>
  <c r="W25" i="2"/>
  <c r="Y112" i="2"/>
  <c r="X43" i="2"/>
  <c r="X39" i="2"/>
  <c r="X65" i="2"/>
  <c r="W98" i="2"/>
  <c r="X80" i="2"/>
  <c r="X38" i="2"/>
  <c r="X115" i="2"/>
  <c r="W118" i="2"/>
  <c r="W90" i="2"/>
  <c r="W86" i="2"/>
  <c r="Y111" i="2"/>
  <c r="X42" i="2"/>
  <c r="X114" i="2"/>
  <c r="X110" i="2"/>
  <c r="Y120" i="2"/>
  <c r="X41" i="2"/>
  <c r="X119" i="2"/>
  <c r="W93" i="2"/>
  <c r="Y116" i="2"/>
  <c r="X76" i="2"/>
  <c r="X70" i="2"/>
  <c r="W35" i="2"/>
  <c r="W89" i="2"/>
  <c r="W30" i="2"/>
  <c r="X123" i="2"/>
  <c r="W34" i="2"/>
  <c r="W24" i="2"/>
  <c r="W28" i="2"/>
  <c r="X46" i="2"/>
  <c r="X36" i="2"/>
  <c r="Y115" i="2"/>
  <c r="W122" i="2"/>
  <c r="W96" i="2"/>
  <c r="W92" i="2"/>
  <c r="Y114" i="2"/>
  <c r="W121" i="2"/>
  <c r="W117" i="2"/>
  <c r="A2" i="15" a="1"/>
  <c r="A2" i="15" s="1"/>
  <c r="O75" i="2" l="1"/>
  <c r="N75" i="2"/>
  <c r="N128" i="4"/>
  <c r="N62" i="2"/>
  <c r="S29" i="1" a="1"/>
  <c r="S29" i="1" s="1"/>
  <c r="O12" i="2"/>
  <c r="N12" i="2"/>
  <c r="N103" i="3"/>
  <c r="P103" i="3"/>
  <c r="O172" i="3"/>
  <c r="N172" i="3"/>
  <c r="O70" i="3"/>
  <c r="N70" i="3"/>
  <c r="O73" i="2"/>
  <c r="N73" i="2"/>
  <c r="N164" i="3"/>
  <c r="P164" i="3"/>
  <c r="O83" i="3"/>
  <c r="N83" i="3"/>
  <c r="O15" i="2"/>
  <c r="N15" i="2"/>
  <c r="O81" i="3"/>
  <c r="N81" i="3"/>
  <c r="O92" i="2"/>
  <c r="N92" i="2"/>
  <c r="O63" i="3"/>
  <c r="N63" i="3"/>
  <c r="O85" i="4"/>
  <c r="N85" i="4"/>
  <c r="N10" i="3"/>
  <c r="N88" i="2"/>
  <c r="N72" i="3"/>
  <c r="O72" i="3"/>
  <c r="N152" i="3"/>
  <c r="P152" i="3"/>
  <c r="O183" i="3"/>
  <c r="N183" i="3"/>
  <c r="N145" i="3"/>
  <c r="O145" i="3"/>
  <c r="O85" i="2"/>
  <c r="N85" i="2"/>
  <c r="N156" i="4"/>
  <c r="O160" i="4"/>
  <c r="O13" i="2"/>
  <c r="N13" i="2"/>
  <c r="O41" i="3"/>
  <c r="N41" i="3"/>
  <c r="N144" i="3"/>
  <c r="O144" i="3"/>
  <c r="N67" i="4"/>
  <c r="O67" i="4"/>
  <c r="N4" i="2"/>
  <c r="P4" i="2"/>
  <c r="O143" i="3"/>
  <c r="N143" i="3"/>
  <c r="N99" i="2"/>
  <c r="O99" i="2"/>
  <c r="N51" i="3"/>
  <c r="P51" i="3"/>
  <c r="P107" i="3"/>
  <c r="N107" i="3"/>
  <c r="N90" i="3"/>
  <c r="O90" i="3"/>
  <c r="N59" i="2"/>
  <c r="O59" i="2"/>
  <c r="N108" i="3"/>
  <c r="O108" i="3"/>
  <c r="N87" i="3"/>
  <c r="O87" i="3"/>
  <c r="N105" i="3"/>
  <c r="P105" i="3"/>
  <c r="N43" i="3"/>
  <c r="P43" i="3"/>
  <c r="N5" i="2"/>
  <c r="P5" i="2"/>
  <c r="B7" i="1" a="1"/>
  <c r="B7" i="1" s="1"/>
  <c r="N96" i="3"/>
  <c r="N14" i="2"/>
  <c r="O14" i="2"/>
  <c r="N161" i="4"/>
  <c r="P161" i="4"/>
  <c r="O64" i="3"/>
  <c r="N64" i="3"/>
  <c r="O44" i="2"/>
  <c r="N44" i="2"/>
  <c r="B11" i="1" a="1"/>
  <c r="B11" i="1" s="1"/>
  <c r="N71" i="3"/>
  <c r="O71" i="3"/>
  <c r="O43" i="2"/>
  <c r="N43" i="2"/>
  <c r="N52" i="3"/>
  <c r="N81" i="4"/>
  <c r="O81" i="4"/>
  <c r="O41" i="2"/>
  <c r="N41" i="2"/>
  <c r="N147" i="4"/>
  <c r="O147" i="4"/>
  <c r="N162" i="4"/>
  <c r="N86" i="4"/>
  <c r="N132" i="3"/>
  <c r="O132" i="3"/>
  <c r="N84" i="4"/>
  <c r="N3" i="2"/>
  <c r="P3" i="2"/>
  <c r="O25" i="3"/>
  <c r="N25" i="3"/>
  <c r="N84" i="2"/>
  <c r="O84" i="2"/>
  <c r="O45" i="3"/>
  <c r="N45" i="3"/>
  <c r="N54" i="2"/>
  <c r="N93" i="2"/>
  <c r="O31" i="3"/>
  <c r="N31" i="3"/>
  <c r="P151" i="3"/>
  <c r="N151" i="3"/>
  <c r="N165" i="3"/>
  <c r="O61" i="2"/>
  <c r="N61" i="2"/>
  <c r="O24" i="3"/>
  <c r="N24" i="3"/>
  <c r="N57" i="2"/>
  <c r="N163" i="3"/>
  <c r="P163" i="3"/>
  <c r="O141" i="3"/>
  <c r="N141" i="3"/>
  <c r="N42" i="2"/>
  <c r="F50" i="1" a="1"/>
  <c r="F50" i="1" s="1"/>
  <c r="S26" i="1" a="1"/>
  <c r="S26" i="1" s="1"/>
  <c r="B13" i="1" a="1"/>
  <c r="B13" i="1" s="1"/>
  <c r="N69" i="2"/>
  <c r="O69" i="2"/>
  <c r="S3" i="1" a="1"/>
  <c r="S3" i="1" s="1"/>
  <c r="N67" i="2"/>
  <c r="O67" i="2"/>
  <c r="N76" i="3"/>
  <c r="O76" i="3"/>
  <c r="N75" i="3"/>
  <c r="O75" i="3"/>
  <c r="N6" i="3"/>
  <c r="O6" i="3"/>
  <c r="O151" i="4"/>
  <c r="N151" i="4"/>
  <c r="N45" i="2"/>
  <c r="O45" i="2"/>
  <c r="N19" i="4"/>
  <c r="O19" i="4"/>
  <c r="N179" i="3"/>
  <c r="O179" i="3"/>
  <c r="O152" i="4"/>
  <c r="N152" i="4"/>
  <c r="N133" i="4"/>
  <c r="O133" i="4"/>
  <c r="N54" i="3"/>
  <c r="O54" i="3"/>
  <c r="O33" i="3"/>
  <c r="N33" i="3"/>
  <c r="F51" i="1" a="1"/>
  <c r="F51" i="1" s="1"/>
  <c r="P111" i="2"/>
  <c r="N111" i="2"/>
  <c r="N90" i="2"/>
  <c r="O90" i="2"/>
  <c r="R10" i="1" a="1"/>
  <c r="R10" i="1" s="1"/>
  <c r="S4" i="1" a="1"/>
  <c r="S4" i="1" s="1"/>
  <c r="O47" i="2"/>
  <c r="N47" i="2"/>
  <c r="O60" i="3"/>
  <c r="N60" i="3"/>
  <c r="N55" i="3"/>
  <c r="O55" i="3"/>
  <c r="P175" i="3"/>
  <c r="N175" i="3"/>
  <c r="S31" i="1" a="1"/>
  <c r="S31" i="1" s="1"/>
  <c r="N120" i="2"/>
  <c r="N37" i="4"/>
  <c r="O37" i="4"/>
  <c r="N103" i="4"/>
  <c r="O103" i="4"/>
  <c r="R27" i="1" a="1"/>
  <c r="R27" i="1" s="1"/>
  <c r="N102" i="2"/>
  <c r="O102" i="2"/>
  <c r="C12" i="1" a="1"/>
  <c r="C12" i="1" s="1"/>
  <c r="N101" i="4"/>
  <c r="O101" i="4"/>
  <c r="N140" i="4"/>
  <c r="O140" i="4"/>
  <c r="N119" i="4"/>
  <c r="P119" i="4"/>
  <c r="N157" i="3"/>
  <c r="O157" i="3"/>
  <c r="N155" i="3"/>
  <c r="O155" i="3"/>
  <c r="O99" i="4"/>
  <c r="N99" i="4"/>
  <c r="O14" i="3"/>
  <c r="N14" i="3"/>
  <c r="F52" i="1" a="1"/>
  <c r="F52" i="1" s="1"/>
  <c r="N91" i="2"/>
  <c r="O91" i="2"/>
  <c r="R12" i="1" a="1"/>
  <c r="R12" i="1" s="1"/>
  <c r="S5" i="1" a="1"/>
  <c r="S5" i="1" s="1"/>
  <c r="N56" i="3"/>
  <c r="O56" i="3"/>
  <c r="N64" i="2"/>
  <c r="P64" i="2"/>
  <c r="O82" i="4"/>
  <c r="N82" i="4"/>
  <c r="P63" i="2"/>
  <c r="N63" i="2"/>
  <c r="O18" i="4"/>
  <c r="N18" i="4"/>
  <c r="O182" i="3"/>
  <c r="N182" i="3"/>
  <c r="O148" i="4"/>
  <c r="N148" i="4"/>
  <c r="N88" i="4"/>
  <c r="O88" i="4"/>
  <c r="P153" i="3"/>
  <c r="N153" i="3"/>
  <c r="O25" i="2"/>
  <c r="N25" i="2"/>
  <c r="N104" i="2"/>
  <c r="O104" i="2"/>
  <c r="N62" i="4"/>
  <c r="O62" i="4"/>
  <c r="S32" i="1" a="1"/>
  <c r="S32" i="1" s="1"/>
  <c r="B8" i="1" a="1"/>
  <c r="B8" i="1" s="1"/>
  <c r="O61" i="4"/>
  <c r="N61" i="4"/>
  <c r="N117" i="3"/>
  <c r="O117" i="3"/>
  <c r="N180" i="3"/>
  <c r="O180" i="3"/>
  <c r="N34" i="3"/>
  <c r="O34" i="3"/>
  <c r="G39" i="1" a="1"/>
  <c r="G39" i="1" s="1"/>
  <c r="O70" i="2"/>
  <c r="N70" i="2"/>
  <c r="S10" i="1" a="1"/>
  <c r="S10" i="1" s="1"/>
  <c r="S6" i="1" a="1"/>
  <c r="S6" i="1" s="1"/>
  <c r="N135" i="3"/>
  <c r="N35" i="3"/>
  <c r="N76" i="4"/>
  <c r="O76" i="4"/>
  <c r="N77" i="4"/>
  <c r="O77" i="4"/>
  <c r="N38" i="4"/>
  <c r="O38" i="4"/>
  <c r="N16" i="4"/>
  <c r="O16" i="4"/>
  <c r="N91" i="4"/>
  <c r="O91" i="4"/>
  <c r="N29" i="4"/>
  <c r="O29" i="4"/>
  <c r="N162" i="3"/>
  <c r="O162" i="3"/>
  <c r="N64" i="4"/>
  <c r="O64" i="4"/>
  <c r="O4" i="4"/>
  <c r="N4" i="4"/>
  <c r="N129" i="3"/>
  <c r="P129" i="3"/>
  <c r="N170" i="3"/>
  <c r="O170" i="3"/>
  <c r="S33" i="1" a="1"/>
  <c r="S33" i="1" s="1"/>
  <c r="C13" i="1" a="1"/>
  <c r="C13" i="1" s="1"/>
  <c r="N120" i="4"/>
  <c r="O120" i="4"/>
  <c r="N38" i="3"/>
  <c r="O93" i="4"/>
  <c r="N93" i="4"/>
  <c r="O13" i="3"/>
  <c r="N13" i="3"/>
  <c r="G40" i="1" a="1"/>
  <c r="G40" i="1" s="1"/>
  <c r="N71" i="2"/>
  <c r="O71" i="2"/>
  <c r="S11" i="1" a="1"/>
  <c r="S11" i="1" s="1"/>
  <c r="S7" i="1" a="1"/>
  <c r="S7" i="1" s="1"/>
  <c r="O40" i="3"/>
  <c r="N40" i="3"/>
  <c r="N98" i="4"/>
  <c r="O98" i="4"/>
  <c r="O14" i="4"/>
  <c r="N14" i="4"/>
  <c r="N78" i="4"/>
  <c r="O78" i="4"/>
  <c r="N58" i="4"/>
  <c r="O58" i="4"/>
  <c r="N36" i="4"/>
  <c r="O36" i="4"/>
  <c r="N57" i="4"/>
  <c r="O146" i="4"/>
  <c r="N146" i="4"/>
  <c r="N168" i="3"/>
  <c r="P168" i="3"/>
  <c r="N142" i="3"/>
  <c r="O142" i="3"/>
  <c r="O189" i="4"/>
  <c r="N189" i="4"/>
  <c r="N6" i="4"/>
  <c r="O6" i="4"/>
  <c r="P44" i="3"/>
  <c r="N44" i="3"/>
  <c r="N51" i="4"/>
  <c r="O51" i="4"/>
  <c r="N173" i="3"/>
  <c r="O173" i="3"/>
  <c r="N9" i="4"/>
  <c r="O9" i="4"/>
  <c r="N73" i="3"/>
  <c r="O73" i="3"/>
  <c r="N128" i="3"/>
  <c r="O128" i="3"/>
  <c r="P83" i="4"/>
  <c r="N83" i="4"/>
  <c r="O123" i="2"/>
  <c r="N123" i="2"/>
  <c r="R28" i="1" a="1"/>
  <c r="R28" i="1" s="1"/>
  <c r="B9" i="1" a="1"/>
  <c r="B9" i="1" s="1"/>
  <c r="N21" i="4"/>
  <c r="O21" i="4"/>
  <c r="N179" i="4"/>
  <c r="O179" i="4"/>
  <c r="N128" i="2"/>
  <c r="O128" i="2"/>
  <c r="O139" i="3"/>
  <c r="N139" i="3"/>
  <c r="N178" i="3"/>
  <c r="P178" i="3"/>
  <c r="O32" i="4"/>
  <c r="N32" i="4"/>
  <c r="G41" i="1" a="1"/>
  <c r="G41" i="1" s="1"/>
  <c r="S12" i="1" a="1"/>
  <c r="S12" i="1" s="1"/>
  <c r="R3" i="1" a="1"/>
  <c r="R3" i="1" s="1"/>
  <c r="O27" i="2"/>
  <c r="N27" i="2"/>
  <c r="N97" i="3"/>
  <c r="N74" i="3"/>
  <c r="O74" i="3"/>
  <c r="P191" i="4"/>
  <c r="N191" i="4"/>
  <c r="N114" i="3"/>
  <c r="O114" i="3"/>
  <c r="S8" i="1" a="1"/>
  <c r="S8" i="1" s="1"/>
  <c r="O149" i="4"/>
  <c r="N149" i="4"/>
  <c r="N103" i="2"/>
  <c r="O103" i="2"/>
  <c r="S40" i="1" a="1"/>
  <c r="S40" i="1" s="1"/>
  <c r="S39" i="1" a="1"/>
  <c r="S39" i="1" s="1"/>
  <c r="R52" i="1" a="1"/>
  <c r="R52" i="1" s="1"/>
  <c r="R51" i="1" a="1"/>
  <c r="R51" i="1" s="1"/>
  <c r="R50" i="1" a="1"/>
  <c r="R50" i="1" s="1"/>
  <c r="R49" i="1" a="1"/>
  <c r="R49" i="1" s="1"/>
  <c r="R48" i="1" a="1"/>
  <c r="R48" i="1" s="1"/>
  <c r="R47" i="1" a="1"/>
  <c r="R47" i="1" s="1"/>
  <c r="S52" i="1" a="1"/>
  <c r="S52" i="1" s="1"/>
  <c r="R46" i="1" a="1"/>
  <c r="R46" i="1" s="1"/>
  <c r="S51" i="1" a="1"/>
  <c r="S51" i="1" s="1"/>
  <c r="R45" i="1" a="1"/>
  <c r="R45" i="1" s="1"/>
  <c r="S50" i="1" a="1"/>
  <c r="S50" i="1" s="1"/>
  <c r="R44" i="1" a="1"/>
  <c r="R44" i="1" s="1"/>
  <c r="S49" i="1" a="1"/>
  <c r="S49" i="1" s="1"/>
  <c r="R43" i="1" a="1"/>
  <c r="R43" i="1" s="1"/>
  <c r="S47" i="1" a="1"/>
  <c r="S47" i="1" s="1"/>
  <c r="R41" i="1" a="1"/>
  <c r="R41" i="1" s="1"/>
  <c r="S48" i="1" a="1"/>
  <c r="S48" i="1" s="1"/>
  <c r="S46" i="1" a="1"/>
  <c r="S46" i="1" s="1"/>
  <c r="S45" i="1" a="1"/>
  <c r="S45" i="1" s="1"/>
  <c r="S44" i="1" a="1"/>
  <c r="S44" i="1" s="1"/>
  <c r="S43" i="1" a="1"/>
  <c r="S43" i="1" s="1"/>
  <c r="S41" i="1" a="1"/>
  <c r="S41" i="1" s="1"/>
  <c r="S42" i="1" a="1"/>
  <c r="S42" i="1" s="1"/>
  <c r="R42" i="1" a="1"/>
  <c r="R42" i="1" s="1"/>
  <c r="T2" i="4"/>
  <c r="R40" i="1" a="1"/>
  <c r="R40" i="1" s="1"/>
  <c r="T40" i="1" s="1"/>
  <c r="R39" i="1" a="1"/>
  <c r="R39" i="1" s="1"/>
  <c r="R29" i="1" a="1"/>
  <c r="R29" i="1" s="1"/>
  <c r="T29" i="1" s="1"/>
  <c r="C4" i="1" a="1"/>
  <c r="C4" i="1" s="1"/>
  <c r="B15" i="1" a="1"/>
  <c r="B15" i="1" s="1"/>
  <c r="N119" i="3"/>
  <c r="P119" i="3"/>
  <c r="G51" i="1" a="1"/>
  <c r="G51" i="1" s="1"/>
  <c r="G43" i="1" a="1"/>
  <c r="G43" i="1" s="1"/>
  <c r="R16" i="1" a="1"/>
  <c r="R16" i="1" s="1"/>
  <c r="R4" i="1" a="1"/>
  <c r="R4" i="1" s="1"/>
  <c r="N66" i="2"/>
  <c r="N20" i="3"/>
  <c r="O20" i="3"/>
  <c r="N176" i="3"/>
  <c r="P176" i="3"/>
  <c r="N100" i="2"/>
  <c r="O100" i="2"/>
  <c r="N90" i="4"/>
  <c r="O90" i="4"/>
  <c r="O24" i="2"/>
  <c r="N24" i="2"/>
  <c r="N160" i="3"/>
  <c r="O160" i="3"/>
  <c r="S14" i="1" a="1"/>
  <c r="S14" i="1" s="1"/>
  <c r="N42" i="3"/>
  <c r="O129" i="4"/>
  <c r="N129" i="4"/>
  <c r="O5" i="4"/>
  <c r="N5" i="4"/>
  <c r="O31" i="4"/>
  <c r="N31" i="4"/>
  <c r="O48" i="3"/>
  <c r="N48" i="3"/>
  <c r="R30" i="1" a="1"/>
  <c r="R30" i="1" s="1"/>
  <c r="C5" i="1" a="1"/>
  <c r="C5" i="1" s="1"/>
  <c r="B16" i="1" a="1"/>
  <c r="B16" i="1" s="1"/>
  <c r="N100" i="4"/>
  <c r="O100" i="4"/>
  <c r="N134" i="3"/>
  <c r="O134" i="3"/>
  <c r="O89" i="2"/>
  <c r="N89" i="2"/>
  <c r="G50" i="1" a="1"/>
  <c r="G50" i="1" s="1"/>
  <c r="I50" i="1" s="1"/>
  <c r="G44" i="1" a="1"/>
  <c r="G44" i="1" s="1"/>
  <c r="N106" i="2"/>
  <c r="O106" i="2"/>
  <c r="O51" i="2"/>
  <c r="N51" i="2"/>
  <c r="S13" i="1" a="1"/>
  <c r="S13" i="1" s="1"/>
  <c r="S9" i="1" a="1"/>
  <c r="S9" i="1" s="1"/>
  <c r="R15" i="1" a="1"/>
  <c r="R15" i="1" s="1"/>
  <c r="O167" i="3"/>
  <c r="N167" i="3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B52" i="1" a="1"/>
  <c r="B52" i="1" s="1"/>
  <c r="B51" i="1" a="1"/>
  <c r="B51" i="1" s="1"/>
  <c r="B50" i="1" a="1"/>
  <c r="B50" i="1" s="1"/>
  <c r="B49" i="1" a="1"/>
  <c r="B49" i="1" s="1"/>
  <c r="B48" i="1" a="1"/>
  <c r="B48" i="1" s="1"/>
  <c r="B47" i="1" a="1"/>
  <c r="B47" i="1" s="1"/>
  <c r="C52" i="1" a="1"/>
  <c r="C52" i="1" s="1"/>
  <c r="C50" i="1" a="1"/>
  <c r="C50" i="1" s="1"/>
  <c r="B45" i="1" a="1"/>
  <c r="B45" i="1" s="1"/>
  <c r="C46" i="1" a="1"/>
  <c r="C46" i="1" s="1"/>
  <c r="C45" i="1" a="1"/>
  <c r="C45" i="1" s="1"/>
  <c r="C44" i="1" a="1"/>
  <c r="C44" i="1" s="1"/>
  <c r="B46" i="1" a="1"/>
  <c r="B46" i="1" s="1"/>
  <c r="B44" i="1" a="1"/>
  <c r="B44" i="1" s="1"/>
  <c r="B43" i="1" a="1"/>
  <c r="B43" i="1" s="1"/>
  <c r="B42" i="1" a="1"/>
  <c r="B42" i="1" s="1"/>
  <c r="B41" i="1" a="1"/>
  <c r="B41" i="1" s="1"/>
  <c r="B39" i="1" a="1"/>
  <c r="B39" i="1" s="1"/>
  <c r="C49" i="1" a="1"/>
  <c r="C49" i="1" s="1"/>
  <c r="O2" i="4"/>
  <c r="C51" i="1" a="1"/>
  <c r="C51" i="1" s="1"/>
  <c r="C48" i="1" a="1"/>
  <c r="C48" i="1" s="1"/>
  <c r="C47" i="1" a="1"/>
  <c r="C47" i="1" s="1"/>
  <c r="B40" i="1" a="1"/>
  <c r="B40" i="1" s="1"/>
  <c r="N2" i="4"/>
  <c r="O36" i="3"/>
  <c r="N67" i="3"/>
  <c r="N109" i="4"/>
  <c r="O109" i="4"/>
  <c r="N55" i="4"/>
  <c r="O55" i="4"/>
  <c r="O134" i="2"/>
  <c r="N134" i="2"/>
  <c r="N111" i="3"/>
  <c r="O111" i="3"/>
  <c r="S27" i="1" a="1"/>
  <c r="S27" i="1" s="1"/>
  <c r="R31" i="1" a="1"/>
  <c r="R31" i="1" s="1"/>
  <c r="C7" i="1" a="1"/>
  <c r="C7" i="1" s="1"/>
  <c r="C3" i="1" a="1"/>
  <c r="C3" i="1" s="1"/>
  <c r="N139" i="4"/>
  <c r="O139" i="4"/>
  <c r="P53" i="4"/>
  <c r="N53" i="4"/>
  <c r="N140" i="3"/>
  <c r="O140" i="3"/>
  <c r="N99" i="3"/>
  <c r="O99" i="3"/>
  <c r="N138" i="3"/>
  <c r="O138" i="3"/>
  <c r="O94" i="3"/>
  <c r="N94" i="3"/>
  <c r="N50" i="2"/>
  <c r="O50" i="2"/>
  <c r="G52" i="1" a="1"/>
  <c r="G52" i="1" s="1"/>
  <c r="F39" i="1" a="1"/>
  <c r="F39" i="1" s="1"/>
  <c r="N9" i="2"/>
  <c r="O9" i="2"/>
  <c r="S15" i="1" a="1"/>
  <c r="S15" i="1" s="1"/>
  <c r="B6" i="1" a="1"/>
  <c r="B6" i="1" s="1"/>
  <c r="G42" i="1" a="1"/>
  <c r="G42" i="1" s="1"/>
  <c r="O29" i="2"/>
  <c r="N29" i="2"/>
  <c r="N15" i="3"/>
  <c r="O15" i="3"/>
  <c r="N82" i="3"/>
  <c r="O82" i="3"/>
  <c r="N194" i="4"/>
  <c r="O194" i="4"/>
  <c r="N102" i="3"/>
  <c r="N113" i="4"/>
  <c r="O113" i="4"/>
  <c r="N23" i="4"/>
  <c r="O23" i="4"/>
  <c r="N23" i="2"/>
  <c r="O23" i="2"/>
  <c r="S30" i="1" a="1"/>
  <c r="S30" i="1" s="1"/>
  <c r="U30" i="1" s="1"/>
  <c r="R32" i="1" a="1"/>
  <c r="R32" i="1" s="1"/>
  <c r="C14" i="1" a="1"/>
  <c r="C14" i="1" s="1"/>
  <c r="N159" i="3"/>
  <c r="N60" i="4"/>
  <c r="O60" i="4"/>
  <c r="O137" i="3"/>
  <c r="N137" i="3"/>
  <c r="P192" i="4"/>
  <c r="N192" i="4"/>
  <c r="N59" i="3"/>
  <c r="F42" i="1" a="1"/>
  <c r="F42" i="1" s="1"/>
  <c r="G45" i="1" a="1"/>
  <c r="G45" i="1" s="1"/>
  <c r="O95" i="3"/>
  <c r="N95" i="3"/>
  <c r="R5" i="1" a="1"/>
  <c r="R5" i="1" s="1"/>
  <c r="N7" i="2"/>
  <c r="N156" i="3"/>
  <c r="O156" i="3"/>
  <c r="F48" i="1" a="1"/>
  <c r="F48" i="1" s="1"/>
  <c r="O95" i="4"/>
  <c r="N95" i="4"/>
  <c r="O92" i="4"/>
  <c r="N92" i="4"/>
  <c r="N11" i="3"/>
  <c r="O11" i="3"/>
  <c r="N63" i="4"/>
  <c r="O63" i="4"/>
  <c r="N174" i="4"/>
  <c r="O174" i="4"/>
  <c r="O8" i="4"/>
  <c r="N8" i="4"/>
  <c r="N62" i="3"/>
  <c r="O62" i="3"/>
  <c r="N113" i="3"/>
  <c r="O113" i="3"/>
  <c r="O182" i="4"/>
  <c r="N182" i="4"/>
  <c r="N28" i="3"/>
  <c r="O28" i="3"/>
  <c r="R21" i="1" a="1"/>
  <c r="R21" i="1" s="1"/>
  <c r="R33" i="1" a="1"/>
  <c r="R33" i="1" s="1"/>
  <c r="C15" i="1" a="1"/>
  <c r="C15" i="1" s="1"/>
  <c r="N79" i="3"/>
  <c r="O79" i="3"/>
  <c r="N18" i="3"/>
  <c r="N126" i="2"/>
  <c r="O126" i="2"/>
  <c r="F43" i="1" a="1"/>
  <c r="F43" i="1" s="1"/>
  <c r="F40" i="1" a="1"/>
  <c r="F40" i="1" s="1"/>
  <c r="H40" i="1" s="1"/>
  <c r="O11" i="2"/>
  <c r="N11" i="2"/>
  <c r="R6" i="1" a="1"/>
  <c r="R6" i="1" s="1"/>
  <c r="N30" i="2"/>
  <c r="O30" i="2"/>
  <c r="N20" i="2"/>
  <c r="O20" i="2"/>
  <c r="O60" i="2"/>
  <c r="N60" i="2"/>
  <c r="N97" i="4"/>
  <c r="O97" i="4"/>
  <c r="N49" i="4"/>
  <c r="O49" i="4"/>
  <c r="O16" i="3"/>
  <c r="N16" i="3"/>
  <c r="B10" i="1" a="1"/>
  <c r="B10" i="1" s="1"/>
  <c r="N124" i="2"/>
  <c r="P124" i="2"/>
  <c r="N127" i="3"/>
  <c r="O127" i="3"/>
  <c r="O183" i="4"/>
  <c r="N183" i="4"/>
  <c r="N89" i="3"/>
  <c r="C16" i="1" a="1"/>
  <c r="C16" i="1" s="1"/>
  <c r="R22" i="1" a="1"/>
  <c r="R22" i="1" s="1"/>
  <c r="R34" i="1" a="1"/>
  <c r="R34" i="1" s="1"/>
  <c r="C6" i="1" a="1"/>
  <c r="C6" i="1" s="1"/>
  <c r="N40" i="4"/>
  <c r="P40" i="4"/>
  <c r="O79" i="4"/>
  <c r="N79" i="4"/>
  <c r="N201" i="4"/>
  <c r="O201" i="4"/>
  <c r="N118" i="3"/>
  <c r="P118" i="3"/>
  <c r="O172" i="4"/>
  <c r="N172" i="4"/>
  <c r="F44" i="1" a="1"/>
  <c r="F44" i="1" s="1"/>
  <c r="G46" i="1" a="1"/>
  <c r="G46" i="1" s="1"/>
  <c r="R7" i="1" a="1"/>
  <c r="R7" i="1" s="1"/>
  <c r="T7" i="1" s="1"/>
  <c r="B14" i="1" a="1"/>
  <c r="B14" i="1" s="1"/>
  <c r="O190" i="4"/>
  <c r="N190" i="4"/>
  <c r="R25" i="1" a="1"/>
  <c r="R25" i="1" s="1"/>
  <c r="S21" i="1" a="1"/>
  <c r="S21" i="1" s="1"/>
  <c r="C8" i="1" a="1"/>
  <c r="C8" i="1" s="1"/>
  <c r="N181" i="4"/>
  <c r="O181" i="4"/>
  <c r="B12" i="1" a="1"/>
  <c r="B12" i="1" s="1"/>
  <c r="O37" i="3"/>
  <c r="N37" i="3"/>
  <c r="N153" i="4"/>
  <c r="O153" i="4"/>
  <c r="F45" i="1" a="1"/>
  <c r="F45" i="1" s="1"/>
  <c r="F41" i="1" a="1"/>
  <c r="F41" i="1" s="1"/>
  <c r="H41" i="1" s="1"/>
  <c r="N13" i="4"/>
  <c r="N129" i="2"/>
  <c r="N86" i="2"/>
  <c r="O86" i="2"/>
  <c r="R8" i="1" a="1"/>
  <c r="R8" i="1" s="1"/>
  <c r="N120" i="3"/>
  <c r="P120" i="3"/>
  <c r="N23" i="3"/>
  <c r="P23" i="3"/>
  <c r="O123" i="4"/>
  <c r="N123" i="4"/>
  <c r="N53" i="3"/>
  <c r="O53" i="3"/>
  <c r="O122" i="2"/>
  <c r="N122" i="2"/>
  <c r="O65" i="4"/>
  <c r="N65" i="4"/>
  <c r="F15" i="1" a="1"/>
  <c r="F15" i="1" s="1"/>
  <c r="F14" i="1" a="1"/>
  <c r="F14" i="1" s="1"/>
  <c r="F13" i="1" a="1"/>
  <c r="F13" i="1" s="1"/>
  <c r="F12" i="1" a="1"/>
  <c r="F12" i="1" s="1"/>
  <c r="G15" i="1" a="1"/>
  <c r="G15" i="1" s="1"/>
  <c r="G12" i="1" a="1"/>
  <c r="G12" i="1" s="1"/>
  <c r="I12" i="1" s="1"/>
  <c r="F9" i="1" a="1"/>
  <c r="F9" i="1" s="1"/>
  <c r="G11" i="1" a="1"/>
  <c r="G11" i="1" s="1"/>
  <c r="I11" i="1" s="1"/>
  <c r="F8" i="1" a="1"/>
  <c r="F8" i="1" s="1"/>
  <c r="G10" i="1" a="1"/>
  <c r="G10" i="1" s="1"/>
  <c r="F7" i="1" a="1"/>
  <c r="F7" i="1" s="1"/>
  <c r="G8" i="1" a="1"/>
  <c r="G8" i="1" s="1"/>
  <c r="F6" i="1" a="1"/>
  <c r="F6" i="1" s="1"/>
  <c r="G4" i="1" a="1"/>
  <c r="G4" i="1" s="1"/>
  <c r="G3" i="1" a="1"/>
  <c r="G3" i="1" s="1"/>
  <c r="F16" i="1" a="1"/>
  <c r="F16" i="1" s="1"/>
  <c r="F11" i="1" a="1"/>
  <c r="F11" i="1" s="1"/>
  <c r="F10" i="1" a="1"/>
  <c r="F10" i="1" s="1"/>
  <c r="F4" i="1" a="1"/>
  <c r="F4" i="1" s="1"/>
  <c r="F3" i="1" a="1"/>
  <c r="F3" i="1" s="1"/>
  <c r="G16" i="1" a="1"/>
  <c r="G16" i="1" s="1"/>
  <c r="G7" i="1" a="1"/>
  <c r="G7" i="1" s="1"/>
  <c r="G14" i="1" a="1"/>
  <c r="G14" i="1" s="1"/>
  <c r="F5" i="1" a="1"/>
  <c r="F5" i="1" s="1"/>
  <c r="P2" i="2"/>
  <c r="G13" i="1" a="1"/>
  <c r="G13" i="1" s="1"/>
  <c r="G9" i="1" a="1"/>
  <c r="G9" i="1" s="1"/>
  <c r="G6" i="1" a="1"/>
  <c r="G6" i="1" s="1"/>
  <c r="G5" i="1" a="1"/>
  <c r="G5" i="1" s="1"/>
  <c r="I5" i="1" s="1"/>
  <c r="N2" i="2"/>
  <c r="N22" i="4"/>
  <c r="P22" i="4"/>
  <c r="S23" i="1" a="1"/>
  <c r="S23" i="1" s="1"/>
  <c r="S22" i="1" a="1"/>
  <c r="S22" i="1" s="1"/>
  <c r="C9" i="1" a="1"/>
  <c r="C9" i="1" s="1"/>
  <c r="N98" i="3"/>
  <c r="O98" i="3"/>
  <c r="N132" i="4"/>
  <c r="O132" i="4"/>
  <c r="F46" i="1" a="1"/>
  <c r="F46" i="1" s="1"/>
  <c r="G47" i="1" a="1"/>
  <c r="G47" i="1" s="1"/>
  <c r="N158" i="3"/>
  <c r="N31" i="2"/>
  <c r="O31" i="2"/>
  <c r="R9" i="1" a="1"/>
  <c r="R9" i="1" s="1"/>
  <c r="N127" i="2"/>
  <c r="P127" i="2"/>
  <c r="N55" i="2"/>
  <c r="N115" i="3"/>
  <c r="O115" i="3"/>
  <c r="O40" i="2"/>
  <c r="N40" i="2"/>
  <c r="O75" i="4"/>
  <c r="N75" i="4"/>
  <c r="N154" i="4"/>
  <c r="O154" i="4"/>
  <c r="N134" i="4"/>
  <c r="O134" i="4"/>
  <c r="O198" i="4"/>
  <c r="N198" i="4"/>
  <c r="O197" i="4"/>
  <c r="N197" i="4"/>
  <c r="N195" i="4"/>
  <c r="O195" i="4"/>
  <c r="O22" i="3"/>
  <c r="N22" i="3"/>
  <c r="N15" i="4"/>
  <c r="O15" i="4"/>
  <c r="N80" i="4"/>
  <c r="P80" i="4"/>
  <c r="C11" i="1" a="1"/>
  <c r="C11" i="1" s="1"/>
  <c r="E11" i="1" s="1"/>
  <c r="N20" i="4"/>
  <c r="O20" i="4"/>
  <c r="N59" i="4"/>
  <c r="O59" i="4"/>
  <c r="N56" i="4"/>
  <c r="P19" i="3"/>
  <c r="N19" i="3"/>
  <c r="N193" i="4"/>
  <c r="O193" i="4"/>
  <c r="N28" i="2"/>
  <c r="O28" i="2"/>
  <c r="N49" i="2"/>
  <c r="O49" i="2"/>
  <c r="F47" i="1" a="1"/>
  <c r="F47" i="1" s="1"/>
  <c r="N171" i="4"/>
  <c r="R11" i="1" a="1"/>
  <c r="R11" i="1" s="1"/>
  <c r="T11" i="1" s="1"/>
  <c r="N100" i="3"/>
  <c r="O100" i="3"/>
  <c r="N116" i="3"/>
  <c r="O116" i="3"/>
  <c r="R26" i="1" a="1"/>
  <c r="R26" i="1" s="1"/>
  <c r="T26" i="1" s="1"/>
  <c r="P58" i="3"/>
  <c r="N58" i="3"/>
  <c r="N169" i="4"/>
  <c r="O169" i="4"/>
  <c r="N88" i="3"/>
  <c r="P88" i="3"/>
  <c r="O22" i="2"/>
  <c r="N22" i="2"/>
  <c r="O33" i="4"/>
  <c r="N33" i="4"/>
  <c r="O142" i="4"/>
  <c r="N142" i="4"/>
  <c r="N17" i="4"/>
  <c r="P17" i="4"/>
  <c r="N89" i="4"/>
  <c r="O89" i="4"/>
  <c r="O47" i="3"/>
  <c r="N47" i="3"/>
  <c r="O114" i="4"/>
  <c r="N114" i="4"/>
  <c r="O171" i="3"/>
  <c r="N171" i="3"/>
  <c r="S24" i="1" a="1"/>
  <c r="S24" i="1" s="1"/>
  <c r="N158" i="4"/>
  <c r="O158" i="4"/>
  <c r="O157" i="4"/>
  <c r="N157" i="4"/>
  <c r="O136" i="4"/>
  <c r="N136" i="4"/>
  <c r="O175" i="4"/>
  <c r="N175" i="4"/>
  <c r="N74" i="4"/>
  <c r="O74" i="4"/>
  <c r="O12" i="3"/>
  <c r="N12" i="3"/>
  <c r="N27" i="3"/>
  <c r="O27" i="3"/>
  <c r="N26" i="3"/>
  <c r="P26" i="3"/>
  <c r="S25" i="1" a="1"/>
  <c r="S25" i="1" s="1"/>
  <c r="B3" i="1" a="1"/>
  <c r="B3" i="1" s="1"/>
  <c r="N141" i="4"/>
  <c r="O141" i="4"/>
  <c r="N159" i="4"/>
  <c r="O159" i="4"/>
  <c r="F49" i="1" a="1"/>
  <c r="F49" i="1" s="1"/>
  <c r="N80" i="2"/>
  <c r="O80" i="2"/>
  <c r="O109" i="2"/>
  <c r="N109" i="2"/>
  <c r="N8" i="2"/>
  <c r="O8" i="2"/>
  <c r="S16" i="1" a="1"/>
  <c r="S16" i="1" s="1"/>
  <c r="N107" i="2"/>
  <c r="O107" i="2"/>
  <c r="N115" i="4"/>
  <c r="O115" i="4"/>
  <c r="C10" i="1" a="1"/>
  <c r="C10" i="1" s="1"/>
  <c r="S34" i="1" a="1"/>
  <c r="S34" i="1" s="1"/>
  <c r="P111" i="4"/>
  <c r="N111" i="4"/>
  <c r="O178" i="4"/>
  <c r="N178" i="4"/>
  <c r="O7" i="4"/>
  <c r="N7" i="4"/>
  <c r="N46" i="3"/>
  <c r="O150" i="4"/>
  <c r="N138" i="4"/>
  <c r="O138" i="4"/>
  <c r="N137" i="4"/>
  <c r="O137" i="4"/>
  <c r="O116" i="4"/>
  <c r="N116" i="4"/>
  <c r="O54" i="4"/>
  <c r="N54" i="4"/>
  <c r="C28" i="1" a="1"/>
  <c r="C28" i="1" s="1"/>
  <c r="B25" i="1" a="1"/>
  <c r="B25" i="1" s="1"/>
  <c r="C27" i="1" a="1"/>
  <c r="C27" i="1" s="1"/>
  <c r="B24" i="1" a="1"/>
  <c r="B24" i="1" s="1"/>
  <c r="D24" i="1" s="1"/>
  <c r="C26" i="1" a="1"/>
  <c r="C26" i="1" s="1"/>
  <c r="E26" i="1" s="1"/>
  <c r="B23" i="1" a="1"/>
  <c r="B23" i="1" s="1"/>
  <c r="D23" i="1" s="1"/>
  <c r="C25" i="1" a="1"/>
  <c r="C25" i="1" s="1"/>
  <c r="B22" i="1" a="1"/>
  <c r="B22" i="1" s="1"/>
  <c r="C24" i="1" a="1"/>
  <c r="C24" i="1" s="1"/>
  <c r="B21" i="1" a="1"/>
  <c r="B21" i="1" s="1"/>
  <c r="C23" i="1" a="1"/>
  <c r="C23" i="1" s="1"/>
  <c r="C22" i="1" a="1"/>
  <c r="C22" i="1" s="1"/>
  <c r="C21" i="1" a="1"/>
  <c r="C21" i="1" s="1"/>
  <c r="B34" i="1" a="1"/>
  <c r="B34" i="1" s="1"/>
  <c r="B33" i="1" a="1"/>
  <c r="B33" i="1" s="1"/>
  <c r="B32" i="1" a="1"/>
  <c r="B32" i="1" s="1"/>
  <c r="B26" i="1" a="1"/>
  <c r="B26" i="1" s="1"/>
  <c r="C33" i="1" a="1"/>
  <c r="C33" i="1" s="1"/>
  <c r="C32" i="1" a="1"/>
  <c r="C32" i="1" s="1"/>
  <c r="C31" i="1" a="1"/>
  <c r="C31" i="1" s="1"/>
  <c r="C29" i="1" a="1"/>
  <c r="C29" i="1" s="1"/>
  <c r="B28" i="1" a="1"/>
  <c r="B28" i="1" s="1"/>
  <c r="B29" i="1" a="1"/>
  <c r="B29" i="1" s="1"/>
  <c r="B27" i="1" a="1"/>
  <c r="B27" i="1" s="1"/>
  <c r="D27" i="1" s="1"/>
  <c r="C34" i="1" a="1"/>
  <c r="C34" i="1" s="1"/>
  <c r="E34" i="1" s="1"/>
  <c r="C30" i="1" a="1"/>
  <c r="C30" i="1" s="1"/>
  <c r="E30" i="1" s="1"/>
  <c r="B31" i="1" a="1"/>
  <c r="B31" i="1" s="1"/>
  <c r="B30" i="1" a="1"/>
  <c r="B30" i="1" s="1"/>
  <c r="O2" i="3"/>
  <c r="N2" i="3"/>
  <c r="N69" i="4"/>
  <c r="P69" i="4"/>
  <c r="O12" i="4"/>
  <c r="N12" i="4"/>
  <c r="N125" i="2"/>
  <c r="O125" i="2"/>
  <c r="N122" i="4"/>
  <c r="O122" i="4"/>
  <c r="B4" i="1" a="1"/>
  <c r="B4" i="1" s="1"/>
  <c r="O39" i="4"/>
  <c r="N39" i="4"/>
  <c r="N174" i="3"/>
  <c r="P174" i="3"/>
  <c r="N78" i="3"/>
  <c r="O78" i="3"/>
  <c r="O173" i="4"/>
  <c r="N173" i="4"/>
  <c r="O154" i="3"/>
  <c r="N154" i="3"/>
  <c r="G48" i="1" a="1"/>
  <c r="G48" i="1" s="1"/>
  <c r="O130" i="2"/>
  <c r="N130" i="2"/>
  <c r="R13" i="1" a="1"/>
  <c r="R13" i="1" s="1"/>
  <c r="O87" i="2"/>
  <c r="N87" i="2"/>
  <c r="N136" i="3"/>
  <c r="O136" i="3"/>
  <c r="N110" i="2"/>
  <c r="N122" i="3"/>
  <c r="O122" i="3"/>
  <c r="O101" i="3"/>
  <c r="N101" i="3"/>
  <c r="N112" i="3"/>
  <c r="O112" i="3"/>
  <c r="N46" i="2"/>
  <c r="O46" i="2"/>
  <c r="O35" i="4"/>
  <c r="N35" i="4"/>
  <c r="O196" i="4"/>
  <c r="N196" i="4"/>
  <c r="N65" i="2"/>
  <c r="P65" i="2"/>
  <c r="N176" i="4"/>
  <c r="O176" i="4"/>
  <c r="O163" i="4"/>
  <c r="N163" i="4"/>
  <c r="O177" i="4"/>
  <c r="N177" i="4"/>
  <c r="N94" i="4"/>
  <c r="N110" i="3"/>
  <c r="O110" i="3"/>
  <c r="N48" i="2"/>
  <c r="O48" i="2"/>
  <c r="O112" i="4"/>
  <c r="N112" i="4"/>
  <c r="O54" i="2"/>
  <c r="N155" i="4"/>
  <c r="O118" i="4"/>
  <c r="N118" i="4"/>
  <c r="O117" i="4"/>
  <c r="N117" i="4"/>
  <c r="N96" i="4"/>
  <c r="O96" i="4"/>
  <c r="O135" i="4"/>
  <c r="N135" i="4"/>
  <c r="O34" i="4"/>
  <c r="N34" i="4"/>
  <c r="P123" i="3"/>
  <c r="N123" i="3"/>
  <c r="G30" i="1" a="1"/>
  <c r="G30" i="1" s="1"/>
  <c r="F25" i="1" a="1"/>
  <c r="F25" i="1" s="1"/>
  <c r="H25" i="1" s="1"/>
  <c r="G29" i="1" a="1"/>
  <c r="G29" i="1" s="1"/>
  <c r="G28" i="1" a="1"/>
  <c r="G28" i="1" s="1"/>
  <c r="F24" i="1" a="1"/>
  <c r="F24" i="1" s="1"/>
  <c r="H24" i="1" s="1"/>
  <c r="G27" i="1" a="1"/>
  <c r="G27" i="1" s="1"/>
  <c r="F23" i="1" a="1"/>
  <c r="F23" i="1" s="1"/>
  <c r="H23" i="1" s="1"/>
  <c r="G26" i="1" a="1"/>
  <c r="G26" i="1" s="1"/>
  <c r="F22" i="1" a="1"/>
  <c r="F22" i="1" s="1"/>
  <c r="G25" i="1" a="1"/>
  <c r="G25" i="1" s="1"/>
  <c r="F21" i="1" a="1"/>
  <c r="F21" i="1" s="1"/>
  <c r="G24" i="1" a="1"/>
  <c r="G24" i="1" s="1"/>
  <c r="G23" i="1" a="1"/>
  <c r="G23" i="1" s="1"/>
  <c r="G22" i="1" a="1"/>
  <c r="G22" i="1" s="1"/>
  <c r="G21" i="1" a="1"/>
  <c r="G21" i="1" s="1"/>
  <c r="I21" i="1" s="1"/>
  <c r="F34" i="1" a="1"/>
  <c r="F34" i="1" s="1"/>
  <c r="F33" i="1" a="1"/>
  <c r="F33" i="1" s="1"/>
  <c r="F32" i="1" a="1"/>
  <c r="F32" i="1" s="1"/>
  <c r="G34" i="1" a="1"/>
  <c r="G34" i="1" s="1"/>
  <c r="G33" i="1" a="1"/>
  <c r="G33" i="1" s="1"/>
  <c r="G32" i="1" a="1"/>
  <c r="G32" i="1" s="1"/>
  <c r="I32" i="1" s="1"/>
  <c r="F28" i="1" a="1"/>
  <c r="F28" i="1" s="1"/>
  <c r="P2" i="3"/>
  <c r="G31" i="1" a="1"/>
  <c r="G31" i="1" s="1"/>
  <c r="F31" i="1" a="1"/>
  <c r="F31" i="1" s="1"/>
  <c r="H31" i="1" s="1"/>
  <c r="F30" i="1" a="1"/>
  <c r="F30" i="1" s="1"/>
  <c r="H30" i="1" s="1"/>
  <c r="F29" i="1" a="1"/>
  <c r="F29" i="1" s="1"/>
  <c r="F27" i="1" a="1"/>
  <c r="F27" i="1" s="1"/>
  <c r="F26" i="1" a="1"/>
  <c r="F26" i="1" s="1"/>
  <c r="O110" i="4"/>
  <c r="N110" i="4"/>
  <c r="N52" i="2"/>
  <c r="O52" i="2"/>
  <c r="N105" i="2"/>
  <c r="P105" i="2"/>
  <c r="O143" i="4"/>
  <c r="N143" i="4"/>
  <c r="S28" i="1" a="1"/>
  <c r="S28" i="1" s="1"/>
  <c r="T6" i="3"/>
  <c r="R23" i="1" a="1"/>
  <c r="R23" i="1" s="1"/>
  <c r="R24" i="1" a="1"/>
  <c r="R24" i="1" s="1"/>
  <c r="T24" i="1" s="1"/>
  <c r="B5" i="1" a="1"/>
  <c r="B5" i="1" s="1"/>
  <c r="D5" i="1" s="1"/>
  <c r="O121" i="4"/>
  <c r="N121" i="4"/>
  <c r="O180" i="4"/>
  <c r="N180" i="4"/>
  <c r="N82" i="2"/>
  <c r="P82" i="2"/>
  <c r="O26" i="2"/>
  <c r="N26" i="2"/>
  <c r="G49" i="1" a="1"/>
  <c r="G49" i="1" s="1"/>
  <c r="N131" i="2"/>
  <c r="O131" i="2"/>
  <c r="R14" i="1" a="1"/>
  <c r="R14" i="1" s="1"/>
  <c r="O80" i="3"/>
  <c r="N80" i="3"/>
  <c r="Y68" i="4"/>
  <c r="W2" i="4"/>
  <c r="Y151" i="4"/>
  <c r="X17" i="4"/>
  <c r="W4" i="4"/>
  <c r="X150" i="4"/>
  <c r="W163" i="4"/>
  <c r="Y150" i="4"/>
  <c r="X19" i="4"/>
  <c r="W12" i="4"/>
  <c r="X31" i="4"/>
  <c r="X178" i="4"/>
  <c r="X167" i="4"/>
  <c r="W15" i="4"/>
  <c r="Y75" i="4"/>
  <c r="X101" i="4"/>
  <c r="Y81" i="4"/>
  <c r="Y84" i="4"/>
  <c r="Y72" i="4"/>
  <c r="Y66" i="4"/>
  <c r="Y74" i="4"/>
  <c r="W94" i="4"/>
  <c r="Y73" i="4"/>
  <c r="X157" i="4"/>
  <c r="Y78" i="4"/>
  <c r="X15" i="4"/>
  <c r="Y17" i="4"/>
  <c r="Y77" i="4"/>
  <c r="Y186" i="4"/>
  <c r="X155" i="4"/>
  <c r="W11" i="4"/>
  <c r="Y83" i="4"/>
  <c r="Y80" i="4"/>
  <c r="W177" i="4"/>
  <c r="Y198" i="4"/>
  <c r="Y67" i="4"/>
  <c r="X179" i="4"/>
  <c r="W7" i="4"/>
  <c r="W41" i="4"/>
  <c r="W93" i="4"/>
  <c r="Y18" i="4"/>
  <c r="Y196" i="4"/>
  <c r="W155" i="4"/>
  <c r="X52" i="4"/>
  <c r="Y51" i="4"/>
  <c r="W179" i="4"/>
  <c r="Y189" i="4"/>
  <c r="X70" i="4"/>
  <c r="W32" i="4"/>
  <c r="W87" i="4"/>
  <c r="W89" i="4"/>
  <c r="Y76" i="4"/>
  <c r="X171" i="4"/>
  <c r="W10" i="4"/>
  <c r="X192" i="4"/>
  <c r="X143" i="4"/>
  <c r="Y63" i="4"/>
  <c r="W49" i="4"/>
  <c r="Y53" i="4"/>
  <c r="W171" i="4"/>
  <c r="X81" i="4"/>
  <c r="W44" i="4"/>
  <c r="Y148" i="4"/>
  <c r="Y71" i="4"/>
  <c r="X162" i="4"/>
  <c r="W3" i="4"/>
  <c r="W86" i="4"/>
  <c r="W13" i="4"/>
  <c r="W90" i="4"/>
  <c r="W92" i="4"/>
  <c r="W16" i="4"/>
  <c r="W91" i="4"/>
  <c r="Y50" i="4"/>
  <c r="W162" i="4"/>
  <c r="Y48" i="4"/>
  <c r="X66" i="4"/>
  <c r="W43" i="4"/>
  <c r="Y152" i="4"/>
  <c r="Y82" i="4"/>
  <c r="W5" i="4"/>
  <c r="W6" i="4"/>
  <c r="Y79" i="4"/>
  <c r="Y58" i="4"/>
  <c r="W158" i="4"/>
  <c r="Y34" i="4"/>
  <c r="X73" i="4"/>
  <c r="W36" i="4"/>
  <c r="X69" i="4"/>
  <c r="Y153" i="4"/>
  <c r="Y65" i="4"/>
  <c r="W9" i="4"/>
  <c r="X142" i="4"/>
  <c r="Y64" i="4"/>
  <c r="X188" i="4"/>
  <c r="Y191" i="4"/>
  <c r="X55" i="4"/>
  <c r="X177" i="4"/>
  <c r="W50" i="4"/>
  <c r="X194" i="4"/>
  <c r="X139" i="4"/>
  <c r="X53" i="4"/>
  <c r="X95" i="4"/>
  <c r="Y7" i="4"/>
  <c r="X54" i="4"/>
  <c r="X173" i="4"/>
  <c r="X93" i="4"/>
  <c r="X28" i="4"/>
  <c r="X189" i="4"/>
  <c r="X141" i="4"/>
  <c r="X163" i="4"/>
  <c r="Y10" i="4"/>
  <c r="X60" i="4"/>
  <c r="X159" i="4"/>
  <c r="X169" i="4"/>
  <c r="X90" i="4"/>
  <c r="X37" i="4"/>
  <c r="W70" i="4"/>
  <c r="Y62" i="4"/>
  <c r="Y61" i="4"/>
  <c r="Y187" i="4"/>
  <c r="Y181" i="4"/>
  <c r="Y193" i="4"/>
  <c r="X191" i="4"/>
  <c r="X92" i="4"/>
  <c r="Y5" i="4"/>
  <c r="X147" i="4"/>
  <c r="Y192" i="4"/>
  <c r="X137" i="4"/>
  <c r="X186" i="4"/>
  <c r="X158" i="4"/>
  <c r="X56" i="4"/>
  <c r="X154" i="4"/>
  <c r="X164" i="4"/>
  <c r="W95" i="4"/>
  <c r="X59" i="4"/>
  <c r="X30" i="4"/>
  <c r="Y4" i="4"/>
  <c r="Y56" i="4"/>
  <c r="Y9" i="4"/>
  <c r="W55" i="4"/>
  <c r="X197" i="4"/>
  <c r="W96" i="4"/>
  <c r="X63" i="4"/>
  <c r="Y188" i="4"/>
  <c r="W108" i="4"/>
  <c r="Y6" i="4"/>
  <c r="X136" i="4"/>
  <c r="Y184" i="4"/>
  <c r="Y15" i="4"/>
  <c r="Y87" i="4"/>
  <c r="Y199" i="4"/>
  <c r="X172" i="4"/>
  <c r="W59" i="4"/>
  <c r="X199" i="4"/>
  <c r="Y69" i="4"/>
  <c r="Y11" i="4"/>
  <c r="X161" i="4"/>
  <c r="X148" i="4"/>
  <c r="X36" i="4"/>
  <c r="Y54" i="4"/>
  <c r="Y197" i="4"/>
  <c r="Y2" i="4"/>
  <c r="X117" i="4"/>
  <c r="Y183" i="4"/>
  <c r="X168" i="4"/>
  <c r="W62" i="4"/>
  <c r="X187" i="4"/>
  <c r="Y16" i="4"/>
  <c r="X174" i="4"/>
  <c r="X176" i="4"/>
  <c r="X51" i="4"/>
  <c r="X160" i="4"/>
  <c r="X61" i="4"/>
  <c r="X91" i="4"/>
  <c r="X88" i="4"/>
  <c r="X108" i="4"/>
  <c r="Y194" i="4"/>
  <c r="X39" i="4"/>
  <c r="X165" i="4"/>
  <c r="W52" i="4"/>
  <c r="X196" i="4"/>
  <c r="Y185" i="4"/>
  <c r="X43" i="4"/>
  <c r="Y8" i="4"/>
  <c r="X166" i="4"/>
  <c r="Y60" i="4"/>
  <c r="Y12" i="4"/>
  <c r="Y195" i="4"/>
  <c r="X97" i="4"/>
  <c r="Y182" i="4"/>
  <c r="X175" i="4"/>
  <c r="W63" i="4"/>
  <c r="X181" i="4"/>
  <c r="W14" i="4"/>
  <c r="Y70" i="4"/>
  <c r="X151" i="4"/>
  <c r="X170" i="4"/>
  <c r="X102" i="4"/>
  <c r="Y180" i="4"/>
  <c r="Y22" i="4"/>
  <c r="Y27" i="4"/>
  <c r="Y20" i="4"/>
  <c r="Y24" i="4"/>
  <c r="Y25" i="4"/>
  <c r="Y26" i="4"/>
  <c r="Y23" i="4"/>
  <c r="Y21" i="4"/>
  <c r="Y37" i="4"/>
  <c r="X35" i="4"/>
  <c r="W84" i="4"/>
  <c r="W129" i="4"/>
  <c r="X111" i="4"/>
  <c r="X122" i="4"/>
  <c r="X152" i="4"/>
  <c r="X134" i="4"/>
  <c r="X42" i="4"/>
  <c r="W78" i="4"/>
  <c r="X109" i="4"/>
  <c r="W132" i="4"/>
  <c r="W119" i="4"/>
  <c r="W68" i="4"/>
  <c r="W97" i="4"/>
  <c r="Y49" i="4"/>
  <c r="X116" i="4"/>
  <c r="Y32" i="4"/>
  <c r="X153" i="4"/>
  <c r="X140" i="4"/>
  <c r="X33" i="4"/>
  <c r="W75" i="4"/>
  <c r="W103" i="4"/>
  <c r="W99" i="4"/>
  <c r="W64" i="4"/>
  <c r="Y44" i="4"/>
  <c r="X46" i="4"/>
  <c r="W83" i="4"/>
  <c r="W126" i="4"/>
  <c r="X9" i="4"/>
  <c r="X124" i="4"/>
  <c r="X106" i="4"/>
  <c r="X110" i="4"/>
  <c r="X98" i="4"/>
  <c r="Y43" i="4"/>
  <c r="X22" i="4"/>
  <c r="X27" i="4"/>
  <c r="X20" i="4"/>
  <c r="X23" i="4"/>
  <c r="X21" i="4"/>
  <c r="X24" i="4"/>
  <c r="X25" i="4"/>
  <c r="X26" i="4"/>
  <c r="X146" i="4"/>
  <c r="X40" i="4"/>
  <c r="W85" i="4"/>
  <c r="W121" i="4"/>
  <c r="X16" i="4"/>
  <c r="Y40" i="4"/>
  <c r="W118" i="4"/>
  <c r="W125" i="4"/>
  <c r="X8" i="4"/>
  <c r="X105" i="4"/>
  <c r="X118" i="4"/>
  <c r="X130" i="4"/>
  <c r="X107" i="4"/>
  <c r="X100" i="4"/>
  <c r="W149" i="4"/>
  <c r="W150" i="4"/>
  <c r="W151" i="4"/>
  <c r="W146" i="4"/>
  <c r="W145" i="4"/>
  <c r="W147" i="4"/>
  <c r="W153" i="4"/>
  <c r="W152" i="4"/>
  <c r="W148" i="4"/>
  <c r="X125" i="4"/>
  <c r="X104" i="4"/>
  <c r="X49" i="4"/>
  <c r="W66" i="4"/>
  <c r="W130" i="4"/>
  <c r="W114" i="4"/>
  <c r="X2" i="4"/>
  <c r="W185" i="4"/>
  <c r="W190" i="4"/>
  <c r="W189" i="4"/>
  <c r="W191" i="4"/>
  <c r="W198" i="4"/>
  <c r="W186" i="4"/>
  <c r="W193" i="4"/>
  <c r="W187" i="4"/>
  <c r="W188" i="4"/>
  <c r="W180" i="4"/>
  <c r="W182" i="4"/>
  <c r="W194" i="4"/>
  <c r="W183" i="4"/>
  <c r="W184" i="4"/>
  <c r="W195" i="4"/>
  <c r="W181" i="4"/>
  <c r="W192" i="4"/>
  <c r="W199" i="4"/>
  <c r="W196" i="4"/>
  <c r="W197" i="4"/>
  <c r="W81" i="4"/>
  <c r="X129" i="4"/>
  <c r="Y30" i="4"/>
  <c r="X145" i="4"/>
  <c r="X50" i="4"/>
  <c r="X32" i="4"/>
  <c r="X184" i="4"/>
  <c r="W73" i="4"/>
  <c r="W109" i="4"/>
  <c r="W113" i="4"/>
  <c r="X14" i="4"/>
  <c r="X133" i="4"/>
  <c r="Y36" i="4"/>
  <c r="X96" i="4"/>
  <c r="Y31" i="4"/>
  <c r="X115" i="4"/>
  <c r="X127" i="4"/>
  <c r="X119" i="4"/>
  <c r="Y38" i="4"/>
  <c r="Y29" i="4"/>
  <c r="X62" i="4"/>
  <c r="X58" i="4"/>
  <c r="Y99" i="4"/>
  <c r="Y119" i="4"/>
  <c r="Y129" i="4"/>
  <c r="Y96" i="4"/>
  <c r="Y100" i="4"/>
  <c r="Y101" i="4"/>
  <c r="Y110" i="4"/>
  <c r="Y102" i="4"/>
  <c r="Y111" i="4"/>
  <c r="Y124" i="4"/>
  <c r="Y121" i="4"/>
  <c r="Y126" i="4"/>
  <c r="Y103" i="4"/>
  <c r="Y132" i="4"/>
  <c r="Y97" i="4"/>
  <c r="Y108" i="4"/>
  <c r="Y117" i="4"/>
  <c r="Y127" i="4"/>
  <c r="Y115" i="4"/>
  <c r="Y104" i="4"/>
  <c r="Y133" i="4"/>
  <c r="Y98" i="4"/>
  <c r="Y106" i="4"/>
  <c r="Y125" i="4"/>
  <c r="Y113" i="4"/>
  <c r="Y123" i="4"/>
  <c r="Y116" i="4"/>
  <c r="Y128" i="4"/>
  <c r="Y105" i="4"/>
  <c r="Y118" i="4"/>
  <c r="Y107" i="4"/>
  <c r="Y120" i="4"/>
  <c r="Y130" i="4"/>
  <c r="Y109" i="4"/>
  <c r="Y112" i="4"/>
  <c r="Y122" i="4"/>
  <c r="Y131" i="4"/>
  <c r="Y114" i="4"/>
  <c r="X44" i="4"/>
  <c r="X183" i="4"/>
  <c r="W80" i="4"/>
  <c r="W128" i="4"/>
  <c r="W107" i="4"/>
  <c r="X13" i="4"/>
  <c r="W201" i="4"/>
  <c r="W200" i="4"/>
  <c r="W79" i="4"/>
  <c r="W105" i="4"/>
  <c r="W120" i="4"/>
  <c r="X11" i="4"/>
  <c r="W67" i="4"/>
  <c r="W123" i="4"/>
  <c r="W112" i="4"/>
  <c r="X7" i="4"/>
  <c r="W72" i="4"/>
  <c r="W122" i="4"/>
  <c r="W102" i="4"/>
  <c r="X10" i="4"/>
  <c r="Y45" i="4"/>
  <c r="W106" i="4"/>
  <c r="W131" i="4"/>
  <c r="X3" i="4"/>
  <c r="X103" i="4"/>
  <c r="X38" i="4"/>
  <c r="W74" i="4"/>
  <c r="W98" i="4"/>
  <c r="W116" i="4"/>
  <c r="X5" i="4"/>
  <c r="X126" i="4"/>
  <c r="Y28" i="4"/>
  <c r="X135" i="4"/>
  <c r="X138" i="4"/>
  <c r="Y154" i="4"/>
  <c r="Y161" i="4"/>
  <c r="Y169" i="4"/>
  <c r="Y173" i="4"/>
  <c r="Y158" i="4"/>
  <c r="Y162" i="4"/>
  <c r="Y171" i="4"/>
  <c r="Y179" i="4"/>
  <c r="Y177" i="4"/>
  <c r="Y155" i="4"/>
  <c r="Y157" i="4"/>
  <c r="Y167" i="4"/>
  <c r="Y175" i="4"/>
  <c r="Y165" i="4"/>
  <c r="Y168" i="4"/>
  <c r="Y172" i="4"/>
  <c r="Y166" i="4"/>
  <c r="Y159" i="4"/>
  <c r="Y160" i="4"/>
  <c r="Y178" i="4"/>
  <c r="Y174" i="4"/>
  <c r="Y156" i="4"/>
  <c r="Y176" i="4"/>
  <c r="Y164" i="4"/>
  <c r="Y163" i="4"/>
  <c r="Y170" i="4"/>
  <c r="X48" i="4"/>
  <c r="X198" i="4"/>
  <c r="W77" i="4"/>
  <c r="W133" i="4"/>
  <c r="W124" i="4"/>
  <c r="X4" i="4"/>
  <c r="Y47" i="4"/>
  <c r="W69" i="4"/>
  <c r="X114" i="4"/>
  <c r="X34" i="4"/>
  <c r="W76" i="4"/>
  <c r="W104" i="4"/>
  <c r="W111" i="4"/>
  <c r="X12" i="4"/>
  <c r="X201" i="4"/>
  <c r="X200" i="4"/>
  <c r="X121" i="4"/>
  <c r="X112" i="4"/>
  <c r="X47" i="4"/>
  <c r="W71" i="4"/>
  <c r="W115" i="4"/>
  <c r="X6" i="4"/>
  <c r="X132" i="4"/>
  <c r="X123" i="4"/>
  <c r="X128" i="4"/>
  <c r="X41" i="4"/>
  <c r="W110" i="4"/>
  <c r="X131" i="4"/>
  <c r="Y33" i="4"/>
  <c r="Y41" i="4"/>
  <c r="X29" i="4"/>
  <c r="X45" i="4"/>
  <c r="X190" i="4"/>
  <c r="W82" i="4"/>
  <c r="W127" i="4"/>
  <c r="W101" i="4"/>
  <c r="W19" i="4"/>
  <c r="W17" i="4"/>
  <c r="W18" i="4"/>
  <c r="Y42" i="4"/>
  <c r="X120" i="4"/>
  <c r="Y46" i="4"/>
  <c r="X113" i="4"/>
  <c r="X144" i="4"/>
  <c r="W117" i="4"/>
  <c r="Y39" i="4"/>
  <c r="W103" i="3"/>
  <c r="W107" i="3"/>
  <c r="X118" i="3"/>
  <c r="W126" i="3"/>
  <c r="X56" i="3"/>
  <c r="X108" i="3"/>
  <c r="W91" i="3"/>
  <c r="X64" i="3"/>
  <c r="Y182" i="3"/>
  <c r="X110" i="3"/>
  <c r="X96" i="3"/>
  <c r="W125" i="3"/>
  <c r="W110" i="3"/>
  <c r="X53" i="3"/>
  <c r="Y180" i="3"/>
  <c r="X147" i="3"/>
  <c r="X106" i="3"/>
  <c r="W104" i="3"/>
  <c r="W106" i="3"/>
  <c r="X63" i="3"/>
  <c r="X154" i="3"/>
  <c r="W108" i="3"/>
  <c r="W92" i="3"/>
  <c r="X91" i="3"/>
  <c r="X103" i="3"/>
  <c r="X66" i="3"/>
  <c r="X139" i="3"/>
  <c r="W119" i="3"/>
  <c r="W143" i="3"/>
  <c r="W140" i="3"/>
  <c r="W150" i="3"/>
  <c r="W153" i="3"/>
  <c r="W154" i="3"/>
  <c r="W88" i="3"/>
  <c r="X94" i="3"/>
  <c r="W95" i="3"/>
  <c r="X61" i="3"/>
  <c r="X140" i="3"/>
  <c r="X148" i="3"/>
  <c r="W98" i="3"/>
  <c r="W114" i="3"/>
  <c r="X116" i="3"/>
  <c r="X123" i="3"/>
  <c r="W116" i="3"/>
  <c r="W102" i="3"/>
  <c r="Y130" i="3"/>
  <c r="X125" i="3"/>
  <c r="X62" i="3"/>
  <c r="X152" i="3"/>
  <c r="X153" i="3"/>
  <c r="Y10" i="3"/>
  <c r="W121" i="3"/>
  <c r="X117" i="3"/>
  <c r="X101" i="3"/>
  <c r="W94" i="3"/>
  <c r="W97" i="3"/>
  <c r="X60" i="3"/>
  <c r="X155" i="3"/>
  <c r="W105" i="3"/>
  <c r="X55" i="3"/>
  <c r="X159" i="3"/>
  <c r="W138" i="3"/>
  <c r="X65" i="3"/>
  <c r="X122" i="3"/>
  <c r="Y129" i="3"/>
  <c r="X95" i="3"/>
  <c r="X119" i="3"/>
  <c r="Y8" i="3"/>
  <c r="W118" i="3"/>
  <c r="X45" i="3"/>
  <c r="X151" i="3"/>
  <c r="X177" i="3"/>
  <c r="W177" i="3"/>
  <c r="W96" i="3"/>
  <c r="X98" i="3"/>
  <c r="W113" i="3"/>
  <c r="X40" i="3"/>
  <c r="X142" i="3"/>
  <c r="X166" i="3"/>
  <c r="Y64" i="3"/>
  <c r="W122" i="3"/>
  <c r="X107" i="3"/>
  <c r="W89" i="3"/>
  <c r="Y85" i="3"/>
  <c r="W100" i="3"/>
  <c r="X36" i="3"/>
  <c r="Y13" i="3"/>
  <c r="X160" i="3"/>
  <c r="X170" i="3"/>
  <c r="X80" i="3"/>
  <c r="X109" i="3"/>
  <c r="W109" i="3"/>
  <c r="W101" i="3"/>
  <c r="X102" i="3"/>
  <c r="Y79" i="3"/>
  <c r="W124" i="3"/>
  <c r="W93" i="3"/>
  <c r="X51" i="3"/>
  <c r="Y5" i="3"/>
  <c r="X150" i="3"/>
  <c r="W65" i="3"/>
  <c r="X164" i="3"/>
  <c r="W123" i="3"/>
  <c r="W149" i="3"/>
  <c r="W166" i="3"/>
  <c r="X111" i="3"/>
  <c r="Y83" i="3"/>
  <c r="Y80" i="3"/>
  <c r="Y14" i="3"/>
  <c r="X144" i="3"/>
  <c r="X171" i="3"/>
  <c r="W141" i="3"/>
  <c r="W72" i="3"/>
  <c r="W67" i="3"/>
  <c r="X82" i="3"/>
  <c r="Y72" i="3"/>
  <c r="Y88" i="3"/>
  <c r="X78" i="3"/>
  <c r="Y76" i="3"/>
  <c r="Y98" i="3"/>
  <c r="W18" i="3"/>
  <c r="W175" i="3"/>
  <c r="Y11" i="3"/>
  <c r="X54" i="3"/>
  <c r="Y91" i="3"/>
  <c r="X174" i="3"/>
  <c r="W2" i="3"/>
  <c r="Y136" i="3"/>
  <c r="W68" i="3"/>
  <c r="Y101" i="3"/>
  <c r="W17" i="3"/>
  <c r="X97" i="3"/>
  <c r="W75" i="3"/>
  <c r="W82" i="3"/>
  <c r="X58" i="3"/>
  <c r="Y92" i="3"/>
  <c r="Y61" i="3"/>
  <c r="W15" i="3"/>
  <c r="W179" i="3"/>
  <c r="X52" i="3"/>
  <c r="Y111" i="3"/>
  <c r="Y54" i="3"/>
  <c r="W7" i="3"/>
  <c r="Y89" i="3"/>
  <c r="Y94" i="3"/>
  <c r="Y63" i="3"/>
  <c r="W10" i="3"/>
  <c r="W76" i="3"/>
  <c r="X180" i="3"/>
  <c r="Y126" i="3"/>
  <c r="Y62" i="3"/>
  <c r="W16" i="3"/>
  <c r="W69" i="3"/>
  <c r="W70" i="3"/>
  <c r="X182" i="3"/>
  <c r="Y124" i="3"/>
  <c r="X178" i="3"/>
  <c r="Y60" i="3"/>
  <c r="W12" i="3"/>
  <c r="X181" i="3"/>
  <c r="Y100" i="3"/>
  <c r="Y53" i="3"/>
  <c r="W11" i="3"/>
  <c r="X100" i="3"/>
  <c r="X93" i="3"/>
  <c r="X92" i="3"/>
  <c r="X114" i="3"/>
  <c r="X120" i="3"/>
  <c r="X121" i="3"/>
  <c r="Y116" i="3"/>
  <c r="Y58" i="3"/>
  <c r="W4" i="3"/>
  <c r="Y68" i="3"/>
  <c r="Y118" i="3"/>
  <c r="Y52" i="3"/>
  <c r="W14" i="3"/>
  <c r="W71" i="3"/>
  <c r="X85" i="3"/>
  <c r="X57" i="3"/>
  <c r="Y108" i="3"/>
  <c r="X176" i="3"/>
  <c r="Y66" i="3"/>
  <c r="W13" i="3"/>
  <c r="W74" i="3"/>
  <c r="W77" i="3"/>
  <c r="Y133" i="3"/>
  <c r="Y103" i="3"/>
  <c r="W32" i="3"/>
  <c r="W25" i="3"/>
  <c r="W30" i="3"/>
  <c r="W34" i="3"/>
  <c r="W26" i="3"/>
  <c r="W35" i="3"/>
  <c r="W22" i="3"/>
  <c r="W29" i="3"/>
  <c r="W33" i="3"/>
  <c r="W21" i="3"/>
  <c r="W27" i="3"/>
  <c r="W31" i="3"/>
  <c r="W24" i="3"/>
  <c r="W23" i="3"/>
  <c r="W28" i="3"/>
  <c r="X22" i="3"/>
  <c r="X24" i="3"/>
  <c r="X32" i="3"/>
  <c r="X29" i="3"/>
  <c r="X30" i="3"/>
  <c r="X35" i="3"/>
  <c r="X34" i="3"/>
  <c r="X21" i="3"/>
  <c r="X27" i="3"/>
  <c r="X25" i="3"/>
  <c r="X23" i="3"/>
  <c r="X26" i="3"/>
  <c r="X28" i="3"/>
  <c r="X31" i="3"/>
  <c r="X33" i="3"/>
  <c r="Y96" i="3"/>
  <c r="Y99" i="3"/>
  <c r="Y73" i="3"/>
  <c r="W85" i="3"/>
  <c r="X133" i="3"/>
  <c r="X130" i="3"/>
  <c r="X135" i="3"/>
  <c r="X131" i="3"/>
  <c r="X136" i="3"/>
  <c r="X134" i="3"/>
  <c r="X132" i="3"/>
  <c r="Y106" i="3"/>
  <c r="Y95" i="3"/>
  <c r="W80" i="3"/>
  <c r="Y75" i="3"/>
  <c r="X127" i="3"/>
  <c r="X128" i="3"/>
  <c r="X129" i="3"/>
  <c r="W79" i="3"/>
  <c r="Y119" i="3"/>
  <c r="Y109" i="3"/>
  <c r="Y71" i="3"/>
  <c r="W84" i="3"/>
  <c r="Y113" i="3"/>
  <c r="W83" i="3"/>
  <c r="Y115" i="3"/>
  <c r="Y107" i="3"/>
  <c r="Y56" i="3"/>
  <c r="Y67" i="3"/>
  <c r="X87" i="3"/>
  <c r="W86" i="3"/>
  <c r="Y97" i="3"/>
  <c r="Y105" i="3"/>
  <c r="Y65" i="3"/>
  <c r="Y77" i="3"/>
  <c r="W87" i="3"/>
  <c r="X79" i="3"/>
  <c r="Y112" i="3"/>
  <c r="Y123" i="3"/>
  <c r="Y59" i="3"/>
  <c r="Y70" i="3"/>
  <c r="X19" i="3"/>
  <c r="X20" i="3"/>
  <c r="Y21" i="3"/>
  <c r="Y27" i="3"/>
  <c r="Y31" i="3"/>
  <c r="Y32" i="3"/>
  <c r="Y22" i="3"/>
  <c r="Y24" i="3"/>
  <c r="Y29" i="3"/>
  <c r="Y30" i="3"/>
  <c r="Y34" i="3"/>
  <c r="Y35" i="3"/>
  <c r="Y25" i="3"/>
  <c r="Y33" i="3"/>
  <c r="Y23" i="3"/>
  <c r="Y28" i="3"/>
  <c r="Y26" i="3"/>
  <c r="Y117" i="3"/>
  <c r="X81" i="3"/>
  <c r="Y102" i="3"/>
  <c r="Y114" i="3"/>
  <c r="Y57" i="3"/>
  <c r="Y69" i="3"/>
  <c r="Y147" i="3"/>
  <c r="Y162" i="3"/>
  <c r="Y146" i="3"/>
  <c r="Y153" i="3"/>
  <c r="Y139" i="3"/>
  <c r="Y141" i="3"/>
  <c r="Y154" i="3"/>
  <c r="Y149" i="3"/>
  <c r="Y158" i="3"/>
  <c r="Y138" i="3"/>
  <c r="Y157" i="3"/>
  <c r="Y148" i="3"/>
  <c r="Y159" i="3"/>
  <c r="Y160" i="3"/>
  <c r="Y144" i="3"/>
  <c r="Y145" i="3"/>
  <c r="Y142" i="3"/>
  <c r="Y151" i="3"/>
  <c r="Y150" i="3"/>
  <c r="Y152" i="3"/>
  <c r="Y140" i="3"/>
  <c r="Y161" i="3"/>
  <c r="Y143" i="3"/>
  <c r="Y137" i="3"/>
  <c r="Y155" i="3"/>
  <c r="Y156" i="3"/>
  <c r="X86" i="3"/>
  <c r="X83" i="3"/>
  <c r="Y122" i="3"/>
  <c r="Y120" i="3"/>
  <c r="W73" i="2"/>
  <c r="W77" i="2"/>
  <c r="X108" i="2"/>
  <c r="W75" i="2"/>
  <c r="X106" i="2"/>
  <c r="W71" i="2"/>
  <c r="X109" i="2"/>
  <c r="X73" i="2"/>
  <c r="X68" i="2"/>
  <c r="Y44" i="2"/>
  <c r="W74" i="2"/>
  <c r="Y27" i="2"/>
  <c r="W69" i="2"/>
  <c r="W68" i="2"/>
  <c r="X69" i="2"/>
  <c r="X89" i="2"/>
  <c r="X98" i="2"/>
  <c r="Y38" i="2"/>
  <c r="W66" i="2"/>
  <c r="Y48" i="2"/>
  <c r="Y90" i="2"/>
  <c r="Y13" i="2"/>
  <c r="W104" i="2"/>
  <c r="W135" i="2"/>
  <c r="W82" i="2"/>
  <c r="X112" i="2"/>
  <c r="X97" i="2"/>
  <c r="X96" i="2"/>
  <c r="X49" i="2"/>
  <c r="X6" i="2"/>
  <c r="Y14" i="2"/>
  <c r="X113" i="2"/>
  <c r="X81" i="2"/>
  <c r="W101" i="2"/>
  <c r="Y20" i="2"/>
  <c r="W63" i="2"/>
  <c r="W87" i="2"/>
  <c r="X67" i="2"/>
  <c r="X101" i="2"/>
  <c r="W84" i="2"/>
  <c r="Y25" i="2"/>
  <c r="W29" i="2"/>
  <c r="X74" i="2"/>
  <c r="W97" i="2"/>
  <c r="W105" i="2"/>
  <c r="X95" i="2"/>
  <c r="W62" i="2"/>
  <c r="X63" i="2"/>
  <c r="W102" i="2"/>
  <c r="X18" i="2"/>
  <c r="Y24" i="2"/>
  <c r="X122" i="2"/>
  <c r="Y117" i="2"/>
  <c r="X120" i="2"/>
  <c r="W103" i="2"/>
  <c r="X87" i="2"/>
  <c r="W61" i="2"/>
  <c r="W50" i="2"/>
  <c r="X59" i="2"/>
  <c r="Y78" i="2"/>
  <c r="X3" i="2"/>
  <c r="Y22" i="2"/>
  <c r="W59" i="2"/>
  <c r="X71" i="2"/>
  <c r="W81" i="2"/>
  <c r="Y121" i="2"/>
  <c r="W27" i="2"/>
  <c r="X66" i="2"/>
  <c r="X84" i="2"/>
  <c r="W58" i="2"/>
  <c r="W56" i="2"/>
  <c r="X62" i="2"/>
  <c r="X35" i="2"/>
  <c r="X19" i="2"/>
  <c r="Y26" i="2"/>
  <c r="W78" i="2"/>
  <c r="W60" i="2"/>
  <c r="X133" i="2"/>
  <c r="Y103" i="2"/>
  <c r="Y85" i="2"/>
  <c r="X47" i="2"/>
  <c r="Y102" i="2"/>
  <c r="Y101" i="2"/>
  <c r="Y95" i="2"/>
  <c r="Y87" i="2"/>
  <c r="Y68" i="2"/>
  <c r="X24" i="2"/>
  <c r="Y105" i="2"/>
  <c r="Y84" i="2"/>
  <c r="Y82" i="2"/>
  <c r="Y100" i="2"/>
  <c r="Y79" i="2"/>
  <c r="Y75" i="2"/>
  <c r="Y91" i="2"/>
  <c r="Y86" i="2"/>
  <c r="Y99" i="2"/>
  <c r="Y83" i="2"/>
  <c r="X130" i="2"/>
  <c r="Y65" i="2"/>
  <c r="Y77" i="2"/>
  <c r="X26" i="2"/>
  <c r="Y98" i="2"/>
  <c r="Y94" i="2"/>
  <c r="X30" i="2"/>
  <c r="X5" i="2"/>
  <c r="Y52" i="2"/>
  <c r="X132" i="2"/>
  <c r="Y81" i="2"/>
  <c r="X52" i="2"/>
  <c r="X34" i="2"/>
  <c r="Y55" i="2"/>
  <c r="X134" i="2"/>
  <c r="W26" i="2"/>
  <c r="Y74" i="2"/>
  <c r="Y104" i="2"/>
  <c r="X55" i="2"/>
  <c r="X33" i="2"/>
  <c r="X129" i="2"/>
  <c r="Y73" i="2"/>
  <c r="X22" i="2"/>
  <c r="Y93" i="2"/>
  <c r="X53" i="2"/>
  <c r="X23" i="2"/>
  <c r="Y89" i="2"/>
  <c r="X51" i="2"/>
  <c r="X128" i="2"/>
  <c r="X117" i="2"/>
  <c r="Y70" i="2"/>
  <c r="W65" i="2"/>
  <c r="Y97" i="2"/>
  <c r="X48" i="2"/>
  <c r="X27" i="2"/>
  <c r="X10" i="2"/>
  <c r="Y54" i="2"/>
  <c r="X126" i="2"/>
  <c r="X118" i="2"/>
  <c r="X75" i="2"/>
  <c r="X77" i="2"/>
  <c r="Y76" i="2"/>
  <c r="W72" i="2"/>
  <c r="Y96" i="2"/>
  <c r="X54" i="2"/>
  <c r="X31" i="2"/>
  <c r="X4" i="2"/>
  <c r="X125" i="2"/>
  <c r="Y66" i="2"/>
  <c r="Y67" i="2"/>
  <c r="W76" i="2"/>
  <c r="Y92" i="2"/>
  <c r="X50" i="2"/>
  <c r="X9" i="2"/>
  <c r="Y12" i="2"/>
  <c r="X131" i="2"/>
  <c r="Y69" i="2"/>
  <c r="Y8" i="2"/>
  <c r="Y72" i="2"/>
  <c r="Y7" i="2"/>
  <c r="W44" i="2"/>
  <c r="W40" i="2"/>
  <c r="W45" i="2"/>
  <c r="W36" i="2"/>
  <c r="W46" i="2"/>
  <c r="W41" i="2"/>
  <c r="W42" i="2"/>
  <c r="W38" i="2"/>
  <c r="W39" i="2"/>
  <c r="W43" i="2"/>
  <c r="W37" i="2"/>
  <c r="Y18" i="2"/>
  <c r="Y108" i="2"/>
  <c r="Y109" i="2"/>
  <c r="Y107" i="2"/>
  <c r="Y106" i="2"/>
  <c r="Y6" i="2"/>
  <c r="W107" i="2"/>
  <c r="W109" i="2"/>
  <c r="W108" i="2"/>
  <c r="W106" i="2"/>
  <c r="Y11" i="2"/>
  <c r="Y5" i="2"/>
  <c r="Y17" i="2"/>
  <c r="Y31" i="2"/>
  <c r="Y10" i="2"/>
  <c r="Y32" i="2"/>
  <c r="Y4" i="2"/>
  <c r="Y35" i="2"/>
  <c r="Y19" i="2"/>
  <c r="Y30" i="2"/>
  <c r="Y34" i="2"/>
  <c r="Y16" i="2"/>
  <c r="W132" i="2"/>
  <c r="W130" i="2"/>
  <c r="W133" i="2"/>
  <c r="W127" i="2"/>
  <c r="W131" i="2"/>
  <c r="W125" i="2"/>
  <c r="W126" i="2"/>
  <c r="W128" i="2"/>
  <c r="W129" i="2"/>
  <c r="W134" i="2"/>
  <c r="Y33" i="2"/>
  <c r="Y15" i="2"/>
  <c r="Y29" i="2"/>
  <c r="Y21" i="2"/>
  <c r="Y28" i="2"/>
  <c r="Y9" i="2"/>
  <c r="T39" i="1" l="1"/>
  <c r="U52" i="1"/>
  <c r="D51" i="1"/>
  <c r="E16" i="1"/>
  <c r="I51" i="1"/>
  <c r="T46" i="1"/>
  <c r="H34" i="1"/>
  <c r="D33" i="1"/>
  <c r="U25" i="1"/>
  <c r="H29" i="1"/>
  <c r="U49" i="1"/>
  <c r="T6" i="1"/>
  <c r="E10" i="1"/>
  <c r="T45" i="1"/>
  <c r="D6" i="1"/>
  <c r="U42" i="1"/>
  <c r="U28" i="1"/>
  <c r="I47" i="1"/>
  <c r="H15" i="1"/>
  <c r="I9" i="1"/>
  <c r="I4" i="1"/>
  <c r="T5" i="1"/>
  <c r="U23" i="1"/>
  <c r="H6" i="1"/>
  <c r="U21" i="1"/>
  <c r="T43" i="1"/>
  <c r="H28" i="1"/>
  <c r="D4" i="1"/>
  <c r="U12" i="1"/>
  <c r="E29" i="1"/>
  <c r="E15" i="1"/>
  <c r="E7" i="1"/>
  <c r="E9" i="1"/>
  <c r="E13" i="1"/>
  <c r="T22" i="1"/>
  <c r="I43" i="1"/>
  <c r="D45" i="1"/>
  <c r="I27" i="1"/>
  <c r="U34" i="1"/>
  <c r="I10" i="1"/>
  <c r="H33" i="1"/>
  <c r="D32" i="1"/>
  <c r="I42" i="1"/>
  <c r="T51" i="1"/>
  <c r="I48" i="1"/>
  <c r="I49" i="1"/>
  <c r="E8" i="1"/>
  <c r="U47" i="1"/>
  <c r="E46" i="1"/>
  <c r="U8" i="1"/>
  <c r="U4" i="1"/>
  <c r="I8" i="1"/>
  <c r="D3" i="1"/>
  <c r="T44" i="1"/>
  <c r="T9" i="1"/>
  <c r="I14" i="1"/>
  <c r="H13" i="1"/>
  <c r="U15" i="1"/>
  <c r="U41" i="1"/>
  <c r="I16" i="1"/>
  <c r="D12" i="1"/>
  <c r="I52" i="1"/>
  <c r="D44" i="1"/>
  <c r="U32" i="1"/>
  <c r="I26" i="1"/>
  <c r="D31" i="1"/>
  <c r="E25" i="1"/>
  <c r="U13" i="1"/>
  <c r="T16" i="1"/>
  <c r="U33" i="1"/>
  <c r="I45" i="1"/>
  <c r="E50" i="1"/>
  <c r="H7" i="1"/>
  <c r="U50" i="1"/>
  <c r="U10" i="1"/>
  <c r="D40" i="1"/>
  <c r="D49" i="1"/>
  <c r="H44" i="1"/>
  <c r="E47" i="1"/>
  <c r="E48" i="1"/>
  <c r="I39" i="1"/>
  <c r="D52" i="1"/>
  <c r="T48" i="1"/>
  <c r="T3" i="1"/>
  <c r="I22" i="1"/>
  <c r="E21" i="1"/>
  <c r="H46" i="1"/>
  <c r="H3" i="1"/>
  <c r="T31" i="1"/>
  <c r="D41" i="1"/>
  <c r="E42" i="1"/>
  <c r="E28" i="1"/>
  <c r="D39" i="1"/>
  <c r="T14" i="1"/>
  <c r="E22" i="1"/>
  <c r="U27" i="1"/>
  <c r="E43" i="1"/>
  <c r="E14" i="1"/>
  <c r="I31" i="1"/>
  <c r="I28" i="1"/>
  <c r="D29" i="1"/>
  <c r="E27" i="1"/>
  <c r="H42" i="1"/>
  <c r="E52" i="1"/>
  <c r="T10" i="1"/>
  <c r="I29" i="1"/>
  <c r="D28" i="1"/>
  <c r="D25" i="1"/>
  <c r="H8" i="1"/>
  <c r="D14" i="1"/>
  <c r="D47" i="1"/>
  <c r="E12" i="1"/>
  <c r="I6" i="1"/>
  <c r="T8" i="1"/>
  <c r="D48" i="1"/>
  <c r="I44" i="1"/>
  <c r="U14" i="1"/>
  <c r="D15" i="1"/>
  <c r="U5" i="1"/>
  <c r="E31" i="1"/>
  <c r="H9" i="1"/>
  <c r="I46" i="1"/>
  <c r="H43" i="1"/>
  <c r="E4" i="1"/>
  <c r="U51" i="1"/>
  <c r="U6" i="1"/>
  <c r="T12" i="1"/>
  <c r="I30" i="1"/>
  <c r="I33" i="1"/>
  <c r="E32" i="1"/>
  <c r="I13" i="1"/>
  <c r="D50" i="1"/>
  <c r="D9" i="1"/>
  <c r="T27" i="1"/>
  <c r="T23" i="1"/>
  <c r="E33" i="1"/>
  <c r="U16" i="1"/>
  <c r="H47" i="1"/>
  <c r="I15" i="1"/>
  <c r="D11" i="1"/>
  <c r="T28" i="1"/>
  <c r="U7" i="1"/>
  <c r="H51" i="1"/>
  <c r="I34" i="1"/>
  <c r="H32" i="1"/>
  <c r="D26" i="1"/>
  <c r="H5" i="1"/>
  <c r="H12" i="1"/>
  <c r="D10" i="1"/>
  <c r="E51" i="1"/>
  <c r="T47" i="1"/>
  <c r="U11" i="1"/>
  <c r="H52" i="1"/>
  <c r="E39" i="1"/>
  <c r="I7" i="1"/>
  <c r="H14" i="1"/>
  <c r="H45" i="1"/>
  <c r="E3" i="1"/>
  <c r="E49" i="1"/>
  <c r="E40" i="1"/>
  <c r="T42" i="1"/>
  <c r="T49" i="1"/>
  <c r="E41" i="1"/>
  <c r="T50" i="1"/>
  <c r="I40" i="1"/>
  <c r="T13" i="1"/>
  <c r="T32" i="1"/>
  <c r="D16" i="1"/>
  <c r="U31" i="1"/>
  <c r="U3" i="1"/>
  <c r="T25" i="1"/>
  <c r="H4" i="1"/>
  <c r="T21" i="1"/>
  <c r="D42" i="1"/>
  <c r="E5" i="1"/>
  <c r="U43" i="1"/>
  <c r="T52" i="1"/>
  <c r="I41" i="1"/>
  <c r="I23" i="1"/>
  <c r="I24" i="1"/>
  <c r="E23" i="1"/>
  <c r="H49" i="1"/>
  <c r="H10" i="1"/>
  <c r="H48" i="1"/>
  <c r="H39" i="1"/>
  <c r="D43" i="1"/>
  <c r="T30" i="1"/>
  <c r="U44" i="1"/>
  <c r="U39" i="1"/>
  <c r="T33" i="1"/>
  <c r="D21" i="1"/>
  <c r="H11" i="1"/>
  <c r="U45" i="1"/>
  <c r="U40" i="1"/>
  <c r="H50" i="1"/>
  <c r="H21" i="1"/>
  <c r="I25" i="1"/>
  <c r="E24" i="1"/>
  <c r="H16" i="1"/>
  <c r="D46" i="1"/>
  <c r="T15" i="1"/>
  <c r="U46" i="1"/>
  <c r="D13" i="1"/>
  <c r="D34" i="1"/>
  <c r="H26" i="1"/>
  <c r="H22" i="1"/>
  <c r="D30" i="1"/>
  <c r="D22" i="1"/>
  <c r="U24" i="1"/>
  <c r="I3" i="1"/>
  <c r="E6" i="1"/>
  <c r="E44" i="1"/>
  <c r="U29" i="1"/>
  <c r="U48" i="1"/>
  <c r="D7" i="1"/>
  <c r="H27" i="1"/>
  <c r="U22" i="1"/>
  <c r="T34" i="1"/>
  <c r="E45" i="1"/>
  <c r="U9" i="1"/>
  <c r="T4" i="1"/>
  <c r="T41" i="1"/>
  <c r="D8" i="1"/>
  <c r="U26" i="1"/>
  <c r="V135" i="2" l="1"/>
  <c r="Z56" i="4"/>
  <c r="Z95" i="4"/>
  <c r="V95" i="4"/>
  <c r="Z61" i="4"/>
  <c r="Z52" i="4"/>
  <c r="U87" i="4"/>
  <c r="U88" i="4"/>
  <c r="U91" i="4"/>
  <c r="U92" i="4"/>
  <c r="U93" i="4"/>
  <c r="U94" i="4"/>
  <c r="U90" i="4"/>
  <c r="U86" i="4"/>
  <c r="U89" i="4"/>
  <c r="U45" i="4"/>
  <c r="U47" i="4"/>
  <c r="U34" i="4"/>
  <c r="U48" i="4"/>
  <c r="U38" i="4"/>
  <c r="U30" i="4"/>
  <c r="U28" i="4"/>
  <c r="U39" i="4"/>
  <c r="U42" i="4"/>
  <c r="U35" i="4"/>
  <c r="U31" i="4"/>
  <c r="U36" i="4"/>
  <c r="U43" i="4"/>
  <c r="U44" i="4"/>
  <c r="U32" i="4"/>
  <c r="U49" i="4"/>
  <c r="U37" i="4"/>
  <c r="U40" i="4"/>
  <c r="U46" i="4"/>
  <c r="U33" i="4"/>
  <c r="U41" i="4"/>
  <c r="U29" i="4"/>
  <c r="Z51" i="4"/>
  <c r="Z53" i="4"/>
  <c r="Z87" i="4"/>
  <c r="Z88" i="4"/>
  <c r="Z91" i="4"/>
  <c r="Z90" i="4"/>
  <c r="Z92" i="4"/>
  <c r="Z93" i="4"/>
  <c r="Z94" i="4"/>
  <c r="Z86" i="4"/>
  <c r="Z89" i="4"/>
  <c r="Z62" i="4"/>
  <c r="Z19" i="4"/>
  <c r="Z17" i="4"/>
  <c r="Z18" i="4"/>
  <c r="Z45" i="4"/>
  <c r="Z47" i="4"/>
  <c r="Z34" i="4"/>
  <c r="Z48" i="4"/>
  <c r="Z38" i="4"/>
  <c r="Z30" i="4"/>
  <c r="Z31" i="4"/>
  <c r="Z36" i="4"/>
  <c r="Z43" i="4"/>
  <c r="Z44" i="4"/>
  <c r="Z32" i="4"/>
  <c r="Z49" i="4"/>
  <c r="Z37" i="4"/>
  <c r="Z40" i="4"/>
  <c r="Z46" i="4"/>
  <c r="Z33" i="4"/>
  <c r="Z28" i="4"/>
  <c r="Z29" i="4"/>
  <c r="Z39" i="4"/>
  <c r="Z41" i="4"/>
  <c r="Z42" i="4"/>
  <c r="Z35" i="4"/>
  <c r="Z50" i="4"/>
  <c r="U139" i="4"/>
  <c r="U140" i="4"/>
  <c r="U141" i="4"/>
  <c r="U137" i="4"/>
  <c r="U142" i="4"/>
  <c r="U144" i="4"/>
  <c r="U134" i="4"/>
  <c r="U135" i="4"/>
  <c r="U136" i="4"/>
  <c r="U138" i="4"/>
  <c r="U143" i="4"/>
  <c r="V15" i="4"/>
  <c r="V6" i="4"/>
  <c r="V12" i="4"/>
  <c r="V4" i="4"/>
  <c r="V2" i="4"/>
  <c r="V8" i="4"/>
  <c r="V9" i="4"/>
  <c r="V5" i="4"/>
  <c r="V3" i="4"/>
  <c r="V10" i="4"/>
  <c r="V7" i="4"/>
  <c r="V11" i="4"/>
  <c r="V16" i="4"/>
  <c r="V13" i="4"/>
  <c r="V14" i="4"/>
  <c r="Z63" i="4"/>
  <c r="Z58" i="4"/>
  <c r="V201" i="4"/>
  <c r="V200" i="4"/>
  <c r="U201" i="4"/>
  <c r="U200" i="4"/>
  <c r="U99" i="4"/>
  <c r="U119" i="4"/>
  <c r="U129" i="4"/>
  <c r="U96" i="4"/>
  <c r="U100" i="4"/>
  <c r="U101" i="4"/>
  <c r="U110" i="4"/>
  <c r="U111" i="4"/>
  <c r="U124" i="4"/>
  <c r="U102" i="4"/>
  <c r="U112" i="4"/>
  <c r="U116" i="4"/>
  <c r="U120" i="4"/>
  <c r="U131" i="4"/>
  <c r="U107" i="4"/>
  <c r="U113" i="4"/>
  <c r="U114" i="4"/>
  <c r="U125" i="4"/>
  <c r="U121" i="4"/>
  <c r="U126" i="4"/>
  <c r="U103" i="4"/>
  <c r="U132" i="4"/>
  <c r="U97" i="4"/>
  <c r="U108" i="4"/>
  <c r="U117" i="4"/>
  <c r="U127" i="4"/>
  <c r="U115" i="4"/>
  <c r="U104" i="4"/>
  <c r="U133" i="4"/>
  <c r="U98" i="4"/>
  <c r="U106" i="4"/>
  <c r="U122" i="4"/>
  <c r="U123" i="4"/>
  <c r="U105" i="4"/>
  <c r="U128" i="4"/>
  <c r="U118" i="4"/>
  <c r="U130" i="4"/>
  <c r="U109" i="4"/>
  <c r="U68" i="4"/>
  <c r="U64" i="4"/>
  <c r="U65" i="4"/>
  <c r="U82" i="4"/>
  <c r="U71" i="4"/>
  <c r="U76" i="4"/>
  <c r="U77" i="4"/>
  <c r="U74" i="4"/>
  <c r="U78" i="4"/>
  <c r="U83" i="4"/>
  <c r="U69" i="4"/>
  <c r="U72" i="4"/>
  <c r="U67" i="4"/>
  <c r="U79" i="4"/>
  <c r="U80" i="4"/>
  <c r="U73" i="4"/>
  <c r="U66" i="4"/>
  <c r="U81" i="4"/>
  <c r="U75" i="4"/>
  <c r="U84" i="4"/>
  <c r="U70" i="4"/>
  <c r="U85" i="4"/>
  <c r="Z55" i="4"/>
  <c r="U154" i="4"/>
  <c r="U161" i="4"/>
  <c r="U169" i="4"/>
  <c r="U173" i="4"/>
  <c r="U158" i="4"/>
  <c r="U162" i="4"/>
  <c r="U171" i="4"/>
  <c r="U179" i="4"/>
  <c r="U155" i="4"/>
  <c r="U177" i="4"/>
  <c r="U178" i="4"/>
  <c r="U159" i="4"/>
  <c r="U170" i="4"/>
  <c r="U174" i="4"/>
  <c r="U156" i="4"/>
  <c r="U160" i="4"/>
  <c r="U157" i="4"/>
  <c r="U167" i="4"/>
  <c r="U175" i="4"/>
  <c r="U165" i="4"/>
  <c r="U168" i="4"/>
  <c r="U172" i="4"/>
  <c r="U166" i="4"/>
  <c r="U163" i="4"/>
  <c r="U164" i="4"/>
  <c r="U176" i="4"/>
  <c r="Z149" i="4"/>
  <c r="Z150" i="4"/>
  <c r="Z151" i="4"/>
  <c r="Z146" i="4"/>
  <c r="Z147" i="4"/>
  <c r="Z153" i="4"/>
  <c r="Z152" i="4"/>
  <c r="Z148" i="4"/>
  <c r="Z145" i="4"/>
  <c r="V154" i="4"/>
  <c r="V161" i="4"/>
  <c r="V169" i="4"/>
  <c r="V173" i="4"/>
  <c r="V158" i="4"/>
  <c r="V162" i="4"/>
  <c r="V171" i="4"/>
  <c r="V179" i="4"/>
  <c r="V155" i="4"/>
  <c r="V177" i="4"/>
  <c r="V178" i="4"/>
  <c r="V159" i="4"/>
  <c r="V170" i="4"/>
  <c r="V174" i="4"/>
  <c r="V156" i="4"/>
  <c r="V160" i="4"/>
  <c r="V157" i="4"/>
  <c r="V167" i="4"/>
  <c r="V175" i="4"/>
  <c r="V165" i="4"/>
  <c r="V168" i="4"/>
  <c r="V172" i="4"/>
  <c r="V163" i="4"/>
  <c r="V166" i="4"/>
  <c r="V164" i="4"/>
  <c r="V176" i="4"/>
  <c r="Z99" i="4"/>
  <c r="Z119" i="4"/>
  <c r="Z129" i="4"/>
  <c r="Z96" i="4"/>
  <c r="Z100" i="4"/>
  <c r="Z101" i="4"/>
  <c r="Z110" i="4"/>
  <c r="Z111" i="4"/>
  <c r="Z124" i="4"/>
  <c r="Z121" i="4"/>
  <c r="Z126" i="4"/>
  <c r="Z103" i="4"/>
  <c r="Z132" i="4"/>
  <c r="Z97" i="4"/>
  <c r="Z108" i="4"/>
  <c r="Z117" i="4"/>
  <c r="Z127" i="4"/>
  <c r="Z115" i="4"/>
  <c r="Z104" i="4"/>
  <c r="Z133" i="4"/>
  <c r="Z98" i="4"/>
  <c r="Z106" i="4"/>
  <c r="Z102" i="4"/>
  <c r="Z125" i="4"/>
  <c r="Z105" i="4"/>
  <c r="Z116" i="4"/>
  <c r="Z128" i="4"/>
  <c r="Z118" i="4"/>
  <c r="Z113" i="4"/>
  <c r="Z107" i="4"/>
  <c r="Z120" i="4"/>
  <c r="Z130" i="4"/>
  <c r="Z109" i="4"/>
  <c r="Z123" i="4"/>
  <c r="Z112" i="4"/>
  <c r="Z122" i="4"/>
  <c r="Z131" i="4"/>
  <c r="Z114" i="4"/>
  <c r="V45" i="4"/>
  <c r="V47" i="4"/>
  <c r="V34" i="4"/>
  <c r="V48" i="4"/>
  <c r="V38" i="4"/>
  <c r="V30" i="4"/>
  <c r="V28" i="4"/>
  <c r="V39" i="4"/>
  <c r="V42" i="4"/>
  <c r="V35" i="4"/>
  <c r="V31" i="4"/>
  <c r="V36" i="4"/>
  <c r="V43" i="4"/>
  <c r="V44" i="4"/>
  <c r="V32" i="4"/>
  <c r="V49" i="4"/>
  <c r="V37" i="4"/>
  <c r="V40" i="4"/>
  <c r="V46" i="4"/>
  <c r="V33" i="4"/>
  <c r="V29" i="4"/>
  <c r="V41" i="4"/>
  <c r="Z15" i="4"/>
  <c r="Z6" i="4"/>
  <c r="Z12" i="4"/>
  <c r="Z4" i="4"/>
  <c r="Z5" i="4"/>
  <c r="Z3" i="4"/>
  <c r="Z10" i="4"/>
  <c r="Z7" i="4"/>
  <c r="Z11" i="4"/>
  <c r="Z13" i="4"/>
  <c r="Z14" i="4"/>
  <c r="Z16" i="4"/>
  <c r="Z8" i="4"/>
  <c r="Z9" i="4"/>
  <c r="Z2" i="4"/>
  <c r="V149" i="4"/>
  <c r="V150" i="4"/>
  <c r="V151" i="4"/>
  <c r="V146" i="4"/>
  <c r="V145" i="4"/>
  <c r="V147" i="4"/>
  <c r="V153" i="4"/>
  <c r="V152" i="4"/>
  <c r="V148" i="4"/>
  <c r="Z57" i="4"/>
  <c r="V185" i="4"/>
  <c r="V190" i="4"/>
  <c r="V189" i="4"/>
  <c r="V191" i="4"/>
  <c r="V198" i="4"/>
  <c r="V186" i="4"/>
  <c r="V193" i="4"/>
  <c r="V187" i="4"/>
  <c r="V188" i="4"/>
  <c r="V180" i="4"/>
  <c r="V182" i="4"/>
  <c r="V194" i="4"/>
  <c r="V183" i="4"/>
  <c r="V184" i="4"/>
  <c r="V195" i="4"/>
  <c r="V181" i="4"/>
  <c r="V192" i="4"/>
  <c r="V196" i="4"/>
  <c r="V199" i="4"/>
  <c r="V197" i="4"/>
  <c r="U19" i="4"/>
  <c r="U17" i="4"/>
  <c r="U18" i="4"/>
  <c r="V68" i="4"/>
  <c r="V64" i="4"/>
  <c r="V65" i="4"/>
  <c r="V82" i="4"/>
  <c r="V71" i="4"/>
  <c r="V76" i="4"/>
  <c r="V77" i="4"/>
  <c r="V74" i="4"/>
  <c r="V78" i="4"/>
  <c r="V83" i="4"/>
  <c r="V69" i="4"/>
  <c r="V72" i="4"/>
  <c r="V67" i="4"/>
  <c r="V79" i="4"/>
  <c r="V80" i="4"/>
  <c r="V73" i="4"/>
  <c r="V66" i="4"/>
  <c r="V81" i="4"/>
  <c r="V75" i="4"/>
  <c r="V84" i="4"/>
  <c r="V70" i="4"/>
  <c r="V85" i="4"/>
  <c r="Z59" i="4"/>
  <c r="Z201" i="4"/>
  <c r="Z200" i="4"/>
  <c r="U185" i="4"/>
  <c r="U190" i="4"/>
  <c r="U189" i="4"/>
  <c r="U191" i="4"/>
  <c r="U198" i="4"/>
  <c r="U186" i="4"/>
  <c r="U193" i="4"/>
  <c r="U187" i="4"/>
  <c r="U188" i="4"/>
  <c r="U180" i="4"/>
  <c r="U182" i="4"/>
  <c r="U194" i="4"/>
  <c r="U183" i="4"/>
  <c r="U184" i="4"/>
  <c r="U195" i="4"/>
  <c r="U181" i="4"/>
  <c r="U192" i="4"/>
  <c r="U199" i="4"/>
  <c r="U196" i="4"/>
  <c r="U197" i="4"/>
  <c r="U56" i="4"/>
  <c r="U60" i="4"/>
  <c r="U54" i="4"/>
  <c r="U57" i="4"/>
  <c r="U58" i="4"/>
  <c r="U50" i="4"/>
  <c r="U53" i="4"/>
  <c r="U51" i="4"/>
  <c r="U62" i="4"/>
  <c r="U61" i="4"/>
  <c r="U63" i="4"/>
  <c r="U52" i="4"/>
  <c r="U59" i="4"/>
  <c r="U55" i="4"/>
  <c r="U149" i="4"/>
  <c r="U150" i="4"/>
  <c r="U151" i="4"/>
  <c r="U146" i="4"/>
  <c r="U145" i="4"/>
  <c r="U147" i="4"/>
  <c r="U153" i="4"/>
  <c r="U152" i="4"/>
  <c r="U148" i="4"/>
  <c r="Z185" i="4"/>
  <c r="Z190" i="4"/>
  <c r="Z189" i="4"/>
  <c r="Z191" i="4"/>
  <c r="Z198" i="4"/>
  <c r="Z180" i="4"/>
  <c r="Z182" i="4"/>
  <c r="Z194" i="4"/>
  <c r="Z183" i="4"/>
  <c r="Z184" i="4"/>
  <c r="Z195" i="4"/>
  <c r="Z196" i="4"/>
  <c r="Z193" i="4"/>
  <c r="Z186" i="4"/>
  <c r="Z187" i="4"/>
  <c r="Z188" i="4"/>
  <c r="Z199" i="4"/>
  <c r="Z197" i="4"/>
  <c r="Z181" i="4"/>
  <c r="Z192" i="4"/>
  <c r="U15" i="4"/>
  <c r="U6" i="4"/>
  <c r="U12" i="4"/>
  <c r="U4" i="4"/>
  <c r="U2" i="4"/>
  <c r="U8" i="4"/>
  <c r="U9" i="4"/>
  <c r="U5" i="4"/>
  <c r="U3" i="4"/>
  <c r="U10" i="4"/>
  <c r="U7" i="4"/>
  <c r="U11" i="4"/>
  <c r="U16" i="4"/>
  <c r="U14" i="4"/>
  <c r="U13" i="4"/>
  <c r="U22" i="4"/>
  <c r="U27" i="4"/>
  <c r="U25" i="4"/>
  <c r="U20" i="4"/>
  <c r="U21" i="4"/>
  <c r="U23" i="4"/>
  <c r="U24" i="4"/>
  <c r="U26" i="4"/>
  <c r="Z54" i="4"/>
  <c r="V22" i="4"/>
  <c r="V27" i="4"/>
  <c r="V25" i="4"/>
  <c r="V20" i="4"/>
  <c r="V21" i="4"/>
  <c r="V23" i="4"/>
  <c r="V24" i="4"/>
  <c r="V26" i="4"/>
  <c r="Z154" i="4"/>
  <c r="Z161" i="4"/>
  <c r="Z169" i="4"/>
  <c r="Z173" i="4"/>
  <c r="Z158" i="4"/>
  <c r="Z162" i="4"/>
  <c r="Z171" i="4"/>
  <c r="Z179" i="4"/>
  <c r="Z155" i="4"/>
  <c r="Z177" i="4"/>
  <c r="Z157" i="4"/>
  <c r="Z167" i="4"/>
  <c r="Z175" i="4"/>
  <c r="Z165" i="4"/>
  <c r="Z168" i="4"/>
  <c r="Z172" i="4"/>
  <c r="Z159" i="4"/>
  <c r="Z166" i="4"/>
  <c r="Z160" i="4"/>
  <c r="Z164" i="4"/>
  <c r="Z174" i="4"/>
  <c r="Z178" i="4"/>
  <c r="Z163" i="4"/>
  <c r="Z170" i="4"/>
  <c r="Z156" i="4"/>
  <c r="Z176" i="4"/>
  <c r="Z139" i="4"/>
  <c r="Z140" i="4"/>
  <c r="Z141" i="4"/>
  <c r="Z137" i="4"/>
  <c r="Z142" i="4"/>
  <c r="Z144" i="4"/>
  <c r="Z136" i="4"/>
  <c r="Z134" i="4"/>
  <c r="Z138" i="4"/>
  <c r="Z143" i="4"/>
  <c r="Z135" i="4"/>
  <c r="V19" i="4"/>
  <c r="V17" i="4"/>
  <c r="V18" i="4"/>
  <c r="V139" i="4"/>
  <c r="V140" i="4"/>
  <c r="V141" i="4"/>
  <c r="V137" i="4"/>
  <c r="V142" i="4"/>
  <c r="V144" i="4"/>
  <c r="V134" i="4"/>
  <c r="V135" i="4"/>
  <c r="V136" i="4"/>
  <c r="V138" i="4"/>
  <c r="V143" i="4"/>
  <c r="V87" i="4"/>
  <c r="V88" i="4"/>
  <c r="V91" i="4"/>
  <c r="V92" i="4"/>
  <c r="V93" i="4"/>
  <c r="V94" i="4"/>
  <c r="V90" i="4"/>
  <c r="V86" i="4"/>
  <c r="V89" i="4"/>
  <c r="Z68" i="4"/>
  <c r="Z64" i="4"/>
  <c r="Z65" i="4"/>
  <c r="Z82" i="4"/>
  <c r="Z71" i="4"/>
  <c r="Z76" i="4"/>
  <c r="Z67" i="4"/>
  <c r="Z79" i="4"/>
  <c r="Z80" i="4"/>
  <c r="Z73" i="4"/>
  <c r="Z66" i="4"/>
  <c r="Z81" i="4"/>
  <c r="Z74" i="4"/>
  <c r="Z72" i="4"/>
  <c r="Z75" i="4"/>
  <c r="Z69" i="4"/>
  <c r="Z77" i="4"/>
  <c r="Z70" i="4"/>
  <c r="Z78" i="4"/>
  <c r="Z85" i="4"/>
  <c r="Z83" i="4"/>
  <c r="Z84" i="4"/>
  <c r="V56" i="4"/>
  <c r="V60" i="4"/>
  <c r="V54" i="4"/>
  <c r="V57" i="4"/>
  <c r="V58" i="4"/>
  <c r="V50" i="4"/>
  <c r="V53" i="4"/>
  <c r="V51" i="4"/>
  <c r="V62" i="4"/>
  <c r="V61" i="4"/>
  <c r="V63" i="4"/>
  <c r="V52" i="4"/>
  <c r="V59" i="4"/>
  <c r="V55" i="4"/>
  <c r="V99" i="4"/>
  <c r="V119" i="4"/>
  <c r="V129" i="4"/>
  <c r="V96" i="4"/>
  <c r="V100" i="4"/>
  <c r="V101" i="4"/>
  <c r="V110" i="4"/>
  <c r="V111" i="4"/>
  <c r="V124" i="4"/>
  <c r="V116" i="4"/>
  <c r="V102" i="4"/>
  <c r="V112" i="4"/>
  <c r="V120" i="4"/>
  <c r="V131" i="4"/>
  <c r="V107" i="4"/>
  <c r="V113" i="4"/>
  <c r="V114" i="4"/>
  <c r="V125" i="4"/>
  <c r="V121" i="4"/>
  <c r="V126" i="4"/>
  <c r="V103" i="4"/>
  <c r="V132" i="4"/>
  <c r="V97" i="4"/>
  <c r="V108" i="4"/>
  <c r="V117" i="4"/>
  <c r="V127" i="4"/>
  <c r="V115" i="4"/>
  <c r="V104" i="4"/>
  <c r="V133" i="4"/>
  <c r="V98" i="4"/>
  <c r="V106" i="4"/>
  <c r="V122" i="4"/>
  <c r="V123" i="4"/>
  <c r="V118" i="4"/>
  <c r="V105" i="4"/>
  <c r="V128" i="4"/>
  <c r="V130" i="4"/>
  <c r="V109" i="4"/>
  <c r="Z22" i="4"/>
  <c r="Z27" i="4"/>
  <c r="Z20" i="4"/>
  <c r="Z24" i="4"/>
  <c r="Z25" i="4"/>
  <c r="Z26" i="4"/>
  <c r="Z23" i="4"/>
  <c r="Z21" i="4"/>
  <c r="Z60" i="4"/>
  <c r="U95" i="4"/>
  <c r="Z87" i="3"/>
  <c r="Z81" i="3"/>
  <c r="Z78" i="3"/>
  <c r="Z82" i="3"/>
  <c r="Z79" i="3"/>
  <c r="Z85" i="3"/>
  <c r="Z83" i="3"/>
  <c r="Z84" i="3"/>
  <c r="Z86" i="3"/>
  <c r="Z80" i="3"/>
  <c r="U25" i="3"/>
  <c r="U29" i="3"/>
  <c r="U30" i="3"/>
  <c r="U33" i="3"/>
  <c r="U35" i="3"/>
  <c r="U21" i="3"/>
  <c r="U22" i="3"/>
  <c r="U24" i="3"/>
  <c r="U26" i="3"/>
  <c r="U31" i="3"/>
  <c r="U27" i="3"/>
  <c r="U32" i="3"/>
  <c r="U34" i="3"/>
  <c r="U28" i="3"/>
  <c r="U23" i="3"/>
  <c r="U60" i="3"/>
  <c r="U54" i="3"/>
  <c r="U56" i="3"/>
  <c r="U62" i="3"/>
  <c r="U65" i="3"/>
  <c r="U59" i="3"/>
  <c r="U57" i="3"/>
  <c r="U64" i="3"/>
  <c r="U66" i="3"/>
  <c r="U53" i="3"/>
  <c r="U55" i="3"/>
  <c r="U61" i="3"/>
  <c r="U63" i="3"/>
  <c r="U58" i="3"/>
  <c r="U52" i="3"/>
  <c r="U19" i="3"/>
  <c r="U20" i="3"/>
  <c r="Z128" i="3"/>
  <c r="Z127" i="3"/>
  <c r="Z129" i="3"/>
  <c r="U130" i="3"/>
  <c r="U135" i="3"/>
  <c r="U131" i="3"/>
  <c r="U134" i="3"/>
  <c r="U133" i="3"/>
  <c r="U136" i="3"/>
  <c r="U132" i="3"/>
  <c r="V55" i="3"/>
  <c r="V53" i="3"/>
  <c r="V54" i="3"/>
  <c r="V60" i="3"/>
  <c r="V56" i="3"/>
  <c r="V62" i="3"/>
  <c r="V63" i="3"/>
  <c r="V58" i="3"/>
  <c r="V61" i="3"/>
  <c r="V59" i="3"/>
  <c r="V64" i="3"/>
  <c r="V57" i="3"/>
  <c r="V65" i="3"/>
  <c r="V52" i="3"/>
  <c r="V66" i="3"/>
  <c r="Z95" i="3"/>
  <c r="Z98" i="3"/>
  <c r="Z103" i="3"/>
  <c r="Z104" i="3"/>
  <c r="Z114" i="3"/>
  <c r="Z123" i="3"/>
  <c r="Z106" i="3"/>
  <c r="Z110" i="3"/>
  <c r="Z115" i="3"/>
  <c r="Z107" i="3"/>
  <c r="Z117" i="3"/>
  <c r="Z99" i="3"/>
  <c r="Z102" i="3"/>
  <c r="Z94" i="3"/>
  <c r="Z116" i="3"/>
  <c r="Z100" i="3"/>
  <c r="Z124" i="3"/>
  <c r="Z126" i="3"/>
  <c r="Z122" i="3"/>
  <c r="Z121" i="3"/>
  <c r="Z101" i="3"/>
  <c r="Z111" i="3"/>
  <c r="Z105" i="3"/>
  <c r="Z112" i="3"/>
  <c r="Z113" i="3"/>
  <c r="Z125" i="3"/>
  <c r="Z96" i="3"/>
  <c r="Z91" i="3"/>
  <c r="Z118" i="3"/>
  <c r="Z93" i="3"/>
  <c r="Z108" i="3"/>
  <c r="Z119" i="3"/>
  <c r="Z97" i="3"/>
  <c r="Z92" i="3"/>
  <c r="Z120" i="3"/>
  <c r="Z109" i="3"/>
  <c r="U80" i="3"/>
  <c r="U86" i="3"/>
  <c r="U87" i="3"/>
  <c r="U78" i="3"/>
  <c r="U82" i="3"/>
  <c r="U79" i="3"/>
  <c r="U85" i="3"/>
  <c r="U83" i="3"/>
  <c r="U84" i="3"/>
  <c r="U81" i="3"/>
  <c r="V128" i="3"/>
  <c r="V129" i="3"/>
  <c r="V127" i="3"/>
  <c r="U155" i="3"/>
  <c r="U159" i="3"/>
  <c r="U143" i="3"/>
  <c r="U138" i="3"/>
  <c r="U140" i="3"/>
  <c r="U142" i="3"/>
  <c r="U157" i="3"/>
  <c r="U146" i="3"/>
  <c r="U153" i="3"/>
  <c r="U137" i="3"/>
  <c r="U149" i="3"/>
  <c r="U158" i="3"/>
  <c r="U139" i="3"/>
  <c r="U152" i="3"/>
  <c r="U160" i="3"/>
  <c r="U144" i="3"/>
  <c r="U151" i="3"/>
  <c r="U161" i="3"/>
  <c r="U145" i="3"/>
  <c r="U162" i="3"/>
  <c r="U154" i="3"/>
  <c r="U147" i="3"/>
  <c r="U150" i="3"/>
  <c r="U156" i="3"/>
  <c r="U141" i="3"/>
  <c r="U148" i="3"/>
  <c r="U51" i="3"/>
  <c r="U39" i="3"/>
  <c r="U42" i="3"/>
  <c r="U49" i="3"/>
  <c r="U40" i="3"/>
  <c r="U46" i="3"/>
  <c r="U47" i="3"/>
  <c r="U37" i="3"/>
  <c r="U44" i="3"/>
  <c r="U48" i="3"/>
  <c r="U43" i="3"/>
  <c r="U41" i="3"/>
  <c r="U50" i="3"/>
  <c r="U36" i="3"/>
  <c r="U38" i="3"/>
  <c r="U45" i="3"/>
  <c r="V130" i="3"/>
  <c r="V135" i="3"/>
  <c r="V131" i="3"/>
  <c r="V132" i="3"/>
  <c r="V133" i="3"/>
  <c r="V136" i="3"/>
  <c r="V134" i="3"/>
  <c r="Z90" i="3"/>
  <c r="Z88" i="3"/>
  <c r="Z89" i="3"/>
  <c r="Z145" i="3"/>
  <c r="Z160" i="3"/>
  <c r="Z153" i="3"/>
  <c r="Z152" i="3"/>
  <c r="Z161" i="3"/>
  <c r="Z146" i="3"/>
  <c r="Z137" i="3"/>
  <c r="Z149" i="3"/>
  <c r="Z158" i="3"/>
  <c r="Z139" i="3"/>
  <c r="Z147" i="3"/>
  <c r="Z142" i="3"/>
  <c r="Z148" i="3"/>
  <c r="Z156" i="3"/>
  <c r="Z159" i="3"/>
  <c r="Z151" i="3"/>
  <c r="Z141" i="3"/>
  <c r="Z154" i="3"/>
  <c r="Z162" i="3"/>
  <c r="Z155" i="3"/>
  <c r="Z143" i="3"/>
  <c r="Z140" i="3"/>
  <c r="Z150" i="3"/>
  <c r="Z144" i="3"/>
  <c r="Z157" i="3"/>
  <c r="Z138" i="3"/>
  <c r="V25" i="3"/>
  <c r="V29" i="3"/>
  <c r="V34" i="3"/>
  <c r="V35" i="3"/>
  <c r="V33" i="3"/>
  <c r="V26" i="3"/>
  <c r="V22" i="3"/>
  <c r="V31" i="3"/>
  <c r="V30" i="3"/>
  <c r="V21" i="3"/>
  <c r="V27" i="3"/>
  <c r="V28" i="3"/>
  <c r="V32" i="3"/>
  <c r="V23" i="3"/>
  <c r="V24" i="3"/>
  <c r="Z20" i="3"/>
  <c r="Z19" i="3"/>
  <c r="U166" i="3"/>
  <c r="U170" i="3"/>
  <c r="U163" i="3"/>
  <c r="U171" i="3"/>
  <c r="U177" i="3"/>
  <c r="U167" i="3"/>
  <c r="U169" i="3"/>
  <c r="U176" i="3"/>
  <c r="U173" i="3"/>
  <c r="U164" i="3"/>
  <c r="U174" i="3"/>
  <c r="U165" i="3"/>
  <c r="U168" i="3"/>
  <c r="U178" i="3"/>
  <c r="U175" i="3"/>
  <c r="U172" i="3"/>
  <c r="U179" i="3"/>
  <c r="Z132" i="3"/>
  <c r="Z135" i="3"/>
  <c r="Z130" i="3"/>
  <c r="Z133" i="3"/>
  <c r="Z136" i="3"/>
  <c r="Z134" i="3"/>
  <c r="Z131" i="3"/>
  <c r="U181" i="3"/>
  <c r="U183" i="3"/>
  <c r="U182" i="3"/>
  <c r="U180" i="3"/>
  <c r="U128" i="3"/>
  <c r="U129" i="3"/>
  <c r="U127" i="3"/>
  <c r="U89" i="3"/>
  <c r="U88" i="3"/>
  <c r="U90" i="3"/>
  <c r="V91" i="3"/>
  <c r="V126" i="3"/>
  <c r="V107" i="3"/>
  <c r="V117" i="3"/>
  <c r="V99" i="3"/>
  <c r="V119" i="3"/>
  <c r="V124" i="3"/>
  <c r="V111" i="3"/>
  <c r="V108" i="3"/>
  <c r="V118" i="3"/>
  <c r="V93" i="3"/>
  <c r="V100" i="3"/>
  <c r="V113" i="3"/>
  <c r="V121" i="3"/>
  <c r="V115" i="3"/>
  <c r="V95" i="3"/>
  <c r="V106" i="3"/>
  <c r="V114" i="3"/>
  <c r="V120" i="3"/>
  <c r="V92" i="3"/>
  <c r="V122" i="3"/>
  <c r="V109" i="3"/>
  <c r="V94" i="3"/>
  <c r="V112" i="3"/>
  <c r="V98" i="3"/>
  <c r="V116" i="3"/>
  <c r="V123" i="3"/>
  <c r="V101" i="3"/>
  <c r="V102" i="3"/>
  <c r="V125" i="3"/>
  <c r="V104" i="3"/>
  <c r="V103" i="3"/>
  <c r="V105" i="3"/>
  <c r="V110" i="3"/>
  <c r="V96" i="3"/>
  <c r="V97" i="3"/>
  <c r="Z180" i="3"/>
  <c r="Z182" i="3"/>
  <c r="Z183" i="3"/>
  <c r="Z181" i="3"/>
  <c r="V88" i="3"/>
  <c r="V90" i="3"/>
  <c r="V89" i="3"/>
  <c r="V181" i="3"/>
  <c r="V183" i="3"/>
  <c r="V180" i="3"/>
  <c r="V182" i="3"/>
  <c r="V148" i="3"/>
  <c r="V149" i="3"/>
  <c r="V158" i="3"/>
  <c r="V155" i="3"/>
  <c r="V159" i="3"/>
  <c r="V143" i="3"/>
  <c r="V144" i="3"/>
  <c r="V156" i="3"/>
  <c r="V138" i="3"/>
  <c r="V140" i="3"/>
  <c r="V142" i="3"/>
  <c r="V137" i="3"/>
  <c r="V157" i="3"/>
  <c r="V162" i="3"/>
  <c r="V145" i="3"/>
  <c r="V153" i="3"/>
  <c r="V141" i="3"/>
  <c r="V161" i="3"/>
  <c r="V146" i="3"/>
  <c r="V151" i="3"/>
  <c r="V139" i="3"/>
  <c r="V147" i="3"/>
  <c r="V152" i="3"/>
  <c r="V150" i="3"/>
  <c r="V154" i="3"/>
  <c r="V160" i="3"/>
  <c r="Z43" i="3"/>
  <c r="Z45" i="3"/>
  <c r="Z38" i="3"/>
  <c r="Z47" i="3"/>
  <c r="Z46" i="3"/>
  <c r="Z50" i="3"/>
  <c r="Z37" i="3"/>
  <c r="Z44" i="3"/>
  <c r="Z36" i="3"/>
  <c r="Z40" i="3"/>
  <c r="Z42" i="3"/>
  <c r="Z51" i="3"/>
  <c r="Z48" i="3"/>
  <c r="Z39" i="3"/>
  <c r="Z49" i="3"/>
  <c r="Z41" i="3"/>
  <c r="U14" i="3"/>
  <c r="U3" i="3"/>
  <c r="U4" i="3"/>
  <c r="U15" i="3"/>
  <c r="U2" i="3"/>
  <c r="U5" i="3"/>
  <c r="U6" i="3"/>
  <c r="U11" i="3"/>
  <c r="U9" i="3"/>
  <c r="U13" i="3"/>
  <c r="U10" i="3"/>
  <c r="U18" i="3"/>
  <c r="U12" i="3"/>
  <c r="U16" i="3"/>
  <c r="U7" i="3"/>
  <c r="U17" i="3"/>
  <c r="U8" i="3"/>
  <c r="V84" i="3"/>
  <c r="V79" i="3"/>
  <c r="V85" i="3"/>
  <c r="V81" i="3"/>
  <c r="V82" i="3"/>
  <c r="V80" i="3"/>
  <c r="V83" i="3"/>
  <c r="V86" i="3"/>
  <c r="V78" i="3"/>
  <c r="V87" i="3"/>
  <c r="V41" i="3"/>
  <c r="V51" i="3"/>
  <c r="V48" i="3"/>
  <c r="V39" i="3"/>
  <c r="V42" i="3"/>
  <c r="V49" i="3"/>
  <c r="V38" i="3"/>
  <c r="V50" i="3"/>
  <c r="V46" i="3"/>
  <c r="V44" i="3"/>
  <c r="V36" i="3"/>
  <c r="V40" i="3"/>
  <c r="V45" i="3"/>
  <c r="V47" i="3"/>
  <c r="V43" i="3"/>
  <c r="V37" i="3"/>
  <c r="U67" i="3"/>
  <c r="U73" i="3"/>
  <c r="U76" i="3"/>
  <c r="U72" i="3"/>
  <c r="U77" i="3"/>
  <c r="U75" i="3"/>
  <c r="U74" i="3"/>
  <c r="U70" i="3"/>
  <c r="U71" i="3"/>
  <c r="U68" i="3"/>
  <c r="U69" i="3"/>
  <c r="Z17" i="3"/>
  <c r="Z11" i="3"/>
  <c r="Z7" i="3"/>
  <c r="Z6" i="3"/>
  <c r="Z18" i="3"/>
  <c r="Z9" i="3"/>
  <c r="Z13" i="3"/>
  <c r="Z15" i="3"/>
  <c r="Z8" i="3"/>
  <c r="Z3" i="3"/>
  <c r="Z16" i="3"/>
  <c r="Z2" i="3"/>
  <c r="Z4" i="3"/>
  <c r="Z12" i="3"/>
  <c r="Z10" i="3"/>
  <c r="Z5" i="3"/>
  <c r="Z14" i="3"/>
  <c r="V20" i="3"/>
  <c r="V19" i="3"/>
  <c r="Z70" i="3"/>
  <c r="Z68" i="3"/>
  <c r="Z74" i="3"/>
  <c r="Z69" i="3"/>
  <c r="Z72" i="3"/>
  <c r="Z76" i="3"/>
  <c r="Z73" i="3"/>
  <c r="Z75" i="3"/>
  <c r="Z71" i="3"/>
  <c r="Z67" i="3"/>
  <c r="Z77" i="3"/>
  <c r="V3" i="3"/>
  <c r="V14" i="3"/>
  <c r="V6" i="3"/>
  <c r="V11" i="3"/>
  <c r="V12" i="3"/>
  <c r="V18" i="3"/>
  <c r="V7" i="3"/>
  <c r="V15" i="3"/>
  <c r="V13" i="3"/>
  <c r="V10" i="3"/>
  <c r="V5" i="3"/>
  <c r="V16" i="3"/>
  <c r="V4" i="3"/>
  <c r="V9" i="3"/>
  <c r="V8" i="3"/>
  <c r="V17" i="3"/>
  <c r="V2" i="3"/>
  <c r="Z61" i="3"/>
  <c r="Z64" i="3"/>
  <c r="Z66" i="3"/>
  <c r="Z53" i="3"/>
  <c r="Z60" i="3"/>
  <c r="Z57" i="3"/>
  <c r="Z59" i="3"/>
  <c r="Z63" i="3"/>
  <c r="Z65" i="3"/>
  <c r="Z55" i="3"/>
  <c r="Z56" i="3"/>
  <c r="Z54" i="3"/>
  <c r="Z52" i="3"/>
  <c r="Z58" i="3"/>
  <c r="Z62" i="3"/>
  <c r="V168" i="3"/>
  <c r="V174" i="3"/>
  <c r="V169" i="3"/>
  <c r="V176" i="3"/>
  <c r="V166" i="3"/>
  <c r="V170" i="3"/>
  <c r="V163" i="3"/>
  <c r="V164" i="3"/>
  <c r="V173" i="3"/>
  <c r="V167" i="3"/>
  <c r="V171" i="3"/>
  <c r="V172" i="3"/>
  <c r="V178" i="3"/>
  <c r="V175" i="3"/>
  <c r="V179" i="3"/>
  <c r="V165" i="3"/>
  <c r="V177" i="3"/>
  <c r="V67" i="3"/>
  <c r="V71" i="3"/>
  <c r="V75" i="3"/>
  <c r="V72" i="3"/>
  <c r="V73" i="3"/>
  <c r="V77" i="3"/>
  <c r="V68" i="3"/>
  <c r="V74" i="3"/>
  <c r="V69" i="3"/>
  <c r="V70" i="3"/>
  <c r="V76" i="3"/>
  <c r="U111" i="3"/>
  <c r="U108" i="3"/>
  <c r="U118" i="3"/>
  <c r="U92" i="3"/>
  <c r="U116" i="3"/>
  <c r="U99" i="3"/>
  <c r="U119" i="3"/>
  <c r="U124" i="3"/>
  <c r="U112" i="3"/>
  <c r="U121" i="3"/>
  <c r="U94" i="3"/>
  <c r="U103" i="3"/>
  <c r="U106" i="3"/>
  <c r="U110" i="3"/>
  <c r="U115" i="3"/>
  <c r="U107" i="3"/>
  <c r="U117" i="3"/>
  <c r="U95" i="3"/>
  <c r="U104" i="3"/>
  <c r="U105" i="3"/>
  <c r="U125" i="3"/>
  <c r="U109" i="3"/>
  <c r="U100" i="3"/>
  <c r="U114" i="3"/>
  <c r="U96" i="3"/>
  <c r="U97" i="3"/>
  <c r="U126" i="3"/>
  <c r="U98" i="3"/>
  <c r="U113" i="3"/>
  <c r="U120" i="3"/>
  <c r="U122" i="3"/>
  <c r="U91" i="3"/>
  <c r="U101" i="3"/>
  <c r="U123" i="3"/>
  <c r="U93" i="3"/>
  <c r="U102" i="3"/>
  <c r="Z172" i="3"/>
  <c r="Z178" i="3"/>
  <c r="Z167" i="3"/>
  <c r="Z169" i="3"/>
  <c r="Z176" i="3"/>
  <c r="Z165" i="3"/>
  <c r="Z171" i="3"/>
  <c r="Z175" i="3"/>
  <c r="Z179" i="3"/>
  <c r="Z164" i="3"/>
  <c r="Z166" i="3"/>
  <c r="Z173" i="3"/>
  <c r="Z163" i="3"/>
  <c r="Z168" i="3"/>
  <c r="Z170" i="3"/>
  <c r="Z174" i="3"/>
  <c r="Z177" i="3"/>
  <c r="Z23" i="3"/>
  <c r="Z24" i="3"/>
  <c r="Z22" i="3"/>
  <c r="Z21" i="3"/>
  <c r="Z27" i="3"/>
  <c r="Z31" i="3"/>
  <c r="Z30" i="3"/>
  <c r="Z35" i="3"/>
  <c r="Z34" i="3"/>
  <c r="Z33" i="3"/>
  <c r="Z29" i="3"/>
  <c r="Z32" i="3"/>
  <c r="Z28" i="3"/>
  <c r="Z25" i="3"/>
  <c r="Z26" i="3"/>
  <c r="V39" i="2"/>
  <c r="V43" i="2"/>
  <c r="V40" i="2"/>
  <c r="V44" i="2"/>
  <c r="V37" i="2"/>
  <c r="V45" i="2"/>
  <c r="V36" i="2"/>
  <c r="V46" i="2"/>
  <c r="V41" i="2"/>
  <c r="V42" i="2"/>
  <c r="V38" i="2"/>
  <c r="V116" i="2"/>
  <c r="V120" i="2"/>
  <c r="V111" i="2"/>
  <c r="V112" i="2"/>
  <c r="V117" i="2"/>
  <c r="V121" i="2"/>
  <c r="V122" i="2"/>
  <c r="V123" i="2"/>
  <c r="V118" i="2"/>
  <c r="V113" i="2"/>
  <c r="V119" i="2"/>
  <c r="V124" i="2"/>
  <c r="V115" i="2"/>
  <c r="V110" i="2"/>
  <c r="V114" i="2"/>
  <c r="Z80" i="2"/>
  <c r="Z79" i="2"/>
  <c r="Z78" i="2"/>
  <c r="U98" i="2"/>
  <c r="U99" i="2"/>
  <c r="U91" i="2"/>
  <c r="U82" i="2"/>
  <c r="U105" i="2"/>
  <c r="U94" i="2"/>
  <c r="U83" i="2"/>
  <c r="U86" i="2"/>
  <c r="U100" i="2"/>
  <c r="U84" i="2"/>
  <c r="U87" i="2"/>
  <c r="U95" i="2"/>
  <c r="U101" i="2"/>
  <c r="U102" i="2"/>
  <c r="U85" i="2"/>
  <c r="U103" i="2"/>
  <c r="U89" i="2"/>
  <c r="U88" i="2"/>
  <c r="U92" i="2"/>
  <c r="U96" i="2"/>
  <c r="U97" i="2"/>
  <c r="U93" i="2"/>
  <c r="U104" i="2"/>
  <c r="U81" i="2"/>
  <c r="U90" i="2"/>
  <c r="Z48" i="2"/>
  <c r="Z51" i="2"/>
  <c r="Z53" i="2"/>
  <c r="Z54" i="2"/>
  <c r="Z55" i="2"/>
  <c r="Z52" i="2"/>
  <c r="Z47" i="2"/>
  <c r="Z49" i="2"/>
  <c r="Z56" i="2"/>
  <c r="Z50" i="2"/>
  <c r="U47" i="2"/>
  <c r="U49" i="2"/>
  <c r="U56" i="2"/>
  <c r="U55" i="2"/>
  <c r="U50" i="2"/>
  <c r="U54" i="2"/>
  <c r="U48" i="2"/>
  <c r="U51" i="2"/>
  <c r="U53" i="2"/>
  <c r="U52" i="2"/>
  <c r="V23" i="2"/>
  <c r="V26" i="2"/>
  <c r="V22" i="2"/>
  <c r="V25" i="2"/>
  <c r="V24" i="2"/>
  <c r="Z26" i="2"/>
  <c r="Z22" i="2"/>
  <c r="Z24" i="2"/>
  <c r="Z25" i="2"/>
  <c r="Z23" i="2"/>
  <c r="U32" i="2"/>
  <c r="U35" i="2"/>
  <c r="U31" i="2"/>
  <c r="U27" i="2"/>
  <c r="U34" i="2"/>
  <c r="U28" i="2"/>
  <c r="U30" i="2"/>
  <c r="U33" i="2"/>
  <c r="U29" i="2"/>
  <c r="U80" i="2"/>
  <c r="U79" i="2"/>
  <c r="U78" i="2"/>
  <c r="U8" i="2"/>
  <c r="U11" i="2"/>
  <c r="U12" i="2"/>
  <c r="U5" i="2"/>
  <c r="U3" i="2"/>
  <c r="U18" i="2"/>
  <c r="U20" i="2"/>
  <c r="U9" i="2"/>
  <c r="U15" i="2"/>
  <c r="U21" i="2"/>
  <c r="U16" i="2"/>
  <c r="U19" i="2"/>
  <c r="U4" i="2"/>
  <c r="U10" i="2"/>
  <c r="U17" i="2"/>
  <c r="U6" i="2"/>
  <c r="U13" i="2"/>
  <c r="U7" i="2"/>
  <c r="U2" i="2"/>
  <c r="U14" i="2"/>
  <c r="U71" i="2"/>
  <c r="U75" i="2"/>
  <c r="U70" i="2"/>
  <c r="U76" i="2"/>
  <c r="U72" i="2"/>
  <c r="U65" i="2"/>
  <c r="U66" i="2"/>
  <c r="U68" i="2"/>
  <c r="U77" i="2"/>
  <c r="U73" i="2"/>
  <c r="U67" i="2"/>
  <c r="U69" i="2"/>
  <c r="U74" i="2"/>
  <c r="Z129" i="2"/>
  <c r="Z134" i="2"/>
  <c r="Z128" i="2"/>
  <c r="Z132" i="2"/>
  <c r="Z130" i="2"/>
  <c r="Z127" i="2"/>
  <c r="Z131" i="2"/>
  <c r="Z125" i="2"/>
  <c r="Z126" i="2"/>
  <c r="Z133" i="2"/>
  <c r="U135" i="2"/>
  <c r="V79" i="2"/>
  <c r="V78" i="2"/>
  <c r="V80" i="2"/>
  <c r="Z37" i="2"/>
  <c r="Z38" i="2"/>
  <c r="Z43" i="2"/>
  <c r="Z45" i="2"/>
  <c r="Z36" i="2"/>
  <c r="Z46" i="2"/>
  <c r="Z39" i="2"/>
  <c r="Z41" i="2"/>
  <c r="Z42" i="2"/>
  <c r="Z40" i="2"/>
  <c r="Z44" i="2"/>
  <c r="Z88" i="2"/>
  <c r="Z92" i="2"/>
  <c r="Z96" i="2"/>
  <c r="Z97" i="2"/>
  <c r="Z89" i="2"/>
  <c r="Z93" i="2"/>
  <c r="Z104" i="2"/>
  <c r="Z81" i="2"/>
  <c r="Z90" i="2"/>
  <c r="Z98" i="2"/>
  <c r="Z99" i="2"/>
  <c r="Z83" i="2"/>
  <c r="Z91" i="2"/>
  <c r="Z82" i="2"/>
  <c r="Z105" i="2"/>
  <c r="Z94" i="2"/>
  <c r="Z86" i="2"/>
  <c r="Z100" i="2"/>
  <c r="Z85" i="2"/>
  <c r="Z103" i="2"/>
  <c r="Z84" i="2"/>
  <c r="Z87" i="2"/>
  <c r="Z95" i="2"/>
  <c r="Z101" i="2"/>
  <c r="Z102" i="2"/>
  <c r="U25" i="2"/>
  <c r="U23" i="2"/>
  <c r="U24" i="2"/>
  <c r="U26" i="2"/>
  <c r="U22" i="2"/>
  <c r="V65" i="2"/>
  <c r="V75" i="2"/>
  <c r="V76" i="2"/>
  <c r="V77" i="2"/>
  <c r="V73" i="2"/>
  <c r="V66" i="2"/>
  <c r="V70" i="2"/>
  <c r="V68" i="2"/>
  <c r="V67" i="2"/>
  <c r="V69" i="2"/>
  <c r="V74" i="2"/>
  <c r="V71" i="2"/>
  <c r="V72" i="2"/>
  <c r="V48" i="2"/>
  <c r="V51" i="2"/>
  <c r="V53" i="2"/>
  <c r="V47" i="2"/>
  <c r="V55" i="2"/>
  <c r="V56" i="2"/>
  <c r="V52" i="2"/>
  <c r="V49" i="2"/>
  <c r="V54" i="2"/>
  <c r="V50" i="2"/>
  <c r="V28" i="2"/>
  <c r="V33" i="2"/>
  <c r="V32" i="2"/>
  <c r="V29" i="2"/>
  <c r="V34" i="2"/>
  <c r="V30" i="2"/>
  <c r="V35" i="2"/>
  <c r="V31" i="2"/>
  <c r="V27" i="2"/>
  <c r="Z111" i="2"/>
  <c r="Z115" i="2"/>
  <c r="Z112" i="2"/>
  <c r="Z117" i="2"/>
  <c r="Z121" i="2"/>
  <c r="Z122" i="2"/>
  <c r="Z118" i="2"/>
  <c r="Z123" i="2"/>
  <c r="Z113" i="2"/>
  <c r="Z119" i="2"/>
  <c r="Z124" i="2"/>
  <c r="Z110" i="2"/>
  <c r="Z114" i="2"/>
  <c r="Z116" i="2"/>
  <c r="Z120" i="2"/>
  <c r="V128" i="2"/>
  <c r="V133" i="2"/>
  <c r="V126" i="2"/>
  <c r="V129" i="2"/>
  <c r="V134" i="2"/>
  <c r="V132" i="2"/>
  <c r="V130" i="2"/>
  <c r="V127" i="2"/>
  <c r="V131" i="2"/>
  <c r="V125" i="2"/>
  <c r="Z57" i="2"/>
  <c r="Z60" i="2"/>
  <c r="Z62" i="2"/>
  <c r="Z64" i="2"/>
  <c r="Z58" i="2"/>
  <c r="Z61" i="2"/>
  <c r="Z63" i="2"/>
  <c r="Z59" i="2"/>
  <c r="Z18" i="2"/>
  <c r="Z15" i="2"/>
  <c r="Z21" i="2"/>
  <c r="Z16" i="2"/>
  <c r="Z19" i="2"/>
  <c r="Z4" i="2"/>
  <c r="Z10" i="2"/>
  <c r="Z17" i="2"/>
  <c r="Z5" i="2"/>
  <c r="Z11" i="2"/>
  <c r="Z6" i="2"/>
  <c r="Z13" i="2"/>
  <c r="Z2" i="2"/>
  <c r="Z7" i="2"/>
  <c r="Z14" i="2"/>
  <c r="Z3" i="2"/>
  <c r="Z20" i="2"/>
  <c r="Z8" i="2"/>
  <c r="Z12" i="2"/>
  <c r="Z9" i="2"/>
  <c r="U125" i="2"/>
  <c r="U126" i="2"/>
  <c r="U130" i="2"/>
  <c r="U128" i="2"/>
  <c r="U133" i="2"/>
  <c r="U129" i="2"/>
  <c r="U134" i="2"/>
  <c r="U132" i="2"/>
  <c r="U127" i="2"/>
  <c r="U131" i="2"/>
  <c r="U58" i="2"/>
  <c r="U61" i="2"/>
  <c r="U62" i="2"/>
  <c r="U59" i="2"/>
  <c r="U63" i="2"/>
  <c r="U57" i="2"/>
  <c r="U60" i="2"/>
  <c r="U64" i="2"/>
  <c r="Z33" i="2"/>
  <c r="Z29" i="2"/>
  <c r="Z34" i="2"/>
  <c r="Z30" i="2"/>
  <c r="Z35" i="2"/>
  <c r="Z32" i="2"/>
  <c r="Z31" i="2"/>
  <c r="Z27" i="2"/>
  <c r="Z28" i="2"/>
  <c r="U123" i="2"/>
  <c r="U113" i="2"/>
  <c r="U119" i="2"/>
  <c r="U124" i="2"/>
  <c r="U110" i="2"/>
  <c r="U114" i="2"/>
  <c r="U115" i="2"/>
  <c r="U116" i="2"/>
  <c r="U120" i="2"/>
  <c r="U111" i="2"/>
  <c r="U112" i="2"/>
  <c r="U117" i="2"/>
  <c r="U121" i="2"/>
  <c r="U122" i="2"/>
  <c r="U118" i="2"/>
  <c r="Z73" i="2"/>
  <c r="Z65" i="2"/>
  <c r="Z66" i="2"/>
  <c r="Z68" i="2"/>
  <c r="Z67" i="2"/>
  <c r="Z69" i="2"/>
  <c r="Z74" i="2"/>
  <c r="Z71" i="2"/>
  <c r="Z75" i="2"/>
  <c r="Z70" i="2"/>
  <c r="Z76" i="2"/>
  <c r="Z72" i="2"/>
  <c r="Z77" i="2"/>
  <c r="U108" i="2"/>
  <c r="U109" i="2"/>
  <c r="U106" i="2"/>
  <c r="U107" i="2"/>
  <c r="V109" i="2"/>
  <c r="V106" i="2"/>
  <c r="V107" i="2"/>
  <c r="V108" i="2"/>
  <c r="V83" i="2"/>
  <c r="V99" i="2"/>
  <c r="V86" i="2"/>
  <c r="V100" i="2"/>
  <c r="V84" i="2"/>
  <c r="V87" i="2"/>
  <c r="V95" i="2"/>
  <c r="V101" i="2"/>
  <c r="V102" i="2"/>
  <c r="V85" i="2"/>
  <c r="V103" i="2"/>
  <c r="V88" i="2"/>
  <c r="V92" i="2"/>
  <c r="V96" i="2"/>
  <c r="V97" i="2"/>
  <c r="V89" i="2"/>
  <c r="V93" i="2"/>
  <c r="V104" i="2"/>
  <c r="V81" i="2"/>
  <c r="V90" i="2"/>
  <c r="V98" i="2"/>
  <c r="V91" i="2"/>
  <c r="V82" i="2"/>
  <c r="V105" i="2"/>
  <c r="V94" i="2"/>
  <c r="V62" i="2"/>
  <c r="V59" i="2"/>
  <c r="V63" i="2"/>
  <c r="V57" i="2"/>
  <c r="V60" i="2"/>
  <c r="V64" i="2"/>
  <c r="V58" i="2"/>
  <c r="V61" i="2"/>
  <c r="Z135" i="2"/>
  <c r="U36" i="2"/>
  <c r="U46" i="2"/>
  <c r="U41" i="2"/>
  <c r="U42" i="2"/>
  <c r="U38" i="2"/>
  <c r="U39" i="2"/>
  <c r="U43" i="2"/>
  <c r="U40" i="2"/>
  <c r="U44" i="2"/>
  <c r="U37" i="2"/>
  <c r="U45" i="2"/>
  <c r="Z106" i="2"/>
  <c r="Z107" i="2"/>
  <c r="Z108" i="2"/>
  <c r="Z109" i="2"/>
  <c r="V20" i="2"/>
  <c r="V9" i="2"/>
  <c r="V15" i="2"/>
  <c r="V21" i="2"/>
  <c r="V16" i="2"/>
  <c r="V19" i="2"/>
  <c r="V4" i="2"/>
  <c r="V10" i="2"/>
  <c r="V17" i="2"/>
  <c r="V12" i="2"/>
  <c r="V5" i="2"/>
  <c r="V8" i="2"/>
  <c r="V11" i="2"/>
  <c r="V6" i="2"/>
  <c r="V13" i="2"/>
  <c r="V2" i="2"/>
  <c r="V7" i="2"/>
  <c r="V14" i="2"/>
  <c r="V3" i="2"/>
  <c r="V18" i="2"/>
  <c r="A9" i="11" l="1" a="1"/>
  <c r="A9" i="12" a="1"/>
  <c r="A6" i="12" s="1"/>
  <c r="A9" i="9" a="1"/>
  <c r="T10" i="11" l="1"/>
  <c r="T11" i="11"/>
  <c r="T12" i="11"/>
  <c r="T13" i="11"/>
  <c r="T16" i="11"/>
  <c r="T14" i="11"/>
  <c r="T15" i="11"/>
  <c r="T17" i="11"/>
  <c r="T18" i="11"/>
  <c r="T19" i="11"/>
  <c r="T20" i="11"/>
  <c r="T21" i="11"/>
  <c r="T22" i="11"/>
  <c r="T25" i="11"/>
  <c r="T23" i="11"/>
  <c r="T24" i="11"/>
  <c r="T26" i="11"/>
  <c r="T10" i="9"/>
  <c r="T12" i="9"/>
  <c r="T11" i="9"/>
  <c r="T13" i="9"/>
  <c r="T14" i="9"/>
  <c r="T15" i="9"/>
  <c r="T16" i="9"/>
  <c r="A6" i="11"/>
  <c r="A9" i="11"/>
  <c r="T9" i="11" s="1"/>
  <c r="A9" i="12"/>
  <c r="T9" i="12" s="1"/>
  <c r="A9" i="9"/>
  <c r="T9" i="9" s="1"/>
  <c r="A6" i="9"/>
  <c r="T2" i="12" l="1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<sst xmlns="http://schemas.openxmlformats.org/spreadsheetml/2006/main" count="1726" uniqueCount="636">
  <si>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</si>
  <si>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</si>
  <si>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</si>
  <si>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</si>
  <si>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</si>
  <si>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</si>
  <si>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</si>
  <si>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</si>
  <si>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</si>
  <si>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</si>
  <si>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</si>
  <si>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</si>
  <si>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</si>
  <si>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</si>
  <si>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</si>
  <si>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</si>
  <si>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</si>
  <si>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</si>
  <si>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</si>
  <si>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</si>
  <si>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</si>
  <si>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</si>
  <si>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</si>
  <si>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</si>
  <si>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</si>
  <si>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</si>
  <si>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</si>
  <si>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</si>
  <si>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</si>
  <si>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</si>
  <si>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</si>
  <si>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</si>
  <si>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</si>
  <si>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</si>
  <si>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</si>
  <si>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</si>
  <si>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</si>
  <si>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</si>
  <si>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</si>
  <si>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</si>
  <si>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</si>
  <si>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</si>
  <si>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</si>
  <si>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</si>
  <si>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</si>
  <si>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</si>
  <si>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</si>
  <si>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</si>
  <si>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</si>
  <si>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</si>
  <si>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</si>
  <si>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</si>
  <si>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</si>
  <si>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</si>
  <si>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</si>
  <si>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</si>
  <si>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</si>
  <si>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</si>
  <si>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</si>
  <si>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</si>
  <si>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</si>
  <si>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</si>
  <si>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</si>
  <si>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</si>
  <si>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</si>
  <si>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</si>
  <si>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</si>
  <si>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</si>
  <si>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</si>
  <si>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</si>
  <si>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</si>
  <si>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</si>
  <si>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</si>
  <si>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</si>
  <si>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</si>
  <si>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</si>
  <si>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</si>
  <si>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</si>
  <si>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</si>
  <si>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</si>
  <si>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</si>
  <si>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</si>
  <si>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</si>
  <si>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</si>
  <si>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</si>
  <si>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</si>
  <si>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</si>
  <si>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</si>
  <si>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</si>
  <si>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</si>
  <si>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</si>
  <si>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</si>
  <si>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</si>
  <si>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</si>
  <si>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</si>
  <si>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</si>
  <si>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</si>
  <si>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</si>
  <si>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</si>
  <si>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</si>
  <si>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</si>
  <si>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</si>
  <si>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</si>
  <si>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</si>
  <si>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</si>
  <si>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Aerospace &amp; Defense</t>
  </si>
  <si>
    <t>AXON</t>
  </si>
  <si>
    <t>BA</t>
  </si>
  <si>
    <t>BWXT</t>
  </si>
  <si>
    <t>CW</t>
  </si>
  <si>
    <t>GD</t>
  </si>
  <si>
    <t>GE</t>
  </si>
  <si>
    <t>HEI</t>
  </si>
  <si>
    <t>HWM</t>
  </si>
  <si>
    <t>LHX</t>
  </si>
  <si>
    <t>LMT</t>
  </si>
  <si>
    <t>NOC</t>
  </si>
  <si>
    <t>RKLB</t>
  </si>
  <si>
    <t>RTX</t>
  </si>
  <si>
    <t>TDG</t>
  </si>
  <si>
    <t>TXT</t>
  </si>
  <si>
    <t>WWD</t>
  </si>
  <si>
    <t>Building Products</t>
  </si>
  <si>
    <t>AAON</t>
  </si>
  <si>
    <t>ALLE</t>
  </si>
  <si>
    <t>AOS</t>
  </si>
  <si>
    <t>BLDR</t>
  </si>
  <si>
    <t>CARR</t>
  </si>
  <si>
    <t>CSL</t>
  </si>
  <si>
    <t>JCI</t>
  </si>
  <si>
    <t>LII</t>
  </si>
  <si>
    <t>MAS</t>
  </si>
  <si>
    <t>OC</t>
  </si>
  <si>
    <t>TT</t>
  </si>
  <si>
    <t>WMS</t>
  </si>
  <si>
    <t>Construction &amp; Engineering</t>
  </si>
  <si>
    <t>ACM</t>
  </si>
  <si>
    <t>APG</t>
  </si>
  <si>
    <t>EME</t>
  </si>
  <si>
    <t>FIX</t>
  </si>
  <si>
    <t>MTZ</t>
  </si>
  <si>
    <t>PWR</t>
  </si>
  <si>
    <t>Electrical Equipment</t>
  </si>
  <si>
    <t>AYI</t>
  </si>
  <si>
    <t>EMR</t>
  </si>
  <si>
    <t>ETN</t>
  </si>
  <si>
    <t>GNRC</t>
  </si>
  <si>
    <t>HUBB</t>
  </si>
  <si>
    <t>NVT</t>
  </si>
  <si>
    <t>ROK</t>
  </si>
  <si>
    <t>RRX</t>
  </si>
  <si>
    <t>VRT</t>
  </si>
  <si>
    <t>GEV</t>
  </si>
  <si>
    <t>Industrial Conglomerates</t>
  </si>
  <si>
    <t>HON</t>
  </si>
  <si>
    <t>MMM</t>
  </si>
  <si>
    <t>Machinery</t>
  </si>
  <si>
    <t>ALSN</t>
  </si>
  <si>
    <t>CAT</t>
  </si>
  <si>
    <t>CMI</t>
  </si>
  <si>
    <t>PCAR</t>
  </si>
  <si>
    <t>WAB</t>
  </si>
  <si>
    <t>DE</t>
  </si>
  <si>
    <t>CR</t>
  </si>
  <si>
    <t>DOV</t>
  </si>
  <si>
    <t>FTV</t>
  </si>
  <si>
    <t>GGG</t>
  </si>
  <si>
    <t>IEX</t>
  </si>
  <si>
    <t>IR</t>
  </si>
  <si>
    <t>ITT</t>
  </si>
  <si>
    <t>ITW</t>
  </si>
  <si>
    <t>LECO</t>
  </si>
  <si>
    <t>NDSN</t>
  </si>
  <si>
    <t>OTIS</t>
  </si>
  <si>
    <t>PH</t>
  </si>
  <si>
    <t>PNR</t>
  </si>
  <si>
    <t>RBC</t>
  </si>
  <si>
    <t>SNA</t>
  </si>
  <si>
    <t>SWK</t>
  </si>
  <si>
    <t>XYL</t>
  </si>
  <si>
    <t>Trading Companies &amp; Distributors</t>
  </si>
  <si>
    <t>AER</t>
  </si>
  <si>
    <t>AIT</t>
  </si>
  <si>
    <t>CNM</t>
  </si>
  <si>
    <t>FAST</t>
  </si>
  <si>
    <t>FERG</t>
  </si>
  <si>
    <t>GWW</t>
  </si>
  <si>
    <t>URI</t>
  </si>
  <si>
    <t>WCC</t>
  </si>
  <si>
    <t>WSO</t>
  </si>
  <si>
    <t>Commercial Services &amp; Supplies</t>
  </si>
  <si>
    <t>CLH</t>
  </si>
  <si>
    <t>GFL</t>
  </si>
  <si>
    <t>ROL</t>
  </si>
  <si>
    <t>RSG</t>
  </si>
  <si>
    <t>RTO</t>
  </si>
  <si>
    <t>TTEK</t>
  </si>
  <si>
    <t>VLTO</t>
  </si>
  <si>
    <t>WCN</t>
  </si>
  <si>
    <t>WM</t>
  </si>
  <si>
    <t>CPRT</t>
  </si>
  <si>
    <t>CTAS</t>
  </si>
  <si>
    <t>RBA</t>
  </si>
  <si>
    <t>Professional Services</t>
  </si>
  <si>
    <t>ADP</t>
  </si>
  <si>
    <t>DAY</t>
  </si>
  <si>
    <t>PAYC</t>
  </si>
  <si>
    <t>PAYX</t>
  </si>
  <si>
    <t>PCTY</t>
  </si>
  <si>
    <t>BAH</t>
  </si>
  <si>
    <t>CACI</t>
  </si>
  <si>
    <t>EFX</t>
  </si>
  <si>
    <t>J</t>
  </si>
  <si>
    <t>LDOS</t>
  </si>
  <si>
    <t>PSN</t>
  </si>
  <si>
    <t>RELX</t>
  </si>
  <si>
    <t>TRI</t>
  </si>
  <si>
    <t>TRU</t>
  </si>
  <si>
    <t>ULS</t>
  </si>
  <si>
    <t>VRSK</t>
  </si>
  <si>
    <t>BR</t>
  </si>
  <si>
    <t>SSNC</t>
  </si>
  <si>
    <t>Air Freight &amp; Logistics</t>
  </si>
  <si>
    <t>CHRW</t>
  </si>
  <si>
    <t>EXPD</t>
  </si>
  <si>
    <t>FDX</t>
  </si>
  <si>
    <t>UPS</t>
  </si>
  <si>
    <t>ZTO</t>
  </si>
  <si>
    <t>Passenger Airlines</t>
  </si>
  <si>
    <t>AAL</t>
  </si>
  <si>
    <t>DAL</t>
  </si>
  <si>
    <t>LUV</t>
  </si>
  <si>
    <t>RYAAY</t>
  </si>
  <si>
    <t>Ground Transportation</t>
  </si>
  <si>
    <t>CNI</t>
  </si>
  <si>
    <t>CP</t>
  </si>
  <si>
    <t>CSX</t>
  </si>
  <si>
    <t>NSC</t>
  </si>
  <si>
    <t>UNP</t>
  </si>
  <si>
    <t>JBHT</t>
  </si>
  <si>
    <t>ODFL</t>
  </si>
  <si>
    <t>SAIA</t>
  </si>
  <si>
    <t>TFII</t>
  </si>
  <si>
    <t>UHAL</t>
  </si>
  <si>
    <t>XPO</t>
  </si>
  <si>
    <t>YMM</t>
  </si>
  <si>
    <t>UBER</t>
  </si>
  <si>
    <t>Marine Transportation</t>
  </si>
  <si>
    <t>Transportation Infrastructure</t>
  </si>
  <si>
    <t>ACHR</t>
  </si>
  <si>
    <t>AIR</t>
  </si>
  <si>
    <t>AVAV</t>
  </si>
  <si>
    <t>CAE</t>
  </si>
  <si>
    <t>ERJ</t>
  </si>
  <si>
    <t>HII</t>
  </si>
  <si>
    <t>HXL</t>
  </si>
  <si>
    <t>KTOS</t>
  </si>
  <si>
    <t>LOAR</t>
  </si>
  <si>
    <t>MRCY</t>
  </si>
  <si>
    <t>SARO</t>
  </si>
  <si>
    <t>SPR</t>
  </si>
  <si>
    <t>AWI</t>
  </si>
  <si>
    <t>AZEK</t>
  </si>
  <si>
    <t>AZZ</t>
  </si>
  <si>
    <t>CSWI</t>
  </si>
  <si>
    <t>FBIN</t>
  </si>
  <si>
    <t>GFF</t>
  </si>
  <si>
    <t>HAYW</t>
  </si>
  <si>
    <t>MBC</t>
  </si>
  <si>
    <t>REZI</t>
  </si>
  <si>
    <t>ROCK</t>
  </si>
  <si>
    <t>SSD</t>
  </si>
  <si>
    <t>TGLS</t>
  </si>
  <si>
    <t>TREX</t>
  </si>
  <si>
    <t>ZWS</t>
  </si>
  <si>
    <t>ACA</t>
  </si>
  <si>
    <t>CDLR</t>
  </si>
  <si>
    <t>DY</t>
  </si>
  <si>
    <t>ECG</t>
  </si>
  <si>
    <t>FLR</t>
  </si>
  <si>
    <t>GVA</t>
  </si>
  <si>
    <t>IESC</t>
  </si>
  <si>
    <t>MYRG</t>
  </si>
  <si>
    <t>PRIM</t>
  </si>
  <si>
    <t>ROAD</t>
  </si>
  <si>
    <t>STN</t>
  </si>
  <si>
    <t>STRL</t>
  </si>
  <si>
    <t>VMI</t>
  </si>
  <si>
    <t>WSC</t>
  </si>
  <si>
    <t>ATKR</t>
  </si>
  <si>
    <t>ENS</t>
  </si>
  <si>
    <t>NXT</t>
  </si>
  <si>
    <t>PLUG</t>
  </si>
  <si>
    <t>POWL</t>
  </si>
  <si>
    <t>RUN</t>
  </si>
  <si>
    <t>ST</t>
  </si>
  <si>
    <t>VICR</t>
  </si>
  <si>
    <t>BE</t>
  </si>
  <si>
    <t>SMR</t>
  </si>
  <si>
    <t>IEP</t>
  </si>
  <si>
    <t>ATMU</t>
  </si>
  <si>
    <t>FSS</t>
  </si>
  <si>
    <t>GBX</t>
  </si>
  <si>
    <t>OSK</t>
  </si>
  <si>
    <t>TEX</t>
  </si>
  <si>
    <t>TRN</t>
  </si>
  <si>
    <t>AGCO</t>
  </si>
  <si>
    <t>ALG</t>
  </si>
  <si>
    <t>TTC</t>
  </si>
  <si>
    <t>AIN</t>
  </si>
  <si>
    <t>ATS</t>
  </si>
  <si>
    <t>DCI</t>
  </si>
  <si>
    <t>EPAC</t>
  </si>
  <si>
    <t>ESAB</t>
  </si>
  <si>
    <t>ESE</t>
  </si>
  <si>
    <t>FELE</t>
  </si>
  <si>
    <t>FLS</t>
  </si>
  <si>
    <t>GTES</t>
  </si>
  <si>
    <t>GTLS</t>
  </si>
  <si>
    <t>HI</t>
  </si>
  <si>
    <t>HLMN</t>
  </si>
  <si>
    <t>KAI</t>
  </si>
  <si>
    <t>KMT</t>
  </si>
  <si>
    <t>MIDD</t>
  </si>
  <si>
    <t>MLI</t>
  </si>
  <si>
    <t>MWA</t>
  </si>
  <si>
    <t>NPO</t>
  </si>
  <si>
    <t>SPXC</t>
  </si>
  <si>
    <t>SXI</t>
  </si>
  <si>
    <t>TKR</t>
  </si>
  <si>
    <t>WTS</t>
  </si>
  <si>
    <t>AL</t>
  </si>
  <si>
    <t>BCC</t>
  </si>
  <si>
    <t>GATX</t>
  </si>
  <si>
    <t>GMS</t>
  </si>
  <si>
    <t>HEES</t>
  </si>
  <si>
    <t>HRI</t>
  </si>
  <si>
    <t>MGRC</t>
  </si>
  <si>
    <t>MSM</t>
  </si>
  <si>
    <t>RUSHA</t>
  </si>
  <si>
    <t>RUSHB</t>
  </si>
  <si>
    <t>SITE</t>
  </si>
  <si>
    <t>BRC</t>
  </si>
  <si>
    <t>ABM</t>
  </si>
  <si>
    <t>CWST</t>
  </si>
  <si>
    <t>HNI</t>
  </si>
  <si>
    <t>MSA</t>
  </si>
  <si>
    <t>ACVA</t>
  </si>
  <si>
    <t>DRVN</t>
  </si>
  <si>
    <t>KAR</t>
  </si>
  <si>
    <t>UNF</t>
  </si>
  <si>
    <t>VSEC</t>
  </si>
  <si>
    <t>VSTS</t>
  </si>
  <si>
    <t>BCO</t>
  </si>
  <si>
    <t>CXW</t>
  </si>
  <si>
    <t>GEO</t>
  </si>
  <si>
    <t>ALIT</t>
  </si>
  <si>
    <t>FA</t>
  </si>
  <si>
    <t>KFY</t>
  </si>
  <si>
    <t>MAN</t>
  </si>
  <si>
    <t>NSP</t>
  </si>
  <si>
    <t>RHI</t>
  </si>
  <si>
    <t>TNET</t>
  </si>
  <si>
    <t>UPWK</t>
  </si>
  <si>
    <t>AMTM</t>
  </si>
  <si>
    <t>CBZ</t>
  </si>
  <si>
    <t>CLVT</t>
  </si>
  <si>
    <t>DNB</t>
  </si>
  <si>
    <t>EXPO</t>
  </si>
  <si>
    <t>FCN</t>
  </si>
  <si>
    <t>HURN</t>
  </si>
  <si>
    <t>ICFI</t>
  </si>
  <si>
    <t>KBR</t>
  </si>
  <si>
    <t>SAIC</t>
  </si>
  <si>
    <t>CNXC</t>
  </si>
  <si>
    <t>EXLS</t>
  </si>
  <si>
    <t>G</t>
  </si>
  <si>
    <t>MMS</t>
  </si>
  <si>
    <t>VRRM</t>
  </si>
  <si>
    <t>WNS</t>
  </si>
  <si>
    <t>GXO</t>
  </si>
  <si>
    <t>HUBG</t>
  </si>
  <si>
    <t>ALK</t>
  </si>
  <si>
    <t>CPA</t>
  </si>
  <si>
    <t>JBLU</t>
  </si>
  <si>
    <t>JOBY</t>
  </si>
  <si>
    <t>LTM</t>
  </si>
  <si>
    <t>SKYW</t>
  </si>
  <si>
    <t>KEX</t>
  </si>
  <si>
    <t>MATX</t>
  </si>
  <si>
    <t>ZIM</t>
  </si>
  <si>
    <t>ARCB</t>
  </si>
  <si>
    <t>KNX</t>
  </si>
  <si>
    <t>LSTR</t>
  </si>
  <si>
    <t>R</t>
  </si>
  <si>
    <t>RXO</t>
  </si>
  <si>
    <t>SNDR</t>
  </si>
  <si>
    <t>WERN</t>
  </si>
  <si>
    <t>CAR</t>
  </si>
  <si>
    <t>LYFT</t>
  </si>
  <si>
    <t>ASR</t>
  </si>
  <si>
    <t>CAAP</t>
  </si>
  <si>
    <t>OMAB</t>
  </si>
  <si>
    <t>PAC</t>
  </si>
  <si>
    <t>ASLE</t>
  </si>
  <si>
    <t>ATRO</t>
  </si>
  <si>
    <t>BYRN</t>
  </si>
  <si>
    <t>CDRE</t>
  </si>
  <si>
    <t>DCO</t>
  </si>
  <si>
    <t>EVEX</t>
  </si>
  <si>
    <t>NPK</t>
  </si>
  <si>
    <t>PKE</t>
  </si>
  <si>
    <t>RDW</t>
  </si>
  <si>
    <t>TGI</t>
  </si>
  <si>
    <t>VVX</t>
  </si>
  <si>
    <t>AMWD</t>
  </si>
  <si>
    <t>APOG</t>
  </si>
  <si>
    <t>IIIN</t>
  </si>
  <si>
    <t>JBI</t>
  </si>
  <si>
    <t>JELD</t>
  </si>
  <si>
    <t>NX</t>
  </si>
  <si>
    <t>AGX</t>
  </si>
  <si>
    <t>AMRC</t>
  </si>
  <si>
    <t>BBCP</t>
  </si>
  <si>
    <t>BWMN</t>
  </si>
  <si>
    <t>CTRI</t>
  </si>
  <si>
    <t>GLDD</t>
  </si>
  <si>
    <t>LMB</t>
  </si>
  <si>
    <t>MTRX</t>
  </si>
  <si>
    <t>NWPX</t>
  </si>
  <si>
    <t>ORN</t>
  </si>
  <si>
    <t>TPC</t>
  </si>
  <si>
    <t>ALNT</t>
  </si>
  <si>
    <t>AMSC</t>
  </si>
  <si>
    <t>ARRY</t>
  </si>
  <si>
    <t>BLDP</t>
  </si>
  <si>
    <t>CHPT</t>
  </si>
  <si>
    <t>EOSE</t>
  </si>
  <si>
    <t>LYTS</t>
  </si>
  <si>
    <t>PLPC</t>
  </si>
  <si>
    <t>SHLS</t>
  </si>
  <si>
    <t>THR</t>
  </si>
  <si>
    <t>NNE</t>
  </si>
  <si>
    <t>BBU</t>
  </si>
  <si>
    <t>BBUC</t>
  </si>
  <si>
    <t>ASTE</t>
  </si>
  <si>
    <t>BLBD</t>
  </si>
  <si>
    <t>CYD</t>
  </si>
  <si>
    <t>HYLN</t>
  </si>
  <si>
    <t>MLR</t>
  </si>
  <si>
    <t>MTW</t>
  </si>
  <si>
    <t>MVST</t>
  </si>
  <si>
    <t>PLOW</t>
  </si>
  <si>
    <t>REVG</t>
  </si>
  <si>
    <t>WNC</t>
  </si>
  <si>
    <t>LNN</t>
  </si>
  <si>
    <t>TWI</t>
  </si>
  <si>
    <t>CMCO</t>
  </si>
  <si>
    <t>ERII</t>
  </si>
  <si>
    <t>GHM</t>
  </si>
  <si>
    <t>GRC</t>
  </si>
  <si>
    <t>HLIO</t>
  </si>
  <si>
    <t>HY</t>
  </si>
  <si>
    <t>LXFR</t>
  </si>
  <si>
    <t>MEC</t>
  </si>
  <si>
    <t>NNDM</t>
  </si>
  <si>
    <t>OFLX</t>
  </si>
  <si>
    <t>PKOH</t>
  </si>
  <si>
    <t>PRLB</t>
  </si>
  <si>
    <t>TNC</t>
  </si>
  <si>
    <t>BXC</t>
  </si>
  <si>
    <t>CTOS</t>
  </si>
  <si>
    <t>DNOW</t>
  </si>
  <si>
    <t>DSGR</t>
  </si>
  <si>
    <t>DXPE</t>
  </si>
  <si>
    <t>GIC</t>
  </si>
  <si>
    <t>HDSN</t>
  </si>
  <si>
    <t>KRT</t>
  </si>
  <si>
    <t>MRC</t>
  </si>
  <si>
    <t>TITN</t>
  </si>
  <si>
    <t>TRNS</t>
  </si>
  <si>
    <t>WLFC</t>
  </si>
  <si>
    <t>XMTR</t>
  </si>
  <si>
    <t>ZKH</t>
  </si>
  <si>
    <t>DLX</t>
  </si>
  <si>
    <t>EBF</t>
  </si>
  <si>
    <t>QUAD</t>
  </si>
  <si>
    <t>BV</t>
  </si>
  <si>
    <t>CECO</t>
  </si>
  <si>
    <t>MEG</t>
  </si>
  <si>
    <t>NVRI</t>
  </si>
  <si>
    <t>ACCO</t>
  </si>
  <si>
    <t>CIX</t>
  </si>
  <si>
    <t>MLKN</t>
  </si>
  <si>
    <t>NL</t>
  </si>
  <si>
    <t>PBI</t>
  </si>
  <si>
    <t>SCS</t>
  </si>
  <si>
    <t>TILE</t>
  </si>
  <si>
    <t>CVEO</t>
  </si>
  <si>
    <t>HCSG</t>
  </si>
  <si>
    <t>LQDT</t>
  </si>
  <si>
    <t>BBSI</t>
  </si>
  <si>
    <t>FVRR</t>
  </si>
  <si>
    <t>HSII</t>
  </si>
  <si>
    <t>KELYA</t>
  </si>
  <si>
    <t>KELYB</t>
  </si>
  <si>
    <t>KFRC</t>
  </si>
  <si>
    <t>BKSY</t>
  </si>
  <si>
    <t>CRAI</t>
  </si>
  <si>
    <t>FC</t>
  </si>
  <si>
    <t>INOD</t>
  </si>
  <si>
    <t>LZ</t>
  </si>
  <si>
    <t>NVEE</t>
  </si>
  <si>
    <t>PL</t>
  </si>
  <si>
    <t>SPIR</t>
  </si>
  <si>
    <t>WLDN</t>
  </si>
  <si>
    <t>CNDT</t>
  </si>
  <si>
    <t>CSGS</t>
  </si>
  <si>
    <t>TASK</t>
  </si>
  <si>
    <t>TIXT</t>
  </si>
  <si>
    <t>FWRD</t>
  </si>
  <si>
    <t>RLGT</t>
  </si>
  <si>
    <t>ALGT</t>
  </si>
  <si>
    <t>SNCY</t>
  </si>
  <si>
    <t>ULCC</t>
  </si>
  <si>
    <t>UP</t>
  </si>
  <si>
    <t>VLRS</t>
  </si>
  <si>
    <t>CMRE</t>
  </si>
  <si>
    <t>DAC</t>
  </si>
  <si>
    <t>GNK</t>
  </si>
  <si>
    <t>GSL</t>
  </si>
  <si>
    <t>NMM</t>
  </si>
  <si>
    <t>SB</t>
  </si>
  <si>
    <t>FIP</t>
  </si>
  <si>
    <t>CVLG</t>
  </si>
  <si>
    <t>HTLD</t>
  </si>
  <si>
    <t>MRTN</t>
  </si>
  <si>
    <t>PAMT</t>
  </si>
  <si>
    <t>ULH</t>
  </si>
  <si>
    <t>HTZ</t>
  </si>
  <si>
    <t>SKYH</t>
  </si>
  <si>
    <t>ESLT</t>
  </si>
  <si>
    <t>FTAI</t>
  </si>
  <si>
    <t>GRAB</t>
  </si>
  <si>
    <t>ATI</t>
  </si>
  <si>
    <t>KRMN</t>
  </si>
  <si>
    <t>JBTM</t>
  </si>
  <si>
    <t>WOR</t>
  </si>
  <si>
    <t>QXO</t>
  </si>
  <si>
    <t>AZ</t>
  </si>
  <si>
    <t>EVTL</t>
  </si>
  <si>
    <t>SATL</t>
  </si>
  <si>
    <t>TATT</t>
  </si>
  <si>
    <t>ADSE</t>
  </si>
  <si>
    <t>AMPX</t>
  </si>
  <si>
    <t>SES</t>
  </si>
  <si>
    <t>PSIX</t>
  </si>
  <si>
    <t>KRNT</t>
  </si>
  <si>
    <t>SSYS</t>
  </si>
  <si>
    <t>ZJK</t>
  </si>
  <si>
    <t>LVRO</t>
  </si>
  <si>
    <t>BDIMF</t>
  </si>
  <si>
    <t>PRSU</t>
  </si>
  <si>
    <t>ASUR</t>
  </si>
  <si>
    <t>FBYD</t>
  </si>
  <si>
    <t>TIC</t>
  </si>
  <si>
    <t>IBEX</t>
  </si>
  <si>
    <t>GOLLQ</t>
  </si>
  <si>
    <t>CCEC</t>
  </si>
  <si>
    <t>HSHP</t>
  </si>
  <si>
    <t>PANL</t>
  </si>
  <si>
    <t>SBLK</t>
  </si>
  <si>
    <t>None</t>
  </si>
  <si>
    <t>IDTRY</t>
  </si>
  <si>
    <t>BOUYY</t>
  </si>
  <si>
    <t>WSPOF</t>
  </si>
  <si>
    <t>KBGGY</t>
  </si>
  <si>
    <t>MTSUY</t>
  </si>
  <si>
    <t>ABBNY</t>
  </si>
  <si>
    <t>TYHOY</t>
  </si>
  <si>
    <t>SNCAF</t>
  </si>
  <si>
    <t>VOLAF</t>
  </si>
  <si>
    <t>VOLVF</t>
  </si>
  <si>
    <t>HAGHY</t>
  </si>
  <si>
    <t>LFCBY</t>
  </si>
  <si>
    <t>MHVIY</t>
  </si>
  <si>
    <t>DIDIY</t>
  </si>
  <si>
    <t>BYDGF</t>
  </si>
  <si>
    <t>NEXNY</t>
  </si>
  <si>
    <t>FINGF</t>
  </si>
  <si>
    <t>MDALF</t>
  </si>
  <si>
    <t>IMCDY</t>
  </si>
  <si>
    <t>SPXSY</t>
  </si>
  <si>
    <t>FLGZY</t>
  </si>
  <si>
    <t>BDRAF</t>
  </si>
  <si>
    <t>BDRBF</t>
  </si>
  <si>
    <t>DFKCY</t>
  </si>
  <si>
    <t>ACDVF</t>
  </si>
  <si>
    <t>KTWIY</t>
  </si>
  <si>
    <t>DPMAY</t>
  </si>
  <si>
    <t>TCCPY</t>
  </si>
  <si>
    <t>IMIUY</t>
  </si>
  <si>
    <t>MSSMY</t>
  </si>
  <si>
    <t>VLMTY</t>
  </si>
  <si>
    <t>NCTKY</t>
  </si>
  <si>
    <t>BLFBY</t>
  </si>
  <si>
    <t>ELEEF</t>
  </si>
  <si>
    <t>EKIVY</t>
  </si>
  <si>
    <t>EIFZF</t>
  </si>
  <si>
    <t>RHLD</t>
  </si>
  <si>
    <t>SPLP</t>
  </si>
  <si>
    <t>HDIUF</t>
  </si>
  <si>
    <t>RUSMF</t>
  </si>
  <si>
    <t>CHRRF</t>
  </si>
  <si>
    <t>CLNFF</t>
  </si>
  <si>
    <t>MLLGF</t>
  </si>
  <si>
    <t>KBRLF</t>
  </si>
  <si>
    <t>AGGZF</t>
  </si>
  <si>
    <t>WTSHF</t>
  </si>
  <si>
    <t>BADFF</t>
  </si>
  <si>
    <t>CWXZF</t>
  </si>
  <si>
    <t>SISXF</t>
  </si>
  <si>
    <t>HMDPF</t>
  </si>
  <si>
    <t>BIRDF</t>
  </si>
  <si>
    <t>MALJF</t>
  </si>
  <si>
    <t>TGAFF</t>
  </si>
  <si>
    <t>EBFI</t>
  </si>
  <si>
    <t>NFYEF</t>
  </si>
  <si>
    <t>ZDCAF</t>
  </si>
  <si>
    <t>RR</t>
  </si>
  <si>
    <t>BLDE</t>
  </si>
  <si>
    <t>EAF</t>
  </si>
  <si>
    <t>PDYN</t>
  </si>
  <si>
    <t>AEGXF</t>
  </si>
  <si>
    <t>CGJTF</t>
  </si>
  <si>
    <t>ESEA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</si>
</sst>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48.2</v>
        <stp/>
        <stp>LAST</stp>
        <stp>MHVIY</stp>
        <tr r="D104" s="2"/>
      </tp>
      <tp>
        <v>112</v>
        <stp/>
        <stp>LAST</stp>
        <stp>VRT</stp>
        <tr r="D62" s="2"/>
      </tp>
      <tp>
        <v>44.93</v>
        <stp/>
        <stp>LAST</stp>
        <stp>VVX</stp>
        <tr r="D2" s="4"/>
      </tp>
      <tp>
        <v>324.7</v>
        <stp/>
        <stp>LAST</stp>
        <stp>VMI</stp>
        <tr r="D52" s="3"/>
      </tp>
      <tp>
        <v>75.91</v>
        <stp/>
        <stp>LAST</stp>
        <stp>KTWIY</stp>
        <tr r="D115" s="3"/>
      </tp>
      <tp>
        <v>28.29</v>
        <stp/>
        <stp>LAST</stp>
        <stp>WSC</stp>
        <tr r="D63" s="3"/>
      </tp>
      <tp>
        <v>444.48</v>
        <stp/>
        <stp>LAST</stp>
        <stp>WSO</stp>
        <tr r="D127" s="2"/>
      </tp>
      <tp>
        <v>234.56</v>
        <stp/>
        <stp>LAST</stp>
        <stp>WWD</stp>
        <tr r="D11" s="2"/>
      </tp>
      <tp>
        <v>245.25</v>
        <stp/>
        <stp>LAST</stp>
        <stp>WTS</stp>
        <tr r="D94" s="3"/>
      </tp>
      <tp>
        <v>59.61</v>
        <stp/>
        <stp>LAST</stp>
        <stp>WNS</stp>
        <tr r="D146" s="3"/>
      </tp>
      <tp>
        <v>9.92</v>
        <stp/>
        <stp>LAST</stp>
        <stp>WNC</stp>
        <tr r="D113" s="4"/>
      </tp>
      <tp>
        <v>60.79</v>
        <stp/>
        <stp>LAST</stp>
        <stp>WOR</stp>
        <tr r="D112" s="3"/>
      </tp>
      <tp>
        <v>116.75</v>
        <stp/>
        <stp>LAST</stp>
        <stp>WMS</stp>
        <tr r="D23" s="3"/>
      </tp>
      <tp>
        <v>176.51</v>
        <stp/>
        <stp>LAST</stp>
        <stp>WCC</stp>
        <tr r="D172" s="3"/>
      </tp>
      <tp>
        <v>188.99</v>
        <stp/>
        <stp>LAST</stp>
        <stp>WCN</stp>
        <tr r="D38" s="2"/>
      </tp>
      <tp>
        <v>205.37</v>
        <stp/>
        <stp>LAST</stp>
        <stp>WAB</stp>
        <tr r="D88" s="2"/>
      </tp>
      <tp>
        <v>13.87</v>
        <stp/>
        <stp>LAST</stp>
        <stp>IDTRY</stp>
        <tr r="D81" s="2"/>
      </tp>
      <tp>
        <v>7.16</v>
        <stp/>
        <stp>LAST</stp>
        <stp>NCTKY</stp>
        <tr r="D124" s="3"/>
      </tp>
      <tp>
        <v>77.08</v>
        <stp/>
        <stp>LAST</stp>
        <stp>TXT</stp>
        <tr r="D16" s="2"/>
      </tp>
      <tp>
        <v>87.36</v>
        <stp/>
        <stp>LAST</stp>
        <stp>TRU</stp>
        <tr r="D122" s="2"/>
      </tp>
      <tp>
        <v>26.34</v>
        <stp/>
        <stp>LAST</stp>
        <stp>TRN</stp>
        <tr r="D125" s="3"/>
      </tp>
      <tp>
        <v>192.66</v>
        <stp/>
        <stp>LAST</stp>
        <stp>TRI</stp>
        <tr r="D121" s="2"/>
      </tp>
      <tp>
        <v>40.56</v>
        <stp/>
        <stp>LAST</stp>
        <stp>TPC</stp>
        <tr r="D50" s="4"/>
      </tp>
      <tp>
        <v>9.32</v>
        <stp/>
        <stp>LAST</stp>
        <stp>TWI</stp>
        <tr r="D121" s="4"/>
      </tp>
      <tp>
        <v>71.41</v>
        <stp/>
        <stp>LAST</stp>
        <stp>TTC</stp>
        <tr r="D101" s="3"/>
      </tp>
      <tp>
        <v>72.63</v>
        <stp/>
        <stp>LAST</stp>
        <stp>TKR</stp>
        <tr r="D104" s="3"/>
      </tp>
      <tp>
        <v>27.86</v>
        <stp/>
        <stp>LAST</stp>
        <stp>THR</stp>
        <tr r="D67" s="4"/>
      </tp>
      <tp>
        <v>11.1</v>
        <stp/>
        <stp>LAST</stp>
        <stp>TIC</stp>
        <tr r="D171" s="4"/>
      </tp>
      <tp>
        <v>75.63</v>
        <stp/>
        <stp>LAST</stp>
        <stp>TNC</stp>
        <tr r="D100" s="4"/>
      </tp>
      <tp>
        <v>25.94</v>
        <stp/>
        <stp>LAST</stp>
        <stp>TGI</stp>
        <tr r="D10" s="3"/>
      </tp>
      <tp>
        <v>1460.06</v>
        <stp/>
        <stp>LAST</stp>
        <stp>TDG</stp>
        <tr r="D2" s="2"/>
      </tp>
      <tp>
        <v>47.63</v>
        <stp/>
        <stp>LAST</stp>
        <stp>TEX</stp>
        <tr r="D111" s="3"/>
      </tp>
      <tp>
        <v>8.66</v>
        <stp/>
        <stp>LAST</stp>
        <stp>BOUYY</stp>
        <tr r="D51" s="2"/>
      </tp>
      <tp>
        <v>707.21</v>
        <stp/>
        <stp>LAST</stp>
        <stp>URI</stp>
        <tr r="D125" s="2"/>
      </tp>
      <tp>
        <v>99.31</v>
        <stp/>
        <stp>LAST</stp>
        <stp>UPS</stp>
        <tr r="D23" s="2"/>
      </tp>
      <tp>
        <v>224.14</v>
        <stp/>
        <stp>LAST</stp>
        <stp>UNP</stp>
        <tr r="D65" s="2"/>
      </tp>
      <tp>
        <v>189.64</v>
        <stp/>
        <stp>LAST</stp>
        <stp>UNF</stp>
        <tr r="D37" s="3"/>
      </tp>
      <tp>
        <v>70.55</v>
        <stp/>
        <stp>LAST</stp>
        <stp>ULS</stp>
        <tr r="D123" s="2"/>
      </tp>
      <tp>
        <v>24.69</v>
        <stp/>
        <stp>LAST</stp>
        <stp>ULH</stp>
        <tr r="D93" s="4"/>
      </tp>
      <tp>
        <v>15.18</v>
        <stp/>
        <stp>LAST</stp>
        <stp>CHRRF</stp>
        <tr r="D146" s="4"/>
      </tp>
      <tp>
        <v>77.48</v>
        <stp/>
        <stp>LAST</stp>
        <stp>BDRBF</stp>
        <tr r="D4" s="3"/>
      </tp>
      <tp>
        <v>75</v>
        <stp/>
        <stp>LAST</stp>
        <stp>BDRAF</stp>
        <tr r="D3" s="3"/>
      </tp>
      <tp>
        <v>20.222000000000001</v>
        <stp/>
        <stp>LAST</stp>
        <stp>BIRDF</stp>
        <tr r="D57" s="4"/>
      </tp>
      <tp>
        <v>25.89</v>
        <stp/>
        <stp>LAST</stp>
        <stp>KBRLF</stp>
        <tr r="D35" s="4"/>
      </tp>
      <tp>
        <v>16.21</v>
        <stp/>
        <stp>LAST</stp>
        <stp>RXO</stp>
        <tr r="D85" s="3"/>
      </tp>
      <tp>
        <v>142.09</v>
        <stp/>
        <stp>LAST</stp>
        <stp>RRX</stp>
        <tr r="D71" s="3"/>
      </tp>
      <tp>
        <v>249.4</v>
        <stp/>
        <stp>LAST</stp>
        <stp>RSG</stp>
        <tr r="D36" s="2"/>
      </tp>
      <tp>
        <v>140.97999999999999</v>
        <stp/>
        <stp>LAST</stp>
        <stp>RTX</stp>
        <tr r="D14" s="2"/>
      </tp>
      <tp>
        <v>23.8</v>
        <stp/>
        <stp>LAST</stp>
        <stp>RTO</stp>
        <tr r="D46" s="2"/>
      </tp>
      <tp>
        <v>8.27</v>
        <stp/>
        <stp>LAST</stp>
        <stp>RUN</stp>
        <tr r="D85" s="4"/>
      </tp>
      <tp>
        <v>44.5</v>
        <stp/>
        <stp>LAST</stp>
        <stp>RHI</stp>
        <tr r="D149" s="3"/>
      </tp>
      <tp>
        <v>57.06</v>
        <stp/>
        <stp>LAST</stp>
        <stp>ROL</stp>
        <tr r="D43" s="2"/>
      </tp>
      <tp>
        <v>324.35000000000002</v>
        <stp/>
        <stp>LAST</stp>
        <stp>ROK</stp>
        <tr r="D59" s="2"/>
      </tp>
      <tp>
        <v>381.22</v>
        <stp/>
        <stp>LAST</stp>
        <stp>RBC</stp>
        <tr r="D90" s="2"/>
      </tp>
      <tp>
        <v>106.16</v>
        <stp/>
        <stp>LAST</stp>
        <stp>RBA</stp>
        <tr r="D41" s="2"/>
      </tp>
      <tp>
        <v>19.96</v>
        <stp/>
        <stp>LAST</stp>
        <stp>RDW</stp>
        <tr r="D13" s="4"/>
      </tp>
      <tp>
        <v>19.71</v>
        <stp/>
        <stp>LAST</stp>
        <stp>MTSUY</stp>
        <tr r="D130" s="2"/>
      </tp>
      <tp>
        <v>14.1335</v>
        <stp/>
        <stp>LAST</stp>
        <stp>SISXF</stp>
        <tr r="D116" s="4"/>
      </tp>
      <tp>
        <v>51.31</v>
        <stp/>
        <stp>LAST</stp>
        <stp>RUSHA</stp>
        <tr r="D169" s="3"/>
      </tp>
      <tp>
        <v>51.53</v>
        <stp/>
        <stp>LAST</stp>
        <stp>RUSHB</stp>
        <tr r="D170" s="3"/>
      </tp>
      <tp>
        <v>19.8</v>
        <stp/>
        <stp>LAST</stp>
        <stp>WTSHF</stp>
        <tr r="D200" s="4"/>
      </tp>
      <tp>
        <v>6.45</v>
        <stp/>
        <stp>LAST</stp>
        <stp>MSSMY</stp>
        <tr r="D122" s="3"/>
      </tp>
      <tp>
        <v>31.7</v>
        <stp/>
        <stp>LAST</stp>
        <stp>RUSMF</stp>
        <tr r="D183" s="4"/>
      </tp>
      <tp>
        <v>156.59</v>
        <stp/>
        <stp>LAST</stp>
        <stp>SXI</stp>
        <tr r="D101" s="4"/>
      </tp>
      <tp>
        <v>158.86000000000001</v>
        <stp/>
        <stp>LAST</stp>
        <stp>SSD</stp>
        <tr r="D27" s="3"/>
      </tp>
      <tp>
        <v>38.72</v>
        <stp/>
        <stp>LAST</stp>
        <stp>SPR</stp>
        <tr r="D18" s="3"/>
      </tp>
      <tp>
        <v>67.209999999999994</v>
        <stp/>
        <stp>LAST</stp>
        <stp>SWK</stp>
        <tr r="D93" s="2"/>
      </tp>
      <tp>
        <v>104.98</v>
        <stp/>
        <stp>LAST</stp>
        <stp>STN</stp>
        <tr r="D54" s="2"/>
      </tp>
      <tp>
        <v>320.76</v>
        <stp/>
        <stp>LAST</stp>
        <stp>SNA</stp>
        <tr r="D83" s="2"/>
      </tp>
      <tp>
        <v>35.24</v>
        <stp/>
        <stp>LAST</stp>
        <stp>SMR</stp>
        <tr r="D77" s="3"/>
      </tp>
      <tp>
        <v>10.57</v>
        <stp/>
        <stp>LAST</stp>
        <stp>SCS</stp>
        <tr r="D40" s="4"/>
      </tp>
      <tp>
        <v>1.05</v>
        <stp/>
        <stp>LAST</stp>
        <stp>SES</stp>
        <tr r="D75" s="4"/>
      </tp>
      <tp>
        <v>201.48099999999999</v>
        <stp/>
        <stp>LAST</stp>
        <stp>WSPOF</stp>
        <tr r="D52" s="2"/>
      </tp>
      <tp>
        <v>69.52</v>
        <stp/>
        <stp>LAST</stp>
        <stp>PSN</stp>
        <tr r="D142" s="3"/>
      </tp>
      <tp>
        <v>355.66</v>
        <stp/>
        <stp>LAST</stp>
        <stp>PWR</stp>
        <tr r="D50" s="2"/>
      </tp>
      <tp>
        <v>14.11</v>
        <stp/>
        <stp>LAST</stp>
        <stp>PKE</stp>
        <tr r="D7" s="4"/>
      </tp>
      <tp>
        <v>99.67</v>
        <stp/>
        <stp>LAST</stp>
        <stp>PNR</stp>
        <tr r="D94" s="2"/>
      </tp>
      <tp>
        <v>10.53</v>
        <stp/>
        <stp>LAST</stp>
        <stp>PBI</stp>
        <tr r="D41" s="4"/>
      </tp>
      <tp>
        <v>237.93</v>
        <stp/>
        <stp>LAST</stp>
        <stp>PAC</stp>
        <tr r="D135" s="2"/>
      </tp>
      <tp>
        <v>20.13</v>
        <stp/>
        <stp>LAST</stp>
        <stp>QXO</stp>
        <tr r="D177" s="3"/>
      </tp>
      <tp>
        <v>36.590000000000003</v>
        <stp/>
        <stp>LAST</stp>
        <stp>ZWS</stp>
        <tr r="D31" s="3"/>
      </tp>
      <tp>
        <v>17.8</v>
        <stp/>
        <stp>LAST</stp>
        <stp>ZTO</stp>
        <tr r="D26" s="2"/>
      </tp>
      <tp>
        <v>4.5999999999999996</v>
        <stp/>
        <stp>LAST</stp>
        <stp>ZJK</stp>
        <tr r="D124" s="4"/>
      </tp>
      <tp>
        <v>3.04</v>
        <stp/>
        <stp>LAST</stp>
        <stp>ZKH</stp>
        <tr r="D198" s="4"/>
      </tp>
      <tp>
        <v>17.38</v>
        <stp/>
        <stp>LAST</stp>
        <stp>ZIM</stp>
        <tr r="D127" s="3"/>
      </tp>
      <tp>
        <v>40.78</v>
        <stp/>
        <stp>LAST</stp>
        <stp>SPXSY</stp>
        <tr r="D109" s="3"/>
      </tp>
      <tp>
        <v>6.2824999999999998</v>
        <stp/>
        <stp>LAST</stp>
        <stp>CWXZF</stp>
        <tr r="D191" s="4"/>
      </tp>
      <tp>
        <v>58.883499999999998</v>
        <stp/>
        <stp>LAST</stp>
        <stp>NEXNY</stp>
        <tr r="D68" s="3"/>
      </tp>
      <tp>
        <v>127.63</v>
        <stp/>
        <stp>LAST</stp>
        <stp>XYL</stp>
        <tr r="D98" s="2"/>
      </tp>
      <tp>
        <v>119.54</v>
        <stp/>
        <stp>LAST</stp>
        <stp>XPO</stp>
        <tr r="D73" s="2"/>
      </tp>
      <tp>
        <v>11.3</v>
        <stp/>
        <stp>LAST</stp>
        <stp>NFYEF</stp>
        <tr r="D125" s="4"/>
      </tp>
      <tp>
        <v>12.36</v>
        <stp/>
        <stp>LAST</stp>
        <stp>YMM</stp>
        <tr r="D74" s="2"/>
      </tp>
      <tp>
        <v>42.02</v>
        <stp/>
        <stp>LAST</stp>
        <stp>EIFZF</stp>
        <tr r="D136" s="3"/>
      </tp>
      <tp>
        <v>12.8</v>
        <stp/>
        <stp>LAST</stp>
        <stp>BLFBY</stp>
        <tr r="D65" s="3"/>
      </tp>
      <tp>
        <v>100.46</v>
        <stp/>
        <stp>LAST</stp>
        <stp>FSS</stp>
        <tr r="D110" s="3"/>
      </tp>
      <tp>
        <v>73.209999999999994</v>
        <stp/>
        <stp>LAST</stp>
        <stp>FTV</stp>
        <tr r="D97" s="2"/>
      </tp>
      <tp>
        <v>6.44</v>
        <stp/>
        <stp>LAST</stp>
        <stp>FIP</stp>
        <tr r="D92" s="4"/>
      </tp>
      <tp>
        <v>501.33</v>
        <stp/>
        <stp>LAST</stp>
        <stp>FIX</stp>
        <tr r="D48" s="2"/>
      </tp>
      <tp>
        <v>45.14</v>
        <stp/>
        <stp>LAST</stp>
        <stp>FLR</stp>
        <tr r="D60" s="3"/>
      </tp>
      <tp>
        <v>48.17</v>
        <stp/>
        <stp>LAST</stp>
        <stp>FLS</stp>
        <tr r="D116" s="3"/>
      </tp>
      <tp>
        <v>160.05000000000001</v>
        <stp/>
        <stp>LAST</stp>
        <stp>FCN</stp>
        <tr r="D143" s="3"/>
      </tp>
      <tp>
        <v>222.18</v>
        <stp/>
        <stp>LAST</stp>
        <stp>FDX</stp>
        <tr r="D22" s="2"/>
      </tp>
      <tp>
        <v>10.99</v>
        <stp/>
        <stp>LAST</stp>
        <stp>FLGZY</stp>
        <tr r="D180" s="3"/>
      </tp>
      <tp>
        <v>28.81</v>
        <stp/>
        <stp>LAST</stp>
        <stp>AGGZF</stp>
        <tr r="D115" s="4"/>
      </tp>
      <tp>
        <v>14.252000000000001</v>
        <stp/>
        <stp>LAST</stp>
        <stp>AEGXF</stp>
        <tr r="D61" s="4"/>
      </tp>
      <tp>
        <v>185.11</v>
        <stp/>
        <stp>LAST</stp>
        <stp>KBGGY</stp>
        <tr r="D9" s="2"/>
      </tp>
      <tp>
        <v>55.32</v>
        <stp/>
        <stp>LAST</stp>
        <stp>HAGHY</stp>
        <tr r="D19" s="2"/>
      </tp>
      <tp>
        <v>42.77</v>
        <stp/>
        <stp>LAST</stp>
        <stp>GXO</stp>
        <tr r="D20" s="3"/>
      </tp>
      <tp>
        <v>37.159999999999997</v>
        <stp/>
        <stp>LAST</stp>
        <stp>GRC</stp>
        <tr r="D106" s="4"/>
      </tp>
      <tp>
        <v>25.65</v>
        <stp/>
        <stp>LAST</stp>
        <stp>GSL</stp>
        <tr r="D135" s="4"/>
      </tp>
      <tp>
        <v>90.79</v>
        <stp/>
        <stp>LAST</stp>
        <stp>GVA</stp>
        <tr r="D57" s="3"/>
      </tp>
      <tp>
        <v>1078.3599999999999</v>
        <stp/>
        <stp>LAST</stp>
        <stp>GWW</stp>
        <tr r="D126" s="2"/>
      </tp>
      <tp>
        <v>44.66</v>
        <stp/>
        <stp>LAST</stp>
        <stp>GHM</stp>
        <tr r="D111" s="4"/>
      </tp>
      <tp>
        <v>27.01</v>
        <stp/>
        <stp>LAST</stp>
        <stp>GIC</stp>
        <tr r="D190" s="4"/>
      </tp>
      <tp>
        <v>13.5</v>
        <stp/>
        <stp>LAST</stp>
        <stp>GNK</stp>
        <tr r="D137" s="4"/>
      </tp>
      <tp>
        <v>79.17</v>
        <stp/>
        <stp>LAST</stp>
        <stp>GMS</stp>
        <tr r="D166" s="3"/>
      </tp>
      <tp>
        <v>46.33</v>
        <stp/>
        <stp>LAST</stp>
        <stp>GBX</stp>
        <tr r="D132" s="4"/>
      </tp>
      <tp>
        <v>70.81</v>
        <stp/>
        <stp>LAST</stp>
        <stp>GFF</stp>
        <tr r="D22" s="3"/>
      </tp>
      <tp>
        <v>50.7</v>
        <stp/>
        <stp>LAST</stp>
        <stp>GFL</stp>
        <tr r="D45" s="2"/>
      </tp>
      <tp>
        <v>85.01</v>
        <stp/>
        <stp>LAST</stp>
        <stp>GGG</stp>
        <tr r="D101" s="2"/>
      </tp>
      <tp>
        <v>480</v>
        <stp/>
        <stp>LAST</stp>
        <stp>GEV</stp>
        <tr r="D58" s="2"/>
      </tp>
      <tp>
        <v>26.96</v>
        <stp/>
        <stp>LAST</stp>
        <stp>GEO</stp>
        <tr r="D45" s="3"/>
      </tp>
      <tp>
        <v>81.017499999999998</v>
        <stp/>
        <stp>LAST</stp>
        <stp>HMDPF</stp>
        <tr r="D70" s="4"/>
      </tp>
      <tp>
        <v>13.61</v>
        <stp/>
        <stp>LAST</stp>
        <stp>ACDVF</stp>
        <tr r="D133" s="3"/>
      </tp>
      <tp>
        <v>33</v>
        <stp/>
        <stp>LAST</stp>
        <stp>BADFF</stp>
        <tr r="D55" s="4"/>
      </tp>
      <tp>
        <v>146.47</v>
        <stp/>
        <stp>LAST</stp>
        <stp>BYDGF</stp>
        <tr r="D36" s="3"/>
      </tp>
      <tp>
        <v>5.01</v>
        <stp/>
        <stp>LAST</stp>
        <stp>DIDIY</stp>
        <tr r="D76" s="2"/>
      </tp>
      <tp>
        <v>9.02</v>
        <stp/>
        <stp>LAST</stp>
        <stp>DNB</stp>
        <tr r="D158" s="3"/>
      </tp>
      <tp>
        <v>180.73</v>
        <stp/>
        <stp>LAST</stp>
        <stp>DOV</stp>
        <tr r="D96" s="2"/>
      </tp>
      <tp>
        <v>15.35</v>
        <stp/>
        <stp>LAST</stp>
        <stp>DLX</stp>
        <tr r="D29" s="4"/>
      </tp>
      <tp>
        <v>73.900000000000006</v>
        <stp/>
        <stp>LAST</stp>
        <stp>DCO</stp>
        <tr r="D3" s="4"/>
      </tp>
      <tp>
        <v>70.55</v>
        <stp/>
        <stp>LAST</stp>
        <stp>DCI</stp>
        <tr r="D113" s="3"/>
      </tp>
      <tp>
        <v>59.16</v>
        <stp/>
        <stp>LAST</stp>
        <stp>DAY</stp>
        <tr r="D155" s="3"/>
      </tp>
      <tp>
        <v>86</v>
        <stp/>
        <stp>LAST</stp>
        <stp>DAC</stp>
        <tr r="D140" s="4"/>
      </tp>
      <tp>
        <v>51.2</v>
        <stp/>
        <stp>LAST</stp>
        <stp>DAL</stp>
        <tr r="D106" s="2"/>
      </tp>
      <tp>
        <v>23.34</v>
        <stp/>
        <stp>LAST</stp>
        <stp>ELEEF</stp>
        <tr r="D49" s="3"/>
      </tp>
      <tp>
        <v>48.37</v>
        <stp/>
        <stp>LAST</stp>
        <stp>ERJ</stp>
        <tr r="D8" s="3"/>
      </tp>
      <tp>
        <v>184.96</v>
        <stp/>
        <stp>LAST</stp>
        <stp>ESE</stp>
        <tr r="D103" s="3"/>
      </tp>
      <tp>
        <v>325.81</v>
        <stp/>
        <stp>LAST</stp>
        <stp>ETN</stp>
        <tr r="D60" s="2"/>
      </tp>
      <tp>
        <v>88.19</v>
        <stp/>
        <stp>LAST</stp>
        <stp>ENS</stp>
        <tr r="D74" s="3"/>
      </tp>
      <tp>
        <v>125.6</v>
        <stp/>
        <stp>LAST</stp>
        <stp>EMR</stp>
        <tr r="D61" s="2"/>
      </tp>
      <tp>
        <v>473.79</v>
        <stp/>
        <stp>LAST</stp>
        <stp>EME</stp>
        <tr r="D47" s="2"/>
      </tp>
      <tp>
        <v>18.649999999999999</v>
        <stp/>
        <stp>LAST</stp>
        <stp>EBF</stp>
        <tr r="D30" s="4"/>
      </tp>
      <tp>
        <v>61.03</v>
        <stp/>
        <stp>LAST</stp>
        <stp>ECG</stp>
        <tr r="D62" s="3"/>
      </tp>
      <tp>
        <v>1.3</v>
        <stp/>
        <stp>LAST</stp>
        <stp>EAF</stp>
        <tr r="D80" s="4"/>
      </tp>
      <tp>
        <v>268.52</v>
        <stp/>
        <stp>LAST</stp>
        <stp>EFX</stp>
        <tr r="D116" s="2"/>
      </tp>
      <tp>
        <v>57.5</v>
        <stp/>
        <stp>LAST</stp>
        <stp>ABBNY</stp>
        <tr r="D64" s="2"/>
      </tp>
      <tp>
        <v>69.23</v>
        <stp/>
        <stp>LAST</stp>
        <stp>BXC</stp>
        <tr r="D180" s="4"/>
      </tp>
      <tp>
        <v>70.03</v>
        <stp/>
        <stp>LAST</stp>
        <stp>BRC</stp>
        <tr r="D40" s="3"/>
      </tp>
      <tp>
        <v>24.91</v>
        <stp/>
        <stp>LAST</stp>
        <stp>BBU</stp>
        <tr r="D88" s="3"/>
      </tp>
      <tp>
        <v>88.65</v>
        <stp/>
        <stp>LAST</stp>
        <stp>BCC</stp>
        <tr r="D175" s="3"/>
      </tp>
      <tp>
        <v>84.07</v>
        <stp/>
        <stp>LAST</stp>
        <stp>BCO</stp>
        <tr r="D42" s="3"/>
      </tp>
      <tp>
        <v>101.9</v>
        <stp/>
        <stp>LAST</stp>
        <stp>BAH</stp>
        <tr r="D113" s="2"/>
      </tp>
      <tp>
        <v>5.5532000000000004</v>
        <stp/>
        <stp>LAST</stp>
        <stp>TCCPY</stp>
        <tr r="D154" s="3"/>
      </tp>
      <tp>
        <v>21.3</v>
        <stp/>
        <stp>LAST</stp>
        <stp>LFCBY</stp>
        <tr r="D79" s="2"/>
      </tp>
      <tp>
        <v>68.61</v>
        <stp/>
        <stp>LAST</stp>
        <stp>SNCAF</stp>
        <tr r="D56" s="2"/>
      </tp>
      <tp>
        <v>2.5499999999999998</v>
        <stp/>
        <stp>LAST</stp>
        <stp>ZDCAF</stp>
        <tr r="D195" s="4"/>
      </tp>
      <tp>
        <v>67.569999999999993</v>
        <stp/>
        <stp>LAST</stp>
        <stp>IMCDY</stp>
        <tr r="D173" s="3"/>
      </tp>
      <tp>
        <v>22.29</v>
        <stp/>
        <stp>LAST</stp>
        <stp>CXW</stp>
        <tr r="D44" s="3"/>
      </tp>
      <tp>
        <v>19.04</v>
        <stp/>
        <stp>LAST</stp>
        <stp>CYD</stp>
        <tr r="D119" s="4"/>
      </tp>
      <tp>
        <v>31.98</v>
        <stp/>
        <stp>LAST</stp>
        <stp>CSX</stp>
        <tr r="D72" s="2"/>
      </tp>
      <tp>
        <v>379.19</v>
        <stp/>
        <stp>LAST</stp>
        <stp>CSL</stp>
        <tr r="D28" s="2"/>
      </tp>
      <tp>
        <v>107.69</v>
        <stp/>
        <stp>LAST</stp>
        <stp>CPA</stp>
        <tr r="D131" s="3"/>
      </tp>
      <tp>
        <v>23.95</v>
        <stp/>
        <stp>LAST</stp>
        <stp>CIX</stp>
        <tr r="D36" s="4"/>
      </tp>
      <tp>
        <v>59.33</v>
        <stp/>
        <stp>LAST</stp>
        <stp>CNM</stp>
        <tr r="D129" s="2"/>
      </tp>
      <tp>
        <v>104.6</v>
        <stp/>
        <stp>LAST</stp>
        <stp>CNI</stp>
        <tr r="D70" s="2"/>
      </tp>
      <tp>
        <v>225.32</v>
        <stp/>
        <stp>LAST</stp>
        <stp>CLH</stp>
        <tr r="D37" s="2"/>
      </tp>
      <tp>
        <v>325.68</v>
        <stp/>
        <stp>LAST</stp>
        <stp>CMI</stp>
        <tr r="D105" s="2"/>
      </tp>
      <tp>
        <v>72.58</v>
        <stp/>
        <stp>LAST</stp>
        <stp>CBZ</stp>
        <tr r="D152" s="3"/>
      </tp>
      <tp>
        <v>358.07</v>
        <stp/>
        <stp>LAST</stp>
        <stp>CAT</stp>
        <tr r="D84" s="2"/>
      </tp>
      <tp>
        <v>126.1</v>
        <stp/>
        <stp>LAST</stp>
        <stp>CAR</stp>
        <tr r="D78" s="3"/>
      </tp>
      <tp>
        <v>27.25</v>
        <stp/>
        <stp>LAST</stp>
        <stp>CAE</stp>
        <tr r="D7" s="3"/>
      </tp>
      <tp>
        <v>57.6</v>
        <stp/>
        <stp>LAST</stp>
        <stp>RYAAY</stp>
        <tr r="D107" s="2"/>
      </tp>
      <tp>
        <v>3.4870000000000001</v>
        <stp/>
        <stp>LAST</stp>
        <stp>TGAFF</stp>
        <tr r="D192" s="4"/>
      </tp>
      <tp>
        <v>21.25</v>
        <stp/>
        <stp>LAST</stp>
        <stp>MDALF</stp>
        <tr r="D2" s="3"/>
      </tp>
      <tp>
        <v>92.85</v>
        <stp/>
        <stp>LAST</stp>
        <stp>AZZ</stp>
        <tr r="D24" s="3"/>
      </tp>
      <tp>
        <v>269.72000000000003</v>
        <stp/>
        <stp>LAST</stp>
        <stp>AYI</stp>
        <tr r="D67" s="3"/>
      </tp>
      <tp>
        <v>318.89999999999998</v>
        <stp/>
        <stp>LAST</stp>
        <stp>ASR</stp>
        <tr r="D182" s="3"/>
      </tp>
      <tp>
        <v>47.69</v>
        <stp/>
        <stp>LAST</stp>
        <stp>APG</stp>
        <tr r="D55" s="2"/>
      </tp>
      <tp>
        <v>154.53</v>
        <stp/>
        <stp>LAST</stp>
        <stp>AWI</stp>
        <tr r="D25" s="3"/>
      </tp>
      <tp>
        <v>30.52</v>
        <stp/>
        <stp>LAST</stp>
        <stp>ATS</stp>
        <tr r="D126" s="3"/>
      </tp>
      <tp>
        <v>84.58</v>
        <stp/>
        <stp>LAST</stp>
        <stp>ATI</stp>
        <tr r="D18" s="2"/>
      </tp>
      <tp>
        <v>233.17</v>
        <stp/>
        <stp>LAST</stp>
        <stp>AIT</stp>
        <tr r="D164" s="3"/>
      </tp>
      <tp>
        <v>67.349999999999994</v>
        <stp/>
        <stp>LAST</stp>
        <stp>AIR</stp>
        <tr r="D14" s="3"/>
      </tp>
      <tp>
        <v>68.16</v>
        <stp/>
        <stp>LAST</stp>
        <stp>AIN</stp>
        <tr r="D97" s="4"/>
      </tp>
      <tp>
        <v>64.83</v>
        <stp/>
        <stp>LAST</stp>
        <stp>AOS</stp>
        <tr r="D28" s="3"/>
      </tp>
      <tp>
        <v>209.28</v>
        <stp/>
        <stp>LAST</stp>
        <stp>ALG</stp>
        <tr r="D91" s="3"/>
      </tp>
      <tp>
        <v>51.73</v>
        <stp/>
        <stp>LAST</stp>
        <stp>ALK</stp>
        <tr r="D134" s="3"/>
      </tp>
      <tp>
        <v>48.25</v>
        <stp/>
        <stp>LAST</stp>
        <stp>ABM</stp>
        <tr r="D46" s="3"/>
      </tp>
      <tp>
        <v>89.94</v>
        <stp/>
        <stp>LAST</stp>
        <stp>ACA</stp>
        <tr r="D59" s="3"/>
      </tp>
      <tp>
        <v>110.93</v>
        <stp/>
        <stp>LAST</stp>
        <stp>ACM</stp>
        <tr r="D53" s="2"/>
      </tp>
      <tp>
        <v>11.76</v>
        <stp/>
        <stp>LAST</stp>
        <stp>AAL</stp>
        <tr r="D132" s="3"/>
      </tp>
      <tp>
        <v>217.97</v>
        <stp/>
        <stp>LAST</stp>
        <stp>AGX</stp>
        <tr r="D54" s="3"/>
      </tp>
      <tp>
        <v>318.57</v>
        <stp/>
        <stp>LAST</stp>
        <stp>ADP</stp>
        <tr r="D110" s="2"/>
      </tp>
      <tp>
        <v>115.95</v>
        <stp/>
        <stp>LAST</stp>
        <stp>AER</stp>
        <tr r="D134" s="2"/>
      </tp>
      <tp>
        <v>30.93</v>
        <stp/>
        <stp>LAST</stp>
        <stp>CLNFF</stp>
        <tr r="D31" s="4"/>
      </tp>
      <tp>
        <v>38.735999999999997</v>
        <stp/>
        <stp>LAST</stp>
        <stp>FINGF</stp>
        <tr r="D167" s="3"/>
      </tp>
      <tp>
        <v>59.02</v>
        <stp/>
        <stp>LAST</stp>
        <stp>NXT</stp>
        <tr r="D72" s="3"/>
      </tp>
      <tp>
        <v>62.81</v>
        <stp/>
        <stp>LAST</stp>
        <stp>NSP</stp>
        <tr r="D161" s="3"/>
      </tp>
      <tp>
        <v>250.57</v>
        <stp/>
        <stp>LAST</stp>
        <stp>NSC</stp>
        <tr r="D66" s="2"/>
      </tp>
      <tp>
        <v>191.32</v>
        <stp/>
        <stp>LAST</stp>
        <stp>NPO</stp>
        <tr r="D97" s="3"/>
      </tp>
      <tp>
        <v>94.94</v>
        <stp/>
        <stp>LAST</stp>
        <stp>NPK</stp>
        <tr r="D16" s="4"/>
      </tp>
      <tp>
        <v>68.319999999999993</v>
        <stp/>
        <stp>LAST</stp>
        <stp>NVT</stp>
        <tr r="D63" s="2"/>
      </tp>
      <tp>
        <v>31.15</v>
        <stp/>
        <stp>LAST</stp>
        <stp>NNE</stp>
        <tr r="D82" s="4"/>
      </tp>
      <tp>
        <v>491.36</v>
        <stp/>
        <stp>LAST</stp>
        <stp>NOC</stp>
        <tr r="D7" s="2"/>
      </tp>
      <tp>
        <v>38.99</v>
        <stp/>
        <stp>LAST</stp>
        <stp>NMM</stp>
        <tr r="D144" s="4"/>
      </tp>
      <tp>
        <v>8.9</v>
        <stp/>
        <stp>LAST</stp>
        <stp>ORN</stp>
        <tr r="D59" s="4"/>
      </tp>
      <tp>
        <v>110.69</v>
        <stp/>
        <stp>LAST</stp>
        <stp>OSK</stp>
        <tr r="D108" s="3"/>
      </tp>
      <tp>
        <v>27.425000000000001</v>
        <stp/>
        <stp>LAST</stp>
        <stp>VOLVF</stp>
        <tr r="D103" s="2"/>
      </tp>
      <tp>
        <v>12.06</v>
        <stp/>
        <stp>LAST</stp>
        <stp>KELYA</stp>
        <tr r="D163" s="4"/>
      </tp>
      <tp>
        <v>11.440099999999999</v>
        <stp/>
        <stp>LAST</stp>
        <stp>KELYB</stp>
        <tr r="D164" s="4"/>
      </tp>
      <tp>
        <v>29.78</v>
        <stp/>
        <stp>LAST</stp>
        <stp>VOLAF</stp>
        <tr r="D102" s="2"/>
      </tp>
      <tp>
        <v>10.31</v>
        <stp/>
        <stp>LAST</stp>
        <stp>MLLGF</stp>
        <tr r="D87" s="4"/>
      </tp>
      <tp>
        <v>12.71</v>
        <stp/>
        <stp>LAST</stp>
        <stp>MALJF</stp>
        <tr r="D6" s="4"/>
      </tp>
      <tp>
        <v>0.2001</v>
        <stp/>
        <stp>LAST</stp>
        <stp>GOLLQ</stp>
        <tr r="D149" s="4"/>
      </tp>
      <tp>
        <v>38.729999999999997</v>
        <stp/>
        <stp>LAST</stp>
        <stp>LTM</stp>
        <tr r="D108" s="2"/>
      </tp>
      <tp>
        <v>33.57</v>
        <stp/>
        <stp>LAST</stp>
        <stp>LUV</stp>
        <tr r="D109" s="2"/>
      </tp>
      <tp>
        <v>245.41</v>
        <stp/>
        <stp>LAST</stp>
        <stp>LHX</stp>
        <tr r="D8" s="2"/>
      </tp>
      <tp>
        <v>556.09</v>
        <stp/>
        <stp>LAST</stp>
        <stp>LII</stp>
        <tr r="D27" s="2"/>
      </tp>
      <tp>
        <v>137.22</v>
        <stp/>
        <stp>LAST</stp>
        <stp>LNN</stp>
        <tr r="D96" s="4"/>
      </tp>
      <tp>
        <v>480.83</v>
        <stp/>
        <stp>LAST</stp>
        <stp>LMT</stp>
        <tr r="D3" s="2"/>
      </tp>
      <tp>
        <v>137.46</v>
        <stp/>
        <stp>LAST</stp>
        <stp>LMB</stp>
        <tr r="D53" s="4"/>
      </tp>
      <tp>
        <v>32.799999999999997</v>
        <stp/>
        <stp>LAST</stp>
        <stp>VLMTY</stp>
        <tr r="D123" s="3"/>
      </tp>
      <tp>
        <v>252.64</v>
        <stp/>
        <stp>LAST</stp>
        <stp>DPMAY</stp>
        <tr r="D176" s="3"/>
      </tp>
      <tp>
        <v>12.85</v>
        <stp/>
        <stp>LAST</stp>
        <stp>MRC</stp>
        <tr r="D185" s="4"/>
      </tp>
      <tp>
        <v>166.09</v>
        <stp/>
        <stp>LAST</stp>
        <stp>MSA</stp>
        <tr r="D38" s="3"/>
      </tp>
      <tp>
        <v>81.680000000000007</v>
        <stp/>
        <stp>LAST</stp>
        <stp>MSM</stp>
        <tr r="D171" s="3"/>
      </tp>
      <tp>
        <v>24.59</v>
        <stp/>
        <stp>LAST</stp>
        <stp>MWA</stp>
        <tr r="D119" s="3"/>
      </tp>
      <tp>
        <v>11.26</v>
        <stp/>
        <stp>LAST</stp>
        <stp>MTW</stp>
        <tr r="D117" s="4"/>
      </tp>
      <tp>
        <v>162.32</v>
        <stp/>
        <stp>LAST</stp>
        <stp>MTZ</stp>
        <tr r="D49" s="2"/>
      </tp>
      <tp>
        <v>45.79</v>
        <stp/>
        <stp>LAST</stp>
        <stp>MLR</stp>
        <tr r="D130" s="4"/>
      </tp>
      <tp>
        <v>77.44</v>
        <stp/>
        <stp>LAST</stp>
        <stp>MLI</stp>
        <tr r="D106" s="3"/>
      </tp>
      <tp>
        <v>71.14</v>
        <stp/>
        <stp>LAST</stp>
        <stp>MMS</stp>
        <tr r="D145" s="3"/>
      </tp>
      <tp>
        <v>144.22999999999999</v>
        <stp/>
        <stp>LAST</stp>
        <stp>MMM</stp>
        <tr r="D80" s="2"/>
      </tp>
      <tp>
        <v>10.6</v>
        <stp/>
        <stp>LAST</stp>
        <stp>MBC</stp>
        <tr r="D24" s="4"/>
      </tp>
      <tp>
        <v>63.72</v>
        <stp/>
        <stp>LAST</stp>
        <stp>MAS</stp>
        <tr r="D34" s="2"/>
      </tp>
      <tp>
        <v>40.76</v>
        <stp/>
        <stp>LAST</stp>
        <stp>MAN</stp>
        <tr r="D173" s="4"/>
      </tp>
      <tp>
        <v>22.12</v>
        <stp/>
        <stp>LAST</stp>
        <stp>MEG</stp>
        <tr r="D44" s="4"/>
      </tp>
      <tp>
        <v>14.91</v>
        <stp/>
        <stp>LAST</stp>
        <stp>MEC</stp>
        <tr r="D98" s="4"/>
      </tp>
      <tp>
        <v>70.7</v>
        <stp/>
        <stp>LAST</stp>
        <stp>CGJTF</stp>
        <tr r="D19" s="4"/>
      </tp>
      <tp>
        <v>8.49</v>
        <stp/>
        <stp>LAST</stp>
        <stp>JBI</stp>
        <tr r="D25" s="4"/>
      </tp>
      <tp>
        <v>103.54</v>
        <stp/>
        <stp>LAST</stp>
        <stp>JCI</stp>
        <tr r="D33" s="2"/>
      </tp>
      <tp>
        <v>13.07</v>
        <stp/>
        <stp>LAST</stp>
        <stp>DFKCY</stp>
        <tr r="D114" s="3"/>
      </tp>
      <tp>
        <v>31.32</v>
        <stp/>
        <stp>LAST</stp>
        <stp>KRT</stp>
        <tr r="D188" s="4"/>
      </tp>
      <tp>
        <v>44.36</v>
        <stp/>
        <stp>LAST</stp>
        <stp>KNX</stp>
        <tr r="D84" s="3"/>
      </tp>
      <tp>
        <v>22.17</v>
        <stp/>
        <stp>LAST</stp>
        <stp>KMT</stp>
        <tr r="D109" s="4"/>
      </tp>
      <tp>
        <v>52.85</v>
        <stp/>
        <stp>LAST</stp>
        <stp>KBR</stp>
        <tr r="D148" s="3"/>
      </tp>
      <tp>
        <v>23.8</v>
        <stp/>
        <stp>LAST</stp>
        <stp>KAR</stp>
        <tr r="D41" s="3"/>
      </tp>
      <tp>
        <v>333.06</v>
        <stp/>
        <stp>LAST</stp>
        <stp>KAI</stp>
        <tr r="D92" s="3"/>
      </tp>
      <tp>
        <v>69.790000000000006</v>
        <stp/>
        <stp>LAST</stp>
        <stp>KFY</stp>
        <tr r="D141" s="3"/>
      </tp>
      <tp>
        <v>112.33</v>
        <stp/>
        <stp>LAST</stp>
        <stp>KEX</stp>
        <tr r="D129" s="3"/>
      </tp>
      <tp>
        <v>9.8949999999999996</v>
        <stp/>
        <stp>LAST</stp>
        <stp>TYHOY</stp>
        <tr r="D131" s="2"/>
      </tp>
      <tp>
        <v>57.32</v>
        <stp/>
        <stp>LAST</stp>
        <stp>HXL</stp>
        <tr r="D6" s="3"/>
      </tp>
      <tp>
        <v>121.42</v>
        <stp/>
        <stp>LAST</stp>
        <stp>HRI</stp>
        <tr r="D165" s="3"/>
      </tp>
      <tp>
        <v>172.87</v>
        <stp/>
        <stp>LAST</stp>
        <stp>HWM</stp>
        <tr r="D17" s="2"/>
      </tp>
      <tp>
        <v>6.31</v>
        <stp/>
        <stp>LAST</stp>
        <stp>HTZ</stp>
        <tr r="D86" s="3"/>
      </tp>
      <tp>
        <v>228.07</v>
        <stp/>
        <stp>LAST</stp>
        <stp>HII</stp>
        <tr r="D17" s="3"/>
      </tp>
      <tp>
        <v>47.94</v>
        <stp/>
        <stp>LAST</stp>
        <stp>HNI</stp>
        <tr r="D39" s="3"/>
      </tp>
      <tp>
        <v>227.13</v>
        <stp/>
        <stp>LAST</stp>
        <stp>HON</stp>
        <tr r="D78" s="2"/>
      </tp>
      <tp>
        <v>303.72000000000003</v>
        <stp/>
        <stp>LAST</stp>
        <stp>HEI</stp>
        <tr r="D10" s="2"/>
      </tp>
      <tp>
        <v>6.32</v>
        <stp/>
        <stp>LAST</stp>
        <stp>EKIVY</stp>
        <tr r="D66" s="3"/>
      </tp>
      <tp>
        <v>27.75</v>
        <stp/>
        <stp>LAST</stp>
        <stp>IMIUY</stp>
        <tr r="D117" s="3"/>
      </tp>
      <tp>
        <v>19.548500000000001</v>
        <stp/>
        <stp>LAST</stp>
        <stp>HDIUF</stp>
        <tr r="D181" s="4"/>
      </tp>
      <tp>
        <v>6.85</v>
        <stp/>
        <stp>LAST</stp>
        <stp>BDIMF</stp>
        <tr r="D45" s="4"/>
      </tp>
      <tp>
        <v>247.28</v>
        <stp/>
        <stp>LAST</stp>
        <stp>ITW</stp>
        <tr r="D86" s="2"/>
      </tp>
      <tp>
        <v>151.96</v>
        <stp/>
        <stp>LAST</stp>
        <stp>ITT</stp>
        <tr r="D92" s="2"/>
      </tp>
      <tp>
        <v>8.39</v>
        <stp/>
        <stp>LAST</stp>
        <stp>IEP</stp>
        <tr r="D89" s="3"/>
      </tp>
      <tp>
        <v>183.23</v>
        <stp/>
        <stp>LAST</stp>
        <stp>IEX</stp>
        <tr r="D91" s="2"/>
      </tp>
      <tp>
        <v>54.05</v>
        <stp/>
        <stp>LAST</stp>
        <stp>AZEK</stp>
        <tr r="D32" s="3"/>
      </tp>
      <tp>
        <v>80.599999999999994</v>
        <stp/>
        <stp>LAST</stp>
        <stp>DXPE</stp>
        <tr r="D186" s="4"/>
      </tp>
      <tp>
        <v>113</v>
        <stp/>
        <stp>LAST</stp>
        <stp>EXPD</stp>
        <tr r="D24" s="2"/>
      </tp>
      <tp>
        <v>77.39</v>
        <stp/>
        <stp>LAST</stp>
        <stp>EXPO</stp>
        <tr r="D150" s="3"/>
      </tp>
      <tp>
        <v>12.18</v>
        <stp/>
        <stp>LAST</stp>
        <stp>LXFR</stp>
        <tr r="D114" s="4"/>
      </tp>
      <tp>
        <v>783.8</v>
        <stp/>
        <stp>LAST</stp>
        <stp>AXON</stp>
        <tr r="D12" s="2"/>
      </tp>
      <tp>
        <v>47.66</v>
        <stp/>
        <stp>LAST</stp>
        <stp>EXLS</stp>
        <tr r="D153" s="3"/>
      </tp>
      <tp>
        <v>16.350000000000001</v>
        <stp/>
        <stp>LAST</stp>
        <stp>LYTS</stp>
        <tr r="D68" s="4"/>
      </tp>
      <tp>
        <v>166.2</v>
        <stp/>
        <stp>LAST</stp>
        <stp>MYRG</stp>
        <tr r="D58" s="3"/>
      </tp>
      <tp>
        <v>29.61</v>
        <stp/>
        <stp>LAST</stp>
        <stp>BYRN</stp>
        <tr r="D8" s="4"/>
      </tp>
      <tp>
        <v>15.63</v>
        <stp/>
        <stp>LAST</stp>
        <stp>LYFT</stp>
        <tr r="D82" s="3"/>
      </tp>
      <tp>
        <v>1.61</v>
        <stp/>
        <stp>LAST</stp>
        <stp>HYLN</stp>
        <tr r="D79" s="4"/>
      </tp>
      <tp>
        <v>18.23</v>
        <stp/>
        <stp>LAST</stp>
        <stp>DRVN</stp>
        <tr r="D50" s="3"/>
      </tp>
      <tp>
        <v>13.16</v>
        <stp/>
        <stp>LAST</stp>
        <stp>MRTN</stp>
        <tr r="D90" s="4"/>
      </tp>
      <tp>
        <v>7.49</v>
        <stp/>
        <stp>LAST</stp>
        <stp>ARRY</stp>
        <tr r="D72" s="4"/>
      </tp>
      <tp>
        <v>24.14</v>
        <stp/>
        <stp>LAST</stp>
        <stp>VRRM</stp>
        <tr r="D157" s="3"/>
      </tp>
      <tp>
        <v>29.21</v>
        <stp/>
        <stp>LAST</stp>
        <stp>PRSU</stp>
        <tr r="D49" s="4"/>
      </tp>
      <tp>
        <v>313.27</v>
        <stp/>
        <stp>LAST</stp>
        <stp>VRSK</stp>
        <tr r="D114" s="2"/>
      </tp>
      <tp>
        <v>57.08</v>
        <stp/>
        <stp>LAST</stp>
        <stp>TREX</stp>
        <tr r="D34" s="3"/>
      </tp>
      <tp>
        <v>53.87</v>
        <stp/>
        <stp>LAST</stp>
        <stp>MRCY</stp>
        <tr r="D5" s="3"/>
      </tp>
      <tp>
        <v>67.27</v>
        <stp/>
        <stp>LAST</stp>
        <stp>ARCB</stp>
        <tr r="D86" s="4"/>
      </tp>
      <tp>
        <v>4.9800000000000004</v>
        <stp/>
        <stp>LAST</stp>
        <stp>GRAB</stp>
        <tr r="D75" s="2"/>
      </tp>
      <tp>
        <v>188.77</v>
        <stp/>
        <stp>LAST</stp>
        <stp>CRAI</stp>
        <tr r="D162" s="4"/>
      </tp>
      <tp>
        <v>76.680000000000007</v>
        <stp/>
        <stp>LAST</stp>
        <stp>TRNS</stp>
        <tr r="D182" s="4"/>
      </tp>
      <tp>
        <v>22.75</v>
        <stp/>
        <stp>LAST</stp>
        <stp>KRNT</stp>
        <tr r="D120" s="4"/>
      </tp>
      <tp>
        <v>39.200000000000003</v>
        <stp/>
        <stp>LAST</stp>
        <stp>PRLB</stp>
        <tr r="D104" s="4"/>
      </tp>
      <tp>
        <v>46.68</v>
        <stp/>
        <stp>LAST</stp>
        <stp>KRMN</stp>
        <tr r="D12" s="3"/>
      </tp>
      <tp>
        <v>12.72</v>
        <stp/>
        <stp>LAST</stp>
        <stp>ERII</stp>
        <tr r="D122" s="4"/>
      </tp>
      <tp>
        <v>73.83</v>
        <stp/>
        <stp>LAST</stp>
        <stp>PRIM</stp>
        <tr r="D56" s="3"/>
      </tp>
      <tp>
        <v>305.10000000000002</v>
        <stp/>
        <stp>LAST</stp>
        <stp>CSWI</stp>
        <tr r="D21" s="3"/>
      </tp>
      <tp>
        <v>6.38</v>
        <stp/>
        <stp>LAST</stp>
        <stp>VSTS</stp>
        <tr r="D32" s="4"/>
      </tp>
      <tp>
        <v>140.22</v>
        <stp/>
        <stp>LAST</stp>
        <stp>LSTR</stp>
        <tr r="D81" s="3"/>
      </tp>
      <tp>
        <v>40.65</v>
        <stp/>
        <stp>LAST</stp>
        <stp>ASTE</stp>
        <tr r="D102" s="4"/>
      </tp>
      <tp>
        <v>9.8800000000000008</v>
        <stp/>
        <stp>LAST</stp>
        <stp>ASUR</stp>
        <tr r="D176" s="4"/>
      </tp>
      <tp>
        <v>10.66</v>
        <stp/>
        <stp>LAST</stp>
        <stp>SSYS</stp>
        <tr r="D127" s="4"/>
      </tp>
      <tp>
        <v>64.599999999999994</v>
        <stp/>
        <stp>LAST</stp>
        <stp>CSGS</stp>
        <tr r="D156" s="4"/>
      </tp>
      <tp>
        <v>27.57</v>
        <stp/>
        <stp>LAST</stp>
        <stp>DSGR</stp>
        <tr r="D193" s="4"/>
      </tp>
      <tp>
        <v>133.28</v>
        <stp/>
        <stp>LAST</stp>
        <stp>VSEC</stp>
        <tr r="D51" s="3"/>
      </tp>
      <tp>
        <v>41.19</v>
        <stp/>
        <stp>LAST</stp>
        <stp>ESEA</stp>
        <tr r="D142" s="4"/>
      </tp>
      <tp>
        <v>127.5</v>
        <stp/>
        <stp>LAST</stp>
        <stp>ESAB</stp>
        <tr r="D102" s="3"/>
      </tp>
      <tp>
        <v>81.22</v>
        <stp/>
        <stp>LAST</stp>
        <stp>SSNC</stp>
        <tr r="D118" s="2"/>
      </tp>
      <tp>
        <v>415.03</v>
        <stp/>
        <stp>LAST</stp>
        <stp>ESLT</stp>
        <tr r="D5" s="2"/>
      </tp>
      <tp>
        <v>5.92</v>
        <stp/>
        <stp>LAST</stp>
        <stp>ASLE</stp>
        <tr r="D12" s="4"/>
      </tp>
      <tp>
        <v>6.33</v>
        <stp/>
        <stp>LAST</stp>
        <stp>HSHP</stp>
        <tr r="D141" s="4"/>
      </tp>
      <tp>
        <v>47.9</v>
        <stp/>
        <stp>LAST</stp>
        <stp>PSIX</stp>
        <tr r="D66" s="4"/>
      </tp>
      <tp>
        <v>44.3</v>
        <stp/>
        <stp>LAST</stp>
        <stp>HSII</stp>
        <tr r="D157" s="4"/>
      </tp>
      <tp>
        <v>15.48</v>
        <stp/>
        <stp>LAST</stp>
        <stp>UPWK</stp>
        <tr r="D156" s="3"/>
      </tp>
      <tp>
        <v>50.15</v>
        <stp/>
        <stp>LAST</stp>
        <stp>CPRT</stp>
        <tr r="D44" s="2"/>
      </tp>
      <tp>
        <v>160</v>
        <stp/>
        <stp>LAST</stp>
        <stp>SPXC</stp>
        <tr r="D100" s="3"/>
      </tp>
      <tp>
        <v>43.45</v>
        <stp/>
        <stp>LAST</stp>
        <stp>EPAC</stp>
        <tr r="D118" s="3"/>
      </tp>
      <tp>
        <v>39.86</v>
        <stp/>
        <stp>LAST</stp>
        <stp>APOG</stp>
        <tr r="D21" s="4"/>
      </tp>
      <tp>
        <v>39.671500000000002</v>
        <stp/>
        <stp>LAST</stp>
        <stp>SPLP</stp>
        <tr r="D95" s="4"/>
      </tp>
      <tp>
        <v>12.32</v>
        <stp/>
        <stp>LAST</stp>
        <stp>SPIR</stp>
        <tr r="D179" s="4"/>
      </tp>
      <tp>
        <v>24.78</v>
        <stp/>
        <stp>LAST</stp>
        <stp>LQDT</stp>
        <tr r="D37" s="4"/>
      </tp>
      <tp>
        <v>6.2</v>
        <stp/>
        <stp>LAST</stp>
        <stp>EVTL</stp>
        <tr r="D15" s="4"/>
      </tp>
      <tp>
        <v>32.18</v>
        <stp/>
        <stp>LAST</stp>
        <stp>FVRR</stp>
        <tr r="D161" s="4"/>
      </tp>
      <tp>
        <v>8.5</v>
        <stp/>
        <stp>LAST</stp>
        <stp>NVRI</stp>
        <tr r="D47" s="4"/>
      </tp>
      <tp>
        <v>2.5249999999999999</v>
        <stp/>
        <stp>LAST</stp>
        <stp>LVRO</stp>
        <tr r="D194" s="4"/>
      </tp>
      <tp>
        <v>4.08</v>
        <stp/>
        <stp>LAST</stp>
        <stp>MVST</stp>
        <tr r="D126" s="4"/>
      </tp>
      <tp>
        <v>5.65</v>
        <stp/>
        <stp>LAST</stp>
        <stp>EVEX</stp>
        <tr r="D10" s="4"/>
      </tp>
      <tp>
        <v>22.53</v>
        <stp/>
        <stp>LAST</stp>
        <stp>NVEE</stp>
        <tr r="D168" s="4"/>
      </tp>
      <tp>
        <v>23.24</v>
        <stp/>
        <stp>LAST</stp>
        <stp>CVEO</stp>
        <tr r="D28" s="4"/>
      </tp>
      <tp>
        <v>195.72</v>
        <stp/>
        <stp>LAST</stp>
        <stp>AVAV</stp>
        <tr r="D16" s="3"/>
      </tp>
      <tp>
        <v>22.89</v>
        <stp/>
        <stp>LAST</stp>
        <stp>CVLG</stp>
        <tr r="D89" s="4"/>
      </tp>
      <tp>
        <v>19.53</v>
        <stp/>
        <stp>LAST</stp>
        <stp>FWRD</stp>
        <tr r="D18" s="4"/>
      </tp>
      <tp>
        <v>116.97</v>
        <stp/>
        <stp>LAST</stp>
        <stp>CWST</stp>
        <tr r="D43" s="3"/>
      </tp>
      <tp>
        <v>39.5</v>
        <stp/>
        <stp>LAST</stp>
        <stp>NWPX</stp>
        <tr r="D51" s="4"/>
      </tp>
      <tp>
        <v>132.62</v>
        <stp/>
        <stp>LAST</stp>
        <stp>BWXT</stp>
        <tr r="D15" s="2"/>
      </tp>
      <tp>
        <v>27.22</v>
        <stp/>
        <stp>LAST</stp>
        <stp>BWMN</stp>
        <tr r="D54" s="4"/>
      </tp>
      <tp>
        <v>12.5</v>
        <stp/>
        <stp>LAST</stp>
        <stp>MTRX</stp>
        <tr r="D52" s="4"/>
      </tp>
      <tp>
        <v>22.64</v>
        <stp/>
        <stp>LAST</stp>
        <stp>CTRI</stp>
        <tr r="D56" s="4"/>
      </tp>
      <tp>
        <v>33.200000000000003</v>
        <stp/>
        <stp>LAST</stp>
        <stp>ATRO</stp>
        <tr r="D4" s="4"/>
      </tp>
      <tp>
        <v>202.91</v>
        <stp/>
        <stp>LAST</stp>
        <stp>STRL</stp>
        <tr r="D53" s="3"/>
      </tp>
      <tp>
        <v>21.96</v>
        <stp/>
        <stp>LAST</stp>
        <stp>GTES</stp>
        <tr r="D120" s="3"/>
      </tp>
      <tp>
        <v>35.270000000000003</v>
        <stp/>
        <stp>LAST</stp>
        <stp>TTEK</stp>
        <tr r="D47" s="3"/>
      </tp>
      <tp>
        <v>224.6</v>
        <stp/>
        <stp>LAST</stp>
        <stp>CTAS</stp>
        <tr r="D40" s="2"/>
      </tp>
      <tp>
        <v>124.73</v>
        <stp/>
        <stp>LAST</stp>
        <stp>FTAI</stp>
        <tr r="D133" s="2"/>
      </tp>
      <tp>
        <v>4.6399999999999997</v>
        <stp/>
        <stp>LAST</stp>
        <stp>CTOS</stp>
        <tr r="D196" s="4"/>
      </tp>
      <tp>
        <v>40.590000000000003</v>
        <stp/>
        <stp>LAST</stp>
        <stp>KTOS</stp>
        <tr r="D13" s="3"/>
      </tp>
      <tp>
        <v>150</v>
        <stp/>
        <stp>LAST</stp>
        <stp>GTLS</stp>
        <tr r="D95" s="3"/>
      </tp>
      <tp>
        <v>8.7899999999999991</v>
        <stp/>
        <stp>LAST</stp>
        <stp>HTLD</stp>
        <tr r="D88" s="4"/>
      </tp>
      <tp>
        <v>36.58</v>
        <stp/>
        <stp>LAST</stp>
        <stp>ATMU</stp>
        <tr r="D121" s="3"/>
      </tp>
      <tp>
        <v>69.540000000000006</v>
        <stp/>
        <stp>LAST</stp>
        <stp>ATKR</stp>
        <tr r="D69" s="3"/>
      </tp>
      <tp>
        <v>95.32</v>
        <stp/>
        <stp>LAST</stp>
        <stp>OTIS</stp>
        <tr r="D99" s="2"/>
      </tp>
      <tp>
        <v>140.02000000000001</v>
        <stp/>
        <stp>LAST</stp>
        <stp>HURN</stp>
        <tr r="D138" s="3"/>
      </tp>
      <tp>
        <v>392.34</v>
        <stp/>
        <stp>LAST</stp>
        <stp>HUBB</stp>
        <tr r="D57" s="2"/>
      </tp>
      <tp>
        <v>33.83</v>
        <stp/>
        <stp>LAST</stp>
        <stp>HUBG</stp>
        <tr r="D19" s="3"/>
      </tp>
      <tp>
        <v>5.52</v>
        <stp/>
        <stp>LAST</stp>
        <stp>QUAD</stp>
        <tr r="D43" s="4"/>
      </tp>
      <tp>
        <v>12.72</v>
        <stp/>
        <stp>LAST</stp>
        <stp>BKSY</stp>
        <tr r="D178" s="4"/>
      </tp>
      <tp>
        <v>102.95</v>
        <stp/>
        <stp>LAST</stp>
        <stp>SKYW</stp>
        <tr r="D130" s="3"/>
      </tp>
      <tp>
        <v>10.31</v>
        <stp/>
        <stp>LAST</stp>
        <stp>SKYH</stp>
        <tr r="D201" s="4"/>
      </tp>
      <tp>
        <v>17.7</v>
        <stp/>
        <stp>LAST</stp>
        <stp>PKOH</stp>
        <tr r="D133" s="4"/>
      </tp>
      <tp>
        <v>29.64</v>
        <stp/>
        <stp>LAST</stp>
        <stp>RKLB</stp>
        <tr r="D20" s="2"/>
      </tp>
      <tp>
        <v>95.74</v>
        <stp/>
        <stp>LAST</stp>
        <stp>CHRW</stp>
        <tr r="D25" s="2"/>
      </tp>
      <tp>
        <v>0.78400000000000003</v>
        <stp/>
        <stp>LAST</stp>
        <stp>CHPT</stp>
        <tr r="D78" s="4"/>
      </tp>
      <tp>
        <v>63.52</v>
        <stp/>
        <stp>LAST</stp>
        <stp>UHAL</stp>
        <tr r="D77" s="2"/>
      </tp>
      <tp>
        <v>5.0999999999999996</v>
        <stp/>
        <stp>LAST</stp>
        <stp>SHLS</stp>
        <tr r="D73" s="4"/>
      </tp>
      <tp>
        <v>38.409999999999997</v>
        <stp/>
        <stp>LAST</stp>
        <stp>RHLD</stp>
        <tr r="D154" s="4"/>
      </tp>
      <tp>
        <v>124.29</v>
        <stp/>
        <stp>LAST</stp>
        <stp>SITE</stp>
        <tr r="D174" s="3"/>
      </tp>
      <tp>
        <v>19.61</v>
        <stp/>
        <stp>LAST</stp>
        <stp>TITN</stp>
        <tr r="D184" s="4"/>
      </tp>
      <tp>
        <v>2.84</v>
        <stp/>
        <stp>LAST</stp>
        <stp>TIXT</stp>
        <tr r="D165" s="4"/>
      </tp>
      <tp>
        <v>149.97</v>
        <stp/>
        <stp>LAST</stp>
        <stp>MIDD</stp>
        <tr r="D93" s="3"/>
      </tp>
      <tp>
        <v>45.84</v>
        <stp/>
        <stp>LAST</stp>
        <stp>VICR</stp>
        <tr r="D69" s="4"/>
      </tp>
      <tp>
        <v>20.85</v>
        <stp/>
        <stp>LAST</stp>
        <stp>TILE</stp>
        <tr r="D33" s="4"/>
      </tp>
      <tp>
        <v>36.31</v>
        <stp/>
        <stp>LAST</stp>
        <stp>IIIN</stp>
        <tr r="D23" s="4"/>
      </tp>
      <tp>
        <v>128.46</v>
        <stp/>
        <stp>LAST</stp>
        <stp>GNRC</stp>
        <tr r="D70" s="3"/>
      </tp>
      <tp>
        <v>55.83</v>
        <stp/>
        <stp>LAST</stp>
        <stp>CNXC</stp>
        <tr r="D140" s="3"/>
      </tp>
      <tp>
        <v>24.14</v>
        <stp/>
        <stp>LAST</stp>
        <stp>SNDR</stp>
        <tr r="D83" s="3"/>
      </tp>
      <tp>
        <v>2.72</v>
        <stp/>
        <stp>LAST</stp>
        <stp>CNDT</stp>
        <tr r="D177" s="4"/>
      </tp>
      <tp>
        <v>1.49</v>
        <stp/>
        <stp>LAST</stp>
        <stp>NNDM</stp>
        <tr r="D129" s="4"/>
      </tp>
      <tp>
        <v>82.64</v>
        <stp/>
        <stp>LAST</stp>
        <stp>TNET</stp>
        <tr r="D144" s="3"/>
      </tp>
      <tp>
        <v>11.88</v>
        <stp/>
        <stp>LAST</stp>
        <stp>SNCY</stp>
        <tr r="D147" s="4"/>
      </tp>
      <tp>
        <v>14.81</v>
        <stp/>
        <stp>LAST</stp>
        <stp>DNOW</stp>
        <tr r="D189" s="4"/>
      </tp>
      <tp>
        <v>48.67</v>
        <stp/>
        <stp>LAST</stp>
        <stp>INOD</stp>
        <tr r="D167" s="4"/>
      </tp>
      <tp>
        <v>190.24</v>
        <stp/>
        <stp>LAST</stp>
        <stp>POWL</stp>
        <tr r="D73" s="3"/>
      </tp>
      <tp>
        <v>4.18</v>
        <stp/>
        <stp>LAST</stp>
        <stp>EOSE</stp>
        <tr r="D83" s="4"/>
      </tp>
      <tp>
        <v>9.23</v>
        <stp/>
        <stp>LAST</stp>
        <stp>JOBY</stp>
        <tr r="D135" s="3"/>
      </tp>
      <tp>
        <v>60.44</v>
        <stp/>
        <stp>LAST</stp>
        <stp>ROCK</stp>
        <tr r="D22" s="4"/>
      </tp>
      <tp>
        <v>89.21</v>
        <stp/>
        <stp>LAST</stp>
        <stp>LOAR</stp>
        <tr r="D9" s="3"/>
      </tp>
      <tp>
        <v>104.7</v>
        <stp/>
        <stp>LAST</stp>
        <stp>ROAD</stp>
        <tr r="D61" s="3"/>
      </tp>
      <tp>
        <v>4.34</v>
        <stp/>
        <stp>LAST</stp>
        <stp>CLVT</stp>
        <tr r="D159" s="3"/>
      </tp>
      <tp>
        <v>99.72</v>
        <stp/>
        <stp>LAST</stp>
        <stp>VLTO</stp>
        <tr r="D42" s="2"/>
      </tp>
      <tp>
        <v>1.22</v>
        <stp/>
        <stp>LAST</stp>
        <stp>PLUG</stp>
        <tr r="D84" s="4"/>
      </tp>
      <tp>
        <v>4.99</v>
        <stp/>
        <stp>LAST</stp>
        <stp>VLRS</stp>
        <tr r="D148" s="4"/>
      </tp>
      <tp>
        <v>101.07</v>
        <stp/>
        <stp>LAST</stp>
        <stp>ALSN</stp>
        <tr r="D96" s="3"/>
      </tp>
      <tp>
        <v>150.87</v>
        <stp/>
        <stp>LAST</stp>
        <stp>PLPC</stp>
        <tr r="D64" s="4"/>
      </tp>
      <tp>
        <v>144.5</v>
        <stp/>
        <stp>LAST</stp>
        <stp>WLFC</stp>
        <tr r="D199" s="4"/>
      </tp>
      <tp>
        <v>5.95</v>
        <stp/>
        <stp>LAST</stp>
        <stp>RLGT</stp>
        <tr r="D17" s="4"/>
      </tp>
      <tp>
        <v>57.17</v>
        <stp/>
        <stp>LAST</stp>
        <stp>ALGT</stp>
        <tr r="D145" s="4"/>
      </tp>
      <tp>
        <v>112.96</v>
        <stp/>
        <stp>LAST</stp>
        <stp>BLDR</stp>
        <tr r="D31" s="2"/>
      </tp>
      <tp>
        <v>1.64</v>
        <stp/>
        <stp>LAST</stp>
        <stp>BLDP</stp>
        <tr r="D81" s="4"/>
      </tp>
      <tp>
        <v>4.24</v>
        <stp/>
        <stp>LAST</stp>
        <stp>BLDE</stp>
        <tr r="D150" s="4"/>
      </tp>
      <tp>
        <v>11.48</v>
        <stp/>
        <stp>LAST</stp>
        <stp>GLDD</stp>
        <tr r="D60" s="4"/>
      </tp>
      <tp>
        <v>57.21</v>
        <stp/>
        <stp>LAST</stp>
        <stp>WLDN</stp>
        <tr r="D160" s="4"/>
      </tp>
      <tp>
        <v>40.869999999999997</v>
        <stp/>
        <stp>LAST</stp>
        <stp>BLBD</stp>
        <tr r="D105" s="4"/>
      </tp>
      <tp>
        <v>3.99</v>
        <stp/>
        <stp>LAST</stp>
        <stp>ULCC</stp>
        <tr r="D152" s="4"/>
      </tp>
      <tp>
        <v>33.36</v>
        <stp/>
        <stp>LAST</stp>
        <stp>ALNT</stp>
        <tr r="D65" s="4"/>
      </tp>
      <tp>
        <v>28.47</v>
        <stp/>
        <stp>LAST</stp>
        <stp>PLOW</stp>
        <tr r="D107" s="4"/>
      </tp>
      <tp>
        <v>139.6</v>
        <stp/>
        <stp>LAST</stp>
        <stp>ALLE</stp>
        <tr r="D32" s="2"/>
      </tp>
      <tp>
        <v>7.44</v>
        <stp/>
        <stp>LAST</stp>
        <stp>HLMN</stp>
        <tr r="D123" s="4"/>
      </tp>
      <tp>
        <v>17.440000000000001</v>
        <stp/>
        <stp>LAST</stp>
        <stp>MLKN</stp>
        <tr r="D34" s="4"/>
      </tp>
      <tp>
        <v>5.42</v>
        <stp/>
        <stp>LAST</stp>
        <stp>ALIT</stp>
        <tr r="D160" s="3"/>
      </tp>
      <tp>
        <v>32.76</v>
        <stp/>
        <stp>LAST</stp>
        <stp>HLIO</stp>
        <tr r="D103" s="4"/>
      </tp>
      <tp>
        <v>55.96</v>
        <stp/>
        <stp>LAST</stp>
        <stp>AMWD</stp>
        <tr r="D20" s="4"/>
      </tp>
      <tp>
        <v>36.200000000000003</v>
        <stp/>
        <stp>LAST</stp>
        <stp>XMTR</stp>
        <tr r="D197" s="4"/>
      </tp>
      <tp>
        <v>23.13</v>
        <stp/>
        <stp>LAST</stp>
        <stp>AMTM</stp>
        <tr r="D151" s="3"/>
      </tp>
      <tp>
        <v>15.97</v>
        <stp/>
        <stp>LAST</stp>
        <stp>AMRC</stp>
        <tr r="D63" s="4"/>
      </tp>
      <tp>
        <v>8.9</v>
        <stp/>
        <stp>LAST</stp>
        <stp>CMRE</stp>
        <tr r="D136" s="4"/>
      </tp>
      <tp>
        <v>33.090000000000003</v>
        <stp/>
        <stp>LAST</stp>
        <stp>AMSC</stp>
        <tr r="D71" s="4"/>
      </tp>
      <tp>
        <v>3.15</v>
        <stp/>
        <stp>LAST</stp>
        <stp>AMPX</stp>
        <tr r="D76" s="4"/>
      </tp>
      <tp>
        <v>16.149999999999999</v>
        <stp/>
        <stp>LAST</stp>
        <stp>CMCO</stp>
        <tr r="D118" s="4"/>
      </tp>
      <tp>
        <v>103.7</v>
        <stp/>
        <stp>LAST</stp>
        <stp>OMAB</stp>
        <tr r="D183" s="3"/>
      </tp>
      <tp>
        <v>123.78</v>
        <stp/>
        <stp>LAST</stp>
        <stp>JBTM</stp>
        <tr r="D99" s="3"/>
      </tp>
      <tp>
        <v>29</v>
        <stp/>
        <stp>LAST</stp>
        <stp>BBUC</stp>
        <tr r="D90" s="3"/>
      </tp>
      <tp>
        <v>42.1</v>
        <stp/>
        <stp>LAST</stp>
        <stp>BBSI</stp>
        <tr r="D174" s="4"/>
      </tp>
      <tp>
        <v>6.7</v>
        <stp/>
        <stp>LAST</stp>
        <stp>FBYD</stp>
        <tr r="D175" s="4"/>
      </tp>
      <tp>
        <v>4.3499999999999996</v>
        <stp/>
        <stp>LAST</stp>
        <stp>EBFI</stp>
        <tr r="D74" s="4"/>
      </tp>
      <tp>
        <v>87.12</v>
        <stp/>
        <stp>LAST</stp>
        <stp>UBER</stp>
        <tr r="D69" s="2"/>
      </tp>
      <tp>
        <v>29.43</v>
        <stp/>
        <stp>LAST</stp>
        <stp>IBEX</stp>
        <tr r="D166" s="4"/>
      </tp>
      <tp>
        <v>5.875</v>
        <stp/>
        <stp>LAST</stp>
        <stp>BBCP</stp>
        <tr r="D58" s="4"/>
      </tp>
      <tp>
        <v>4.97</v>
        <stp/>
        <stp>LAST</stp>
        <stp>JBLU</stp>
        <tr r="D153" s="4"/>
      </tp>
      <tp>
        <v>16.45</v>
        <stp/>
        <stp>LAST</stp>
        <stp>SBLK</stp>
        <tr r="D134" s="4"/>
      </tp>
      <tp>
        <v>141.63999999999999</v>
        <stp/>
        <stp>LAST</stp>
        <stp>JBHT</stp>
        <tr r="D67" s="2"/>
      </tp>
      <tp>
        <v>52.04</v>
        <stp/>
        <stp>LAST</stp>
        <stp>FBIN</stp>
        <tr r="D26" s="3"/>
      </tp>
      <tp>
        <v>16.690000000000001</v>
        <stp/>
        <stp>LAST</stp>
        <stp>ACVA</stp>
        <tr r="D48" s="3"/>
      </tp>
      <tp>
        <v>186.12</v>
        <stp/>
        <stp>LAST</stp>
        <stp>PCTY</stp>
        <tr r="D117" s="2"/>
      </tp>
      <tp>
        <v>14.63</v>
        <stp/>
        <stp>LAST</stp>
        <stp>HCSG</stp>
        <tr r="D39" s="4"/>
      </tp>
      <tp>
        <v>83.82</v>
        <stp/>
        <stp>LAST</stp>
        <stp>ICFI</stp>
        <tr r="D155" s="4"/>
      </tp>
      <tp>
        <v>21.62</v>
        <stp/>
        <stp>LAST</stp>
        <stp>CCEC</stp>
        <tr r="D143" s="4"/>
      </tp>
      <tp>
        <v>3.81</v>
        <stp/>
        <stp>LAST</stp>
        <stp>ACCO</stp>
        <tr r="D38" s="4"/>
      </tp>
      <tp>
        <v>94.43</v>
        <stp/>
        <stp>LAST</stp>
        <stp>PCAR</stp>
        <tr r="D95" s="2"/>
      </tp>
      <tp>
        <v>11.26</v>
        <stp/>
        <stp>LAST</stp>
        <stp>ACHR</stp>
        <tr r="D15" s="3"/>
      </tp>
      <tp>
        <v>26.51</v>
        <stp/>
        <stp>LAST</stp>
        <stp>TATT</stp>
        <tr r="D14" s="4"/>
      </tp>
      <tp>
        <v>157.27000000000001</v>
        <stp/>
        <stp>LAST</stp>
        <stp>GATX</stp>
        <tr r="D179" s="3"/>
      </tp>
      <tp>
        <v>114.49</v>
        <stp/>
        <stp>LAST</stp>
        <stp>MATX</stp>
        <tr r="D128" s="3"/>
      </tp>
      <tp>
        <v>3.51</v>
        <stp/>
        <stp>LAST</stp>
        <stp>SATL</stp>
        <tr r="D9" s="4"/>
      </tp>
      <tp>
        <v>71.650000000000006</v>
        <stp/>
        <stp>LAST</stp>
        <stp>CARR</stp>
        <tr r="D35" s="2"/>
      </tp>
      <tp>
        <v>30.75</v>
        <stp/>
        <stp>LAST</stp>
        <stp>SARO</stp>
        <tr r="D11" s="3"/>
      </tp>
      <tp>
        <v>42.13</v>
        <stp/>
        <stp>LAST</stp>
        <stp>FAST</stp>
        <tr r="D132" s="2"/>
      </tp>
      <tp>
        <v>16.68</v>
        <stp/>
        <stp>LAST</stp>
        <stp>TASK</stp>
        <tr r="D169" s="4"/>
      </tp>
      <tp>
        <v>14.21</v>
        <stp/>
        <stp>LAST</stp>
        <stp>HAYW</stp>
        <tr r="D33" s="3"/>
      </tp>
      <tp>
        <v>156.97</v>
        <stp/>
        <stp>LAST</stp>
        <stp>PAYX</stp>
        <tr r="D120" s="2"/>
      </tp>
      <tp>
        <v>258.45</v>
        <stp/>
        <stp>LAST</stp>
        <stp>PAYC</stp>
        <tr r="D115" s="2"/>
      </tp>
      <tp>
        <v>441.05</v>
        <stp/>
        <stp>LAST</stp>
        <stp>CACI</stp>
        <tr r="D137" s="3"/>
      </tp>
      <tp>
        <v>20.170000000000002</v>
        <stp/>
        <stp>LAST</stp>
        <stp>CAAP</stp>
        <tr r="D181" s="3"/>
      </tp>
      <tp>
        <v>4.71</v>
        <stp/>
        <stp>LAST</stp>
        <stp>PANL</stp>
        <tr r="D139" s="4"/>
      </tp>
      <tp>
        <v>93.96</v>
        <stp/>
        <stp>LAST</stp>
        <stp>AAON</stp>
        <tr r="D35" s="3"/>
      </tp>
      <tp>
        <v>12.52</v>
        <stp/>
        <stp>LAST</stp>
        <stp>PAMT</stp>
        <tr r="D94" s="4"/>
      </tp>
      <tp>
        <v>103.52</v>
        <stp/>
        <stp>LAST</stp>
        <stp>SAIC</stp>
        <tr r="D139" s="3"/>
      </tp>
      <tp>
        <v>256.5</v>
        <stp/>
        <stp>LAST</stp>
        <stp>SAIA</stp>
        <tr r="D87" s="3"/>
      </tp>
      <tp>
        <v>41.52</v>
        <stp/>
        <stp>LAST</stp>
        <stp>KFRC</stp>
        <tr r="D158" s="4"/>
      </tp>
      <tp>
        <v>31.87</v>
        <stp/>
        <stp>LAST</stp>
        <stp>OFLX</stp>
        <tr r="D110" s="4"/>
      </tp>
      <tp>
        <v>87.89</v>
        <stp/>
        <stp>LAST</stp>
        <stp>TFII</stp>
        <tr r="D80" s="3"/>
      </tp>
      <tp>
        <v>116.12</v>
        <stp/>
        <stp>LAST</stp>
        <stp>MGRC</stp>
        <tr r="D163" s="3"/>
      </tp>
      <tp>
        <v>103.1</v>
        <stp/>
        <stp>LAST</stp>
        <stp>AGCO</stp>
        <tr r="D98" s="3"/>
      </tp>
      <tp>
        <v>88.16</v>
        <stp/>
        <stp>LAST</stp>
        <stp>TGLS</stp>
        <tr r="D30" s="3"/>
      </tp>
      <tp>
        <v>35.04</v>
        <stp/>
        <stp>LAST</stp>
        <stp>CDRE</stp>
        <tr r="D5" s="4"/>
      </tp>
      <tp>
        <v>10.5</v>
        <stp/>
        <stp>LAST</stp>
        <stp>ADSE</stp>
        <tr r="D77" s="4"/>
      </tp>
      <tp>
        <v>219.28</v>
        <stp/>
        <stp>LAST</stp>
        <stp>NDSN</stp>
        <tr r="D89" s="2"/>
      </tp>
      <tp>
        <v>7.31</v>
        <stp/>
        <stp>LAST</stp>
        <stp>HDSN</stp>
        <tr r="D187" s="4"/>
      </tp>
      <tp>
        <v>9.5399999999999991</v>
        <stp/>
        <stp>LAST</stp>
        <stp>PDYN</stp>
        <tr r="D131" s="4"/>
      </tp>
      <tp>
        <v>162.21</v>
        <stp/>
        <stp>LAST</stp>
        <stp>ODFL</stp>
        <tr r="D68" s="2"/>
      </tp>
      <tp>
        <v>146.34</v>
        <stp/>
        <stp>LAST</stp>
        <stp>LDOS</stp>
        <tr r="D112" s="2"/>
      </tp>
      <tp>
        <v>21.39</v>
        <stp/>
        <stp>LAST</stp>
        <stp>CDLR</stp>
        <tr r="D62" s="4"/>
      </tp>
      <tp>
        <v>45.94</v>
        <stp/>
        <stp>LAST</stp>
        <stp>REVG</stp>
        <tr r="D112" s="4"/>
      </tp>
      <tp>
        <v>213.83</v>
        <stp/>
        <stp>LAST</stp>
        <stp>FERG</stp>
        <tr r="D128" s="2"/>
      </tp>
      <tp>
        <v>27.35</v>
        <stp/>
        <stp>LAST</stp>
        <stp>WERN</stp>
        <tr r="D91" s="4"/>
      </tp>
      <tp>
        <v>276.69</v>
        <stp/>
        <stp>LAST</stp>
        <stp>IESC</stp>
        <tr r="D55" s="3"/>
      </tp>
      <tp>
        <v>21.47</v>
        <stp/>
        <stp>LAST</stp>
        <stp>REZI</stp>
        <tr r="D29" s="3"/>
      </tp>
      <tp>
        <v>94.64</v>
        <stp/>
        <stp>LAST</stp>
        <stp>HEES</stp>
        <tr r="D168" s="3"/>
      </tp>
      <tp>
        <v>27.2</v>
        <stp/>
        <stp>LAST</stp>
        <stp>CECO</stp>
        <tr r="D46" s="4"/>
      </tp>
      <tp>
        <v>202.99</v>
        <stp/>
        <stp>LAST</stp>
        <stp>LECO</stp>
        <tr r="D87" s="2"/>
      </tp>
      <tp>
        <v>53.03</v>
        <stp/>
        <stp>LAST</stp>
        <stp>RELX</stp>
        <tr r="D124" s="2"/>
      </tp>
      <tp>
        <v>86.83</v>
        <stp/>
        <stp>LAST</stp>
        <stp>FELE</stp>
        <tr r="D107" s="3"/>
      </tp>
      <tp>
        <v>3.83</v>
        <stp/>
        <stp>LAST</stp>
        <stp>JELD</stp>
        <tr r="D27" s="4"/>
      </tp>
      <tp>
        <v>233.99</v>
        <stp/>
        <stp>LAST</stp>
        <stp>WM</stp>
        <tr r="D39" s="2"/>
      </tp>
      <tp>
        <v>427.77</v>
        <stp/>
        <stp>LAST</stp>
        <stp>TT</stp>
        <tr r="D30" s="2"/>
      </tp>
      <tp>
        <v>1.62</v>
        <stp/>
        <stp>LAST</stp>
        <stp>UP</stp>
        <tr r="D151" s="4"/>
      </tp>
      <tp>
        <v>2.38</v>
        <stp/>
        <stp>LAST</stp>
        <stp>RR</stp>
        <tr r="D128" s="4"/>
      </tp>
      <tp>
        <v>27.77</v>
        <stp/>
        <stp>LAST</stp>
        <stp>ST</stp>
        <tr r="D75" s="3"/>
      </tp>
      <tp>
        <v>3.76</v>
        <stp/>
        <stp>LAST</stp>
        <stp>SB</stp>
        <tr r="D138" s="4"/>
      </tp>
      <tp>
        <v>669.88</v>
        <stp/>
        <stp>LAST</stp>
        <stp>PH</stp>
        <tr r="D82" s="2"/>
      </tp>
      <tp>
        <v>5.83</v>
        <stp/>
        <stp>LAST</stp>
        <stp>PL</stp>
        <tr r="D172" s="4"/>
      </tp>
      <tp>
        <v>23</v>
        <stp/>
        <stp>LAST</stp>
        <stp>FC</stp>
        <tr r="D159" s="4"/>
      </tp>
      <tp>
        <v>18.55</v>
        <stp/>
        <stp>LAST</stp>
        <stp>FA</stp>
        <tr r="D162" s="3"/>
      </tp>
      <tp>
        <v>277.31</v>
        <stp/>
        <stp>LAST</stp>
        <stp>GD</stp>
        <tr r="D6" s="2"/>
      </tp>
      <tp>
        <v>251.41</v>
        <stp/>
        <stp>LAST</stp>
        <stp>GE</stp>
        <tr r="D13" s="2"/>
      </tp>
      <tp>
        <v>238.24</v>
        <stp/>
        <stp>LAST</stp>
        <stp>DY</stp>
        <tr r="D64" s="3"/>
      </tp>
      <tp>
        <v>521.67999999999995</v>
        <stp/>
        <stp>LAST</stp>
        <stp>DE</stp>
        <tr r="D85" s="2"/>
      </tp>
      <tp>
        <v>243.71</v>
        <stp/>
        <stp>LAST</stp>
        <stp>BR</stp>
        <tr r="D111" s="2"/>
      </tp>
      <tp>
        <v>16.940000000000001</v>
        <stp/>
        <stp>LAST</stp>
        <stp>BV</stp>
        <tr r="D42" s="4"/>
      </tp>
      <tp>
        <v>217.51</v>
        <stp/>
        <stp>LAST</stp>
        <stp>BA</stp>
        <tr r="D21" s="2"/>
      </tp>
      <tp>
        <v>21.43</v>
        <stp/>
        <stp>LAST</stp>
        <stp>BE</stp>
        <tr r="D76" s="3"/>
      </tp>
      <tp>
        <v>185.99</v>
        <stp/>
        <stp>LAST</stp>
        <stp>CR</stp>
        <tr r="D105" s="3"/>
      </tp>
      <tp>
        <v>81.66</v>
        <stp/>
        <stp>LAST</stp>
        <stp>CP</stp>
        <tr r="D71" s="2"/>
      </tp>
      <tp>
        <v>460.06</v>
        <stp/>
        <stp>LAST</stp>
        <stp>CW</stp>
        <tr r="D4" s="2"/>
      </tp>
      <tp>
        <v>9.06</v>
        <stp/>
        <stp>LAST</stp>
        <stp>AZ</stp>
        <tr r="D11" s="4"/>
      </tp>
      <tp>
        <v>58.04</v>
        <stp/>
        <stp>LAST</stp>
        <stp>AL</stp>
        <tr r="D178" s="3"/>
      </tp>
      <tp>
        <v>19.02</v>
        <stp/>
        <stp>LAST</stp>
        <stp>NX</stp>
        <tr r="D26" s="4"/>
      </tp>
      <tp>
        <v>6.74</v>
        <stp/>
        <stp>LAST</stp>
        <stp>NL</stp>
        <tr r="D48" s="4"/>
      </tp>
      <tp>
        <v>137.12</v>
        <stp/>
        <stp>LAST</stp>
        <stp>OC</stp>
        <tr r="D29" s="2"/>
      </tp>
      <tp>
        <v>9.35</v>
        <stp/>
        <stp>LAST</stp>
        <stp>LZ</stp>
        <tr r="D170" s="4"/>
      </tp>
      <tp>
        <v>41.97</v>
        <stp/>
        <stp>LAST</stp>
        <stp>HY</stp>
        <tr r="D99" s="4"/>
      </tp>
      <tp>
        <v>21.42</v>
        <stp/>
        <stp>LAST</stp>
        <stp>HI</stp>
        <tr r="D108" s="4"/>
      </tp>
      <tp>
        <v>83.46</v>
        <stp/>
        <stp>LAST</stp>
        <stp>IR</stp>
        <tr r="D100" s="2"/>
      </tp>
      <tp>
        <v>153.05000000000001</v>
        <stp/>
        <stp>LAST</stp>
        <stp>R</stp>
        <tr r="D79" s="3"/>
      </tp>
      <tp>
        <v>43.2</v>
        <stp/>
        <stp>LAST</stp>
        <stp>G</stp>
        <tr r="D147" s="3"/>
      </tp>
      <tp>
        <v>127.74</v>
        <stp/>
        <stp>LAST</stp>
        <stp>J</stp>
        <tr r="D11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93092245368" createdVersion="8" refreshedVersion="8" minRefreshableVersion="3" recordCount="134" xr:uid="{3432845B-C090-4238-AA0B-FA56B072311B}">
  <cacheSource type="worksheet">
    <worksheetSource name="Main_L"/>
  </cacheSource>
  <cacheFields count="26">
    <cacheField name="Industry" numFmtId="0">
      <sharedItems count="58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41" maxValue="262235"/>
    </cacheField>
    <cacheField name="Current Price" numFmtId="0">
      <sharedItems containsSemiMixedTypes="0" containsString="0" containsNumber="1" minValue="4.9800000000000004" maxValue="1460.06"/>
    </cacheField>
    <cacheField name="Free CF" numFmtId="0">
      <sharedItems containsString="0" containsBlank="1" containsNumber="1" minValue="-18.809999999999999" maxValue="32.78"/>
    </cacheField>
    <cacheField name="BVPS" numFmtId="0">
      <sharedItems containsString="0" containsBlank="1" containsNumber="1" minValue="-100.86" maxValue="135.22"/>
    </cacheField>
    <cacheField name="EPS" numFmtId="0">
      <sharedItems containsString="0" containsBlank="1" containsNumber="1" minValue="-17.09" maxValue="38.950000000000003"/>
    </cacheField>
    <cacheField name="P/FCF" numFmtId="2">
      <sharedItems containsMixedTypes="1" containsNumber="1" minValue="-1109.4615384615383" maxValue="6513.5999999999995"/>
    </cacheField>
    <cacheField name="P/B" numFmtId="2">
      <sharedItems containsMixedTypes="1" containsNumber="1" minValue="-53.1" maxValue="445.46428571428567"/>
    </cacheField>
    <cacheField name="ROE" numFmtId="0">
      <sharedItems containsSemiMixedTypes="0" containsString="0" containsNumber="1" minValue="-45.38" maxValue="1116.5999999999999"/>
    </cacheField>
    <cacheField name="ROA" numFmtId="0">
      <sharedItems containsSemiMixedTypes="0" containsString="0" containsNumber="1" minValue="-10.56" maxValue="20.12"/>
    </cacheField>
    <cacheField name="A/E" numFmtId="0">
      <sharedItems containsSemiMixedTypes="0" containsString="0" containsNumber="1" minValue="-46.98" maxValue="151"/>
    </cacheField>
    <cacheField name="P/E" numFmtId="2">
      <sharedItems containsMixedTypes="1" containsNumber="1" minValue="-72.292682926829272" maxValue="498.92"/>
    </cacheField>
    <cacheField name="Preliminary Criteria" numFmtId="0">
      <sharedItems/>
    </cacheField>
    <cacheField name="P/FCF Z-Score" numFmtId="2">
      <sharedItems containsMixedTypes="1" containsNumber="1" minValue="-6.2465445329948803" maxValue="1319.9615464285182"/>
    </cacheField>
    <cacheField name="P/B Z-Score" numFmtId="2">
      <sharedItems containsMixedTypes="1" containsNumber="1" minValue="-17.695696817854792" maxValue="91.485646065362957"/>
    </cacheField>
    <cacheField name="ROE Z-Score" numFmtId="2">
      <sharedItems containsMixedTypes="1" containsNumber="1" minValue="-8.3329692092375343" maxValue="88.5672592990271"/>
    </cacheField>
    <cacheField name="ROA Z-Score" numFmtId="2">
      <sharedItems containsMixedTypes="1" containsNumber="1" minValue="-6.175768422684035" maxValue="10.640340496343912"/>
    </cacheField>
    <cacheField name="A/E Z-Score" numFmtId="2">
      <sharedItems containsMixedTypes="1" containsNumber="1" minValue="-180.16809095456816" maxValue="175.83461273028391"/>
    </cacheField>
    <cacheField name="P/E Z-Score" numFmtId="2">
      <sharedItems containsMixedTypes="1" containsNumber="1" minValue="-5.6063419216097925" maxValue="70.871211114511993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93094212962" createdVersion="8" refreshedVersion="8" minRefreshableVersion="3" recordCount="182" xr:uid="{A2646FF5-8A5C-4026-A340-9C8CC354FDFF}">
  <cacheSource type="worksheet">
    <worksheetSource name="Main_M"/>
  </cacheSource>
  <cacheFields count="26">
    <cacheField name="Industry" numFmtId="0">
      <sharedItems count="59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04" maxValue="9856"/>
    </cacheField>
    <cacheField name="Current Price" numFmtId="0">
      <sharedItems containsSemiMixedTypes="0" containsString="0" containsNumber="1" minValue="4.34" maxValue="441.05"/>
    </cacheField>
    <cacheField name="Free CF" numFmtId="0">
      <sharedItems containsSemiMixedTypes="0" containsString="0" containsNumber="1" minValue="-27.31" maxValue="47.32"/>
    </cacheField>
    <cacheField name="BVPS" numFmtId="0">
      <sharedItems containsSemiMixedTypes="0" containsString="0" containsNumber="1" minValue="-80.17" maxValue="168.46"/>
    </cacheField>
    <cacheField name="EPS" numFmtId="0">
      <sharedItems containsSemiMixedTypes="0" containsString="0" containsNumber="1" minValue="-62.49" maxValue="21.19"/>
    </cacheField>
    <cacheField name="P/FCF" numFmtId="2">
      <sharedItems containsSemiMixedTypes="0" containsString="0" containsNumber="1" minValue="-1025" maxValue="1823"/>
    </cacheField>
    <cacheField name="P/B" numFmtId="2">
      <sharedItems containsSemiMixedTypes="0" containsString="0" containsNumber="1" minValue="-26.605504587155963" maxValue="70.067567567567565"/>
    </cacheField>
    <cacheField name="ROE" numFmtId="0">
      <sharedItems containsSemiMixedTypes="0" containsString="0" containsNumber="1" minValue="-244.63" maxValue="162.13999999999999"/>
    </cacheField>
    <cacheField name="ROA" numFmtId="0">
      <sharedItems containsSemiMixedTypes="0" containsString="0" containsNumber="1" minValue="-37.049999999999997" maxValue="19.010000000000002"/>
    </cacheField>
    <cacheField name="A/E" numFmtId="0">
      <sharedItems containsSemiMixedTypes="0" containsString="0" containsNumber="1" minValue="-247.42" maxValue="59.92"/>
    </cacheField>
    <cacheField name="P/E" numFmtId="2">
      <sharedItems containsSemiMixedTypes="0" containsString="0" containsNumber="1" minValue="-226.45454545454547" maxValue="1167"/>
    </cacheField>
    <cacheField name="Preliminary Criteria" numFmtId="0">
      <sharedItems/>
    </cacheField>
    <cacheField name="P/FCF Z-Score" numFmtId="2">
      <sharedItems containsSemiMixedTypes="0" containsString="0" containsNumber="1" minValue="-13.03509456127102" maxValue="75.131818229306376"/>
    </cacheField>
    <cacheField name="P/B Z-Score" numFmtId="2">
      <sharedItems containsSemiMixedTypes="0" containsString="0" containsNumber="1" minValue="-7.8158187967351758" maxValue="38.353890379020228"/>
    </cacheField>
    <cacheField name="ROE Z-Score" numFmtId="2">
      <sharedItems containsSemiMixedTypes="0" containsString="0" containsNumber="1" minValue="-9.4436705160097283" maxValue="7.4648104005031497"/>
    </cacheField>
    <cacheField name="ROA Z-Score" numFmtId="2">
      <sharedItems containsSemiMixedTypes="0" containsString="0" containsNumber="1" minValue="-24.164678663225221" maxValue="2.7820753092299548"/>
    </cacheField>
    <cacheField name="A/E Z-Score" numFmtId="2">
      <sharedItems containsSemiMixedTypes="0" containsString="0" containsNumber="1" minValue="-214.56545297314725" maxValue="105.87596716097535"/>
    </cacheField>
    <cacheField name="P/E Z-Score" numFmtId="2">
      <sharedItems containsSemiMixedTypes="0" containsString="0" containsNumber="1" minValue="-25.251305831557502" maxValue="102.5433673869905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93096064817" createdVersion="8" refreshedVersion="8" minRefreshableVersion="3" recordCount="200" xr:uid="{FEEDC4AE-CB7E-4F82-B64E-6462C5DE2153}">
  <cacheSource type="worksheet">
    <worksheetSource name="Main_S"/>
  </cacheSource>
  <cacheFields count="26">
    <cacheField name="Industry" numFmtId="0">
      <sharedItems count="60">
        <s v="Aerospace &amp; Defense"/>
        <s v="Air Freight &amp; Logistics"/>
        <s v="Building Products"/>
        <s v="Commercial Services &amp; Supplies"/>
        <s v="Construction &amp; Engineering"/>
        <s v="Electrical Equipment"/>
        <s v="Ground Transportation"/>
        <s v="Industrial Conglomerates"/>
        <s v="Machinery"/>
        <s v="Marine Transportation"/>
        <s v="Passenger Airlines"/>
        <s v="Professional Services"/>
        <s v="Trading Companies &amp; Distributors"/>
        <s v="Transportation Infrastructure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7" maxValue="1995"/>
    </cacheField>
    <cacheField name="Current Price" numFmtId="0">
      <sharedItems containsSemiMixedTypes="0" containsString="0" containsNumber="1" minValue="0.2001" maxValue="188.77"/>
    </cacheField>
    <cacheField name="Free CF" numFmtId="0">
      <sharedItems containsSemiMixedTypes="0" containsString="0" containsNumber="1" minValue="-52.21" maxValue="14.87"/>
    </cacheField>
    <cacheField name="BVPS" numFmtId="0">
      <sharedItems containsSemiMixedTypes="0" containsString="0" containsNumber="1" minValue="-11.54" maxValue="188.1"/>
    </cacheField>
    <cacheField name="EPS" numFmtId="0">
      <sharedItems containsSemiMixedTypes="0" containsString="0" containsNumber="1" minValue="-28.54" maxValue="24.48"/>
    </cacheField>
    <cacheField name="P/FCF" numFmtId="2">
      <sharedItems containsSemiMixedTypes="0" containsString="0" containsNumber="1" minValue="-740.25" maxValue="919"/>
    </cacheField>
    <cacheField name="P/B" numFmtId="2">
      <sharedItems containsSemiMixedTypes="0" containsString="0" containsNumber="1" minValue="-22.681818181818183" maxValue="434.99999999999994"/>
    </cacheField>
    <cacheField name="ROE" numFmtId="0">
      <sharedItems containsSemiMixedTypes="0" containsString="0" containsNumber="1" minValue="-337.63" maxValue="2203.8000000000002"/>
    </cacheField>
    <cacheField name="ROA" numFmtId="0">
      <sharedItems containsSemiMixedTypes="0" containsString="0" containsNumber="1" minValue="-52.92" maxValue="42.12"/>
    </cacheField>
    <cacheField name="A/E" numFmtId="0">
      <sharedItems containsSemiMixedTypes="0" containsString="0" containsNumber="1" minValue="-14.58" maxValue="37.6"/>
    </cacheField>
    <cacheField name="P/E" numFmtId="2">
      <sharedItems containsMixedTypes="1" containsNumber="1" minValue="-3093" maxValue="1378.5"/>
    </cacheField>
    <cacheField name="Preliminary Criteria" numFmtId="0">
      <sharedItems/>
    </cacheField>
    <cacheField name="P/FCF Z-Score" numFmtId="2">
      <sharedItems containsMixedTypes="1" containsNumber="1" minValue="-50.331484003461561" maxValue="61.649746036856421"/>
    </cacheField>
    <cacheField name="P/B Z-Score" numFmtId="2">
      <sharedItems containsMixedTypes="1" containsNumber="1" minValue="-10.954238980245089" maxValue="162.41917203552333"/>
    </cacheField>
    <cacheField name="ROE Z-Score" numFmtId="2">
      <sharedItems containsMixedTypes="1" containsNumber="1" minValue="-23.900345303853914" maxValue="103.43449307839852"/>
    </cacheField>
    <cacheField name="ROA Z-Score" numFmtId="2">
      <sharedItems containsMixedTypes="1" containsNumber="1" minValue="-11.937963482524744" maxValue="5.8844398228268409"/>
    </cacheField>
    <cacheField name="A/E Z-Score" numFmtId="2">
      <sharedItems containsMixedTypes="1" containsNumber="1" minValue="-49.204314275258923" maxValue="54.921684862813535"/>
    </cacheField>
    <cacheField name="P/E Z-Score" numFmtId="2">
      <sharedItems containsMixedTypes="1" containsNumber="1" minValue="-164.21370598740143" maxValue="161.2490148888541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">
  <r>
    <x v="0"/>
    <s v="TDG"/>
    <n v="82477"/>
    <n v="1460.06"/>
    <n v="32.78"/>
    <n v="-100.86"/>
    <n v="29.66"/>
    <n v="44.541183648566196"/>
    <n v="-14.476105492762244"/>
    <n v="-43.77"/>
    <n v="11.24"/>
    <n v="-3.86"/>
    <n v="49.226567768037761"/>
    <s v="NO"/>
    <n v="0.25829321634176067"/>
    <n v="-3.898119042166416"/>
    <n v="-8.1235045512783834"/>
    <n v="1.9790639260093565"/>
    <n v="-13.001409351594083"/>
    <n v="0.60240574616096632"/>
    <x v="0"/>
    <x v="0"/>
    <x v="0"/>
    <x v="0"/>
    <x v="0"/>
    <x v="0"/>
  </r>
  <r>
    <x v="0"/>
    <s v="LMT"/>
    <n v="113020"/>
    <n v="480.83"/>
    <n v="21.06"/>
    <n v="28.68"/>
    <n v="23.17"/>
    <n v="22.831433998100664"/>
    <n v="16.765341701534169"/>
    <n v="82.55"/>
    <n v="8.32"/>
    <n v="8.48"/>
    <n v="20.752265861027187"/>
    <s v="NO"/>
    <n v="-0.83450094116261608"/>
    <n v="1.2751736667817024"/>
    <n v="8.3110144508334312"/>
    <n v="0.88676528113849873"/>
    <n v="11.880320083683673"/>
    <n v="-0.85242346440147154"/>
    <x v="0"/>
    <x v="1"/>
    <x v="0"/>
    <x v="0"/>
    <x v="0"/>
    <x v="0"/>
  </r>
  <r>
    <x v="0"/>
    <s v="CW"/>
    <n v="16587"/>
    <n v="460.06"/>
    <n v="12.8"/>
    <n v="67.83"/>
    <n v="11.24"/>
    <n v="35.942187499999996"/>
    <n v="6.7825445967860833"/>
    <n v="17.399999999999999"/>
    <n v="7.91"/>
    <n v="1.93"/>
    <n v="40.930604982206404"/>
    <s v="YES"/>
    <n v="-0.17455068572296348"/>
    <n v="-0.3778845656272628"/>
    <n v="-0.16514857155086834"/>
    <n v="0.73339458100252197"/>
    <n v="-1.3267567235342608"/>
    <n v="0.17854253680183291"/>
    <x v="0"/>
    <x v="1"/>
    <x v="1"/>
    <x v="0"/>
    <x v="1"/>
    <x v="0"/>
  </r>
  <r>
    <x v="0"/>
    <s v="ESLT"/>
    <n v="18965"/>
    <n v="415.03"/>
    <n v="12.74"/>
    <n v="74.099999999999994"/>
    <n v="7.89"/>
    <n v="32.576923076923073"/>
    <n v="5.6009446693657221"/>
    <n v="11.25"/>
    <n v="3.21"/>
    <n v="3.44"/>
    <n v="52.602027883396701"/>
    <s v="NO"/>
    <n v="-0.34394652672553067"/>
    <n v="-0.57354650956350128"/>
    <n v="-0.96527754450042214"/>
    <n v="-1.0247573473855027"/>
    <n v="1.7179281587404081"/>
    <n v="0.77486714630168718"/>
    <x v="0"/>
    <x v="1"/>
    <x v="1"/>
    <x v="0"/>
    <x v="1"/>
    <x v="0"/>
  </r>
  <r>
    <x v="0"/>
    <s v="GD"/>
    <n v="74746"/>
    <n v="277.31"/>
    <n v="12.23"/>
    <n v="82.93"/>
    <n v="14.41"/>
    <n v="22.674570727718724"/>
    <n v="3.3439044977692025"/>
    <n v="18.23"/>
    <n v="5.6"/>
    <n v="2.5499999999999998"/>
    <n v="19.244274809160306"/>
    <s v="YES"/>
    <n v="-0.84239689888485259"/>
    <n v="-0.94729134253829939"/>
    <n v="-5.7163685770684376E-2"/>
    <n v="-0.13071838805627325"/>
    <n v="-7.6621208957906986E-2"/>
    <n v="-0.92947081181976132"/>
    <x v="0"/>
    <x v="1"/>
    <x v="1"/>
    <x v="0"/>
    <x v="1"/>
    <x v="0"/>
  </r>
  <r>
    <x v="0"/>
    <s v="NOC"/>
    <n v="69772"/>
    <n v="491.36"/>
    <n v="12.17"/>
    <n v="104"/>
    <n v="25.39"/>
    <n v="40.374691865242397"/>
    <n v="4.7246153846153849"/>
    <n v="25.41"/>
    <n v="6.4"/>
    <n v="3.23"/>
    <n v="19.352500984639622"/>
    <s v="NO"/>
    <n v="4.8566344709751526E-2"/>
    <n v="-0.71865847800855776"/>
    <n v="0.87697062736391684"/>
    <n v="0.16854151464807163"/>
    <n v="1.294495161867772"/>
    <n v="-0.92394124337067496"/>
    <x v="0"/>
    <x v="1"/>
    <x v="1"/>
    <x v="0"/>
    <x v="1"/>
    <x v="0"/>
  </r>
  <r>
    <x v="0"/>
    <s v="LHX"/>
    <n v="45678"/>
    <n v="245.41"/>
    <n v="11.98"/>
    <n v="101.98"/>
    <n v="8.43"/>
    <n v="20.484974958263773"/>
    <n v="2.4064522455383406"/>
    <n v="8.52"/>
    <n v="4.0599999999999996"/>
    <n v="2.16"/>
    <n v="29.111506524317914"/>
    <s v="NO"/>
    <n v="-0.95261362190935606"/>
    <n v="-1.1025247051700502"/>
    <n v="-1.3204567471268096"/>
    <n v="-0.70679370076213666"/>
    <n v="-0.8629967745785162"/>
    <n v="-0.42532721688705966"/>
    <x v="0"/>
    <x v="1"/>
    <x v="1"/>
    <x v="0"/>
    <x v="1"/>
    <x v="0"/>
  </r>
  <r>
    <x v="0"/>
    <s v="KBGGY"/>
    <n v="32370"/>
    <n v="185.11"/>
    <n v="6.68"/>
    <n v="11.17"/>
    <n v="3.4"/>
    <n v="27.711077844311379"/>
    <n v="16.572068039391226"/>
    <n v="32.25"/>
    <n v="7.82"/>
    <n v="3.46"/>
    <n v="54.444117647058832"/>
    <s v="NO"/>
    <n v="-0.58887644656016869"/>
    <n v="1.2431693482564605"/>
    <n v="1.7668701680102501"/>
    <n v="0.6997278419482833"/>
    <n v="1.7582551108235163"/>
    <n v="0.86898450185286613"/>
    <x v="0"/>
    <x v="1"/>
    <x v="1"/>
    <x v="0"/>
    <x v="1"/>
    <x v="0"/>
  </r>
  <r>
    <x v="0"/>
    <s v="HEI"/>
    <n v="41695"/>
    <n v="303.72000000000003"/>
    <n v="5.49"/>
    <n v="29.01"/>
    <n v="4.28"/>
    <n v="55.322404371584703"/>
    <n v="10.469493278179938"/>
    <n v="15.71"/>
    <n v="7.34"/>
    <n v="2.0099999999999998"/>
    <n v="70.962616822429908"/>
    <s v="NO"/>
    <n v="0.80098280081732809"/>
    <n v="0.232639800068667"/>
    <n v="-0.38502141127196499"/>
    <n v="0.5201719003256764"/>
    <n v="-1.1654489152018284"/>
    <n v="1.7129593671002081"/>
    <x v="0"/>
    <x v="1"/>
    <x v="1"/>
    <x v="0"/>
    <x v="1"/>
    <x v="0"/>
  </r>
  <r>
    <x v="0"/>
    <s v="WWD"/>
    <n v="12872"/>
    <n v="234.56"/>
    <n v="5.29"/>
    <n v="39.229999999999997"/>
    <n v="6.19"/>
    <n v="44.340264650283551"/>
    <n v="5.979097629365282"/>
    <n v="16.34"/>
    <n v="6.12"/>
    <n v="1.92"/>
    <n v="37.893376413570273"/>
    <s v="NO"/>
    <n v="0.24817964474420889"/>
    <n v="-0.51092790106350761"/>
    <n v="-0.30305697989664493"/>
    <n v="6.3800548701550927E-2"/>
    <n v="-1.3469201995758149"/>
    <n v="2.3362302524739594E-2"/>
    <x v="0"/>
    <x v="1"/>
    <x v="1"/>
    <x v="0"/>
    <x v="1"/>
    <x v="0"/>
  </r>
  <r>
    <x v="0"/>
    <s v="AXON"/>
    <n v="58416"/>
    <n v="783.8"/>
    <n v="4.76"/>
    <n v="32.83"/>
    <n v="4.16"/>
    <n v="164.66386554621849"/>
    <n v="23.874505025890954"/>
    <n v="15.17"/>
    <n v="0.68"/>
    <n v="2.38"/>
    <n v="188.41346153846152"/>
    <s v="NO"/>
    <n v="6.3048560314360529"/>
    <n v="2.4523849068336885"/>
    <n v="-0.45527663816509667"/>
    <n v="-1.9711667896879927"/>
    <n v="-0.41940030166432651"/>
    <n v="7.7138411536365137"/>
    <x v="1"/>
    <x v="1"/>
    <x v="1"/>
    <x v="0"/>
    <x v="1"/>
    <x v="1"/>
  </r>
  <r>
    <x v="0"/>
    <s v="GE"/>
    <n v="262235"/>
    <n v="251.41"/>
    <n v="3.88"/>
    <n v="18.05"/>
    <n v="6.34"/>
    <n v="64.796391752577321"/>
    <n v="13.928531855955677"/>
    <n v="27.2"/>
    <n v="3.72"/>
    <n v="6.45"/>
    <n v="39.654574132492115"/>
    <s v="NO"/>
    <n v="1.2778707532307692"/>
    <n v="0.8054243750945137"/>
    <n v="1.1098536942874455"/>
    <n v="-0.83397915941148293"/>
    <n v="7.7871344472481923"/>
    <n v="0.11334666440412909"/>
    <x v="0"/>
    <x v="1"/>
    <x v="1"/>
    <x v="0"/>
    <x v="0"/>
    <x v="0"/>
  </r>
  <r>
    <x v="0"/>
    <s v="RTX"/>
    <n v="182331"/>
    <n v="140.97999999999999"/>
    <n v="3.67"/>
    <n v="46.05"/>
    <n v="3.41"/>
    <n v="38.414168937329698"/>
    <n v="3.0614549402823017"/>
    <n v="7.8"/>
    <n v="3.47"/>
    <n v="2.68"/>
    <n v="41.34310850439882"/>
    <s v="NO"/>
    <n v="-5.0119639042734074E-2"/>
    <n v="-0.99406235885214567"/>
    <n v="-1.4141303829843181"/>
    <n v="-0.92749787900659064"/>
    <n v="0.18550397958229697"/>
    <n v="0.19961845906694253"/>
    <x v="0"/>
    <x v="1"/>
    <x v="1"/>
    <x v="0"/>
    <x v="1"/>
    <x v="0"/>
  </r>
  <r>
    <x v="0"/>
    <s v="BWXT"/>
    <n v="11475"/>
    <n v="132.62"/>
    <n v="2.94"/>
    <n v="12.04"/>
    <n v="3.14"/>
    <n v="45.10884353741497"/>
    <n v="11.014950166112959"/>
    <n v="28.28"/>
    <n v="6.94"/>
    <n v="2.78"/>
    <n v="42.235668789808919"/>
    <s v="NO"/>
    <n v="0.28686726348514724"/>
    <n v="0.32296238096064922"/>
    <n v="1.2503641480737089"/>
    <n v="0.37054194897350429"/>
    <n v="0.38713873999783721"/>
    <n v="0.24522178165736758"/>
    <x v="0"/>
    <x v="1"/>
    <x v="1"/>
    <x v="0"/>
    <x v="1"/>
    <x v="0"/>
  </r>
  <r>
    <x v="0"/>
    <s v="TXT"/>
    <n v="13365"/>
    <n v="77.08"/>
    <n v="2.92"/>
    <n v="40.29"/>
    <n v="4.4400000000000004"/>
    <n v="26.397260273972602"/>
    <n v="1.9131298088855795"/>
    <n v="11.7"/>
    <n v="4.26"/>
    <n v="2.33"/>
    <n v="17.360360360360357"/>
    <s v="NO"/>
    <n v="-0.65500950603844899"/>
    <n v="-1.1842143064495381"/>
    <n v="-0.90673152208947927"/>
    <n v="-0.63197872508605046"/>
    <n v="-0.5202176818720966"/>
    <n v="-1.0257251038219122"/>
    <x v="0"/>
    <x v="1"/>
    <x v="1"/>
    <x v="0"/>
    <x v="1"/>
    <x v="0"/>
  </r>
  <r>
    <x v="0"/>
    <s v="HWM"/>
    <n v="68580"/>
    <n v="172.87"/>
    <n v="2.4900000000000002"/>
    <n v="11.73"/>
    <n v="3.06"/>
    <n v="69.425702811244975"/>
    <n v="14.737425404944586"/>
    <n v="28.3"/>
    <n v="10.199999999999999"/>
    <n v="2.27"/>
    <n v="56.493464052287585"/>
    <s v="NO"/>
    <n v="1.5108943559729562"/>
    <n v="0.93936961371532435"/>
    <n v="1.2529661935141951"/>
    <n v="1.5900260524937082"/>
    <n v="-0.64119853812142136"/>
    <n v="0.97369116060167515"/>
    <x v="0"/>
    <x v="1"/>
    <x v="1"/>
    <x v="0"/>
    <x v="1"/>
    <x v="0"/>
  </r>
  <r>
    <x v="0"/>
    <s v="ATI"/>
    <n v="11235"/>
    <n v="84.58"/>
    <n v="1.39"/>
    <n v="13.28"/>
    <n v="2.76"/>
    <n v="60.848920863309353"/>
    <n v="6.3689759036144578"/>
    <n v="24.72"/>
    <n v="7.28"/>
    <n v="2.77"/>
    <n v="30.644927536231886"/>
    <s v="NO"/>
    <n v="1.0791686403937315"/>
    <n v="-0.44636768971968871"/>
    <n v="0.78720005966713746"/>
    <n v="0.49772740762285067"/>
    <n v="0.36697526395628355"/>
    <n v="-0.34698058392980341"/>
    <x v="0"/>
    <x v="1"/>
    <x v="1"/>
    <x v="0"/>
    <x v="1"/>
    <x v="0"/>
  </r>
  <r>
    <x v="0"/>
    <s v="HAGHY"/>
    <n v="12287"/>
    <n v="55.32"/>
    <n v="0.8"/>
    <n v="8.44"/>
    <n v="0.86"/>
    <n v="69.149999999999991"/>
    <n v="6.5545023696682465"/>
    <n v="10.43"/>
    <n v="2.52"/>
    <n v="5.29"/>
    <n v="64.325581395348834"/>
    <s v="NO"/>
    <n v="1.4970164243437636"/>
    <n v="-0.41564623471845569"/>
    <n v="-1.0719614075603627"/>
    <n v="-1.2828690134679999"/>
    <n v="5.4481712264279158"/>
    <n v="1.3738552499075061"/>
    <x v="0"/>
    <x v="1"/>
    <x v="1"/>
    <x v="0"/>
    <x v="0"/>
    <x v="0"/>
  </r>
  <r>
    <x v="0"/>
    <s v="RKLB"/>
    <n v="12362"/>
    <n v="29.64"/>
    <n v="-0.35"/>
    <n v="0.94"/>
    <n v="-0.41"/>
    <n v="-84.685714285714297"/>
    <n v="31.531914893617024"/>
    <n v="-45.38"/>
    <n v="-10.56"/>
    <n v="2.91"/>
    <n v="-72.292682926829272"/>
    <s v="NO"/>
    <n v="-6.2465445329948803"/>
    <n v="3.720380668738303"/>
    <n v="-8.3329692092375343"/>
    <n v="-6.175768422684035"/>
    <n v="0.64926392853804116"/>
    <n v="-5.6063419216097925"/>
    <x v="1"/>
    <x v="0"/>
    <x v="0"/>
    <x v="1"/>
    <x v="1"/>
    <x v="1"/>
  </r>
  <r>
    <x v="0"/>
    <s v="BA"/>
    <n v="156320"/>
    <n v="217.51"/>
    <n v="-18.809999999999999"/>
    <n v="-4.42"/>
    <n v="-17.09"/>
    <n v="-11.563530037214248"/>
    <n v="-49.210407239819006"/>
    <n v="113.12"/>
    <n v="-4.0999999999999996"/>
    <n v="-46.98"/>
    <n v="-12.727325921591573"/>
    <s v="NO"/>
    <n v="-2.5658251779927403"/>
    <n v="-9.6497959366752539"/>
    <n v="12.288240906616824"/>
    <n v="-3.7592447083464515"/>
    <n v="-99.946318042775346"/>
    <n v="-2.5629864921492351"/>
    <x v="0"/>
    <x v="0"/>
    <x v="0"/>
    <x v="1"/>
    <x v="0"/>
    <x v="0"/>
  </r>
  <r>
    <x v="1"/>
    <s v="FDX"/>
    <n v="52257"/>
    <n v="222.18"/>
    <n v="14.13"/>
    <n v="111.28"/>
    <n v="15.95"/>
    <n v="15.723991507430997"/>
    <n v="1.9965851905104242"/>
    <n v="14.76"/>
    <n v="4.88"/>
    <n v="3.18"/>
    <n v="13.929780564263323"/>
    <s v="NO"/>
    <n v="-1.1002130076211389"/>
    <n v="-1.1186627743807656"/>
    <n v="-1.248140472288072"/>
    <n v="-5.1841658959630479"/>
    <n v="0.35711186050174054"/>
    <n v="-0.87305708076438637"/>
    <x v="0"/>
    <x v="1"/>
    <x v="1"/>
    <x v="1"/>
    <x v="1"/>
    <x v="0"/>
  </r>
  <r>
    <x v="1"/>
    <s v="UPS"/>
    <n v="82597"/>
    <n v="99.31"/>
    <n v="6.3"/>
    <n v="18.489999999999998"/>
    <n v="6.85"/>
    <n v="15.763492063492064"/>
    <n v="5.371011357490536"/>
    <n v="35.909999999999997"/>
    <n v="7.34"/>
    <n v="4.37"/>
    <n v="14.497810218978103"/>
    <s v="NO"/>
    <n v="-1.0806543320955155"/>
    <n v="0.4071409898820581"/>
    <n v="0.86981291257174176"/>
    <n v="-1.2480399379170293"/>
    <n v="1.5643934343570569"/>
    <n v="-0.70728691318936976"/>
    <x v="0"/>
    <x v="1"/>
    <x v="1"/>
    <x v="0"/>
    <x v="1"/>
    <x v="0"/>
  </r>
  <r>
    <x v="1"/>
    <s v="EXPD"/>
    <n v="15438"/>
    <n v="113"/>
    <n v="5.48"/>
    <n v="16.72"/>
    <n v="6.03"/>
    <n v="20.620437956204377"/>
    <n v="6.758373205741627"/>
    <n v="37.700000000000003"/>
    <n v="14.77"/>
    <n v="2.08"/>
    <n v="18.739635157545603"/>
    <s v="NO"/>
    <n v="1.3242593763142299"/>
    <n v="1.0344600733962119"/>
    <n v="1.0490628680752443"/>
    <n v="10.640340496343912"/>
    <n v="-0.75886270356619911"/>
    <n v="0.53062034227477639"/>
    <x v="0"/>
    <x v="1"/>
    <x v="1"/>
    <x v="1"/>
    <x v="1"/>
    <x v="0"/>
  </r>
  <r>
    <x v="1"/>
    <s v="CHRW"/>
    <n v="11395"/>
    <n v="95.74"/>
    <n v="4.83"/>
    <n v="14.58"/>
    <n v="4.1900000000000004"/>
    <n v="19.821946169772254"/>
    <n v="6.5665294924554178"/>
    <n v="32.11"/>
    <n v="8.8699999999999992"/>
    <n v="3.01"/>
    <n v="22.849642004773266"/>
    <s v="NO"/>
    <n v="0.92888666974886491"/>
    <n v="0.94771469939852948"/>
    <n v="0.48928228077659813"/>
    <n v="1.2000384018432984"/>
    <n v="0.18464306423669494"/>
    <n v="1.7300586429767"/>
    <x v="0"/>
    <x v="1"/>
    <x v="1"/>
    <x v="0"/>
    <x v="1"/>
    <x v="0"/>
  </r>
  <r>
    <x v="1"/>
    <s v="ZTO"/>
    <n v="14050"/>
    <n v="17.8"/>
    <n v="1"/>
    <n v="10.72"/>
    <n v="1.22"/>
    <n v="17.8"/>
    <n v="1.6604477611940298"/>
    <n v="15.64"/>
    <n v="8.15"/>
    <n v="1.5"/>
    <n v="14.590163934426231"/>
    <s v="YES"/>
    <n v="-7.2278706346440194E-2"/>
    <n v="-1.2706529882960327"/>
    <n v="-1.1600175891355125"/>
    <n v="4.8001536073733753E-2"/>
    <n v="-1.3472856555292947"/>
    <n v="-0.68033499129772335"/>
    <x v="0"/>
    <x v="1"/>
    <x v="1"/>
    <x v="0"/>
    <x v="1"/>
    <x v="0"/>
  </r>
  <r>
    <x v="2"/>
    <s v="LII"/>
    <n v="20029"/>
    <n v="556.09"/>
    <n v="21.73"/>
    <n v="24.02"/>
    <n v="22.45"/>
    <n v="25.590888173032674"/>
    <n v="23.151124063280601"/>
    <n v="131.47999999999999"/>
    <n v="19.84"/>
    <n v="4.05"/>
    <n v="24.770155902004458"/>
    <s v="NO"/>
    <n v="0.7196928411564576"/>
    <n v="5.1418755685975155"/>
    <n v="8.6913409496548599"/>
    <n v="2.7298193409286924"/>
    <n v="10.663170661493513"/>
    <n v="-8.3588678350321036E-2"/>
    <x v="0"/>
    <x v="0"/>
    <x v="0"/>
    <x v="1"/>
    <x v="0"/>
    <x v="0"/>
  </r>
  <r>
    <x v="2"/>
    <s v="CSL"/>
    <n v="16444"/>
    <n v="379.19"/>
    <n v="17.02"/>
    <n v="50.15"/>
    <n v="18.05"/>
    <n v="22.279083431257344"/>
    <n v="7.5611166500498506"/>
    <n v="33.200000000000003"/>
    <n v="11.14"/>
    <n v="2.52"/>
    <n v="21.00775623268698"/>
    <s v="NO"/>
    <n v="0.27795435780537803"/>
    <n v="0.47259459498838613"/>
    <n v="0.72256023727839447"/>
    <n v="0.45387988083481401"/>
    <n v="-1.4217560881991327"/>
    <n v="-0.45883514352457361"/>
    <x v="0"/>
    <x v="1"/>
    <x v="1"/>
    <x v="0"/>
    <x v="1"/>
    <x v="0"/>
  </r>
  <r>
    <x v="2"/>
    <s v="OC"/>
    <n v="11393"/>
    <n v="137.12"/>
    <n v="12.96"/>
    <n v="57.44"/>
    <n v="7.14"/>
    <n v="10.580246913580247"/>
    <n v="2.3871866295264628"/>
    <n v="12.26"/>
    <n v="9.32"/>
    <n v="2.92"/>
    <n v="19.20448179271709"/>
    <s v="NO"/>
    <n v="-1.282471664629941"/>
    <n v="-1.0770219230327891"/>
    <n v="-0.97530573867971737"/>
    <n v="-2.2236190127353745E-2"/>
    <n v="1.7377018855767221"/>
    <n v="-0.63868641367433243"/>
    <x v="0"/>
    <x v="1"/>
    <x v="1"/>
    <x v="0"/>
    <x v="1"/>
    <x v="0"/>
  </r>
  <r>
    <x v="2"/>
    <s v="TT"/>
    <n v="95958"/>
    <n v="427.77"/>
    <n v="12.56"/>
    <n v="33.520000000000003"/>
    <n v="12.15"/>
    <n v="34.058121019108277"/>
    <n v="12.761634844868734"/>
    <n v="38.630000000000003"/>
    <n v="11.36"/>
    <n v="2.69"/>
    <n v="35.207407407407402"/>
    <s v="NO"/>
    <n v="1.8490778403460086"/>
    <n v="2.0301743969946351"/>
    <n v="1.162837804109939"/>
    <n v="0.51143237292914168"/>
    <n v="-7.8986449344394707E-2"/>
    <n v="0.95738040461995921"/>
    <x v="0"/>
    <x v="1"/>
    <x v="1"/>
    <x v="0"/>
    <x v="1"/>
    <x v="0"/>
  </r>
  <r>
    <x v="2"/>
    <s v="BLDR"/>
    <n v="11900"/>
    <n v="112.96"/>
    <n v="11.21"/>
    <n v="38.46"/>
    <n v="7.84"/>
    <n v="10.076717216770739"/>
    <n v="2.9370774830993236"/>
    <n v="19.62"/>
    <n v="7.77"/>
    <n v="2.62"/>
    <n v="14.408163265306122"/>
    <s v="YES"/>
    <n v="-1.3496339709655572"/>
    <n v="-0.91232701095914859"/>
    <n v="-0.37853909192462171"/>
    <n v="-0.4277196571555737"/>
    <n v="-0.6318915947551681"/>
    <n v="-1.1170517473570341"/>
    <x v="0"/>
    <x v="1"/>
    <x v="1"/>
    <x v="0"/>
    <x v="1"/>
    <x v="0"/>
  </r>
  <r>
    <x v="2"/>
    <s v="ALLE"/>
    <n v="12279"/>
    <n v="139.6"/>
    <n v="7.39"/>
    <n v="18.670000000000002"/>
    <n v="7.12"/>
    <n v="18.89039242219215"/>
    <n v="7.477236207820031"/>
    <n v="42.05"/>
    <n v="11.53"/>
    <n v="2.84"/>
    <n v="19.606741573033705"/>
    <s v="NO"/>
    <n v="-0.17403944726643317"/>
    <n v="0.44747200571820872"/>
    <n v="1.4401396970314639"/>
    <n v="0.55590475318384969"/>
    <n v="1.1058102908215504"/>
    <n v="-0.59856665662763786"/>
    <x v="0"/>
    <x v="1"/>
    <x v="1"/>
    <x v="0"/>
    <x v="1"/>
    <x v="0"/>
  </r>
  <r>
    <x v="2"/>
    <s v="JCI"/>
    <n v="66706"/>
    <n v="103.54"/>
    <n v="4.3600000000000003"/>
    <n v="24.02"/>
    <n v="3.33"/>
    <n v="23.74770642201835"/>
    <n v="4.310574521232307"/>
    <n v="13.14"/>
    <n v="4.84"/>
    <n v="2.68"/>
    <n v="31.093093093093096"/>
    <s v="NO"/>
    <n v="0.47384371214138427"/>
    <n v="-0.50095815028624646"/>
    <n v="-0.90395320482856456"/>
    <n v="-1.1942142109573051"/>
    <n v="-0.15797289868878941"/>
    <n v="0.54703540176109455"/>
    <x v="0"/>
    <x v="1"/>
    <x v="1"/>
    <x v="0"/>
    <x v="1"/>
    <x v="0"/>
  </r>
  <r>
    <x v="2"/>
    <s v="MAS"/>
    <n v="13167"/>
    <n v="63.72"/>
    <n v="3.9"/>
    <n v="-1.2"/>
    <n v="3.66"/>
    <n v="16.338461538461537"/>
    <n v="-53.1"/>
    <n v="1116.5999999999999"/>
    <n v="16.04"/>
    <n v="-20.11"/>
    <n v="17.409836065573771"/>
    <s v="NO"/>
    <n v="-0.51442366858729727"/>
    <n v="-17.695696817854792"/>
    <n v="88.5672592990271"/>
    <n v="1.7357308411175729"/>
    <n v="-180.16809095456816"/>
    <n v="-0.81767709104507857"/>
    <x v="0"/>
    <x v="0"/>
    <x v="0"/>
    <x v="0"/>
    <x v="0"/>
    <x v="0"/>
  </r>
  <r>
    <x v="2"/>
    <s v="CARR"/>
    <n v="61040"/>
    <n v="71.650000000000006"/>
    <n v="0.59"/>
    <n v="16.11"/>
    <n v="1.5"/>
    <n v="121.44067796610172"/>
    <n v="4.4475481067659848"/>
    <n v="11.12"/>
    <n v="3.24"/>
    <n v="2.63"/>
    <n v="47.766666666666673"/>
    <s v="NO"/>
    <n v="13.504426264182174"/>
    <n v="-0.45993391342304635"/>
    <n v="-1.0677397029868925"/>
    <n v="-1.6127777898251447"/>
    <n v="-0.5529051454107734"/>
    <n v="2.2099899241979197"/>
    <x v="1"/>
    <x v="1"/>
    <x v="1"/>
    <x v="0"/>
    <x v="1"/>
    <x v="0"/>
  </r>
  <r>
    <x v="3"/>
    <s v="RSG"/>
    <n v="80402"/>
    <n v="249.4"/>
    <n v="7.49"/>
    <n v="37.380000000000003"/>
    <n v="6.63"/>
    <n v="33.297730307076101"/>
    <n v="6.6720171214553234"/>
    <n v="18.54"/>
    <n v="6.39"/>
    <n v="2.84"/>
    <n v="37.616892911010559"/>
    <s v="NO"/>
    <n v="-0.82813107093212013"/>
    <n v="-0.33512093850991898"/>
    <n v="-0.11257390780904609"/>
    <n v="-0.33243643908091369"/>
    <n v="1.2007501788217478"/>
    <n v="-0.48886553377293929"/>
    <x v="0"/>
    <x v="1"/>
    <x v="1"/>
    <x v="0"/>
    <x v="1"/>
    <x v="0"/>
  </r>
  <r>
    <x v="3"/>
    <s v="CLH"/>
    <n v="12151"/>
    <n v="225.32"/>
    <n v="6.28"/>
    <n v="47.94"/>
    <n v="7.22"/>
    <n v="35.878980891719742"/>
    <n v="4.7000417188151857"/>
    <n v="16.02"/>
    <n v="5.78"/>
    <n v="2.82"/>
    <n v="31.207756232686982"/>
    <s v="NO"/>
    <n v="-0.49411433451193582"/>
    <n v="-0.74972990181892807"/>
    <n v="-0.26606868028650593"/>
    <n v="-0.46411580780776907"/>
    <n v="1.1298862338421038"/>
    <n v="-0.909540640163919"/>
    <x v="0"/>
    <x v="1"/>
    <x v="1"/>
    <x v="0"/>
    <x v="1"/>
    <x v="0"/>
  </r>
  <r>
    <x v="3"/>
    <s v="WCN"/>
    <n v="50927"/>
    <n v="188.99"/>
    <n v="4.58"/>
    <n v="31.02"/>
    <n v="2.4300000000000002"/>
    <n v="41.264192139737993"/>
    <n v="6.0925209542230823"/>
    <n v="7.96"/>
    <n v="4"/>
    <n v="2.5299999999999998"/>
    <n v="77.773662551440324"/>
    <s v="NO"/>
    <n v="0.20273807365697269"/>
    <n v="-0.45696034117996792"/>
    <n v="-0.7570083097183814"/>
    <n v="-0.84836052310908516"/>
    <n v="0.10235903163726398"/>
    <n v="2.146895597354086"/>
    <x v="0"/>
    <x v="1"/>
    <x v="1"/>
    <x v="0"/>
    <x v="1"/>
    <x v="0"/>
  </r>
  <r>
    <x v="3"/>
    <s v="WM"/>
    <n v="96968"/>
    <n v="233.99"/>
    <n v="4.57"/>
    <n v="21.5"/>
    <n v="6.64"/>
    <n v="51.201312910284464"/>
    <n v="10.88325581395349"/>
    <n v="34.01"/>
    <n v="7"/>
    <n v="5.14"/>
    <n v="35.239457831325304"/>
    <s v="NO"/>
    <n v="1.4886127070372079"/>
    <n v="0.55029442022418751"/>
    <n v="0.82971344545536008"/>
    <n v="-0.20075707035405813"/>
    <n v="9.3501038514808208"/>
    <n v="-0.64491272160508328"/>
    <x v="0"/>
    <x v="1"/>
    <x v="1"/>
    <x v="0"/>
    <x v="0"/>
    <x v="0"/>
  </r>
  <r>
    <x v="3"/>
    <s v="CTAS"/>
    <n v="91458"/>
    <n v="224.6"/>
    <n v="4.5199999999999996"/>
    <n v="11.38"/>
    <n v="4.3099999999999996"/>
    <n v="49.690265486725664"/>
    <n v="19.736379613356764"/>
    <n v="40.299999999999997"/>
    <n v="15.53"/>
    <n v="2.09"/>
    <n v="52.111368909512763"/>
    <s v="NO"/>
    <n v="1.29308146648432"/>
    <n v="2.4116687941654762"/>
    <n v="1.2128412704090197"/>
    <n v="1.6405954136460688"/>
    <n v="-1.4566477579149064"/>
    <n v="0.46250522625059576"/>
    <x v="0"/>
    <x v="1"/>
    <x v="1"/>
    <x v="0"/>
    <x v="1"/>
    <x v="0"/>
  </r>
  <r>
    <x v="3"/>
    <s v="RBA"/>
    <n v="19501"/>
    <n v="106.16"/>
    <n v="3.49"/>
    <n v="28.54"/>
    <n v="2.0299999999999998"/>
    <n v="30.418338108882519"/>
    <n v="3.7196916608269097"/>
    <n v="7.39"/>
    <n v="4.0199999999999996"/>
    <n v="2.25"/>
    <n v="52.29556650246306"/>
    <s v="NO"/>
    <n v="-1.2007276683473762"/>
    <n v="-0.9558490657183677"/>
    <n v="-0.79172736539780686"/>
    <n v="-0.84404316675738511"/>
    <n v="-0.88973619807775295"/>
    <n v="0.47459536348754999"/>
    <x v="0"/>
    <x v="1"/>
    <x v="1"/>
    <x v="0"/>
    <x v="1"/>
    <x v="0"/>
  </r>
  <r>
    <x v="3"/>
    <s v="VLTO"/>
    <n v="25041"/>
    <n v="99.72"/>
    <n v="3.47"/>
    <n v="9.2899999999999991"/>
    <n v="3.5"/>
    <n v="28.737752161383284"/>
    <n v="10.734122712594187"/>
    <n v="46.04"/>
    <n v="12.53"/>
    <n v="2.89"/>
    <n v="28.491428571428571"/>
    <s v="NO"/>
    <n v="-1.4181973850795915"/>
    <n v="0.51893909983486863"/>
    <n v="1.5624682521632338"/>
    <n v="0.99299196089104158"/>
    <n v="1.3779100412708591"/>
    <n v="-1.0878316464639335"/>
    <x v="0"/>
    <x v="1"/>
    <x v="1"/>
    <x v="0"/>
    <x v="1"/>
    <x v="0"/>
  </r>
  <r>
    <x v="3"/>
    <s v="ROL"/>
    <n v="27746"/>
    <n v="57.06"/>
    <n v="1.24"/>
    <n v="2.8"/>
    <n v="0.99"/>
    <n v="46.016129032258064"/>
    <n v="20.37857142857143"/>
    <n v="37.83"/>
    <n v="14.88"/>
    <n v="2.17"/>
    <n v="57.63636363636364"/>
    <s v="NO"/>
    <n v="0.81764406610766449"/>
    <n v="2.5466899929061952"/>
    <n v="1.0623920291315097"/>
    <n v="1.5002813322158131"/>
    <n v="-1.1731919779963296"/>
    <n v="0.825148100194663"/>
    <x v="0"/>
    <x v="0"/>
    <x v="1"/>
    <x v="0"/>
    <x v="1"/>
    <x v="0"/>
  </r>
  <r>
    <x v="3"/>
    <s v="CPRT"/>
    <n v="49734"/>
    <n v="50.15"/>
    <n v="1.23"/>
    <n v="9.09"/>
    <n v="1.51"/>
    <n v="40.772357723577237"/>
    <n v="5.517051705170517"/>
    <n v="18.440000000000001"/>
    <n v="11.63"/>
    <n v="1.1000000000000001"/>
    <n v="33.211920529801326"/>
    <s v="NO"/>
    <n v="0.13909414558486621"/>
    <n v="-0.57795308198518314"/>
    <n v="-0.11866497020894516"/>
    <n v="0.79871092506453378"/>
    <n v="-4.964413034407289"/>
    <n v="-0.77799374528101761"/>
    <x v="0"/>
    <x v="1"/>
    <x v="1"/>
    <x v="0"/>
    <x v="0"/>
    <x v="0"/>
  </r>
  <r>
    <x v="3"/>
    <s v="GFL"/>
    <n v="18493"/>
    <n v="50.7"/>
    <n v="0.43"/>
    <n v="15.25"/>
    <n v="-1.47"/>
    <n v="117.90697674418605"/>
    <n v="3.3245901639344266"/>
    <n v="-9.64"/>
    <n v="1.6"/>
    <n v="2.42"/>
    <n v="-34.489795918367349"/>
    <s v="NO"/>
    <n v="10.120400828304692"/>
    <n v="-1.0389193828273504"/>
    <n v="-1.8290352921006408"/>
    <n v="-1.3664432853131068"/>
    <n v="-0.28739266575077821"/>
    <n v="-5.2217165427693777"/>
    <x v="1"/>
    <x v="1"/>
    <x v="1"/>
    <x v="0"/>
    <x v="1"/>
    <x v="1"/>
  </r>
  <r>
    <x v="3"/>
    <s v="RTO"/>
    <n v="11947"/>
    <n v="23.8"/>
    <n v="0.23"/>
    <n v="2.11"/>
    <n v="0.15"/>
    <n v="103.47826086956522"/>
    <n v="11.279620853080569"/>
    <n v="7.38"/>
    <n v="3.87"/>
    <n v="2.5"/>
    <n v="158.66666666666669"/>
    <s v="NO"/>
    <n v="8.253308723475083"/>
    <n v="0.63363039781518327"/>
    <n v="-0.79233647163779686"/>
    <n v="-0.87642333939513639"/>
    <n v="-3.9368858322014928E-3"/>
    <n v="7.4564520665663903"/>
    <x v="1"/>
    <x v="1"/>
    <x v="1"/>
    <x v="0"/>
    <x v="1"/>
    <x v="1"/>
  </r>
  <r>
    <x v="4"/>
    <s v="EME"/>
    <n v="21120"/>
    <n v="473.79"/>
    <n v="28.19"/>
    <n v="65.08"/>
    <n v="22.63"/>
    <n v="16.807023767293366"/>
    <n v="7.2801167793484947"/>
    <n v="37.74"/>
    <n v="11.97"/>
    <n v="2.74"/>
    <n v="20.936367653557227"/>
    <s v="NO"/>
    <n v="-0.61389284144058576"/>
    <n v="0.71447724174351179"/>
    <n v="1.744237890823946"/>
    <n v="6.1376899291595537"/>
    <n v="0.31909167385699355"/>
    <n v="-0.95713513153749397"/>
    <x v="0"/>
    <x v="1"/>
    <x v="1"/>
    <x v="1"/>
    <x v="1"/>
    <x v="0"/>
  </r>
  <r>
    <x v="4"/>
    <s v="FIX"/>
    <n v="16869"/>
    <n v="501.33"/>
    <n v="14.21"/>
    <n v="50.44"/>
    <n v="16.66"/>
    <n v="35.280084447572129"/>
    <n v="9.9391356066613792"/>
    <n v="37.81"/>
    <n v="12.1"/>
    <n v="2.57"/>
    <n v="30.091836734693878"/>
    <s v="NO"/>
    <n v="0.83912476344865639"/>
    <n v="2.2104158799085449"/>
    <n v="1.7502703341222501"/>
    <n v="6.2426940009859377"/>
    <n v="-0.34854628990533071"/>
    <n v="-0.58165734967867422"/>
    <x v="0"/>
    <x v="1"/>
    <x v="1"/>
    <x v="1"/>
    <x v="1"/>
    <x v="0"/>
  </r>
  <r>
    <x v="4"/>
    <s v="MTZ"/>
    <n v="12303"/>
    <n v="162.32"/>
    <n v="11.8"/>
    <n v="36.99"/>
    <n v="2.7"/>
    <n v="13.755932203389829"/>
    <n v="4.3882130305487967"/>
    <n v="8.7200000000000006"/>
    <n v="3.35"/>
    <n v="3.07"/>
    <n v="60.118518518518513"/>
    <s v="NO"/>
    <n v="-0.85387958934391095"/>
    <n v="-0.91248023266278921"/>
    <n v="-0.75664074513015034"/>
    <n v="-0.82488775655919622"/>
    <n v="1.615094779983854"/>
    <n v="0.64977620908895517"/>
    <x v="0"/>
    <x v="1"/>
    <x v="1"/>
    <x v="0"/>
    <x v="1"/>
    <x v="0"/>
  </r>
  <r>
    <x v="4"/>
    <s v="PWR"/>
    <n v="50767"/>
    <n v="355.66"/>
    <n v="9.7100000000000009"/>
    <n v="50.29"/>
    <n v="6.19"/>
    <n v="36.628218331616893"/>
    <n v="7.0721813481805533"/>
    <n v="13.73"/>
    <n v="5.01"/>
    <n v="2.57"/>
    <n v="57.45718901453958"/>
    <s v="NO"/>
    <n v="0.94516362193386516"/>
    <n v="0.59749475085909232"/>
    <n v="-0.32489016049438119"/>
    <n v="0.51593346830079478"/>
    <n v="-0.34854628990533071"/>
    <n v="0.54063159944702255"/>
    <x v="0"/>
    <x v="1"/>
    <x v="1"/>
    <x v="0"/>
    <x v="1"/>
    <x v="0"/>
  </r>
  <r>
    <x v="4"/>
    <s v="BOUYY"/>
    <n v="16405"/>
    <n v="8.66"/>
    <n v="9.06"/>
    <n v="35.770000000000003"/>
    <n v="2.99"/>
    <n v="0.95584988962472406"/>
    <n v="0.24210232038020685"/>
    <n v="8.48"/>
    <n v="2.2799999999999998"/>
    <n v="5.04"/>
    <n v="2.8963210702341136"/>
    <s v="NO"/>
    <n v="-1.8606832407706362"/>
    <n v="-3.2450425845130484"/>
    <n v="-0.77732340786719323"/>
    <n v="-1.6891520400532871"/>
    <n v="9.3518405953472428"/>
    <n v="-1.6969810766995954"/>
    <x v="0"/>
    <x v="0"/>
    <x v="1"/>
    <x v="0"/>
    <x v="0"/>
    <x v="0"/>
  </r>
  <r>
    <x v="4"/>
    <s v="WSPOF"/>
    <n v="26674"/>
    <n v="201.48099999999999"/>
    <n v="8.0299999999999994"/>
    <n v="45"/>
    <n v="3.81"/>
    <n v="25.091033623910338"/>
    <n v="4.4773555555555555"/>
    <n v="9.42"/>
    <n v="5.26"/>
    <n v="2.36"/>
    <n v="52.88215223097113"/>
    <s v="NO"/>
    <n v="3.7694481800904782E-2"/>
    <n v="-0.86232949807924963"/>
    <n v="-0.69631631214710876"/>
    <n v="0.71786437565922723"/>
    <n v="-1.1732755392587881"/>
    <n v="0.35300334706658604"/>
    <x v="0"/>
    <x v="1"/>
    <x v="1"/>
    <x v="0"/>
    <x v="1"/>
    <x v="0"/>
  </r>
  <r>
    <x v="4"/>
    <s v="ACM"/>
    <n v="14533"/>
    <n v="110.93"/>
    <n v="6.25"/>
    <n v="17.309999999999999"/>
    <n v="4.67"/>
    <n v="17.748800000000003"/>
    <n v="6.4084344309647614"/>
    <n v="28.33"/>
    <n v="5.3"/>
    <n v="5.16"/>
    <n v="23.753747323340473"/>
    <s v="NO"/>
    <n v="-0.53981646234603264"/>
    <n v="0.22407706414438511"/>
    <n v="0.93330515600905772"/>
    <n v="0.7501733208365764"/>
    <n v="9.823114452120647"/>
    <n v="-0.84159070015014947"/>
    <x v="0"/>
    <x v="1"/>
    <x v="1"/>
    <x v="0"/>
    <x v="0"/>
    <x v="0"/>
  </r>
  <r>
    <x v="4"/>
    <s v="STN"/>
    <n v="11742"/>
    <n v="104.98"/>
    <n v="3.45"/>
    <n v="18.52"/>
    <n v="2.34"/>
    <n v="30.428985507246377"/>
    <n v="5.6684665226781865"/>
    <n v="13.04"/>
    <n v="6.34"/>
    <n v="2.2799999999999998"/>
    <n v="44.863247863247871"/>
    <s v="NO"/>
    <n v="0.45755658233626167"/>
    <n v="-0.19222182536994389"/>
    <n v="-0.38435281586337944"/>
    <n v="1.5902058954476552"/>
    <n v="-1.487458110441058"/>
    <n v="2.4137573150726191E-2"/>
    <x v="0"/>
    <x v="1"/>
    <x v="1"/>
    <x v="0"/>
    <x v="1"/>
    <x v="0"/>
  </r>
  <r>
    <x v="4"/>
    <s v="APG"/>
    <n v="12920"/>
    <n v="47.69"/>
    <n v="2.19"/>
    <n v="10.77"/>
    <n v="0.51"/>
    <n v="21.776255707762555"/>
    <n v="4.4280408542246983"/>
    <n v="9.09"/>
    <n v="3.87"/>
    <n v="2.72"/>
    <n v="93.509803921568619"/>
    <s v="NO"/>
    <n v="-0.22303278758995845"/>
    <n v="-0.89007347882606869"/>
    <n v="-0.72475497341054274"/>
    <n v="-0.4048714692536568"/>
    <n v="0.24054603106142611"/>
    <n v="2.0191965703442722"/>
    <x v="0"/>
    <x v="1"/>
    <x v="1"/>
    <x v="0"/>
    <x v="1"/>
    <x v="0"/>
  </r>
  <r>
    <x v="4"/>
    <s v="SNCAF"/>
    <n v="11318"/>
    <n v="68.61"/>
    <n v="1.44"/>
    <n v="15.49"/>
    <n v="1.22"/>
    <n v="47.645833333333336"/>
    <n v="4.429309231762427"/>
    <n v="8.64"/>
    <n v="3.56"/>
    <n v="2.96"/>
    <n v="56.23770491803279"/>
    <s v="NO"/>
    <n v="1.811765471971432"/>
    <n v="-0.88935990171748291"/>
    <n v="-0.76353496604249793"/>
    <n v="-0.65526579437811305"/>
    <n v="1.1830937446082339"/>
    <n v="0.4906189589683515"/>
    <x v="0"/>
    <x v="1"/>
    <x v="1"/>
    <x v="0"/>
    <x v="1"/>
    <x v="0"/>
  </r>
  <r>
    <x v="5"/>
    <s v="HUBB"/>
    <n v="20793"/>
    <n v="392.34"/>
    <n v="14.36"/>
    <n v="61.11"/>
    <n v="14.79"/>
    <n v="27.321727019498606"/>
    <n v="6.4202258222876774"/>
    <n v="25.92"/>
    <n v="10.07"/>
    <n v="2.12"/>
    <n v="26.527383367139958"/>
    <s v="YES"/>
    <n v="-0.59841994639031348"/>
    <n v="-0.50542684577223196"/>
    <n v="0.54368753598429598"/>
    <n v="1.090336526977125"/>
    <n v="-0.76089172344556644"/>
    <n v="-1.0614471549541475"/>
    <x v="0"/>
    <x v="1"/>
    <x v="1"/>
    <x v="0"/>
    <x v="1"/>
    <x v="0"/>
  </r>
  <r>
    <x v="5"/>
    <s v="GEV"/>
    <n v="129093"/>
    <n v="480"/>
    <n v="12.12"/>
    <n v="31.54"/>
    <n v="6.93"/>
    <n v="39.603960396039604"/>
    <n v="15.218769816106532"/>
    <n v="19.64"/>
    <n v="1.75"/>
    <n v="5.99"/>
    <n v="69.264069264069263"/>
    <s v="NO"/>
    <n v="1.4255195404137635"/>
    <n v="1.4300456001727559"/>
    <n v="-0.17267390665538507"/>
    <n v="-1.8633793556275728"/>
    <n v="5.4477097187653971"/>
    <n v="1.6834187879792788"/>
    <x v="0"/>
    <x v="1"/>
    <x v="1"/>
    <x v="0"/>
    <x v="0"/>
    <x v="0"/>
  </r>
  <r>
    <x v="5"/>
    <s v="ROK"/>
    <n v="35568"/>
    <n v="324.35000000000002"/>
    <n v="9.44"/>
    <n v="30.51"/>
    <n v="7.94"/>
    <n v="34.35911016949153"/>
    <n v="10.630940675188462"/>
    <n v="24.44"/>
    <n v="7.11"/>
    <n v="3.2"/>
    <n v="40.850125944584384"/>
    <s v="NO"/>
    <n v="0.56124191675624147"/>
    <n v="0.4208312466173848"/>
    <n v="0.3748635017316323"/>
    <n v="3.9495299511992245E-2"/>
    <n v="0.97174123717144667"/>
    <n v="-0.14153473111656362"/>
    <x v="0"/>
    <x v="1"/>
    <x v="1"/>
    <x v="0"/>
    <x v="1"/>
    <x v="0"/>
  </r>
  <r>
    <x v="5"/>
    <s v="ETN"/>
    <n v="125294"/>
    <n v="325.81"/>
    <n v="8.39"/>
    <n v="47.29"/>
    <n v="9.91"/>
    <n v="38.833134684147794"/>
    <n v="6.8896172552336647"/>
    <n v="20.81"/>
    <n v="7.82"/>
    <n v="2.12"/>
    <n v="32.876892028254289"/>
    <s v="NO"/>
    <n v="1.2984982937143246"/>
    <n v="-0.40217178613192922"/>
    <n v="-3.9211663361049816E-2"/>
    <n v="0.29155518853234502"/>
    <n v="-0.76089172344556644"/>
    <n v="-0.65363476350463157"/>
    <x v="0"/>
    <x v="1"/>
    <x v="1"/>
    <x v="0"/>
    <x v="1"/>
    <x v="0"/>
  </r>
  <r>
    <x v="5"/>
    <s v="EMR"/>
    <n v="67151"/>
    <n v="125.6"/>
    <n v="4.8600000000000003"/>
    <n v="34.22"/>
    <n v="3.46"/>
    <n v="25.843621399176953"/>
    <n v="3.6703682057276446"/>
    <n v="8.33"/>
    <n v="4.72"/>
    <n v="2.1800000000000002"/>
    <n v="36.300578034682083"/>
    <s v="NO"/>
    <n v="-0.84199098423998997"/>
    <n v="-1.1103307538350773"/>
    <n v="-1.4628089251672944"/>
    <n v="-0.80898798888046319"/>
    <n v="-0.66463433674462113"/>
    <n v="-0.43374033507360921"/>
    <x v="0"/>
    <x v="1"/>
    <x v="1"/>
    <x v="0"/>
    <x v="1"/>
    <x v="0"/>
  </r>
  <r>
    <x v="5"/>
    <s v="VRT"/>
    <n v="41133"/>
    <n v="112"/>
    <n v="3.45"/>
    <n v="7"/>
    <n v="1.71"/>
    <n v="32.463768115942024"/>
    <n v="16"/>
    <n v="32.82"/>
    <n v="10.8"/>
    <n v="3.54"/>
    <n v="65.497076023391813"/>
    <s v="NO"/>
    <n v="0.24891617716347147"/>
    <n v="1.6018978402625466"/>
    <n v="1.3307725605406331"/>
    <n v="1.3494966945614317"/>
    <n v="1.5171997618101358"/>
    <n v="1.4414746307151123"/>
    <x v="0"/>
    <x v="1"/>
    <x v="1"/>
    <x v="0"/>
    <x v="1"/>
    <x v="0"/>
  </r>
  <r>
    <x v="5"/>
    <s v="NVT"/>
    <n v="10833"/>
    <n v="68.319999999999993"/>
    <n v="3.23"/>
    <n v="21.96"/>
    <n v="1.44"/>
    <n v="21.151702786377708"/>
    <n v="3.1111111111111107"/>
    <n v="7.11"/>
    <n v="5.1100000000000003"/>
    <n v="1.86"/>
    <n v="47.444444444444443"/>
    <s v="NO"/>
    <n v="-1.6151532470132262"/>
    <n v="-1.2333541424309604"/>
    <n v="-1.6019746831323283"/>
    <n v="-0.67053255688336777"/>
    <n v="-1.1780070658163289"/>
    <n v="0.28200115818416166"/>
    <x v="0"/>
    <x v="1"/>
    <x v="1"/>
    <x v="0"/>
    <x v="1"/>
    <x v="0"/>
  </r>
  <r>
    <x v="5"/>
    <s v="ABBNY"/>
    <n v="103507"/>
    <n v="57.5"/>
    <n v="2.0499999999999998"/>
    <n v="7.37"/>
    <n v="2.2400000000000002"/>
    <n v="28.04878048780488"/>
    <n v="7.8018995929443689"/>
    <n v="30.16"/>
    <n v="8.61"/>
    <n v="3.14"/>
    <n v="25.669642857142854"/>
    <s v="NO"/>
    <n v="-0.47861175040427201"/>
    <n v="-0.20149115888249067"/>
    <n v="1.0273455800594944"/>
    <n v="0.57201619180851193"/>
    <n v="0.87548385047050148"/>
    <n v="-1.1165375922295977"/>
    <x v="0"/>
    <x v="1"/>
    <x v="1"/>
    <x v="0"/>
    <x v="1"/>
    <x v="0"/>
  </r>
  <r>
    <x v="6"/>
    <s v="UNP"/>
    <n v="132436"/>
    <n v="224.14"/>
    <n v="9.6999999999999993"/>
    <n v="26.78"/>
    <n v="11.1"/>
    <n v="23.10721649484536"/>
    <n v="8.3696788648244951"/>
    <n v="42.47"/>
    <n v="8.99"/>
    <n v="4.2699999999999996"/>
    <n v="20.192792792792794"/>
    <s v="NO"/>
    <n v="-0.8469169505017472"/>
    <n v="1.4113280996047111"/>
    <n v="2.0578318380752987"/>
    <n v="1.5360059315717873"/>
    <n v="1.5860674621750079"/>
    <n v="-0.69871724043901917"/>
    <x v="0"/>
    <x v="1"/>
    <x v="1"/>
    <x v="0"/>
    <x v="1"/>
    <x v="0"/>
  </r>
  <r>
    <x v="6"/>
    <s v="NSC"/>
    <n v="55712"/>
    <n v="250.57"/>
    <n v="8.35"/>
    <n v="64.37"/>
    <n v="14.65"/>
    <n v="30.008383233532935"/>
    <n v="3.89265185645487"/>
    <n v="24.54"/>
    <n v="6.74"/>
    <n v="3.02"/>
    <n v="17.103754266211602"/>
    <s v="NO"/>
    <n v="-0.26554428860786217"/>
    <n v="-0.32333360234557101"/>
    <n v="0.59983954921768146"/>
    <n v="0.54315801288801224"/>
    <n v="0.45663730177431205"/>
    <n v="-1.1614190638906359"/>
    <x v="0"/>
    <x v="1"/>
    <x v="1"/>
    <x v="0"/>
    <x v="1"/>
    <x v="0"/>
  </r>
  <r>
    <x v="6"/>
    <s v="JBHT"/>
    <n v="13773"/>
    <n v="141.63999999999999"/>
    <n v="5.07"/>
    <n v="38.979999999999997"/>
    <n v="5.52"/>
    <n v="27.936883629191318"/>
    <n v="3.6336582863006668"/>
    <n v="13.97"/>
    <n v="6.11"/>
    <n v="2.14"/>
    <n v="25.659420289855071"/>
    <s v="YES"/>
    <n v="-0.4400529310866621"/>
    <n v="-0.4236828355215122"/>
    <n v="-0.25966845375080794"/>
    <n v="0.2651605956565552"/>
    <n v="-0.33848153114777807"/>
    <n v="0.12011958832041671"/>
    <x v="0"/>
    <x v="1"/>
    <x v="1"/>
    <x v="0"/>
    <x v="1"/>
    <x v="0"/>
  </r>
  <r>
    <x v="6"/>
    <s v="ODFL"/>
    <n v="33848"/>
    <n v="162.21"/>
    <n v="3.89"/>
    <n v="19.98"/>
    <n v="5.33"/>
    <n v="41.699228791773777"/>
    <n v="8.1186186186186191"/>
    <n v="26.59"/>
    <n v="16.78"/>
    <n v="1.3"/>
    <n v="30.433395872420263"/>
    <s v="NO"/>
    <n v="0.71932367058556335"/>
    <n v="1.3140526993979704"/>
    <n v="0.76653693862973482"/>
    <n v="4.9734660589258359"/>
    <n v="-1.097458598937046"/>
    <n v="0.83520526567878561"/>
    <x v="0"/>
    <x v="1"/>
    <x v="1"/>
    <x v="1"/>
    <x v="1"/>
    <x v="0"/>
  </r>
  <r>
    <x v="6"/>
    <s v="UBER"/>
    <n v="175993"/>
    <n v="87.12"/>
    <n v="3.71"/>
    <n v="10.51"/>
    <n v="5.66"/>
    <n v="23.482479784366578"/>
    <n v="8.2892483349191259"/>
    <n v="69.38"/>
    <n v="5.21"/>
    <n v="2.4"/>
    <n v="15.392226148409895"/>
    <s v="NO"/>
    <n v="-0.8153037717740157"/>
    <n v="1.3801646155261955"/>
    <n v="4.246040008357423"/>
    <n v="-0.13197857181695505"/>
    <n v="-0.10356005778443343"/>
    <n v="-1.4177859476899237"/>
    <x v="0"/>
    <x v="1"/>
    <x v="0"/>
    <x v="0"/>
    <x v="1"/>
    <x v="0"/>
  </r>
  <r>
    <x v="6"/>
    <s v="CNI"/>
    <n v="65850"/>
    <n v="104.6"/>
    <n v="3.59"/>
    <n v="23.95"/>
    <n v="4.96"/>
    <n v="29.136490250696379"/>
    <n v="4.3674321503131521"/>
    <n v="21.73"/>
    <n v="7.72"/>
    <n v="2.65"/>
    <n v="21.088709677419352"/>
    <s v="NO"/>
    <n v="-0.33899487508285092"/>
    <n v="-0.13937599140040438"/>
    <n v="0.37134215202359871"/>
    <n v="0.97559843969250071"/>
    <n v="0.12232597429570582"/>
    <n v="-0.56451937511274985"/>
    <x v="0"/>
    <x v="1"/>
    <x v="1"/>
    <x v="0"/>
    <x v="1"/>
    <x v="0"/>
  </r>
  <r>
    <x v="6"/>
    <s v="CP"/>
    <n v="75972"/>
    <n v="81.66"/>
    <n v="1.75"/>
    <n v="36.04"/>
    <n v="2.86"/>
    <n v="46.662857142857142"/>
    <n v="2.2658157602663707"/>
    <n v="8.27"/>
    <n v="4.29"/>
    <n v="1.82"/>
    <n v="28.552447552447553"/>
    <s v="NO"/>
    <n v="1.1374729395988898"/>
    <n v="-0.95366490616233557"/>
    <n v="-0.72316851211602939"/>
    <n v="-0.53794305412320975"/>
    <n v="-0.62761565221035642"/>
    <n v="0.55346121814408011"/>
    <x v="0"/>
    <x v="1"/>
    <x v="1"/>
    <x v="0"/>
    <x v="1"/>
    <x v="0"/>
  </r>
  <r>
    <x v="6"/>
    <s v="CSX"/>
    <n v="59343"/>
    <n v="31.98"/>
    <n v="1.41"/>
    <n v="6.48"/>
    <n v="1.68"/>
    <n v="22.680851063829788"/>
    <n v="4.9351851851851851"/>
    <n v="26.12"/>
    <n v="7.45"/>
    <n v="3.55"/>
    <n v="19.035714285714288"/>
    <s v="NO"/>
    <n v="-0.8828351096993029"/>
    <n v="8.06046886172508E-2"/>
    <n v="0.72831851276453241"/>
    <n v="0.85645668945044795"/>
    <n v="0.93551568978420707"/>
    <n v="-0.87203406070361977"/>
    <x v="0"/>
    <x v="1"/>
    <x v="1"/>
    <x v="0"/>
    <x v="1"/>
    <x v="0"/>
  </r>
  <r>
    <x v="6"/>
    <s v="XPO"/>
    <n v="13410"/>
    <n v="119.54"/>
    <n v="1.06"/>
    <n v="13.92"/>
    <n v="3.25"/>
    <n v="112.77358490566037"/>
    <n v="8.5876436781609193"/>
    <n v="26.18"/>
    <n v="5.81"/>
    <n v="4.8"/>
    <n v="36.78153846153846"/>
    <s v="NO"/>
    <n v="6.7068166802360309"/>
    <n v="1.4957803964884695"/>
    <n v="0.73319746074732406"/>
    <n v="0.13278087316538487"/>
    <n v="2.0649458501849036"/>
    <n v="1.7860827397667263"/>
    <x v="1"/>
    <x v="1"/>
    <x v="1"/>
    <x v="0"/>
    <x v="1"/>
    <x v="0"/>
  </r>
  <r>
    <x v="6"/>
    <s v="YMM"/>
    <n v="12164"/>
    <n v="12.36"/>
    <n v="0.38"/>
    <n v="5.05"/>
    <n v="0.49"/>
    <n v="32.526315789473685"/>
    <n v="2.4475247524752475"/>
    <n v="10.32"/>
    <n v="5.13"/>
    <n v="1.1100000000000001"/>
    <n v="25.224489795918366"/>
    <s v="YES"/>
    <n v="-5.3426945563498147E-2"/>
    <n v="-0.88326023156567579"/>
    <n v="-0.55647112270397603"/>
    <n v="-0.16727983114793374"/>
    <n v="-1.269131983317952"/>
    <n v="5.4972089871456811E-2"/>
    <x v="0"/>
    <x v="1"/>
    <x v="1"/>
    <x v="0"/>
    <x v="1"/>
    <x v="0"/>
  </r>
  <r>
    <x v="6"/>
    <s v="GRAB"/>
    <n v="20084"/>
    <n v="4.9800000000000004"/>
    <n v="0.2"/>
    <n v="1.57"/>
    <n v="0.01"/>
    <n v="24.900000000000002"/>
    <n v="3.1719745222929938"/>
    <n v="-0.52"/>
    <n v="-0.71"/>
    <n v="1.49"/>
    <n v="498.00000000000006"/>
    <s v="NO"/>
    <n v="-0.69588809435945698"/>
    <n v="-0.60256608602216288"/>
    <n v="-1.4379343915950287"/>
    <n v="-2.7442717623093769"/>
    <n v="-0.92578521455614027"/>
    <n v="70.871211114511993"/>
    <x v="0"/>
    <x v="1"/>
    <x v="1"/>
    <x v="1"/>
    <x v="1"/>
    <x v="1"/>
  </r>
  <r>
    <x v="6"/>
    <s v="DIDIY"/>
    <n v="21326"/>
    <n v="5.01"/>
    <n v="0.08"/>
    <n v="2.87"/>
    <n v="0.03"/>
    <n v="62.624999999999993"/>
    <n v="1.7456445993031358"/>
    <n v="1.29"/>
    <n v="0.84"/>
    <n v="1.46"/>
    <n v="167"/>
    <s v="NO"/>
    <n v="2.482166356490946"/>
    <n v="-1.1552095896532071"/>
    <n v="-1.2907527941141428"/>
    <n v="-2.0603098627716649"/>
    <n v="-0.95289153840575702"/>
    <n v="21.291284465947506"/>
    <x v="0"/>
    <x v="1"/>
    <x v="1"/>
    <x v="0"/>
    <x v="1"/>
    <x v="1"/>
  </r>
  <r>
    <x v="6"/>
    <s v="UHAL"/>
    <n v="12047"/>
    <n v="63.52"/>
    <n v="-10.130000000000001"/>
    <n v="39.020000000000003"/>
    <n v="1.87"/>
    <n v="-6.2704837117472847"/>
    <n v="1.6278831368528959"/>
    <n v="5"/>
    <n v="2.31"/>
    <n v="2.68"/>
    <n v="33.967914438502675"/>
    <s v="NO"/>
    <n v="-3.3217726402912917"/>
    <n v="-1.2008372569637238"/>
    <n v="-0.98907117717818271"/>
    <n v="-1.411649222564932"/>
    <n v="0.14943229814532277"/>
    <n v="1.3646347860544812"/>
    <x v="1"/>
    <x v="1"/>
    <x v="1"/>
    <x v="0"/>
    <x v="1"/>
    <x v="0"/>
  </r>
  <r>
    <x v="7"/>
    <s v="HON"/>
    <n v="145807"/>
    <n v="227.13"/>
    <n v="7.79"/>
    <n v="27.17"/>
    <n v="8.6999999999999993"/>
    <n v="29.156611039794608"/>
    <n v="8.3595877806404122"/>
    <n v="32.68"/>
    <n v="7.41"/>
    <n v="4.3099999999999996"/>
    <n v="26.106896551724141"/>
    <s v="NO"/>
    <n v="0.70915209201716201"/>
    <n v="-0.43899024378904455"/>
    <n v="-0.50255674028682551"/>
    <n v="0.17011912509595437"/>
    <n v="-0.28527730648415744"/>
    <n v="0.11258659946528594"/>
    <x v="0"/>
    <x v="1"/>
    <x v="1"/>
    <x v="0"/>
    <x v="1"/>
    <x v="0"/>
  </r>
  <r>
    <x v="7"/>
    <s v="LFCBY"/>
    <n v="17796"/>
    <n v="21.3"/>
    <n v="0.79"/>
    <n v="3.64"/>
    <n v="0.66"/>
    <n v="26.962025316455694"/>
    <n v="5.8516483516483513"/>
    <n v="20.09"/>
    <n v="8.69"/>
    <n v="2.11"/>
    <n v="32.272727272727273"/>
    <s v="NO"/>
    <n v="0.7050594964260628"/>
    <n v="-0.94474955788440085"/>
    <n v="-0.89352621671593802"/>
    <n v="1.1307918315201673"/>
    <n v="-1.0569290371380258"/>
    <n v="1.1645642649388603"/>
    <x v="0"/>
    <x v="1"/>
    <x v="1"/>
    <x v="0"/>
    <x v="1"/>
    <x v="0"/>
  </r>
  <r>
    <x v="7"/>
    <s v="MMM"/>
    <n v="79839"/>
    <n v="144.22999999999999"/>
    <n v="-0.13"/>
    <n v="8.2899999999999991"/>
    <n v="8.0299999999999994"/>
    <n v="-1109.4615384615383"/>
    <n v="17.398069963811821"/>
    <n v="93.82"/>
    <n v="5.45"/>
    <n v="8.9499999999999993"/>
    <n v="17.961394769613946"/>
    <s v="NO"/>
    <n v="-1.4142115884432249"/>
    <n v="1.3837398016734457"/>
    <n v="1.3960829570027642"/>
    <n v="-1.3009109566161221"/>
    <n v="1.3422063436221829"/>
    <n v="-1.2771508644041456"/>
    <x v="0"/>
    <x v="1"/>
    <x v="1"/>
    <x v="0"/>
    <x v="1"/>
    <x v="0"/>
  </r>
  <r>
    <x v="8"/>
    <s v="IDTRY"/>
    <n v="10041"/>
    <n v="13.87"/>
    <m/>
    <m/>
    <m/>
    <s v=""/>
    <s v=""/>
    <n v="17.39"/>
    <n v="7.25"/>
    <n v="2.0499999999999998"/>
    <s v=""/>
    <s v="NO"/>
    <e v="#VALUE!"/>
    <e v="#VALUE!"/>
    <n v="-2.9650438318826492E-3"/>
    <n v="7.1565384052698082E-4"/>
    <n v="-0.23982535613891509"/>
    <e v="#VALUE!"/>
    <x v="1"/>
    <x v="0"/>
    <x v="1"/>
    <x v="0"/>
    <x v="1"/>
    <x v="1"/>
  </r>
  <r>
    <x v="8"/>
    <s v="PH"/>
    <n v="84934"/>
    <n v="669.88"/>
    <n v="24.3"/>
    <n v="104.8"/>
    <n v="25.99"/>
    <n v="27.56707818930041"/>
    <n v="6.3919847328244277"/>
    <n v="27.15"/>
    <n v="8.82"/>
    <n v="2.16"/>
    <n v="25.774528664871106"/>
    <s v="NO"/>
    <n v="0.70520423476752769"/>
    <n v="1.1270798701629932"/>
    <n v="1.2703433793319647"/>
    <n v="0.54003238806123066"/>
    <n v="-9.8614319190940145E-2"/>
    <n v="0.15421880140857949"/>
    <x v="0"/>
    <x v="1"/>
    <x v="1"/>
    <x v="0"/>
    <x v="1"/>
    <x v="0"/>
  </r>
  <r>
    <x v="8"/>
    <s v="SNA"/>
    <n v="16772"/>
    <n v="320.76"/>
    <n v="20.62"/>
    <n v="105.58"/>
    <n v="19.11"/>
    <n v="15.555771096023276"/>
    <n v="3.0380753930668685"/>
    <n v="19.54"/>
    <n v="10.83"/>
    <n v="1.46"/>
    <n v="16.784929356357928"/>
    <s v="YES"/>
    <n v="-1.7378905277578118"/>
    <n v="-0.6176200962153009"/>
    <n v="0.27752810266425165"/>
    <n v="1.2304952134011122"/>
    <n v="-0.99723000885986923"/>
    <n v="-1.0865647648936001"/>
    <x v="0"/>
    <x v="1"/>
    <x v="1"/>
    <x v="0"/>
    <x v="1"/>
    <x v="0"/>
  </r>
  <r>
    <x v="8"/>
    <s v="CAT"/>
    <n v="163684"/>
    <n v="358.07"/>
    <n v="16.34"/>
    <n v="38.36"/>
    <n v="20.51"/>
    <n v="21.913708690330477"/>
    <n v="9.3344629822732017"/>
    <n v="55.65"/>
    <n v="9.4"/>
    <n v="4.7"/>
    <n v="17.458313018039981"/>
    <s v="NO"/>
    <n v="-0.44468872078637062"/>
    <n v="2.6577538338346631"/>
    <n v="4.9885083445132814"/>
    <n v="0.73927041726378362"/>
    <n v="3.1620768976077449"/>
    <n v="-0.99362142531224251"/>
    <x v="0"/>
    <x v="1"/>
    <x v="0"/>
    <x v="0"/>
    <x v="0"/>
    <x v="0"/>
  </r>
  <r>
    <x v="8"/>
    <s v="DE"/>
    <n v="137109"/>
    <n v="521.67999999999995"/>
    <n v="15.9"/>
    <n v="89.68"/>
    <n v="20.67"/>
    <n v="32.810062893081756"/>
    <n v="5.8171275646743972"/>
    <n v="23.91"/>
    <n v="4.33"/>
    <n v="4.38"/>
    <n v="25.238509917755195"/>
    <s v="NO"/>
    <n v="1.7716250972378644"/>
    <n v="0.8280398006970191"/>
    <n v="0.84764673065872043"/>
    <n v="-1.002344769041291"/>
    <n v="2.7512811537590913"/>
    <n v="8.023516433796278E-2"/>
    <x v="0"/>
    <x v="1"/>
    <x v="1"/>
    <x v="0"/>
    <x v="1"/>
    <x v="0"/>
  </r>
  <r>
    <x v="8"/>
    <s v="ITW"/>
    <n v="71898"/>
    <n v="247.28"/>
    <n v="9.6300000000000008"/>
    <n v="11.06"/>
    <n v="11.37"/>
    <n v="25.678089304257526"/>
    <n v="22.358047016274863"/>
    <n v="107.58"/>
    <n v="16.54"/>
    <n v="4.7699999999999996"/>
    <n v="21.748460861917327"/>
    <s v="NO"/>
    <n v="0.32098469765321075"/>
    <n v="9.4326079889234489"/>
    <n v="11.763396296859451"/>
    <n v="3.1919592595159001"/>
    <n v="3.2519384665746367"/>
    <n v="-0.40147657446792234"/>
    <x v="0"/>
    <x v="0"/>
    <x v="0"/>
    <x v="1"/>
    <x v="0"/>
    <x v="0"/>
  </r>
  <r>
    <x v="8"/>
    <s v="LECO"/>
    <n v="10807"/>
    <n v="202.99"/>
    <n v="9.4600000000000009"/>
    <n v="24.01"/>
    <n v="8.11"/>
    <n v="21.457716701902747"/>
    <n v="8.4543940024989581"/>
    <n v="34.83"/>
    <n v="12.5"/>
    <n v="2.7"/>
    <n v="25.029593094944516"/>
    <s v="NO"/>
    <n v="-0.53743729760902448"/>
    <n v="2.1999429141352969"/>
    <n v="2.2722909910018778"/>
    <n v="1.8041633319670836"/>
    <n v="0.59460349855366224"/>
    <n v="5.1399556479215208E-2"/>
    <x v="0"/>
    <x v="1"/>
    <x v="1"/>
    <x v="0"/>
    <x v="1"/>
    <x v="0"/>
  </r>
  <r>
    <x v="8"/>
    <s v="WAB"/>
    <n v="34622"/>
    <n v="205.37"/>
    <n v="8.52"/>
    <n v="60.6"/>
    <n v="6.39"/>
    <n v="24.104460093896716"/>
    <n v="3.3889438943894388"/>
    <n v="10.68"/>
    <n v="5.73"/>
    <n v="1.84"/>
    <n v="32.139280125195619"/>
    <s v="NO"/>
    <n v="9.0918446104490229E-4"/>
    <n v="-0.4350986859899007"/>
    <n v="-0.87836458475702806"/>
    <n v="-0.52142538820754258"/>
    <n v="-0.50941006303959346"/>
    <n v="1.0327094598397852"/>
    <x v="0"/>
    <x v="1"/>
    <x v="1"/>
    <x v="0"/>
    <x v="1"/>
    <x v="0"/>
  </r>
  <r>
    <x v="8"/>
    <s v="NDSN"/>
    <n v="11979"/>
    <n v="219.28"/>
    <n v="8.0500000000000007"/>
    <n v="52.39"/>
    <n v="7.78"/>
    <n v="27.239751552795028"/>
    <n v="4.1855315899980914"/>
    <n v="15.54"/>
    <n v="7.37"/>
    <n v="2.0499999999999998"/>
    <n v="28.18508997429306"/>
    <s v="NO"/>
    <n v="0.63862613589193307"/>
    <n v="-2.071463891060708E-2"/>
    <n v="-0.24431961174716132"/>
    <n v="4.1937315054848309E-2"/>
    <n v="-0.23982535613891509"/>
    <n v="0.48693494988720548"/>
    <x v="0"/>
    <x v="1"/>
    <x v="1"/>
    <x v="0"/>
    <x v="1"/>
    <x v="0"/>
  </r>
  <r>
    <x v="8"/>
    <s v="RBC"/>
    <n v="11516"/>
    <n v="381.22"/>
    <n v="7.52"/>
    <n v="96.72"/>
    <n v="7.7"/>
    <n v="50.694148936170222"/>
    <n v="3.9414805624483047"/>
    <n v="8.51"/>
    <n v="4.96"/>
    <n v="1.55"/>
    <n v="49.509090909090915"/>
    <s v="NO"/>
    <n v="5.4092406044524921"/>
    <n v="-0.14766971623284622"/>
    <n v="-1.1614669698252196"/>
    <n v="-0.78593104766610433"/>
    <n v="-0.88169370590243545"/>
    <n v="3.4301662352519759"/>
    <x v="1"/>
    <x v="1"/>
    <x v="1"/>
    <x v="0"/>
    <x v="1"/>
    <x v="1"/>
  </r>
  <r>
    <x v="8"/>
    <s v="IEX"/>
    <n v="13667"/>
    <n v="183.23"/>
    <n v="7.37"/>
    <n v="51.61"/>
    <n v="6.3"/>
    <n v="24.861601085481681"/>
    <n v="3.550280953303623"/>
    <n v="12.72"/>
    <n v="6.9"/>
    <n v="1.74"/>
    <n v="29.084126984126982"/>
    <s v="NO"/>
    <n v="0.15491134065183998"/>
    <n v="-0.35117132458916062"/>
    <n v="-0.61222225040720735"/>
    <n v="-0.11951419136791"/>
    <n v="-0.63778373299229774"/>
    <n v="0.61102394529359583"/>
    <x v="0"/>
    <x v="1"/>
    <x v="1"/>
    <x v="0"/>
    <x v="1"/>
    <x v="0"/>
  </r>
  <r>
    <x v="8"/>
    <s v="ITT"/>
    <n v="11847"/>
    <n v="151.96"/>
    <n v="5.94"/>
    <n v="34.31"/>
    <n v="6.28"/>
    <n v="25.582491582491581"/>
    <n v="4.429029437481784"/>
    <n v="19.3"/>
    <n v="8.58"/>
    <n v="1.74"/>
    <n v="24.197452229299362"/>
    <s v="NO"/>
    <n v="0.30154016163877012"/>
    <n v="0.10595267474692155"/>
    <n v="0.24621723979956706"/>
    <n v="0.457589065632588"/>
    <n v="-0.63778373299229774"/>
    <n v="-6.3456142368584462E-2"/>
    <x v="0"/>
    <x v="1"/>
    <x v="1"/>
    <x v="0"/>
    <x v="1"/>
    <x v="0"/>
  </r>
  <r>
    <x v="8"/>
    <s v="SWK"/>
    <n v="10123"/>
    <n v="67.209999999999994"/>
    <n v="5.07"/>
    <n v="57.16"/>
    <n v="2.36"/>
    <n v="13.256410256410254"/>
    <n v="1.1758222533240028"/>
    <n v="4.03"/>
    <n v="2.8"/>
    <n v="2.54"/>
    <n v="28.478813559322031"/>
    <s v="NO"/>
    <n v="-2.2055795461793499"/>
    <n v="-1.5863621405462049"/>
    <n v="-1.745936409966002"/>
    <n v="-1.5279209495238877"/>
    <n v="0.38920562662933539"/>
    <n v="0.52747595564640271"/>
    <x v="0"/>
    <x v="1"/>
    <x v="1"/>
    <x v="0"/>
    <x v="1"/>
    <x v="0"/>
  </r>
  <r>
    <x v="8"/>
    <s v="PNR"/>
    <n v="16318"/>
    <n v="99.67"/>
    <n v="4.62"/>
    <n v="22.09"/>
    <n v="3.87"/>
    <n v="21.573593073593074"/>
    <n v="4.511996378451788"/>
    <n v="18.59"/>
    <n v="8.5500000000000007"/>
    <n v="1.86"/>
    <n v="25.754521963824288"/>
    <s v="NO"/>
    <n v="-0.51386809281069501"/>
    <n v="0.14911198659979932"/>
    <n v="0.15358927049154114"/>
    <n v="0.44728365032900791"/>
    <n v="-0.48373532904905259"/>
    <n v="0.15145738957887722"/>
    <x v="0"/>
    <x v="1"/>
    <x v="1"/>
    <x v="0"/>
    <x v="1"/>
    <x v="0"/>
  </r>
  <r>
    <x v="8"/>
    <s v="PCAR"/>
    <n v="49267"/>
    <n v="94.43"/>
    <n v="4.5"/>
    <n v="34.33"/>
    <n v="6.59"/>
    <n v="20.984444444444446"/>
    <n v="2.7506554034372273"/>
    <n v="19.899999999999999"/>
    <n v="6.7"/>
    <n v="2.37"/>
    <n v="14.32928679817906"/>
    <s v="NO"/>
    <n v="-0.63370067381494022"/>
    <n v="-0.76713566012721435"/>
    <n v="0.32449439696127874"/>
    <n v="-0.18821696005844554"/>
    <n v="0.17097038770973849"/>
    <n v="-1.4255032232534894"/>
    <x v="0"/>
    <x v="1"/>
    <x v="1"/>
    <x v="0"/>
    <x v="1"/>
    <x v="0"/>
  </r>
  <r>
    <x v="8"/>
    <s v="DOV"/>
    <n v="24370"/>
    <n v="180.73"/>
    <n v="4.0999999999999996"/>
    <n v="52.06"/>
    <n v="7.5"/>
    <n v="44.080487804878047"/>
    <n v="3.4715712639262386"/>
    <n v="16.88"/>
    <n v="6.71"/>
    <n v="1.77"/>
    <n v="24.097333333333331"/>
    <s v="NO"/>
    <n v="4.0640247386437629"/>
    <n v="-0.3921160188247822"/>
    <n v="-6.9500627419338004E-2"/>
    <n v="-0.18478182162391885"/>
    <n v="-0.59927163200648637"/>
    <n v="-7.7274987517035723E-2"/>
    <x v="1"/>
    <x v="1"/>
    <x v="1"/>
    <x v="0"/>
    <x v="1"/>
    <x v="0"/>
  </r>
  <r>
    <x v="8"/>
    <s v="FTV"/>
    <n v="23856"/>
    <n v="73.209999999999994"/>
    <n v="4.01"/>
    <n v="30.12"/>
    <n v="2.2799999999999998"/>
    <n v="18.256857855361595"/>
    <n v="2.4306108897742362"/>
    <n v="7.69"/>
    <n v="4.0999999999999996"/>
    <n v="1.67"/>
    <n v="32.109649122807021"/>
    <s v="NO"/>
    <n v="-1.1884906278452094"/>
    <n v="-0.93362246572099383"/>
    <n v="-1.2684457512795591"/>
    <n v="-1.0813529530354071"/>
    <n v="-0.72764530195919064"/>
    <n v="1.0286196601106676"/>
    <x v="0"/>
    <x v="1"/>
    <x v="1"/>
    <x v="0"/>
    <x v="1"/>
    <x v="0"/>
  </r>
  <r>
    <x v="8"/>
    <s v="XYL"/>
    <n v="30672"/>
    <n v="127.63"/>
    <n v="3.66"/>
    <n v="44.44"/>
    <n v="3.71"/>
    <n v="34.87158469945355"/>
    <n v="2.8719621962196218"/>
    <n v="8.51"/>
    <n v="4.4400000000000004"/>
    <n v="1.53"/>
    <n v="34.401617250673851"/>
    <s v="NO"/>
    <n v="2.1909377572894662"/>
    <n v="-0.7040319993394718"/>
    <n v="-1.1614669698252196"/>
    <n v="-0.96455824626149644"/>
    <n v="-0.90736843989297633"/>
    <n v="1.3449670622526535"/>
    <x v="0"/>
    <x v="1"/>
    <x v="1"/>
    <x v="0"/>
    <x v="1"/>
    <x v="0"/>
  </r>
  <r>
    <x v="8"/>
    <s v="OTIS"/>
    <n v="37632"/>
    <n v="95.32"/>
    <n v="3.64"/>
    <n v="-12.97"/>
    <n v="3.83"/>
    <n v="26.186813186813183"/>
    <n v="-7.3492675404780252"/>
    <n v="-32.96"/>
    <n v="13.96"/>
    <n v="-2.1800000000000002"/>
    <n v="24.887728459530024"/>
    <s v="NO"/>
    <n v="0.42445891935044172"/>
    <n v="-6.0211045172419029"/>
    <n v="-6.5717231489855443"/>
    <n v="2.305693543407993"/>
    <n v="-5.6700315951382994"/>
    <n v="3.1818782940726348E-2"/>
    <x v="0"/>
    <x v="0"/>
    <x v="0"/>
    <x v="0"/>
    <x v="0"/>
    <x v="0"/>
  </r>
  <r>
    <x v="8"/>
    <s v="IR"/>
    <n v="32939"/>
    <n v="83.46"/>
    <n v="3.4"/>
    <n v="25.99"/>
    <n v="2.02"/>
    <n v="24.547058823529412"/>
    <n v="3.2112350904193918"/>
    <n v="8.11"/>
    <n v="5.39"/>
    <n v="1.75"/>
    <n v="41.31683168316831"/>
    <s v="NO"/>
    <n v="9.093357813184115E-2"/>
    <n v="-0.52754261124343182"/>
    <n v="-1.213651741266361"/>
    <n v="-0.63822009498145316"/>
    <n v="-0.62494636599702724"/>
    <n v="2.2994350124725509"/>
    <x v="0"/>
    <x v="1"/>
    <x v="1"/>
    <x v="0"/>
    <x v="1"/>
    <x v="0"/>
  </r>
  <r>
    <x v="8"/>
    <s v="GGG"/>
    <n v="14149"/>
    <n v="85.01"/>
    <n v="3.24"/>
    <n v="14.82"/>
    <n v="2.83"/>
    <n v="26.237654320987655"/>
    <n v="5.7361673414304999"/>
    <n v="20.28"/>
    <n v="12.5"/>
    <n v="1.21"/>
    <n v="30.03886925795053"/>
    <s v="NO"/>
    <n v="0.43479998445334161"/>
    <n v="0.7859243812081258"/>
    <n v="0.3740699298303633"/>
    <n v="1.8041633319670836"/>
    <n v="-1.3181641837416296"/>
    <n v="0.74280162333675259"/>
    <x v="0"/>
    <x v="1"/>
    <x v="1"/>
    <x v="0"/>
    <x v="1"/>
    <x v="0"/>
  </r>
  <r>
    <x v="8"/>
    <s v="VOLAF"/>
    <n v="60556"/>
    <n v="29.78"/>
    <n v="1.1599999999999999"/>
    <n v="9.64"/>
    <n v="2.27"/>
    <n v="25.672413793103452"/>
    <n v="3.0892116182572615"/>
    <n v="25.59"/>
    <n v="5.59"/>
    <n v="3.51"/>
    <n v="13.118942731277533"/>
    <s v="NO"/>
    <n v="0.31983030109441052"/>
    <n v="-0.59101908785982737"/>
    <n v="1.0668227707115139"/>
    <n v="-0.56951732629091756"/>
    <n v="1.6344302251705651"/>
    <n v="-1.5925601716494624"/>
    <x v="0"/>
    <x v="1"/>
    <x v="1"/>
    <x v="0"/>
    <x v="1"/>
    <x v="0"/>
  </r>
  <r>
    <x v="8"/>
    <s v="VOLVF"/>
    <n v="57770"/>
    <n v="27.425000000000001"/>
    <n v="1.1599999999999999"/>
    <n v="9.64"/>
    <n v="2.27"/>
    <n v="23.642241379310349"/>
    <n v="2.8449170124481329"/>
    <n v="25.59"/>
    <n v="5.59"/>
    <n v="3.51"/>
    <n v="12.081497797356828"/>
    <s v="NO"/>
    <n v="-9.310590581828021E-2"/>
    <n v="-0.71810087432588465"/>
    <n v="1.0668227707115139"/>
    <n v="-0.56951732629091756"/>
    <n v="1.6344302251705651"/>
    <n v="-1.7357528302736611"/>
    <x v="0"/>
    <x v="1"/>
    <x v="1"/>
    <x v="0"/>
    <x v="1"/>
    <x v="0"/>
  </r>
  <r>
    <x v="8"/>
    <s v="MHVIY"/>
    <n v="77426"/>
    <n v="48.2"/>
    <n v="0.57999999999999996"/>
    <n v="4.66"/>
    <n v="0.49"/>
    <n v="83.103448275862078"/>
    <n v="10.343347639484978"/>
    <n v="12.15"/>
    <n v="3.22"/>
    <n v="2.84"/>
    <n v="98.367346938775512"/>
    <s v="NO"/>
    <n v="12.001278328492909"/>
    <n v="3.1825745278979682"/>
    <n v="-0.68658554971083363"/>
    <n v="-1.3836451352737629"/>
    <n v="0.77432663648744759"/>
    <n v="10.173795075572736"/>
    <x v="1"/>
    <x v="0"/>
    <x v="1"/>
    <x v="0"/>
    <x v="1"/>
    <x v="1"/>
  </r>
  <r>
    <x v="8"/>
    <s v="CMI"/>
    <n v="44285"/>
    <n v="325.68"/>
    <n v="0.05"/>
    <n v="79.3"/>
    <n v="20.100000000000001"/>
    <n v="6513.5999999999995"/>
    <n v="4.1069356872635563"/>
    <n v="26.19"/>
    <n v="7.73"/>
    <n v="2.98"/>
    <n v="16.202985074626866"/>
    <s v="NO"/>
    <n v="1319.9615464285182"/>
    <n v="-6.1600141459202312E-2"/>
    <n v="1.1450999278732259"/>
    <n v="0.16560229869781229"/>
    <n v="0.95404977442123351"/>
    <n v="-1.1668872438489888"/>
    <x v="1"/>
    <x v="1"/>
    <x v="1"/>
    <x v="0"/>
    <x v="1"/>
    <x v="0"/>
  </r>
  <r>
    <x v="9"/>
    <s v="DAL"/>
    <n v="31596"/>
    <n v="51.2"/>
    <n v="4.4000000000000004"/>
    <n v="23.81"/>
    <n v="5.63"/>
    <n v="11.636363636363637"/>
    <n v="2.1503569928601429"/>
    <n v="27.52"/>
    <n v="4.7300000000000004"/>
    <n v="5.01"/>
    <n v="9.0941385435168751"/>
    <s v="NO"/>
    <n v="0.3228439584598729"/>
    <n v="-0.68791674585421658"/>
    <n v="0.98243737570564338"/>
    <n v="7.9487644811999991E-2"/>
    <n v="1.2841649829777675"/>
    <n v="-1.4128068580858502"/>
    <x v="0"/>
    <x v="1"/>
    <x v="1"/>
    <x v="0"/>
    <x v="1"/>
    <x v="0"/>
  </r>
  <r>
    <x v="9"/>
    <s v="RYAAY"/>
    <n v="29531"/>
    <n v="57.6"/>
    <n v="1.83"/>
    <n v="7.16"/>
    <n v="1.57"/>
    <n v="31.475409836065573"/>
    <n v="8.044692737430168"/>
    <n v="22"/>
    <n v="5.62"/>
    <n v="2.4900000000000002"/>
    <n v="36.687898089171973"/>
    <s v="NO"/>
    <n v="1.0309826642801727"/>
    <n v="1.4140415066508432"/>
    <n v="0.38975384413240272"/>
    <n v="0.47804541316512605"/>
    <n v="-1.155103175643319"/>
    <n v="0.65179036916534772"/>
    <x v="0"/>
    <x v="1"/>
    <x v="1"/>
    <x v="0"/>
    <x v="1"/>
    <x v="0"/>
  </r>
  <r>
    <x v="9"/>
    <s v="LTM"/>
    <n v="11439"/>
    <n v="38.729999999999997"/>
    <n v="0"/>
    <n v="0"/>
    <n v="0"/>
    <s v=""/>
    <s v=""/>
    <n v="140.66"/>
    <n v="6.93"/>
    <n v="16.690000000000001"/>
    <s v=""/>
    <s v="NO"/>
    <e v="#VALUE!"/>
    <e v="#VALUE!"/>
    <n v="13.130302368857173"/>
    <n v="1.0646866227635476"/>
    <n v="12.589979305475506"/>
    <e v="#VALUE!"/>
    <x v="1"/>
    <x v="0"/>
    <x v="0"/>
    <x v="0"/>
    <x v="0"/>
    <x v="1"/>
  </r>
  <r>
    <x v="9"/>
    <s v="LUV"/>
    <n v="19022"/>
    <n v="33.57"/>
    <n v="-0.95"/>
    <n v="16.43"/>
    <n v="0.88"/>
    <n v="-35.336842105263159"/>
    <n v="2.0432136335970785"/>
    <n v="5.59"/>
    <n v="0.93"/>
    <n v="3.55"/>
    <n v="38.147727272727273"/>
    <s v="NO"/>
    <n v="-1.3538266227400453"/>
    <n v="-0.72612476079662658"/>
    <n v="-1.3721912198380464"/>
    <n v="-1.6222196807406739"/>
    <n v="-0.12906180733444944"/>
    <n v="0.76101648892050189"/>
    <x v="0"/>
    <x v="1"/>
    <x v="1"/>
    <x v="0"/>
    <x v="1"/>
    <x v="0"/>
  </r>
  <r>
    <x v="10"/>
    <s v="ADP"/>
    <n v="132140"/>
    <n v="318.57"/>
    <n v="10.4"/>
    <n v="14.41"/>
    <n v="9.7799999999999994"/>
    <n v="30.631730769230767"/>
    <n v="22.107564191533658"/>
    <n v="76.290000000000006"/>
    <n v="5.57"/>
    <n v="9.64"/>
    <n v="32.573619631901842"/>
    <s v="NO"/>
    <n v="-0.16185611439287653"/>
    <n v="1.9310007881811557"/>
    <n v="1.7009243828068756"/>
    <n v="-0.70760201987378568"/>
    <n v="8.8469190139921796"/>
    <n v="-1.0466200839667277"/>
    <x v="0"/>
    <x v="1"/>
    <x v="1"/>
    <x v="0"/>
    <x v="0"/>
    <x v="0"/>
  </r>
  <r>
    <x v="10"/>
    <s v="BR"/>
    <n v="28524"/>
    <n v="243.71"/>
    <n v="9.1999999999999993"/>
    <n v="20.329999999999998"/>
    <n v="6.66"/>
    <n v="26.490217391304352"/>
    <n v="11.987702902115101"/>
    <n v="33.92"/>
    <n v="9.02"/>
    <n v="3.48"/>
    <n v="36.593093093093096"/>
    <s v="NO"/>
    <n v="-0.56356194004617277"/>
    <n v="0.2846989723330845"/>
    <n v="-1.1722149976567972E-2"/>
    <n v="0.26088262779795185"/>
    <n v="0.65393162343465128"/>
    <n v="-0.49912061999161927"/>
    <x v="0"/>
    <x v="1"/>
    <x v="1"/>
    <x v="0"/>
    <x v="1"/>
    <x v="0"/>
  </r>
  <r>
    <x v="10"/>
    <s v="LDOS"/>
    <n v="19117"/>
    <n v="146.34"/>
    <n v="8.93"/>
    <n v="33.07"/>
    <n v="9.91"/>
    <n v="16.387458006718926"/>
    <n v="4.425158754157847"/>
    <n v="30.95"/>
    <n v="9.27"/>
    <n v="3.1"/>
    <n v="14.766902119071645"/>
    <s v="NO"/>
    <n v="-1.5434784414854159"/>
    <n v="-0.9455777881034777"/>
    <n v="-0.13177313421935369"/>
    <n v="0.33106267473068646"/>
    <n v="0.14852006362753115"/>
    <n v="-3.4721040155216194"/>
    <x v="0"/>
    <x v="1"/>
    <x v="1"/>
    <x v="0"/>
    <x v="1"/>
    <x v="1"/>
  </r>
  <r>
    <x v="10"/>
    <s v="BAH"/>
    <n v="13195"/>
    <n v="101.9"/>
    <n v="7.13"/>
    <n v="8.0299999999999994"/>
    <n v="7.25"/>
    <n v="14.291725105189341"/>
    <n v="12.68991282689913"/>
    <n v="91.22"/>
    <n v="11.25"/>
    <n v="7.29"/>
    <n v="14.055172413793104"/>
    <s v="NO"/>
    <n v="-1.7467539204551901"/>
    <n v="0.39893467588835585"/>
    <n v="2.3044130005660639"/>
    <n v="0.88688864643794474"/>
    <n v="5.7213475257113044"/>
    <n v="-3.5690499553063986"/>
    <x v="0"/>
    <x v="1"/>
    <x v="1"/>
    <x v="0"/>
    <x v="0"/>
    <x v="1"/>
  </r>
  <r>
    <x v="10"/>
    <s v="VRSK"/>
    <n v="43943"/>
    <n v="313.27"/>
    <n v="7.03"/>
    <n v="0.88"/>
    <n v="6.79"/>
    <n v="44.56187766714082"/>
    <n v="355.98863636363632"/>
    <n v="468.22"/>
    <n v="16.7"/>
    <n v="41.64"/>
    <n v="46.136966126656844"/>
    <s v="NO"/>
    <n v="1.1892975945197801"/>
    <n v="56.246865371124969"/>
    <n v="17.543207970104849"/>
    <n v="2.4168136695715594"/>
    <n v="51.40789247143389"/>
    <n v="0.80086690836838403"/>
    <x v="0"/>
    <x v="0"/>
    <x v="0"/>
    <x v="0"/>
    <x v="0"/>
    <x v="0"/>
  </r>
  <r>
    <x v="10"/>
    <s v="PAYC"/>
    <n v="14514"/>
    <n v="258.45"/>
    <n v="6.79"/>
    <n v="31.71"/>
    <n v="7.02"/>
    <n v="38.063328424153163"/>
    <n v="8.1504257332071894"/>
    <n v="24.99"/>
    <n v="5.59"/>
    <n v="2.66"/>
    <n v="36.816239316239319"/>
    <s v="NO"/>
    <n v="0.55897122563334289"/>
    <n v="-0.3395503321204163"/>
    <n v="-0.37268352684124006"/>
    <n v="-0.70198761611916705"/>
    <n v="-0.43669332141229228"/>
    <n v="-0.4687254852208031"/>
    <x v="0"/>
    <x v="1"/>
    <x v="1"/>
    <x v="0"/>
    <x v="1"/>
    <x v="0"/>
  </r>
  <r>
    <x v="10"/>
    <s v="EFX"/>
    <n v="32812"/>
    <n v="268.52"/>
    <n v="6.53"/>
    <n v="40.11"/>
    <n v="4.9000000000000004"/>
    <n v="41.120980091883609"/>
    <n v="6.6945898778359512"/>
    <n v="12.52"/>
    <n v="5.64"/>
    <n v="2.38"/>
    <n v="54.79999999999999"/>
    <s v="NO"/>
    <n v="0.85554795391154892"/>
    <n v="-0.57638610918590472"/>
    <n v="-0.87673597583367668"/>
    <n v="-0.68795160673262012"/>
    <n v="-0.80910183916490752"/>
    <n v="1.9808738042586465"/>
    <x v="0"/>
    <x v="1"/>
    <x v="1"/>
    <x v="0"/>
    <x v="1"/>
    <x v="0"/>
  </r>
  <r>
    <x v="10"/>
    <s v="PCTY"/>
    <n v="10543"/>
    <n v="186.12"/>
    <n v="6.01"/>
    <n v="21.76"/>
    <n v="4.01"/>
    <n v="30.96838602329451"/>
    <n v="8.5533088235294112"/>
    <n v="19.7"/>
    <n v="3.68"/>
    <n v="4.28"/>
    <n v="46.413965087281802"/>
    <s v="NO"/>
    <n v="-0.12920225952064945"/>
    <n v="-0.27400920026068654"/>
    <n v="-0.58651171089657195"/>
    <n v="-1.2381631746852595"/>
    <n v="1.7179559598706942"/>
    <n v="0.83859741808019095"/>
    <x v="0"/>
    <x v="1"/>
    <x v="1"/>
    <x v="0"/>
    <x v="1"/>
    <x v="0"/>
  </r>
  <r>
    <x v="10"/>
    <s v="SSNC"/>
    <n v="19933"/>
    <n v="81.22"/>
    <n v="4.96"/>
    <n v="27.53"/>
    <n v="3.22"/>
    <n v="16.375"/>
    <n v="2.9502361060661095"/>
    <n v="12.24"/>
    <n v="4.53"/>
    <n v="3.01"/>
    <n v="25.223602484472046"/>
    <s v="NO"/>
    <n v="-1.5446868050516653"/>
    <n v="-1.1855186098544432"/>
    <n v="-0.88805391374208731"/>
    <n v="-0.99955101511396172"/>
    <n v="2.8817325778475934E-2"/>
    <n v="-2.0477786902566759"/>
    <x v="0"/>
    <x v="1"/>
    <x v="1"/>
    <x v="0"/>
    <x v="1"/>
    <x v="0"/>
  </r>
  <r>
    <x v="10"/>
    <s v="J"/>
    <n v="15176"/>
    <n v="127.74"/>
    <n v="4.7300000000000004"/>
    <n v="32.1"/>
    <n v="3.07"/>
    <n v="27.006342494714584"/>
    <n v="3.9794392523364484"/>
    <n v="6.8"/>
    <n v="5.0599999999999996"/>
    <n v="2.9"/>
    <n v="41.609120521172642"/>
    <s v="NO"/>
    <n v="-0.51350041859586493"/>
    <n v="-1.0180875591588108"/>
    <n v="-1.1079452788197823"/>
    <n v="-0.85076931561656455"/>
    <n v="-0.11748602048147977"/>
    <n v="0.1841211913236567"/>
    <x v="0"/>
    <x v="1"/>
    <x v="1"/>
    <x v="0"/>
    <x v="1"/>
    <x v="0"/>
  </r>
  <r>
    <x v="10"/>
    <s v="PAYX"/>
    <n v="56878"/>
    <n v="156.97"/>
    <n v="4.46"/>
    <n v="11.43"/>
    <n v="4.8099999999999996"/>
    <n v="35.195067264573993"/>
    <n v="13.7331583552056"/>
    <n v="44.25"/>
    <n v="11.64"/>
    <n v="2.73"/>
    <n v="32.634095634095637"/>
    <s v="NO"/>
    <n v="0.28076441760054682"/>
    <n v="0.56865014515295487"/>
    <n v="0.40582891643015773"/>
    <n v="0.9963695196530109"/>
    <n v="-0.34359119197413873"/>
    <n v="-1.0383825426309909"/>
    <x v="0"/>
    <x v="1"/>
    <x v="1"/>
    <x v="0"/>
    <x v="1"/>
    <x v="0"/>
  </r>
  <r>
    <x v="10"/>
    <s v="TRI"/>
    <n v="89485"/>
    <n v="192.66"/>
    <n v="4.1100000000000003"/>
    <n v="27.3"/>
    <n v="4.76"/>
    <n v="46.87591240875912"/>
    <n v="7.0571428571428569"/>
    <n v="18.46"/>
    <n v="6.35"/>
    <n v="1.5"/>
    <n v="40.47478991596639"/>
    <s v="NO"/>
    <n v="1.4137472465302263"/>
    <n v="-0.51740589087024624"/>
    <n v="-0.63663400734810527"/>
    <n v="-0.48864027344365385"/>
    <n v="-1.9795286092445543"/>
    <n v="2.9612048691595741E-2"/>
    <x v="0"/>
    <x v="1"/>
    <x v="1"/>
    <x v="0"/>
    <x v="1"/>
    <x v="0"/>
  </r>
  <r>
    <x v="10"/>
    <s v="TRU"/>
    <n v="16706"/>
    <n v="87.36"/>
    <n v="2.62"/>
    <n v="22.48"/>
    <n v="1.87"/>
    <n v="33.343511450381676"/>
    <n v="3.8861209964412811"/>
    <n v="8.89"/>
    <n v="4.9400000000000004"/>
    <n v="2.5"/>
    <n v="46.716577540106947"/>
    <s v="NO"/>
    <n v="0.10117287962616414"/>
    <n v="-1.0332685986748982"/>
    <n v="-1.023464956574859"/>
    <n v="-0.88445573814427692"/>
    <n v="-0.64949818869950093"/>
    <n v="0.8798167860679712"/>
    <x v="0"/>
    <x v="1"/>
    <x v="1"/>
    <x v="0"/>
    <x v="1"/>
    <x v="0"/>
  </r>
  <r>
    <x v="10"/>
    <s v="ULS"/>
    <n v="14336"/>
    <n v="70.55"/>
    <n v="1.53"/>
    <n v="4.8499999999999996"/>
    <n v="1.67"/>
    <n v="46.111111111111107"/>
    <n v="14.546391752577319"/>
    <n v="42.71"/>
    <n v="10.4"/>
    <n v="2.97"/>
    <n v="42.245508982035929"/>
    <s v="NO"/>
    <n v="1.3395653934979828"/>
    <n v="0.70094717774185533"/>
    <n v="0.34358025793389857"/>
    <n v="0.64827648686664718"/>
    <n v="-2.4383891043325653E-2"/>
    <n v="0.27080476930138814"/>
    <x v="0"/>
    <x v="1"/>
    <x v="1"/>
    <x v="0"/>
    <x v="1"/>
    <x v="0"/>
  </r>
  <r>
    <x v="10"/>
    <s v="RELX"/>
    <n v="99015"/>
    <n v="53.03"/>
    <n v="1.43"/>
    <n v="2.35"/>
    <n v="1.29"/>
    <n v="37.083916083916087"/>
    <n v="22.565957446808511"/>
    <n v="56"/>
    <n v="11.72"/>
    <n v="4.3499999999999996"/>
    <n v="41.108527131782942"/>
    <s v="NO"/>
    <n v="0.46397318822824635"/>
    <n v="2.0055723289314793"/>
    <n v="0.88077809651525241"/>
    <n v="1.0188271346714861"/>
    <n v="1.8110580893088473"/>
    <n v="0.11593449597497898"/>
    <x v="0"/>
    <x v="1"/>
    <x v="1"/>
    <x v="0"/>
    <x v="1"/>
    <x v="0"/>
  </r>
  <r>
    <x v="11"/>
    <s v="URI"/>
    <n v="46044"/>
    <n v="707.21"/>
    <n v="32.700000000000003"/>
    <n v="135.22"/>
    <n v="38.61"/>
    <n v="21.627217125382263"/>
    <n v="5.2300695163437361"/>
    <n v="30.17"/>
    <n v="9.32"/>
    <n v="3.19"/>
    <n v="18.316757316757318"/>
    <s v="NO"/>
    <n v="0.18332619738567149"/>
    <n v="-0.22875476508858822"/>
    <n v="0.3549424943286526"/>
    <n v="0.65235782322371016"/>
    <n v="0.57572509675223593"/>
    <n v="-0.37544276417122174"/>
    <x v="0"/>
    <x v="1"/>
    <x v="1"/>
    <x v="0"/>
    <x v="1"/>
    <x v="0"/>
  </r>
  <r>
    <x v="11"/>
    <s v="GWW"/>
    <n v="52246"/>
    <n v="1078.3599999999999"/>
    <n v="31.84"/>
    <n v="72.39"/>
    <n v="38.950000000000003"/>
    <n v="33.868090452261306"/>
    <n v="14.896532670258322"/>
    <n v="54.16"/>
    <n v="19.600000000000001"/>
    <n v="2.4900000000000002"/>
    <n v="27.685750962772779"/>
    <s v="NO"/>
    <n v="0.7088350465761788"/>
    <n v="1.7850684310445657"/>
    <n v="2.2388076356880275"/>
    <n v="3.7233313425092232"/>
    <n v="-0.25426760565945561"/>
    <n v="0.4411484229125287"/>
    <x v="0"/>
    <x v="1"/>
    <x v="1"/>
    <x v="1"/>
    <x v="1"/>
    <x v="0"/>
  </r>
  <r>
    <x v="11"/>
    <s v="WSO"/>
    <n v="17970"/>
    <n v="444.48"/>
    <n v="12.23"/>
    <n v="70.349999999999994"/>
    <n v="13.03"/>
    <n v="36.343417825020438"/>
    <n v="6.3181236673773995"/>
    <n v="20.81"/>
    <n v="10.41"/>
    <n v="1.67"/>
    <n v="34.112049117421336"/>
    <s v="NO"/>
    <n v="0.81510250023669872"/>
    <n v="-2.0794389520356607E-3"/>
    <n v="-0.38007116649351325"/>
    <n v="0.97797661077441134"/>
    <n v="-1.2265447713417235"/>
    <n v="1.0012575058011008"/>
    <x v="0"/>
    <x v="1"/>
    <x v="1"/>
    <x v="0"/>
    <x v="1"/>
    <x v="0"/>
  </r>
  <r>
    <x v="11"/>
    <s v="FERG"/>
    <n v="36593"/>
    <n v="213.83"/>
    <n v="6.74"/>
    <n v="27.58"/>
    <n v="8.1300000000000008"/>
    <n v="31.72551928783383"/>
    <n v="7.753081943437274"/>
    <n v="30.07"/>
    <n v="9.86"/>
    <n v="3.01"/>
    <n v="26.301353013530136"/>
    <s v="NO"/>
    <n v="0.61685303868670416"/>
    <n v="0.29686674392793178"/>
    <n v="0.34708978427713361"/>
    <n v="0.81367355283598397"/>
    <n v="0.36229840184637213"/>
    <n v="0.32048581949096011"/>
    <x v="0"/>
    <x v="1"/>
    <x v="1"/>
    <x v="0"/>
    <x v="1"/>
    <x v="0"/>
  </r>
  <r>
    <x v="11"/>
    <s v="CNM"/>
    <n v="10381"/>
    <n v="59.33"/>
    <n v="3.06"/>
    <n v="8.9499999999999993"/>
    <n v="2.13"/>
    <n v="19.388888888888889"/>
    <n v="6.6290502793296096"/>
    <n v="26.32"/>
    <n v="8.2200000000000006"/>
    <n v="3.46"/>
    <n v="27.854460093896716"/>
    <s v="NO"/>
    <n v="8.7233274580289233E-2"/>
    <n v="6.269618926632492E-2"/>
    <n v="5.2613157345176242E-2"/>
    <n v="0.32375170734685582"/>
    <n v="0.89586513911103138"/>
    <n v="0.45585292532351646"/>
    <x v="0"/>
    <x v="1"/>
    <x v="1"/>
    <x v="0"/>
    <x v="1"/>
    <x v="0"/>
  </r>
  <r>
    <x v="11"/>
    <s v="MTSUY"/>
    <n v="80510"/>
    <n v="19.71"/>
    <n v="2.12"/>
    <n v="15.71"/>
    <n v="1.57"/>
    <n v="9.2971698113207548"/>
    <n v="1.2546148949713558"/>
    <n v="10.63"/>
    <n v="1.24"/>
    <n v="2.29"/>
    <n v="12.554140127388536"/>
    <s v="NO"/>
    <n v="-0.346010950499757"/>
    <n v="-1.0569648978145731"/>
    <n v="-1.1794770497381335"/>
    <n v="-1.7614034643080936"/>
    <n v="-0.49140837777708202"/>
    <n v="-0.87770614369407662"/>
    <x v="0"/>
    <x v="1"/>
    <x v="1"/>
    <x v="0"/>
    <x v="1"/>
    <x v="0"/>
  </r>
  <r>
    <x v="11"/>
    <s v="TYHOY"/>
    <n v="20723"/>
    <n v="9.8949999999999996"/>
    <n v="1.98"/>
    <n v="16.579999999999998"/>
    <n v="2.29"/>
    <n v="4.9974747474747474"/>
    <n v="0.59680337756332935"/>
    <n v="13.82"/>
    <n v="4.1100000000000003"/>
    <n v="2.69"/>
    <n v="4.320960698689956"/>
    <s v="NO"/>
    <n v="-0.53059972488975504"/>
    <n v="-1.1940073787454986"/>
    <n v="-0.92897559909468175"/>
    <n v="-0.90404023470211869"/>
    <n v="-1.7126833541829659E-2"/>
    <n v="-1.5953010121689606"/>
    <x v="0"/>
    <x v="1"/>
    <x v="1"/>
    <x v="0"/>
    <x v="1"/>
    <x v="0"/>
  </r>
  <r>
    <x v="11"/>
    <s v="FAST"/>
    <n v="47427"/>
    <n v="42.13"/>
    <n v="0.76"/>
    <n v="3.22"/>
    <n v="1"/>
    <n v="55.434210526315795"/>
    <n v="13.083850931677018"/>
    <n v="32.35"/>
    <n v="20.12"/>
    <n v="1.32"/>
    <n v="42.13"/>
    <s v="NO"/>
    <n v="1.634682952928969"/>
    <n v="1.4074307703781914"/>
    <n v="0.52613157345176376"/>
    <n v="3.8786724154691905"/>
    <n v="-1.6415411225475693"/>
    <n v="1.7000932907915898"/>
    <x v="0"/>
    <x v="1"/>
    <x v="1"/>
    <x v="1"/>
    <x v="1"/>
    <x v="0"/>
  </r>
  <r>
    <x v="11"/>
    <s v="FTAI"/>
    <n v="12014"/>
    <n v="124.73"/>
    <n v="-4.33"/>
    <n v="0.28000000000000003"/>
    <n v="0.25"/>
    <n v="-28.806004618937646"/>
    <n v="445.46428571428567"/>
    <n v="69.39"/>
    <n v="10.25"/>
    <n v="151"/>
    <n v="498.92"/>
    <s v="NO"/>
    <n v="-1.9818056205893217"/>
    <n v="91.485646065362957"/>
    <n v="3.4347753765343505"/>
    <n v="0.93017935755595982"/>
    <n v="175.83461273028391"/>
    <n v="41.513407552844065"/>
    <x v="0"/>
    <x v="0"/>
    <x v="0"/>
    <x v="0"/>
    <x v="0"/>
    <x v="1"/>
  </r>
  <r>
    <x v="11"/>
    <s v="AER"/>
    <n v="20979"/>
    <n v="115.95"/>
    <n v="-11.25"/>
    <n v="97.37"/>
    <n v="11.21"/>
    <n v="-10.306666666666667"/>
    <n v="1.1908185272671254"/>
    <n v="12.52"/>
    <n v="3.68"/>
    <n v="4.22"/>
    <n v="10.343443354148082"/>
    <s v="NO"/>
    <n v="-1.187616714415678"/>
    <n v="-1.0702556540163171"/>
    <n v="-1.031060829764427"/>
    <n v="-1.0324953527267073"/>
    <n v="1.7970000731580109"/>
    <n v="-1.070388044285437"/>
    <x v="0"/>
    <x v="1"/>
    <x v="1"/>
    <x v="0"/>
    <x v="1"/>
    <x v="0"/>
  </r>
  <r>
    <x v="12"/>
    <s v="PAC"/>
    <n v="11608"/>
    <n v="237.93"/>
    <n v="0.82"/>
    <n v="2.42"/>
    <n v="0.86"/>
    <n v="290.15853658536588"/>
    <n v="98.318181818181827"/>
    <n v="36.65"/>
    <n v="12.76"/>
    <n v="3.36"/>
    <n v="276.66279069767444"/>
    <s v="NO"/>
    <e v="#DIV/0!"/>
    <e v="#DIV/0!"/>
    <e v="#DIV/0!"/>
    <e v="#DIV/0!"/>
    <e v="#DIV/0!"/>
    <e v="#DIV/0!"/>
    <x v="0"/>
    <x v="1"/>
    <x v="1"/>
    <x v="0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x v="0"/>
    <s v="MDALF"/>
    <n v="2520"/>
    <n v="21.25"/>
    <n v="4.8099999999999996"/>
    <n v="6.88"/>
    <n v="0.54"/>
    <n v="4.4178794178794183"/>
    <n v="3.0886627906976747"/>
    <n v="8.5399999999999991"/>
    <n v="3.15"/>
    <n v="2.35"/>
    <n v="39.351851851851848"/>
    <s v="NO"/>
    <n v="8.5159681071512436E-2"/>
    <n v="-4.4663079533626988E-3"/>
    <n v="0.66054907751428993"/>
    <n v="-0.21574466131782305"/>
    <n v="0.38274613971838217"/>
    <n v="-0.25009755755449742"/>
    <x v="0"/>
    <x v="0"/>
    <x v="0"/>
    <x v="0"/>
    <x v="0"/>
    <x v="0"/>
  </r>
  <r>
    <x v="0"/>
    <s v="BDRAF"/>
    <n v="6638"/>
    <n v="75"/>
    <n v="2.98"/>
    <n v="-23.39"/>
    <n v="2.75"/>
    <n v="25.167785234899331"/>
    <n v="-3.2064985036340317"/>
    <n v="-14.84"/>
    <n v="4.6900000000000004"/>
    <n v="-5.49"/>
    <n v="27.272727272727273"/>
    <s v="NO"/>
    <n v="0.34962374883951497"/>
    <n v="-1.6832842397846643"/>
    <n v="-1.0953408753717975"/>
    <n v="0.70170206412838121"/>
    <n v="-10.957220883565766"/>
    <n v="-0.41321140123375322"/>
    <x v="0"/>
    <x v="0"/>
    <x v="0"/>
    <x v="0"/>
    <x v="1"/>
    <x v="0"/>
  </r>
  <r>
    <x v="0"/>
    <s v="BDRBF"/>
    <n v="6863"/>
    <n v="77.48"/>
    <n v="2.98"/>
    <n v="-23.39"/>
    <n v="2.75"/>
    <n v="26"/>
    <n v="-3.3125267208208635"/>
    <n v="-14.84"/>
    <n v="4.6900000000000004"/>
    <n v="-5.49"/>
    <n v="28.174545454545456"/>
    <s v="NO"/>
    <n v="0.36023058744282987"/>
    <n v="-1.7115602543251707"/>
    <n v="-1.0953408753717975"/>
    <n v="0.70170206412838121"/>
    <n v="-10.957220883565766"/>
    <n v="-0.40103344669966212"/>
    <x v="0"/>
    <x v="0"/>
    <x v="0"/>
    <x v="0"/>
    <x v="1"/>
    <x v="0"/>
  </r>
  <r>
    <x v="0"/>
    <s v="MRCY"/>
    <n v="2943"/>
    <n v="53.87"/>
    <n v="2.5"/>
    <n v="24.66"/>
    <n v="-1.1200000000000001"/>
    <n v="21.547999999999998"/>
    <n v="2.184509326845093"/>
    <n v="-4.45"/>
    <n v="-0.94"/>
    <n v="1.66"/>
    <n v="-48.098214285714278"/>
    <s v="NO"/>
    <n v="0.30348844894418658"/>
    <n v="-0.24558944638825164"/>
    <n v="-0.315028787669212"/>
    <n v="-2.652340185392482"/>
    <n v="-0.61528667227984024"/>
    <n v="-1.4310040317169934"/>
    <x v="0"/>
    <x v="0"/>
    <x v="0"/>
    <x v="0"/>
    <x v="0"/>
    <x v="0"/>
  </r>
  <r>
    <x v="0"/>
    <s v="HXL"/>
    <n v="4253"/>
    <n v="57.32"/>
    <n v="2.25"/>
    <n v="19.059999999999999"/>
    <n v="1.51"/>
    <n v="25.475555555555555"/>
    <n v="3.0073452256033582"/>
    <n v="7.87"/>
    <n v="5.0999999999999996"/>
    <n v="1.81"/>
    <n v="37.960264900662253"/>
    <s v="NO"/>
    <n v="0.35354637825560825"/>
    <n v="-2.6152390337958756E-2"/>
    <n v="0.61023058870190006"/>
    <n v="0.94595736116275975"/>
    <n v="-0.39832301749761778"/>
    <n v="-0.26888924191337193"/>
    <x v="0"/>
    <x v="0"/>
    <x v="0"/>
    <x v="0"/>
    <x v="0"/>
    <x v="0"/>
  </r>
  <r>
    <x v="0"/>
    <s v="CAE"/>
    <n v="8234"/>
    <n v="27.25"/>
    <n v="0.99"/>
    <n v="10.61"/>
    <n v="0.88"/>
    <n v="27.525252525252526"/>
    <n v="2.5683317624882189"/>
    <n v="8.9499999999999993"/>
    <n v="3.78"/>
    <n v="2.29"/>
    <n v="30.96590909090909"/>
    <s v="NO"/>
    <n v="0.37967041000196827"/>
    <n v="-0.14323019656616245"/>
    <n v="0.69134098857858839"/>
    <n v="0.15957445363744216"/>
    <n v="0.29596067780549323"/>
    <n v="-0.36333948561405044"/>
    <x v="0"/>
    <x v="0"/>
    <x v="0"/>
    <x v="0"/>
    <x v="0"/>
    <x v="0"/>
  </r>
  <r>
    <x v="0"/>
    <s v="ERJ"/>
    <n v="8446"/>
    <n v="48.37"/>
    <n v="0.75"/>
    <n v="4.38"/>
    <n v="0.53"/>
    <n v="64.493333333333325"/>
    <n v="11.043378995433789"/>
    <n v="12.72"/>
    <n v="3.31"/>
    <n v="3.67"/>
    <n v="91.264150943396217"/>
    <s v="NO"/>
    <n v="0.85084021261678333"/>
    <n v="2.1169281381531588"/>
    <n v="0.97447636592591735"/>
    <n v="-0.12042552101172385"/>
    <n v="2.2920263018019371"/>
    <n v="0.45091472057722004"/>
    <x v="0"/>
    <x v="0"/>
    <x v="0"/>
    <x v="0"/>
    <x v="0"/>
    <x v="0"/>
  </r>
  <r>
    <x v="0"/>
    <s v="LOAR"/>
    <n v="8144"/>
    <n v="89.21"/>
    <n v="0.69"/>
    <n v="11.83"/>
    <n v="0.37"/>
    <n v="129.28985507246378"/>
    <n v="7.5409974640743869"/>
    <n v="4.62"/>
    <n v="4.87"/>
    <n v="1.34"/>
    <n v="241.1081081081081"/>
    <s v="NO"/>
    <n v="1.6766922365952399"/>
    <n v="1.1828995018646358"/>
    <n v="0.36614836685075441"/>
    <n v="0.8089360969727426"/>
    <n v="-1.0781424691485806"/>
    <n v="2.4743745868233633"/>
    <x v="0"/>
    <x v="0"/>
    <x v="0"/>
    <x v="0"/>
    <x v="0"/>
    <x v="0"/>
  </r>
  <r>
    <x v="0"/>
    <s v="TGI"/>
    <n v="2004"/>
    <n v="25.94"/>
    <n v="0.24"/>
    <n v="-0.99"/>
    <n v="0.46"/>
    <n v="108.08333333333334"/>
    <n v="-26.202020202020204"/>
    <n v="-39.65"/>
    <n v="5.79"/>
    <n v="-21.28"/>
    <n v="56.391304347826086"/>
    <s v="NO"/>
    <n v="1.4064084554640117"/>
    <n v="-7.8158187967351758"/>
    <n v="-2.9586270058723891"/>
    <n v="1.3570211537328125"/>
    <n v="-33.796261610307688"/>
    <n v="-2.0000535820669112E-2"/>
    <x v="0"/>
    <x v="1"/>
    <x v="0"/>
    <x v="1"/>
    <x v="1"/>
    <x v="0"/>
  </r>
  <r>
    <x v="0"/>
    <s v="SARO"/>
    <n v="9810"/>
    <n v="30.75"/>
    <n v="-0.03"/>
    <n v="7.29"/>
    <n v="0.23"/>
    <n v="-1025"/>
    <n v="4.2181069958847734"/>
    <n v="3.95"/>
    <n v="4.22"/>
    <n v="2.66"/>
    <n v="133.69565217391303"/>
    <s v="NO"/>
    <n v="-13.03509456127102"/>
    <n v="0.2967382356662534"/>
    <n v="0.31582987803836438"/>
    <n v="0.42170208947921467"/>
    <n v="0.83113769293497475"/>
    <n v="1.0239003879948729"/>
    <x v="1"/>
    <x v="0"/>
    <x v="0"/>
    <x v="0"/>
    <x v="0"/>
    <x v="0"/>
  </r>
  <r>
    <x v="0"/>
    <s v="KRMN"/>
    <n v="5665"/>
    <n v="46.68"/>
    <n v="-0.05"/>
    <n v="2.64"/>
    <n v="0.04"/>
    <n v="-933.59999999999991"/>
    <n v="17.68181818181818"/>
    <n v="6.71"/>
    <n v="5.35"/>
    <n v="2.5099999999999998"/>
    <n v="1167"/>
    <s v="NO"/>
    <n v="-11.870172849955656"/>
    <n v="3.8872927443005278"/>
    <n v="0.52311201105656802"/>
    <n v="1.0948935178910397"/>
    <n v="0.61417403815275207"/>
    <n v="14.97741521105459"/>
    <x v="1"/>
    <x v="1"/>
    <x v="0"/>
    <x v="0"/>
    <x v="0"/>
    <x v="1"/>
  </r>
  <r>
    <x v="0"/>
    <s v="KTOS"/>
    <n v="5661"/>
    <n v="40.590000000000003"/>
    <n v="-0.28999999999999998"/>
    <n v="9.0500000000000007"/>
    <n v="0.13"/>
    <n v="-139.96551724137933"/>
    <n v="4.4850828729281771"/>
    <n v="1.44"/>
    <n v="1.04"/>
    <n v="1.44"/>
    <n v="312.23076923076923"/>
    <s v="NO"/>
    <n v="-1.7550520642438978"/>
    <n v="0.36793639386919363"/>
    <n v="0.12732330054717192"/>
    <n v="-1.472765824104505"/>
    <n v="-0.93350003262709935"/>
    <n v="3.4347993719492416"/>
    <x v="0"/>
    <x v="0"/>
    <x v="0"/>
    <x v="0"/>
    <x v="0"/>
    <x v="1"/>
  </r>
  <r>
    <x v="0"/>
    <s v="AIR"/>
    <n v="2217"/>
    <n v="67.349999999999994"/>
    <n v="-0.65"/>
    <n v="33.340000000000003"/>
    <n v="-0.36"/>
    <n v="-103.6153846153846"/>
    <n v="2.020095980803839"/>
    <n v="-1.06"/>
    <n v="4.13"/>
    <n v="2.42"/>
    <n v="-187.08333333333331"/>
    <s v="NO"/>
    <n v="-1.2917582053247054"/>
    <n v="-0.28943583263016992"/>
    <n v="-6.0432254722940081E-2"/>
    <n v="0.36808507305703403"/>
    <n v="0.48399584528341894"/>
    <n v="-3.3078285344839902"/>
    <x v="0"/>
    <x v="0"/>
    <x v="0"/>
    <x v="0"/>
    <x v="0"/>
    <x v="1"/>
  </r>
  <r>
    <x v="0"/>
    <s v="ACHR"/>
    <n v="5540"/>
    <n v="11.26"/>
    <n v="-1.05"/>
    <n v="1.84"/>
    <n v="-1.19"/>
    <n v="-10.723809523809523"/>
    <n v="6.1195652173913038"/>
    <n v="-73.89"/>
    <n v="-37.049999999999997"/>
    <n v="1.2"/>
    <n v="-9.46218487394958"/>
    <s v="NO"/>
    <n v="-0.10782590092145454"/>
    <n v="0.80382645940526121"/>
    <n v="-5.5301270908518427"/>
    <n v="-24.164678663225221"/>
    <n v="-1.280641880278655"/>
    <n v="-0.90927158160640287"/>
    <x v="0"/>
    <x v="0"/>
    <x v="1"/>
    <x v="1"/>
    <x v="0"/>
    <x v="0"/>
  </r>
  <r>
    <x v="0"/>
    <s v="AVAV"/>
    <n v="8126"/>
    <n v="195.72"/>
    <n v="-1.29"/>
    <n v="30.73"/>
    <n v="1.17"/>
    <n v="-151.72093023255815"/>
    <n v="6.3690205011389525"/>
    <n v="3.94"/>
    <n v="2.15"/>
    <n v="1.22"/>
    <n v="167.2820512820513"/>
    <s v="NO"/>
    <n v="-1.9048784955229225"/>
    <n v="0.87035215810700939"/>
    <n v="0.31507885581728395"/>
    <n v="-0.81148928823094257"/>
    <n v="-1.2517133929743585"/>
    <n v="1.477443740245902"/>
    <x v="0"/>
    <x v="0"/>
    <x v="0"/>
    <x v="0"/>
    <x v="0"/>
    <x v="0"/>
  </r>
  <r>
    <x v="0"/>
    <s v="HII"/>
    <n v="8753"/>
    <n v="228.07"/>
    <n v="-4.04"/>
    <n v="121.64"/>
    <n v="13.88"/>
    <n v="-56.452970297029701"/>
    <n v="1.8749588951002958"/>
    <n v="12.27"/>
    <n v="3.63"/>
    <n v="2.54"/>
    <n v="16.431556195965417"/>
    <s v="NO"/>
    <n v="-0.69065841979404741"/>
    <n v="-0.32814155130210293"/>
    <n v="0.94068036597729709"/>
    <n v="7.0212759600474281E-2"/>
    <n v="0.65756676910919687"/>
    <n v="-0.55960819288296737"/>
    <x v="0"/>
    <x v="0"/>
    <x v="0"/>
    <x v="0"/>
    <x v="0"/>
    <x v="0"/>
  </r>
  <r>
    <x v="0"/>
    <s v="SPR"/>
    <n v="4385"/>
    <n v="38.72"/>
    <n v="-11.13"/>
    <n v="-27.27"/>
    <n v="-18.23"/>
    <n v="-3.4788858939802334"/>
    <n v="-1.4198753208654198"/>
    <n v="99.14"/>
    <n v="-16.28"/>
    <n v="-2.02"/>
    <n v="-2.1239714755896872"/>
    <s v="NO"/>
    <n v="-1.548707342462911E-2"/>
    <n v="-1.2068206677776698"/>
    <n v="7.4648104005031497"/>
    <n v="-11.791062762239736"/>
    <n v="-5.9381283362703581"/>
    <n v="-0.81017796059899005"/>
    <x v="0"/>
    <x v="0"/>
    <x v="1"/>
    <x v="1"/>
    <x v="1"/>
    <x v="0"/>
  </r>
  <r>
    <x v="1"/>
    <s v="HUBG"/>
    <n v="2065"/>
    <n v="33.83"/>
    <n v="2.1800000000000002"/>
    <n v="26.91"/>
    <n v="1.7"/>
    <n v="15.518348623853209"/>
    <n v="1.2571534745447788"/>
    <n v="6.28"/>
    <n v="3.12"/>
    <n v="1.71"/>
    <n v="19.899999999999999"/>
    <s v="NO"/>
    <n v="-0.99999999999999989"/>
    <n v="-1.000000000000002"/>
    <n v="0.99999999999999989"/>
    <n v="1"/>
    <n v="-1.0000000000000002"/>
    <n v="-0.99999999999999944"/>
    <x v="0"/>
    <x v="0"/>
    <x v="0"/>
    <x v="0"/>
    <x v="0"/>
    <x v="0"/>
  </r>
  <r>
    <x v="1"/>
    <s v="GXO"/>
    <n v="4707"/>
    <n v="42.77"/>
    <n v="1.37"/>
    <n v="24.54"/>
    <n v="0.62"/>
    <n v="31.21897810218978"/>
    <n v="1.7428687856560718"/>
    <n v="2.72"/>
    <n v="2.37"/>
    <n v="3.94"/>
    <n v="68.983870967741936"/>
    <s v="NO"/>
    <n v="1.0000000000000002"/>
    <n v="1.000000000000002"/>
    <n v="-0.99999999999999967"/>
    <n v="-1"/>
    <n v="0.99999999999999978"/>
    <n v="0.99999999999999967"/>
    <x v="0"/>
    <x v="0"/>
    <x v="0"/>
    <x v="0"/>
    <x v="0"/>
    <x v="0"/>
  </r>
  <r>
    <x v="2"/>
    <s v="CSWI"/>
    <n v="5140"/>
    <n v="305.10000000000002"/>
    <n v="9.36"/>
    <n v="60.21"/>
    <n v="8.3800000000000008"/>
    <n v="32.596153846153854"/>
    <n v="5.0672645739910314"/>
    <n v="15.92"/>
    <n v="9.5299999999999994"/>
    <n v="1.29"/>
    <n v="36.408114558472555"/>
    <s v="NO"/>
    <n v="0.5178104716031815"/>
    <n v="0.10364991293301382"/>
    <n v="-0.37962246930828525"/>
    <n v="0.12752449801244622"/>
    <n v="-1.4350606625803077"/>
    <n v="0.21585880452038933"/>
    <x v="0"/>
    <x v="0"/>
    <x v="0"/>
    <x v="0"/>
    <x v="0"/>
    <x v="0"/>
  </r>
  <r>
    <x v="2"/>
    <s v="GFF"/>
    <n v="3233"/>
    <n v="70.81"/>
    <n v="6.23"/>
    <n v="4.55"/>
    <n v="4.82"/>
    <n v="11.365971107544141"/>
    <n v="15.562637362637364"/>
    <n v="110.9"/>
    <n v="11.6"/>
    <n v="10.92"/>
    <n v="14.690871369294605"/>
    <s v="NO"/>
    <n v="-1.1845114565715067"/>
    <n v="4.7253155907772681"/>
    <n v="3.4616284683587155"/>
    <n v="0.81959565014740687"/>
    <n v="19.016829245355964"/>
    <n v="-1.1270203198053552"/>
    <x v="0"/>
    <x v="1"/>
    <x v="0"/>
    <x v="1"/>
    <x v="1"/>
    <x v="0"/>
  </r>
  <r>
    <x v="2"/>
    <s v="WMS"/>
    <n v="8531"/>
    <n v="116.75"/>
    <n v="4.75"/>
    <n v="21.23"/>
    <n v="5.76"/>
    <n v="24.578947368421051"/>
    <n v="5.4992934526613286"/>
    <n v="33.340000000000003"/>
    <n v="12.05"/>
    <n v="2.42"/>
    <n v="20.269097222222221"/>
    <s v="NO"/>
    <n v="-0.12504157342082914"/>
    <n v="0.29389499336960695"/>
    <n v="0.32488996840659329"/>
    <n v="0.97004590061152918"/>
    <n v="0.96479765475800872"/>
    <n v="-0.78209242157177583"/>
    <x v="0"/>
    <x v="0"/>
    <x v="0"/>
    <x v="0"/>
    <x v="0"/>
    <x v="0"/>
  </r>
  <r>
    <x v="2"/>
    <s v="AZZ"/>
    <n v="2716"/>
    <n v="92.85"/>
    <n v="4.6100000000000003"/>
    <n v="34.950000000000003"/>
    <n v="1.79"/>
    <n v="20.140997830802601"/>
    <n v="2.6566523605150212"/>
    <n v="13.01"/>
    <n v="6.89"/>
    <n v="2.13"/>
    <n v="51.871508379888262"/>
    <s v="NO"/>
    <n v="-0.48089431887465112"/>
    <n v="-0.95786966850256716"/>
    <n v="-0.49731082715847447"/>
    <n v="-0.75511697137706857"/>
    <n v="0.34890481225525483"/>
    <n v="1.1720330561562793"/>
    <x v="0"/>
    <x v="0"/>
    <x v="0"/>
    <x v="0"/>
    <x v="0"/>
    <x v="0"/>
  </r>
  <r>
    <x v="2"/>
    <s v="AWI"/>
    <n v="6759"/>
    <n v="154.53"/>
    <n v="4.45"/>
    <n v="18.27"/>
    <n v="6.24"/>
    <n v="34.725842696629215"/>
    <n v="8.4581280788177349"/>
    <n v="38.6"/>
    <n v="10.38"/>
    <n v="2.34"/>
    <n v="24.764423076923077"/>
    <s v="NO"/>
    <n v="0.68857753823610712"/>
    <n v="1.596825790922338"/>
    <n v="0.53761875269937509"/>
    <n v="0.41170830444467693"/>
    <n v="0.79489618096414538"/>
    <n v="-0.50412531521604198"/>
    <x v="0"/>
    <x v="0"/>
    <x v="0"/>
    <x v="0"/>
    <x v="0"/>
    <x v="0"/>
  </r>
  <r>
    <x v="2"/>
    <s v="FBIN"/>
    <n v="6061"/>
    <n v="52.04"/>
    <n v="4.0199999999999996"/>
    <n v="19.16"/>
    <n v="3.42"/>
    <n v="12.945273631840797"/>
    <n v="2.7160751565762005"/>
    <n v="18.62"/>
    <n v="6.83"/>
    <n v="2.86"/>
    <n v="15.216374269005849"/>
    <s v="NO"/>
    <n v="-1.0578765918869697"/>
    <n v="-0.93170268019562663"/>
    <n v="-0.27042708573594471"/>
    <n v="-0.77517700477228468"/>
    <n v="1.8992557606242557"/>
    <n v="-1.0945260079054671"/>
    <x v="0"/>
    <x v="0"/>
    <x v="0"/>
    <x v="0"/>
    <x v="0"/>
    <x v="0"/>
  </r>
  <r>
    <x v="2"/>
    <s v="SSD"/>
    <n v="6535"/>
    <n v="158.86000000000001"/>
    <n v="3.49"/>
    <n v="44.51"/>
    <n v="7.68"/>
    <n v="45.51862464183381"/>
    <n v="3.5690855987418564"/>
    <n v="18.100000000000001"/>
    <n v="9.91"/>
    <n v="1.52"/>
    <n v="20.684895833333336"/>
    <s v="NO"/>
    <n v="1.5539864514583404"/>
    <n v="-0.55607723431680189"/>
    <n v="-0.29145730775728435"/>
    <n v="0.25457137618214942"/>
    <n v="-0.94659392542295129"/>
    <n v="-0.75638164097587601"/>
    <x v="0"/>
    <x v="0"/>
    <x v="0"/>
    <x v="0"/>
    <x v="0"/>
    <x v="0"/>
  </r>
  <r>
    <x v="2"/>
    <s v="AOS"/>
    <n v="9139"/>
    <n v="64.83"/>
    <n v="2.8"/>
    <n v="13.05"/>
    <n v="3.58"/>
    <n v="23.153571428571428"/>
    <n v="4.9678160919540222"/>
    <n v="27.97"/>
    <n v="13.35"/>
    <n v="1.76"/>
    <n v="18.108938547486034"/>
    <s v="NO"/>
    <n v="-0.23933398193061656"/>
    <n v="5.9857505993323165E-2"/>
    <n v="0.10771248330160477"/>
    <n v="1.4046799575078808"/>
    <n v="-0.4368895040413619"/>
    <n v="-0.91566517591565699"/>
    <x v="0"/>
    <x v="0"/>
    <x v="0"/>
    <x v="0"/>
    <x v="0"/>
    <x v="0"/>
  </r>
  <r>
    <x v="2"/>
    <s v="REZI"/>
    <n v="3074"/>
    <n v="21.47"/>
    <n v="1.82"/>
    <n v="19.29"/>
    <n v="0.3"/>
    <n v="11.796703296703296"/>
    <n v="1.1130119232763089"/>
    <n v="2.58"/>
    <n v="5.2"/>
    <n v="2.82"/>
    <n v="71.566666666666663"/>
    <s v="NO"/>
    <n v="-1.1499736073309148"/>
    <n v="-1.6376158929945897"/>
    <n v="-0.91912854962496027"/>
    <n v="-1.3201412453423262"/>
    <n v="1.8143050237273242"/>
    <n v="2.38987717583651"/>
    <x v="0"/>
    <x v="0"/>
    <x v="0"/>
    <x v="0"/>
    <x v="0"/>
    <x v="0"/>
  </r>
  <r>
    <x v="2"/>
    <s v="TGLS"/>
    <n v="4024"/>
    <n v="88.16"/>
    <n v="1.78"/>
    <n v="14.58"/>
    <n v="3.7"/>
    <n v="49.528089887640448"/>
    <n v="6.0466392318244164"/>
    <n v="27.61"/>
    <n v="14.21"/>
    <n v="1.66"/>
    <n v="23.827027027027025"/>
    <s v="NO"/>
    <n v="1.8754815931736362"/>
    <n v="0.53492018155610788"/>
    <n v="9.3153098825292713E-2"/>
    <n v="1.6922071028393142"/>
    <n v="-0.64926634628369095"/>
    <n v="-0.56208891472383338"/>
    <x v="0"/>
    <x v="0"/>
    <x v="0"/>
    <x v="0"/>
    <x v="0"/>
    <x v="0"/>
  </r>
  <r>
    <x v="2"/>
    <s v="ZWS"/>
    <n v="6089"/>
    <n v="36.590000000000003"/>
    <n v="1.52"/>
    <n v="9.19"/>
    <n v="0.96"/>
    <n v="24.072368421052634"/>
    <n v="3.9815016322089232"/>
    <n v="10.49"/>
    <n v="6.2"/>
    <n v="1.68"/>
    <n v="38.114583333333336"/>
    <s v="YES"/>
    <n v="-0.16566112253514739"/>
    <n v="-0.37446872309466289"/>
    <n v="-0.59922651849265895"/>
    <n v="-0.98580735542205533"/>
    <n v="-0.60679097783522518"/>
    <n v="0.32137778195746125"/>
    <x v="0"/>
    <x v="0"/>
    <x v="0"/>
    <x v="0"/>
    <x v="0"/>
    <x v="0"/>
  </r>
  <r>
    <x v="2"/>
    <s v="AZEK"/>
    <n v="7122"/>
    <n v="54.05"/>
    <n v="1.44"/>
    <n v="10.11"/>
    <n v="1.03"/>
    <n v="37.534722222222221"/>
    <n v="5.3461918892185958"/>
    <n v="10.62"/>
    <n v="6.42"/>
    <n v="1.58"/>
    <n v="52.475728155339802"/>
    <s v="NO"/>
    <n v="0.91380486052956666"/>
    <n v="0.22647630751282422"/>
    <n v="-0.59396896298732405"/>
    <n v="-0.9122538996395958"/>
    <n v="-0.81916782007755373"/>
    <n v="1.2093948021150385"/>
    <x v="0"/>
    <x v="0"/>
    <x v="0"/>
    <x v="0"/>
    <x v="0"/>
    <x v="0"/>
  </r>
  <r>
    <x v="2"/>
    <s v="HAYW"/>
    <n v="3017"/>
    <n v="14.21"/>
    <n v="1.2"/>
    <n v="6.66"/>
    <n v="0.56000000000000005"/>
    <n v="11.841666666666669"/>
    <n v="2.1336336336336337"/>
    <n v="8.92"/>
    <n v="4.6399999999999997"/>
    <n v="2.0699999999999998"/>
    <n v="25.375"/>
    <s v="NO"/>
    <n v="-1.1463682624502003"/>
    <n v="-1.1881823736894093"/>
    <n v="-0.66272161190324208"/>
    <n v="-1.507368223697678"/>
    <n v="0.22147870690985735"/>
    <n v="-0.46637047696826517"/>
    <x v="0"/>
    <x v="0"/>
    <x v="0"/>
    <x v="0"/>
    <x v="0"/>
    <x v="0"/>
  </r>
  <r>
    <x v="2"/>
    <s v="TREX"/>
    <n v="5991"/>
    <n v="57.08"/>
    <n v="-1.07"/>
    <n v="8.49"/>
    <n v="1.83"/>
    <n v="-53.345794392523359"/>
    <n v="6.7232037691401647"/>
    <n v="23.07"/>
    <n v="11.43"/>
    <n v="1.8"/>
    <n v="31.191256830601091"/>
    <s v="NO"/>
    <n v="-6.3733625737747106"/>
    <n v="0.83284719795912088"/>
    <n v="-9.0456916514864996E-2"/>
    <n v="0.76275888886096088"/>
    <n v="-0.35193876714443023"/>
    <n v="-0.10672400566000373"/>
    <x v="1"/>
    <x v="0"/>
    <x v="0"/>
    <x v="0"/>
    <x v="0"/>
    <x v="0"/>
  </r>
  <r>
    <x v="2"/>
    <s v="AAON"/>
    <n v="7835"/>
    <n v="93.96"/>
    <n v="-1.64"/>
    <n v="10.029999999999999"/>
    <n v="1.91"/>
    <n v="-57.292682926829265"/>
    <n v="9.367896311066799"/>
    <n v="19.850000000000001"/>
    <n v="11.04"/>
    <n v="1.59"/>
    <n v="49.193717277486911"/>
    <s v="NO"/>
    <n v="-6.6898400616387743"/>
    <n v="1.9974446825473247"/>
    <n v="-0.22068252210854511"/>
    <n v="0.63236867179205514"/>
    <n v="-0.79793013585332084"/>
    <n v="1.006452658156596"/>
    <x v="1"/>
    <x v="0"/>
    <x v="0"/>
    <x v="0"/>
    <x v="0"/>
    <x v="0"/>
  </r>
  <r>
    <x v="3"/>
    <s v="BYDGF"/>
    <n v="3185"/>
    <n v="146.47"/>
    <n v="10.48"/>
    <n v="38.49"/>
    <n v="0.63"/>
    <n v="13.976145038167939"/>
    <n v="3.8054040010392307"/>
    <n v="1.63"/>
    <n v="2.61"/>
    <n v="2.99"/>
    <n v="232.49206349206349"/>
    <s v="NO"/>
    <n v="-0.93595446869258436"/>
    <n v="0.18949288783461854"/>
    <n v="-0.28934580587849307"/>
    <n v="-0.58177895176860406"/>
    <n v="1.0711556131058519"/>
    <n v="12.116238511809737"/>
    <x v="0"/>
    <x v="0"/>
    <x v="0"/>
    <x v="0"/>
    <x v="0"/>
    <x v="1"/>
  </r>
  <r>
    <x v="3"/>
    <s v="UNF"/>
    <n v="3501"/>
    <n v="189.64"/>
    <n v="8.7799999999999994"/>
    <n v="115.47"/>
    <n v="8.0399999999999991"/>
    <n v="21.599088838268791"/>
    <n v="1.6423313414739757"/>
    <n v="7.17"/>
    <n v="4.66"/>
    <n v="1.28"/>
    <n v="23.587064676616915"/>
    <s v="NO"/>
    <n v="-0.61541676285457803"/>
    <n v="-1.1971242567671005"/>
    <n v="5.4300053939598553E-2"/>
    <n v="-3.4334495514212582E-2"/>
    <n v="-1.6784736339314568"/>
    <n v="-0.24960571604016951"/>
    <x v="0"/>
    <x v="0"/>
    <x v="0"/>
    <x v="0"/>
    <x v="0"/>
    <x v="0"/>
  </r>
  <r>
    <x v="3"/>
    <s v="MSA"/>
    <n v="6406"/>
    <n v="166.09"/>
    <n v="6.44"/>
    <n v="30.19"/>
    <n v="7.25"/>
    <n v="25.790372670807454"/>
    <n v="5.5014905597880093"/>
    <n v="26.22"/>
    <n v="11.96"/>
    <n v="1.88"/>
    <n v="22.908965517241381"/>
    <s v="NO"/>
    <n v="-0.43917717098193487"/>
    <n v="1.2767530363505117"/>
    <n v="1.2359703841805092"/>
    <n v="1.9151018609038644"/>
    <n v="-0.71369144198854173"/>
    <n v="-0.28974486361165319"/>
    <x v="0"/>
    <x v="0"/>
    <x v="1"/>
    <x v="0"/>
    <x v="0"/>
    <x v="0"/>
  </r>
  <r>
    <x v="3"/>
    <s v="HNI"/>
    <n v="2166"/>
    <n v="47.94"/>
    <n v="3.92"/>
    <n v="17.260000000000002"/>
    <n v="2.8"/>
    <n v="12.229591836734693"/>
    <n v="2.7775202780996522"/>
    <n v="17.22"/>
    <n v="7.25"/>
    <n v="2.31"/>
    <n v="17.12142857142857"/>
    <s v="YES"/>
    <n v="-1.0093954084387271"/>
    <n v="-0.46942219140803754"/>
    <n v="0.67770093682259858"/>
    <n v="0.6573148418998721"/>
    <n v="-2.226420442945224E-2"/>
    <n v="-0.63233015712142071"/>
    <x v="0"/>
    <x v="0"/>
    <x v="0"/>
    <x v="0"/>
    <x v="0"/>
    <x v="0"/>
  </r>
  <r>
    <x v="3"/>
    <s v="BRC"/>
    <n v="3301"/>
    <n v="70.03"/>
    <n v="3.72"/>
    <n v="24.68"/>
    <n v="4.03"/>
    <n v="18.8252688172043"/>
    <n v="2.837520259319287"/>
    <n v="17.8"/>
    <n v="10.18"/>
    <n v="1.45"/>
    <n v="17.377171215880892"/>
    <s v="YES"/>
    <n v="-0.73205331813756191"/>
    <n v="-0.43095977440737698"/>
    <n v="0.71367830120788633"/>
    <n v="1.4397598452293192"/>
    <n v="-1.4051186795476309"/>
    <n v="-0.61719182284676011"/>
    <x v="0"/>
    <x v="0"/>
    <x v="1"/>
    <x v="0"/>
    <x v="0"/>
    <x v="0"/>
  </r>
  <r>
    <x v="3"/>
    <s v="KAR"/>
    <n v="2462"/>
    <n v="23.8"/>
    <n v="2.02"/>
    <n v="12.78"/>
    <n v="0.57999999999999996"/>
    <n v="11.782178217821782"/>
    <n v="1.8622848200312991"/>
    <n v="6.53"/>
    <n v="3.84"/>
    <n v="3.5"/>
    <n v="41.03448275862069"/>
    <s v="NO"/>
    <n v="-1.028208735511285"/>
    <n v="-1.0561251724165683"/>
    <n v="1.4600893238591598E-2"/>
    <n v="-0.25331227801596923"/>
    <n v="1.8912204762573297"/>
    <n v="0.78317021274855603"/>
    <x v="0"/>
    <x v="0"/>
    <x v="0"/>
    <x v="0"/>
    <x v="0"/>
    <x v="0"/>
  </r>
  <r>
    <x v="3"/>
    <s v="BCO"/>
    <n v="3447"/>
    <n v="84.07"/>
    <n v="1.66"/>
    <n v="4.82"/>
    <n v="3.69"/>
    <n v="50.644578313253014"/>
    <n v="17.441908713692943"/>
    <n v="41.3"/>
    <n v="4.32"/>
    <n v="31.99"/>
    <n v="22.783197831978317"/>
    <s v="NO"/>
    <n v="0.60591908919909021"/>
    <n v="8.9310444688194757"/>
    <n v="2.1713818581979858"/>
    <n v="-0.12513016142957503"/>
    <n v="47.702294890346749"/>
    <n v="-0.29718950885077566"/>
    <x v="0"/>
    <x v="1"/>
    <x v="0"/>
    <x v="1"/>
    <x v="1"/>
    <x v="0"/>
  </r>
  <r>
    <x v="3"/>
    <s v="CWST"/>
    <n v="7439"/>
    <n v="116.97"/>
    <n v="1.56"/>
    <n v="24.37"/>
    <n v="0.21"/>
    <n v="74.980769230769226"/>
    <n v="4.79975379565039"/>
    <n v="1"/>
    <n v="2.2200000000000002"/>
    <n v="2.0699999999999998"/>
    <n v="557"/>
    <s v="NO"/>
    <n v="1.6292333113809683"/>
    <n v="0.82691136143140742"/>
    <n v="-0.32842466719354679"/>
    <n v="-0.68592692149504919"/>
    <n v="-0.40817708120661872"/>
    <n v="31.325039719593189"/>
    <x v="0"/>
    <x v="0"/>
    <x v="0"/>
    <x v="0"/>
    <x v="0"/>
    <x v="1"/>
  </r>
  <r>
    <x v="3"/>
    <s v="CXW"/>
    <n v="2397"/>
    <n v="22.29"/>
    <n v="1.43"/>
    <n v="13.5"/>
    <n v="0.77"/>
    <n v="15.587412587412587"/>
    <n v="1.651111111111111"/>
    <n v="5.78"/>
    <n v="3.76"/>
    <n v="2.04"/>
    <n v="28.948051948051948"/>
    <s v="NO"/>
    <n v="-0.86820216495406366"/>
    <n v="-1.1914960689895562"/>
    <n v="-3.1921560707900948E-2"/>
    <n v="-0.2746759641137016"/>
    <n v="-0.45641619080376417"/>
    <n v="6.77305558631046E-2"/>
    <x v="0"/>
    <x v="0"/>
    <x v="0"/>
    <x v="0"/>
    <x v="0"/>
    <x v="0"/>
  </r>
  <r>
    <x v="3"/>
    <s v="GEO"/>
    <n v="3836"/>
    <n v="26.96"/>
    <n v="1"/>
    <n v="9.6999999999999993"/>
    <n v="0.23"/>
    <n v="26.96"/>
    <n v="2.7793814432989694"/>
    <n v="2.17"/>
    <n v="5.01"/>
    <n v="2.7"/>
    <n v="117.21739130434783"/>
    <s v="NO"/>
    <n v="-0.38999542825678796"/>
    <n v="-0.46822910916787458"/>
    <n v="-0.25584963903701841"/>
    <n v="5.9131631163366345E-2"/>
    <n v="0.60484422033344287"/>
    <n v="5.2927127571720556"/>
    <x v="0"/>
    <x v="0"/>
    <x v="0"/>
    <x v="0"/>
    <x v="0"/>
    <x v="1"/>
  </r>
  <r>
    <x v="3"/>
    <s v="ABM"/>
    <n v="3276"/>
    <n v="48.25"/>
    <n v="0.92"/>
    <n v="28.6"/>
    <n v="1.27"/>
    <n v="52.445652173913039"/>
    <n v="1.6870629370629371"/>
    <n v="4.46"/>
    <n v="3.82"/>
    <n v="2.93"/>
    <n v="37.99212598425197"/>
    <s v="NO"/>
    <n v="0.68165257202145191"/>
    <n v="-1.1684494930809326"/>
    <n v="-0.11380107965372785"/>
    <n v="-0.25865319954040233"/>
    <n v="0.97467739391156039"/>
    <n v="0.60308208574962596"/>
    <x v="0"/>
    <x v="0"/>
    <x v="0"/>
    <x v="0"/>
    <x v="0"/>
    <x v="0"/>
  </r>
  <r>
    <x v="3"/>
    <s v="TTEK"/>
    <n v="9207"/>
    <n v="35.270000000000003"/>
    <n v="0.87"/>
    <n v="5.97"/>
    <n v="0.69"/>
    <n v="40.540229885057478"/>
    <n v="5.9078726968174209"/>
    <n v="11.92"/>
    <n v="8.34"/>
    <n v="2.66"/>
    <n v="51.115942028985515"/>
    <s v="NO"/>
    <n v="0.18104062372767848"/>
    <n v="1.5372604381583277"/>
    <n v="0.34894226226738467"/>
    <n v="0.9483950649814753"/>
    <n v="0.54052540753724843"/>
    <n v="1.3799283355011789"/>
    <x v="0"/>
    <x v="0"/>
    <x v="0"/>
    <x v="0"/>
    <x v="0"/>
    <x v="0"/>
  </r>
  <r>
    <x v="3"/>
    <s v="ACVA"/>
    <n v="2802"/>
    <n v="16.690000000000001"/>
    <n v="0.32"/>
    <n v="2.58"/>
    <n v="-0.45"/>
    <n v="52.15625"/>
    <n v="6.4689922480620154"/>
    <n v="-16.489999999999998"/>
    <n v="-4.13"/>
    <n v="2.62"/>
    <n v="-37.088888888888889"/>
    <s v="NO"/>
    <n v="0.66948347943422981"/>
    <n v="1.8969607868666118"/>
    <n v="-1.4133282932257529"/>
    <n v="-2.3816695055025545"/>
    <n v="0.47620659474105409"/>
    <n v="-3.8412353774737213"/>
    <x v="0"/>
    <x v="0"/>
    <x v="1"/>
    <x v="0"/>
    <x v="0"/>
    <x v="1"/>
  </r>
  <r>
    <x v="3"/>
    <s v="ELEEF"/>
    <n v="9470"/>
    <n v="23.34"/>
    <n v="0.26"/>
    <n v="6.76"/>
    <n v="0.97"/>
    <n v="89.769230769230759"/>
    <n v="3.4526627218934913"/>
    <n v="13.96"/>
    <n v="2.99"/>
    <n v="4.83"/>
    <n v="24.061855670103093"/>
    <s v="NO"/>
    <n v="2.2510743820640999"/>
    <n v="-3.6628552473599411E-2"/>
    <n v="0.47548333700184447"/>
    <n v="-0.48030144280437531"/>
    <n v="4.0298210017307916"/>
    <n v="-0.22150111586531698"/>
    <x v="0"/>
    <x v="0"/>
    <x v="0"/>
    <x v="0"/>
    <x v="1"/>
    <x v="0"/>
  </r>
  <r>
    <x v="3"/>
    <s v="DRVN"/>
    <n v="2927"/>
    <n v="18.23"/>
    <n v="0.01"/>
    <n v="3.92"/>
    <n v="-1.78"/>
    <n v="1823"/>
    <n v="4.6505102040816331"/>
    <n v="-36.97"/>
    <n v="2.7"/>
    <n v="8.24"/>
    <n v="-10.241573033707866"/>
    <s v="NO"/>
    <n v="75.131818229306376"/>
    <n v="0.73124017725918111"/>
    <n v="-2.683701435657976"/>
    <n v="-0.55774480490865508"/>
    <n v="9.5129997926063599"/>
    <n v="-2.2520454218310419"/>
    <x v="1"/>
    <x v="0"/>
    <x v="0"/>
    <x v="1"/>
    <x v="1"/>
    <x v="0"/>
  </r>
  <r>
    <x v="3"/>
    <s v="VSEC"/>
    <n v="2689"/>
    <n v="133.28"/>
    <n v="-0.76"/>
    <n v="47.21"/>
    <n v="2.34"/>
    <n v="-175.36842105263159"/>
    <n v="2.8231306926498623"/>
    <n v="5.66"/>
    <n v="4.53"/>
    <n v="1.78"/>
    <n v="56.957264957264961"/>
    <s v="NO"/>
    <n v="-8.8977175905504016"/>
    <n v="-0.44018406918960773"/>
    <n v="-3.9365153339339765E-2"/>
    <n v="-6.9050485423027622E-2"/>
    <n v="-0.8744884739790274"/>
    <n v="1.7256974163046717"/>
    <x v="1"/>
    <x v="0"/>
    <x v="0"/>
    <x v="0"/>
    <x v="0"/>
    <x v="0"/>
  </r>
  <r>
    <x v="4"/>
    <s v="VMI"/>
    <n v="6383"/>
    <n v="324.7"/>
    <n v="25.87"/>
    <n v="81.459999999999994"/>
    <n v="17.190000000000001"/>
    <n v="12.551217626594511"/>
    <n v="3.9860054014240118"/>
    <n v="22.18"/>
    <n v="9.51"/>
    <n v="2.06"/>
    <n v="18.888888888888886"/>
    <s v="YES"/>
    <n v="-0.90641205144959192"/>
    <n v="-0.5845208998955963"/>
    <n v="0.15549718301332324"/>
    <n v="0.75097494331075343"/>
    <n v="-0.7490664993495586"/>
    <n v="-0.76051183635661135"/>
    <x v="0"/>
    <x v="0"/>
    <x v="0"/>
    <x v="0"/>
    <x v="0"/>
    <x v="0"/>
  </r>
  <r>
    <x v="4"/>
    <s v="STRL"/>
    <n v="5718"/>
    <n v="202.91"/>
    <n v="14.84"/>
    <n v="26.48"/>
    <n v="8.56"/>
    <n v="13.673180592991914"/>
    <n v="7.6627643504531724"/>
    <n v="37.83"/>
    <n v="9.07"/>
    <n v="2.5299999999999998"/>
    <n v="23.704439252336446"/>
    <s v="NO"/>
    <n v="-0.79737662854276981"/>
    <n v="1.2393374085918147"/>
    <n v="1.1283536307066158"/>
    <n v="0.63658311218329955"/>
    <n v="0.13108663738617249"/>
    <n v="-0.56437130272581493"/>
    <x v="0"/>
    <x v="0"/>
    <x v="0"/>
    <x v="0"/>
    <x v="0"/>
    <x v="0"/>
  </r>
  <r>
    <x v="4"/>
    <s v="AGX"/>
    <n v="2868"/>
    <n v="217.97"/>
    <n v="11.97"/>
    <n v="25.81"/>
    <n v="6.15"/>
    <n v="18.209690893901421"/>
    <n v="8.4451762882603649"/>
    <n v="26.59"/>
    <n v="7.69"/>
    <n v="2.38"/>
    <n v="35.442276422764223"/>
    <s v="NO"/>
    <n v="-0.35650617738242374"/>
    <n v="1.627453282711379"/>
    <n v="0.4296375622035738"/>
    <n v="0.27780873273810286"/>
    <n v="-0.14981329986991188"/>
    <n v="-8.6281474457284707E-2"/>
    <x v="0"/>
    <x v="0"/>
    <x v="0"/>
    <x v="0"/>
    <x v="0"/>
    <x v="0"/>
  </r>
  <r>
    <x v="4"/>
    <s v="IESC"/>
    <n v="5155"/>
    <n v="276.69"/>
    <n v="8.7799999999999994"/>
    <n v="35.49"/>
    <n v="11.95"/>
    <n v="31.513667425968112"/>
    <n v="7.7962806424344882"/>
    <n v="39.119999999999997"/>
    <n v="16.899999999999999"/>
    <n v="1.93"/>
    <n v="23.153974895397489"/>
    <s v="NO"/>
    <n v="0.9364105685010764"/>
    <n v="1.3055682390118653"/>
    <n v="1.2085443538711109"/>
    <n v="2.6722377433832198"/>
    <n v="-0.99251311163816547"/>
    <n v="-0.58679207804036138"/>
    <x v="0"/>
    <x v="0"/>
    <x v="1"/>
    <x v="0"/>
    <x v="0"/>
    <x v="0"/>
  </r>
  <r>
    <x v="4"/>
    <s v="PRIM"/>
    <n v="3894"/>
    <n v="73.83"/>
    <n v="8.31"/>
    <n v="26.78"/>
    <n v="3.77"/>
    <n v="8.884476534296029"/>
    <n v="2.756908140403286"/>
    <n v="15.3"/>
    <n v="5.3"/>
    <n v="2.92"/>
    <n v="19.583554376657823"/>
    <s v="NO"/>
    <n v="-1.262755957320524"/>
    <n v="-1.1942152754389499"/>
    <n v="-0.2721866738639836"/>
    <n v="-0.3435468954314771"/>
    <n v="0.86142647425199248"/>
    <n v="-0.73221765413808071"/>
    <x v="0"/>
    <x v="0"/>
    <x v="0"/>
    <x v="0"/>
    <x v="0"/>
    <x v="0"/>
  </r>
  <r>
    <x v="4"/>
    <s v="GVA"/>
    <n v="3912"/>
    <n v="90.79"/>
    <n v="6.75"/>
    <n v="22.72"/>
    <n v="2.58"/>
    <n v="13.450370370370372"/>
    <n v="3.9960387323943665"/>
    <n v="13.86"/>
    <n v="4.6399999999999997"/>
    <n v="2.93"/>
    <n v="35.189922480620154"/>
    <s v="NO"/>
    <n v="-0.81902993402531266"/>
    <n v="-0.57954386052321183"/>
    <n v="-0.36170189972202466"/>
    <n v="-0.51513464212265825"/>
    <n v="0.88015313673573192"/>
    <n v="-9.6560016501342355E-2"/>
    <x v="0"/>
    <x v="0"/>
    <x v="0"/>
    <x v="0"/>
    <x v="0"/>
    <x v="0"/>
  </r>
  <r>
    <x v="4"/>
    <s v="MYRG"/>
    <n v="2435"/>
    <n v="166.2"/>
    <n v="6.11"/>
    <n v="35.35"/>
    <n v="2.12"/>
    <n v="27.2013093289689"/>
    <n v="4.7015558698727009"/>
    <n v="5.71"/>
    <n v="2.3199999999999998"/>
    <n v="2.77"/>
    <n v="78.396226415094333"/>
    <s v="NO"/>
    <n v="0.51732384022717581"/>
    <n v="-0.22957169459977478"/>
    <n v="-0.86833321273802044"/>
    <n v="-1.1182915698855977"/>
    <n v="0.58052653699590817"/>
    <n v="1.66326116079293"/>
    <x v="0"/>
    <x v="0"/>
    <x v="0"/>
    <x v="0"/>
    <x v="0"/>
    <x v="0"/>
  </r>
  <r>
    <x v="4"/>
    <s v="ACA"/>
    <n v="4211"/>
    <n v="89.94"/>
    <n v="5.17"/>
    <n v="50.3"/>
    <n v="1.59"/>
    <n v="17.396518375241779"/>
    <n v="1.7880715705765409"/>
    <n v="3.24"/>
    <n v="3.4"/>
    <n v="2.0099999999999998"/>
    <n v="56.566037735849051"/>
    <s v="NO"/>
    <n v="-0.43553250189022791"/>
    <n v="-1.6748071912923213"/>
    <n v="-1.0218766904250769"/>
    <n v="-0.83751162075457408"/>
    <n v="-0.84269981176825393"/>
    <n v="0.77410321753704925"/>
    <x v="0"/>
    <x v="0"/>
    <x v="0"/>
    <x v="0"/>
    <x v="0"/>
    <x v="0"/>
  </r>
  <r>
    <x v="4"/>
    <s v="FLR"/>
    <n v="6847"/>
    <n v="45.14"/>
    <n v="2.99"/>
    <n v="21.61"/>
    <n v="10.64"/>
    <n v="15.096989966555183"/>
    <n v="2.088847755668672"/>
    <n v="63.65"/>
    <n v="3.68"/>
    <n v="2.35"/>
    <n v="4.242481203007519"/>
    <s v="NO"/>
    <n v="-0.65900694804996451"/>
    <n v="-1.5256069984648095"/>
    <n v="2.733411361022323"/>
    <n v="-0.76471681912801226"/>
    <n v="-0.20599328732112843"/>
    <n v="-1.3570696547710159"/>
    <x v="0"/>
    <x v="0"/>
    <x v="0"/>
    <x v="1"/>
    <x v="0"/>
    <x v="0"/>
  </r>
  <r>
    <x v="4"/>
    <s v="ROAD"/>
    <n v="5866"/>
    <n v="104.7"/>
    <n v="2.37"/>
    <n v="14.41"/>
    <n v="1.1299999999999999"/>
    <n v="44.177215189873415"/>
    <n v="7.2657876474670369"/>
    <n v="9.2100000000000009"/>
    <n v="4.7699999999999996"/>
    <n v="3.41"/>
    <n v="92.654867256637175"/>
    <s v="NO"/>
    <n v="2.1670886989671776"/>
    <n v="1.0424168957014113"/>
    <n v="-0.6507614832219486"/>
    <n v="-0.48133705565318319"/>
    <n v="1.7790329359552024"/>
    <n v="2.2440249805918913"/>
    <x v="0"/>
    <x v="0"/>
    <x v="0"/>
    <x v="0"/>
    <x v="0"/>
    <x v="0"/>
  </r>
  <r>
    <x v="4"/>
    <s v="ECG"/>
    <n v="2953"/>
    <n v="61.03"/>
    <n v="1.79"/>
    <n v="9.02"/>
    <n v="2.98"/>
    <n v="34.094972067039109"/>
    <n v="6.766075388026608"/>
    <n v="33.42"/>
    <n v="10.14"/>
    <n v="2.95"/>
    <n v="20.479865771812079"/>
    <s v="NO"/>
    <n v="1.1872687978901089"/>
    <n v="0.79453435325894395"/>
    <n v="0.85421325151636551"/>
    <n v="0.91476324697051736"/>
    <n v="0.91760646170320992"/>
    <n v="-0.69571030148336599"/>
    <x v="0"/>
    <x v="0"/>
    <x v="0"/>
    <x v="0"/>
    <x v="0"/>
    <x v="0"/>
  </r>
  <r>
    <x v="4"/>
    <s v="WSC"/>
    <n v="4915"/>
    <n v="28.29"/>
    <n v="1.75"/>
    <n v="5.52"/>
    <n v="0.08"/>
    <n v="16.165714285714284"/>
    <n v="5.125"/>
    <n v="1.28"/>
    <n v="6.16"/>
    <n v="5.89"/>
    <n v="353.625"/>
    <s v="NO"/>
    <n v="-0.55514540216981001"/>
    <n v="-1.9521999849776712E-2"/>
    <n v="-1.1437168589540772"/>
    <n v="-0.11996286186418054"/>
    <n v="6.4232452319224658"/>
    <n v="12.873510134878011"/>
    <x v="0"/>
    <x v="0"/>
    <x v="0"/>
    <x v="0"/>
    <x v="1"/>
    <x v="1"/>
  </r>
  <r>
    <x v="4"/>
    <s v="DY"/>
    <n v="6650"/>
    <n v="238.24"/>
    <n v="1.53"/>
    <n v="43.77"/>
    <n v="7.89"/>
    <n v="155.71241830065361"/>
    <n v="5.4429974868631481"/>
    <n v="19.760000000000002"/>
    <n v="7.63"/>
    <n v="2.4500000000000002"/>
    <n v="30.195183776932829"/>
    <s v="NO"/>
    <n v="13.006384116383529"/>
    <n v="0.13822082923794793"/>
    <n v="5.0618728907822711E-3"/>
    <n v="0.26220984667526809"/>
    <n v="-1.8726662483738572E-2"/>
    <n v="-0.29999900908748911"/>
    <x v="1"/>
    <x v="0"/>
    <x v="0"/>
    <x v="0"/>
    <x v="0"/>
    <x v="0"/>
  </r>
  <r>
    <x v="4"/>
    <s v="BLFBY"/>
    <n v="3395"/>
    <n v="12.8"/>
    <n v="0.4"/>
    <n v="2.79"/>
    <n v="0.53"/>
    <n v="32"/>
    <n v="4.5878136200716844"/>
    <n v="15.23"/>
    <n v="1.63"/>
    <n v="5.0199999999999996"/>
    <n v="24.150943396226417"/>
    <s v="NO"/>
    <n v="0.98367369524509041"/>
    <n v="-0.28599360046891292"/>
    <n v="-0.27653810845430504"/>
    <n v="-1.297678759608196"/>
    <n v="4.7940255958371756"/>
    <n v="-0.54618489526641034"/>
    <x v="0"/>
    <x v="0"/>
    <x v="0"/>
    <x v="0"/>
    <x v="1"/>
    <x v="0"/>
  </r>
  <r>
    <x v="4"/>
    <s v="EKIVY"/>
    <n v="9263"/>
    <n v="6.32"/>
    <n v="0.04"/>
    <n v="1.25"/>
    <n v="0.1"/>
    <n v="158"/>
    <n v="5.056"/>
    <n v="8.24"/>
    <n v="3.54"/>
    <n v="1.29"/>
    <n v="63.2"/>
    <s v="NO"/>
    <n v="13.228697548727064"/>
    <n v="-5.3749487980011813E-2"/>
    <n v="-0.71105993397354572"/>
    <n v="-0.80111421994129317"/>
    <n v="-2.1910195105974593"/>
    <n v="1.0443088639059066"/>
    <x v="1"/>
    <x v="0"/>
    <x v="0"/>
    <x v="0"/>
    <x v="0"/>
    <x v="0"/>
  </r>
  <r>
    <x v="5"/>
    <s v="AYI"/>
    <n v="8032"/>
    <n v="269.72000000000003"/>
    <n v="14.72"/>
    <n v="82.1"/>
    <n v="13.18"/>
    <n v="18.323369565217391"/>
    <n v="3.2852618757612673"/>
    <n v="17.86"/>
    <n v="8.68"/>
    <n v="1.82"/>
    <n v="20.464339908952962"/>
    <s v="NO"/>
    <n v="0.71136249037647115"/>
    <n v="-0.10685718122321149"/>
    <n v="0.1027643260565482"/>
    <n v="0.30555139423749228"/>
    <n v="-1.0716942073697386"/>
    <n v="4.9701332160042577E-2"/>
    <x v="0"/>
    <x v="0"/>
    <x v="0"/>
    <x v="0"/>
    <x v="0"/>
    <x v="0"/>
  </r>
  <r>
    <x v="5"/>
    <s v="NEXNY"/>
    <n v="4956"/>
    <n v="58.883499999999998"/>
    <n v="9.42"/>
    <n v="43.11"/>
    <n v="6.42"/>
    <n v="6.250902335456475"/>
    <n v="1.365889584783113"/>
    <n v="15.92"/>
    <n v="5.3"/>
    <n v="4.2300000000000004"/>
    <n v="9.1718847352024913"/>
    <s v="NO"/>
    <n v="-1.33377567785255"/>
    <n v="-0.9337525761063753"/>
    <n v="-5.3721382381209069E-2"/>
    <n v="-0.51605856003675066"/>
    <n v="10.097097315921379"/>
    <n v="-1.0515031021569261"/>
    <x v="0"/>
    <x v="0"/>
    <x v="0"/>
    <x v="0"/>
    <x v="1"/>
    <x v="0"/>
  </r>
  <r>
    <x v="5"/>
    <s v="ATKR"/>
    <n v="2191"/>
    <n v="69.540000000000006"/>
    <n v="9.25"/>
    <n v="41.91"/>
    <n v="5.38"/>
    <n v="7.5178378378378383"/>
    <n v="1.6592698639942738"/>
    <n v="12.93"/>
    <n v="8.8000000000000007"/>
    <n v="2.0299999999999998"/>
    <n v="12.92565055762082"/>
    <s v="YES"/>
    <n v="-1.1191502741722577"/>
    <n v="-0.80735979500312527"/>
    <n v="-0.29490296394249482"/>
    <n v="0.33472097841290943"/>
    <n v="-9.8480008244787809E-2"/>
    <n v="-0.68544775764306642"/>
    <x v="0"/>
    <x v="0"/>
    <x v="0"/>
    <x v="0"/>
    <x v="0"/>
    <x v="0"/>
  </r>
  <r>
    <x v="5"/>
    <s v="GNRC"/>
    <n v="7216"/>
    <n v="128.46"/>
    <n v="9.2100000000000009"/>
    <n v="41.79"/>
    <n v="5.74"/>
    <n v="13.947882736156352"/>
    <n v="3.0739411342426419"/>
    <n v="13.8"/>
    <n v="6.79"/>
    <n v="2.0499999999999998"/>
    <n v="22.379790940766551"/>
    <s v="YES"/>
    <n v="-2.9867529004854402E-2"/>
    <n v="-0.19789743892954489"/>
    <n v="-0.22472638335442835"/>
    <n v="-0.153869556525324"/>
    <n v="-5.7929416614589538E-3"/>
    <n v="0.23649004528712705"/>
    <x v="0"/>
    <x v="0"/>
    <x v="0"/>
    <x v="0"/>
    <x v="0"/>
    <x v="0"/>
  </r>
  <r>
    <x v="5"/>
    <s v="RRX"/>
    <n v="8852"/>
    <n v="142.09"/>
    <n v="7.85"/>
    <n v="96.87"/>
    <n v="3.5"/>
    <n v="18.100636942675159"/>
    <n v="1.466811190254981"/>
    <n v="3.71"/>
    <n v="3.07"/>
    <n v="2.1800000000000002"/>
    <n v="40.597142857142856"/>
    <s v="NO"/>
    <n v="0.67363043619056906"/>
    <n v="-0.89027398094213328"/>
    <n v="-1.0386133927033827"/>
    <n v="-1.0581266659632484"/>
    <n v="0.59667299113017958"/>
    <n v="2.0129884597735148"/>
    <x v="0"/>
    <x v="0"/>
    <x v="0"/>
    <x v="0"/>
    <x v="0"/>
    <x v="0"/>
  </r>
  <r>
    <x v="5"/>
    <s v="NXT"/>
    <n v="8292"/>
    <n v="59.02"/>
    <n v="4.33"/>
    <n v="11.18"/>
    <n v="3.47"/>
    <n v="13.630484988452656"/>
    <n v="5.279069767441861"/>
    <n v="39.479999999999997"/>
    <n v="13.99"/>
    <n v="1.96"/>
    <n v="17.008645533141209"/>
    <s v="NO"/>
    <n v="-8.3636343281570324E-2"/>
    <n v="0.75210622658559578"/>
    <n v="1.8466926850381526"/>
    <n v="1.5963054939996906"/>
    <n v="-0.42288474128643777"/>
    <n v="-0.28728702969185099"/>
    <x v="0"/>
    <x v="0"/>
    <x v="0"/>
    <x v="0"/>
    <x v="0"/>
    <x v="0"/>
  </r>
  <r>
    <x v="5"/>
    <s v="POWL"/>
    <n v="2047"/>
    <n v="190.24"/>
    <n v="4.25"/>
    <n v="44.86"/>
    <n v="14.23"/>
    <n v="44.762352941176474"/>
    <n v="4.2407489968791801"/>
    <n v="37.08"/>
    <n v="14.32"/>
    <n v="1.78"/>
    <n v="13.368938861560084"/>
    <s v="NO"/>
    <n v="5.1902625364292225"/>
    <n v="0.30478151129950271"/>
    <n v="1.6531021178986594"/>
    <n v="1.6765218504820871"/>
    <n v="-1.2570683405363965"/>
    <n v="-0.64221968735473067"/>
    <x v="1"/>
    <x v="0"/>
    <x v="0"/>
    <x v="0"/>
    <x v="0"/>
    <x v="0"/>
  </r>
  <r>
    <x v="5"/>
    <s v="ENS"/>
    <n v="3278"/>
    <n v="88.19"/>
    <n v="3.5"/>
    <n v="48.89"/>
    <n v="8.99"/>
    <n v="25.197142857142858"/>
    <n v="1.8038453671507466"/>
    <n v="19.79"/>
    <n v="8.2100000000000009"/>
    <n v="2.0699999999999998"/>
    <n v="9.8097886540600658"/>
    <s v="NO"/>
    <n v="1.8758151123239419"/>
    <n v="-0.74507442267857271"/>
    <n v="0.25844340713122427"/>
    <n v="0.19130385621710966"/>
    <n v="8.6894124921869903E-2"/>
    <n v="-0.98929673398404017"/>
    <x v="0"/>
    <x v="0"/>
    <x v="0"/>
    <x v="0"/>
    <x v="0"/>
    <x v="0"/>
  </r>
  <r>
    <x v="5"/>
    <s v="ST"/>
    <n v="3812"/>
    <n v="27.77"/>
    <n v="2.77"/>
    <n v="19.510000000000002"/>
    <n v="0.82"/>
    <n v="10.025270758122744"/>
    <n v="1.4233726294208098"/>
    <n v="4.2"/>
    <n v="3.72"/>
    <n v="2.52"/>
    <n v="33.865853658536587"/>
    <s v="NO"/>
    <n v="-0.69437821457974858"/>
    <n v="-0.908987987642638"/>
    <n v="-0.99908865191240281"/>
    <n v="-0.90012475167973993"/>
    <n v="2.1723531230467681"/>
    <n v="1.3565744736099301"/>
    <x v="0"/>
    <x v="0"/>
    <x v="0"/>
    <x v="0"/>
    <x v="0"/>
    <x v="0"/>
  </r>
  <r>
    <x v="5"/>
    <s v="BE"/>
    <n v="4289"/>
    <n v="21.43"/>
    <n v="0.34"/>
    <n v="2.4900000000000002"/>
    <n v="0.02"/>
    <n v="63.029411764705877"/>
    <n v="8.6064257028112436"/>
    <n v="1.0900000000000001"/>
    <n v="1.35"/>
    <n v="4.51"/>
    <n v="1071.5"/>
    <s v="NO"/>
    <n v="8.2847964465473236"/>
    <n v="2.1855828444500451"/>
    <n v="-1.2499497618306632"/>
    <n v="-1.4762240391442238"/>
    <n v="11.394716248087979"/>
    <n v="102.5433673869905"/>
    <x v="1"/>
    <x v="0"/>
    <x v="0"/>
    <x v="0"/>
    <x v="1"/>
    <x v="1"/>
  </r>
  <r>
    <x v="5"/>
    <s v="SMR"/>
    <n v="4267"/>
    <n v="35.24"/>
    <n v="-0.93"/>
    <n v="5.29"/>
    <n v="-1.27"/>
    <n v="-37.892473118279568"/>
    <n v="6.6616257088846886"/>
    <n v="-100.49"/>
    <n v="-19.18"/>
    <n v="0.88"/>
    <n v="-27.748031496062993"/>
    <s v="NO"/>
    <n v="-8.811890987401215"/>
    <n v="1.3477328001904574"/>
    <n v="-9.4436705160097283"/>
    <n v="-6.4666537318217996"/>
    <n v="-5.4279863367861916"/>
    <n v="-4.6518163062320772"/>
    <x v="1"/>
    <x v="0"/>
    <x v="1"/>
    <x v="1"/>
    <x v="1"/>
    <x v="1"/>
  </r>
  <r>
    <x v="6"/>
    <s v="CAR"/>
    <n v="4286"/>
    <n v="126.1"/>
    <n v="47.32"/>
    <n v="-80.17"/>
    <n v="-62.49"/>
    <n v="2.6648351648351647"/>
    <n v="-1.5729075714107521"/>
    <n v="133.05000000000001"/>
    <n v="1.54"/>
    <n v="-10.29"/>
    <n v="-2.0179228676588252"/>
    <s v="NO"/>
    <n v="8.6445895069695682E-3"/>
    <n v="-3.0604831368775689"/>
    <n v="1.564038043839046"/>
    <n v="-0.79609279639754571"/>
    <n v="-30.427831912359977"/>
    <n v="-1.1052522878995834"/>
    <x v="0"/>
    <x v="1"/>
    <x v="0"/>
    <x v="1"/>
    <x v="1"/>
    <x v="0"/>
  </r>
  <r>
    <x v="6"/>
    <s v="R"/>
    <n v="6082"/>
    <n v="153.05000000000001"/>
    <n v="8.64"/>
    <n v="72.64"/>
    <n v="11.48"/>
    <n v="17.71412037037037"/>
    <n v="2.1069658590308373"/>
    <n v="16.55"/>
    <n v="3.78"/>
    <n v="5.47"/>
    <n v="13.331881533101045"/>
    <s v="NO"/>
    <n v="0.70428543304638347"/>
    <n v="-0.2622536766517406"/>
    <n v="0.25424584386457283"/>
    <n v="-0.1324705184861413"/>
    <n v="8.8628383816828933"/>
    <n v="-0.21420837084318439"/>
    <x v="0"/>
    <x v="0"/>
    <x v="0"/>
    <x v="0"/>
    <x v="1"/>
    <x v="0"/>
  </r>
  <r>
    <x v="6"/>
    <s v="TFII"/>
    <n v="7224"/>
    <n v="87.89"/>
    <n v="8.2100000000000009"/>
    <n v="31.34"/>
    <n v="4.53"/>
    <n v="10.705237515225335"/>
    <n v="2.8044033184428847"/>
    <n v="14.78"/>
    <n v="5.97"/>
    <n v="2.7"/>
    <n v="19.401766004415009"/>
    <s v="NO"/>
    <n v="0.38030558184197327"/>
    <n v="0.26808794582021855"/>
    <n v="0.23434599670616235"/>
    <n v="0.51633876215045504"/>
    <n v="1.9570543261943949"/>
    <n v="0.13814358714864916"/>
    <x v="0"/>
    <x v="0"/>
    <x v="0"/>
    <x v="0"/>
    <x v="0"/>
    <x v="0"/>
  </r>
  <r>
    <x v="6"/>
    <s v="LSTR"/>
    <n v="4795"/>
    <n v="140.22"/>
    <n v="6.34"/>
    <n v="26.63"/>
    <n v="5.05"/>
    <n v="22.11671924290221"/>
    <n v="5.2654900488171235"/>
    <n v="18.34"/>
    <n v="8.17"/>
    <n v="1.84"/>
    <n v="27.766336633663368"/>
    <s v="NO"/>
    <n v="0.90779194858024226"/>
    <n v="2.1395342124592438"/>
    <n v="0.2743705480530218"/>
    <n v="1.1681106422420129"/>
    <n v="-0.18697971269373184"/>
    <n v="0.62370024854893424"/>
    <x v="0"/>
    <x v="0"/>
    <x v="0"/>
    <x v="0"/>
    <x v="0"/>
    <x v="0"/>
  </r>
  <r>
    <x v="6"/>
    <s v="LYFT"/>
    <n v="6410"/>
    <n v="15.63"/>
    <n v="2.2200000000000002"/>
    <n v="1.99"/>
    <n v="0.14000000000000001"/>
    <n v="7.0405405405405403"/>
    <n v="7.8542713567839204"/>
    <n v="8.56"/>
    <n v="-0.92"/>
    <n v="6.76"/>
    <n v="111.64285714285714"/>
    <s v="NO"/>
    <n v="0.21090797524678309"/>
    <n v="4.108081299462004"/>
    <n v="0.16441546036417762"/>
    <n v="-1.5248922623181058"/>
    <n v="12.078889440015084"/>
    <n v="5.4926654439538751"/>
    <x v="0"/>
    <x v="1"/>
    <x v="0"/>
    <x v="0"/>
    <x v="1"/>
    <x v="1"/>
  </r>
  <r>
    <x v="6"/>
    <s v="SNDR"/>
    <n v="4059"/>
    <n v="24.14"/>
    <n v="0.76"/>
    <n v="17.059999999999999"/>
    <n v="0.71"/>
    <n v="31.763157894736842"/>
    <n v="1.415005861664713"/>
    <n v="4.2"/>
    <n v="2.36"/>
    <n v="1.67"/>
    <n v="34"/>
    <s v="NO"/>
    <n v="1.3536906493667296"/>
    <n v="-0.78843015704642683"/>
    <n v="0.11539662781577675"/>
    <n v="-0.55315964109069227"/>
    <n v="-0.61080039479952464"/>
    <n v="0.98555944092252601"/>
    <x v="0"/>
    <x v="0"/>
    <x v="0"/>
    <x v="0"/>
    <x v="0"/>
    <x v="0"/>
  </r>
  <r>
    <x v="6"/>
    <s v="KNX"/>
    <n v="7182"/>
    <n v="44.36"/>
    <n v="0.68"/>
    <n v="43.91"/>
    <n v="0.93"/>
    <n v="65.235294117647058"/>
    <n v="1.0102482350261901"/>
    <n v="2.1"/>
    <n v="1.28"/>
    <n v="1.77"/>
    <n v="47.698924731182792"/>
    <s v="NO"/>
    <n v="2.9009126442430868"/>
    <n v="-1.0962137633361375"/>
    <n v="9.1786639661730438E-2"/>
    <n v="-0.87312038222654786"/>
    <n v="-0.36149411120788183"/>
    <n v="1.7807711083317626"/>
    <x v="1"/>
    <x v="0"/>
    <x v="0"/>
    <x v="0"/>
    <x v="0"/>
    <x v="0"/>
  </r>
  <r>
    <x v="6"/>
    <s v="RXO"/>
    <n v="2546"/>
    <n v="16.21"/>
    <n v="-0.48"/>
    <n v="9.68"/>
    <n v="-2.09"/>
    <n v="-33.770833333333336"/>
    <n v="1.6745867768595042"/>
    <n v="-28.22"/>
    <n v="0.49"/>
    <n v="2.08"/>
    <n v="-7.7559808612440202"/>
    <s v="NO"/>
    <n v="-1.6755642498381673"/>
    <n v="-0.5910410408334591"/>
    <n v="-0.24909661787669035"/>
    <n v="-1.1071657391685163"/>
    <n v="0.41135536792621036"/>
    <n v="-1.4383419832085236"/>
    <x v="0"/>
    <x v="0"/>
    <x v="0"/>
    <x v="1"/>
    <x v="0"/>
    <x v="0"/>
  </r>
  <r>
    <x v="6"/>
    <s v="HTZ"/>
    <n v="2026"/>
    <n v="6.31"/>
    <n v="-2.89"/>
    <n v="-0.85"/>
    <n v="-10.18"/>
    <n v="-2.1833910034602075"/>
    <n v="-7.4235294117647053"/>
    <n v="-244.63"/>
    <n v="-2.5499999999999998"/>
    <n v="-84.15"/>
    <n v="-0.6198428290766208"/>
    <s v="NO"/>
    <n v="-0.21546068162859139"/>
    <n v="-7.5093813676937575"/>
    <n v="-2.6821621114086707"/>
    <n v="-2.0077959734768509"/>
    <n v="-214.56545297314725"/>
    <n v="-1.0240948554390772"/>
    <x v="0"/>
    <x v="1"/>
    <x v="0"/>
    <x v="1"/>
    <x v="1"/>
    <x v="0"/>
  </r>
  <r>
    <x v="6"/>
    <s v="SAIA"/>
    <n v="7042"/>
    <n v="256.5"/>
    <n v="-7.6"/>
    <n v="88.87"/>
    <n v="11.99"/>
    <n v="-33.75"/>
    <n v="2.8862383256441992"/>
    <n v="14.63"/>
    <n v="8.9499999999999993"/>
    <n v="1.43"/>
    <n v="21.392827356130109"/>
    <s v="NO"/>
    <n v="-1.6746012461223225"/>
    <n v="0.33031647958830296"/>
    <n v="0.23265956898087337"/>
    <n v="1.3991933997290198"/>
    <n v="-1.209135475419467"/>
    <n v="0.25372311243849621"/>
    <x v="0"/>
    <x v="0"/>
    <x v="0"/>
    <x v="0"/>
    <x v="0"/>
    <x v="0"/>
  </r>
  <r>
    <x v="7"/>
    <s v="BBU"/>
    <n v="2236"/>
    <n v="24.91"/>
    <n v="6.34"/>
    <n v="10.15"/>
    <n v="-0.11"/>
    <n v="3.9290220820189274"/>
    <n v="2.4541871921182263"/>
    <n v="5.7"/>
    <n v="3.72"/>
    <n v="35.159999999999997"/>
    <n v="-226.45454545454547"/>
    <s v="NO"/>
    <n v="0.40979670591013018"/>
    <n v="0.73435321308040713"/>
    <n v="1.2220880529524083"/>
    <n v="1.2156667608859026"/>
    <n v="0.81872975226303502"/>
    <n v="-1.4141497750084833"/>
    <x v="0"/>
    <x v="0"/>
    <x v="0"/>
    <x v="0"/>
    <x v="0"/>
    <x v="0"/>
  </r>
  <r>
    <x v="7"/>
    <s v="IEP"/>
    <n v="4533"/>
    <n v="8.39"/>
    <n v="1.23"/>
    <n v="4.9000000000000004"/>
    <n v="-1.66"/>
    <n v="6.821138211382114"/>
    <n v="1.7122448979591838"/>
    <n v="-23.4"/>
    <n v="-2.19"/>
    <n v="6.04"/>
    <n v="-5.0542168674698802"/>
    <s v="NO"/>
    <n v="0.96730043345827388"/>
    <n v="0.67950578025574393"/>
    <n v="5.2964582586898104E-3"/>
    <n v="-1.2336254743989896"/>
    <n v="0.58926478223512768"/>
    <n v="0.69544258839391782"/>
    <x v="0"/>
    <x v="0"/>
    <x v="0"/>
    <x v="0"/>
    <x v="0"/>
    <x v="0"/>
  </r>
  <r>
    <x v="7"/>
    <s v="BBUC"/>
    <n v="2045"/>
    <n v="29"/>
    <n v="-5.43"/>
    <n v="-1.0900000000000001"/>
    <n v="-11.1"/>
    <n v="-5.3406998158379375"/>
    <n v="-26.605504587155963"/>
    <n v="-52.88"/>
    <n v="0.83"/>
    <n v="-247.42"/>
    <n v="-2.6126126126126126"/>
    <s v="NO"/>
    <n v="-1.3770971393684042"/>
    <n v="-1.4138589933361514"/>
    <n v="-1.2273845112110979"/>
    <n v="1.795871351308715E-2"/>
    <n v="-1.4079945344981628"/>
    <n v="0.71870718661456556"/>
    <x v="0"/>
    <x v="0"/>
    <x v="0"/>
    <x v="0"/>
    <x v="0"/>
    <x v="0"/>
  </r>
  <r>
    <x v="8"/>
    <s v="ALG"/>
    <n v="2394"/>
    <n v="209.28"/>
    <n v="16.55"/>
    <n v="88.35"/>
    <n v="9.6"/>
    <n v="12.645317220543806"/>
    <n v="2.3687606112054329"/>
    <n v="11.48"/>
    <n v="6.71"/>
    <n v="1.42"/>
    <n v="21.8"/>
    <s v="YES"/>
    <n v="-1.0682546572451204"/>
    <n v="-0.56184501374661444"/>
    <n v="-0.28006969436763479"/>
    <n v="-7.0325064461877806E-2"/>
    <n v="-1.1236412152601085"/>
    <n v="-0.1419999094294867"/>
    <x v="0"/>
    <x v="0"/>
    <x v="0"/>
    <x v="0"/>
    <x v="0"/>
    <x v="0"/>
  </r>
  <r>
    <x v="8"/>
    <s v="KAI"/>
    <n v="3697"/>
    <n v="333.06"/>
    <n v="11.64"/>
    <n v="74.39"/>
    <n v="9.42"/>
    <n v="28.61340206185567"/>
    <n v="4.4772146793923913"/>
    <n v="13.32"/>
    <n v="7.71"/>
    <n v="1.64"/>
    <n v="35.35668789808917"/>
    <s v="NO"/>
    <n v="0.67784478277116522"/>
    <n v="0.83697194551509868"/>
    <n v="-0.17152875969110701"/>
    <n v="0.2448572972720264"/>
    <n v="-0.73506810891958074"/>
    <n v="1.1177142527440669"/>
    <x v="0"/>
    <x v="0"/>
    <x v="0"/>
    <x v="0"/>
    <x v="0"/>
    <x v="0"/>
  </r>
  <r>
    <x v="8"/>
    <s v="MIDD"/>
    <n v="7815"/>
    <n v="149.97"/>
    <n v="11.48"/>
    <n v="69.569999999999993"/>
    <n v="8"/>
    <n v="13.063588850174215"/>
    <n v="2.1556705476498492"/>
    <n v="12.33"/>
    <n v="6.28"/>
    <n v="1.98"/>
    <n v="18.74625"/>
    <s v="YES"/>
    <n v="-1.0225169331830057"/>
    <n v="-0.70321588790941669"/>
    <n v="-0.22992850171815188"/>
    <n v="-0.20585348000745651"/>
    <n v="-0.13454603548421942"/>
    <n v="-0.42576037892290247"/>
    <x v="0"/>
    <x v="0"/>
    <x v="0"/>
    <x v="0"/>
    <x v="0"/>
    <x v="0"/>
  </r>
  <r>
    <x v="8"/>
    <s v="WTS"/>
    <n v="8081"/>
    <n v="245.25"/>
    <n v="10.02"/>
    <n v="53.09"/>
    <n v="8.7200000000000006"/>
    <n v="24.476047904191617"/>
    <n v="4.6195140327745339"/>
    <n v="17.600000000000001"/>
    <n v="10.47"/>
    <n v="1.41"/>
    <n v="28.124999999999996"/>
    <s v="NO"/>
    <n v="0.22542786179163318"/>
    <n v="0.93137796166041531"/>
    <n v="8.0946892708642484E-2"/>
    <n v="1.1147606156576022"/>
    <n v="-1.1413036291846781"/>
    <n v="0.4457315582891716"/>
    <x v="0"/>
    <x v="0"/>
    <x v="0"/>
    <x v="0"/>
    <x v="0"/>
    <x v="0"/>
  </r>
  <r>
    <x v="8"/>
    <s v="GTLS"/>
    <n v="7168"/>
    <n v="150"/>
    <n v="9.6999999999999993"/>
    <n v="66.69"/>
    <n v="5.03"/>
    <n v="15.463917525773198"/>
    <n v="2.2492127755285649"/>
    <n v="9.0299999999999994"/>
    <n v="4.71"/>
    <n v="3.11"/>
    <n v="29.821073558648109"/>
    <s v="NO"/>
    <n v="-0.76004259152149911"/>
    <n v="-0.64115693356075165"/>
    <n v="-0.4245943084749681"/>
    <n v="-0.70068978792968617"/>
    <n v="1.861306737992128"/>
    <n v="0.60333405662641493"/>
    <x v="0"/>
    <x v="0"/>
    <x v="0"/>
    <x v="0"/>
    <x v="0"/>
    <x v="0"/>
  </r>
  <r>
    <x v="8"/>
    <s v="ALSN"/>
    <n v="8722"/>
    <n v="101.07"/>
    <n v="7.55"/>
    <n v="19.670000000000002"/>
    <n v="8.64"/>
    <n v="13.386754966887416"/>
    <n v="5.1382816471784434"/>
    <n v="50.15"/>
    <n v="12.17"/>
    <n v="3.22"/>
    <n v="11.697916666666664"/>
    <s v="NO"/>
    <n v="-0.98717893360241238"/>
    <n v="1.2755452583983136"/>
    <n v="2.0010596229917832"/>
    <n v="1.6505706306052392"/>
    <n v="2.0555932911623924"/>
    <n v="-1.0807054057956846"/>
    <x v="0"/>
    <x v="0"/>
    <x v="0"/>
    <x v="1"/>
    <x v="0"/>
    <x v="0"/>
  </r>
  <r>
    <x v="8"/>
    <s v="NPO"/>
    <n v="3896"/>
    <n v="191.32"/>
    <n v="6.83"/>
    <n v="69.47"/>
    <n v="4.01"/>
    <n v="28.011713030746705"/>
    <n v="2.7539945300129554"/>
    <n v="5.9"/>
    <n v="4.04"/>
    <n v="1.71"/>
    <n v="47.710723192019948"/>
    <s v="NO"/>
    <n v="0.61205048804364603"/>
    <n v="-0.30626831087151535"/>
    <n v="-0.60923187670188761"/>
    <n v="-0.91186197029140204"/>
    <n v="-0.61143121144759449"/>
    <n v="2.2656755642934816"/>
    <x v="0"/>
    <x v="0"/>
    <x v="0"/>
    <x v="0"/>
    <x v="0"/>
    <x v="0"/>
  </r>
  <r>
    <x v="8"/>
    <s v="AGCO"/>
    <n v="7308"/>
    <n v="103.1"/>
    <n v="6.72"/>
    <n v="51.08"/>
    <n v="-7.81"/>
    <n v="15.342261904761905"/>
    <n v="2.0184025058731403"/>
    <n v="-14.55"/>
    <n v="3.55"/>
    <n v="3.01"/>
    <n v="-13.201024327784891"/>
    <s v="NO"/>
    <n v="-0.77334555263635241"/>
    <n v="-0.79428396840453319"/>
    <n v="-1.8155699822100362"/>
    <n v="-1.0663013275410151"/>
    <n v="1.6846825987464333"/>
    <n v="-3.3943640833149402"/>
    <x v="0"/>
    <x v="0"/>
    <x v="0"/>
    <x v="1"/>
    <x v="0"/>
    <x v="1"/>
  </r>
  <r>
    <x v="8"/>
    <s v="JBTM"/>
    <n v="5967"/>
    <n v="123.78"/>
    <n v="5.7"/>
    <n v="79.040000000000006"/>
    <n v="-3.02"/>
    <n v="21.715789473684211"/>
    <n v="1.5660425101214575"/>
    <n v="-3.97"/>
    <n v="0.56999999999999995"/>
    <n v="1.95"/>
    <n v="-40.986754966887418"/>
    <s v="NO"/>
    <n v="-7.6404558796460964E-2"/>
    <n v="-1.0943942925023793"/>
    <n v="-1.1914596078200013"/>
    <n v="-2.0055447655080494"/>
    <n v="-0.18753327725792782"/>
    <n v="-5.9762689449995312"/>
    <x v="0"/>
    <x v="0"/>
    <x v="0"/>
    <x v="1"/>
    <x v="0"/>
    <x v="1"/>
  </r>
  <r>
    <x v="8"/>
    <s v="SPXC"/>
    <n v="7104"/>
    <n v="160"/>
    <n v="4.9800000000000004"/>
    <n v="30.91"/>
    <n v="4.34"/>
    <n v="32.128514056224894"/>
    <n v="5.1763183435781297"/>
    <n v="15.24"/>
    <n v="6.83"/>
    <n v="2.17"/>
    <n v="36.866359447004612"/>
    <s v="NO"/>
    <n v="1.0622199377104338"/>
    <n v="1.3007800390847726"/>
    <n v="-5.8268653941686711E-2"/>
    <n v="-3.2503181053809262E-2"/>
    <n v="0.20103982908260001"/>
    <n v="1.2579959089048849"/>
    <x v="0"/>
    <x v="0"/>
    <x v="0"/>
    <x v="0"/>
    <x v="0"/>
    <x v="0"/>
  </r>
  <r>
    <x v="8"/>
    <s v="TTC"/>
    <n v="7564"/>
    <n v="71.41"/>
    <n v="4.9400000000000004"/>
    <n v="14.63"/>
    <n v="3.92"/>
    <n v="14.455465587044532"/>
    <n v="4.8810663021189331"/>
    <n v="26.98"/>
    <n v="8.99"/>
    <n v="2.52"/>
    <n v="18.216836734693878"/>
    <s v="NO"/>
    <n v="-0.87031613922597106"/>
    <n v="1.1049002382955124"/>
    <n v="0.63426970100528957"/>
    <n v="0.64829072029142387"/>
    <n v="0.8192243164425308"/>
    <n v="-0.47495450310441939"/>
    <x v="0"/>
    <x v="0"/>
    <x v="0"/>
    <x v="0"/>
    <x v="0"/>
    <x v="0"/>
  </r>
  <r>
    <x v="8"/>
    <s v="ESAB"/>
    <n v="7456"/>
    <n v="127.5"/>
    <n v="4.87"/>
    <n v="31.56"/>
    <n v="4.82"/>
    <n v="26.180698151950718"/>
    <n v="4.0399239543726235"/>
    <n v="16.670000000000002"/>
    <n v="7.25"/>
    <n v="2.21"/>
    <n v="26.452282157676347"/>
    <s v="NO"/>
    <n v="0.41183023080555275"/>
    <n v="0.5468590654126223"/>
    <n v="2.6086528986267041E-2"/>
    <n v="9.9873410874430482E-2"/>
    <n v="0.27168948478087784"/>
    <n v="0.29029931915113738"/>
    <x v="0"/>
    <x v="0"/>
    <x v="0"/>
    <x v="0"/>
    <x v="0"/>
    <x v="0"/>
  </r>
  <r>
    <x v="8"/>
    <s v="ESE"/>
    <n v="4680"/>
    <n v="184.96"/>
    <n v="4.6399999999999997"/>
    <n v="49.46"/>
    <n v="4.5599999999999996"/>
    <n v="39.862068965517246"/>
    <n v="3.7395875454913061"/>
    <n v="9.66"/>
    <n v="5.78"/>
    <n v="1.42"/>
    <n v="40.561403508771932"/>
    <s v="NO"/>
    <n v="1.9078790152170122"/>
    <n v="0.34760613001991497"/>
    <n v="-0.38743083627593949"/>
    <n v="-0.36344466087440863"/>
    <n v="-1.1236412152601085"/>
    <n v="1.6013466867242716"/>
    <x v="0"/>
    <x v="0"/>
    <x v="0"/>
    <x v="0"/>
    <x v="0"/>
    <x v="0"/>
  </r>
  <r>
    <x v="8"/>
    <s v="TKR"/>
    <n v="4792"/>
    <n v="72.63"/>
    <n v="4.62"/>
    <n v="41.7"/>
    <n v="4.6399999999999997"/>
    <n v="15.720779220779219"/>
    <n v="1.7417266187050358"/>
    <n v="12.23"/>
    <n v="5.52"/>
    <n v="2.25"/>
    <n v="15.65301724137931"/>
    <s v="NO"/>
    <n v="-0.73195493628489272"/>
    <n v="-0.97783974466212031"/>
    <n v="-0.23582746555926751"/>
    <n v="-0.44539207492522392"/>
    <n v="0.3423391404791557"/>
    <n v="-0.71318966417500895"/>
    <x v="0"/>
    <x v="0"/>
    <x v="0"/>
    <x v="0"/>
    <x v="0"/>
    <x v="0"/>
  </r>
  <r>
    <x v="8"/>
    <s v="CR"/>
    <n v="9856"/>
    <n v="185.99"/>
    <n v="4.5999999999999996"/>
    <n v="30.56"/>
    <n v="4.92"/>
    <n v="40.432608695652178"/>
    <n v="6.0860602094240841"/>
    <n v="18.170000000000002"/>
    <n v="8.85"/>
    <n v="1.49"/>
    <n v="37.802845528455286"/>
    <s v="NO"/>
    <n v="1.9702671546335988"/>
    <n v="1.9043323619437575"/>
    <n v="0.11457098660300166"/>
    <n v="0.60416518964867705"/>
    <n v="-1.0000043177881224"/>
    <n v="1.3450160415766792"/>
    <x v="0"/>
    <x v="0"/>
    <x v="0"/>
    <x v="0"/>
    <x v="0"/>
    <x v="0"/>
  </r>
  <r>
    <x v="8"/>
    <s v="MLI"/>
    <n v="8616"/>
    <n v="77.44"/>
    <n v="4.54"/>
    <n v="24.1"/>
    <n v="5.49"/>
    <n v="17.057268722466961"/>
    <n v="3.2132780082987549"/>
    <n v="24.74"/>
    <n v="15.76"/>
    <n v="1.21"/>
    <n v="14.105646630236793"/>
    <s v="YES"/>
    <n v="-0.58581069959802834"/>
    <n v="-1.5647234287377201E-3"/>
    <n v="0.50213291096429913"/>
    <n v="2.7820753092299548"/>
    <n v="-1.4945519076760669"/>
    <n v="-0.85697439150963495"/>
    <x v="0"/>
    <x v="0"/>
    <x v="0"/>
    <x v="0"/>
    <x v="0"/>
    <x v="0"/>
  </r>
  <r>
    <x v="8"/>
    <s v="FELE"/>
    <n v="3939"/>
    <n v="86.83"/>
    <n v="4.45"/>
    <n v="28.37"/>
    <n v="3.83"/>
    <n v="19.512359550561797"/>
    <n v="3.0606274233345081"/>
    <n v="14.25"/>
    <n v="8.3699999999999992"/>
    <n v="1.49"/>
    <n v="22.6710182767624"/>
    <s v="YES"/>
    <n v="-0.31734815304173608"/>
    <n v="-0.10283808304848142"/>
    <n v="-0.11666839596873158"/>
    <n v="0.45287765601640295"/>
    <n v="-1.0000043177881224"/>
    <n v="-6.1063174218207388E-2"/>
    <x v="0"/>
    <x v="0"/>
    <x v="0"/>
    <x v="0"/>
    <x v="0"/>
    <x v="0"/>
  </r>
  <r>
    <x v="8"/>
    <s v="OSK"/>
    <n v="6385"/>
    <n v="110.69"/>
    <n v="4.4400000000000004"/>
    <n v="65.66"/>
    <n v="9.3699999999999992"/>
    <n v="24.930180180180177"/>
    <n v="1.6858056655498022"/>
    <n v="15.24"/>
    <n v="6.39"/>
    <n v="2.31"/>
    <n v="11.813233724653148"/>
    <s v="NO"/>
    <n v="0.27508692364389969"/>
    <n v="-1.0149395225666415"/>
    <n v="-5.8268653941686711E-2"/>
    <n v="-0.17118342021672725"/>
    <n v="0.44831362402657249"/>
    <n v="-1.0699899174568082"/>
    <x v="0"/>
    <x v="0"/>
    <x v="0"/>
    <x v="0"/>
    <x v="0"/>
    <x v="0"/>
  </r>
  <r>
    <x v="8"/>
    <s v="SPXSY"/>
    <n v="5735"/>
    <n v="40.78"/>
    <n v="3.74"/>
    <n v="20.53"/>
    <n v="3.24"/>
    <n v="10.903743315508022"/>
    <n v="1.9863614223088164"/>
    <n v="16.170000000000002"/>
    <n v="6.96"/>
    <n v="2.19"/>
    <n v="12.586419753086419"/>
    <s v="NO"/>
    <n v="-1.2586946035849926"/>
    <n v="-0.81554106466247445"/>
    <n v="-3.4082902193111634E-3"/>
    <n v="8.4705259715982494E-3"/>
    <n v="0.23636465693173894"/>
    <n v="-0.99814394760532243"/>
    <x v="0"/>
    <x v="0"/>
    <x v="0"/>
    <x v="0"/>
    <x v="0"/>
    <x v="0"/>
  </r>
  <r>
    <x v="8"/>
    <s v="FSS"/>
    <n v="5735"/>
    <n v="100.46"/>
    <n v="3.26"/>
    <n v="19.72"/>
    <n v="3.41"/>
    <n v="30.815950920245399"/>
    <n v="5.0943204868154162"/>
    <n v="18.78"/>
    <n v="10.41"/>
    <n v="1.56"/>
    <n v="29.460410557184748"/>
    <s v="NO"/>
    <n v="0.91869203317485593"/>
    <n v="1.2463799957575656"/>
    <n v="0.15055466603380704"/>
    <n v="1.0958496739535679"/>
    <n v="-0.87636742031613613"/>
    <n v="0.56982053959845003"/>
    <x v="0"/>
    <x v="0"/>
    <x v="0"/>
    <x v="0"/>
    <x v="0"/>
    <x v="0"/>
  </r>
  <r>
    <x v="8"/>
    <s v="TEX"/>
    <n v="2953"/>
    <n v="47.63"/>
    <n v="3.01"/>
    <n v="28.15"/>
    <n v="3.67"/>
    <n v="15.823920265780734"/>
    <n v="1.6920071047957372"/>
    <n v="13.82"/>
    <n v="5.64"/>
    <n v="3.17"/>
    <n v="12.978201634877385"/>
    <s v="NO"/>
    <n v="-0.72067653172294377"/>
    <n v="-1.0108252862074383"/>
    <n v="-0.14203394048552881"/>
    <n v="-0.4075701915171554"/>
    <n v="1.9672812215395448"/>
    <n v="-0.9617388028763767"/>
    <x v="0"/>
    <x v="0"/>
    <x v="0"/>
    <x v="0"/>
    <x v="0"/>
    <x v="0"/>
  </r>
  <r>
    <x v="8"/>
    <s v="WOR"/>
    <n v="2941"/>
    <n v="60.79"/>
    <n v="2.91"/>
    <n v="18.78"/>
    <n v="1.21"/>
    <n v="20.890034364261169"/>
    <n v="3.2369542066027686"/>
    <n v="6.43"/>
    <n v="1.28"/>
    <n v="1.79"/>
    <n v="50.239669421487605"/>
    <s v="NO"/>
    <n v="-0.16670032992261843"/>
    <n v="1.4142836066251047E-2"/>
    <n v="-0.57796736834397477"/>
    <n v="-1.7817652886769775"/>
    <n v="-0.47013190005103883"/>
    <n v="2.5006702329459074"/>
    <x v="0"/>
    <x v="0"/>
    <x v="0"/>
    <x v="0"/>
    <x v="0"/>
    <x v="0"/>
  </r>
  <r>
    <x v="8"/>
    <s v="DCI"/>
    <n v="8312"/>
    <n v="70.55"/>
    <n v="2.88"/>
    <n v="12.92"/>
    <n v="3.42"/>
    <n v="24.496527777777779"/>
    <n v="5.4605263157894735"/>
    <n v="28.64"/>
    <n v="12.11"/>
    <n v="1.92"/>
    <n v="20.628654970760234"/>
    <s v="NO"/>
    <n v="0.22766732232530248"/>
    <n v="1.489332845373061"/>
    <n v="0.73219250076780917"/>
    <n v="1.6316596889012047"/>
    <n v="-0.24052051903163621"/>
    <n v="-0.25084359847929594"/>
    <x v="0"/>
    <x v="0"/>
    <x v="0"/>
    <x v="0"/>
    <x v="0"/>
    <x v="0"/>
  </r>
  <r>
    <x v="8"/>
    <s v="DFKCY"/>
    <n v="9744"/>
    <n v="13.07"/>
    <n v="2.23"/>
    <n v="6.88"/>
    <n v="1.23"/>
    <n v="5.8609865470852016"/>
    <n v="1.8997093023255816"/>
    <n v="19.329999999999998"/>
    <n v="8.7100000000000009"/>
    <n v="1.73"/>
    <n v="10.626016260162602"/>
    <s v="YES"/>
    <n v="-1.8101166969033564"/>
    <n v="-0.87302889748624446"/>
    <n v="0.1829989671599429"/>
    <n v="0.56003965900593089"/>
    <n v="-0.57610638359845556"/>
    <n v="-1.1803085044775596"/>
    <x v="0"/>
    <x v="0"/>
    <x v="0"/>
    <x v="0"/>
    <x v="0"/>
    <x v="0"/>
  </r>
  <r>
    <x v="8"/>
    <s v="KTWIY"/>
    <n v="4158"/>
    <n v="75.91"/>
    <n v="2.02"/>
    <n v="19.98"/>
    <n v="1.2"/>
    <n v="37.579207920792079"/>
    <n v="3.7992992992992991"/>
    <n v="6.16"/>
    <n v="3.53"/>
    <n v="1.63"/>
    <n v="63.258333333333333"/>
    <s v="NO"/>
    <n v="1.6582496807387188"/>
    <n v="0.38722084828869091"/>
    <n v="-0.59389457071498697"/>
    <n v="-1.0726049747756932"/>
    <n v="-0.75273052284415021"/>
    <n v="3.7103901457751607"/>
    <x v="0"/>
    <x v="0"/>
    <x v="0"/>
    <x v="0"/>
    <x v="0"/>
    <x v="1"/>
  </r>
  <r>
    <x v="8"/>
    <s v="FLS"/>
    <n v="6525"/>
    <n v="48.17"/>
    <n v="1.78"/>
    <n v="15.85"/>
    <n v="2.14"/>
    <n v="27.061797752808989"/>
    <n v="3.0391167192429025"/>
    <n v="14.68"/>
    <n v="6.21"/>
    <n v="2.64"/>
    <n v="22.509345794392523"/>
    <s v="NO"/>
    <n v="0.50817788520158258"/>
    <n v="-0.11710898329857414"/>
    <n v="-9.1302851451934328E-2"/>
    <n v="-0.2279162453288299"/>
    <n v="1.0311732835373644"/>
    <n v="-7.6086099965712001E-2"/>
    <x v="0"/>
    <x v="0"/>
    <x v="0"/>
    <x v="0"/>
    <x v="0"/>
    <x v="0"/>
  </r>
  <r>
    <x v="8"/>
    <s v="IMIUY"/>
    <n v="6749"/>
    <n v="27.75"/>
    <n v="1.36"/>
    <n v="5.32"/>
    <n v="1.2"/>
    <n v="20.40441176470588"/>
    <n v="5.216165413533834"/>
    <n v="23.5"/>
    <n v="10.32"/>
    <n v="2.2999999999999998"/>
    <n v="23.125"/>
    <s v="NO"/>
    <n v="-0.21980283767915154"/>
    <n v="1.3272158804303023"/>
    <n v="0.42898575933446526"/>
    <n v="1.0674832613975165"/>
    <n v="0.43065121010200264"/>
    <n v="-1.8878297614906094E-2"/>
    <x v="0"/>
    <x v="0"/>
    <x v="0"/>
    <x v="0"/>
    <x v="0"/>
    <x v="0"/>
  </r>
  <r>
    <x v="8"/>
    <s v="EPAC"/>
    <n v="2319"/>
    <n v="43.45"/>
    <n v="1.31"/>
    <n v="7.48"/>
    <n v="1.62"/>
    <n v="33.167938931297712"/>
    <n v="5.8088235294117645"/>
    <n v="23.87"/>
    <n v="10.93"/>
    <n v="1.91"/>
    <n v="26.820987654320987"/>
    <s v="NO"/>
    <n v="1.1758803553710488"/>
    <n v="1.7204045374860426"/>
    <n v="0.45081192554659316"/>
    <n v="1.2597445020551978"/>
    <n v="-0.25818293295620565"/>
    <n v="0.32456016068455895"/>
    <x v="0"/>
    <x v="0"/>
    <x v="0"/>
    <x v="0"/>
    <x v="0"/>
    <x v="0"/>
  </r>
  <r>
    <x v="8"/>
    <s v="MWA"/>
    <n v="3843"/>
    <n v="24.59"/>
    <n v="1.23"/>
    <n v="5.58"/>
    <n v="0.92"/>
    <n v="19.991869918699187"/>
    <n v="4.4068100358422937"/>
    <n v="17.68"/>
    <n v="9.4"/>
    <n v="1.91"/>
    <n v="26.728260869565215"/>
    <s v="NO"/>
    <n v="-0.26491401371899476"/>
    <n v="0.79026321664374266"/>
    <n v="8.5666063781534907E-2"/>
    <n v="0.77751548860232467"/>
    <n v="-0.25818293295620565"/>
    <n v="0.31594380506379344"/>
    <x v="0"/>
    <x v="0"/>
    <x v="0"/>
    <x v="0"/>
    <x v="0"/>
    <x v="0"/>
  </r>
  <r>
    <x v="8"/>
    <s v="GTES"/>
    <n v="5452"/>
    <n v="21.96"/>
    <n v="1.1399999999999999"/>
    <n v="12.08"/>
    <n v="0.83"/>
    <n v="19.263157894736846"/>
    <n v="1.8178807947019868"/>
    <n v="7.02"/>
    <n v="4.54"/>
    <n v="2.2200000000000002"/>
    <n v="26.457831325301207"/>
    <s v="NO"/>
    <n v="-0.34459818809674336"/>
    <n v="-0.92731658909025771"/>
    <n v="-0.5431634816813925"/>
    <n v="-0.75427078942444992"/>
    <n v="0.2893518987054477"/>
    <n v="0.29081495874525215"/>
    <x v="0"/>
    <x v="0"/>
    <x v="0"/>
    <x v="0"/>
    <x v="0"/>
    <x v="0"/>
  </r>
  <r>
    <x v="8"/>
    <s v="ATMU"/>
    <n v="2978"/>
    <n v="36.58"/>
    <n v="1.1100000000000001"/>
    <n v="3.21"/>
    <n v="2.2200000000000002"/>
    <n v="32.95495495495495"/>
    <n v="11.395638629283489"/>
    <n v="95.48"/>
    <n v="14.36"/>
    <n v="4.63"/>
    <n v="16.477477477477475"/>
    <s v="NO"/>
    <n v="1.1525906994404642"/>
    <n v="5.4268792612536716"/>
    <n v="4.6750599321695043"/>
    <n v="2.3408200028024893"/>
    <n v="4.5459936545266837"/>
    <n v="-0.63657919387656681"/>
    <x v="0"/>
    <x v="1"/>
    <x v="0"/>
    <x v="1"/>
    <x v="1"/>
    <x v="0"/>
  </r>
  <r>
    <x v="8"/>
    <s v="MSSMY"/>
    <n v="3592"/>
    <n v="6.45"/>
    <n v="1.08"/>
    <n v="8.52"/>
    <n v="0.88"/>
    <n v="5.9722222222222223"/>
    <n v="0.75704225352112686"/>
    <n v="10.48"/>
    <n v="7.13"/>
    <n v="1.2"/>
    <n v="7.329545454545455"/>
    <s v="YES"/>
    <n v="-1.7979531499284502"/>
    <n v="-1.6311113574146401"/>
    <n v="-0.33905933277879124"/>
    <n v="6.2051527466361944E-2"/>
    <n v="-1.5122143216006363"/>
    <n v="-1.4866230696755163"/>
    <x v="0"/>
    <x v="0"/>
    <x v="0"/>
    <x v="0"/>
    <x v="0"/>
    <x v="0"/>
  </r>
  <r>
    <x v="8"/>
    <s v="VLMTY"/>
    <n v="6042"/>
    <n v="32.799999999999997"/>
    <n v="0.9"/>
    <n v="14"/>
    <n v="2.0099999999999998"/>
    <n v="36.444444444444443"/>
    <n v="2.3428571428571425"/>
    <n v="11.88"/>
    <n v="4.6100000000000003"/>
    <n v="2.84"/>
    <n v="16.318407960199004"/>
    <s v="NO"/>
    <n v="1.5341640505399532"/>
    <n v="-0.57903021658124154"/>
    <n v="-0.25647383900317222"/>
    <n v="-0.7322080241030765"/>
    <n v="1.384421562028753"/>
    <n v="-0.65136024697686323"/>
    <x v="0"/>
    <x v="0"/>
    <x v="0"/>
    <x v="0"/>
    <x v="0"/>
    <x v="0"/>
  </r>
  <r>
    <x v="8"/>
    <s v="NCTKY"/>
    <n v="2326"/>
    <n v="7.16"/>
    <n v="0.41"/>
    <n v="14.74"/>
    <n v="0.6"/>
    <n v="17.463414634146343"/>
    <n v="0.48575305291723203"/>
    <n v="4.42"/>
    <n v="2.58"/>
    <n v="1.67"/>
    <n v="11.933333333333334"/>
    <s v="NO"/>
    <n v="-0.54139891471612833"/>
    <n v="-1.8110934307237334"/>
    <n v="-0.69653654155039912"/>
    <n v="-1.3720282184229022"/>
    <n v="-0.68208086714587235"/>
    <n v="-1.0588300250802007"/>
    <x v="0"/>
    <x v="0"/>
    <x v="0"/>
    <x v="0"/>
    <x v="0"/>
    <x v="0"/>
  </r>
  <r>
    <x v="8"/>
    <s v="TRN"/>
    <n v="2101"/>
    <n v="26.34"/>
    <n v="0.31"/>
    <n v="12.92"/>
    <n v="1.77"/>
    <n v="84.967741935483872"/>
    <n v="2.0386996904024768"/>
    <n v="13.04"/>
    <n v="2.9"/>
    <n v="8.23"/>
    <n v="14.881355932203389"/>
    <s v="NO"/>
    <n v="6.8401543066567818"/>
    <n v="-0.78081815647469854"/>
    <n v="-0.1880458584462309"/>
    <n v="-1.271169862668053"/>
    <n v="10.904462667371686"/>
    <n v="-0.78489395410760432"/>
    <x v="1"/>
    <x v="0"/>
    <x v="0"/>
    <x v="0"/>
    <x v="1"/>
    <x v="0"/>
  </r>
  <r>
    <x v="8"/>
    <s v="ATS"/>
    <n v="2828"/>
    <n v="30.52"/>
    <n v="-0.36"/>
    <n v="12.24"/>
    <n v="-0.2"/>
    <n v="-84.777777777777786"/>
    <n v="2.4934640522875817"/>
    <n v="-1.65"/>
    <n v="0.94"/>
    <n v="2.71"/>
    <n v="-152.6"/>
    <s v="NO"/>
    <n v="-11.72140519544374"/>
    <n v="-0.4791126977355758"/>
    <n v="-1.0546036467061184"/>
    <n v="-1.888927291666505"/>
    <n v="1.1548101810093503"/>
    <n v="-16.347591683363728"/>
    <x v="1"/>
    <x v="0"/>
    <x v="0"/>
    <x v="0"/>
    <x v="0"/>
    <x v="1"/>
  </r>
  <r>
    <x v="9"/>
    <s v="ZIM"/>
    <n v="2102"/>
    <n v="17.38"/>
    <n v="33.340000000000003"/>
    <n v="32.86"/>
    <n v="19.52"/>
    <n v="0.5212957408518295"/>
    <n v="0.52891052951917228"/>
    <n v="72.44"/>
    <n v="17.059999999999999"/>
    <n v="2.9"/>
    <n v="0.89036885245901631"/>
    <s v="NO"/>
    <n v="-1.1279498591373316"/>
    <n v="-1.3259943589777519"/>
    <n v="1.3935503277074937"/>
    <n v="1.3373860376861846"/>
    <n v="1.4108907421888452"/>
    <n v="-1.0470830560602888"/>
    <x v="0"/>
    <x v="0"/>
    <x v="0"/>
    <x v="0"/>
    <x v="0"/>
    <x v="0"/>
  </r>
  <r>
    <x v="9"/>
    <s v="MATX"/>
    <n v="3684"/>
    <n v="114.49"/>
    <n v="14.28"/>
    <n v="80.66"/>
    <n v="15.15"/>
    <n v="8.0175070028011213"/>
    <n v="1.4194148276717085"/>
    <n v="20.48"/>
    <n v="8.58"/>
    <n v="1.72"/>
    <n v="7.557095709570957"/>
    <s v="NO"/>
    <n v="-0.17480571206595008"/>
    <n v="0.23719884697759794"/>
    <n v="-0.48817719380189756"/>
    <n v="-0.2705109754866194"/>
    <n v="-0.78935297029948559"/>
    <n v="-0.29969161348177559"/>
    <x v="0"/>
    <x v="0"/>
    <x v="0"/>
    <x v="0"/>
    <x v="0"/>
    <x v="0"/>
  </r>
  <r>
    <x v="9"/>
    <s v="KEX"/>
    <n v="6207"/>
    <n v="112.33"/>
    <n v="5.72"/>
    <n v="58.98"/>
    <n v="5.05"/>
    <n v="19.63811188811189"/>
    <n v="1.9045439131909123"/>
    <n v="8.9600000000000009"/>
    <n v="4.38"/>
    <n v="1.81"/>
    <n v="22.243564356435645"/>
    <s v="NO"/>
    <n v="1.3027555712032817"/>
    <n v="1.0887955120001536"/>
    <n v="-0.90537313390559626"/>
    <n v="-1.0668750621995648"/>
    <n v="-0.62153777188935844"/>
    <n v="1.3467746695420642"/>
    <x v="0"/>
    <x v="0"/>
    <x v="0"/>
    <x v="0"/>
    <x v="0"/>
    <x v="0"/>
  </r>
  <r>
    <x v="10"/>
    <s v="SKYW"/>
    <n v="4105"/>
    <n v="102.95"/>
    <n v="8.36"/>
    <n v="61"/>
    <n v="8.74"/>
    <n v="12.314593301435409"/>
    <n v="1.687704918032787"/>
    <n v="15.66"/>
    <n v="4.7"/>
    <n v="2.88"/>
    <n v="11.779176201372998"/>
    <s v="NO"/>
    <n v="0.45324755584468435"/>
    <n v="-0.63743043933432098"/>
    <n v="-0.2741354514282211"/>
    <n v="-0.11261226763344698"/>
    <n v="0"/>
    <n v="-0.16813046462195103"/>
    <x v="0"/>
    <x v="0"/>
    <x v="0"/>
    <x v="0"/>
    <x v="0"/>
    <x v="0"/>
  </r>
  <r>
    <x v="10"/>
    <s v="CPA"/>
    <n v="4437"/>
    <n v="107.69"/>
    <n v="8.2899999999999991"/>
    <n v="60.06"/>
    <n v="14.63"/>
    <n v="12.990349819059109"/>
    <n v="1.7930402930402929"/>
    <n v="26.06"/>
    <n v="8.94"/>
    <n v="2.3199999999999998"/>
    <n v="7.3609022556390968"/>
    <s v="NO"/>
    <n v="0.49298002221873721"/>
    <n v="-0.45811668145344286"/>
    <n v="-6.3635695458529748E-2"/>
    <n v="1.8935894750800584"/>
    <n v="-0.48525332704693674"/>
    <n v="-0.83441345726215344"/>
    <x v="0"/>
    <x v="0"/>
    <x v="1"/>
    <x v="0"/>
    <x v="0"/>
    <x v="0"/>
  </r>
  <r>
    <x v="10"/>
    <s v="AAL"/>
    <n v="7525"/>
    <n v="11.76"/>
    <n v="2.4"/>
    <n v="-6.84"/>
    <n v="1.02"/>
    <n v="4.9000000000000004"/>
    <n v="-1.7192982456140351"/>
    <n v="-13.69"/>
    <n v="3.03"/>
    <n v="-13.89"/>
    <n v="11.529411764705882"/>
    <s v="NO"/>
    <n v="1.7291599307969151E-2"/>
    <n v="-6.4372155575058692"/>
    <n v="-0.86819005120807136"/>
    <n v="-0.90279078422107795"/>
    <n v="-14.531604097459157"/>
    <n v="-0.2057953533005587"/>
    <x v="0"/>
    <x v="1"/>
    <x v="0"/>
    <x v="0"/>
    <x v="1"/>
    <x v="0"/>
  </r>
  <r>
    <x v="10"/>
    <s v="ACDVF"/>
    <n v="4518"/>
    <n v="13.61"/>
    <n v="2.12"/>
    <n v="4.29"/>
    <n v="3.19"/>
    <n v="6.4198113207547163"/>
    <n v="3.1724941724941722"/>
    <n v="125.99"/>
    <n v="2.4"/>
    <n v="16.04"/>
    <n v="4.2664576802507836"/>
    <s v="NO"/>
    <n v="0.10665196894101188"/>
    <n v="1.8901453238852681"/>
    <n v="1.9589835943540914"/>
    <n v="-1.2008820808978486"/>
    <n v="11.403453185603013"/>
    <n v="-1.3010607990911338"/>
    <x v="0"/>
    <x v="0"/>
    <x v="0"/>
    <x v="1"/>
    <x v="1"/>
    <x v="0"/>
  </r>
  <r>
    <x v="10"/>
    <s v="ALK"/>
    <n v="6183"/>
    <n v="51.73"/>
    <n v="1.59"/>
    <n v="33.67"/>
    <n v="2.83"/>
    <n v="32.534591194968549"/>
    <n v="1.5363825363825363"/>
    <n v="8.9"/>
    <n v="3.34"/>
    <n v="4.79"/>
    <n v="18.279151943462896"/>
    <s v="NO"/>
    <n v="1.6421230833991201"/>
    <n v="-0.89502846756802101"/>
    <n v="-0.41096029280852048"/>
    <n v="-0.75611093982457156"/>
    <n v="1.6550604547493735"/>
    <n v="0.81207658969844443"/>
    <x v="0"/>
    <x v="0"/>
    <x v="0"/>
    <x v="0"/>
    <x v="0"/>
    <x v="0"/>
  </r>
  <r>
    <x v="10"/>
    <s v="JOBY"/>
    <n v="6581"/>
    <n v="9.23"/>
    <n v="-0.68"/>
    <n v="1.0900000000000001"/>
    <n v="-0.83"/>
    <n v="-13.573529411764705"/>
    <n v="8.4678899082568808"/>
    <n v="-64.959999999999994"/>
    <n v="-34.14"/>
    <n v="1.26"/>
    <n v="-11.120481927710845"/>
    <s v="NO"/>
    <n v="-1.0688967940265512"/>
    <n v="10.9045653017733"/>
    <n v="-1.9059133674163478"/>
    <n v="-18.490177288150562"/>
    <n v="-1.4037685532429238"/>
    <n v="-3.6214366507210878"/>
    <x v="0"/>
    <x v="1"/>
    <x v="1"/>
    <x v="1"/>
    <x v="0"/>
    <x v="1"/>
  </r>
  <r>
    <x v="10"/>
    <s v="EIFZF"/>
    <n v="2162"/>
    <n v="42.02"/>
    <n v="-1.8"/>
    <n v="19.809999999999999"/>
    <n v="1.74"/>
    <n v="-23.344444444444445"/>
    <n v="2.1211509338717822"/>
    <n v="9.16"/>
    <n v="4.68"/>
    <n v="3.15"/>
    <n v="24.149425287356323"/>
    <s v="NO"/>
    <n v="-1.6433974356849714"/>
    <n v="0.10043026447051707"/>
    <n v="-0.40569779890927821"/>
    <n v="-0.12207548340096373"/>
    <n v="0.23396142554048735"/>
    <n v="1.6973234845773533"/>
    <x v="0"/>
    <x v="0"/>
    <x v="0"/>
    <x v="0"/>
    <x v="0"/>
    <x v="0"/>
  </r>
  <r>
    <x v="11"/>
    <s v="CACI"/>
    <n v="9412"/>
    <n v="441.05"/>
    <n v="21.86"/>
    <n v="168.46"/>
    <n v="21.19"/>
    <n v="20.176120768526992"/>
    <n v="2.6181289326843169"/>
    <n v="13.48"/>
    <n v="6.32"/>
    <n v="2.3199999999999998"/>
    <n v="20.814063237376121"/>
    <s v="NO"/>
    <n v="0.16405480387625268"/>
    <n v="-6.5550016998637287E-2"/>
    <n v="-0.21879506546624741"/>
    <n v="0.2038977860872262"/>
    <n v="-4.4300617047310337E-2"/>
    <n v="4.2464958489510582E-3"/>
    <x v="0"/>
    <x v="0"/>
    <x v="0"/>
    <x v="0"/>
    <x v="0"/>
    <x v="0"/>
  </r>
  <r>
    <x v="11"/>
    <s v="HURN"/>
    <n v="2464"/>
    <n v="140.02000000000001"/>
    <n v="10.84"/>
    <n v="30.19"/>
    <n v="6.67"/>
    <n v="12.916974169741698"/>
    <n v="4.6379595892679699"/>
    <n v="24.88"/>
    <n v="9.5399999999999991"/>
    <n v="2.76"/>
    <n v="20.992503748125937"/>
    <s v="NO"/>
    <n v="-0.60183386716445264"/>
    <n v="1.2076142274931279"/>
    <n v="0.13827385538055215"/>
    <n v="1.0783273592737328"/>
    <n v="0.76481253959036266"/>
    <n v="1.918781192113404E-2"/>
    <x v="0"/>
    <x v="0"/>
    <x v="0"/>
    <x v="0"/>
    <x v="0"/>
    <x v="0"/>
  </r>
  <r>
    <x v="11"/>
    <s v="SAIC"/>
    <n v="5450"/>
    <n v="103.52"/>
    <n v="9.14"/>
    <n v="32.85"/>
    <n v="7.17"/>
    <n v="11.326039387308533"/>
    <n v="3.1512937595129373"/>
    <n v="21.54"/>
    <n v="6.58"/>
    <n v="3.33"/>
    <n v="14.437935843793584"/>
    <s v="NO"/>
    <n v="-0.76968816100583393"/>
    <n v="0.27052092623923707"/>
    <n v="3.365892593947227E-2"/>
    <n v="0.27450390069234781"/>
    <n v="1.8129818561437123"/>
    <n v="-0.5296442350377808"/>
    <x v="0"/>
    <x v="0"/>
    <x v="0"/>
    <x v="0"/>
    <x v="0"/>
    <x v="0"/>
  </r>
  <r>
    <x v="11"/>
    <s v="CNXC"/>
    <n v="3575"/>
    <n v="55.83"/>
    <n v="7.47"/>
    <n v="63.21"/>
    <n v="4"/>
    <n v="7.4738955823293169"/>
    <n v="0.88324632178452778"/>
    <n v="6.62"/>
    <n v="3.92"/>
    <n v="2.95"/>
    <n v="13.9575"/>
    <s v="NO"/>
    <n v="-1.1761151781908716"/>
    <n v="-1.1591023409959793"/>
    <n v="-0.43366285467756716"/>
    <n v="-0.44785096411389713"/>
    <n v="1.114202311774813"/>
    <n v="-0.56987245319498125"/>
    <x v="0"/>
    <x v="0"/>
    <x v="0"/>
    <x v="0"/>
    <x v="0"/>
    <x v="0"/>
  </r>
  <r>
    <x v="11"/>
    <s v="KFY"/>
    <n v="3512"/>
    <n v="69.790000000000006"/>
    <n v="6.13"/>
    <n v="34.76"/>
    <n v="4.63"/>
    <n v="11.38499184339315"/>
    <n v="2.0077675489067897"/>
    <n v="14.36"/>
    <n v="5.45"/>
    <n v="2.04"/>
    <n v="15.07343412526998"/>
    <s v="YES"/>
    <n v="-0.7634682813504502"/>
    <n v="-0.4502804336358599"/>
    <n v="-0.19123185052368746"/>
    <n v="-3.2361135860681005E-2"/>
    <n v="-0.55919080763492013"/>
    <n v="-0.47643221133885322"/>
    <x v="0"/>
    <x v="0"/>
    <x v="0"/>
    <x v="0"/>
    <x v="0"/>
    <x v="0"/>
  </r>
  <r>
    <x v="11"/>
    <s v="PSN"/>
    <n v="6930"/>
    <n v="69.52"/>
    <n v="4.9000000000000004"/>
    <n v="22.97"/>
    <n v="2.35"/>
    <n v="14.187755102040814"/>
    <n v="3.0265563778841966"/>
    <n v="13.26"/>
    <n v="5.5"/>
    <n v="2.2200000000000002"/>
    <n v="29.582978723404253"/>
    <s v="NO"/>
    <n v="-0.46775795256792124"/>
    <n v="0.19189494156889331"/>
    <n v="-0.22568586920188743"/>
    <n v="-1.8783036898157655E-2"/>
    <n v="-0.22818997082859901"/>
    <n v="0.73849197259891897"/>
    <x v="0"/>
    <x v="0"/>
    <x v="0"/>
    <x v="0"/>
    <x v="0"/>
    <x v="0"/>
  </r>
  <r>
    <x v="11"/>
    <s v="FCN"/>
    <n v="5629"/>
    <n v="160.05000000000001"/>
    <n v="4.43"/>
    <n v="62.77"/>
    <n v="7.32"/>
    <n v="36.128668171557564"/>
    <n v="2.5497849291062611"/>
    <n v="12.46"/>
    <n v="6.73"/>
    <n v="1.56"/>
    <n v="21.864754098360656"/>
    <s v="NO"/>
    <n v="1.847155587688142"/>
    <n v="-0.10862944120550232"/>
    <n v="-0.25074333733148735"/>
    <n v="0.31523819757991811"/>
    <n v="-1.4418597057851088"/>
    <n v="9.2223739257173018E-2"/>
    <x v="0"/>
    <x v="0"/>
    <x v="0"/>
    <x v="0"/>
    <x v="0"/>
    <x v="0"/>
  </r>
  <r>
    <x v="11"/>
    <s v="TNET"/>
    <n v="4027"/>
    <n v="82.64"/>
    <n v="4.18"/>
    <n v="1.3"/>
    <n v="3.32"/>
    <n v="19.770334928229666"/>
    <n v="63.569230769230771"/>
    <n v="162.13999999999999"/>
    <n v="3.83"/>
    <n v="59.92"/>
    <n v="24.891566265060241"/>
    <s v="NO"/>
    <n v="0.12124167512576557"/>
    <n v="38.353890379020228"/>
    <n v="4.4375089497166673"/>
    <n v="-0.47229154224643921"/>
    <n v="105.87596716097535"/>
    <n v="0.34566706938300412"/>
    <x v="0"/>
    <x v="1"/>
    <x v="0"/>
    <x v="1"/>
    <x v="1"/>
    <x v="0"/>
  </r>
  <r>
    <x v="11"/>
    <s v="MMS"/>
    <n v="4086"/>
    <n v="71.14"/>
    <n v="3.68"/>
    <n v="29.59"/>
    <n v="5"/>
    <n v="19.331521739130434"/>
    <n v="2.4041906049340995"/>
    <n v="17.36"/>
    <n v="7.54"/>
    <n v="2.52"/>
    <n v="14.228"/>
    <s v="NO"/>
    <n v="7.4943939481387958E-2"/>
    <n v="-0.20040222776695935"/>
    <n v="-9.7266345037687579E-2"/>
    <n v="0.53520340077279704"/>
    <n v="0.32347809051526866"/>
    <n v="-0.54722274220422928"/>
    <x v="0"/>
    <x v="0"/>
    <x v="0"/>
    <x v="0"/>
    <x v="0"/>
    <x v="0"/>
  </r>
  <r>
    <x v="11"/>
    <s v="WNS"/>
    <n v="2529"/>
    <n v="59.61"/>
    <n v="3.48"/>
    <n v="19.22"/>
    <n v="3.71"/>
    <n v="17.129310344827587"/>
    <n v="3.1014568158168574"/>
    <n v="20.94"/>
    <n v="7.38"/>
    <n v="1.85"/>
    <n v="16.067385444743934"/>
    <s v="NO"/>
    <n v="-0.1574041382410733"/>
    <n v="0.2391070972819527"/>
    <n v="1.4865824842272356E-2"/>
    <n v="0.49175348409272218"/>
    <n v="-0.90858057981936979"/>
    <n v="-0.39320592621884726"/>
    <x v="0"/>
    <x v="0"/>
    <x v="0"/>
    <x v="0"/>
    <x v="0"/>
    <x v="0"/>
  </r>
  <r>
    <x v="11"/>
    <s v="G"/>
    <n v="7528"/>
    <n v="43.2"/>
    <n v="3.38"/>
    <n v="14.04"/>
    <n v="2.94"/>
    <n v="12.781065088757398"/>
    <n v="3.0769230769230771"/>
    <n v="22.21"/>
    <n v="9.3800000000000008"/>
    <n v="2"/>
    <n v="14.69387755102041"/>
    <s v="NO"/>
    <n v="-0.61617318708324964"/>
    <n v="0.22364269236194331"/>
    <n v="5.4644555498012296E-2"/>
    <n v="1.0348774425936584"/>
    <n v="-0.63274654914743589"/>
    <n v="-0.50821353005010139"/>
    <x v="0"/>
    <x v="0"/>
    <x v="0"/>
    <x v="0"/>
    <x v="0"/>
    <x v="0"/>
  </r>
  <r>
    <x v="11"/>
    <s v="KBR"/>
    <n v="6771"/>
    <n v="52.85"/>
    <n v="3.06"/>
    <n v="10.92"/>
    <n v="2.98"/>
    <n v="17.27124183006536"/>
    <n v="4.8397435897435903"/>
    <n v="28.22"/>
    <n v="5.72"/>
    <n v="4.83"/>
    <n v="17.734899328859061"/>
    <s v="NO"/>
    <n v="-0.14242941426652492"/>
    <n v="1.3348051747533292"/>
    <n v="0.24288878482163204"/>
    <n v="4.0960598536945239E-2"/>
    <n v="4.5713221628630523"/>
    <n v="-0.25358038999602334"/>
    <x v="0"/>
    <x v="0"/>
    <x v="0"/>
    <x v="0"/>
    <x v="1"/>
    <x v="0"/>
  </r>
  <r>
    <x v="11"/>
    <s v="RHI"/>
    <n v="4678"/>
    <n v="44.5"/>
    <n v="3.04"/>
    <n v="13.08"/>
    <n v="2.0099999999999998"/>
    <n v="14.638157894736842"/>
    <n v="3.4021406727828745"/>
    <n v="14.49"/>
    <n v="5.36"/>
    <n v="2.0499999999999998"/>
    <n v="22.139303482587067"/>
    <s v="NO"/>
    <n v="-0.42023743598423535"/>
    <n v="0.42863780587735134"/>
    <n v="-0.18716001195262746"/>
    <n v="-5.6801713993223091E-2"/>
    <n v="-0.54080187225679155"/>
    <n v="0.1152125163566818"/>
    <x v="0"/>
    <x v="0"/>
    <x v="0"/>
    <x v="0"/>
    <x v="0"/>
    <x v="0"/>
  </r>
  <r>
    <x v="11"/>
    <s v="EXPO"/>
    <n v="3874"/>
    <n v="77.39"/>
    <n v="2.62"/>
    <n v="8.68"/>
    <n v="2.04"/>
    <n v="29.538167938931295"/>
    <n v="8.9158986175115214"/>
    <n v="25.87"/>
    <n v="11.96"/>
    <n v="1.73"/>
    <n v="37.936274509803923"/>
    <s v="NO"/>
    <n v="1.1518135945254433"/>
    <n v="3.9041368261191898"/>
    <n v="0.16928247219093218"/>
    <n v="1.735507349059866"/>
    <n v="-1.1292478043569172"/>
    <n v="1.4379364656939968"/>
    <x v="0"/>
    <x v="1"/>
    <x v="0"/>
    <x v="0"/>
    <x v="0"/>
    <x v="0"/>
  </r>
  <r>
    <x v="11"/>
    <s v="AMTM"/>
    <n v="5027"/>
    <n v="23.13"/>
    <n v="1.64"/>
    <n v="18.190000000000001"/>
    <n v="0.1"/>
    <n v="14.103658536585366"/>
    <n v="1.2715777899945024"/>
    <n v="0.86"/>
    <n v="2.4500000000000002"/>
    <n v="2.71"/>
    <n v="231.29999999999998"/>
    <s v="NO"/>
    <n v="-0.47663070446502975"/>
    <n v="-0.91432452324952707"/>
    <n v="-0.61407662521068695"/>
    <n v="-0.84704707361208509"/>
    <n v="0.67286786269971832"/>
    <n v="17.628814463653462"/>
    <x v="0"/>
    <x v="0"/>
    <x v="0"/>
    <x v="0"/>
    <x v="0"/>
    <x v="1"/>
  </r>
  <r>
    <x v="11"/>
    <s v="CBZ"/>
    <n v="3930"/>
    <n v="72.58"/>
    <n v="1.54"/>
    <n v="36.020000000000003"/>
    <n v="1.55"/>
    <n v="47.129870129870127"/>
    <n v="2.0149916712937257"/>
    <n v="6.25"/>
    <n v="4.17"/>
    <n v="2.39"/>
    <n v="46.825806451612898"/>
    <s v="NO"/>
    <n v="3.0078562062859704"/>
    <n v="-0.44572683688214187"/>
    <n v="-0.44525193368750715"/>
    <n v="-0.37996046930128013"/>
    <n v="8.4421930599592715E-2"/>
    <n v="2.182281490925166"/>
    <x v="1"/>
    <x v="0"/>
    <x v="0"/>
    <x v="0"/>
    <x v="0"/>
    <x v="0"/>
  </r>
  <r>
    <x v="11"/>
    <s v="EXLS"/>
    <n v="7482"/>
    <n v="47.66"/>
    <n v="1.52"/>
    <n v="6.22"/>
    <n v="1.32"/>
    <n v="31.355263157894733"/>
    <n v="7.662379421221865"/>
    <n v="23.81"/>
    <n v="11.26"/>
    <n v="1.66"/>
    <n v="36.106060606060602"/>
    <s v="NO"/>
    <n v="1.3435293318325263"/>
    <n v="3.1140033486922181"/>
    <n v="0.10475949175721218"/>
    <n v="1.5454139635845381"/>
    <n v="-1.2579703520038199"/>
    <n v="1.2846876081300702"/>
    <x v="0"/>
    <x v="0"/>
    <x v="0"/>
    <x v="0"/>
    <x v="0"/>
    <x v="0"/>
  </r>
  <r>
    <x v="11"/>
    <s v="TCCPY"/>
    <n v="2834"/>
    <n v="5.5532000000000004"/>
    <n v="1.49"/>
    <n v="5.15"/>
    <n v="1.1100000000000001"/>
    <n v="3.7269798657718125"/>
    <n v="1.0782912621359224"/>
    <n v="21.75"/>
    <n v="11.6"/>
    <n v="1.88"/>
    <n v="5.0028828828828829"/>
    <s v="YES"/>
    <n v="-1.5714399260249987"/>
    <n v="-1.0361592401399693"/>
    <n v="4.0236511323492284E-2"/>
    <n v="1.6377450365296971"/>
    <n v="-0.85341377368498328"/>
    <n v="-1.3196672396480056"/>
    <x v="0"/>
    <x v="0"/>
    <x v="0"/>
    <x v="0"/>
    <x v="0"/>
    <x v="0"/>
  </r>
  <r>
    <x v="11"/>
    <s v="DAY"/>
    <n v="9446"/>
    <n v="59.16"/>
    <n v="1.32"/>
    <n v="16.2"/>
    <n v="0.16"/>
    <n v="44.818181818181813"/>
    <n v="3.6518518518518519"/>
    <n v="1.03"/>
    <n v="0.55000000000000004"/>
    <n v="3.66"/>
    <n v="369.74999999999994"/>
    <s v="NO"/>
    <n v="2.7639575792496243"/>
    <n v="0.58603879570995399"/>
    <n v="-0.60875191323314692"/>
    <n v="-1.3630148341879744"/>
    <n v="2.4198167236219672"/>
    <n v="29.221614784058662"/>
    <x v="0"/>
    <x v="0"/>
    <x v="0"/>
    <x v="0"/>
    <x v="0"/>
    <x v="1"/>
  </r>
  <r>
    <x v="11"/>
    <s v="UPWK"/>
    <n v="2038"/>
    <n v="15.48"/>
    <n v="1.18"/>
    <n v="4.43"/>
    <n v="1.66"/>
    <n v="13.118644067796611"/>
    <n v="3.4943566591422126"/>
    <n v="49.8"/>
    <n v="6.12"/>
    <n v="2.09"/>
    <n v="9.3253012048192776"/>
    <s v="NO"/>
    <n v="-0.58055633982590327"/>
    <n v="0.48676450883661365"/>
    <n v="0.91881398761759125"/>
    <n v="0.14958539023713255"/>
    <n v="-0.46724613074427579"/>
    <n v="-0.95773923309351261"/>
    <x v="0"/>
    <x v="0"/>
    <x v="0"/>
    <x v="1"/>
    <x v="0"/>
    <x v="0"/>
  </r>
  <r>
    <x v="11"/>
    <s v="VRRM"/>
    <n v="3770"/>
    <n v="24.14"/>
    <n v="1.07"/>
    <n v="1.88"/>
    <n v="0.21"/>
    <n v="22.5607476635514"/>
    <n v="12.840425531914894"/>
    <n v="9.25"/>
    <n v="8.65"/>
    <n v="5.48"/>
    <n v="114.95238095238096"/>
    <s v="NO"/>
    <n v="0.4156489408322111"/>
    <n v="6.3778923994775898"/>
    <n v="-0.35128642820150729"/>
    <n v="0.83663719774081668"/>
    <n v="5.7666029624414339"/>
    <n v="7.8867074548154719"/>
    <x v="0"/>
    <x v="1"/>
    <x v="0"/>
    <x v="0"/>
    <x v="1"/>
    <x v="1"/>
  </r>
  <r>
    <x v="11"/>
    <s v="DNB"/>
    <n v="4022"/>
    <n v="9.02"/>
    <n v="0.49"/>
    <n v="7.38"/>
    <n v="-0.06"/>
    <n v="18.408163265306122"/>
    <n v="1.2222222222222221"/>
    <n v="-0.52"/>
    <n v="1.77"/>
    <n v="2.66"/>
    <n v="-150.33333333333334"/>
    <s v="NO"/>
    <n v="-2.2476574733025795E-2"/>
    <n v="-0.94543492547529651"/>
    <n v="-0.6573007577342469"/>
    <n v="-1.0317092195024034"/>
    <n v="0.58092318580907398"/>
    <n v="-14.326397013009387"/>
    <x v="0"/>
    <x v="0"/>
    <x v="0"/>
    <x v="0"/>
    <x v="0"/>
    <x v="1"/>
  </r>
  <r>
    <x v="11"/>
    <s v="CLVT"/>
    <n v="2883"/>
    <n v="4.34"/>
    <n v="0.48"/>
    <n v="7.36"/>
    <n v="-0.97"/>
    <n v="9.0416666666666661"/>
    <n v="0.58967391304347827"/>
    <n v="-12.2"/>
    <n v="1.2"/>
    <n v="2.29"/>
    <n v="-4.4742268041237114"/>
    <s v="NO"/>
    <n v="-1.0107048099142337"/>
    <n v="-1.3441504749868824"/>
    <n v="-1.0231397924264065"/>
    <n v="-1.1864995476751701"/>
    <n v="-9.9467423181696782E-2"/>
    <n v="-2.1132117699191886"/>
    <x v="0"/>
    <x v="0"/>
    <x v="0"/>
    <x v="0"/>
    <x v="0"/>
    <x v="0"/>
  </r>
  <r>
    <x v="11"/>
    <s v="ALIT"/>
    <n v="2882"/>
    <n v="5.42"/>
    <n v="0.2"/>
    <n v="7.95"/>
    <n v="-7.0000000000000007E-2"/>
    <n v="27.099999999999998"/>
    <n v="0.68176100628930814"/>
    <n v="-0.82"/>
    <n v="-0.39"/>
    <n v="1.87"/>
    <n v="-77.428571428571416"/>
    <s v="NO"/>
    <n v="0.89457051820644162"/>
    <n v="-1.2861050175037918"/>
    <n v="-0.6666973082828469"/>
    <n v="-1.6182830946834141"/>
    <n v="-0.87180270906311186"/>
    <n v="-8.2218802403940803"/>
    <x v="0"/>
    <x v="0"/>
    <x v="0"/>
    <x v="0"/>
    <x v="0"/>
    <x v="1"/>
  </r>
  <r>
    <x v="11"/>
    <s v="NSP"/>
    <n v="2435"/>
    <n v="62.81"/>
    <n v="0.18"/>
    <n v="3.16"/>
    <n v="1.65"/>
    <n v="348.94444444444446"/>
    <n v="19.876582278481013"/>
    <n v="48.65"/>
    <n v="2.25"/>
    <n v="18.010000000000002"/>
    <n v="38.06666666666667"/>
    <s v="NO"/>
    <n v="34.85131880575819"/>
    <n v="10.81300836287196"/>
    <n v="0.88279387718129132"/>
    <n v="-0.90135946946217871"/>
    <n v="28.807938991236988"/>
    <n v="1.4488545605864256"/>
    <x v="1"/>
    <x v="1"/>
    <x v="0"/>
    <x v="0"/>
    <x v="1"/>
    <x v="0"/>
  </r>
  <r>
    <x v="11"/>
    <s v="FA"/>
    <n v="2973"/>
    <n v="18.55"/>
    <n v="-0.18"/>
    <n v="7.36"/>
    <n v="-0.95"/>
    <n v="-103.05555555555556"/>
    <n v="2.5203804347826089"/>
    <n v="-13.59"/>
    <n v="-1.23"/>
    <n v="3.03"/>
    <n v="-19.526315789473685"/>
    <s v="NO"/>
    <n v="-12.837713864876525"/>
    <n v="-0.12716403997407219"/>
    <n v="-1.0666771433015865"/>
    <n v="-1.8463951572538075"/>
    <n v="1.2613137947998438"/>
    <n v="-3.3735646916391797"/>
    <x v="1"/>
    <x v="0"/>
    <x v="0"/>
    <x v="0"/>
    <x v="0"/>
    <x v="1"/>
  </r>
  <r>
    <x v="12"/>
    <s v="MGRC"/>
    <n v="2766"/>
    <n v="116.12"/>
    <n v="11.95"/>
    <n v="46.18"/>
    <n v="9.65"/>
    <n v="9.7171548117154813"/>
    <n v="2.5145084452143784"/>
    <n v="22.8"/>
    <n v="6.6"/>
    <n v="1.97"/>
    <n v="12.033160621761658"/>
    <s v="YES"/>
    <n v="-0.34035814111353851"/>
    <n v="-4.8907971317603653E-2"/>
    <n v="2.3015687459948619"/>
    <n v="0.22773243649279262"/>
    <n v="-0.49295239295040361"/>
    <n v="-0.84819681585101636"/>
    <x v="0"/>
    <x v="0"/>
    <x v="0"/>
    <x v="0"/>
    <x v="0"/>
    <x v="0"/>
  </r>
  <r>
    <x v="12"/>
    <s v="AIT"/>
    <n v="8627"/>
    <n v="233.17"/>
    <n v="11.42"/>
    <n v="47.85"/>
    <n v="9.98"/>
    <n v="20.417688266199647"/>
    <n v="4.8729362591431551"/>
    <n v="22.23"/>
    <n v="10.56"/>
    <n v="1.7"/>
    <n v="23.363727454909817"/>
    <s v="NO"/>
    <n v="0.62268281421558058"/>
    <n v="1.8760764977685027"/>
    <n v="2.1524107623803994"/>
    <n v="2.0823760324032476"/>
    <n v="-0.79775501759912648"/>
    <n v="0.68977290657911627"/>
    <x v="0"/>
    <x v="0"/>
    <x v="1"/>
    <x v="0"/>
    <x v="0"/>
    <x v="0"/>
  </r>
  <r>
    <x v="12"/>
    <s v="HRI"/>
    <n v="3534"/>
    <n v="121.42"/>
    <n v="9.1"/>
    <n v="47.65"/>
    <n v="4.4800000000000004"/>
    <n v="13.342857142857143"/>
    <n v="2.5481636935991605"/>
    <n v="9.6"/>
    <n v="6.09"/>
    <n v="5.67"/>
    <n v="27.102678571428569"/>
    <s v="NO"/>
    <n v="-1.4047321977839408E-2"/>
    <n v="-2.1438048320037931E-2"/>
    <n v="-1.152616137708486"/>
    <n v="-1.1123178132038579E-2"/>
    <n v="3.6839724633469086"/>
    <n v="1.1972844631968405"/>
    <x v="0"/>
    <x v="0"/>
    <x v="0"/>
    <x v="0"/>
    <x v="1"/>
    <x v="0"/>
  </r>
  <r>
    <x v="12"/>
    <s v="GMS"/>
    <n v="2907"/>
    <n v="79.17"/>
    <n v="8.64"/>
    <n v="36.21"/>
    <n v="3.66"/>
    <n v="9.1631944444444446"/>
    <n v="2.1864125932062968"/>
    <n v="10.36"/>
    <n v="6.05"/>
    <n v="2.72"/>
    <n v="21.631147540983605"/>
    <s v="NO"/>
    <n v="-0.39021420890496306"/>
    <n v="-0.31670477042124762"/>
    <n v="-0.9537388262225357"/>
    <n v="-2.9856951828103797E-2"/>
    <n v="0.35372156440715991"/>
    <n v="0.45459884260258754"/>
    <x v="0"/>
    <x v="0"/>
    <x v="0"/>
    <x v="0"/>
    <x v="0"/>
    <x v="0"/>
  </r>
  <r>
    <x v="12"/>
    <s v="FINGF"/>
    <n v="4960"/>
    <n v="38.735999999999997"/>
    <n v="6"/>
    <n v="13.83"/>
    <n v="2.4700000000000002"/>
    <n v="6.4559999999999995"/>
    <n v="2.800867678958785"/>
    <n v="18.13"/>
    <n v="6.54"/>
    <n v="3.03"/>
    <n v="15.682591093117406"/>
    <s v="NO"/>
    <n v="-0.63385992387134305"/>
    <n v="0.18482276840730857"/>
    <n v="1.0795200030482983"/>
    <n v="0.19963177594869499"/>
    <n v="0.70368013344828562"/>
    <n v="-0.35283646436014626"/>
    <x v="0"/>
    <x v="0"/>
    <x v="0"/>
    <x v="0"/>
    <x v="0"/>
    <x v="0"/>
  </r>
  <r>
    <x v="12"/>
    <s v="HEES"/>
    <n v="3470"/>
    <n v="94.64"/>
    <n v="5.89"/>
    <n v="16.649999999999999"/>
    <n v="2.4900000000000002"/>
    <n v="16.067911714770798"/>
    <n v="5.6840840840840849"/>
    <n v="15.74"/>
    <n v="4.16"/>
    <n v="4.43"/>
    <n v="38.008032128514053"/>
    <s v="NO"/>
    <n v="0.2312057926843977"/>
    <n v="2.5381476266461496"/>
    <n v="0.45410319455958653"/>
    <n v="-0.91502775896718436"/>
    <n v="2.2841381871824038"/>
    <n v="2.6775372899244112"/>
    <x v="0"/>
    <x v="0"/>
    <x v="0"/>
    <x v="0"/>
    <x v="0"/>
    <x v="0"/>
  </r>
  <r>
    <x v="12"/>
    <s v="RUSHA"/>
    <n v="3864"/>
    <n v="51.31"/>
    <n v="5.87"/>
    <n v="27.32"/>
    <n v="3.57"/>
    <n v="8.7410562180579223"/>
    <n v="1.8781112737920937"/>
    <n v="14.2"/>
    <n v="6.02"/>
    <n v="2.16"/>
    <n v="14.372549019607844"/>
    <s v="YES"/>
    <n v="-0.42820637093589931"/>
    <n v="-0.56834497249402482"/>
    <n v="5.1114958127529052E-2"/>
    <n v="-4.3907282100152815E-2"/>
    <n v="-0.2784616570864874"/>
    <n v="-0.53065678648850445"/>
    <x v="0"/>
    <x v="0"/>
    <x v="0"/>
    <x v="0"/>
    <x v="0"/>
    <x v="0"/>
  </r>
  <r>
    <x v="12"/>
    <s v="RUSHB"/>
    <n v="4063"/>
    <n v="51.53"/>
    <n v="5.87"/>
    <n v="27.32"/>
    <n v="3.57"/>
    <n v="8.7785349233390111"/>
    <n v="1.8861639824304539"/>
    <n v="14.2"/>
    <n v="6.02"/>
    <n v="2.16"/>
    <n v="14.434173669467787"/>
    <s v="YES"/>
    <n v="-0.42483331217280812"/>
    <n v="-0.56177222985107922"/>
    <n v="5.1114958127529052E-2"/>
    <n v="-4.3907282100152815E-2"/>
    <n v="-0.2784616570864874"/>
    <n v="-0.52229208178876452"/>
    <x v="0"/>
    <x v="0"/>
    <x v="0"/>
    <x v="0"/>
    <x v="0"/>
    <x v="0"/>
  </r>
  <r>
    <x v="12"/>
    <s v="MSM"/>
    <n v="4525"/>
    <n v="81.680000000000007"/>
    <n v="5.39"/>
    <n v="24.32"/>
    <n v="3.8"/>
    <n v="15.153988868274585"/>
    <n v="3.3585526315789478"/>
    <n v="15.18"/>
    <n v="8.67"/>
    <n v="1.82"/>
    <n v="21.494736842105265"/>
    <s v="NO"/>
    <n v="0.14895333910994649"/>
    <n v="0.64001366553656658"/>
    <n v="0.30756201767520197"/>
    <n v="1.197205225264167"/>
    <n v="-0.66228718442191614"/>
    <n v="0.4360829529935476"/>
    <x v="0"/>
    <x v="0"/>
    <x v="0"/>
    <x v="0"/>
    <x v="0"/>
    <x v="0"/>
  </r>
  <r>
    <x v="12"/>
    <s v="WCC"/>
    <n v="8194"/>
    <n v="176.51"/>
    <n v="4.68"/>
    <n v="103.18"/>
    <n v="13.26"/>
    <n v="37.715811965811966"/>
    <n v="1.7106997480131807"/>
    <n v="14.42"/>
    <n v="5.0199999999999996"/>
    <n v="3.08"/>
    <n v="13.311463046757163"/>
    <s v="NO"/>
    <n v="2.1795025413755273"/>
    <n v="-0.70498879307955842"/>
    <n v="0.10868470618925169"/>
    <n v="-0.51225162450178285"/>
    <n v="0.7601250639387902"/>
    <n v="-0.67468471758595028"/>
    <x v="0"/>
    <x v="0"/>
    <x v="0"/>
    <x v="0"/>
    <x v="0"/>
    <x v="0"/>
  </r>
  <r>
    <x v="12"/>
    <s v="IMCDY"/>
    <n v="7949"/>
    <n v="67.569999999999993"/>
    <n v="4.58"/>
    <n v="38.82"/>
    <n v="5.03"/>
    <n v="14.753275109170303"/>
    <n v="1.7405976300875836"/>
    <n v="14.12"/>
    <n v="6.02"/>
    <n v="2.2000000000000002"/>
    <n v="13.433399602385684"/>
    <s v="NO"/>
    <n v="0.1128893650078336"/>
    <n v="-0.6805856893203982"/>
    <n v="3.0180504286902686E-2"/>
    <n v="-4.3907282100152815E-2"/>
    <n v="-0.23330571269408398"/>
    <n v="-0.65813349527062526"/>
    <x v="0"/>
    <x v="0"/>
    <x v="0"/>
    <x v="0"/>
    <x v="0"/>
    <x v="0"/>
  </r>
  <r>
    <x v="12"/>
    <s v="SITE"/>
    <n v="5234"/>
    <n v="124.29"/>
    <n v="4.4800000000000004"/>
    <n v="34.51"/>
    <n v="2.54"/>
    <n v="27.743303571428569"/>
    <n v="3.6015647638365693"/>
    <n v="7.63"/>
    <n v="3.99"/>
    <n v="2.1"/>
    <n v="48.933070866141733"/>
    <s v="NO"/>
    <n v="1.2819833614200626"/>
    <n v="0.83836384510646678"/>
    <n v="-1.6681270635339098"/>
    <n v="-0.99464629717546138"/>
    <n v="-0.34619557367509252"/>
    <n v="4.1604621110985347"/>
    <x v="0"/>
    <x v="0"/>
    <x v="0"/>
    <x v="0"/>
    <x v="0"/>
    <x v="1"/>
  </r>
  <r>
    <x v="12"/>
    <s v="BCC"/>
    <n v="3269"/>
    <n v="88.65"/>
    <n v="3.46"/>
    <n v="56.26"/>
    <n v="8.0399999999999991"/>
    <n v="25.621387283236995"/>
    <n v="1.5757198720227517"/>
    <n v="14.26"/>
    <n v="7.29"/>
    <n v="1.64"/>
    <n v="11.026119402985076"/>
    <s v="NO"/>
    <n v="1.0910122946035679"/>
    <n v="-0.81516141035712564"/>
    <n v="6.6815798507998944E-2"/>
    <n v="0.55089003274991755"/>
    <n v="-0.86548893418773154"/>
    <n v="-0.98488890959397291"/>
    <x v="0"/>
    <x v="0"/>
    <x v="0"/>
    <x v="0"/>
    <x v="0"/>
    <x v="0"/>
  </r>
  <r>
    <x v="12"/>
    <s v="DPMAY"/>
    <n v="8486"/>
    <n v="252.64"/>
    <n v="1.93"/>
    <n v="9.1"/>
    <n v="1.61"/>
    <n v="130.90155440414509"/>
    <n v="27.762637362637363"/>
    <n v="18.37"/>
    <n v="9.48"/>
    <n v="1.86"/>
    <n v="156.91925465838509"/>
    <s v="NO"/>
    <n v="10.566157917258531"/>
    <n v="20.558996901784784"/>
    <n v="1.142323364570178"/>
    <n v="1.5765641426094874"/>
    <n v="-0.61713124002951281"/>
    <n v="18.818111949707816"/>
    <x v="1"/>
    <x v="1"/>
    <x v="0"/>
    <x v="0"/>
    <x v="0"/>
    <x v="1"/>
  </r>
  <r>
    <x v="12"/>
    <s v="QXO"/>
    <n v="9831"/>
    <n v="20.13"/>
    <n v="0.21"/>
    <n v="11.14"/>
    <n v="-0.12"/>
    <n v="95.857142857142861"/>
    <n v="1.8070017953321362"/>
    <n v="1.44"/>
    <n v="-2.62"/>
    <n v="1.1200000000000001"/>
    <n v="-167.75"/>
    <s v="NO"/>
    <n v="7.4121839851431286"/>
    <n v="-0.6263856048304467"/>
    <n v="-3.2879304294523739"/>
    <n v="-4.0904024004502366"/>
    <n v="-1.4525162112889751"/>
    <n v="-25.251305831557502"/>
    <x v="1"/>
    <x v="0"/>
    <x v="1"/>
    <x v="1"/>
    <x v="0"/>
    <x v="1"/>
  </r>
  <r>
    <x v="12"/>
    <s v="AL"/>
    <n v="6438"/>
    <n v="58.04"/>
    <n v="-10.69"/>
    <n v="70.38"/>
    <n v="5.72"/>
    <n v="-5.4293732460243218"/>
    <n v="0.82466609832338733"/>
    <n v="9.2200000000000006"/>
    <n v="2.77"/>
    <n v="4.1100000000000003"/>
    <n v="10.146853146853147"/>
    <s v="NO"/>
    <n v="-1.7035356791952807"/>
    <n v="-1.4281828652777082"/>
    <n v="-1.252054793451461"/>
    <n v="-1.56602639490545"/>
    <n v="1.9228906320431773"/>
    <n v="-1.104237296995848"/>
    <x v="0"/>
    <x v="0"/>
    <x v="0"/>
    <x v="0"/>
    <x v="0"/>
    <x v="0"/>
  </r>
  <r>
    <x v="12"/>
    <s v="GATX"/>
    <n v="5681"/>
    <n v="157.27000000000001"/>
    <n v="-27.31"/>
    <n v="71.459999999999994"/>
    <n v="7.9"/>
    <n v="-5.7586964481874778"/>
    <n v="2.2008116428771345"/>
    <n v="11.84"/>
    <n v="2.54"/>
    <n v="5.09"/>
    <n v="19.907594936708861"/>
    <s v="NO"/>
    <n v="-1.7331745502452418"/>
    <n v="-0.30495204819576294"/>
    <n v="-0.56645143017094812"/>
    <n v="-1.6737455936578249"/>
    <n v="3.0292112696570594"/>
    <n v="0.22065011263832923"/>
    <x v="0"/>
    <x v="0"/>
    <x v="0"/>
    <x v="0"/>
    <x v="1"/>
    <x v="0"/>
  </r>
  <r>
    <x v="13"/>
    <s v="FLGZY"/>
    <n v="8435"/>
    <n v="10.99"/>
    <n v="3.66"/>
    <n v="103.22"/>
    <n v="11.57"/>
    <n v="3.0027322404371586"/>
    <n v="0.1064716140282891"/>
    <n v="11.32"/>
    <n v="5.35"/>
    <n v="1.75"/>
    <n v="0.94987035436473644"/>
    <s v="YES"/>
    <n v="-1.0241492346538366"/>
    <n v="-0.93063933134158305"/>
    <n v="-0.87011147149503809"/>
    <n v="-1.0233644391218222"/>
    <n v="-0.71464147119537291"/>
    <n v="-1.120474651297986"/>
    <x v="0"/>
    <x v="0"/>
    <x v="0"/>
    <x v="0"/>
    <x v="0"/>
    <x v="0"/>
  </r>
  <r>
    <x v="13"/>
    <s v="CAAP"/>
    <n v="3318"/>
    <n v="20.170000000000002"/>
    <n v="1.9"/>
    <n v="8.93"/>
    <n v="1.05"/>
    <n v="10.615789473684211"/>
    <n v="2.2586786114221726"/>
    <n v="12.16"/>
    <n v="6.17"/>
    <n v="2.98"/>
    <n v="19.209523809523809"/>
    <s v="NO"/>
    <n v="-0.94924871017452572"/>
    <n v="-0.85498311747180822"/>
    <n v="-0.80879489128901194"/>
    <n v="-0.87899302577474347"/>
    <n v="1.4034525277692262"/>
    <n v="-0.86130264030649062"/>
    <x v="0"/>
    <x v="0"/>
    <x v="0"/>
    <x v="0"/>
    <x v="0"/>
    <x v="0"/>
  </r>
  <r>
    <x v="13"/>
    <s v="ASR"/>
    <n v="9661"/>
    <n v="318.89999999999998"/>
    <n v="1.73"/>
    <n v="9.41"/>
    <n v="2.2799999999999998"/>
    <n v="184.33526011560693"/>
    <n v="33.889479277364501"/>
    <n v="24.22"/>
    <n v="14.12"/>
    <n v="1.5"/>
    <n v="139.86842105263159"/>
    <s v="NO"/>
    <n v="0.75987799998927297"/>
    <n v="0.25692973429037191"/>
    <n v="7.1536010240364198E-2"/>
    <n v="0.52070543289510296"/>
    <n v="-1.1451483815540313"/>
    <n v="0.85129333635357196"/>
    <x v="0"/>
    <x v="0"/>
    <x v="0"/>
    <x v="0"/>
    <x v="0"/>
    <x v="0"/>
  </r>
  <r>
    <x v="13"/>
    <s v="OMAB"/>
    <n v="4791"/>
    <n v="103.7"/>
    <n v="0.45"/>
    <n v="1.48"/>
    <n v="0.65"/>
    <n v="230.44444444444446"/>
    <n v="70.067567567567565"/>
    <n v="45.26"/>
    <n v="19.010000000000002"/>
    <n v="2.4300000000000002"/>
    <n v="159.53846153846155"/>
    <s v="NO"/>
    <n v="1.2135199448390888"/>
    <n v="1.5286927145230194"/>
    <n v="1.6073703525436871"/>
    <n v="1.3816520320014618"/>
    <n v="0.45633732498017809"/>
    <n v="1.1304839552509045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s v="VVX"/>
    <n v="1435"/>
    <n v="44.93"/>
    <n v="6.63"/>
    <n v="32.69"/>
    <n v="1.29"/>
    <n v="6.7767722473604826"/>
    <n v="1.3744264301009483"/>
    <n v="4.0999999999999996"/>
    <n v="3.27"/>
    <n v="3"/>
    <n v="34.829457364341081"/>
    <s v="NO"/>
    <n v="7.9340123485013486E-2"/>
    <n v="-0.12695576527222704"/>
    <n v="-0.50494440108484628"/>
    <n v="0.58279385006569862"/>
    <n v="3.6233060485246305"/>
    <n v="0.79702698970205688"/>
    <x v="0"/>
    <x v="0"/>
    <x v="0"/>
    <x v="0"/>
    <x v="0"/>
    <x v="0"/>
  </r>
  <r>
    <x v="0"/>
    <s v="DCO"/>
    <n v="1047"/>
    <n v="73.900000000000006"/>
    <n v="1.53"/>
    <n v="46.61"/>
    <n v="2.33"/>
    <n v="48.300653594771248"/>
    <n v="1.5854966745333621"/>
    <n v="5.25"/>
    <n v="3.65"/>
    <n v="1.63"/>
    <n v="31.716738197424895"/>
    <s v="NO"/>
    <n v="1.9494450467513706"/>
    <n v="-3.4307740975825965E-2"/>
    <n v="-0.36834452782030308"/>
    <n v="0.60129936477448631"/>
    <n v="0.17373739913008934"/>
    <n v="0.68412748673436108"/>
    <x v="0"/>
    <x v="0"/>
    <x v="0"/>
    <x v="0"/>
    <x v="1"/>
    <x v="0"/>
  </r>
  <r>
    <x v="0"/>
    <s v="ATRO"/>
    <n v="1105"/>
    <n v="33.200000000000003"/>
    <n v="1.1399999999999999"/>
    <n v="7.53"/>
    <n v="-0.1"/>
    <n v="29.122807017543863"/>
    <n v="4.4090305444887123"/>
    <n v="-1.35"/>
    <n v="3.5"/>
    <n v="2.48"/>
    <n v="-332"/>
    <s v="NO"/>
    <n v="1.0857351974321874"/>
    <n v="1.2050656026652258"/>
    <n v="-1.1523090178602902"/>
    <n v="0.59399455633680698"/>
    <n v="2.3139807217471406"/>
    <n v="-12.508016346852445"/>
    <x v="0"/>
    <x v="0"/>
    <x v="0"/>
    <x v="0"/>
    <x v="1"/>
    <x v="1"/>
  </r>
  <r>
    <x v="0"/>
    <s v="CDRE"/>
    <n v="1332"/>
    <n v="35.04"/>
    <n v="1.02"/>
    <n v="7.81"/>
    <n v="0.95"/>
    <n v="34.352941176470587"/>
    <n v="4.4865556978233032"/>
    <n v="13.07"/>
    <n v="7.47"/>
    <n v="2.0699999999999998"/>
    <n v="36.88421052631579"/>
    <s v="NO"/>
    <n v="1.3212839785810457"/>
    <n v="1.2390948061137739"/>
    <n v="0.56053461037859065"/>
    <n v="0.78732848632072072"/>
    <n v="1.2816280602495038"/>
    <n v="0.87155366501985387"/>
    <x v="0"/>
    <x v="0"/>
    <x v="0"/>
    <x v="0"/>
    <x v="1"/>
    <x v="0"/>
  </r>
  <r>
    <x v="0"/>
    <s v="MALJF"/>
    <n v="715"/>
    <n v="12.71"/>
    <n v="0.73"/>
    <n v="9.92"/>
    <n v="0.49"/>
    <n v="17.410958904109592"/>
    <n v="1.28125"/>
    <n v="5.0999999999999996"/>
    <n v="3.37"/>
    <n v="1.44"/>
    <n v="25.938775510204085"/>
    <s v="NO"/>
    <n v="0.55827042037451591"/>
    <n v="-0.16785500326315478"/>
    <n v="-0.38616190259393923"/>
    <n v="0.58766372235748476"/>
    <n v="-0.30466993180783958"/>
    <n v="0.4745585919601521"/>
    <x v="0"/>
    <x v="0"/>
    <x v="0"/>
    <x v="0"/>
    <x v="1"/>
    <x v="0"/>
  </r>
  <r>
    <x v="0"/>
    <s v="PKE"/>
    <n v="272"/>
    <n v="14.11"/>
    <n v="0.43"/>
    <n v="5.37"/>
    <n v="0.28999999999999998"/>
    <n v="32.813953488372093"/>
    <n v="2.62756052141527"/>
    <n v="5.35"/>
    <n v="4.62"/>
    <n v="1.1399999999999999"/>
    <n v="48.655172413793103"/>
    <s v="NO"/>
    <n v="1.2519728169321656"/>
    <n v="0.42309996641530589"/>
    <n v="-0.35646627797121244"/>
    <n v="0.64853712600481284"/>
    <n v="-1.0600499280256224"/>
    <n v="1.2984909103301896"/>
    <x v="0"/>
    <x v="0"/>
    <x v="0"/>
    <x v="0"/>
    <x v="1"/>
    <x v="0"/>
  </r>
  <r>
    <x v="0"/>
    <s v="BYRN"/>
    <n v="604"/>
    <n v="29.61"/>
    <n v="-0.04"/>
    <n v="2.5099999999999998"/>
    <n v="0.61"/>
    <n v="-740.25"/>
    <n v="11.796812749003985"/>
    <n v="28.88"/>
    <n v="8.6199999999999992"/>
    <n v="1.25"/>
    <n v="48.540983606557376"/>
    <s v="NO"/>
    <n v="-33.56439450005292"/>
    <n v="4.4478885170036833"/>
    <n v="2.4384859115198321"/>
    <n v="0.84333201767626242"/>
    <n v="-0.7830772627457685"/>
    <n v="1.2943492390485623"/>
    <x v="1"/>
    <x v="1"/>
    <x v="0"/>
    <x v="0"/>
    <x v="1"/>
    <x v="0"/>
  </r>
  <r>
    <x v="0"/>
    <s v="SATL"/>
    <n v="384"/>
    <n v="3.51"/>
    <n v="-0.38"/>
    <n v="-0.85"/>
    <n v="-1.45"/>
    <n v="-9.2368421052631575"/>
    <n v="-4.1294117647058819"/>
    <n v="850.97"/>
    <n v="-42.68"/>
    <n v="-0.74"/>
    <n v="-2.4206896551724135"/>
    <s v="NO"/>
    <n v="-0.64186266556971516"/>
    <n v="-2.5428326984095437"/>
    <n v="100.08839009590967"/>
    <n v="-1.6549124680100784"/>
    <n v="-5.793764570990394"/>
    <n v="-0.554049949289243"/>
    <x v="0"/>
    <x v="0"/>
    <x v="1"/>
    <x v="0"/>
    <x v="0"/>
    <x v="0"/>
  </r>
  <r>
    <x v="0"/>
    <s v="EVEX"/>
    <n v="1607"/>
    <n v="5.65"/>
    <n v="-0.44"/>
    <n v="0.26"/>
    <n v="-0.55000000000000004"/>
    <n v="-12.840909090909092"/>
    <n v="21.73076923076923"/>
    <n v="-148.97999999999999"/>
    <n v="-41.09"/>
    <n v="4"/>
    <n v="-10.272727272727273"/>
    <s v="NO"/>
    <n v="-0.80417849913180262"/>
    <n v="8.808339436823811"/>
    <n v="-18.688169270072908"/>
    <n v="-1.5774814985706773"/>
    <n v="6.1412393692505738"/>
    <n v="-0.83884632723677677"/>
    <x v="0"/>
    <x v="1"/>
    <x v="1"/>
    <x v="0"/>
    <x v="0"/>
    <x v="0"/>
  </r>
  <r>
    <x v="0"/>
    <s v="AZ"/>
    <n v="330"/>
    <n v="9.06"/>
    <n v="-0.46"/>
    <n v="0.93"/>
    <n v="-0.92"/>
    <n v="-19.695652173913043"/>
    <n v="9.741935483870968"/>
    <n v="-168.27"/>
    <n v="-42.68"/>
    <n v="1.3"/>
    <n v="-9.8478260869565215"/>
    <s v="NO"/>
    <n v="-1.1128945529130092"/>
    <n v="3.5459124033259113"/>
    <n v="-20.979483665962508"/>
    <n v="-1.6549124680100784"/>
    <n v="-0.65718059670947127"/>
    <n v="-0.82343500031921602"/>
    <x v="0"/>
    <x v="1"/>
    <x v="1"/>
    <x v="0"/>
    <x v="1"/>
    <x v="0"/>
  </r>
  <r>
    <x v="0"/>
    <s v="ASLE"/>
    <n v="276"/>
    <n v="5.92"/>
    <n v="-0.78"/>
    <n v="8.67"/>
    <n v="-0.11"/>
    <n v="-7.5897435897435894"/>
    <n v="0.68281430219146477"/>
    <n v="-1.33"/>
    <n v="-0.16"/>
    <n v="1.59"/>
    <n v="-53.81818181818182"/>
    <s v="NO"/>
    <n v="-0.56768253252273715"/>
    <n v="-0.43053478183399191"/>
    <n v="-1.149933367890472"/>
    <n v="0.41575723045743057"/>
    <n v="7.3020066301052108E-2"/>
    <n v="-2.4182564542206433"/>
    <x v="0"/>
    <x v="0"/>
    <x v="0"/>
    <x v="0"/>
    <x v="1"/>
    <x v="0"/>
  </r>
  <r>
    <x v="0"/>
    <s v="RDW"/>
    <n v="1103"/>
    <n v="19.96"/>
    <n v="-1.1499999999999999"/>
    <n v="-0.88"/>
    <n v="-2.23"/>
    <n v="-17.356521739130436"/>
    <n v="-22.681818181818183"/>
    <n v="-192.86"/>
    <n v="-8.7200000000000006"/>
    <n v="-4.6100000000000003"/>
    <n v="-8.9506726457399104"/>
    <s v="NO"/>
    <n v="-1.0075474803296343"/>
    <n v="-10.686300789382994"/>
    <n v="-23.900345303853914"/>
    <n v="-1.1038377194715124E-3"/>
    <n v="-15.538166522199791"/>
    <n v="-0.79089490525517558"/>
    <x v="0"/>
    <x v="1"/>
    <x v="1"/>
    <x v="0"/>
    <x v="0"/>
    <x v="0"/>
  </r>
  <r>
    <x v="0"/>
    <s v="TATT"/>
    <n v="285"/>
    <n v="26.51"/>
    <n v="-1.36"/>
    <n v="10.65"/>
    <n v="1.1399999999999999"/>
    <n v="-19.492647058823529"/>
    <n v="2.4892018779342724"/>
    <n v="12.3"/>
    <n v="5.61"/>
    <n v="1.47"/>
    <n v="23.254385964912284"/>
    <s v="NO"/>
    <n v="-1.1037518414694214"/>
    <n v="0.36236826547226186"/>
    <n v="0.46907208654059224"/>
    <n v="0.6967488616934967"/>
    <n v="-0.22913193218606123"/>
    <n v="0.37719476657677348"/>
    <x v="0"/>
    <x v="0"/>
    <x v="0"/>
    <x v="0"/>
    <x v="1"/>
    <x v="0"/>
  </r>
  <r>
    <x v="0"/>
    <s v="EVTL"/>
    <n v="450"/>
    <n v="6.2"/>
    <n v="-1.76"/>
    <n v="-0.65"/>
    <n v="-13.16"/>
    <n v="-3.5227272727272729"/>
    <n v="-9.5384615384615383"/>
    <n v="879.14"/>
    <n v="-42.12"/>
    <n v="-2.68"/>
    <n v="-0.47112462006079026"/>
    <s v="NO"/>
    <n v="-0.38451691816643191"/>
    <n v="-4.9171028197473952"/>
    <n v="103.43449307839852"/>
    <n v="-1.6276411831760753"/>
    <n v="-10.678555213198722"/>
    <n v="-0.48333848716740896"/>
    <x v="0"/>
    <x v="1"/>
    <x v="1"/>
    <x v="0"/>
    <x v="0"/>
    <x v="0"/>
  </r>
  <r>
    <x v="0"/>
    <s v="NPK"/>
    <n v="612"/>
    <n v="94.94"/>
    <n v="-10.75"/>
    <n v="51.89"/>
    <n v="5.96"/>
    <n v="-8.8316279069767436"/>
    <n v="1.8296396222778954"/>
    <n v="12.14"/>
    <n v="6.88"/>
    <n v="1.24"/>
    <n v="15.929530201342281"/>
    <s v="NO"/>
    <n v="-0.62361309345354521"/>
    <n v="7.2857349088175913E-2"/>
    <n v="0.45006688678204704"/>
    <n v="0.75859623979918189"/>
    <n v="-0.8082565959530279"/>
    <n v="0.1115194741165132"/>
    <x v="0"/>
    <x v="0"/>
    <x v="0"/>
    <x v="0"/>
    <x v="1"/>
    <x v="0"/>
  </r>
  <r>
    <x v="1"/>
    <s v="RLGT"/>
    <n v="280"/>
    <n v="5.95"/>
    <n v="0.12"/>
    <n v="4.7300000000000004"/>
    <n v="0.35"/>
    <n v="49.583333333333336"/>
    <n v="1.2579281183932347"/>
    <n v="8.18"/>
    <n v="3.4"/>
    <n v="1.9"/>
    <n v="17"/>
    <s v="NO"/>
    <n v="1.3387714720262516"/>
    <n v="-1.0254642543118753"/>
    <n v="0.65343304412319025"/>
    <n v="0.20554173946599305"/>
    <n v="-0.74998389483795103"/>
    <n v="0.94279842684676674"/>
    <x v="0"/>
    <x v="0"/>
    <x v="0"/>
    <x v="0"/>
    <x v="1"/>
    <x v="0"/>
  </r>
  <r>
    <x v="1"/>
    <s v="FWRD"/>
    <n v="511"/>
    <n v="19.53"/>
    <n v="-1.4"/>
    <n v="5.08"/>
    <n v="-28.54"/>
    <n v="-13.950000000000001"/>
    <n v="3.8444881889763782"/>
    <n v="-140.72"/>
    <n v="1.28"/>
    <n v="18.13"/>
    <n v="-0.68430273300630695"/>
    <s v="NO"/>
    <n v="-0.2747109214296547"/>
    <n v="1.3561284144055568"/>
    <n v="-1.4128882132025149"/>
    <n v="-1.3145111244918162"/>
    <n v="1.41332865490493"/>
    <n v="-1.3842783646539538"/>
    <x v="0"/>
    <x v="0"/>
    <x v="0"/>
    <x v="0"/>
    <x v="1"/>
    <x v="0"/>
  </r>
  <r>
    <x v="1"/>
    <s v="CGJTF"/>
    <n v="1055"/>
    <n v="70.7"/>
    <n v="-1.57"/>
    <n v="35.130000000000003"/>
    <n v="5.36"/>
    <n v="-45.031847133757964"/>
    <n v="2.0125249074864788"/>
    <n v="15.82"/>
    <n v="4.66"/>
    <n v="2.5499999999999998"/>
    <n v="13.190298507462686"/>
    <s v="NO"/>
    <n v="-1.064060550596597"/>
    <n v="-0.3306641600936821"/>
    <n v="0.75945516907932453"/>
    <n v="1.1089693850258233"/>
    <n v="-0.66334476006697907"/>
    <n v="0.44147993780718658"/>
    <x v="0"/>
    <x v="0"/>
    <x v="0"/>
    <x v="0"/>
    <x v="1"/>
    <x v="0"/>
  </r>
  <r>
    <x v="2"/>
    <s v="AMWD"/>
    <n v="836"/>
    <n v="55.96"/>
    <n v="4.29"/>
    <n v="61.43"/>
    <n v="6.5"/>
    <n v="13.044289044289044"/>
    <n v="0.9109555591730425"/>
    <n v="10.89"/>
    <n v="5.72"/>
    <n v="1.71"/>
    <n v="8.6092307692307699"/>
    <s v="NO"/>
    <n v="0.17489966263681089"/>
    <n v="-0.92552222648915128"/>
    <n v="0.24447128944442539"/>
    <n v="0.27712178638472346"/>
    <n v="-0.55382854952365557"/>
    <n v="-0.59782910700036751"/>
    <x v="0"/>
    <x v="0"/>
    <x v="0"/>
    <x v="0"/>
    <x v="1"/>
    <x v="0"/>
  </r>
  <r>
    <x v="2"/>
    <s v="APOG"/>
    <n v="834"/>
    <n v="39.86"/>
    <n v="4.12"/>
    <n v="22.78"/>
    <n v="3.89"/>
    <n v="9.6747572815533971"/>
    <n v="1.7497805092186127"/>
    <n v="17.739999999999998"/>
    <n v="8.52"/>
    <n v="2.41"/>
    <n v="10.246786632390744"/>
    <s v="NO"/>
    <n v="-0.29661102825574343"/>
    <n v="0.57695534780753732"/>
    <n v="1.6740320612566426"/>
    <n v="1.3680757433298565"/>
    <n v="0.97936912994861136"/>
    <n v="-0.43034086637968549"/>
    <x v="0"/>
    <x v="0"/>
    <x v="0"/>
    <x v="0"/>
    <x v="1"/>
    <x v="0"/>
  </r>
  <r>
    <x v="2"/>
    <s v="ROCK"/>
    <n v="1728"/>
    <n v="60.44"/>
    <n v="3.54"/>
    <n v="34.229999999999997"/>
    <n v="4.34"/>
    <n v="17.073446327683616"/>
    <n v="1.7657026000584284"/>
    <n v="13.7"/>
    <n v="7.4"/>
    <n v="1.43"/>
    <n v="13.926267281105991"/>
    <s v="NO"/>
    <n v="0.73871412357121213"/>
    <n v="0.60547450954853965"/>
    <n v="0.83090424839221078"/>
    <n v="0.93169416055180354"/>
    <n v="-1.1671076213125622"/>
    <n v="-5.4005772038565908E-2"/>
    <x v="0"/>
    <x v="0"/>
    <x v="0"/>
    <x v="0"/>
    <x v="1"/>
    <x v="0"/>
  </r>
  <r>
    <x v="2"/>
    <s v="IIIN"/>
    <n v="680"/>
    <n v="36.31"/>
    <n v="2.1"/>
    <n v="17.59"/>
    <n v="1.1599999999999999"/>
    <n v="17.290476190476191"/>
    <n v="2.0642410460488914"/>
    <n v="6.61"/>
    <n v="4.22"/>
    <n v="1.24"/>
    <n v="31.301724137931039"/>
    <s v="NO"/>
    <n v="0.76908389235670127"/>
    <n v="1.1402074358184198"/>
    <n v="-0.64874332418423042"/>
    <n v="-0.30731783340731217"/>
    <n v="-1.5832612771693202"/>
    <n v="1.7231456304879047"/>
    <x v="0"/>
    <x v="0"/>
    <x v="0"/>
    <x v="0"/>
    <x v="1"/>
    <x v="0"/>
  </r>
  <r>
    <x v="2"/>
    <s v="MBC"/>
    <n v="1293"/>
    <n v="10.6"/>
    <n v="1.24"/>
    <n v="10.27"/>
    <n v="0.77"/>
    <n v="8.5483870967741939"/>
    <n v="1.0321324245374879"/>
    <n v="8.02"/>
    <n v="5.92"/>
    <n v="2.2599999999999998"/>
    <n v="13.766233766233766"/>
    <s v="NO"/>
    <n v="-0.45422805679944578"/>
    <n v="-0.70847393444233342"/>
    <n v="-0.35448336969441641"/>
    <n v="0.35504706902366162"/>
    <n v="0.65082677006169631"/>
    <n v="-7.0373904845082727E-2"/>
    <x v="0"/>
    <x v="0"/>
    <x v="0"/>
    <x v="0"/>
    <x v="1"/>
    <x v="0"/>
  </r>
  <r>
    <x v="2"/>
    <s v="JBI"/>
    <n v="1143"/>
    <n v="8.49"/>
    <n v="1.06"/>
    <n v="3.76"/>
    <n v="0.35"/>
    <n v="8.0094339622641506"/>
    <n v="2.2579787234042556"/>
    <n v="9.51"/>
    <n v="6.04"/>
    <n v="2.41"/>
    <n v="24.25714285714286"/>
    <s v="NO"/>
    <n v="-0.5296457061066665"/>
    <n v="1.4872244332348039"/>
    <n v="-4.352781494986098E-2"/>
    <n v="0.40180223860702452"/>
    <n v="0.97936912994861136"/>
    <n v="1.0026300430979316"/>
    <x v="0"/>
    <x v="0"/>
    <x v="0"/>
    <x v="0"/>
    <x v="1"/>
    <x v="0"/>
  </r>
  <r>
    <x v="2"/>
    <s v="NX"/>
    <n v="790"/>
    <n v="19.02"/>
    <n v="0.83"/>
    <n v="20.69"/>
    <n v="0.28999999999999998"/>
    <n v="22.91566265060241"/>
    <n v="0.91928467858869012"/>
    <n v="1.56"/>
    <n v="1.98"/>
    <n v="2.2799999999999998"/>
    <n v="65.58620689655173"/>
    <s v="NO"/>
    <n v="1.5562364527053782"/>
    <n v="-0.91060336274413534"/>
    <n v="-1.7026530902647705"/>
    <n v="-1.1800809989634187"/>
    <n v="0.69463241804661835"/>
    <n v="5.2297421546215803"/>
    <x v="0"/>
    <x v="0"/>
    <x v="0"/>
    <x v="0"/>
    <x v="1"/>
    <x v="1"/>
  </r>
  <r>
    <x v="2"/>
    <s v="JELD"/>
    <n v="311"/>
    <n v="3.83"/>
    <n v="-1.74"/>
    <n v="5.31"/>
    <n v="-4.13"/>
    <n v="-2.2011494252873565"/>
    <n v="0.72128060263653493"/>
    <n v="-55.39"/>
    <n v="0.27"/>
    <n v="5.35"/>
    <n v="-0.92736077481840196"/>
    <s v="NO"/>
    <n v="-1.9584493401082483"/>
    <n v="-1.2652622027336822"/>
    <n v="-13.587833521608681"/>
    <n v="-1.846342165526339"/>
    <n v="7.4187993837321304"/>
    <n v="-1.5732260233221351"/>
    <x v="0"/>
    <x v="0"/>
    <x v="1"/>
    <x v="0"/>
    <x v="0"/>
    <x v="0"/>
  </r>
  <r>
    <x v="3"/>
    <s v="CVEO"/>
    <n v="293"/>
    <n v="23.24"/>
    <n v="3.09"/>
    <n v="16.3"/>
    <n v="-1.55"/>
    <n v="7.5210355987055015"/>
    <n v="1.4257668711656439"/>
    <n v="-8.86"/>
    <n v="0.2"/>
    <n v="1.92"/>
    <n v="-14.993548387096773"/>
    <s v="NO"/>
    <n v="-0.36544270862110795"/>
    <n v="-0.14391241539557109"/>
    <n v="-0.74177300401988777"/>
    <n v="-1.4091682108468131"/>
    <n v="-0.53051866413070081"/>
    <n v="-1.2759476385126178"/>
    <x v="0"/>
    <x v="0"/>
    <x v="0"/>
    <x v="0"/>
    <x v="1"/>
    <x v="0"/>
  </r>
  <r>
    <x v="3"/>
    <s v="DLX"/>
    <n v="638"/>
    <n v="15.35"/>
    <n v="2.66"/>
    <n v="13.91"/>
    <n v="1.24"/>
    <n v="5.7706766917293226"/>
    <n v="1.1035226455787204"/>
    <n v="9.1300000000000008"/>
    <n v="5.24"/>
    <n v="4.1399999999999997"/>
    <n v="12.379032258064516"/>
    <s v="NO"/>
    <n v="-0.60107440965187942"/>
    <n v="-0.82946313829909635"/>
    <n v="0.58760083917424"/>
    <n v="0.66998776012716765"/>
    <n v="2.1239626232990672"/>
    <n v="0.17305092619463489"/>
    <x v="0"/>
    <x v="0"/>
    <x v="0"/>
    <x v="0"/>
    <x v="1"/>
    <x v="0"/>
  </r>
  <r>
    <x v="3"/>
    <s v="EBF"/>
    <n v="486"/>
    <n v="18.649999999999999"/>
    <n v="2.2999999999999998"/>
    <n v="11.62"/>
    <n v="1.54"/>
    <n v="8.1086956521739122"/>
    <n v="1.6049913941480207"/>
    <n v="12.34"/>
    <n v="8.4499999999999993"/>
    <n v="1.1599999999999999"/>
    <n v="12.110389610389609"/>
    <s v="NO"/>
    <n v="-0.28633245444711636"/>
    <n v="0.23737448297730626"/>
    <n v="0.8248042875707462"/>
    <n v="1.9942120987832146"/>
    <n v="-1.4392600057733242"/>
    <n v="0.15883002331572027"/>
    <x v="0"/>
    <x v="0"/>
    <x v="0"/>
    <x v="0"/>
    <x v="1"/>
    <x v="0"/>
  </r>
  <r>
    <x v="3"/>
    <s v="CLNFF"/>
    <n v="338"/>
    <n v="30.93"/>
    <n v="2.2400000000000002"/>
    <n v="19.13"/>
    <n v="-0.01"/>
    <n v="13.808035714285714"/>
    <n v="1.616832200731835"/>
    <n v="0.01"/>
    <n v="2.2000000000000002"/>
    <n v="2.41"/>
    <n v="-3093"/>
    <s v="NO"/>
    <n v="0.48090744603033625"/>
    <n v="0.26256492199451387"/>
    <n v="-8.6322976830787546E-2"/>
    <n v="-0.58410631760316989"/>
    <n v="5.5380358770464433E-2"/>
    <n v="-164.21370598740143"/>
    <x v="0"/>
    <x v="0"/>
    <x v="0"/>
    <x v="0"/>
    <x v="1"/>
    <x v="1"/>
  </r>
  <r>
    <x v="3"/>
    <s v="VSTS"/>
    <n v="812"/>
    <n v="6.38"/>
    <n v="2.11"/>
    <n v="6.65"/>
    <n v="-0.19"/>
    <n v="3.0236966824644549"/>
    <n v="0.95939849624060147"/>
    <n v="-2.73"/>
    <n v="2.21"/>
    <n v="3.31"/>
    <n v="-33.578947368421055"/>
    <s v="NO"/>
    <n v="-0.97087032390743155"/>
    <n v="-1.1360765914545234"/>
    <n v="-0.28879570225335061"/>
    <n v="-0.57998100813695175"/>
    <n v="1.131521421241992"/>
    <n v="-2.2597867875338498"/>
    <x v="0"/>
    <x v="0"/>
    <x v="0"/>
    <x v="0"/>
    <x v="1"/>
    <x v="0"/>
  </r>
  <r>
    <x v="3"/>
    <s v="TILE"/>
    <n v="1177"/>
    <n v="20.85"/>
    <n v="1.89"/>
    <n v="8.75"/>
    <n v="1.46"/>
    <n v="11.031746031746033"/>
    <n v="2.382857142857143"/>
    <n v="18.22"/>
    <n v="6.65"/>
    <n v="2.3199999999999998"/>
    <n v="14.28082191780822"/>
    <s v="NO"/>
    <n v="0.10716589060206537"/>
    <n v="1.8922262506952823"/>
    <n v="1.259307800521356"/>
    <n v="1.2516563948639361"/>
    <n v="-5.2233747476688693E-2"/>
    <n v="0.27372431622192306"/>
    <x v="0"/>
    <x v="0"/>
    <x v="0"/>
    <x v="0"/>
    <x v="1"/>
    <x v="0"/>
  </r>
  <r>
    <x v="3"/>
    <s v="MLKN"/>
    <n v="1143"/>
    <n v="17.440000000000001"/>
    <n v="1.82"/>
    <n v="18.510000000000002"/>
    <n v="0.43"/>
    <n v="9.5824175824175821"/>
    <n v="0.94219340896812531"/>
    <n v="2.41"/>
    <n v="1.48"/>
    <n v="3.11"/>
    <n v="40.558139534883722"/>
    <s v="NO"/>
    <n v="-8.7941367975846868E-2"/>
    <n v="-1.1726791403311754"/>
    <n v="9.1025395802114425E-2"/>
    <n v="-0.88112859917088149"/>
    <n v="0.89237896291498564"/>
    <n v="1.6647438917996371"/>
    <x v="0"/>
    <x v="0"/>
    <x v="0"/>
    <x v="0"/>
    <x v="1"/>
    <x v="0"/>
  </r>
  <r>
    <x v="3"/>
    <s v="KBRLF"/>
    <n v="265"/>
    <n v="25.89"/>
    <n v="1.58"/>
    <n v="13.69"/>
    <n v="0.64"/>
    <n v="16.38607594936709"/>
    <n v="1.8911614317019723"/>
    <n v="9.69"/>
    <n v="5.33"/>
    <n v="2.29"/>
    <n v="40.453125"/>
    <s v="NO"/>
    <n v="0.82796084376316004"/>
    <n v="0.8461800426769972"/>
    <n v="0.62898212612191706"/>
    <n v="0.70711554532313148"/>
    <n v="-8.8105116225739383E-2"/>
    <n v="1.6591848284328146"/>
    <x v="0"/>
    <x v="0"/>
    <x v="0"/>
    <x v="0"/>
    <x v="1"/>
    <x v="0"/>
  </r>
  <r>
    <x v="3"/>
    <s v="CIX"/>
    <n v="316"/>
    <n v="23.95"/>
    <n v="1.56"/>
    <n v="11.98"/>
    <n v="1.46"/>
    <n v="15.352564102564102"/>
    <n v="1.9991652754590983"/>
    <n v="11.35"/>
    <n v="6.97"/>
    <n v="1.1000000000000001"/>
    <n v="16.404109589041095"/>
    <s v="NO"/>
    <n v="0.68883043255032628"/>
    <n v="1.0759502209608736"/>
    <n v="0.7516480838596743"/>
    <n v="1.3836662977829188"/>
    <n v="-1.5110027432714259"/>
    <n v="0.38612295440516303"/>
    <x v="0"/>
    <x v="0"/>
    <x v="0"/>
    <x v="0"/>
    <x v="1"/>
    <x v="0"/>
  </r>
  <r>
    <x v="3"/>
    <s v="LQDT"/>
    <n v="730"/>
    <n v="24.78"/>
    <n v="1.48"/>
    <n v="6.29"/>
    <n v="0.79"/>
    <n v="16.743243243243246"/>
    <n v="3.9395866454689985"/>
    <n v="14.01"/>
    <n v="5.82"/>
    <n v="1.83"/>
    <n v="31.367088607594937"/>
    <s v="NO"/>
    <n v="0.87604237531258722"/>
    <n v="5.2040529682633432"/>
    <n v="0.94820919686114058"/>
    <n v="0.90925570916782417"/>
    <n v="-0.63813277037785343"/>
    <n v="1.1782051991408968"/>
    <x v="0"/>
    <x v="1"/>
    <x v="0"/>
    <x v="0"/>
    <x v="1"/>
    <x v="0"/>
  </r>
  <r>
    <x v="3"/>
    <s v="ACCO"/>
    <n v="323"/>
    <n v="3.81"/>
    <n v="1.1499999999999999"/>
    <n v="6.73"/>
    <n v="-1.1399999999999999"/>
    <n v="3.31304347826087"/>
    <n v="0.56612184249628528"/>
    <n v="-15.9"/>
    <n v="3.35"/>
    <n v="3.74"/>
    <n v="-3.3421052631578951"/>
    <s v="NO"/>
    <n v="-0.93191872523268027"/>
    <n v="-1.9727435442430048"/>
    <n v="-1.2619948970764001"/>
    <n v="-0.10969572898807517"/>
    <n v="1.6456777066450554"/>
    <n v="-0.65916529773832722"/>
    <x v="0"/>
    <x v="0"/>
    <x v="0"/>
    <x v="0"/>
    <x v="1"/>
    <x v="0"/>
  </r>
  <r>
    <x v="3"/>
    <s v="HCSG"/>
    <n v="1028"/>
    <n v="14.63"/>
    <n v="1.06"/>
    <n v="7.05"/>
    <n v="0.55000000000000004"/>
    <n v="13.80188679245283"/>
    <n v="2.075177304964539"/>
    <n v="8.3699999999999992"/>
    <n v="3.87"/>
    <n v="1.6"/>
    <n v="26.599999999999998"/>
    <s v="NO"/>
    <n v="0.48007968384669897"/>
    <n v="1.2376601838994106"/>
    <n v="0.5314405211738209"/>
    <n v="0.10482036325527204"/>
    <n v="-0.91314659745391047"/>
    <n v="0.92585396343603765"/>
    <x v="0"/>
    <x v="0"/>
    <x v="0"/>
    <x v="0"/>
    <x v="1"/>
    <x v="0"/>
  </r>
  <r>
    <x v="3"/>
    <s v="SCS"/>
    <n v="1182"/>
    <n v="10.57"/>
    <n v="0.89"/>
    <n v="8.3699999999999992"/>
    <n v="1.02"/>
    <n v="11.876404494382022"/>
    <n v="1.2628434886499404"/>
    <n v="13.13"/>
    <n v="3.07"/>
    <n v="2.4500000000000002"/>
    <n v="10.362745098039216"/>
    <s v="NO"/>
    <n v="0.22087303349013993"/>
    <n v="-0.49051984477028221"/>
    <n v="0.88318146022907662"/>
    <n v="-0.22520439404218531"/>
    <n v="0.10320885043586571"/>
    <n v="6.6316481284677917E-2"/>
    <x v="0"/>
    <x v="0"/>
    <x v="0"/>
    <x v="0"/>
    <x v="1"/>
    <x v="0"/>
  </r>
  <r>
    <x v="3"/>
    <s v="PBI"/>
    <n v="1867"/>
    <n v="10.53"/>
    <n v="0.83"/>
    <n v="-2.94"/>
    <n v="0.57999999999999996"/>
    <n v="12.686746987951807"/>
    <n v="-3.5816326530612241"/>
    <n v="-22.8"/>
    <n v="4.09"/>
    <n v="-6.1"/>
    <n v="18.155172413793103"/>
    <s v="NO"/>
    <n v="0.32996059228528241"/>
    <n v="-10.796784029923579"/>
    <n v="-1.7718714683959935"/>
    <n v="0.19557717151207268"/>
    <n v="-10.120131243043646"/>
    <n v="0.47881744867552367"/>
    <x v="0"/>
    <x v="1"/>
    <x v="0"/>
    <x v="0"/>
    <x v="0"/>
    <x v="0"/>
  </r>
  <r>
    <x v="3"/>
    <s v="BV"/>
    <n v="1485"/>
    <n v="16.940000000000001"/>
    <n v="0.67"/>
    <n v="13.21"/>
    <n v="-0.02"/>
    <n v="25.28358208955224"/>
    <n v="1.2823618470855414"/>
    <n v="2.56"/>
    <n v="3.12"/>
    <n v="2.64"/>
    <n v="-847"/>
    <s v="NO"/>
    <n v="2.0257349107774587"/>
    <n v="-0.44899598282661207"/>
    <n v="0.1021096690916708"/>
    <n v="-0.20457784671109414"/>
    <n v="0.33039418584652147"/>
    <n v="-45.31915166967449"/>
    <x v="0"/>
    <x v="0"/>
    <x v="0"/>
    <x v="0"/>
    <x v="1"/>
    <x v="1"/>
  </r>
  <r>
    <x v="3"/>
    <s v="QUAD"/>
    <n v="295"/>
    <n v="5.52"/>
    <n v="0.53"/>
    <n v="1.69"/>
    <n v="-0.36"/>
    <n v="10.415094339622641"/>
    <n v="3.2662721893491122"/>
    <n v="-19.25"/>
    <n v="5.87"/>
    <n v="14.26"/>
    <n v="-15.333333333333332"/>
    <s v="NO"/>
    <n v="2.4152808782431468E-2"/>
    <n v="3.7716263319329109"/>
    <n v="-1.5095436672098259"/>
    <n v="0.92988225649891521"/>
    <n v="14.224571014645578"/>
    <n v="-1.2939345395574391"/>
    <x v="0"/>
    <x v="1"/>
    <x v="0"/>
    <x v="0"/>
    <x v="0"/>
    <x v="0"/>
  </r>
  <r>
    <x v="3"/>
    <s v="MEG"/>
    <n v="668"/>
    <n v="22.12"/>
    <n v="0.48"/>
    <n v="12.65"/>
    <n v="-2.33"/>
    <n v="46.083333333333336"/>
    <n v="1.748616600790514"/>
    <n v="-14.32"/>
    <n v="-1.98"/>
    <n v="2.23"/>
    <n v="-9.4935622317596575"/>
    <s v="NO"/>
    <n v="4.8257782316389344"/>
    <n v="0.54292647250200221"/>
    <n v="-1.1452405517597397"/>
    <n v="-2.3084856744823843"/>
    <n v="-0.15984785372384128"/>
    <n v="-0.98479964087571903"/>
    <x v="1"/>
    <x v="0"/>
    <x v="0"/>
    <x v="0"/>
    <x v="1"/>
    <x v="0"/>
  </r>
  <r>
    <x v="3"/>
    <s v="BDIMF"/>
    <n v="431"/>
    <n v="6.85"/>
    <n v="0.18"/>
    <n v="3.68"/>
    <n v="0.34"/>
    <n v="38.055555555555557"/>
    <n v="1.8614130434782608"/>
    <n v="10.14"/>
    <n v="5.69"/>
    <n v="2.33"/>
    <n v="20.147058823529409"/>
    <s v="NO"/>
    <n v="3.7450861942883642"/>
    <n v="0.78289255004672509"/>
    <n v="0.66223494599058619"/>
    <n v="0.85562668610698744"/>
    <n v="-4.0276624560338106E-2"/>
    <n v="0.58426021222723123"/>
    <x v="1"/>
    <x v="0"/>
    <x v="0"/>
    <x v="0"/>
    <x v="1"/>
    <x v="0"/>
  </r>
  <r>
    <x v="3"/>
    <s v="CECO"/>
    <n v="948"/>
    <n v="27.2"/>
    <n v="-0.16"/>
    <n v="8.11"/>
    <n v="1.3"/>
    <n v="-170"/>
    <n v="3.3538840937114673"/>
    <n v="18.54"/>
    <n v="3.09"/>
    <n v="3.35"/>
    <n v="20.923076923076923"/>
    <s v="NO"/>
    <n v="-24.263160725281779"/>
    <n v="3.958014169484295"/>
    <n v="1.2829542502057429"/>
    <n v="-0.21695377510974886"/>
    <n v="1.1793499129073932"/>
    <n v="0.62533960941698685"/>
    <x v="1"/>
    <x v="1"/>
    <x v="0"/>
    <x v="0"/>
    <x v="1"/>
    <x v="0"/>
  </r>
  <r>
    <x v="3"/>
    <s v="NVRI"/>
    <n v="656"/>
    <n v="8.5"/>
    <n v="-0.61"/>
    <n v="5.08"/>
    <n v="-1.49"/>
    <n v="-13.934426229508198"/>
    <n v="1.6732283464566928"/>
    <n v="-22.93"/>
    <n v="1.37"/>
    <n v="6.58"/>
    <n v="-5.7046979865771812"/>
    <s v="NO"/>
    <n v="-3.2537571833459089"/>
    <n v="0.38254354504115051"/>
    <n v="-1.7814778385802756"/>
    <n v="-0.92650700329928182"/>
    <n v="5.0415006148885428"/>
    <n v="-0.78423181994903091"/>
    <x v="1"/>
    <x v="0"/>
    <x v="0"/>
    <x v="0"/>
    <x v="0"/>
    <x v="0"/>
  </r>
  <r>
    <x v="3"/>
    <s v="NL"/>
    <n v="356"/>
    <n v="6.74"/>
    <n v="-0.63"/>
    <n v="8.14"/>
    <n v="1.25"/>
    <n v="-10.698412698412699"/>
    <n v="0.82800982800982803"/>
    <n v="15.68"/>
    <n v="2.35"/>
    <n v="1.31"/>
    <n v="5.3920000000000003"/>
    <s v="NO"/>
    <n v="-2.8181280276044212"/>
    <n v="-1.4155962518080378"/>
    <n v="1.0716141061515347"/>
    <n v="-0.52222667560989677"/>
    <n v="-1.2599031620280694"/>
    <n v="-0.19681554144835789"/>
    <x v="0"/>
    <x v="0"/>
    <x v="0"/>
    <x v="0"/>
    <x v="1"/>
    <x v="0"/>
  </r>
  <r>
    <x v="3"/>
    <s v="PRSU"/>
    <n v="788"/>
    <n v="29.21"/>
    <n v="-1.07"/>
    <n v="17.62"/>
    <n v="-6.51"/>
    <n v="-27.299065420560748"/>
    <n v="1.6577752553916003"/>
    <n v="-12.87"/>
    <n v="1.1100000000000001"/>
    <n v="1.67"/>
    <n v="-4.4869431643625193"/>
    <s v="NO"/>
    <n v="-5.0528925799203686"/>
    <n v="0.34966823833403143"/>
    <n v="-1.0380925766273612"/>
    <n v="-1.0337650494209556"/>
    <n v="-0.82944673703945848"/>
    <n v="-0.71976858893590756"/>
    <x v="1"/>
    <x v="0"/>
    <x v="0"/>
    <x v="0"/>
    <x v="1"/>
    <x v="0"/>
  </r>
  <r>
    <x v="4"/>
    <s v="TPC"/>
    <n v="1944"/>
    <n v="40.56"/>
    <n v="7.08"/>
    <n v="22.01"/>
    <n v="-2.89"/>
    <n v="5.7288135593220337"/>
    <n v="1.8427987278509768"/>
    <n v="-8.6"/>
    <n v="-1.21"/>
    <n v="3.84"/>
    <n v="-14.034602076124568"/>
    <s v="NO"/>
    <n v="-0.23461885042087316"/>
    <n v="-0.37598247934874446"/>
    <n v="-1.2434647877032983"/>
    <n v="-1.0992343038211958"/>
    <n v="0.92516320290425913"/>
    <n v="-1.2012453203478091"/>
    <x v="0"/>
    <x v="0"/>
    <x v="0"/>
    <x v="0"/>
    <x v="1"/>
    <x v="0"/>
  </r>
  <r>
    <x v="4"/>
    <s v="NWPX"/>
    <n v="382"/>
    <n v="39.5"/>
    <n v="6.66"/>
    <n v="37.840000000000003"/>
    <n v="3.27"/>
    <n v="5.9309309309309306"/>
    <n v="1.0438689217758985"/>
    <n v="9.1300000000000008"/>
    <n v="4.6900000000000004"/>
    <n v="1.54"/>
    <n v="12.079510703363914"/>
    <s v="NO"/>
    <n v="-0.22290411733054644"/>
    <n v="-1.109629438248015"/>
    <n v="0.26274656113387107"/>
    <n v="0.50127254433023694"/>
    <n v="-1.758643565881068"/>
    <n v="-0.15301508584280776"/>
    <x v="0"/>
    <x v="0"/>
    <x v="0"/>
    <x v="0"/>
    <x v="1"/>
    <x v="0"/>
  </r>
  <r>
    <x v="4"/>
    <s v="MTRX"/>
    <n v="337"/>
    <n v="12.5"/>
    <n v="4.2300000000000004"/>
    <n v="5.46"/>
    <n v="-0.82"/>
    <n v="2.9550827423167845"/>
    <n v="2.2893772893772892"/>
    <n v="-14.26"/>
    <n v="-3.19"/>
    <n v="4.07"/>
    <n v="-15.24390243902439"/>
    <s v="NO"/>
    <n v="-0.39538442899027143"/>
    <n v="3.4104866350561355E-2"/>
    <n v="-1.7242970626281926"/>
    <n v="-1.6363535511669307"/>
    <n v="1.1935438797827924"/>
    <n v="-1.2497870883065172"/>
    <x v="0"/>
    <x v="0"/>
    <x v="0"/>
    <x v="0"/>
    <x v="1"/>
    <x v="0"/>
  </r>
  <r>
    <x v="4"/>
    <s v="LMB"/>
    <n v="1491"/>
    <n v="137.46"/>
    <n v="3.16"/>
    <n v="13.86"/>
    <n v="2.78"/>
    <n v="43.5"/>
    <n v="9.9177489177489182"/>
    <n v="23.38"/>
    <n v="8.7100000000000009"/>
    <n v="2.09"/>
    <n v="49.446043165467636"/>
    <s v="NO"/>
    <n v="1.9546010277879189"/>
    <n v="7.0391403575191012"/>
    <n v="1.4733225183211049"/>
    <n v="1.5917873798503657"/>
    <n v="-1.1168636863889247"/>
    <n v="1.3468914748792205"/>
    <x v="0"/>
    <x v="1"/>
    <x v="0"/>
    <x v="0"/>
    <x v="1"/>
    <x v="0"/>
  </r>
  <r>
    <x v="4"/>
    <s v="BWMN"/>
    <n v="432"/>
    <n v="27.22"/>
    <n v="1.8"/>
    <n v="14.08"/>
    <n v="0.15"/>
    <n v="15.122222222222222"/>
    <n v="1.9332386363636362"/>
    <n v="1.38"/>
    <n v="0.17"/>
    <n v="2.17"/>
    <n v="181.46666666666667"/>
    <s v="NO"/>
    <n v="0.3098235912074086"/>
    <n v="-0.29293267529974437"/>
    <n v="-0.39563685417848443"/>
    <n v="-0.72487846476204709"/>
    <n v="-1.0235138857355219"/>
    <n v="6.6462485811584049"/>
    <x v="0"/>
    <x v="0"/>
    <x v="0"/>
    <x v="0"/>
    <x v="1"/>
    <x v="1"/>
  </r>
  <r>
    <x v="4"/>
    <s v="BADFF"/>
    <n v="1114"/>
    <n v="33"/>
    <n v="1.27"/>
    <n v="7.54"/>
    <n v="1.39"/>
    <n v="25.984251968503937"/>
    <n v="4.3766578249336874"/>
    <n v="19.89"/>
    <n v="9.1"/>
    <n v="2.61"/>
    <n v="23.741007194244606"/>
    <s v="NO"/>
    <n v="0.93938738517512343"/>
    <n v="1.9508277193926571"/>
    <n v="1.1768375996836704"/>
    <n v="1.6975835952366465"/>
    <n v="-0.51008998214180723"/>
    <n v="0.31508173615286406"/>
    <x v="0"/>
    <x v="0"/>
    <x v="0"/>
    <x v="0"/>
    <x v="1"/>
    <x v="0"/>
  </r>
  <r>
    <x v="4"/>
    <s v="CTRI"/>
    <n v="1851"/>
    <n v="22.64"/>
    <n v="1.19"/>
    <n v="6.06"/>
    <n v="0"/>
    <n v="19.025210084033613"/>
    <n v="3.7359735973597363"/>
    <n v="0.13"/>
    <n v="2.97"/>
    <n v="3.71"/>
    <s v=""/>
    <s v="NO"/>
    <n v="0.53604096526063838"/>
    <n v="1.3624956386514031"/>
    <n v="-0.50182772761596117"/>
    <n v="3.4684107242022637E-2"/>
    <n v="0.77346977684247986"/>
    <e v="#VALUE!"/>
    <x v="0"/>
    <x v="0"/>
    <x v="0"/>
    <x v="0"/>
    <x v="1"/>
    <x v="1"/>
  </r>
  <r>
    <x v="4"/>
    <s v="BIRDF"/>
    <n v="1092"/>
    <n v="20.222000000000001"/>
    <n v="0.79"/>
    <n v="5.37"/>
    <n v="1.26"/>
    <n v="25.597468354430379"/>
    <n v="3.7657355679702049"/>
    <n v="26.31"/>
    <n v="5.72"/>
    <n v="3.97"/>
    <n v="16.049206349206351"/>
    <s v="NO"/>
    <n v="0.91696938732310607"/>
    <n v="1.3898256732341507"/>
    <n v="1.7222339256585504"/>
    <n v="0.78068306188887671"/>
    <n v="1.0768566289660388"/>
    <n v="6.3299791376617244E-3"/>
    <x v="0"/>
    <x v="0"/>
    <x v="0"/>
    <x v="0"/>
    <x v="1"/>
    <x v="0"/>
  </r>
  <r>
    <x v="4"/>
    <s v="BBCP"/>
    <n v="373"/>
    <n v="5.875"/>
    <n v="0.76"/>
    <n v="4.91"/>
    <n v="0.28000000000000003"/>
    <n v="7.7302631578947372"/>
    <n v="1.1965376782077393"/>
    <n v="5.62"/>
    <n v="3.51"/>
    <n v="3.5"/>
    <n v="20.982142857142854"/>
    <s v="NO"/>
    <n v="-0.11861473036735115"/>
    <n v="-0.96943568402397007"/>
    <n v="-3.5437411478563503E-2"/>
    <n v="0.18117117469995025"/>
    <n v="0.52842655012729789"/>
    <n v="0.20433989186860649"/>
    <x v="0"/>
    <x v="0"/>
    <x v="0"/>
    <x v="0"/>
    <x v="1"/>
    <x v="0"/>
  </r>
  <r>
    <x v="4"/>
    <s v="ORN"/>
    <n v="326"/>
    <n v="8.9"/>
    <n v="0.3"/>
    <n v="3.81"/>
    <n v="0.08"/>
    <n v="29.666666666666668"/>
    <n v="2.3359580052493438"/>
    <n v="2.25"/>
    <n v="2.0099999999999998"/>
    <n v="2.76"/>
    <n v="111.25"/>
    <s v="NO"/>
    <n v="1.1528203274971063"/>
    <n v="7.6879338254132318E-2"/>
    <n v="-0.32172800626600068"/>
    <n v="-0.22573734601651566"/>
    <n v="-0.33505910591667726"/>
    <n v="3.827725371594429"/>
    <x v="0"/>
    <x v="0"/>
    <x v="0"/>
    <x v="0"/>
    <x v="1"/>
    <x v="1"/>
  </r>
  <r>
    <x v="4"/>
    <s v="GLDD"/>
    <n v="759"/>
    <n v="11.48"/>
    <n v="-0.62"/>
    <n v="7.1"/>
    <n v="1.02"/>
    <n v="-18.516129032258064"/>
    <n v="1.6169014084507043"/>
    <n v="15.67"/>
    <n v="5.82"/>
    <n v="2.57"/>
    <n v="11.254901960784315"/>
    <s v="NO"/>
    <n v="-1.6398569503910636"/>
    <n v="-0.58342108051408004"/>
    <n v="0.81833721095874901"/>
    <n v="0.80781029660330794"/>
    <n v="-0.55676488246850864"/>
    <n v="-0.18611518856917803"/>
    <x v="0"/>
    <x v="0"/>
    <x v="0"/>
    <x v="0"/>
    <x v="1"/>
    <x v="0"/>
  </r>
  <r>
    <x v="4"/>
    <s v="AEGXF"/>
    <n v="856"/>
    <n v="14.252000000000001"/>
    <n v="-0.85"/>
    <n v="10.11"/>
    <n v="-1.02"/>
    <n v="-16.767058823529414"/>
    <n v="1.4096933728981209"/>
    <n v="-9.26"/>
    <n v="-2.89"/>
    <n v="3.7"/>
    <n v="-13.972549019607843"/>
    <s v="NO"/>
    <n v="-1.5384807525492141"/>
    <n v="-0.77369755284832054"/>
    <n v="-1.2995335688782859"/>
    <n v="-1.5549718470236378"/>
    <n v="0.76180105176080481"/>
    <n v="-1.1987544874968701"/>
    <x v="0"/>
    <x v="0"/>
    <x v="0"/>
    <x v="0"/>
    <x v="1"/>
    <x v="0"/>
  </r>
  <r>
    <x v="4"/>
    <s v="CDLR"/>
    <n v="1761"/>
    <n v="21.39"/>
    <n v="-3.13"/>
    <n v="7.37"/>
    <n v="0.31"/>
    <n v="-6.8338658146964857"/>
    <n v="2.9023066485753053"/>
    <n v="7.49"/>
    <n v="2.99"/>
    <n v="2.0099999999999998"/>
    <n v="69"/>
    <s v="NO"/>
    <n v="-0.96275238290493448"/>
    <n v="0.59695000866015457"/>
    <n v="0.12342413518390162"/>
    <n v="4.0109554184908858E-2"/>
    <n v="-1.2102134870423276"/>
    <n v="2.1317946010640045"/>
    <x v="0"/>
    <x v="0"/>
    <x v="0"/>
    <x v="0"/>
    <x v="1"/>
    <x v="0"/>
  </r>
  <r>
    <x v="4"/>
    <s v="AMRC"/>
    <n v="725"/>
    <n v="15.97"/>
    <n v="-7.1"/>
    <n v="19.239999999999998"/>
    <n v="1.03"/>
    <n v="-2.2492957746478877"/>
    <n v="0.83004158004158013"/>
    <n v="5.39"/>
    <n v="1.39"/>
    <n v="4.12"/>
    <n v="15.504854368932039"/>
    <s v="NO"/>
    <n v="-0.69703047129704698"/>
    <n v="-1.3059843342601882"/>
    <n v="-5.4976532191059253E-2"/>
    <n v="-0.39392620124598821"/>
    <n v="1.2518875051911689"/>
    <n v="-1.5520512539175595E-2"/>
    <x v="0"/>
    <x v="0"/>
    <x v="0"/>
    <x v="0"/>
    <x v="1"/>
    <x v="0"/>
  </r>
  <r>
    <x v="5"/>
    <s v="PLPC"/>
    <n v="705"/>
    <n v="150.87"/>
    <n v="9.3000000000000007"/>
    <n v="88.21"/>
    <n v="7.89"/>
    <n v="16.22258064516129"/>
    <n v="1.7103503004194538"/>
    <n v="9.1999999999999993"/>
    <n v="5.58"/>
    <n v="1.36"/>
    <n v="19.121673003802282"/>
    <s v="NO"/>
    <n v="0.72769736108547378"/>
    <n v="-0.2163311779841211"/>
    <n v="0.88313333584465414"/>
    <n v="0.74856402491103224"/>
    <n v="-0.25997203947904823"/>
    <n v="0.94665861544067875"/>
    <x v="0"/>
    <x v="0"/>
    <x v="0"/>
    <x v="0"/>
    <x v="1"/>
    <x v="0"/>
  </r>
  <r>
    <x v="5"/>
    <s v="ALNT"/>
    <n v="515"/>
    <n v="33.36"/>
    <n v="2.34"/>
    <n v="16.07"/>
    <n v="0.57999999999999996"/>
    <n v="14.256410256410257"/>
    <n v="2.0759178593652767"/>
    <n v="3.64"/>
    <n v="2.91"/>
    <n v="2.15"/>
    <n v="57.517241379310349"/>
    <s v="NO"/>
    <n v="0.59969950830647489"/>
    <n v="-7.9115197983422231E-2"/>
    <n v="0.74716265137292914"/>
    <n v="0.56380377982250129"/>
    <n v="2.1657513210144326"/>
    <n v="3.3332191380013154"/>
    <x v="0"/>
    <x v="0"/>
    <x v="0"/>
    <x v="0"/>
    <x v="1"/>
    <x v="1"/>
  </r>
  <r>
    <x v="5"/>
    <s v="PSIX"/>
    <n v="975"/>
    <n v="47.9"/>
    <n v="2.11"/>
    <n v="3.67"/>
    <n v="3.53"/>
    <n v="22.70142180094787"/>
    <n v="13.051771117166213"/>
    <n v="185.56"/>
    <n v="17.23"/>
    <n v="4.42"/>
    <n v="13.569405099150142"/>
    <s v="NO"/>
    <n v="1.1494704491054135"/>
    <n v="4.0406772295941495"/>
    <n v="5.1960451907787242"/>
    <n v="1.5547276411212891"/>
    <n v="9.1358678125589936"/>
    <n v="0.60154526115118323"/>
    <x v="0"/>
    <x v="1"/>
    <x v="1"/>
    <x v="0"/>
    <x v="0"/>
    <x v="0"/>
  </r>
  <r>
    <x v="5"/>
    <s v="THR"/>
    <n v="858"/>
    <n v="27.86"/>
    <n v="1.57"/>
    <n v="14.9"/>
    <n v="1.57"/>
    <n v="17.745222929936304"/>
    <n v="1.8697986577181207"/>
    <n v="11.03"/>
    <n v="6.72"/>
    <n v="1.53"/>
    <n v="17.745222929936304"/>
    <s v="NO"/>
    <n v="0.82682149809656635"/>
    <n v="-0.15648215125612139"/>
    <n v="0.92788627695675063"/>
    <n v="0.82745042169040506"/>
    <n v="0.26201906341195391"/>
    <n v="0.86110235083646325"/>
    <x v="0"/>
    <x v="0"/>
    <x v="0"/>
    <x v="0"/>
    <x v="1"/>
    <x v="0"/>
  </r>
  <r>
    <x v="5"/>
    <s v="LYTS"/>
    <n v="488"/>
    <n v="16.350000000000001"/>
    <n v="1.23"/>
    <n v="7.66"/>
    <n v="0.72"/>
    <n v="13.29268292682927"/>
    <n v="2.1344647519582245"/>
    <n v="10.42"/>
    <n v="6.39"/>
    <n v="1.73"/>
    <n v="22.708333333333336"/>
    <s v="NO"/>
    <n v="0.53696078049501428"/>
    <n v="-5.7139590338413551E-2"/>
    <n v="0.91296862991938521"/>
    <n v="0.80461488578058649"/>
    <n v="0.87612624328372124"/>
    <n v="1.1695953321622179"/>
    <x v="0"/>
    <x v="0"/>
    <x v="0"/>
    <x v="0"/>
    <x v="1"/>
    <x v="0"/>
  </r>
  <r>
    <x v="5"/>
    <s v="VICR"/>
    <n v="1973"/>
    <n v="45.84"/>
    <n v="1.05"/>
    <n v="12.82"/>
    <n v="0.51"/>
    <n v="43.657142857142858"/>
    <n v="3.5756630265210609"/>
    <n v="4.16"/>
    <n v="1.8"/>
    <n v="1.1499999999999999"/>
    <n v="89.882352941176478"/>
    <s v="NO"/>
    <n v="2.5136896001895037"/>
    <n v="0.48381495767924365"/>
    <n v="0.75987933409330632"/>
    <n v="0.48699334085311202"/>
    <n v="-0.90478457834440462"/>
    <n v="5.3449434288465989"/>
    <x v="0"/>
    <x v="0"/>
    <x v="0"/>
    <x v="0"/>
    <x v="1"/>
    <x v="1"/>
  </r>
  <r>
    <x v="5"/>
    <s v="HMDPF"/>
    <n v="869"/>
    <n v="81.017499999999998"/>
    <n v="0.84"/>
    <n v="19.29"/>
    <n v="5.26"/>
    <n v="96.449404761904759"/>
    <n v="4.199974079834111"/>
    <n v="31.67"/>
    <n v="16.899999999999999"/>
    <n v="1.55"/>
    <n v="15.402566539923955"/>
    <s v="NO"/>
    <n v="5.9504701588919895"/>
    <n v="0.71815044754779167"/>
    <n v="1.4326407603194133"/>
    <n v="1.5318921052114707"/>
    <n v="0.3234297813991307"/>
    <n v="0.71548941958228673"/>
    <x v="1"/>
    <x v="0"/>
    <x v="0"/>
    <x v="0"/>
    <x v="1"/>
    <x v="0"/>
  </r>
  <r>
    <x v="5"/>
    <s v="AMSC"/>
    <n v="1116"/>
    <n v="33.090000000000003"/>
    <n v="0.7"/>
    <n v="4.99"/>
    <n v="0.16"/>
    <n v="47.271428571428579"/>
    <n v="6.6312625250501007"/>
    <n v="3.53"/>
    <n v="1.7"/>
    <n v="1.58"/>
    <n v="206.81250000000003"/>
    <s v="NO"/>
    <n v="2.7489798951736795"/>
    <n v="1.6307358739918509"/>
    <n v="0.74447258387438786"/>
    <n v="0.48007348148650036"/>
    <n v="0.41554585837989588"/>
    <n v="12.612992442695983"/>
    <x v="1"/>
    <x v="0"/>
    <x v="0"/>
    <x v="0"/>
    <x v="1"/>
    <x v="1"/>
  </r>
  <r>
    <x v="5"/>
    <s v="ARRY"/>
    <n v="1007"/>
    <n v="7.49"/>
    <n v="0.56999999999999995"/>
    <n v="-0.64"/>
    <n v="-1.86"/>
    <n v="13.140350877192985"/>
    <n v="-11.703125"/>
    <n v="-49.11"/>
    <n v="4.93"/>
    <n v="-14.58"/>
    <n v="-4.0268817204301071"/>
    <s v="NO"/>
    <n v="0.52704395163093287"/>
    <n v="-5.2510863511995662"/>
    <n v="-0.54284698997302328"/>
    <n v="0.70358493902805652"/>
    <n v="-49.204314275258923"/>
    <n v="-0.49219042877421942"/>
    <x v="0"/>
    <x v="1"/>
    <x v="0"/>
    <x v="0"/>
    <x v="0"/>
    <x v="0"/>
  </r>
  <r>
    <x v="5"/>
    <s v="SHLS"/>
    <n v="789"/>
    <n v="5.0999999999999996"/>
    <n v="0.44"/>
    <n v="3.34"/>
    <n v="0.11"/>
    <n v="11.59090909090909"/>
    <n v="1.5269461077844311"/>
    <n v="3.43"/>
    <n v="3.97"/>
    <n v="1.41"/>
    <n v="46.36363636363636"/>
    <s v="NO"/>
    <n v="0.42617516488433943"/>
    <n v="-0.28517204039877864"/>
    <n v="0.74202706796662299"/>
    <n v="0.63715428910858485"/>
    <n v="-0.10644524451110692"/>
    <n v="2.6399424255872459"/>
    <x v="0"/>
    <x v="0"/>
    <x v="0"/>
    <x v="0"/>
    <x v="1"/>
    <x v="0"/>
  </r>
  <r>
    <x v="5"/>
    <s v="EBFI"/>
    <n v="440"/>
    <n v="4.3499999999999996"/>
    <n v="-0.01"/>
    <n v="0.01"/>
    <n v="0"/>
    <n v="-434.99999999999994"/>
    <n v="434.99999999999994"/>
    <n v="223.37"/>
    <n v="-39.659999999999997"/>
    <n v="1.17"/>
    <s v=""/>
    <s v="NO"/>
    <n v="-28.646929465975624"/>
    <n v="162.41917203552333"/>
    <n v="6.1206947555046094"/>
    <n v="-2.3819803525440766"/>
    <n v="-0.84337386035722783"/>
    <e v="#VALUE!"/>
    <x v="1"/>
    <x v="1"/>
    <x v="1"/>
    <x v="0"/>
    <x v="1"/>
    <x v="1"/>
  </r>
  <r>
    <x v="5"/>
    <s v="SES"/>
    <n v="333"/>
    <n v="1.05"/>
    <n v="-0.27"/>
    <n v="0.74"/>
    <n v="-0.3"/>
    <n v="-3.8888888888888888"/>
    <n v="1.4189189189189191"/>
    <n v="-31.45"/>
    <n v="-20.100000000000001"/>
    <n v="1.1299999999999999"/>
    <n v="-3.5000000000000004"/>
    <s v="NO"/>
    <n v="-0.58156094700240968"/>
    <n v="-0.32572010388025019"/>
    <n v="-0.11096888066175277"/>
    <n v="-1.0284558604348388"/>
    <n v="-0.96619529633158141"/>
    <n v="-0.45944094316328571"/>
    <x v="0"/>
    <x v="0"/>
    <x v="0"/>
    <x v="0"/>
    <x v="1"/>
    <x v="0"/>
  </r>
  <r>
    <x v="5"/>
    <s v="AMPX"/>
    <n v="324"/>
    <n v="3.15"/>
    <n v="-0.35"/>
    <n v="0.57999999999999996"/>
    <n v="-0.41"/>
    <n v="-9"/>
    <n v="5.431034482758621"/>
    <n v="-67.760000000000005"/>
    <n v="-24.51"/>
    <n v="1.68"/>
    <n v="-7.6829268292682933"/>
    <s v="NO"/>
    <n v="-0.91429469748508174"/>
    <n v="1.1802296323486945"/>
    <n v="-0.99893570677116594"/>
    <n v="-1.3336216585024125"/>
    <n v="0.72259944831577927"/>
    <n v="-0.71943990819643067"/>
    <x v="0"/>
    <x v="0"/>
    <x v="0"/>
    <x v="0"/>
    <x v="1"/>
    <x v="0"/>
  </r>
  <r>
    <x v="5"/>
    <s v="ADSE"/>
    <n v="686"/>
    <n v="10.5"/>
    <n v="-0.36"/>
    <n v="-0.85"/>
    <n v="-1.98"/>
    <n v="-29.166666666666668"/>
    <n v="-12.352941176470589"/>
    <n v="2203.8000000000002"/>
    <n v="-3.94"/>
    <n v="-3.39"/>
    <n v="-5.3030303030303028"/>
    <s v="NO"/>
    <n v="-2.2271463434112775"/>
    <n v="-5.4949952027722873"/>
    <n v="54.552425447651807"/>
    <n v="8.9793413209603476E-2"/>
    <n v="-14.845017561433528"/>
    <n v="-0.57151223483187075"/>
    <x v="0"/>
    <x v="1"/>
    <x v="1"/>
    <x v="0"/>
    <x v="0"/>
    <x v="0"/>
  </r>
  <r>
    <x v="5"/>
    <s v="CHPT"/>
    <n v="321"/>
    <n v="0.78400000000000003"/>
    <n v="-0.37"/>
    <n v="0.3"/>
    <n v="-0.64"/>
    <n v="-2.118918918918919"/>
    <n v="2.6133333333333337"/>
    <n v="-119.13"/>
    <n v="-15.19"/>
    <n v="6.53"/>
    <n v="-1.2250000000000001"/>
    <s v="NO"/>
    <n v="-0.46633575749918588"/>
    <n v="0.12260398941032452"/>
    <n v="-2.2551972285899633"/>
    <n v="-0.68869076553420683"/>
    <n v="15.614698560206142"/>
    <n v="-0.31803334279321815"/>
    <x v="0"/>
    <x v="0"/>
    <x v="0"/>
    <x v="0"/>
    <x v="0"/>
    <x v="0"/>
  </r>
  <r>
    <x v="5"/>
    <s v="HYLN"/>
    <n v="270"/>
    <n v="1.61"/>
    <n v="-0.4"/>
    <n v="1.3"/>
    <n v="-0.31"/>
    <n v="-4.0250000000000004"/>
    <n v="1.2384615384615385"/>
    <n v="-21.13"/>
    <n v="-15.09"/>
    <n v="1.06"/>
    <n v="-5.1935483870967749"/>
    <s v="NO"/>
    <n v="-0.59042179144461138"/>
    <n v="-0.39345487875803992"/>
    <n v="0.1414083610195786"/>
    <n v="-0.68177090616759517"/>
    <n v="-1.1811328092866995"/>
    <n v="-0.56470714691271562"/>
    <x v="0"/>
    <x v="0"/>
    <x v="0"/>
    <x v="0"/>
    <x v="1"/>
    <x v="0"/>
  </r>
  <r>
    <x v="5"/>
    <s v="EAF"/>
    <n v="257"/>
    <n v="1.3"/>
    <n v="-0.41"/>
    <n v="-0.41"/>
    <n v="-0.54"/>
    <n v="-3.1707317073170733"/>
    <n v="-3.1707317073170733"/>
    <n v="412.41"/>
    <n v="-4.21"/>
    <n v="-11.46"/>
    <n v="-2.4074074074074074"/>
    <s v="NO"/>
    <n v="-0.5348088558688423"/>
    <n v="-2.0484479366120527"/>
    <n v="10.743698027543262"/>
    <n v="7.110979291975203E-2"/>
    <n v="-39.624242269259348"/>
    <n v="-0.39152846109707501"/>
    <x v="0"/>
    <x v="0"/>
    <x v="1"/>
    <x v="0"/>
    <x v="0"/>
    <x v="0"/>
  </r>
  <r>
    <x v="5"/>
    <s v="BLDP"/>
    <n v="387"/>
    <n v="1.64"/>
    <n v="-0.45"/>
    <n v="2.1800000000000002"/>
    <n v="-1.01"/>
    <n v="-3.6444444444444439"/>
    <n v="0.75229357798165131"/>
    <n v="-37.81"/>
    <n v="-10.56"/>
    <n v="1.1599999999999999"/>
    <n v="-1.6237623762376237"/>
    <s v="NO"/>
    <n v="-0.56564759371845585"/>
    <n v="-0.57593828438232064"/>
    <n v="-0.26650369239559663"/>
    <n v="-0.36830127686008762"/>
    <n v="-0.87407921935081623"/>
    <n v="-0.34281929037195591"/>
    <x v="0"/>
    <x v="0"/>
    <x v="0"/>
    <x v="0"/>
    <x v="1"/>
    <x v="0"/>
  </r>
  <r>
    <x v="5"/>
    <s v="NNE"/>
    <n v="1247"/>
    <n v="31.15"/>
    <n v="-0.78"/>
    <n v="3.54"/>
    <n v="-0.98"/>
    <n v="-39.935897435897431"/>
    <n v="8.7994350282485865"/>
    <n v="-45.55"/>
    <n v="-28.2"/>
    <n v="1.05"/>
    <n v="-31.785714285714285"/>
    <s v="NO"/>
    <n v="-2.9282241454316233"/>
    <n v="2.4445605899892549"/>
    <n v="-0.455786623656595"/>
    <n v="-1.5889644691303821"/>
    <n v="-1.2118381682802879"/>
    <n v="-2.2176013747660095"/>
    <x v="1"/>
    <x v="0"/>
    <x v="0"/>
    <x v="0"/>
    <x v="1"/>
    <x v="0"/>
  </r>
  <r>
    <x v="5"/>
    <s v="EOSE"/>
    <n v="947"/>
    <n v="4.18"/>
    <n v="-0.81"/>
    <n v="-4.1500000000000004"/>
    <n v="-4.6100000000000003"/>
    <n v="-5.1604938271604928"/>
    <n v="-1.0072289156626504"/>
    <n v="215.56"/>
    <n v="-52.92"/>
    <n v="-0.28000000000000003"/>
    <n v="-0.90672451193058556"/>
    <s v="NO"/>
    <n v="-0.66434253226742224"/>
    <n v="-1.236375999355976"/>
    <n v="5.9296999631081757"/>
    <n v="-3.2995537045567813"/>
    <n v="-5.2956509144275419"/>
    <n v="-0.29825023377145643"/>
    <x v="0"/>
    <x v="0"/>
    <x v="1"/>
    <x v="1"/>
    <x v="0"/>
    <x v="0"/>
  </r>
  <r>
    <x v="5"/>
    <s v="PLUG"/>
    <n v="952"/>
    <n v="1.22"/>
    <n v="-1.1000000000000001"/>
    <n v="1.9"/>
    <n v="-2.33"/>
    <n v="-1.1090909090909089"/>
    <n v="0.64210526315789473"/>
    <n v="-82.52"/>
    <n v="-15.13"/>
    <n v="1.96"/>
    <n v="-0.5236051502145922"/>
    <s v="NO"/>
    <n v="-0.40059587164108279"/>
    <n v="-0.61729752765534862"/>
    <n v="-1.3598938547572559"/>
    <n v="-0.68453884991423986"/>
    <n v="1.5823495001362538"/>
    <n v="-0.27443661197120567"/>
    <x v="0"/>
    <x v="0"/>
    <x v="0"/>
    <x v="0"/>
    <x v="1"/>
    <x v="0"/>
  </r>
  <r>
    <x v="5"/>
    <s v="RUN"/>
    <n v="1711"/>
    <n v="8.27"/>
    <n v="-15.83"/>
    <n v="11.51"/>
    <n v="-12.1"/>
    <n v="-0.52242577384712563"/>
    <n v="0.71850564726324928"/>
    <n v="-80.13"/>
    <n v="-1.53"/>
    <n v="7.79"/>
    <n v="-0.6834710743801653"/>
    <s v="NO"/>
    <n v="-0.36240392345534822"/>
    <n v="-0.58862060236231506"/>
    <n v="-1.3014460245616764"/>
    <n v="0.25656202394494415"/>
    <n v="19.483573793398275"/>
    <n v="-0.28437342811063282"/>
    <x v="0"/>
    <x v="0"/>
    <x v="0"/>
    <x v="0"/>
    <x v="0"/>
    <x v="0"/>
  </r>
  <r>
    <x v="6"/>
    <s v="ARCB"/>
    <n v="1444"/>
    <n v="67.27"/>
    <n v="2.48"/>
    <n v="56.22"/>
    <n v="7.55"/>
    <n v="27.125"/>
    <n v="1.196549270722163"/>
    <n v="14.25"/>
    <n v="3.47"/>
    <n v="1.86"/>
    <n v="8.9099337748344372"/>
    <s v="NO"/>
    <n v="2.15150355759322"/>
    <n v="-4.3154569661374841E-2"/>
    <n v="1.0834961407911881"/>
    <n v="0.52679192684740828"/>
    <n v="-0.51877409487930415"/>
    <n v="0.57598486786261915"/>
    <x v="0"/>
    <x v="0"/>
    <x v="0"/>
    <x v="0"/>
    <x v="1"/>
    <x v="0"/>
  </r>
  <r>
    <x v="6"/>
    <s v="MLLGF"/>
    <n v="891"/>
    <n v="10.31"/>
    <n v="1.83"/>
    <n v="8.0399999999999991"/>
    <n v="0.83"/>
    <n v="5.6338797814207648"/>
    <n v="1.2823383084577116"/>
    <n v="10.81"/>
    <n v="5.79"/>
    <n v="2.2999999999999998"/>
    <n v="12.421686746987953"/>
    <s v="NO"/>
    <n v="0.52246823432015765"/>
    <n v="0.36874802883559066"/>
    <n v="0.79513509446697939"/>
    <n v="1.2801765455168523"/>
    <n v="0.42738383982284683"/>
    <n v="0.84451578482389489"/>
    <x v="0"/>
    <x v="0"/>
    <x v="0"/>
    <x v="0"/>
    <x v="1"/>
    <x v="0"/>
  </r>
  <r>
    <x v="6"/>
    <s v="HTLD"/>
    <n v="703"/>
    <n v="8.7899999999999991"/>
    <n v="0.14000000000000001"/>
    <n v="10.28"/>
    <n v="-0.37"/>
    <n v="62.78571428571427"/>
    <n v="0.85505836575875482"/>
    <n v="-3.44"/>
    <n v="-1.35"/>
    <n v="1.66"/>
    <n v="-23.756756756756754"/>
    <s v="NO"/>
    <n v="4.8545996565278582"/>
    <n v="-1.6827695464735244"/>
    <n v="-0.39938377475394266"/>
    <n v="-1.0384295653882474"/>
    <n v="-0.94884588338028253"/>
    <n v="-1.9219175848714447"/>
    <x v="1"/>
    <x v="0"/>
    <x v="0"/>
    <x v="0"/>
    <x v="1"/>
    <x v="0"/>
  </r>
  <r>
    <x v="6"/>
    <s v="CVLG"/>
    <n v="603"/>
    <n v="22.89"/>
    <n v="-0.45"/>
    <n v="16.71"/>
    <n v="1.38"/>
    <n v="-50.866666666666667"/>
    <n v="1.3698384201077198"/>
    <n v="8.9499999999999993"/>
    <n v="3.8"/>
    <n v="2.21"/>
    <n v="16.586956521739133"/>
    <s v="NO"/>
    <n v="-3.7602952983408486"/>
    <n v="0.78886608014785531"/>
    <n v="0.63921894732656426"/>
    <n v="0.63395439415814803"/>
    <n v="0.23385153499740705"/>
    <n v="1.1630187435667816"/>
    <x v="1"/>
    <x v="0"/>
    <x v="0"/>
    <x v="0"/>
    <x v="1"/>
    <x v="0"/>
  </r>
  <r>
    <x v="6"/>
    <s v="MRTN"/>
    <n v="1063"/>
    <n v="13.16"/>
    <n v="-1.18"/>
    <n v="9.42"/>
    <n v="0.26"/>
    <n v="-11.152542372881356"/>
    <n v="1.397027600849257"/>
    <n v="2.82"/>
    <n v="1.35"/>
    <n v="1.28"/>
    <n v="50.615384615384613"/>
    <s v="NO"/>
    <n v="-0.74994913446321132"/>
    <n v="0.91941066362908663"/>
    <n v="0.12536626884766944"/>
    <n v="-0.161645741936739"/>
    <n v="-1.7659822815321404"/>
    <n v="3.7650482915432"/>
    <x v="0"/>
    <x v="0"/>
    <x v="0"/>
    <x v="0"/>
    <x v="1"/>
    <x v="1"/>
  </r>
  <r>
    <x v="6"/>
    <s v="WERN"/>
    <n v="1602"/>
    <n v="27.35"/>
    <n v="-1.75"/>
    <n v="23.19"/>
    <n v="0.28999999999999998"/>
    <n v="-15.62857142857143"/>
    <n v="1.1793876670978871"/>
    <n v="1.1299999999999999"/>
    <n v="0.65"/>
    <n v="2.08"/>
    <n v="94.310344827586221"/>
    <s v="NO"/>
    <n v="-1.0892338886107429"/>
    <n v="-0.12555331562941613"/>
    <n v="-1.6299477747653963E-2"/>
    <n v="-0.38896006653527826"/>
    <n v="-4.5695127528228414E-2"/>
    <n v="7.1062422267116077"/>
    <x v="0"/>
    <x v="0"/>
    <x v="0"/>
    <x v="0"/>
    <x v="1"/>
    <x v="1"/>
  </r>
  <r>
    <x v="6"/>
    <s v="FIP"/>
    <n v="701"/>
    <n v="6.44"/>
    <n v="-2.44"/>
    <n v="4.1500000000000004"/>
    <n v="-1.17"/>
    <n v="-2.639344262295082"/>
    <n v="1.5518072289156626"/>
    <n v="-22.4"/>
    <n v="0.18"/>
    <n v="8.6999999999999993"/>
    <n v="-5.5042735042735051"/>
    <s v="NO"/>
    <n v="-0.1046453859793475"/>
    <n v="1.662560752239165"/>
    <n v="-1.9887225649594642"/>
    <n v="-0.54158539876572598"/>
    <n v="14.189681071854141"/>
    <n v="-0.52621688967021274"/>
    <x v="0"/>
    <x v="0"/>
    <x v="0"/>
    <x v="0"/>
    <x v="0"/>
    <x v="0"/>
  </r>
  <r>
    <x v="6"/>
    <s v="ULH"/>
    <n v="634"/>
    <n v="24.69"/>
    <n v="-2.88"/>
    <n v="24.55"/>
    <n v="3.17"/>
    <n v="-8.5729166666666679"/>
    <n v="1.0057026476578412"/>
    <n v="13.57"/>
    <n v="6.28"/>
    <n v="2.78"/>
    <n v="7.7886435331230288"/>
    <s v="NO"/>
    <n v="-0.55441249637702983"/>
    <n v="-0.9594746733660835"/>
    <n v="1.0264945386108211"/>
    <n v="1.43929657273583"/>
    <n v="1.459556132225194"/>
    <n v="0.49024390055253797"/>
    <x v="0"/>
    <x v="0"/>
    <x v="0"/>
    <x v="0"/>
    <x v="1"/>
    <x v="0"/>
  </r>
  <r>
    <x v="6"/>
    <s v="PAMT"/>
    <n v="274"/>
    <n v="12.52"/>
    <n v="-3.5"/>
    <n v="12.37"/>
    <n v="-1.84"/>
    <n v="-3.577142857142857"/>
    <n v="1.0121261115602265"/>
    <n v="-13.77"/>
    <n v="-3.54"/>
    <n v="2.64"/>
    <n v="-6.8043478260869561"/>
    <s v="NO"/>
    <n v="-0.17573088648304644"/>
    <n v="-0.9286334197213002"/>
    <n v="-1.265305172582162"/>
    <n v="-1.7495986666322485"/>
    <n v="1.1585058802745101"/>
    <n v="-0.62562882226417571"/>
    <x v="0"/>
    <x v="0"/>
    <x v="0"/>
    <x v="0"/>
    <x v="1"/>
    <x v="0"/>
  </r>
  <r>
    <x v="7"/>
    <s v="SPLP"/>
    <n v="766"/>
    <n v="39.671500000000002"/>
    <n v="14.44"/>
    <n v="59.36"/>
    <n v="11.38"/>
    <n v="2.7473337950138506"/>
    <n v="0.66832041778975748"/>
    <n v="24.9"/>
    <n v="3.82"/>
    <n v="3.16"/>
    <n v="3.4860720562390157"/>
    <s v="NO"/>
    <e v="#DIV/0!"/>
    <e v="#DIV/0!"/>
    <e v="#DIV/0!"/>
    <e v="#DIV/0!"/>
    <e v="#DIV/0!"/>
    <e v="#DIV/0!"/>
    <x v="0"/>
    <x v="0"/>
    <x v="0"/>
    <x v="0"/>
    <x v="1"/>
    <x v="0"/>
  </r>
  <r>
    <x v="8"/>
    <s v="LNN"/>
    <n v="1515"/>
    <n v="137.22"/>
    <n v="8.11"/>
    <n v="47.53"/>
    <n v="7.03"/>
    <n v="16.919852034525277"/>
    <n v="2.8870187250157793"/>
    <n v="15.38"/>
    <n v="6.81"/>
    <n v="1.58"/>
    <n v="19.519203413940254"/>
    <s v="NO"/>
    <n v="0.36072458922276879"/>
    <n v="0.93416860430346216"/>
    <n v="0.894535104962914"/>
    <n v="1.2006828111374279"/>
    <n v="-0.72881324821507054"/>
    <n v="0.16738228967228541"/>
    <x v="0"/>
    <x v="0"/>
    <x v="0"/>
    <x v="0"/>
    <x v="1"/>
    <x v="0"/>
  </r>
  <r>
    <x v="8"/>
    <s v="AIN"/>
    <n v="1995"/>
    <n v="68.16"/>
    <n v="4.53"/>
    <n v="29.8"/>
    <n v="2.4900000000000002"/>
    <n v="15.046357615894038"/>
    <n v="2.2872483221476507"/>
    <n v="8.31"/>
    <n v="4.78"/>
    <n v="1.88"/>
    <n v="27.37349397590361"/>
    <s v="NO"/>
    <n v="0.1975207226860933"/>
    <n v="0.38901731543616636"/>
    <n v="0.2213935180264463"/>
    <n v="0.46491861869234641"/>
    <n v="-0.38573322042935049"/>
    <n v="0.49278106343750799"/>
    <x v="0"/>
    <x v="0"/>
    <x v="0"/>
    <x v="0"/>
    <x v="1"/>
    <x v="0"/>
  </r>
  <r>
    <x v="8"/>
    <s v="MEC"/>
    <n v="322"/>
    <n v="14.91"/>
    <n v="3.65"/>
    <n v="12.24"/>
    <n v="1.08"/>
    <n v="4.0849315068493155"/>
    <n v="1.2181372549019607"/>
    <n v="9.4"/>
    <n v="1.93"/>
    <n v="1.79"/>
    <n v="13.805555555555555"/>
    <s v="NO"/>
    <n v="-0.7573511498755322"/>
    <n v="-0.58273333025120388"/>
    <n v="0.32517347980307282"/>
    <n v="-0.56805081405074864"/>
    <n v="-0.4886572287650664"/>
    <n v="-6.933087903176606E-2"/>
    <x v="0"/>
    <x v="0"/>
    <x v="0"/>
    <x v="0"/>
    <x v="1"/>
    <x v="0"/>
  </r>
  <r>
    <x v="8"/>
    <s v="HY"/>
    <n v="711"/>
    <n v="41.97"/>
    <n v="3.49"/>
    <n v="28.82"/>
    <n v="5.6"/>
    <n v="12.025787965616045"/>
    <n v="1.4562803608605135"/>
    <n v="21.09"/>
    <n v="6.02"/>
    <n v="4.03"/>
    <n v="7.4946428571428578"/>
    <s v="NO"/>
    <n v="-6.5607174128705537E-2"/>
    <n v="-0.36627713213382118"/>
    <n v="1.4381897671138655"/>
    <n v="0.91435093328934181"/>
    <n v="2.0730069787016454"/>
    <n v="-0.33078838906428637"/>
    <x v="0"/>
    <x v="0"/>
    <x v="0"/>
    <x v="0"/>
    <x v="1"/>
    <x v="0"/>
  </r>
  <r>
    <x v="8"/>
    <s v="TNC"/>
    <n v="1388"/>
    <n v="75.63"/>
    <n v="3.25"/>
    <n v="33.380000000000003"/>
    <n v="3.58"/>
    <n v="23.270769230769229"/>
    <n v="2.265727980826842"/>
    <n v="11.01"/>
    <n v="5.69"/>
    <n v="1.89"/>
    <n v="21.125698324022345"/>
    <s v="NO"/>
    <n v="0.91396575833099081"/>
    <n v="0.36945676067754407"/>
    <n v="0.47846314811533769"/>
    <n v="0.79474394634014167"/>
    <n v="-0.37429721950315981"/>
    <n v="0.23393845660763626"/>
    <x v="0"/>
    <x v="0"/>
    <x v="0"/>
    <x v="0"/>
    <x v="1"/>
    <x v="0"/>
  </r>
  <r>
    <x v="8"/>
    <s v="SXI"/>
    <n v="1822"/>
    <n v="156.59"/>
    <n v="3.24"/>
    <n v="57.3"/>
    <n v="5.05"/>
    <n v="48.330246913580247"/>
    <n v="2.7328097731239094"/>
    <n v="9.2899999999999991"/>
    <n v="5.47"/>
    <n v="2.2599999999999998"/>
    <n v="31.007920792079208"/>
    <s v="NO"/>
    <n v="3.0969472556616675"/>
    <n v="0.79400295345321248"/>
    <n v="0.31470027265130307"/>
    <n v="0.71500595504067443"/>
    <n v="4.8834814765895074E-2"/>
    <n v="0.64335329144371955"/>
    <x v="1"/>
    <x v="0"/>
    <x v="0"/>
    <x v="0"/>
    <x v="1"/>
    <x v="0"/>
  </r>
  <r>
    <x v="8"/>
    <s v="ASTE"/>
    <n v="898"/>
    <n v="40.65"/>
    <n v="3.15"/>
    <n v="28.6"/>
    <n v="0.66"/>
    <n v="12.904761904761905"/>
    <n v="1.4213286713286712"/>
    <n v="2.3199999999999998"/>
    <n v="5.89"/>
    <n v="1.62"/>
    <n v="61.590909090909086"/>
    <s v="NO"/>
    <n v="1.0962013389014306E-2"/>
    <n v="-0.3980458864859141"/>
    <n v="-0.34892021687446473"/>
    <n v="0.86723302933965685"/>
    <n v="-0.68306924451030782"/>
    <n v="1.9103890360479721"/>
    <x v="0"/>
    <x v="0"/>
    <x v="0"/>
    <x v="0"/>
    <x v="1"/>
    <x v="0"/>
  </r>
  <r>
    <x v="8"/>
    <s v="HLIO"/>
    <n v="1011"/>
    <n v="32.76"/>
    <n v="2.78"/>
    <n v="26.46"/>
    <n v="1.1100000000000001"/>
    <n v="11.784172661870503"/>
    <n v="1.2380952380952379"/>
    <n v="4.2699999999999996"/>
    <n v="3.36"/>
    <n v="1.73"/>
    <n v="29.513513513513509"/>
    <s v="NO"/>
    <n v="-8.6654769143434687E-2"/>
    <n v="-0.56459285481430721"/>
    <n v="-0.16325881736582096"/>
    <n v="-4.9753870604213331E-2"/>
    <n v="-0.55727323432221054"/>
    <n v="0.58144085108837495"/>
    <x v="0"/>
    <x v="0"/>
    <x v="0"/>
    <x v="0"/>
    <x v="1"/>
    <x v="0"/>
  </r>
  <r>
    <x v="8"/>
    <s v="PRLB"/>
    <n v="879"/>
    <n v="39.200000000000003"/>
    <n v="2.71"/>
    <n v="27.63"/>
    <n v="0.6"/>
    <n v="14.464944649446496"/>
    <n v="1.4187477379659792"/>
    <n v="2.2200000000000002"/>
    <n v="1.92"/>
    <n v="1.1200000000000001"/>
    <n v="65.333333333333343"/>
    <s v="NO"/>
    <n v="0.14687266991627379"/>
    <n v="-0.40039178275292531"/>
    <n v="-0.3584413142851644"/>
    <n v="-0.57167526820072445"/>
    <n v="-1.2548692908198416"/>
    <n v="2.0654355357651513"/>
    <x v="0"/>
    <x v="0"/>
    <x v="0"/>
    <x v="0"/>
    <x v="1"/>
    <x v="0"/>
  </r>
  <r>
    <x v="8"/>
    <s v="BLBD"/>
    <n v="1222"/>
    <n v="40.869999999999997"/>
    <n v="2.71"/>
    <n v="6.01"/>
    <n v="3.22"/>
    <n v="15.081180811808117"/>
    <n v="6.8003327787021632"/>
    <n v="73.02"/>
    <n v="16.600000000000001"/>
    <n v="2.86"/>
    <n v="12.69254658385093"/>
    <s v="NO"/>
    <n v="0.20055424131407729"/>
    <n v="4.4911100437407354"/>
    <n v="6.3824956524902099"/>
    <n v="4.7490234239637088"/>
    <n v="0.73499487033733568"/>
    <n v="-0.1154422052839799"/>
    <x v="0"/>
    <x v="1"/>
    <x v="1"/>
    <x v="1"/>
    <x v="1"/>
    <x v="0"/>
  </r>
  <r>
    <x v="8"/>
    <s v="GRC"/>
    <n v="960"/>
    <n v="37.159999999999997"/>
    <n v="2.54"/>
    <n v="14.53"/>
    <n v="1.69"/>
    <n v="14.629921259842519"/>
    <n v="2.5574673090158293"/>
    <n v="12.06"/>
    <n v="6.54"/>
    <n v="2.25"/>
    <n v="21.988165680473372"/>
    <s v="NO"/>
    <n v="0.1612441142274966"/>
    <n v="0.63462834969720761"/>
    <n v="0.57843467092768441"/>
    <n v="1.1028225490880821"/>
    <n v="3.7398813839704642E-2"/>
    <n v="0.2696699867805592"/>
    <x v="0"/>
    <x v="0"/>
    <x v="0"/>
    <x v="0"/>
    <x v="1"/>
    <x v="0"/>
  </r>
  <r>
    <x v="8"/>
    <s v="PLOW"/>
    <n v="638"/>
    <n v="28.47"/>
    <n v="2.2799999999999998"/>
    <n v="11.15"/>
    <n v="2.72"/>
    <n v="12.486842105263159"/>
    <n v="2.5533632286995513"/>
    <n v="27.16"/>
    <n v="5.85"/>
    <n v="2.4"/>
    <n v="10.46691176470588"/>
    <s v="NO"/>
    <n v="-2.5443820811579889E-2"/>
    <n v="0.63089801445002847"/>
    <n v="2.0161203799433363"/>
    <n v="0.85273521273975372"/>
    <n v="0.20893882773256467"/>
    <n v="-0.20764898516887731"/>
    <x v="0"/>
    <x v="0"/>
    <x v="0"/>
    <x v="0"/>
    <x v="1"/>
    <x v="0"/>
  </r>
  <r>
    <x v="8"/>
    <s v="HI"/>
    <n v="1377"/>
    <n v="21.42"/>
    <n v="2.1800000000000002"/>
    <n v="18.850000000000001"/>
    <n v="-3.85"/>
    <n v="9.8256880733944953"/>
    <n v="1.136339522546419"/>
    <n v="-17.21"/>
    <n v="3.74"/>
    <n v="3.62"/>
    <n v="-5.5636363636363644"/>
    <s v="NO"/>
    <n v="-0.2572623002965273"/>
    <n v="-0.6570820126916912"/>
    <n v="-2.2083905411841127"/>
    <n v="8.7975387094866117E-2"/>
    <n v="1.6041309407278272"/>
    <n v="-0.87178544187299667"/>
    <x v="0"/>
    <x v="0"/>
    <x v="0"/>
    <x v="0"/>
    <x v="1"/>
    <x v="0"/>
  </r>
  <r>
    <x v="8"/>
    <s v="KMT"/>
    <n v="1641"/>
    <n v="22.17"/>
    <n v="1.96"/>
    <n v="16.22"/>
    <n v="1.38"/>
    <n v="11.311224489795919"/>
    <n v="1.366831072749692"/>
    <n v="8.81"/>
    <n v="4.59"/>
    <n v="2.0099999999999998"/>
    <n v="16.065217391304351"/>
    <s v="NO"/>
    <n v="-0.12785423554505726"/>
    <n v="-0.44758056836323118"/>
    <n v="0.26899900507994473"/>
    <n v="0.3960539898428066"/>
    <n v="-0.23706520838887182"/>
    <n v="2.4285620724123727E-2"/>
    <x v="0"/>
    <x v="0"/>
    <x v="0"/>
    <x v="0"/>
    <x v="1"/>
    <x v="0"/>
  </r>
  <r>
    <x v="8"/>
    <s v="OFLX"/>
    <n v="330"/>
    <n v="31.87"/>
    <n v="1.74"/>
    <n v="8.25"/>
    <n v="1.72"/>
    <n v="18.316091954022991"/>
    <n v="3.8630303030303033"/>
    <n v="21.15"/>
    <n v="12.73"/>
    <n v="1.23"/>
    <n v="18.529069767441861"/>
    <s v="NO"/>
    <n v="0.48235385654738927"/>
    <n v="1.821298024427596"/>
    <n v="1.4439024255602853"/>
    <n v="3.3463596679230854"/>
    <n v="-1.1290732806317443"/>
    <n v="0.12636161799067561"/>
    <x v="0"/>
    <x v="0"/>
    <x v="0"/>
    <x v="1"/>
    <x v="1"/>
    <x v="0"/>
  </r>
  <r>
    <x v="8"/>
    <s v="GHM"/>
    <n v="430"/>
    <n v="44.66"/>
    <n v="1.72"/>
    <n v="10.51"/>
    <n v="0.83"/>
    <n v="25.965116279069765"/>
    <n v="4.2492863939105607"/>
    <n v="8.41"/>
    <n v="2.78"/>
    <n v="2.31"/>
    <n v="53.807228915662648"/>
    <s v="NO"/>
    <n v="1.148675748230821"/>
    <n v="2.1723790460473196"/>
    <n v="0.23091461543714595"/>
    <n v="-0.25997221130280812"/>
    <n v="0.10601481939684876"/>
    <n v="1.5879156102911416"/>
    <x v="0"/>
    <x v="0"/>
    <x v="0"/>
    <x v="0"/>
    <x v="1"/>
    <x v="0"/>
  </r>
  <r>
    <x v="8"/>
    <s v="REVG"/>
    <n v="1937"/>
    <n v="45.94"/>
    <n v="1.69"/>
    <n v="8.3000000000000007"/>
    <n v="1.77"/>
    <n v="27.183431952662723"/>
    <n v="5.5349397590361438"/>
    <n v="20.13"/>
    <n v="5.75"/>
    <n v="2.9"/>
    <n v="25.954802259887003"/>
    <s v="NO"/>
    <n v="1.2548056766764426"/>
    <n v="3.3409521961780522"/>
    <n v="1.3467872319711485"/>
    <n v="0.81649067123999619"/>
    <n v="0.78073887404209852"/>
    <n v="0.43400547561060621"/>
    <x v="0"/>
    <x v="1"/>
    <x v="0"/>
    <x v="0"/>
    <x v="1"/>
    <x v="0"/>
  </r>
  <r>
    <x v="8"/>
    <s v="WNC"/>
    <n v="363"/>
    <n v="9.92"/>
    <n v="1.66"/>
    <n v="9.58"/>
    <n v="-1.63"/>
    <n v="5.9759036144578319"/>
    <n v="1.0354906054279749"/>
    <n v="-14.75"/>
    <n v="-3.16"/>
    <n v="3.5"/>
    <n v="-6.0858895705521476"/>
    <s v="NO"/>
    <n v="-0.5926247667031781"/>
    <n v="-0.74874695128333235"/>
    <n v="-1.9741715448809005"/>
    <n v="-2.4128979763884164"/>
    <n v="1.4668989296135391"/>
    <n v="-0.89342209406770123"/>
    <x v="0"/>
    <x v="0"/>
    <x v="0"/>
    <x v="0"/>
    <x v="1"/>
    <x v="0"/>
  </r>
  <r>
    <x v="8"/>
    <s v="LXFR"/>
    <n v="311"/>
    <n v="12.18"/>
    <n v="1.58"/>
    <n v="8.4700000000000006"/>
    <n v="0.78"/>
    <n v="7.7088607594936702"/>
    <n v="1.4380165289256197"/>
    <n v="9.61"/>
    <n v="6.03"/>
    <n v="1.7"/>
    <n v="15.615384615384615"/>
    <s v="NO"/>
    <n v="-0.44166338469978939"/>
    <n v="-0.38287773708423278"/>
    <n v="0.34516778436554207"/>
    <n v="0.91797538743931784"/>
    <n v="-0.59158123710078259"/>
    <n v="5.6493056388948696E-3"/>
    <x v="0"/>
    <x v="0"/>
    <x v="0"/>
    <x v="0"/>
    <x v="1"/>
    <x v="0"/>
  </r>
  <r>
    <x v="8"/>
    <s v="AGGZF"/>
    <n v="515"/>
    <n v="28.81"/>
    <n v="1.51"/>
    <n v="10.67"/>
    <n v="-1.42"/>
    <n v="19.079470198675494"/>
    <n v="2.7000937207122773"/>
    <n v="-12.61"/>
    <n v="4.4800000000000004"/>
    <n v="6"/>
    <n v="-20.288732394366196"/>
    <s v="NO"/>
    <n v="0.5488532706466801"/>
    <n v="0.76426624411650212"/>
    <n v="-1.7704200602919273"/>
    <n v="0.35618499419307331"/>
    <n v="4.3258991611612085"/>
    <n v="-1.4818377634892832"/>
    <x v="0"/>
    <x v="0"/>
    <x v="0"/>
    <x v="0"/>
    <x v="0"/>
    <x v="0"/>
  </r>
  <r>
    <x v="8"/>
    <s v="SISXF"/>
    <n v="1009"/>
    <n v="14.1335"/>
    <n v="1.08"/>
    <n v="5.97"/>
    <n v="0.48"/>
    <n v="13.086574074074074"/>
    <n v="2.3674204355108879"/>
    <n v="8.64"/>
    <n v="6.23"/>
    <n v="1.9"/>
    <n v="29.444791666666667"/>
    <s v="NO"/>
    <n v="2.6800037094921625E-2"/>
    <n v="0.46188841864862895"/>
    <n v="0.25281313948175527"/>
    <n v="0.99046447043883334"/>
    <n v="-0.36286121857696912"/>
    <n v="0.57859374420858389"/>
    <x v="0"/>
    <x v="0"/>
    <x v="0"/>
    <x v="0"/>
    <x v="1"/>
    <x v="0"/>
  </r>
  <r>
    <x v="8"/>
    <s v="MTW"/>
    <n v="373"/>
    <n v="11.26"/>
    <n v="1.01"/>
    <n v="18.38"/>
    <n v="1.27"/>
    <n v="11.148514851485148"/>
    <n v="0.61262241566920572"/>
    <n v="7.21"/>
    <n v="1.87"/>
    <n v="2.71"/>
    <n v="8.8661417322834648"/>
    <s v="NO"/>
    <n v="-0.14202819935889266"/>
    <n v="-1.1331059285946206"/>
    <n v="0.11666144650874975"/>
    <n v="-0.58979753895060327"/>
    <n v="0.56345485644447568"/>
    <n v="-0.27396797369126802"/>
    <x v="0"/>
    <x v="0"/>
    <x v="0"/>
    <x v="0"/>
    <x v="1"/>
    <x v="0"/>
  </r>
  <r>
    <x v="8"/>
    <s v="CMCO"/>
    <n v="417"/>
    <n v="16.149999999999999"/>
    <n v="0.84"/>
    <n v="30.83"/>
    <n v="-0.18"/>
    <n v="19.226190476190474"/>
    <n v="0.52384041518001945"/>
    <n v="-0.57999999999999996"/>
    <n v="2.5"/>
    <n v="1.97"/>
    <n v="-89.722222222222214"/>
    <s v="NO"/>
    <n v="0.56163436908585929"/>
    <n v="-1.2138028448870013"/>
    <n v="-0.62503204178475547"/>
    <n v="-0.36145692750212965"/>
    <n v="-0.2828092120936343"/>
    <n v="-4.3584276056884281"/>
    <x v="0"/>
    <x v="0"/>
    <x v="0"/>
    <x v="0"/>
    <x v="1"/>
    <x v="1"/>
  </r>
  <r>
    <x v="8"/>
    <s v="CYD"/>
    <n v="643"/>
    <n v="19.04"/>
    <n v="0.82"/>
    <n v="33.47"/>
    <n v="1.1200000000000001"/>
    <n v="23.219512195121951"/>
    <n v="0.56886764266507317"/>
    <n v="4.0199999999999996"/>
    <n v="1.2"/>
    <n v="2.95"/>
    <n v="16.999999999999996"/>
    <s v="NO"/>
    <n v="0.90950065487423437"/>
    <n v="-1.1728760986184046"/>
    <n v="-0.18706156089257017"/>
    <n v="-0.83263596699898013"/>
    <n v="0.83791887867305215"/>
    <n v="6.3013130510899809E-2"/>
    <x v="0"/>
    <x v="0"/>
    <x v="0"/>
    <x v="0"/>
    <x v="1"/>
    <x v="0"/>
  </r>
  <r>
    <x v="8"/>
    <s v="KRNT"/>
    <n v="988"/>
    <n v="22.75"/>
    <n v="0.7"/>
    <n v="15.74"/>
    <n v="-0.18"/>
    <n v="32.5"/>
    <n v="1.4453621346886911"/>
    <n v="-1.1499999999999999"/>
    <n v="-2.2999999999999998"/>
    <n v="1.0900000000000001"/>
    <n v="-126.3888888888889"/>
    <s v="NO"/>
    <n v="1.7179426112741505"/>
    <n v="-0.3762010714300093"/>
    <n v="-0.67930229702574363"/>
    <n v="-2.1011949194905002"/>
    <n v="-1.2891772935984136"/>
    <n v="-5.8775066717433786"/>
    <x v="0"/>
    <x v="0"/>
    <x v="0"/>
    <x v="0"/>
    <x v="1"/>
    <x v="1"/>
  </r>
  <r>
    <x v="8"/>
    <s v="TWI"/>
    <n v="461"/>
    <n v="9.32"/>
    <n v="0.54"/>
    <n v="8.39"/>
    <n v="-0.23"/>
    <n v="17.25925925925926"/>
    <n v="1.1108462455303934"/>
    <n v="-2.31"/>
    <n v="0.75"/>
    <n v="3.22"/>
    <n v="-40.521739130434781"/>
    <s v="NO"/>
    <n v="0.39029103514126673"/>
    <n v="-0.6802537009848747"/>
    <n v="-0.78974702698985999"/>
    <n v="-0.99573640374788974"/>
    <n v="1.1466909036802004"/>
    <n v="-2.3200796810195712"/>
    <x v="0"/>
    <x v="0"/>
    <x v="0"/>
    <x v="0"/>
    <x v="1"/>
    <x v="0"/>
  </r>
  <r>
    <x v="8"/>
    <s v="ERII"/>
    <n v="687"/>
    <n v="12.72"/>
    <n v="0.42"/>
    <n v="3.61"/>
    <n v="0.37"/>
    <n v="30.285714285714288"/>
    <n v="3.5235457063711912"/>
    <n v="10.35"/>
    <n v="5.62"/>
    <n v="1.1399999999999999"/>
    <n v="34.378378378378379"/>
    <s v="NO"/>
    <n v="1.5250517296176282"/>
    <n v="1.512729171189267"/>
    <n v="0.41562390520471976"/>
    <n v="0.76937276729031112"/>
    <n v="-1.2319972889674604"/>
    <n v="0.78298942496298762"/>
    <x v="0"/>
    <x v="0"/>
    <x v="0"/>
    <x v="0"/>
    <x v="1"/>
    <x v="0"/>
  </r>
  <r>
    <x v="8"/>
    <s v="HLMN"/>
    <n v="1430"/>
    <n v="7.44"/>
    <n v="0.42"/>
    <n v="5.99"/>
    <n v="0.09"/>
    <n v="17.714285714285715"/>
    <n v="1.2420701168614356"/>
    <n v="1.57"/>
    <n v="2.48"/>
    <n v="1.97"/>
    <n v="82.666666666666671"/>
    <s v="NO"/>
    <n v="0.42992930472898699"/>
    <n v="-0.56097995515783583"/>
    <n v="-0.42032844745471232"/>
    <n v="-0.36870583580208122"/>
    <n v="-0.2828092120936343"/>
    <n v="2.7835456397183997"/>
    <x v="0"/>
    <x v="0"/>
    <x v="0"/>
    <x v="0"/>
    <x v="1"/>
    <x v="1"/>
  </r>
  <r>
    <x v="8"/>
    <s v="ZJK"/>
    <n v="284"/>
    <n v="4.5999999999999996"/>
    <n v="0.05"/>
    <n v="0.49"/>
    <n v="0.06"/>
    <n v="91.999999999999986"/>
    <n v="9.3877551020408152"/>
    <n v="14.15"/>
    <n v="2.13"/>
    <n v="1.86"/>
    <n v="76.666666666666657"/>
    <s v="NO"/>
    <n v="6.9011072699800478"/>
    <n v="6.8429043431373557"/>
    <n v="0.77742560681130779"/>
    <n v="-0.49556173105123325"/>
    <n v="-0.40860522228173163"/>
    <n v="2.5349690652730437"/>
    <x v="1"/>
    <x v="1"/>
    <x v="0"/>
    <x v="0"/>
    <x v="1"/>
    <x v="0"/>
  </r>
  <r>
    <x v="8"/>
    <s v="NFYEF"/>
    <n v="1360"/>
    <n v="11.3"/>
    <n v="-0.02"/>
    <n v="5.91"/>
    <n v="0"/>
    <n v="-565"/>
    <n v="1.9120135363790187"/>
    <n v="-0.05"/>
    <n v="2.81"/>
    <n v="4.25"/>
    <s v=""/>
    <s v="NO"/>
    <n v="-50.331484003461561"/>
    <n v="4.7953924993090619E-2"/>
    <n v="-0.57457022550804715"/>
    <n v="-0.24909884885288072"/>
    <n v="2.32459899907784"/>
    <e v="#VALUE!"/>
    <x v="1"/>
    <x v="0"/>
    <x v="0"/>
    <x v="0"/>
    <x v="1"/>
    <x v="1"/>
  </r>
  <r>
    <x v="8"/>
    <s v="MVST"/>
    <n v="1168"/>
    <n v="4.08"/>
    <n v="-0.04"/>
    <n v="1.41"/>
    <n v="-0.47"/>
    <n v="-102"/>
    <n v="2.8936170212765959"/>
    <n v="-21.76"/>
    <n v="0.96"/>
    <n v="2.16"/>
    <n v="-8.6808510638297882"/>
    <s v="NO"/>
    <n v="-9.9986228777333022"/>
    <n v="0.9401660154689867"/>
    <n v="-2.6416004733709486"/>
    <n v="-0.91962286659839854"/>
    <n v="-6.5525194496011283E-2"/>
    <n v="-1.0009298672037945"/>
    <x v="1"/>
    <x v="0"/>
    <x v="1"/>
    <x v="0"/>
    <x v="1"/>
    <x v="0"/>
  </r>
  <r>
    <x v="8"/>
    <s v="SSYS"/>
    <n v="868"/>
    <n v="10.66"/>
    <n v="-0.13"/>
    <n v="10.84"/>
    <n v="-1.51"/>
    <n v="-82"/>
    <n v="0.98339483394833949"/>
    <n v="-13"/>
    <n v="-3.72"/>
    <n v="1.3"/>
    <n v="-7.0596026490066226"/>
    <s v="NO"/>
    <n v="-8.2563826563195555"/>
    <n v="-0.79609853253984142"/>
    <n v="-1.8075523401936562"/>
    <n v="-2.6158674087870599"/>
    <n v="-1.0490212741484095"/>
    <n v="-0.93376247099017695"/>
    <x v="1"/>
    <x v="0"/>
    <x v="0"/>
    <x v="0"/>
    <x v="1"/>
    <x v="0"/>
  </r>
  <r>
    <x v="8"/>
    <s v="RR"/>
    <n v="265"/>
    <n v="2.38"/>
    <n v="-0.19"/>
    <n v="0.49"/>
    <n v="-0.14000000000000001"/>
    <n v="-12.526315789473683"/>
    <n v="4.8571428571428568"/>
    <n v="-37.520000000000003"/>
    <n v="-22.55"/>
    <n v="1.02"/>
    <n v="-16.999999999999996"/>
    <s v="NO"/>
    <n v="-2.2043903082507472"/>
    <n v="2.7248800244096367"/>
    <n v="-4.1421254252972188"/>
    <n v="-9.440714573191439"/>
    <n v="-1.3692293000817484"/>
    <n v="-1.34558745801278"/>
    <x v="0"/>
    <x v="0"/>
    <x v="1"/>
    <x v="1"/>
    <x v="1"/>
    <x v="0"/>
  </r>
  <r>
    <x v="8"/>
    <s v="NNDM"/>
    <n v="337"/>
    <n v="1.49"/>
    <n v="-0.27"/>
    <n v="3.98"/>
    <n v="-0.44"/>
    <n v="-5.5185185185185182"/>
    <n v="0.37437185929648242"/>
    <n v="-10.34"/>
    <n v="-5.44"/>
    <n v="1.05"/>
    <n v="-3.3863636363636362"/>
    <s v="NO"/>
    <n v="-1.5939269948021679"/>
    <n v="-1.3496597919710662"/>
    <n v="-1.5542911490690445"/>
    <n v="-3.2392735225828928"/>
    <n v="-1.3349212973031763"/>
    <n v="-0.78158227584320494"/>
    <x v="0"/>
    <x v="0"/>
    <x v="0"/>
    <x v="1"/>
    <x v="1"/>
    <x v="0"/>
  </r>
  <r>
    <x v="8"/>
    <s v="MLR"/>
    <n v="519"/>
    <n v="45.79"/>
    <n v="-0.45"/>
    <n v="35.47"/>
    <n v="4.6900000000000004"/>
    <n v="-101.75555555555555"/>
    <n v="1.2909500986749365"/>
    <n v="14.19"/>
    <n v="6.78"/>
    <n v="1.57"/>
    <n v="9.7633262260127918"/>
    <s v="NO"/>
    <n v="-9.9773288305826888"/>
    <n v="-0.51655131220044259"/>
    <n v="0.78123404577558764"/>
    <n v="1.1898094486875008"/>
    <n v="-0.74024924914126122"/>
    <n v="-0.23679813234181363"/>
    <x v="1"/>
    <x v="0"/>
    <x v="0"/>
    <x v="0"/>
    <x v="1"/>
    <x v="0"/>
  </r>
  <r>
    <x v="8"/>
    <s v="PDYN"/>
    <n v="281"/>
    <n v="9.5399999999999991"/>
    <n v="-0.8"/>
    <n v="0.79"/>
    <n v="-1.47"/>
    <n v="-11.924999999999999"/>
    <n v="12.075949367088606"/>
    <n v="-136.41"/>
    <n v="-29.44"/>
    <n v="2.2400000000000002"/>
    <n v="-6.4897959183673466"/>
    <s v="NO"/>
    <n v="-2.1520084805411361"/>
    <n v="9.2862936156131575"/>
    <n v="-13.557538654738133"/>
    <n v="-11.937963482524744"/>
    <n v="2.596281291351421E-2"/>
    <n v="-0.91015570345714059"/>
    <x v="0"/>
    <x v="1"/>
    <x v="1"/>
    <x v="1"/>
    <x v="1"/>
    <x v="0"/>
  </r>
  <r>
    <x v="8"/>
    <s v="GBX"/>
    <n v="1415"/>
    <n v="46.33"/>
    <n v="-0.98"/>
    <n v="46.52"/>
    <n v="6.26"/>
    <n v="-47.275510204081634"/>
    <n v="0.99591573516766974"/>
    <n v="13.32"/>
    <n v="5.62"/>
    <n v="2.92"/>
    <n v="7.4009584664536741"/>
    <s v="NO"/>
    <n v="-5.2314625167935427"/>
    <n v="-0.78471786853098602"/>
    <n v="0.69840049830250039"/>
    <n v="0.76937276729031112"/>
    <n v="0.80361087589447988"/>
    <n v="-0.33466967988370605"/>
    <x v="1"/>
    <x v="0"/>
    <x v="0"/>
    <x v="0"/>
    <x v="1"/>
    <x v="0"/>
  </r>
  <r>
    <x v="8"/>
    <s v="PKOH"/>
    <n v="260"/>
    <n v="17.7"/>
    <n v="-1.08"/>
    <n v="25.75"/>
    <n v="2.97"/>
    <n v="-16.388888888888886"/>
    <n v="0.68737864077669897"/>
    <n v="11.41"/>
    <n v="4.01"/>
    <n v="4.04"/>
    <n v="5.9595959595959593"/>
    <s v="NO"/>
    <n v="-2.5408668188483432"/>
    <n v="-1.0651575065429175"/>
    <n v="0.51654753775813644"/>
    <n v="0.1858356491442118"/>
    <n v="2.0844429796278359"/>
    <n v="-0.39438450563181615"/>
    <x v="0"/>
    <x v="0"/>
    <x v="0"/>
    <x v="0"/>
    <x v="1"/>
    <x v="0"/>
  </r>
  <r>
    <x v="9"/>
    <s v="SBLK"/>
    <n v="1928"/>
    <n v="16.45"/>
    <n v="3.89"/>
    <n v="21"/>
    <n v="1.96"/>
    <n v="4.2287917737789202"/>
    <n v="0.78333333333333333"/>
    <n v="11.09"/>
    <n v="4.4800000000000004"/>
    <n v="1.64"/>
    <n v="8.3928571428571423"/>
    <s v="NO"/>
    <n v="0.59113849049143885"/>
    <n v="0.96480930060233339"/>
    <n v="-6.0539727909383223E-2"/>
    <n v="-0.32363297007068215"/>
    <n v="-8.4901489570381211E-2"/>
    <n v="0.32187715575785886"/>
    <x v="0"/>
    <x v="0"/>
    <x v="0"/>
    <x v="0"/>
    <x v="1"/>
    <x v="0"/>
  </r>
  <r>
    <x v="9"/>
    <s v="GSL"/>
    <n v="885"/>
    <n v="25.65"/>
    <n v="3.56"/>
    <n v="44.04"/>
    <n v="10.54"/>
    <n v="7.2050561797752808"/>
    <n v="0.58242506811989103"/>
    <n v="27.25"/>
    <n v="10.039999999999999"/>
    <n v="1.64"/>
    <n v="2.4335863377609108"/>
    <s v="NO"/>
    <n v="0.94123144584218088"/>
    <n v="-0.18452265196047671"/>
    <n v="2.3431998372395917"/>
    <n v="2.2879770641716903"/>
    <n v="-8.4901489570381211E-2"/>
    <n v="-0.98720773681424501"/>
    <x v="0"/>
    <x v="0"/>
    <x v="0"/>
    <x v="0"/>
    <x v="1"/>
    <x v="0"/>
  </r>
  <r>
    <x v="9"/>
    <s v="CMRE"/>
    <n v="1253"/>
    <n v="8.9"/>
    <n v="2.5099999999999998"/>
    <n v="21.56"/>
    <n v="2.44"/>
    <n v="3.5458167330677295"/>
    <n v="0.41280148423005569"/>
    <n v="12.15"/>
    <n v="5.62"/>
    <n v="1.98"/>
    <n v="3.6475409836065578"/>
    <s v="NO"/>
    <n v="0.51080128995520846"/>
    <n v="-1.1548849447496246"/>
    <n v="9.713130792340853E-2"/>
    <n v="0.21184102975599128"/>
    <n v="1.0446574586268549"/>
    <n v="-0.72053590075919727"/>
    <x v="0"/>
    <x v="0"/>
    <x v="0"/>
    <x v="0"/>
    <x v="1"/>
    <x v="0"/>
  </r>
  <r>
    <x v="9"/>
    <s v="GNK"/>
    <n v="569"/>
    <n v="13.5"/>
    <n v="0.89"/>
    <n v="21.02"/>
    <n v="1.05"/>
    <n v="15.168539325842696"/>
    <n v="0.64224548049476693"/>
    <n v="5.01"/>
    <n v="2.57"/>
    <n v="1.1499999999999999"/>
    <n v="12.857142857142856"/>
    <s v="NO"/>
    <n v="1.8779625184833038"/>
    <n v="0.1576908019503705"/>
    <n v="-0.96491699004464115"/>
    <n v="-1.2207867767978284"/>
    <n v="-1.712795267854633"/>
    <n v="1.3025556944305983"/>
    <x v="0"/>
    <x v="0"/>
    <x v="0"/>
    <x v="0"/>
    <x v="1"/>
    <x v="0"/>
  </r>
  <r>
    <x v="9"/>
    <s v="SB"/>
    <n v="389"/>
    <n v="3.76"/>
    <n v="-0.27"/>
    <n v="8.08"/>
    <n v="0.67"/>
    <n v="-13.925925925925924"/>
    <n v="0.46534653465346532"/>
    <n v="9.82"/>
    <n v="4.3099999999999996"/>
    <n v="1.67"/>
    <n v="5.611940298507462"/>
    <s v="NO"/>
    <n v="-1.5443702903288445"/>
    <n v="-0.85429151054476826"/>
    <n v="-0.24944747838829395"/>
    <n v="-0.40348435600974791"/>
    <n v="1.4765476447022049E-2"/>
    <n v="-0.28901238886968533"/>
    <x v="0"/>
    <x v="0"/>
    <x v="0"/>
    <x v="0"/>
    <x v="1"/>
    <x v="0"/>
  </r>
  <r>
    <x v="9"/>
    <s v="PANL"/>
    <n v="295"/>
    <n v="4.71"/>
    <n v="-0.35"/>
    <n v="6.41"/>
    <n v="0.3"/>
    <n v="-13.457142857142857"/>
    <n v="0.73478939157566303"/>
    <n v="4.7300000000000004"/>
    <n v="3.11"/>
    <n v="2.1800000000000002"/>
    <n v="15.700000000000001"/>
    <s v="NO"/>
    <n v="-1.4892281296935186"/>
    <n v="0.68710492987291283"/>
    <n v="-1.0065659429061331"/>
    <n v="-0.96714119793256204"/>
    <n v="1.7091038987428766"/>
    <n v="1.9270517878573994"/>
    <x v="0"/>
    <x v="0"/>
    <x v="0"/>
    <x v="0"/>
    <x v="1"/>
    <x v="0"/>
  </r>
  <r>
    <x v="9"/>
    <s v="DAC"/>
    <n v="1584"/>
    <n v="86"/>
    <n v="-0.97"/>
    <n v="188.1"/>
    <n v="24.48"/>
    <n v="-88.659793814432987"/>
    <n v="0.45720361509835195"/>
    <n v="14.14"/>
    <n v="7.75"/>
    <n v="1.27"/>
    <n v="3.5130718954248366"/>
    <s v="NO"/>
    <n v="-10.33518894917059"/>
    <n v="-0.90087454993290672"/>
    <n v="0.39313636576044197"/>
    <n v="1.2123319241689867"/>
    <n v="-1.3141274037850199"/>
    <n v="-0.75007499331161143"/>
    <x v="1"/>
    <x v="0"/>
    <x v="0"/>
    <x v="0"/>
    <x v="1"/>
    <x v="0"/>
  </r>
  <r>
    <x v="9"/>
    <s v="HSHP"/>
    <n v="278"/>
    <n v="6.33"/>
    <n v="-6.66"/>
    <n v="3.65"/>
    <n v="0.56999999999999995"/>
    <n v="-0.9504504504504504"/>
    <n v="1.7342465753424658"/>
    <n v="16.829999999999998"/>
    <n v="5.38"/>
    <n v="5.56"/>
    <n v="11.105263157894738"/>
    <s v="NO"/>
    <n v="-1.8087024924689717E-2"/>
    <n v="6.4046799400461101"/>
    <n v="0.79326380575120548"/>
    <n v="9.910966137142832E-2"/>
    <n v="12.938248736703631"/>
    <n v="0.91771678999144368"/>
    <x v="0"/>
    <x v="1"/>
    <x v="0"/>
    <x v="0"/>
    <x v="0"/>
    <x v="0"/>
  </r>
  <r>
    <x v="9"/>
    <s v="ESEA"/>
    <n v="269"/>
    <n v="41.19"/>
    <n v="-7.32"/>
    <n v="51.5"/>
    <n v="16.2"/>
    <n v="-5.6270491803278686"/>
    <n v="0.79980582524271837"/>
    <n v="35.83"/>
    <n v="14.07"/>
    <n v="1.63"/>
    <n v="2.5425925925925927"/>
    <s v="NO"/>
    <n v="-0.56818743503399016"/>
    <n v="1.0590431603675108"/>
    <n v="3.6194427499238864"/>
    <n v="4.1809246249624747"/>
    <n v="-0.11812381157618229"/>
    <n v="-0.96326211560267216"/>
    <x v="0"/>
    <x v="0"/>
    <x v="1"/>
    <x v="1"/>
    <x v="1"/>
    <x v="0"/>
  </r>
  <r>
    <x v="9"/>
    <s v="CCEC"/>
    <n v="1361"/>
    <n v="21.62"/>
    <n v="-13.27"/>
    <n v="24.1"/>
    <n v="0.57999999999999996"/>
    <n v="-1.6292388847023362"/>
    <n v="0.89709543568464734"/>
    <n v="2.72"/>
    <n v="3.64"/>
    <n v="2.93"/>
    <n v="37.275862068965523"/>
    <s v="NO"/>
    <n v="-9.7931762014031531E-2"/>
    <n v="1.6156059170789052"/>
    <n v="-1.3055459259475588"/>
    <n v="-0.71819275941665228"/>
    <n v="4.2007780491779556"/>
    <n v="6.6666644019624837"/>
    <x v="0"/>
    <x v="0"/>
    <x v="0"/>
    <x v="0"/>
    <x v="0"/>
    <x v="1"/>
  </r>
  <r>
    <x v="9"/>
    <s v="NMM"/>
    <n v="1155"/>
    <n v="38.99"/>
    <n v="-15.44"/>
    <n v="104.88"/>
    <n v="11.23"/>
    <n v="-2.525259067357513"/>
    <n v="0.37175819984744474"/>
    <n v="11.23"/>
    <n v="4.79"/>
    <n v="1.83"/>
    <n v="3.4719501335707927"/>
    <s v="NO"/>
    <n v="-0.20332910277705715"/>
    <n v="-1.3896804526842617"/>
    <n v="-3.9715251478637068E-2"/>
    <n v="-0.17802161924062199"/>
    <n v="0.54632262853983937"/>
    <n v="-0.75910829267989"/>
    <x v="0"/>
    <x v="0"/>
    <x v="0"/>
    <x v="0"/>
    <x v="1"/>
    <x v="0"/>
  </r>
  <r>
    <x v="10"/>
    <s v="ALGT"/>
    <n v="1015"/>
    <n v="57.17"/>
    <n v="6.65"/>
    <n v="63.03"/>
    <n v="-11.62"/>
    <n v="8.5969924812030065"/>
    <n v="0.907028399174996"/>
    <n v="-17.02"/>
    <n v="1.7"/>
    <n v="4.05"/>
    <n v="-4.9199655765920829"/>
    <s v="NO"/>
    <n v="0.95894066310190729"/>
    <n v="-0.16615646229783765"/>
    <n v="-1.2764548934521454"/>
    <n v="0.3929275623012965"/>
    <n v="0.23283659243866681"/>
    <n v="-0.47341532950579923"/>
    <x v="0"/>
    <x v="0"/>
    <x v="0"/>
    <x v="0"/>
    <x v="1"/>
    <x v="0"/>
  </r>
  <r>
    <x v="10"/>
    <s v="CHRRF"/>
    <n v="390"/>
    <n v="15.18"/>
    <n v="2.31"/>
    <n v="13.53"/>
    <n v="-2.63"/>
    <n v="6.5714285714285712"/>
    <n v="1.1219512195121952"/>
    <n v="-0.25"/>
    <n v="2.5299999999999998"/>
    <n v="2.74"/>
    <n v="-5.7718631178707227"/>
    <s v="NO"/>
    <n v="0.70539672438159884"/>
    <n v="0.2562065866656606"/>
    <n v="-0.25953572180404666"/>
    <n v="0.65646685661246917"/>
    <n v="-6.8042259442618963E-2"/>
    <n v="-0.57362695648545847"/>
    <x v="0"/>
    <x v="0"/>
    <x v="0"/>
    <x v="0"/>
    <x v="1"/>
    <x v="0"/>
  </r>
  <r>
    <x v="10"/>
    <s v="SNCY"/>
    <n v="616"/>
    <n v="11.88"/>
    <n v="2.2200000000000002"/>
    <n v="11.33"/>
    <n v="0.98"/>
    <n v="5.3513513513513509"/>
    <n v="1.0485436893203883"/>
    <n v="9.4600000000000009"/>
    <n v="4.21"/>
    <n v="2.64"/>
    <n v="12.122448979591837"/>
    <s v="NO"/>
    <n v="0.55267718666247001"/>
    <n v="0.11194722779419468"/>
    <n v="0.32927078724205"/>
    <n v="1.1898957896760476"/>
    <n v="-9.1010110731266761E-2"/>
    <n v="1.5313422940150472"/>
    <x v="0"/>
    <x v="0"/>
    <x v="0"/>
    <x v="0"/>
    <x v="1"/>
    <x v="0"/>
  </r>
  <r>
    <x v="10"/>
    <s v="VLRS"/>
    <n v="544"/>
    <n v="4.99"/>
    <n v="0.4"/>
    <n v="0.27"/>
    <n v="0.04"/>
    <n v="12.475"/>
    <n v="18.481481481481481"/>
    <n v="14.04"/>
    <n v="3.38"/>
    <n v="18.059999999999999"/>
    <n v="124.75"/>
    <s v="NO"/>
    <n v="1.444358721726507"/>
    <n v="34.370890725446351"/>
    <n v="0.60699826524731482"/>
    <n v="0.92635649536487485"/>
    <n v="3.4506325579782202"/>
    <n v="14.780107061605859"/>
    <x v="0"/>
    <x v="1"/>
    <x v="0"/>
    <x v="0"/>
    <x v="0"/>
    <x v="1"/>
  </r>
  <r>
    <x v="10"/>
    <s v="GOLLQ"/>
    <n v="320"/>
    <n v="0.2001"/>
    <n v="0.13"/>
    <n v="-11.54"/>
    <n v="-3.53"/>
    <n v="1.5392307692307692"/>
    <n v="-1.7339688041594456E-2"/>
    <n v="36.049999999999997"/>
    <n v="1"/>
    <n v="-0.85"/>
    <n v="-5.6685552407932015E-2"/>
    <s v="NO"/>
    <n v="7.5506329399694053E-2"/>
    <n v="-1.9827105307248916"/>
    <n v="1.9416667785433586"/>
    <n v="0.17066550685813889"/>
    <n v="-0.89258812070507421"/>
    <n v="9.8668964750621063E-2"/>
    <x v="0"/>
    <x v="0"/>
    <x v="0"/>
    <x v="0"/>
    <x v="1"/>
    <x v="0"/>
  </r>
  <r>
    <x v="10"/>
    <s v="BLDE"/>
    <n v="283"/>
    <n v="4.24"/>
    <n v="-0.28000000000000003"/>
    <n v="2.71"/>
    <n v="-0.34"/>
    <n v="-15.142857142857142"/>
    <n v="1.5645756457564577"/>
    <n v="-11.64"/>
    <n v="-5.72"/>
    <n v="1.1399999999999999"/>
    <n v="-12.470588235294118"/>
    <s v="NO"/>
    <n v="-2.0126244152778336"/>
    <n v="1.1260453591186592"/>
    <n v="-0.95021606557696536"/>
    <n v="-1.9630502253961746"/>
    <n v="-0.43552788006098342"/>
    <n v="-1.3616209465830784"/>
    <x v="0"/>
    <x v="0"/>
    <x v="0"/>
    <x v="0"/>
    <x v="1"/>
    <x v="0"/>
  </r>
  <r>
    <x v="10"/>
    <s v="UP"/>
    <n v="916"/>
    <n v="1.62"/>
    <n v="-0.28999999999999998"/>
    <n v="-0.41"/>
    <n v="-0.49"/>
    <n v="-5.5862068965517251"/>
    <n v="-3.9512195121951224"/>
    <n v="237.88"/>
    <n v="-12.99"/>
    <n v="-3.79"/>
    <n v="-3.306122448979592"/>
    <s v="NO"/>
    <n v="-0.81639914056383667"/>
    <n v="-9.713511169664276"/>
    <n v="14.180473958849607"/>
    <n v="-4.2714004297843973"/>
    <n v="-1.5678429485913188"/>
    <n v="-0.28357343224518483"/>
    <x v="0"/>
    <x v="1"/>
    <x v="1"/>
    <x v="1"/>
    <x v="1"/>
    <x v="0"/>
  </r>
  <r>
    <x v="10"/>
    <s v="ULCC"/>
    <n v="916"/>
    <n v="3.99"/>
    <n v="-0.99"/>
    <n v="2.5"/>
    <n v="0.3"/>
    <n v="-4.0303030303030303"/>
    <n v="1.5960000000000001"/>
    <n v="12.9"/>
    <n v="-2.95"/>
    <n v="11.37"/>
    <n v="13.3"/>
    <s v="NO"/>
    <n v="-0.62164350110204347"/>
    <n v="1.1878000208581059"/>
    <n v="0.53786959168268567"/>
    <n v="-1.0835275202853936"/>
    <n v="1.9140833067676837"/>
    <n v="1.6698616556621573"/>
    <x v="0"/>
    <x v="0"/>
    <x v="0"/>
    <x v="0"/>
    <x v="1"/>
    <x v="0"/>
  </r>
  <r>
    <x v="10"/>
    <s v="JBLU"/>
    <n v="1789"/>
    <n v="4.97"/>
    <n v="-3.68"/>
    <n v="6.9"/>
    <n v="-0.82"/>
    <n v="-1.3505434782608694"/>
    <n v="0.72028985507246368"/>
    <n v="-11.3"/>
    <n v="-0.45"/>
    <n v="6.99"/>
    <n v="-6.0609756097560981"/>
    <s v="NO"/>
    <n v="-0.28621256832846337"/>
    <n v="-0.53313220141389006"/>
    <n v="-0.92959874188225133"/>
    <n v="-0.28973446513125911"/>
    <n v="0.90809142032491152"/>
    <n v="-0.60763624960830442"/>
    <x v="0"/>
    <x v="0"/>
    <x v="0"/>
    <x v="0"/>
    <x v="1"/>
    <x v="0"/>
  </r>
  <r>
    <x v="11"/>
    <s v="RHLD"/>
    <n v="293"/>
    <n v="38.409999999999997"/>
    <n v="14.87"/>
    <n v="1.04"/>
    <n v="12.54"/>
    <n v="2.5830531271015467"/>
    <n v="36.932692307692307"/>
    <n v="-93.8"/>
    <n v="42.12"/>
    <n v="24.16"/>
    <n v="3.0629984051036683"/>
    <s v="NO"/>
    <n v="-0.2649506539749602"/>
    <n v="15.056304524056909"/>
    <n v="-5.1777802679374334"/>
    <n v="5.8844398228268409"/>
    <n v="33.922029122894607"/>
    <n v="-0.46012660931462401"/>
    <x v="0"/>
    <x v="1"/>
    <x v="1"/>
    <x v="1"/>
    <x v="0"/>
    <x v="0"/>
  </r>
  <r>
    <x v="11"/>
    <s v="ICFI"/>
    <n v="1582"/>
    <n v="83.82"/>
    <n v="6.9"/>
    <n v="52.58"/>
    <n v="5.82"/>
    <n v="12.14782608695652"/>
    <n v="1.5941422594142258"/>
    <n v="11.64"/>
    <n v="5.0999999999999996"/>
    <n v="2.14"/>
    <n v="14.402061855670102"/>
    <s v="NO"/>
    <n v="0.32257022379360084"/>
    <n v="-0.64384994586824185"/>
    <n v="3.0820504172900023E-2"/>
    <n v="0.23825817603778313"/>
    <n v="-0.48365684384756463"/>
    <n v="1.8215284431689259E-2"/>
    <x v="0"/>
    <x v="0"/>
    <x v="0"/>
    <x v="0"/>
    <x v="1"/>
    <x v="0"/>
  </r>
  <r>
    <x v="11"/>
    <s v="CSGS"/>
    <n v="1914"/>
    <n v="64.599999999999994"/>
    <n v="5.48"/>
    <n v="10.199999999999999"/>
    <n v="2.92"/>
    <n v="11.788321167883209"/>
    <n v="6.333333333333333"/>
    <n v="30.24"/>
    <n v="7.08"/>
    <n v="5.01"/>
    <n v="22.123287671232877"/>
    <s v="NO"/>
    <n v="0.3004874575321767"/>
    <n v="1.4616702812313411"/>
    <n v="0.94963664948067894"/>
    <n v="0.54024195941547992"/>
    <n v="4.0006446422809558"/>
    <n v="0.3439375801716183"/>
    <x v="0"/>
    <x v="0"/>
    <x v="0"/>
    <x v="0"/>
    <x v="0"/>
    <x v="0"/>
  </r>
  <r>
    <x v="11"/>
    <s v="HSII"/>
    <n v="900"/>
    <n v="44.3"/>
    <n v="4.8499999999999996"/>
    <n v="22.55"/>
    <n v="0.37"/>
    <n v="9.1340206185567006"/>
    <n v="1.9645232815964522"/>
    <n v="1.71"/>
    <n v="4.8499999999999996"/>
    <n v="2.2000000000000002"/>
    <n v="119.72972972972973"/>
    <s v="NO"/>
    <n v="0.13744574236055704"/>
    <n v="-0.47929765798304402"/>
    <n v="-0.45970876049947873"/>
    <n v="0.20012891045979112"/>
    <n v="-0.3899083807229265"/>
    <n v="4.4614954842830787"/>
    <x v="0"/>
    <x v="0"/>
    <x v="0"/>
    <x v="0"/>
    <x v="1"/>
    <x v="1"/>
  </r>
  <r>
    <x v="11"/>
    <s v="KFRC"/>
    <n v="760"/>
    <n v="41.52"/>
    <n v="3.48"/>
    <n v="7.71"/>
    <n v="2.56"/>
    <n v="11.931034482758621"/>
    <n v="5.3852140077821016"/>
    <n v="31.45"/>
    <n v="11.17"/>
    <n v="2.67"/>
    <n v="16.21875"/>
    <s v="NO"/>
    <n v="0.30925369300653494"/>
    <n v="1.0404413443694873"/>
    <n v="1.0094090976431742"/>
    <n v="1.1640367442714294"/>
    <n v="0.34445458042007138"/>
    <n v="9.4852834886689941E-2"/>
    <x v="0"/>
    <x v="0"/>
    <x v="0"/>
    <x v="0"/>
    <x v="1"/>
    <x v="0"/>
  </r>
  <r>
    <x v="11"/>
    <s v="FC"/>
    <n v="304"/>
    <n v="23"/>
    <n v="2.86"/>
    <n v="5.59"/>
    <n v="1.34"/>
    <n v="8.0419580419580416"/>
    <n v="4.1144901610017888"/>
    <n v="24.81"/>
    <n v="8.17"/>
    <n v="3.05"/>
    <n v="17.164179104477611"/>
    <s v="NO"/>
    <n v="7.0365262115559268E-2"/>
    <n v="0.47588618701830093"/>
    <n v="0.68140161351179507"/>
    <n v="0.7064855573355252"/>
    <n v="0.93819484687611232"/>
    <n v="0.13473605365605934"/>
    <x v="0"/>
    <x v="0"/>
    <x v="0"/>
    <x v="0"/>
    <x v="1"/>
    <x v="0"/>
  </r>
  <r>
    <x v="11"/>
    <s v="WLDN"/>
    <n v="784"/>
    <n v="57.21"/>
    <n v="2.84"/>
    <n v="16.940000000000001"/>
    <n v="1.68"/>
    <n v="20.1443661971831"/>
    <n v="3.3772136953955134"/>
    <n v="10.78"/>
    <n v="4.74"/>
    <n v="1.92"/>
    <n v="34.053571428571431"/>
    <s v="NO"/>
    <n v="0.81376162837693145"/>
    <n v="0.14833017860128311"/>
    <n v="-1.1662392868212398E-2"/>
    <n v="0.18335203360547472"/>
    <n v="-0.82740120863790456"/>
    <n v="0.84722028515825709"/>
    <x v="0"/>
    <x v="0"/>
    <x v="0"/>
    <x v="0"/>
    <x v="1"/>
    <x v="0"/>
  </r>
  <r>
    <x v="11"/>
    <s v="FVRR"/>
    <n v="1164"/>
    <n v="32.18"/>
    <n v="2.4"/>
    <n v="10.51"/>
    <n v="0.49"/>
    <n v="13.408333333333333"/>
    <n v="3.0618458610846813"/>
    <n v="4.8499999999999996"/>
    <n v="-0.68"/>
    <n v="2.92"/>
    <n v="65.673469387755105"/>
    <s v="NO"/>
    <n v="0.39999750062842554"/>
    <n v="8.2190617965039181E-3"/>
    <n v="-0.30459678758192904"/>
    <n v="-0.64329044412539227"/>
    <n v="0.73507317677272999"/>
    <n v="2.1811154464121207"/>
    <x v="0"/>
    <x v="0"/>
    <x v="0"/>
    <x v="0"/>
    <x v="1"/>
    <x v="0"/>
  </r>
  <r>
    <x v="11"/>
    <s v="CRAI"/>
    <n v="1294"/>
    <n v="188.77"/>
    <n v="2.35"/>
    <n v="33.479999999999997"/>
    <n v="7.4"/>
    <n v="80.327659574468086"/>
    <n v="5.6382915173237764"/>
    <n v="23.21"/>
    <n v="8.3699999999999992"/>
    <n v="2.6"/>
    <n v="25.50945945945946"/>
    <s v="NO"/>
    <n v="4.5105499892123602"/>
    <n v="1.1528782153571202"/>
    <n v="0.60236366552833032"/>
    <n v="0.73698896979791872"/>
    <n v="0.23508137344132721"/>
    <n v="0.48678428288142017"/>
    <x v="1"/>
    <x v="0"/>
    <x v="0"/>
    <x v="0"/>
    <x v="1"/>
    <x v="0"/>
  </r>
  <r>
    <x v="11"/>
    <s v="KELYA"/>
    <n v="413"/>
    <n v="12.06"/>
    <n v="1.88"/>
    <n v="35.26"/>
    <n v="-0.56999999999999995"/>
    <n v="6.4148936170212769"/>
    <n v="0.34203062960862168"/>
    <n v="-1.64"/>
    <n v="1.86"/>
    <n v="2.09"/>
    <n v="-21.157894736842106"/>
    <s v="NO"/>
    <n v="-2.9577969484089847E-2"/>
    <n v="-1.2001360972434765"/>
    <n v="-0.62519446408985835"/>
    <n v="-0.2558971058529933"/>
    <n v="-0.56178056311809677"/>
    <n v="-1.4818924671612586"/>
    <x v="0"/>
    <x v="0"/>
    <x v="0"/>
    <x v="0"/>
    <x v="1"/>
    <x v="0"/>
  </r>
  <r>
    <x v="11"/>
    <s v="KELYB"/>
    <n v="403"/>
    <n v="11.440099999999999"/>
    <n v="1.88"/>
    <n v="35.26"/>
    <n v="-0.56999999999999995"/>
    <n v="6.0851595744680846"/>
    <n v="0.32444980147475894"/>
    <n v="-1.64"/>
    <n v="1.86"/>
    <n v="2.09"/>
    <n v="-20.070350877192983"/>
    <s v="NO"/>
    <n v="-4.9832045030276668E-2"/>
    <n v="-1.2079468794355517"/>
    <n v="-0.62519446408985835"/>
    <n v="-0.2558971058529933"/>
    <n v="-0.56178056311809677"/>
    <n v="-1.436014093552656"/>
    <x v="0"/>
    <x v="0"/>
    <x v="0"/>
    <x v="0"/>
    <x v="1"/>
    <x v="0"/>
  </r>
  <r>
    <x v="11"/>
    <s v="TIXT"/>
    <n v="793"/>
    <n v="2.84"/>
    <n v="1.27"/>
    <n v="7.05"/>
    <n v="-0.51"/>
    <n v="2.2362204724409449"/>
    <n v="0.40283687943262408"/>
    <n v="-5.7"/>
    <n v="0.82"/>
    <n v="2.31"/>
    <n v="-5.5686274509803919"/>
    <s v="NO"/>
    <n v="-0.28625502016956417"/>
    <n v="-1.1731211938682822"/>
    <n v="-0.82575325709790037"/>
    <n v="-0.41451485065744015"/>
    <n v="-0.21803619832775689"/>
    <n v="-0.82425441194215388"/>
    <x v="0"/>
    <x v="0"/>
    <x v="0"/>
    <x v="0"/>
    <x v="1"/>
    <x v="0"/>
  </r>
  <r>
    <x v="11"/>
    <s v="IBEX"/>
    <n v="385"/>
    <n v="29.43"/>
    <n v="1.26"/>
    <n v="9.2899999999999991"/>
    <n v="2.25"/>
    <n v="23.357142857142858"/>
    <n v="3.1679224973089344"/>
    <n v="26.18"/>
    <n v="10.85"/>
    <n v="2.21"/>
    <n v="13.08"/>
    <s v="NO"/>
    <n v="1.0111080129964491"/>
    <n v="5.5346620004059224E-2"/>
    <n v="0.74907785647263692"/>
    <n v="1.1152312843315995"/>
    <n v="-0.37428363686882049"/>
    <n v="-3.7556303270239559E-2"/>
    <x v="0"/>
    <x v="0"/>
    <x v="0"/>
    <x v="0"/>
    <x v="1"/>
    <x v="0"/>
  </r>
  <r>
    <x v="11"/>
    <s v="INOD"/>
    <n v="1253"/>
    <n v="48.67"/>
    <n v="1.02"/>
    <n v="2.38"/>
    <n v="1.08"/>
    <n v="47.715686274509807"/>
    <n v="20.449579831932773"/>
    <n v="69.38"/>
    <n v="20.71"/>
    <n v="1.66"/>
    <n v="45.064814814814817"/>
    <s v="NO"/>
    <n v="2.5073435085802385"/>
    <n v="7.7332136880992852"/>
    <n v="2.8831024520261881"/>
    <n v="2.6190495187276048"/>
    <n v="-1.2336445488446695"/>
    <n v="1.3117329882434587"/>
    <x v="0"/>
    <x v="1"/>
    <x v="0"/>
    <x v="0"/>
    <x v="1"/>
    <x v="0"/>
  </r>
  <r>
    <x v="11"/>
    <s v="NVEE"/>
    <n v="1452"/>
    <n v="22.53"/>
    <n v="0.84"/>
    <n v="12.84"/>
    <n v="0.45"/>
    <n v="26.821428571428573"/>
    <n v="1.7546728971962617"/>
    <n v="3.48"/>
    <n v="2.52"/>
    <n v="1.56"/>
    <n v="50.06666666666667"/>
    <s v="NO"/>
    <n v="1.2239034648321496"/>
    <n v="-0.57252965098092023"/>
    <n v="-0.37227303054277078"/>
    <n v="-0.1552358447270944"/>
    <n v="-1.3898919873857327"/>
    <n v="1.5227376534421353"/>
    <x v="0"/>
    <x v="0"/>
    <x v="0"/>
    <x v="0"/>
    <x v="1"/>
    <x v="0"/>
  </r>
  <r>
    <x v="11"/>
    <s v="TASK"/>
    <n v="1474"/>
    <n v="16.68"/>
    <n v="0.83"/>
    <n v="5.78"/>
    <n v="0.6"/>
    <n v="20.096385542168676"/>
    <n v="2.8858131487889271"/>
    <n v="11.35"/>
    <n v="7.95"/>
    <n v="1.89"/>
    <n v="27.8"/>
    <s v="NO"/>
    <n v="0.81081439307209968"/>
    <n v="-6.9988469950767046E-2"/>
    <n v="1.6494876100896973E-2"/>
    <n v="0.67293180362689209"/>
    <n v="-0.87427544020022363"/>
    <n v="0.58341144302048209"/>
    <x v="0"/>
    <x v="0"/>
    <x v="0"/>
    <x v="0"/>
    <x v="1"/>
    <x v="0"/>
  </r>
  <r>
    <x v="11"/>
    <s v="LZ"/>
    <n v="1654"/>
    <n v="9.35"/>
    <n v="0.66"/>
    <n v="1.03"/>
    <n v="0.17"/>
    <n v="14.166666666666666"/>
    <n v="9.0776699029126213"/>
    <n v="17.09"/>
    <n v="3.98"/>
    <n v="2.85"/>
    <n v="54.999999999999993"/>
    <s v="NO"/>
    <n v="0.44657849816084516"/>
    <n v="2.6809197411270156"/>
    <n v="0.30004351449157718"/>
    <n v="6.7439066248378962E-2"/>
    <n v="0.6256999697939859"/>
    <n v="1.7308518437750759"/>
    <x v="0"/>
    <x v="0"/>
    <x v="0"/>
    <x v="0"/>
    <x v="1"/>
    <x v="0"/>
  </r>
  <r>
    <x v="11"/>
    <s v="TIC"/>
    <n v="1276"/>
    <n v="11.1"/>
    <n v="0.1"/>
    <n v="9.2899999999999991"/>
    <n v="-1.74"/>
    <n v="110.99999999999999"/>
    <n v="1.1948331539289558"/>
    <n v="-19.28"/>
    <n v="-1.04"/>
    <n v="1.93"/>
    <n v="-6.3793103448275863"/>
    <s v="NO"/>
    <n v="6.3946135676851998"/>
    <n v="-0.82125435631523624"/>
    <n v="-1.4965878406075586"/>
    <n v="-0.69819658655770078"/>
    <n v="-0.81177646478379817"/>
    <n v="-0.85845332019954057"/>
    <x v="1"/>
    <x v="0"/>
    <x v="0"/>
    <x v="0"/>
    <x v="1"/>
    <x v="0"/>
  </r>
  <r>
    <x v="11"/>
    <s v="PL"/>
    <n v="1165"/>
    <n v="5.83"/>
    <n v="-0.24"/>
    <n v="1.47"/>
    <n v="-0.42"/>
    <n v="-24.291666666666668"/>
    <n v="3.9659863945578233"/>
    <n v="-25.68"/>
    <n v="-9.61"/>
    <n v="1.44"/>
    <n v="-13.880952380952381"/>
    <s v="NO"/>
    <n v="-1.9157435195547232"/>
    <n v="0.40990917128475496"/>
    <n v="-1.8127396325414178"/>
    <n v="-2.0052678105712669"/>
    <n v="-1.5773889136350092"/>
    <n v="-1.1749124063851488"/>
    <x v="0"/>
    <x v="0"/>
    <x v="0"/>
    <x v="0"/>
    <x v="1"/>
    <x v="0"/>
  </r>
  <r>
    <x v="11"/>
    <s v="MAN"/>
    <n v="1942"/>
    <n v="40.76"/>
    <n v="-0.27"/>
    <n v="45.21"/>
    <n v="2.33"/>
    <n v="-150.96296296296293"/>
    <n v="0.90157044901570438"/>
    <n v="5.17"/>
    <n v="2.57"/>
    <n v="3.82"/>
    <n v="17.493562231759654"/>
    <s v="NO"/>
    <n v="-9.6965901220244053"/>
    <n v="-0.95154464160186969"/>
    <n v="-0.28878919798523606"/>
    <n v="-0.14760999161149602"/>
    <n v="2.141300123642301"/>
    <n v="0.14863118261085009"/>
    <x v="1"/>
    <x v="0"/>
    <x v="0"/>
    <x v="0"/>
    <x v="1"/>
    <x v="0"/>
  </r>
  <r>
    <x v="11"/>
    <s v="BBSI"/>
    <n v="1061"/>
    <n v="42.1"/>
    <n v="-0.37"/>
    <n v="8.31"/>
    <n v="1.96"/>
    <n v="-113.78378378378379"/>
    <n v="5.0661853188928996"/>
    <n v="25.86"/>
    <n v="4.9400000000000004"/>
    <n v="3.65"/>
    <n v="21.479591836734695"/>
    <s v="NO"/>
    <n v="-7.4128407766142086"/>
    <n v="0.8987037889503956"/>
    <n v="0.73327026687594388"/>
    <n v="0.21385544606786835"/>
    <n v="1.8756794781224932"/>
    <n v="0.31678307258703531"/>
    <x v="1"/>
    <x v="0"/>
    <x v="0"/>
    <x v="0"/>
    <x v="1"/>
    <x v="0"/>
  </r>
  <r>
    <x v="11"/>
    <s v="FBYD"/>
    <n v="261"/>
    <n v="6.7"/>
    <n v="-0.41"/>
    <n v="-0.31"/>
    <n v="-0.05"/>
    <n v="-16.341463414634148"/>
    <n v="-21.612903225806452"/>
    <n v="-13.67"/>
    <n v="-15.43"/>
    <n v="-4.8899999999999997"/>
    <n v="-134"/>
    <s v="NO"/>
    <n v="-1.4273983792490157"/>
    <n v="-10.954238980245089"/>
    <n v="-1.2194610354905349"/>
    <n v="-2.8929171132269209"/>
    <n v="-11.467851773284327"/>
    <n v="-6.2421715291153026"/>
    <x v="0"/>
    <x v="1"/>
    <x v="0"/>
    <x v="1"/>
    <x v="0"/>
    <x v="1"/>
  </r>
  <r>
    <x v="11"/>
    <s v="ASUR"/>
    <n v="263"/>
    <n v="9.8800000000000008"/>
    <n v="-0.56000000000000005"/>
    <n v="7.29"/>
    <n v="-0.53"/>
    <n v="-17.642857142857142"/>
    <n v="1.3552812071330591"/>
    <n v="-7.01"/>
    <n v="-1.59"/>
    <n v="2.52"/>
    <n v="-18.641509433962266"/>
    <s v="NO"/>
    <n v="-1.5073371283167893"/>
    <n v="-0.74997075197205421"/>
    <n v="-0.89046557700936213"/>
    <n v="-0.78208097082928318"/>
    <n v="0.11008342260847633"/>
    <n v="-1.3757379759704713"/>
    <x v="0"/>
    <x v="0"/>
    <x v="0"/>
    <x v="0"/>
    <x v="1"/>
    <x v="0"/>
  </r>
  <r>
    <x v="11"/>
    <s v="CNDT"/>
    <n v="362"/>
    <n v="2.72"/>
    <n v="-0.79"/>
    <n v="4.9400000000000004"/>
    <n v="1.54"/>
    <n v="-3.4430379746835444"/>
    <n v="0.55060728744939269"/>
    <n v="30.79"/>
    <n v="-2.2599999999999998"/>
    <n v="3.16"/>
    <n v="1.7662337662337664"/>
    <s v="NO"/>
    <n v="-0.63510626022865779"/>
    <n v="-1.1074699934433181"/>
    <n v="0.97680594409999499"/>
    <n v="-0.88426740257830161"/>
    <n v="1.1100670292712826"/>
    <n v="-0.51483102611275877"/>
    <x v="0"/>
    <x v="0"/>
    <x v="0"/>
    <x v="0"/>
    <x v="1"/>
    <x v="0"/>
  </r>
  <r>
    <x v="11"/>
    <s v="BKSY"/>
    <n v="351"/>
    <n v="12.72"/>
    <n v="-0.8"/>
    <n v="2.83"/>
    <n v="-2.2000000000000002"/>
    <n v="-15.9"/>
    <n v="4.4946996466431095"/>
    <n v="-63.58"/>
    <n v="-10.99"/>
    <n v="3.21"/>
    <n v="-5.7818181818181813"/>
    <s v="NO"/>
    <n v="-1.4002812721355296"/>
    <n v="0.64480504892249468"/>
    <n v="-3.6849510253997413"/>
    <n v="-2.2157413565617827"/>
    <n v="1.1881907485418142"/>
    <n v="-0.83324792876677445"/>
    <x v="0"/>
    <x v="0"/>
    <x v="1"/>
    <x v="0"/>
    <x v="1"/>
    <x v="0"/>
  </r>
  <r>
    <x v="11"/>
    <s v="SPIR"/>
    <n v="323"/>
    <n v="12.32"/>
    <n v="-1.83"/>
    <n v="0.18"/>
    <n v="-3.86"/>
    <n v="-6.7322404371584694"/>
    <n v="68.444444444444443"/>
    <n v="-337.63"/>
    <n v="-18.899999999999999"/>
    <n v="37.6"/>
    <n v="-3.1917098445595857"/>
    <s v="NO"/>
    <n v="-0.837147137311963"/>
    <n v="29.056295341142214"/>
    <n v="-17.222669553442582"/>
    <n v="-3.4221513194494499"/>
    <n v="54.921684862813535"/>
    <n v="-0.7239834086012662"/>
    <x v="0"/>
    <x v="1"/>
    <x v="1"/>
    <x v="1"/>
    <x v="0"/>
    <x v="0"/>
  </r>
  <r>
    <x v="12"/>
    <s v="BXC"/>
    <n v="537"/>
    <n v="69.23"/>
    <n v="4.96"/>
    <n v="78.34"/>
    <n v="4.53"/>
    <n v="13.957661290322582"/>
    <n v="0.88371202450855246"/>
    <n v="5.96"/>
    <n v="2.67"/>
    <n v="2.57"/>
    <n v="15.282560706401766"/>
    <s v="NO"/>
    <n v="0.53498047385232905"/>
    <n v="-0.99639798708867355"/>
    <n v="-5.4779686612944981E-2"/>
    <n v="-0.65600009399617554"/>
    <n v="0.31267504784845873"/>
    <n v="0.21368634039042245"/>
    <x v="0"/>
    <x v="0"/>
    <x v="0"/>
    <x v="0"/>
    <x v="1"/>
    <x v="0"/>
  </r>
  <r>
    <x v="12"/>
    <s v="HDIUF"/>
    <n v="475"/>
    <n v="19.548500000000001"/>
    <n v="3.62"/>
    <n v="25.37"/>
    <n v="1.6"/>
    <n v="5.400138121546961"/>
    <n v="0.77053606621994486"/>
    <n v="6.81"/>
    <n v="4.18"/>
    <n v="2.33"/>
    <n v="12.217812499999999"/>
    <s v="NO"/>
    <n v="-4.2883124225666244E-2"/>
    <n v="-1.1198767391958471"/>
    <n v="3.1196206370442965E-2"/>
    <n v="3.4993849905417956E-2"/>
    <n v="2.0303574535614155E-2"/>
    <n v="-0.14834888606029373"/>
    <x v="0"/>
    <x v="0"/>
    <x v="0"/>
    <x v="0"/>
    <x v="1"/>
    <x v="0"/>
  </r>
  <r>
    <x v="12"/>
    <s v="TRNS"/>
    <n v="814"/>
    <n v="76.680000000000007"/>
    <n v="2.81"/>
    <n v="30.79"/>
    <n v="1.57"/>
    <n v="27.288256227758009"/>
    <n v="2.4904189671971424"/>
    <n v="5.67"/>
    <n v="3.4"/>
    <n v="1.34"/>
    <n v="48.840764331210195"/>
    <s v="NO"/>
    <n v="1.4351551392478186"/>
    <n v="0.7565729732207418"/>
    <n v="-8.4112638336689124E-2"/>
    <n v="-0.3219434191298422"/>
    <n v="-1.185728752879871"/>
    <n v="4.1778788385568069"/>
    <x v="0"/>
    <x v="0"/>
    <x v="0"/>
    <x v="0"/>
    <x v="1"/>
    <x v="1"/>
  </r>
  <r>
    <x v="12"/>
    <s v="RUSMF"/>
    <n v="1706"/>
    <n v="31.7"/>
    <n v="2.77"/>
    <n v="20.43"/>
    <n v="1.86"/>
    <n v="11.444043321299638"/>
    <n v="1.5516397454723445"/>
    <n v="9.2799999999999994"/>
    <n v="5.17"/>
    <n v="1.64"/>
    <n v="17.043010752688172"/>
    <s v="NO"/>
    <n v="0.36524347225436277"/>
    <n v="-0.26766652565867705"/>
    <n v="0.2810320365692292"/>
    <n v="0.48802961445017146"/>
    <n v="-0.82026441123881511"/>
    <n v="0.42164630585550106"/>
    <x v="0"/>
    <x v="0"/>
    <x v="0"/>
    <x v="0"/>
    <x v="1"/>
    <x v="0"/>
  </r>
  <r>
    <x v="12"/>
    <s v="TITN"/>
    <n v="431"/>
    <n v="19.61"/>
    <n v="2.77"/>
    <n v="26.71"/>
    <n v="-2.63"/>
    <n v="7.0794223826714795"/>
    <n v="0.73418195432422306"/>
    <n v="-9.39"/>
    <n v="-0.71"/>
    <n v="2.97"/>
    <n v="-7.4562737642585555"/>
    <s v="NO"/>
    <n v="7.0513851299905478E-2"/>
    <n v="-1.1595402899952232"/>
    <n v="-1.6074031657835397"/>
    <n v="-2.2027282598156366"/>
    <n v="0.79996083670320062"/>
    <n v="-2.4724263619891707"/>
    <x v="0"/>
    <x v="0"/>
    <x v="0"/>
    <x v="0"/>
    <x v="1"/>
    <x v="0"/>
  </r>
  <r>
    <x v="12"/>
    <s v="MRC"/>
    <n v="1068"/>
    <n v="12.85"/>
    <n v="2.39"/>
    <n v="6.1"/>
    <n v="0.5"/>
    <n v="5.3765690376569033"/>
    <n v="2.1065573770491803"/>
    <n v="9.6"/>
    <n v="3.93"/>
    <n v="3.25"/>
    <n v="25.7"/>
    <s v="NO"/>
    <n v="-4.4474673012797318E-2"/>
    <n v="0.33776715217812209"/>
    <n v="0.31339943157473998"/>
    <n v="-7.9409120939216538E-2"/>
    <n v="1.1410608889015195"/>
    <n v="1.4442866180303309"/>
    <x v="0"/>
    <x v="0"/>
    <x v="0"/>
    <x v="0"/>
    <x v="1"/>
    <x v="0"/>
  </r>
  <r>
    <x v="12"/>
    <s v="DXPE"/>
    <n v="1298"/>
    <n v="80.599999999999994"/>
    <n v="2.29"/>
    <n v="28.33"/>
    <n v="4.8099999999999996"/>
    <n v="35.196506550218338"/>
    <n v="2.8450405930109426"/>
    <n v="19.45"/>
    <n v="7.73"/>
    <n v="3.11"/>
    <n v="16.756756756756758"/>
    <s v="NO"/>
    <n v="1.9691753102375789"/>
    <n v="1.1434770161628089"/>
    <n v="1.3097083090881183"/>
    <n v="1.6595160358992309"/>
    <n v="0.97051086280235976"/>
    <n v="0.3878314462781377"/>
    <x v="0"/>
    <x v="0"/>
    <x v="0"/>
    <x v="0"/>
    <x v="1"/>
    <x v="0"/>
  </r>
  <r>
    <x v="12"/>
    <s v="HDSN"/>
    <n v="311"/>
    <n v="7.31"/>
    <n v="2.25"/>
    <n v="5.61"/>
    <n v="0.38"/>
    <n v="3.2488888888888887"/>
    <n v="1.303030303030303"/>
    <n v="7.24"/>
    <n v="4.13"/>
    <n v="1.25"/>
    <n v="19.236842105263158"/>
    <s v="NO"/>
    <n v="-0.18815046355139575"/>
    <n v="-0.53890773429524241"/>
    <n v="7.4689893409098124E-2"/>
    <n v="1.2113255736491095E-2"/>
    <n v="-1.2953680553721878"/>
    <n v="0.68080111304818236"/>
    <x v="0"/>
    <x v="0"/>
    <x v="0"/>
    <x v="0"/>
    <x v="1"/>
    <x v="0"/>
  </r>
  <r>
    <x v="12"/>
    <s v="KRT"/>
    <n v="630"/>
    <n v="31.32"/>
    <n v="2.2400000000000002"/>
    <n v="7.65"/>
    <n v="1.5"/>
    <n v="13.982142857142856"/>
    <n v="4.0941176470588232"/>
    <n v="19.440000000000001"/>
    <n v="8.09"/>
    <n v="2.04"/>
    <n v="20.88"/>
    <s v="NO"/>
    <n v="0.53663363984561196"/>
    <n v="2.5062618182691589"/>
    <n v="1.3086968279941964"/>
    <n v="1.8242563139155046"/>
    <n v="-0.33297862238407344"/>
    <n v="0.87490548980341587"/>
    <x v="0"/>
    <x v="0"/>
    <x v="0"/>
    <x v="0"/>
    <x v="1"/>
    <x v="0"/>
  </r>
  <r>
    <x v="12"/>
    <s v="DNOW"/>
    <n v="1522"/>
    <n v="14.81"/>
    <n v="1.76"/>
    <n v="10.76"/>
    <n v="0.75"/>
    <n v="8.4147727272727266"/>
    <n v="1.3763940520446096"/>
    <n v="7.56"/>
    <n v="5.16"/>
    <n v="1.45"/>
    <n v="19.746666666666666"/>
    <s v="NO"/>
    <n v="0.16068601205332736"/>
    <n v="-0.45886543277489972"/>
    <n v="0.10705728841460883"/>
    <n v="0.48345349561638618"/>
    <n v="-1.0517251609448173"/>
    <n v="0.74102610972239857"/>
    <x v="0"/>
    <x v="0"/>
    <x v="0"/>
    <x v="0"/>
    <x v="1"/>
    <x v="0"/>
  </r>
  <r>
    <x v="12"/>
    <s v="GIC"/>
    <n v="999"/>
    <n v="27.01"/>
    <n v="1.17"/>
    <n v="7.51"/>
    <n v="1.58"/>
    <n v="23.085470085470089"/>
    <n v="3.5965379494007994"/>
    <n v="22.3"/>
    <n v="9.64"/>
    <n v="1.86"/>
    <n v="17.094936708860761"/>
    <s v="NO"/>
    <n v="1.1513537314997966"/>
    <n v="1.9633857422036112"/>
    <n v="1.5979804208559487"/>
    <n v="2.5335547331522399"/>
    <n v="-0.55225722736870697"/>
    <n v="0.42778026011064835"/>
    <x v="0"/>
    <x v="0"/>
    <x v="0"/>
    <x v="1"/>
    <x v="1"/>
    <x v="0"/>
  </r>
  <r>
    <x v="12"/>
    <s v="CWXZF"/>
    <n v="539"/>
    <n v="6.2824999999999998"/>
    <n v="1.1599999999999999"/>
    <n v="5.29"/>
    <n v="0.5"/>
    <n v="5.4159482758620694"/>
    <n v="1.187618147448015"/>
    <n v="10.01"/>
    <n v="4.41"/>
    <n v="3.3"/>
    <n v="12.565"/>
    <s v="NO"/>
    <n v="-4.1815512432100514E-2"/>
    <n v="-0.66482625236918547"/>
    <n v="0.3548701564255507"/>
    <n v="0.14024458308248205"/>
    <n v="1.2019716125083619"/>
    <n v="-0.10733602082040113"/>
    <x v="0"/>
    <x v="0"/>
    <x v="0"/>
    <x v="0"/>
    <x v="1"/>
    <x v="0"/>
  </r>
  <r>
    <x v="12"/>
    <s v="TGAFF"/>
    <n v="367"/>
    <n v="3.4870000000000001"/>
    <n v="0.28000000000000003"/>
    <n v="2.93"/>
    <n v="0.31"/>
    <n v="12.453571428571427"/>
    <n v="1.1901023890784983"/>
    <n v="10.18"/>
    <n v="5.88"/>
    <n v="1.51"/>
    <n v="11.248387096774193"/>
    <s v="NO"/>
    <n v="0.43341384502735414"/>
    <n v="-0.6621158617429137"/>
    <n v="0.37206533502222827"/>
    <n v="0.81293405164893395"/>
    <n v="-0.97863229261660589"/>
    <n v="-0.26286600842970065"/>
    <x v="0"/>
    <x v="0"/>
    <x v="0"/>
    <x v="0"/>
    <x v="1"/>
    <x v="0"/>
  </r>
  <r>
    <x v="12"/>
    <s v="DSGR"/>
    <n v="1265"/>
    <n v="27.57"/>
    <n v="0.03"/>
    <n v="13.67"/>
    <n v="0.02"/>
    <n v="919"/>
    <n v="2.0168251645940014"/>
    <n v="0.18"/>
    <n v="4.07"/>
    <n v="2.77"/>
    <n v="1378.5"/>
    <s v="NO"/>
    <n v="61.649746036856421"/>
    <n v="0.23986631011477214"/>
    <n v="-0.63941575889998326"/>
    <n v="-1.5343457266221052E-2"/>
    <n v="0.55631794227582965"/>
    <n v="161.24901488885411"/>
    <x v="1"/>
    <x v="0"/>
    <x v="0"/>
    <x v="0"/>
    <x v="1"/>
    <x v="1"/>
  </r>
  <r>
    <x v="12"/>
    <s v="LVRO"/>
    <n v="303"/>
    <n v="2.5249999999999999"/>
    <n v="-0.12"/>
    <n v="1.37"/>
    <n v="-1.53"/>
    <n v="-21.041666666666668"/>
    <n v="1.8430656934306566"/>
    <n v="-62.35"/>
    <n v="0.25"/>
    <n v="10.41"/>
    <n v="-1.6503267973856208"/>
    <s v="NO"/>
    <n v="-1.8284180451646257"/>
    <n v="5.0288921149010395E-2"/>
    <n v="-6.9642070391955722"/>
    <n v="-1.7634208517722394"/>
    <n v="9.8634765094013925"/>
    <n v="-1.7865764378348663"/>
    <x v="0"/>
    <x v="0"/>
    <x v="1"/>
    <x v="0"/>
    <x v="0"/>
    <x v="0"/>
  </r>
  <r>
    <x v="12"/>
    <s v="ZDCAF"/>
    <n v="275"/>
    <n v="2.5499999999999998"/>
    <n v="-0.14000000000000001"/>
    <n v="0.38"/>
    <n v="0.02"/>
    <n v="-18.214285714285712"/>
    <n v="6.7105263157894735"/>
    <n v="7.9"/>
    <n v="3.96"/>
    <n v="1.64"/>
    <n v="127.49999999999999"/>
    <s v="NO"/>
    <n v="-1.6374935804501689"/>
    <n v="5.3608510994431278"/>
    <n v="0.14144764560796411"/>
    <n v="-6.5680764437860459E-2"/>
    <n v="-0.82026441123881511"/>
    <n v="13.469805052366416"/>
    <x v="0"/>
    <x v="1"/>
    <x v="0"/>
    <x v="0"/>
    <x v="1"/>
    <x v="1"/>
  </r>
  <r>
    <x v="12"/>
    <s v="CTOS"/>
    <n v="974"/>
    <n v="4.6399999999999997"/>
    <n v="-0.23"/>
    <n v="3.6"/>
    <n v="-0.14000000000000001"/>
    <n v="-20.173913043478258"/>
    <n v="1.2888888888888888"/>
    <n v="-3.76"/>
    <n v="2.0299999999999998"/>
    <n v="4.3600000000000003"/>
    <n v="-33.142857142857139"/>
    <s v="NO"/>
    <n v="-1.7698212735227423"/>
    <n v="-0.55433648963884374"/>
    <n v="-1.0379393099053347"/>
    <n v="-0.9488716993584404"/>
    <n v="2.4932789529734274"/>
    <n v="-5.5067532965122377"/>
    <x v="0"/>
    <x v="0"/>
    <x v="0"/>
    <x v="0"/>
    <x v="1"/>
    <x v="1"/>
  </r>
  <r>
    <x v="12"/>
    <s v="XMTR"/>
    <n v="1680"/>
    <n v="36.200000000000003"/>
    <n v="-0.54"/>
    <n v="6.14"/>
    <n v="-0.99"/>
    <n v="-67.037037037037038"/>
    <n v="5.8957654723127044"/>
    <n v="-15.45"/>
    <n v="-4.7"/>
    <n v="2.23"/>
    <n v="-36.565656565656568"/>
    <s v="NO"/>
    <n v="-4.9343459746539562"/>
    <n v="4.471919795130713"/>
    <n v="-2.2203607087003996"/>
    <n v="-4.0285996744960064"/>
    <n v="-0.10151787267807132"/>
    <n v="-5.9110847066881655"/>
    <x v="1"/>
    <x v="1"/>
    <x v="0"/>
    <x v="1"/>
    <x v="1"/>
    <x v="1"/>
  </r>
  <r>
    <x v="12"/>
    <s v="ZKH"/>
    <n v="449"/>
    <n v="3.04"/>
    <n v="-2.0099999999999998"/>
    <n v="2.57"/>
    <n v="-0.21"/>
    <n v="-1.5124378109452739"/>
    <n v="1.1828793774319066"/>
    <n v="-7.8"/>
    <n v="-2.78"/>
    <n v="2.02"/>
    <n v="-14.476190476190476"/>
    <s v="NO"/>
    <n v="-0.50966842197541673"/>
    <n v="-0.66999640879604605"/>
    <n v="-1.4465776718499079"/>
    <n v="-3.1499848584092121"/>
    <n v="-0.35734291182681055"/>
    <n v="-3.301681154001364"/>
    <x v="0"/>
    <x v="0"/>
    <x v="0"/>
    <x v="1"/>
    <x v="1"/>
    <x v="1"/>
  </r>
  <r>
    <x v="12"/>
    <s v="WLFC"/>
    <n v="927"/>
    <n v="144.5"/>
    <n v="-52.21"/>
    <n v="76.7"/>
    <n v="14.5"/>
    <n v="-2.7676690289216626"/>
    <n v="1.8839634941329857"/>
    <n v="18.350000000000001"/>
    <n v="5.41"/>
    <n v="5.79"/>
    <n v="9.9655172413793096"/>
    <s v="NO"/>
    <n v="-0.59443038098317025"/>
    <n v="9.49097882573193E-2"/>
    <n v="1.1984453887566753"/>
    <n v="0.59785646646102086"/>
    <n v="4.2353256481291277"/>
    <n v="-0.41440996810460479"/>
    <x v="0"/>
    <x v="0"/>
    <x v="0"/>
    <x v="0"/>
    <x v="0"/>
    <x v="0"/>
  </r>
  <r>
    <x v="13"/>
    <s v="WTSHF"/>
    <n v="1223"/>
    <n v="19.8"/>
    <n v="1.46"/>
    <n v="7.97"/>
    <n v="1.26"/>
    <n v="13.561643835616438"/>
    <n v="2.4843161856963616"/>
    <n v="15.76"/>
    <n v="6.1"/>
    <n v="2.72"/>
    <n v="15.714285714285715"/>
    <s v="NO"/>
    <n v="1"/>
    <n v="-0.99999999999999956"/>
    <n v="1"/>
    <n v="1"/>
    <n v="-0.99999999999999911"/>
    <n v="1"/>
    <x v="0"/>
    <x v="0"/>
    <x v="0"/>
    <x v="0"/>
    <x v="1"/>
    <x v="0"/>
  </r>
  <r>
    <x v="13"/>
    <s v="SKYH"/>
    <n v="349"/>
    <n v="10.31"/>
    <n v="-3.65"/>
    <n v="2.91"/>
    <n v="-1.17"/>
    <n v="-2.8246575342465756"/>
    <n v="3.5429553264604809"/>
    <n v="-31.26"/>
    <n v="-2.76"/>
    <n v="5.64"/>
    <n v="-8.8119658119658126"/>
    <s v="NO"/>
    <n v="-1"/>
    <n v="1.0000000000000004"/>
    <n v="-1"/>
    <n v="-1"/>
    <n v="0.99999999999999944"/>
    <n v="-1"/>
    <x v="0"/>
    <x v="0"/>
    <x v="0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7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3"/>
        <item m="1" x="14"/>
        <item m="1" x="15"/>
        <item m="1" x="16"/>
        <item m="1" x="17"/>
        <item m="1" x="18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x="12"/>
        <item m="1" x="19"/>
        <item m="1" x="20"/>
        <item m="1" x="21"/>
        <item m="1" x="22"/>
        <item m="1" x="23"/>
        <item m="1" x="2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3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5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8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14"/>
        <item m="1" x="15"/>
        <item m="1" x="16"/>
        <item m="1" x="17"/>
        <item m="1" x="18"/>
        <item m="1" x="19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4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35" tableType="queryTable" totalsRowShown="0">
  <autoFilter ref="A1:Z135" xr:uid="{1B3BB95A-07C7-4768-8185-A2A759A39458}"/>
  <sortState xmlns:xlrd2="http://schemas.microsoft.com/office/spreadsheetml/2017/richdata2" ref="A2:Z135">
    <sortCondition ref="A1:A135"/>
  </sortState>
  <tableColumns count="26">
    <tableColumn id="1" xr3:uid="{FDA9EBBF-F574-44F1-B885-6A5ED1C1C8A3}" uniqueName="1" name="Industry" queryTableFieldId="1" dataDxfId="143"/>
    <tableColumn id="2" xr3:uid="{8F96E341-8F97-4BC1-90E1-73E9D5DAC8C9}" uniqueName="2" name="Symbol" queryTableFieldId="2" dataDxfId="142"/>
    <tableColumn id="3" xr3:uid="{F543FE77-4EA4-4170-A3F2-7D6D401D6817}" uniqueName="3" name="Market Cap (M)" queryTableFieldId="44" dataDxfId="141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40"/>
    <tableColumn id="9" xr3:uid="{92CA53A2-ADA4-45CE-B0FD-3AD68E123166}" uniqueName="9" name="P/B" queryTableFieldId="46" dataDxfId="139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8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7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6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5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4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3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2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83" tableType="queryTable" totalsRowShown="0">
  <autoFilter ref="A1:Z183" xr:uid="{8A05384F-F989-4428-B033-1A9B3ACA4EBB}"/>
  <sortState xmlns:xlrd2="http://schemas.microsoft.com/office/spreadsheetml/2017/richdata2" ref="A2:Z183">
    <sortCondition ref="A1:A183"/>
  </sortState>
  <tableColumns count="26">
    <tableColumn id="1" xr3:uid="{3547F496-7B67-42E8-9760-1F3941836443}" uniqueName="1" name="Industry" queryTableFieldId="1" dataDxfId="131"/>
    <tableColumn id="2" xr3:uid="{0A09E186-076D-4A57-B743-EBD7817F4082}" uniqueName="2" name="Symbol" queryTableFieldId="2" dataDxfId="130"/>
    <tableColumn id="3" xr3:uid="{C567BD69-49B3-415C-87A5-73BCB80F1796}" uniqueName="3" name="Market Cap (M)" queryTableFieldId="43" dataDxfId="129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8"/>
    <tableColumn id="9" xr3:uid="{F1DC44A8-3710-4CCA-B495-699F6ACADE85}" uniqueName="9" name="P/B" queryTableFieldId="45" dataDxfId="127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6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5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4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3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2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1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0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201" tableType="queryTable" totalsRowShown="0">
  <autoFilter ref="A1:Z201" xr:uid="{DE7CBD96-9DC7-4F09-9B11-F8C87451A82B}"/>
  <sortState xmlns:xlrd2="http://schemas.microsoft.com/office/spreadsheetml/2017/richdata2" ref="A2:Z201">
    <sortCondition ref="A1:A201"/>
  </sortState>
  <tableColumns count="26">
    <tableColumn id="1" xr3:uid="{261FC5A1-AB9E-4068-9D87-D85D75FE0DD5}" uniqueName="1" name="Industry" queryTableFieldId="1" dataDxfId="83"/>
    <tableColumn id="2" xr3:uid="{4D1C6415-A4DE-450C-A6A0-32BD8F91DEB2}" uniqueName="2" name="Symbol" queryTableFieldId="2" dataDxfId="82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6" tableType="queryTable" totalsRowShown="0">
  <autoFilter ref="A2:Y16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47"/>
    <tableColumn id="3" xr3:uid="{04B713EC-FD8B-48E2-A2D2-C366A9A339B7}" uniqueName="3" name="P/FCF Q3" queryTableFieldId="3" dataDxfId="46"/>
    <tableColumn id="4" xr3:uid="{9DCEA951-E29F-4D9E-B9F0-5DC32A557DF0}" uniqueName="4" name="P/FCF LB" queryTableFieldId="4" dataDxfId="45"/>
    <tableColumn id="5" xr3:uid="{C2B6F391-AB27-4C2B-B68A-D2B47E1AA772}" uniqueName="5" name="P/FCF UB" queryTableFieldId="5" dataDxfId="44"/>
    <tableColumn id="6" xr3:uid="{1FD6B89C-F582-4857-A32F-326E69C5DFFD}" uniqueName="6" name="P/B Q1" queryTableFieldId="6" dataDxfId="43"/>
    <tableColumn id="7" xr3:uid="{A3697E12-D8D4-4284-AE2B-01C3BA154C99}" uniqueName="7" name="P/B Q3" queryTableFieldId="7" dataDxfId="42"/>
    <tableColumn id="8" xr3:uid="{A270BB2A-00C0-4246-AFBA-EDE9D5F40C76}" uniqueName="8" name="P/B LB" queryTableFieldId="8" dataDxfId="41"/>
    <tableColumn id="9" xr3:uid="{F99BB669-75E9-428A-88A3-E037E705383F}" uniqueName="9" name="P/B UB" queryTableFieldId="9" dataDxfId="40"/>
    <tableColumn id="10" xr3:uid="{D3A49932-F6DE-43A8-B449-B1C4E41499CF}" uniqueName="10" name="ROE Q1" queryTableFieldId="10" dataDxfId="39"/>
    <tableColumn id="11" xr3:uid="{BD8F2597-7442-49AD-BA3A-A3F29A6E60DD}" uniqueName="11" name="ROE Q3" queryTableFieldId="11" dataDxfId="38"/>
    <tableColumn id="12" xr3:uid="{3B29ED46-D0C8-4AF8-BFC0-41462C6C29EB}" uniqueName="12" name="ROE LB" queryTableFieldId="12" dataDxfId="37"/>
    <tableColumn id="13" xr3:uid="{F62F045D-EA3F-4608-85C5-21D743180D21}" uniqueName="13" name="ROE UB" queryTableFieldId="13" dataDxfId="36"/>
    <tableColumn id="14" xr3:uid="{9D898AB4-6F4D-4D03-BA61-39B91E78C9C6}" uniqueName="14" name="ROA Q1" queryTableFieldId="14" dataDxfId="35"/>
    <tableColumn id="15" xr3:uid="{2D1DFB04-09CE-4BEC-AD50-26246811DCDA}" uniqueName="15" name="ROA Q3" queryTableFieldId="15" dataDxfId="34"/>
    <tableColumn id="16" xr3:uid="{753F114C-61F5-4444-9EB0-76DCEA7F1F1B}" uniqueName="16" name="ROA LB" queryTableFieldId="16" dataDxfId="33"/>
    <tableColumn id="17" xr3:uid="{AA60DB6D-6DE2-4BF0-A375-18A578568BBF}" uniqueName="17" name="ROA UB" queryTableFieldId="17" dataDxfId="32"/>
    <tableColumn id="18" xr3:uid="{5357CEC7-DB8C-48BE-BDAD-FCBB1FB43389}" uniqueName="18" name="P/E Q1" queryTableFieldId="18" dataDxfId="31"/>
    <tableColumn id="19" xr3:uid="{C18FE8DB-95D8-42EC-BC42-C15678D7CE64}" uniqueName="19" name="P/E Q3" queryTableFieldId="19" dataDxfId="30"/>
    <tableColumn id="20" xr3:uid="{B7040099-49E4-464B-9BD8-1326A00D0599}" uniqueName="20" name="P/E LB" queryTableFieldId="20" dataDxfId="29"/>
    <tableColumn id="21" xr3:uid="{E8713F96-91B8-41CB-AA45-CCA61FACA752}" uniqueName="21" name="P/E UB" queryTableFieldId="21" dataDxfId="28"/>
    <tableColumn id="22" xr3:uid="{91693169-B783-4EDC-94CF-D23F08159B62}" uniqueName="22" name="A/E Q1" queryTableFieldId="22" dataDxfId="27"/>
    <tableColumn id="23" xr3:uid="{F98A9AC1-1CAF-483B-A342-F3A466AEB043}" uniqueName="23" name="A/E Q3" queryTableFieldId="23" dataDxfId="26"/>
    <tableColumn id="24" xr3:uid="{04D140EC-A8E6-4894-B430-208F20D411DB}" uniqueName="24" name="A/E LB" queryTableFieldId="24" dataDxfId="25"/>
    <tableColumn id="25" xr3:uid="{3E6CFD0C-10B0-4D91-A289-A353306CC102}" uniqueName="25" name="A/E UB" queryTableFieldId="25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20:Y34" tableType="queryTable" totalsRowShown="0">
  <autoFilter ref="A20:Y34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38:Y52" tableType="queryTable" totalsRowShown="0">
  <autoFilter ref="A38:Y52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71"/>
    <tableColumn id="3" xr3:uid="{6D66145B-6613-41BC-8233-7356853CCFEF}" uniqueName="3" name="P/FCF Q3" queryTableFieldId="3" dataDxfId="70"/>
    <tableColumn id="4" xr3:uid="{90A69125-3CA2-4D0A-8F1A-65993DFA9D46}" uniqueName="4" name="P/FCF LB" queryTableFieldId="4" dataDxfId="69"/>
    <tableColumn id="5" xr3:uid="{BED6E3D4-DC60-428F-B5E8-4C3C64096FD7}" uniqueName="5" name="P/FCF UB" queryTableFieldId="5" dataDxfId="68"/>
    <tableColumn id="6" xr3:uid="{FC33B186-B76E-4D86-8EBD-E25B773D256E}" uniqueName="6" name="P/B Q1" queryTableFieldId="6" dataDxfId="67"/>
    <tableColumn id="7" xr3:uid="{D82D1432-7C03-4449-BD2D-F895D50A5F32}" uniqueName="7" name="P/B Q3" queryTableFieldId="7" dataDxfId="66"/>
    <tableColumn id="8" xr3:uid="{D3389429-24FB-4947-AACF-CAA92D678F94}" uniqueName="8" name="P/B LB" queryTableFieldId="8" dataDxfId="65"/>
    <tableColumn id="9" xr3:uid="{452E932D-DD5B-4C62-A8B3-25C90C8C7751}" uniqueName="9" name="P/B UB" queryTableFieldId="9" dataDxfId="64"/>
    <tableColumn id="10" xr3:uid="{99E11285-9679-47B1-9540-1BD10239596C}" uniqueName="10" name="ROE Q1" queryTableFieldId="10" dataDxfId="63"/>
    <tableColumn id="11" xr3:uid="{B4F1825A-C678-4C01-BB96-B04FAB1938BD}" uniqueName="11" name="ROE Q3" queryTableFieldId="11" dataDxfId="62"/>
    <tableColumn id="12" xr3:uid="{9F07026D-928C-42B1-8DD2-9BD3176C8B6A}" uniqueName="12" name="ROE LB" queryTableFieldId="12" dataDxfId="61"/>
    <tableColumn id="13" xr3:uid="{47360B1B-7AC4-49FA-9F18-2F1F1B72CA28}" uniqueName="13" name="ROE UB" queryTableFieldId="13" dataDxfId="60"/>
    <tableColumn id="14" xr3:uid="{58B0248D-BCFF-4737-ADF5-EE087C03D561}" uniqueName="14" name="ROA Q1" queryTableFieldId="14" dataDxfId="59"/>
    <tableColumn id="15" xr3:uid="{CCD6E6AE-6BBB-4675-8C50-0F87AF280A3C}" uniqueName="15" name="ROA Q3" queryTableFieldId="15" dataDxfId="58"/>
    <tableColumn id="16" xr3:uid="{BB86731C-A605-4988-A848-B35835CAF73E}" uniqueName="16" name="ROA LB" queryTableFieldId="16" dataDxfId="57"/>
    <tableColumn id="17" xr3:uid="{9760AC7A-70E9-4457-8DC8-4BDA6646C74E}" uniqueName="17" name="ROA UB" queryTableFieldId="17" dataDxfId="56"/>
    <tableColumn id="18" xr3:uid="{931D5CA9-41B9-424B-87E6-FA364034B249}" uniqueName="18" name="P/E Q1" queryTableFieldId="18" dataDxfId="55"/>
    <tableColumn id="19" xr3:uid="{23E1DD3D-5F02-4A6D-9773-5EA3466661AF}" uniqueName="19" name="P/E Q3" queryTableFieldId="19" dataDxfId="54"/>
    <tableColumn id="20" xr3:uid="{478DC28A-5ACD-47E8-8720-6EEE2D43205B}" uniqueName="20" name="P/E LB" queryTableFieldId="20" dataDxfId="53"/>
    <tableColumn id="21" xr3:uid="{AC7D613F-0AC5-4542-BBED-886B4C332840}" uniqueName="21" name="P/E UB" queryTableFieldId="21" dataDxfId="52"/>
    <tableColumn id="22" xr3:uid="{1E3F527B-4B19-4D38-9A78-D4BBA95224B9}" uniqueName="22" name="A/E Q1" queryTableFieldId="22" dataDxfId="51"/>
    <tableColumn id="23" xr3:uid="{1256121C-1427-4F44-988A-E08E26F80A67}" uniqueName="23" name="A/E Q3" queryTableFieldId="23" dataDxfId="50"/>
    <tableColumn id="24" xr3:uid="{3F6A6F05-B80E-47C0-9039-80E1A481FF30}" uniqueName="24" name="A/E LB" queryTableFieldId="24" dataDxfId="49"/>
    <tableColumn id="25" xr3:uid="{08969B40-89DA-4EAE-925B-3C841EB86C63}" uniqueName="25" name="A/E UB" queryTableFieldId="25" dataDxf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35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119</v>
      </c>
      <c r="C2" s="2">
        <v>82477</v>
      </c>
      <c r="D2">
        <f>RTD("tos.rtd", , "LAST", Main_L[[#This Row],[Symbol]])</f>
        <v>1460.06</v>
      </c>
      <c r="E2">
        <v>32.78</v>
      </c>
      <c r="F2">
        <v>-100.86</v>
      </c>
      <c r="G2">
        <v>29.66</v>
      </c>
      <c r="H2" s="1">
        <f>IF(ISNUMBER(Main_L[[#This Row],[Free CF]]),IF(Main_L[[#This Row],[Free CF]]&lt;&gt;0,Main_L[[#This Row],[Current Price]]/Main_L[[#This Row],[Free CF]],""),"")</f>
        <v>44.541183648566196</v>
      </c>
      <c r="I2" s="1">
        <f>IF(ISNUMBER(Main_L[[#This Row],[BVPS]]),IF(Main_L[[#This Row],[BVPS]]&lt;&gt;0,Main_L[[#This Row],[Current Price]]/Main_L[[#This Row],[BVPS]],""),"")</f>
        <v>-14.476105492762244</v>
      </c>
      <c r="J2">
        <v>-43.77</v>
      </c>
      <c r="K2">
        <v>11.24</v>
      </c>
      <c r="L2">
        <v>-3.86</v>
      </c>
      <c r="M2" s="1">
        <f>IF(ISNUMBER(Main_L[[#This Row],[EPS]]),IF(Main_L[[#This Row],[EPS]]&lt;&gt;0,Main_L[[#This Row],[Current Price]]/Main_L[[#This Row],[EPS]],""),"")</f>
        <v>49.226567768037761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0.25829321634176067</v>
      </c>
      <c r="P2" s="1">
        <f>(Main_L[[#This Row],[P/B]]-VLOOKUP(Main_L[[#This Row],[Industry]], Mean_PB_L, 2, FALSE))/(VLOOKUP(Main_L[[#This Row],[Industry]], Mean_PB_L, 3, FALSE))</f>
        <v>-3.898119042166416</v>
      </c>
      <c r="Q2" s="1">
        <f>(Main_L[[#This Row],[ROE]]-VLOOKUP(Main_L[[#This Row],[Industry]], Mean_ROE_L, 2, FALSE))/(VLOOKUP(Main_L[[#This Row],[Industry]], Mean_ROE_L, 3, FALSE))</f>
        <v>-8.1235045512783834</v>
      </c>
      <c r="R2" s="1">
        <f>(Main_L[[#This Row],[ROA]]-VLOOKUP(Main_L[[#This Row],[Industry]], Mean_ROA_L, 2, FALSE))/(VLOOKUP(Main_L[[#This Row],[Industry]], Mean_ROA_L, 3, FALSE))</f>
        <v>1.9790639260093565</v>
      </c>
      <c r="S2" s="1">
        <f>(Main_L[[#This Row],[A/E]]-VLOOKUP(Main_L[[#This Row],[Industry]], Mean_AE_L, 2, FALSE))/(VLOOKUP(Main_L[[#This Row],[Industry]], Mean_AE_L, 3, FALSE))</f>
        <v>-13.001409351594083</v>
      </c>
      <c r="T2" s="1">
        <f>(Main_L[[#This Row],[P/E]]-VLOOKUP(Main_L[[#This Row],[Industry]], Mean_PE_L, 2, FALSE))/(VLOOKUP(Main_L[[#This Row],[Industry]], Mean_PE_L, 3, FALSE))</f>
        <v>0.60240574616096632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7" t="s">
        <v>105</v>
      </c>
      <c r="B3" s="67" t="s">
        <v>115</v>
      </c>
      <c r="C3" s="2">
        <v>113020</v>
      </c>
      <c r="D3">
        <f>RTD("tos.rtd", , "LAST", Main_L[[#This Row],[Symbol]])</f>
        <v>480.83</v>
      </c>
      <c r="E3">
        <v>21.06</v>
      </c>
      <c r="F3">
        <v>28.68</v>
      </c>
      <c r="G3">
        <v>23.17</v>
      </c>
      <c r="H3" s="1">
        <f>IF(ISNUMBER(Main_L[[#This Row],[Free CF]]),IF(Main_L[[#This Row],[Free CF]]&lt;&gt;0,Main_L[[#This Row],[Current Price]]/Main_L[[#This Row],[Free CF]],""),"")</f>
        <v>22.831433998100664</v>
      </c>
      <c r="I3" s="1">
        <f>IF(ISNUMBER(Main_L[[#This Row],[BVPS]]),IF(Main_L[[#This Row],[BVPS]]&lt;&gt;0,Main_L[[#This Row],[Current Price]]/Main_L[[#This Row],[BVPS]],""),"")</f>
        <v>16.765341701534169</v>
      </c>
      <c r="J3">
        <v>82.55</v>
      </c>
      <c r="K3">
        <v>8.32</v>
      </c>
      <c r="L3">
        <v>8.48</v>
      </c>
      <c r="M3" s="1">
        <f>IF(ISNUMBER(Main_L[[#This Row],[EPS]]),IF(Main_L[[#This Row],[EPS]]&lt;&gt;0,Main_L[[#This Row],[Current Price]]/Main_L[[#This Row],[EPS]],""),"")</f>
        <v>20.752265861027187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-0.83450094116261608</v>
      </c>
      <c r="P3" s="1">
        <f>(Main_L[[#This Row],[P/B]]-VLOOKUP(Main_L[[#This Row],[Industry]], Mean_PB_L, 2, FALSE))/(VLOOKUP(Main_L[[#This Row],[Industry]], Mean_PB_L, 3, FALSE))</f>
        <v>1.2751736667817024</v>
      </c>
      <c r="Q3" s="1">
        <f>(Main_L[[#This Row],[ROE]]-VLOOKUP(Main_L[[#This Row],[Industry]], Mean_ROE_L, 2, FALSE))/(VLOOKUP(Main_L[[#This Row],[Industry]], Mean_ROE_L, 3, FALSE))</f>
        <v>8.3110144508334312</v>
      </c>
      <c r="R3" s="1">
        <f>(Main_L[[#This Row],[ROA]]-VLOOKUP(Main_L[[#This Row],[Industry]], Mean_ROA_L, 2, FALSE))/(VLOOKUP(Main_L[[#This Row],[Industry]], Mean_ROA_L, 3, FALSE))</f>
        <v>0.88676528113849873</v>
      </c>
      <c r="S3" s="1">
        <f>(Main_L[[#This Row],[A/E]]-VLOOKUP(Main_L[[#This Row],[Industry]], Mean_AE_L, 2, FALSE))/(VLOOKUP(Main_L[[#This Row],[Industry]], Mean_AE_L, 3, FALSE))</f>
        <v>11.880320083683673</v>
      </c>
      <c r="T3" s="1">
        <f>(Main_L[[#This Row],[P/E]]-VLOOKUP(Main_L[[#This Row],[Industry]], Mean_PE_L, 2, FALSE))/(VLOOKUP(Main_L[[#This Row],[Industry]], Mean_PE_L, 3, FALSE))</f>
        <v>-0.85242346440147154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7" t="s">
        <v>105</v>
      </c>
      <c r="B4" s="67" t="s">
        <v>109</v>
      </c>
      <c r="C4" s="2">
        <v>16587</v>
      </c>
      <c r="D4">
        <f>RTD("tos.rtd", , "LAST", Main_L[[#This Row],[Symbol]])</f>
        <v>460.06</v>
      </c>
      <c r="E4">
        <v>12.8</v>
      </c>
      <c r="F4">
        <v>67.83</v>
      </c>
      <c r="G4">
        <v>11.24</v>
      </c>
      <c r="H4" s="1">
        <f>IF(ISNUMBER(Main_L[[#This Row],[Free CF]]),IF(Main_L[[#This Row],[Free CF]]&lt;&gt;0,Main_L[[#This Row],[Current Price]]/Main_L[[#This Row],[Free CF]],""),"")</f>
        <v>35.942187499999996</v>
      </c>
      <c r="I4" s="1">
        <f>IF(ISNUMBER(Main_L[[#This Row],[BVPS]]),IF(Main_L[[#This Row],[BVPS]]&lt;&gt;0,Main_L[[#This Row],[Current Price]]/Main_L[[#This Row],[BVPS]],""),"")</f>
        <v>6.7825445967860833</v>
      </c>
      <c r="J4">
        <v>17.399999999999999</v>
      </c>
      <c r="K4">
        <v>7.91</v>
      </c>
      <c r="L4">
        <v>1.93</v>
      </c>
      <c r="M4" s="1">
        <f>IF(ISNUMBER(Main_L[[#This Row],[EPS]]),IF(Main_L[[#This Row],[EPS]]&lt;&gt;0,Main_L[[#This Row],[Current Price]]/Main_L[[#This Row],[EPS]],""),"")</f>
        <v>40.930604982206404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" s="1">
        <f>(Main_L[[#This Row],[P/FCF]]-VLOOKUP(Main_L[[#This Row],[Industry]], Mean_PFCF_L, 2, FALSE))/(VLOOKUP(Main_L[[#This Row],[Industry]], Mean_PFCF_L, 3, FALSE))</f>
        <v>-0.17455068572296348</v>
      </c>
      <c r="P4" s="1">
        <f>(Main_L[[#This Row],[P/B]]-VLOOKUP(Main_L[[#This Row],[Industry]], Mean_PB_L, 2, FALSE))/(VLOOKUP(Main_L[[#This Row],[Industry]], Mean_PB_L, 3, FALSE))</f>
        <v>-0.3778845656272628</v>
      </c>
      <c r="Q4" s="1">
        <f>(Main_L[[#This Row],[ROE]]-VLOOKUP(Main_L[[#This Row],[Industry]], Mean_ROE_L, 2, FALSE))/(VLOOKUP(Main_L[[#This Row],[Industry]], Mean_ROE_L, 3, FALSE))</f>
        <v>-0.16514857155086834</v>
      </c>
      <c r="R4" s="1">
        <f>(Main_L[[#This Row],[ROA]]-VLOOKUP(Main_L[[#This Row],[Industry]], Mean_ROA_L, 2, FALSE))/(VLOOKUP(Main_L[[#This Row],[Industry]], Mean_ROA_L, 3, FALSE))</f>
        <v>0.73339458100252197</v>
      </c>
      <c r="S4" s="1">
        <f>(Main_L[[#This Row],[A/E]]-VLOOKUP(Main_L[[#This Row],[Industry]], Mean_AE_L, 2, FALSE))/(VLOOKUP(Main_L[[#This Row],[Industry]], Mean_AE_L, 3, FALSE))</f>
        <v>-1.3267567235342608</v>
      </c>
      <c r="T4" s="1">
        <f>(Main_L[[#This Row],[P/E]]-VLOOKUP(Main_L[[#This Row],[Industry]], Mean_PE_L, 2, FALSE))/(VLOOKUP(Main_L[[#This Row],[Industry]], Mean_PE_L, 3, FALSE))</f>
        <v>0.17854253680183291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7" t="s">
        <v>105</v>
      </c>
      <c r="B5" s="67" t="s">
        <v>541</v>
      </c>
      <c r="C5" s="2">
        <v>18965</v>
      </c>
      <c r="D5">
        <f>RTD("tos.rtd", , "LAST", Main_L[[#This Row],[Symbol]])</f>
        <v>415.03</v>
      </c>
      <c r="E5">
        <v>12.74</v>
      </c>
      <c r="F5">
        <v>74.099999999999994</v>
      </c>
      <c r="G5">
        <v>7.89</v>
      </c>
      <c r="H5" s="1">
        <f>IF(ISNUMBER(Main_L[[#This Row],[Free CF]]),IF(Main_L[[#This Row],[Free CF]]&lt;&gt;0,Main_L[[#This Row],[Current Price]]/Main_L[[#This Row],[Free CF]],""),"")</f>
        <v>32.576923076923073</v>
      </c>
      <c r="I5" s="1">
        <f>IF(ISNUMBER(Main_L[[#This Row],[BVPS]]),IF(Main_L[[#This Row],[BVPS]]&lt;&gt;0,Main_L[[#This Row],[Current Price]]/Main_L[[#This Row],[BVPS]],""),"")</f>
        <v>5.6009446693657221</v>
      </c>
      <c r="J5">
        <v>11.25</v>
      </c>
      <c r="K5">
        <v>3.21</v>
      </c>
      <c r="L5">
        <v>3.44</v>
      </c>
      <c r="M5" s="1">
        <f>IF(ISNUMBER(Main_L[[#This Row],[EPS]]),IF(Main_L[[#This Row],[EPS]]&lt;&gt;0,Main_L[[#This Row],[Current Price]]/Main_L[[#This Row],[EPS]],""),"")</f>
        <v>52.602027883396701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-0.34394652672553067</v>
      </c>
      <c r="P5" s="1">
        <f>(Main_L[[#This Row],[P/B]]-VLOOKUP(Main_L[[#This Row],[Industry]], Mean_PB_L, 2, FALSE))/(VLOOKUP(Main_L[[#This Row],[Industry]], Mean_PB_L, 3, FALSE))</f>
        <v>-0.57354650956350128</v>
      </c>
      <c r="Q5" s="1">
        <f>(Main_L[[#This Row],[ROE]]-VLOOKUP(Main_L[[#This Row],[Industry]], Mean_ROE_L, 2, FALSE))/(VLOOKUP(Main_L[[#This Row],[Industry]], Mean_ROE_L, 3, FALSE))</f>
        <v>-0.96527754450042214</v>
      </c>
      <c r="R5" s="1">
        <f>(Main_L[[#This Row],[ROA]]-VLOOKUP(Main_L[[#This Row],[Industry]], Mean_ROA_L, 2, FALSE))/(VLOOKUP(Main_L[[#This Row],[Industry]], Mean_ROA_L, 3, FALSE))</f>
        <v>-1.0247573473855027</v>
      </c>
      <c r="S5" s="1">
        <f>(Main_L[[#This Row],[A/E]]-VLOOKUP(Main_L[[#This Row],[Industry]], Mean_AE_L, 2, FALSE))/(VLOOKUP(Main_L[[#This Row],[Industry]], Mean_AE_L, 3, FALSE))</f>
        <v>1.7179281587404081</v>
      </c>
      <c r="T5" s="1">
        <f>(Main_L[[#This Row],[P/E]]-VLOOKUP(Main_L[[#This Row],[Industry]], Mean_PE_L, 2, FALSE))/(VLOOKUP(Main_L[[#This Row],[Industry]], Mean_PE_L, 3, FALSE))</f>
        <v>0.77486714630168718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7" t="s">
        <v>105</v>
      </c>
      <c r="B6" s="67" t="s">
        <v>110</v>
      </c>
      <c r="C6" s="2">
        <v>74746</v>
      </c>
      <c r="D6">
        <f>RTD("tos.rtd", , "LAST", Main_L[[#This Row],[Symbol]])</f>
        <v>277.31</v>
      </c>
      <c r="E6">
        <v>12.23</v>
      </c>
      <c r="F6">
        <v>82.93</v>
      </c>
      <c r="G6">
        <v>14.41</v>
      </c>
      <c r="H6" s="1">
        <f>IF(ISNUMBER(Main_L[[#This Row],[Free CF]]),IF(Main_L[[#This Row],[Free CF]]&lt;&gt;0,Main_L[[#This Row],[Current Price]]/Main_L[[#This Row],[Free CF]],""),"")</f>
        <v>22.674570727718724</v>
      </c>
      <c r="I6" s="1">
        <f>IF(ISNUMBER(Main_L[[#This Row],[BVPS]]),IF(Main_L[[#This Row],[BVPS]]&lt;&gt;0,Main_L[[#This Row],[Current Price]]/Main_L[[#This Row],[BVPS]],""),"")</f>
        <v>3.3439044977692025</v>
      </c>
      <c r="J6">
        <v>18.23</v>
      </c>
      <c r="K6">
        <v>5.6</v>
      </c>
      <c r="L6">
        <v>2.5499999999999998</v>
      </c>
      <c r="M6" s="1">
        <f>IF(ISNUMBER(Main_L[[#This Row],[EPS]]),IF(Main_L[[#This Row],[EPS]]&lt;&gt;0,Main_L[[#This Row],[Current Price]]/Main_L[[#This Row],[EPS]],""),"")</f>
        <v>19.244274809160306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6" s="1">
        <f>(Main_L[[#This Row],[P/FCF]]-VLOOKUP(Main_L[[#This Row],[Industry]], Mean_PFCF_L, 2, FALSE))/(VLOOKUP(Main_L[[#This Row],[Industry]], Mean_PFCF_L, 3, FALSE))</f>
        <v>-0.84239689888485259</v>
      </c>
      <c r="P6" s="1">
        <f>(Main_L[[#This Row],[P/B]]-VLOOKUP(Main_L[[#This Row],[Industry]], Mean_PB_L, 2, FALSE))/(VLOOKUP(Main_L[[#This Row],[Industry]], Mean_PB_L, 3, FALSE))</f>
        <v>-0.94729134253829939</v>
      </c>
      <c r="Q6" s="1">
        <f>(Main_L[[#This Row],[ROE]]-VLOOKUP(Main_L[[#This Row],[Industry]], Mean_ROE_L, 2, FALSE))/(VLOOKUP(Main_L[[#This Row],[Industry]], Mean_ROE_L, 3, FALSE))</f>
        <v>-5.7163685770684376E-2</v>
      </c>
      <c r="R6" s="1">
        <f>(Main_L[[#This Row],[ROA]]-VLOOKUP(Main_L[[#This Row],[Industry]], Mean_ROA_L, 2, FALSE))/(VLOOKUP(Main_L[[#This Row],[Industry]], Mean_ROA_L, 3, FALSE))</f>
        <v>-0.13071838805627325</v>
      </c>
      <c r="S6" s="1">
        <f>(Main_L[[#This Row],[A/E]]-VLOOKUP(Main_L[[#This Row],[Industry]], Mean_AE_L, 2, FALSE))/(VLOOKUP(Main_L[[#This Row],[Industry]], Mean_AE_L, 3, FALSE))</f>
        <v>-7.6621208957906986E-2</v>
      </c>
      <c r="T6" s="1">
        <f>(Main_L[[#This Row],[P/E]]-VLOOKUP(Main_L[[#This Row],[Industry]], Mean_PE_L, 2, FALSE))/(VLOOKUP(Main_L[[#This Row],[Industry]], Mean_PE_L, 3, FALSE))</f>
        <v>-0.92947081181976132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7" t="s">
        <v>105</v>
      </c>
      <c r="B7" s="67" t="s">
        <v>116</v>
      </c>
      <c r="C7" s="2">
        <v>69772</v>
      </c>
      <c r="D7">
        <f>RTD("tos.rtd", , "LAST", Main_L[[#This Row],[Symbol]])</f>
        <v>491.36</v>
      </c>
      <c r="E7">
        <v>12.17</v>
      </c>
      <c r="F7">
        <v>104</v>
      </c>
      <c r="G7">
        <v>25.39</v>
      </c>
      <c r="H7" s="1">
        <f>IF(ISNUMBER(Main_L[[#This Row],[Free CF]]),IF(Main_L[[#This Row],[Free CF]]&lt;&gt;0,Main_L[[#This Row],[Current Price]]/Main_L[[#This Row],[Free CF]],""),"")</f>
        <v>40.374691865242397</v>
      </c>
      <c r="I7" s="1">
        <f>IF(ISNUMBER(Main_L[[#This Row],[BVPS]]),IF(Main_L[[#This Row],[BVPS]]&lt;&gt;0,Main_L[[#This Row],[Current Price]]/Main_L[[#This Row],[BVPS]],""),"")</f>
        <v>4.7246153846153849</v>
      </c>
      <c r="J7">
        <v>25.41</v>
      </c>
      <c r="K7">
        <v>6.4</v>
      </c>
      <c r="L7">
        <v>3.23</v>
      </c>
      <c r="M7" s="1">
        <f>IF(ISNUMBER(Main_L[[#This Row],[EPS]]),IF(Main_L[[#This Row],[EPS]]&lt;&gt;0,Main_L[[#This Row],[Current Price]]/Main_L[[#This Row],[EPS]],""),"")</f>
        <v>19.352500984639622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4.8566344709751526E-2</v>
      </c>
      <c r="P7" s="1">
        <f>(Main_L[[#This Row],[P/B]]-VLOOKUP(Main_L[[#This Row],[Industry]], Mean_PB_L, 2, FALSE))/(VLOOKUP(Main_L[[#This Row],[Industry]], Mean_PB_L, 3, FALSE))</f>
        <v>-0.71865847800855776</v>
      </c>
      <c r="Q7" s="1">
        <f>(Main_L[[#This Row],[ROE]]-VLOOKUP(Main_L[[#This Row],[Industry]], Mean_ROE_L, 2, FALSE))/(VLOOKUP(Main_L[[#This Row],[Industry]], Mean_ROE_L, 3, FALSE))</f>
        <v>0.87697062736391684</v>
      </c>
      <c r="R7" s="1">
        <f>(Main_L[[#This Row],[ROA]]-VLOOKUP(Main_L[[#This Row],[Industry]], Mean_ROA_L, 2, FALSE))/(VLOOKUP(Main_L[[#This Row],[Industry]], Mean_ROA_L, 3, FALSE))</f>
        <v>0.16854151464807163</v>
      </c>
      <c r="S7" s="1">
        <f>(Main_L[[#This Row],[A/E]]-VLOOKUP(Main_L[[#This Row],[Industry]], Mean_AE_L, 2, FALSE))/(VLOOKUP(Main_L[[#This Row],[Industry]], Mean_AE_L, 3, FALSE))</f>
        <v>1.294495161867772</v>
      </c>
      <c r="T7" s="1">
        <f>(Main_L[[#This Row],[P/E]]-VLOOKUP(Main_L[[#This Row],[Industry]], Mean_PE_L, 2, FALSE))/(VLOOKUP(Main_L[[#This Row],[Industry]], Mean_PE_L, 3, FALSE))</f>
        <v>-0.92394124337067496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7" t="s">
        <v>105</v>
      </c>
      <c r="B8" s="67" t="s">
        <v>114</v>
      </c>
      <c r="C8" s="2">
        <v>45678</v>
      </c>
      <c r="D8">
        <f>RTD("tos.rtd", , "LAST", Main_L[[#This Row],[Symbol]])</f>
        <v>245.41</v>
      </c>
      <c r="E8">
        <v>11.98</v>
      </c>
      <c r="F8">
        <v>101.98</v>
      </c>
      <c r="G8">
        <v>8.43</v>
      </c>
      <c r="H8" s="1">
        <f>IF(ISNUMBER(Main_L[[#This Row],[Free CF]]),IF(Main_L[[#This Row],[Free CF]]&lt;&gt;0,Main_L[[#This Row],[Current Price]]/Main_L[[#This Row],[Free CF]],""),"")</f>
        <v>20.484974958263773</v>
      </c>
      <c r="I8" s="1">
        <f>IF(ISNUMBER(Main_L[[#This Row],[BVPS]]),IF(Main_L[[#This Row],[BVPS]]&lt;&gt;0,Main_L[[#This Row],[Current Price]]/Main_L[[#This Row],[BVPS]],""),"")</f>
        <v>2.4064522455383406</v>
      </c>
      <c r="J8">
        <v>8.52</v>
      </c>
      <c r="K8">
        <v>4.0599999999999996</v>
      </c>
      <c r="L8">
        <v>2.16</v>
      </c>
      <c r="M8" s="1">
        <f>IF(ISNUMBER(Main_L[[#This Row],[EPS]]),IF(Main_L[[#This Row],[EPS]]&lt;&gt;0,Main_L[[#This Row],[Current Price]]/Main_L[[#This Row],[EPS]],""),"")</f>
        <v>29.111506524317914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-0.95261362190935606</v>
      </c>
      <c r="P8" s="1">
        <f>(Main_L[[#This Row],[P/B]]-VLOOKUP(Main_L[[#This Row],[Industry]], Mean_PB_L, 2, FALSE))/(VLOOKUP(Main_L[[#This Row],[Industry]], Mean_PB_L, 3, FALSE))</f>
        <v>-1.1025247051700502</v>
      </c>
      <c r="Q8" s="1">
        <f>(Main_L[[#This Row],[ROE]]-VLOOKUP(Main_L[[#This Row],[Industry]], Mean_ROE_L, 2, FALSE))/(VLOOKUP(Main_L[[#This Row],[Industry]], Mean_ROE_L, 3, FALSE))</f>
        <v>-1.3204567471268096</v>
      </c>
      <c r="R8" s="1">
        <f>(Main_L[[#This Row],[ROA]]-VLOOKUP(Main_L[[#This Row],[Industry]], Mean_ROA_L, 2, FALSE))/(VLOOKUP(Main_L[[#This Row],[Industry]], Mean_ROA_L, 3, FALSE))</f>
        <v>-0.70679370076213666</v>
      </c>
      <c r="S8" s="1">
        <f>(Main_L[[#This Row],[A/E]]-VLOOKUP(Main_L[[#This Row],[Industry]], Mean_AE_L, 2, FALSE))/(VLOOKUP(Main_L[[#This Row],[Industry]], Mean_AE_L, 3, FALSE))</f>
        <v>-0.8629967745785162</v>
      </c>
      <c r="T8" s="1">
        <f>(Main_L[[#This Row],[P/E]]-VLOOKUP(Main_L[[#This Row],[Industry]], Mean_PE_L, 2, FALSE))/(VLOOKUP(Main_L[[#This Row],[Industry]], Mean_PE_L, 3, FALSE))</f>
        <v>-0.42532721688705966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7" t="s">
        <v>105</v>
      </c>
      <c r="B9" s="67" t="s">
        <v>576</v>
      </c>
      <c r="C9" s="2">
        <v>32370</v>
      </c>
      <c r="D9">
        <f>RTD("tos.rtd", , "LAST", Main_L[[#This Row],[Symbol]])</f>
        <v>185.11</v>
      </c>
      <c r="E9">
        <v>6.68</v>
      </c>
      <c r="F9">
        <v>11.17</v>
      </c>
      <c r="G9">
        <v>3.4</v>
      </c>
      <c r="H9" s="1">
        <f>IF(ISNUMBER(Main_L[[#This Row],[Free CF]]),IF(Main_L[[#This Row],[Free CF]]&lt;&gt;0,Main_L[[#This Row],[Current Price]]/Main_L[[#This Row],[Free CF]],""),"")</f>
        <v>27.711077844311379</v>
      </c>
      <c r="I9" s="1">
        <f>IF(ISNUMBER(Main_L[[#This Row],[BVPS]]),IF(Main_L[[#This Row],[BVPS]]&lt;&gt;0,Main_L[[#This Row],[Current Price]]/Main_L[[#This Row],[BVPS]],""),"")</f>
        <v>16.572068039391226</v>
      </c>
      <c r="J9">
        <v>32.25</v>
      </c>
      <c r="K9">
        <v>7.82</v>
      </c>
      <c r="L9">
        <v>3.46</v>
      </c>
      <c r="M9" s="1">
        <f>IF(ISNUMBER(Main_L[[#This Row],[EPS]]),IF(Main_L[[#This Row],[EPS]]&lt;&gt;0,Main_L[[#This Row],[Current Price]]/Main_L[[#This Row],[EPS]],""),"")</f>
        <v>54.444117647058832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-0.58887644656016869</v>
      </c>
      <c r="P9" s="1">
        <f>(Main_L[[#This Row],[P/B]]-VLOOKUP(Main_L[[#This Row],[Industry]], Mean_PB_L, 2, FALSE))/(VLOOKUP(Main_L[[#This Row],[Industry]], Mean_PB_L, 3, FALSE))</f>
        <v>1.2431693482564605</v>
      </c>
      <c r="Q9" s="1">
        <f>(Main_L[[#This Row],[ROE]]-VLOOKUP(Main_L[[#This Row],[Industry]], Mean_ROE_L, 2, FALSE))/(VLOOKUP(Main_L[[#This Row],[Industry]], Mean_ROE_L, 3, FALSE))</f>
        <v>1.7668701680102501</v>
      </c>
      <c r="R9" s="1">
        <f>(Main_L[[#This Row],[ROA]]-VLOOKUP(Main_L[[#This Row],[Industry]], Mean_ROA_L, 2, FALSE))/(VLOOKUP(Main_L[[#This Row],[Industry]], Mean_ROA_L, 3, FALSE))</f>
        <v>0.6997278419482833</v>
      </c>
      <c r="S9" s="1">
        <f>(Main_L[[#This Row],[A/E]]-VLOOKUP(Main_L[[#This Row],[Industry]], Mean_AE_L, 2, FALSE))/(VLOOKUP(Main_L[[#This Row],[Industry]], Mean_AE_L, 3, FALSE))</f>
        <v>1.7582551108235163</v>
      </c>
      <c r="T9" s="1">
        <f>(Main_L[[#This Row],[P/E]]-VLOOKUP(Main_L[[#This Row],[Industry]], Mean_PE_L, 2, FALSE))/(VLOOKUP(Main_L[[#This Row],[Industry]], Mean_PE_L, 3, FALSE))</f>
        <v>0.86898450185286613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s="67" t="s">
        <v>105</v>
      </c>
      <c r="B10" s="67" t="s">
        <v>112</v>
      </c>
      <c r="C10" s="2">
        <v>41695</v>
      </c>
      <c r="D10">
        <f>RTD("tos.rtd", , "LAST", Main_L[[#This Row],[Symbol]])</f>
        <v>303.72000000000003</v>
      </c>
      <c r="E10">
        <v>5.49</v>
      </c>
      <c r="F10">
        <v>29.01</v>
      </c>
      <c r="G10">
        <v>4.28</v>
      </c>
      <c r="H10" s="1">
        <f>IF(ISNUMBER(Main_L[[#This Row],[Free CF]]),IF(Main_L[[#This Row],[Free CF]]&lt;&gt;0,Main_L[[#This Row],[Current Price]]/Main_L[[#This Row],[Free CF]],""),"")</f>
        <v>55.322404371584703</v>
      </c>
      <c r="I10" s="1">
        <f>IF(ISNUMBER(Main_L[[#This Row],[BVPS]]),IF(Main_L[[#This Row],[BVPS]]&lt;&gt;0,Main_L[[#This Row],[Current Price]]/Main_L[[#This Row],[BVPS]],""),"")</f>
        <v>10.469493278179938</v>
      </c>
      <c r="J10">
        <v>15.71</v>
      </c>
      <c r="K10">
        <v>7.34</v>
      </c>
      <c r="L10">
        <v>2.0099999999999998</v>
      </c>
      <c r="M10" s="1">
        <f>IF(ISNUMBER(Main_L[[#This Row],[EPS]]),IF(Main_L[[#This Row],[EPS]]&lt;&gt;0,Main_L[[#This Row],[Current Price]]/Main_L[[#This Row],[EPS]],""),"")</f>
        <v>70.962616822429908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0.80098280081732809</v>
      </c>
      <c r="P10" s="1">
        <f>(Main_L[[#This Row],[P/B]]-VLOOKUP(Main_L[[#This Row],[Industry]], Mean_PB_L, 2, FALSE))/(VLOOKUP(Main_L[[#This Row],[Industry]], Mean_PB_L, 3, FALSE))</f>
        <v>0.232639800068667</v>
      </c>
      <c r="Q10" s="1">
        <f>(Main_L[[#This Row],[ROE]]-VLOOKUP(Main_L[[#This Row],[Industry]], Mean_ROE_L, 2, FALSE))/(VLOOKUP(Main_L[[#This Row],[Industry]], Mean_ROE_L, 3, FALSE))</f>
        <v>-0.38502141127196499</v>
      </c>
      <c r="R10" s="1">
        <f>(Main_L[[#This Row],[ROA]]-VLOOKUP(Main_L[[#This Row],[Industry]], Mean_ROA_L, 2, FALSE))/(VLOOKUP(Main_L[[#This Row],[Industry]], Mean_ROA_L, 3, FALSE))</f>
        <v>0.5201719003256764</v>
      </c>
      <c r="S10" s="1">
        <f>(Main_L[[#This Row],[A/E]]-VLOOKUP(Main_L[[#This Row],[Industry]], Mean_AE_L, 2, FALSE))/(VLOOKUP(Main_L[[#This Row],[Industry]], Mean_AE_L, 3, FALSE))</f>
        <v>-1.1654489152018284</v>
      </c>
      <c r="T10" s="1">
        <f>(Main_L[[#This Row],[P/E]]-VLOOKUP(Main_L[[#This Row],[Industry]], Mean_PE_L, 2, FALSE))/(VLOOKUP(Main_L[[#This Row],[Industry]], Mean_PE_L, 3, FALSE))</f>
        <v>1.7129593671002081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s="67" t="s">
        <v>105</v>
      </c>
      <c r="B11" s="67" t="s">
        <v>121</v>
      </c>
      <c r="C11" s="2">
        <v>12872</v>
      </c>
      <c r="D11">
        <f>RTD("tos.rtd", , "LAST", Main_L[[#This Row],[Symbol]])</f>
        <v>234.56</v>
      </c>
      <c r="E11">
        <v>5.29</v>
      </c>
      <c r="F11">
        <v>39.229999999999997</v>
      </c>
      <c r="G11">
        <v>6.19</v>
      </c>
      <c r="H11" s="1">
        <f>IF(ISNUMBER(Main_L[[#This Row],[Free CF]]),IF(Main_L[[#This Row],[Free CF]]&lt;&gt;0,Main_L[[#This Row],[Current Price]]/Main_L[[#This Row],[Free CF]],""),"")</f>
        <v>44.340264650283551</v>
      </c>
      <c r="I11" s="1">
        <f>IF(ISNUMBER(Main_L[[#This Row],[BVPS]]),IF(Main_L[[#This Row],[BVPS]]&lt;&gt;0,Main_L[[#This Row],[Current Price]]/Main_L[[#This Row],[BVPS]],""),"")</f>
        <v>5.979097629365282</v>
      </c>
      <c r="J11">
        <v>16.34</v>
      </c>
      <c r="K11">
        <v>6.12</v>
      </c>
      <c r="L11">
        <v>1.92</v>
      </c>
      <c r="M11" s="1">
        <f>IF(ISNUMBER(Main_L[[#This Row],[EPS]]),IF(Main_L[[#This Row],[EPS]]&lt;&gt;0,Main_L[[#This Row],[Current Price]]/Main_L[[#This Row],[EPS]],""),"")</f>
        <v>37.893376413570273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0.24817964474420889</v>
      </c>
      <c r="P11" s="1">
        <f>(Main_L[[#This Row],[P/B]]-VLOOKUP(Main_L[[#This Row],[Industry]], Mean_PB_L, 2, FALSE))/(VLOOKUP(Main_L[[#This Row],[Industry]], Mean_PB_L, 3, FALSE))</f>
        <v>-0.51092790106350761</v>
      </c>
      <c r="Q11" s="1">
        <f>(Main_L[[#This Row],[ROE]]-VLOOKUP(Main_L[[#This Row],[Industry]], Mean_ROE_L, 2, FALSE))/(VLOOKUP(Main_L[[#This Row],[Industry]], Mean_ROE_L, 3, FALSE))</f>
        <v>-0.30305697989664493</v>
      </c>
      <c r="R11" s="1">
        <f>(Main_L[[#This Row],[ROA]]-VLOOKUP(Main_L[[#This Row],[Industry]], Mean_ROA_L, 2, FALSE))/(VLOOKUP(Main_L[[#This Row],[Industry]], Mean_ROA_L, 3, FALSE))</f>
        <v>6.3800548701550927E-2</v>
      </c>
      <c r="S11" s="1">
        <f>(Main_L[[#This Row],[A/E]]-VLOOKUP(Main_L[[#This Row],[Industry]], Mean_AE_L, 2, FALSE))/(VLOOKUP(Main_L[[#This Row],[Industry]], Mean_AE_L, 3, FALSE))</f>
        <v>-1.3469201995758149</v>
      </c>
      <c r="T11" s="1">
        <f>(Main_L[[#This Row],[P/E]]-VLOOKUP(Main_L[[#This Row],[Industry]], Mean_PE_L, 2, FALSE))/(VLOOKUP(Main_L[[#This Row],[Industry]], Mean_PE_L, 3, FALSE))</f>
        <v>2.3362302524739594E-2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7" t="s">
        <v>105</v>
      </c>
      <c r="B12" s="67" t="s">
        <v>106</v>
      </c>
      <c r="C12" s="2">
        <v>58416</v>
      </c>
      <c r="D12">
        <f>RTD("tos.rtd", , "LAST", Main_L[[#This Row],[Symbol]])</f>
        <v>783.8</v>
      </c>
      <c r="E12">
        <v>4.76</v>
      </c>
      <c r="F12">
        <v>32.83</v>
      </c>
      <c r="G12">
        <v>4.16</v>
      </c>
      <c r="H12" s="1">
        <f>IF(ISNUMBER(Main_L[[#This Row],[Free CF]]),IF(Main_L[[#This Row],[Free CF]]&lt;&gt;0,Main_L[[#This Row],[Current Price]]/Main_L[[#This Row],[Free CF]],""),"")</f>
        <v>164.66386554621849</v>
      </c>
      <c r="I12" s="1">
        <f>IF(ISNUMBER(Main_L[[#This Row],[BVPS]]),IF(Main_L[[#This Row],[BVPS]]&lt;&gt;0,Main_L[[#This Row],[Current Price]]/Main_L[[#This Row],[BVPS]],""),"")</f>
        <v>23.874505025890954</v>
      </c>
      <c r="J12">
        <v>15.17</v>
      </c>
      <c r="K12">
        <v>0.68</v>
      </c>
      <c r="L12">
        <v>2.38</v>
      </c>
      <c r="M12" s="1">
        <f>IF(ISNUMBER(Main_L[[#This Row],[EPS]]),IF(Main_L[[#This Row],[EPS]]&lt;&gt;0,Main_L[[#This Row],[Current Price]]/Main_L[[#This Row],[EPS]],""),"")</f>
        <v>188.41346153846152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6.3048560314360529</v>
      </c>
      <c r="P12" s="1">
        <f>(Main_L[[#This Row],[P/B]]-VLOOKUP(Main_L[[#This Row],[Industry]], Mean_PB_L, 2, FALSE))/(VLOOKUP(Main_L[[#This Row],[Industry]], Mean_PB_L, 3, FALSE))</f>
        <v>2.4523849068336885</v>
      </c>
      <c r="Q12" s="1">
        <f>(Main_L[[#This Row],[ROE]]-VLOOKUP(Main_L[[#This Row],[Industry]], Mean_ROE_L, 2, FALSE))/(VLOOKUP(Main_L[[#This Row],[Industry]], Mean_ROE_L, 3, FALSE))</f>
        <v>-0.45527663816509667</v>
      </c>
      <c r="R12" s="1">
        <f>(Main_L[[#This Row],[ROA]]-VLOOKUP(Main_L[[#This Row],[Industry]], Mean_ROA_L, 2, FALSE))/(VLOOKUP(Main_L[[#This Row],[Industry]], Mean_ROA_L, 3, FALSE))</f>
        <v>-1.9711667896879927</v>
      </c>
      <c r="S12" s="1">
        <f>(Main_L[[#This Row],[A/E]]-VLOOKUP(Main_L[[#This Row],[Industry]], Mean_AE_L, 2, FALSE))/(VLOOKUP(Main_L[[#This Row],[Industry]], Mean_AE_L, 3, FALSE))</f>
        <v>-0.41940030166432651</v>
      </c>
      <c r="T12" s="1">
        <f>(Main_L[[#This Row],[P/E]]-VLOOKUP(Main_L[[#This Row],[Industry]], Mean_PE_L, 2, FALSE))/(VLOOKUP(Main_L[[#This Row],[Industry]], Mean_PE_L, 3, FALSE))</f>
        <v>7.7138411536365137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" spans="1:26" x14ac:dyDescent="0.25">
      <c r="A13" s="67" t="s">
        <v>105</v>
      </c>
      <c r="B13" s="67" t="s">
        <v>111</v>
      </c>
      <c r="C13" s="2">
        <v>262235</v>
      </c>
      <c r="D13">
        <f>RTD("tos.rtd", , "LAST", Main_L[[#This Row],[Symbol]])</f>
        <v>251.41</v>
      </c>
      <c r="E13">
        <v>3.88</v>
      </c>
      <c r="F13">
        <v>18.05</v>
      </c>
      <c r="G13">
        <v>6.34</v>
      </c>
      <c r="H13" s="1">
        <f>IF(ISNUMBER(Main_L[[#This Row],[Free CF]]),IF(Main_L[[#This Row],[Free CF]]&lt;&gt;0,Main_L[[#This Row],[Current Price]]/Main_L[[#This Row],[Free CF]],""),"")</f>
        <v>64.796391752577321</v>
      </c>
      <c r="I13" s="1">
        <f>IF(ISNUMBER(Main_L[[#This Row],[BVPS]]),IF(Main_L[[#This Row],[BVPS]]&lt;&gt;0,Main_L[[#This Row],[Current Price]]/Main_L[[#This Row],[BVPS]],""),"")</f>
        <v>13.928531855955677</v>
      </c>
      <c r="J13">
        <v>27.2</v>
      </c>
      <c r="K13">
        <v>3.72</v>
      </c>
      <c r="L13">
        <v>6.45</v>
      </c>
      <c r="M13" s="1">
        <f>IF(ISNUMBER(Main_L[[#This Row],[EPS]]),IF(Main_L[[#This Row],[EPS]]&lt;&gt;0,Main_L[[#This Row],[Current Price]]/Main_L[[#This Row],[EPS]],""),"")</f>
        <v>39.654574132492115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1.2778707532307692</v>
      </c>
      <c r="P13" s="1">
        <f>(Main_L[[#This Row],[P/B]]-VLOOKUP(Main_L[[#This Row],[Industry]], Mean_PB_L, 2, FALSE))/(VLOOKUP(Main_L[[#This Row],[Industry]], Mean_PB_L, 3, FALSE))</f>
        <v>0.8054243750945137</v>
      </c>
      <c r="Q13" s="1">
        <f>(Main_L[[#This Row],[ROE]]-VLOOKUP(Main_L[[#This Row],[Industry]], Mean_ROE_L, 2, FALSE))/(VLOOKUP(Main_L[[#This Row],[Industry]], Mean_ROE_L, 3, FALSE))</f>
        <v>1.1098536942874455</v>
      </c>
      <c r="R13" s="1">
        <f>(Main_L[[#This Row],[ROA]]-VLOOKUP(Main_L[[#This Row],[Industry]], Mean_ROA_L, 2, FALSE))/(VLOOKUP(Main_L[[#This Row],[Industry]], Mean_ROA_L, 3, FALSE))</f>
        <v>-0.83397915941148293</v>
      </c>
      <c r="S13" s="1">
        <f>(Main_L[[#This Row],[A/E]]-VLOOKUP(Main_L[[#This Row],[Industry]], Mean_AE_L, 2, FALSE))/(VLOOKUP(Main_L[[#This Row],[Industry]], Mean_AE_L, 3, FALSE))</f>
        <v>7.7871344472481923</v>
      </c>
      <c r="T13" s="1">
        <f>(Main_L[[#This Row],[P/E]]-VLOOKUP(Main_L[[#This Row],[Industry]], Mean_PE_L, 2, FALSE))/(VLOOKUP(Main_L[[#This Row],[Industry]], Mean_PE_L, 3, FALSE))</f>
        <v>0.11334666440412909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7" t="s">
        <v>105</v>
      </c>
      <c r="B14" s="67" t="s">
        <v>118</v>
      </c>
      <c r="C14" s="2">
        <v>182331</v>
      </c>
      <c r="D14">
        <f>RTD("tos.rtd", , "LAST", Main_L[[#This Row],[Symbol]])</f>
        <v>140.97999999999999</v>
      </c>
      <c r="E14">
        <v>3.67</v>
      </c>
      <c r="F14">
        <v>46.05</v>
      </c>
      <c r="G14">
        <v>3.41</v>
      </c>
      <c r="H14" s="1">
        <f>IF(ISNUMBER(Main_L[[#This Row],[Free CF]]),IF(Main_L[[#This Row],[Free CF]]&lt;&gt;0,Main_L[[#This Row],[Current Price]]/Main_L[[#This Row],[Free CF]],""),"")</f>
        <v>38.414168937329698</v>
      </c>
      <c r="I14" s="1">
        <f>IF(ISNUMBER(Main_L[[#This Row],[BVPS]]),IF(Main_L[[#This Row],[BVPS]]&lt;&gt;0,Main_L[[#This Row],[Current Price]]/Main_L[[#This Row],[BVPS]],""),"")</f>
        <v>3.0614549402823017</v>
      </c>
      <c r="J14">
        <v>7.8</v>
      </c>
      <c r="K14">
        <v>3.47</v>
      </c>
      <c r="L14">
        <v>2.68</v>
      </c>
      <c r="M14" s="1">
        <f>IF(ISNUMBER(Main_L[[#This Row],[EPS]]),IF(Main_L[[#This Row],[EPS]]&lt;&gt;0,Main_L[[#This Row],[Current Price]]/Main_L[[#This Row],[EPS]],""),"")</f>
        <v>41.34310850439882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-5.0119639042734074E-2</v>
      </c>
      <c r="P14" s="1">
        <f>(Main_L[[#This Row],[P/B]]-VLOOKUP(Main_L[[#This Row],[Industry]], Mean_PB_L, 2, FALSE))/(VLOOKUP(Main_L[[#This Row],[Industry]], Mean_PB_L, 3, FALSE))</f>
        <v>-0.99406235885214567</v>
      </c>
      <c r="Q14" s="1">
        <f>(Main_L[[#This Row],[ROE]]-VLOOKUP(Main_L[[#This Row],[Industry]], Mean_ROE_L, 2, FALSE))/(VLOOKUP(Main_L[[#This Row],[Industry]], Mean_ROE_L, 3, FALSE))</f>
        <v>-1.4141303829843181</v>
      </c>
      <c r="R14" s="1">
        <f>(Main_L[[#This Row],[ROA]]-VLOOKUP(Main_L[[#This Row],[Industry]], Mean_ROA_L, 2, FALSE))/(VLOOKUP(Main_L[[#This Row],[Industry]], Mean_ROA_L, 3, FALSE))</f>
        <v>-0.92749787900659064</v>
      </c>
      <c r="S14" s="1">
        <f>(Main_L[[#This Row],[A/E]]-VLOOKUP(Main_L[[#This Row],[Industry]], Mean_AE_L, 2, FALSE))/(VLOOKUP(Main_L[[#This Row],[Industry]], Mean_AE_L, 3, FALSE))</f>
        <v>0.18550397958229697</v>
      </c>
      <c r="T14" s="1">
        <f>(Main_L[[#This Row],[P/E]]-VLOOKUP(Main_L[[#This Row],[Industry]], Mean_PE_L, 2, FALSE))/(VLOOKUP(Main_L[[#This Row],[Industry]], Mean_PE_L, 3, FALSE))</f>
        <v>0.19961845906694253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7" t="s">
        <v>105</v>
      </c>
      <c r="B15" s="67" t="s">
        <v>108</v>
      </c>
      <c r="C15" s="2">
        <v>11475</v>
      </c>
      <c r="D15">
        <f>RTD("tos.rtd", , "LAST", Main_L[[#This Row],[Symbol]])</f>
        <v>132.62</v>
      </c>
      <c r="E15">
        <v>2.94</v>
      </c>
      <c r="F15">
        <v>12.04</v>
      </c>
      <c r="G15">
        <v>3.14</v>
      </c>
      <c r="H15" s="1">
        <f>IF(ISNUMBER(Main_L[[#This Row],[Free CF]]),IF(Main_L[[#This Row],[Free CF]]&lt;&gt;0,Main_L[[#This Row],[Current Price]]/Main_L[[#This Row],[Free CF]],""),"")</f>
        <v>45.10884353741497</v>
      </c>
      <c r="I15" s="1">
        <f>IF(ISNUMBER(Main_L[[#This Row],[BVPS]]),IF(Main_L[[#This Row],[BVPS]]&lt;&gt;0,Main_L[[#This Row],[Current Price]]/Main_L[[#This Row],[BVPS]],""),"")</f>
        <v>11.014950166112959</v>
      </c>
      <c r="J15">
        <v>28.28</v>
      </c>
      <c r="K15">
        <v>6.94</v>
      </c>
      <c r="L15">
        <v>2.78</v>
      </c>
      <c r="M15" s="1">
        <f>IF(ISNUMBER(Main_L[[#This Row],[EPS]]),IF(Main_L[[#This Row],[EPS]]&lt;&gt;0,Main_L[[#This Row],[Current Price]]/Main_L[[#This Row],[EPS]],""),"")</f>
        <v>42.235668789808919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0.28686726348514724</v>
      </c>
      <c r="P15" s="1">
        <f>(Main_L[[#This Row],[P/B]]-VLOOKUP(Main_L[[#This Row],[Industry]], Mean_PB_L, 2, FALSE))/(VLOOKUP(Main_L[[#This Row],[Industry]], Mean_PB_L, 3, FALSE))</f>
        <v>0.32296238096064922</v>
      </c>
      <c r="Q15" s="1">
        <f>(Main_L[[#This Row],[ROE]]-VLOOKUP(Main_L[[#This Row],[Industry]], Mean_ROE_L, 2, FALSE))/(VLOOKUP(Main_L[[#This Row],[Industry]], Mean_ROE_L, 3, FALSE))</f>
        <v>1.2503641480737089</v>
      </c>
      <c r="R15" s="1">
        <f>(Main_L[[#This Row],[ROA]]-VLOOKUP(Main_L[[#This Row],[Industry]], Mean_ROA_L, 2, FALSE))/(VLOOKUP(Main_L[[#This Row],[Industry]], Mean_ROA_L, 3, FALSE))</f>
        <v>0.37054194897350429</v>
      </c>
      <c r="S15" s="1">
        <f>(Main_L[[#This Row],[A/E]]-VLOOKUP(Main_L[[#This Row],[Industry]], Mean_AE_L, 2, FALSE))/(VLOOKUP(Main_L[[#This Row],[Industry]], Mean_AE_L, 3, FALSE))</f>
        <v>0.38713873999783721</v>
      </c>
      <c r="T15" s="1">
        <f>(Main_L[[#This Row],[P/E]]-VLOOKUP(Main_L[[#This Row],[Industry]], Mean_PE_L, 2, FALSE))/(VLOOKUP(Main_L[[#This Row],[Industry]], Mean_PE_L, 3, FALSE))</f>
        <v>0.24522178165736758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7" t="s">
        <v>105</v>
      </c>
      <c r="B16" s="67" t="s">
        <v>120</v>
      </c>
      <c r="C16" s="2">
        <v>13365</v>
      </c>
      <c r="D16">
        <f>RTD("tos.rtd", , "LAST", Main_L[[#This Row],[Symbol]])</f>
        <v>77.08</v>
      </c>
      <c r="E16">
        <v>2.92</v>
      </c>
      <c r="F16">
        <v>40.29</v>
      </c>
      <c r="G16">
        <v>4.4400000000000004</v>
      </c>
      <c r="H16" s="1">
        <f>IF(ISNUMBER(Main_L[[#This Row],[Free CF]]),IF(Main_L[[#This Row],[Free CF]]&lt;&gt;0,Main_L[[#This Row],[Current Price]]/Main_L[[#This Row],[Free CF]],""),"")</f>
        <v>26.397260273972602</v>
      </c>
      <c r="I16" s="1">
        <f>IF(ISNUMBER(Main_L[[#This Row],[BVPS]]),IF(Main_L[[#This Row],[BVPS]]&lt;&gt;0,Main_L[[#This Row],[Current Price]]/Main_L[[#This Row],[BVPS]],""),"")</f>
        <v>1.9131298088855795</v>
      </c>
      <c r="J16">
        <v>11.7</v>
      </c>
      <c r="K16">
        <v>4.26</v>
      </c>
      <c r="L16">
        <v>2.33</v>
      </c>
      <c r="M16" s="1">
        <f>IF(ISNUMBER(Main_L[[#This Row],[EPS]]),IF(Main_L[[#This Row],[EPS]]&lt;&gt;0,Main_L[[#This Row],[Current Price]]/Main_L[[#This Row],[EPS]],""),"")</f>
        <v>17.360360360360357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-0.65500950603844899</v>
      </c>
      <c r="P16" s="1">
        <f>(Main_L[[#This Row],[P/B]]-VLOOKUP(Main_L[[#This Row],[Industry]], Mean_PB_L, 2, FALSE))/(VLOOKUP(Main_L[[#This Row],[Industry]], Mean_PB_L, 3, FALSE))</f>
        <v>-1.1842143064495381</v>
      </c>
      <c r="Q16" s="1">
        <f>(Main_L[[#This Row],[ROE]]-VLOOKUP(Main_L[[#This Row],[Industry]], Mean_ROE_L, 2, FALSE))/(VLOOKUP(Main_L[[#This Row],[Industry]], Mean_ROE_L, 3, FALSE))</f>
        <v>-0.90673152208947927</v>
      </c>
      <c r="R16" s="1">
        <f>(Main_L[[#This Row],[ROA]]-VLOOKUP(Main_L[[#This Row],[Industry]], Mean_ROA_L, 2, FALSE))/(VLOOKUP(Main_L[[#This Row],[Industry]], Mean_ROA_L, 3, FALSE))</f>
        <v>-0.63197872508605046</v>
      </c>
      <c r="S16" s="1">
        <f>(Main_L[[#This Row],[A/E]]-VLOOKUP(Main_L[[#This Row],[Industry]], Mean_AE_L, 2, FALSE))/(VLOOKUP(Main_L[[#This Row],[Industry]], Mean_AE_L, 3, FALSE))</f>
        <v>-0.5202176818720966</v>
      </c>
      <c r="T16" s="1">
        <f>(Main_L[[#This Row],[P/E]]-VLOOKUP(Main_L[[#This Row],[Industry]], Mean_PE_L, 2, FALSE))/(VLOOKUP(Main_L[[#This Row],[Industry]], Mean_PE_L, 3, FALSE))</f>
        <v>-1.0257251038219122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7" t="s">
        <v>105</v>
      </c>
      <c r="B17" s="67" t="s">
        <v>113</v>
      </c>
      <c r="C17" s="2">
        <v>68580</v>
      </c>
      <c r="D17">
        <f>RTD("tos.rtd", , "LAST", Main_L[[#This Row],[Symbol]])</f>
        <v>172.87</v>
      </c>
      <c r="E17">
        <v>2.4900000000000002</v>
      </c>
      <c r="F17">
        <v>11.73</v>
      </c>
      <c r="G17">
        <v>3.06</v>
      </c>
      <c r="H17" s="1">
        <f>IF(ISNUMBER(Main_L[[#This Row],[Free CF]]),IF(Main_L[[#This Row],[Free CF]]&lt;&gt;0,Main_L[[#This Row],[Current Price]]/Main_L[[#This Row],[Free CF]],""),"")</f>
        <v>69.425702811244975</v>
      </c>
      <c r="I17" s="1">
        <f>IF(ISNUMBER(Main_L[[#This Row],[BVPS]]),IF(Main_L[[#This Row],[BVPS]]&lt;&gt;0,Main_L[[#This Row],[Current Price]]/Main_L[[#This Row],[BVPS]],""),"")</f>
        <v>14.737425404944586</v>
      </c>
      <c r="J17">
        <v>28.3</v>
      </c>
      <c r="K17">
        <v>10.199999999999999</v>
      </c>
      <c r="L17">
        <v>2.27</v>
      </c>
      <c r="M17" s="1">
        <f>IF(ISNUMBER(Main_L[[#This Row],[EPS]]),IF(Main_L[[#This Row],[EPS]]&lt;&gt;0,Main_L[[#This Row],[Current Price]]/Main_L[[#This Row],[EPS]],""),"")</f>
        <v>56.493464052287585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1.5108943559729562</v>
      </c>
      <c r="P17" s="1">
        <f>(Main_L[[#This Row],[P/B]]-VLOOKUP(Main_L[[#This Row],[Industry]], Mean_PB_L, 2, FALSE))/(VLOOKUP(Main_L[[#This Row],[Industry]], Mean_PB_L, 3, FALSE))</f>
        <v>0.93936961371532435</v>
      </c>
      <c r="Q17" s="1">
        <f>(Main_L[[#This Row],[ROE]]-VLOOKUP(Main_L[[#This Row],[Industry]], Mean_ROE_L, 2, FALSE))/(VLOOKUP(Main_L[[#This Row],[Industry]], Mean_ROE_L, 3, FALSE))</f>
        <v>1.2529661935141951</v>
      </c>
      <c r="R17" s="1">
        <f>(Main_L[[#This Row],[ROA]]-VLOOKUP(Main_L[[#This Row],[Industry]], Mean_ROA_L, 2, FALSE))/(VLOOKUP(Main_L[[#This Row],[Industry]], Mean_ROA_L, 3, FALSE))</f>
        <v>1.5900260524937082</v>
      </c>
      <c r="S17" s="1">
        <f>(Main_L[[#This Row],[A/E]]-VLOOKUP(Main_L[[#This Row],[Industry]], Mean_AE_L, 2, FALSE))/(VLOOKUP(Main_L[[#This Row],[Industry]], Mean_AE_L, 3, FALSE))</f>
        <v>-0.64119853812142136</v>
      </c>
      <c r="T17" s="1">
        <f>(Main_L[[#This Row],[P/E]]-VLOOKUP(Main_L[[#This Row],[Industry]], Mean_PE_L, 2, FALSE))/(VLOOKUP(Main_L[[#This Row],[Industry]], Mean_PE_L, 3, FALSE))</f>
        <v>0.97369116060167515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7" t="s">
        <v>105</v>
      </c>
      <c r="B18" s="67" t="s">
        <v>544</v>
      </c>
      <c r="C18" s="2">
        <v>11235</v>
      </c>
      <c r="D18">
        <f>RTD("tos.rtd", , "LAST", Main_L[[#This Row],[Symbol]])</f>
        <v>84.58</v>
      </c>
      <c r="E18">
        <v>1.39</v>
      </c>
      <c r="F18">
        <v>13.28</v>
      </c>
      <c r="G18">
        <v>2.76</v>
      </c>
      <c r="H18" s="1">
        <f>IF(ISNUMBER(Main_L[[#This Row],[Free CF]]),IF(Main_L[[#This Row],[Free CF]]&lt;&gt;0,Main_L[[#This Row],[Current Price]]/Main_L[[#This Row],[Free CF]],""),"")</f>
        <v>60.848920863309353</v>
      </c>
      <c r="I18" s="1">
        <f>IF(ISNUMBER(Main_L[[#This Row],[BVPS]]),IF(Main_L[[#This Row],[BVPS]]&lt;&gt;0,Main_L[[#This Row],[Current Price]]/Main_L[[#This Row],[BVPS]],""),"")</f>
        <v>6.3689759036144578</v>
      </c>
      <c r="J18">
        <v>24.72</v>
      </c>
      <c r="K18">
        <v>7.28</v>
      </c>
      <c r="L18">
        <v>2.77</v>
      </c>
      <c r="M18" s="1">
        <f>IF(ISNUMBER(Main_L[[#This Row],[EPS]]),IF(Main_L[[#This Row],[EPS]]&lt;&gt;0,Main_L[[#This Row],[Current Price]]/Main_L[[#This Row],[EPS]],""),"")</f>
        <v>30.644927536231886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1.0791686403937315</v>
      </c>
      <c r="P18" s="1">
        <f>(Main_L[[#This Row],[P/B]]-VLOOKUP(Main_L[[#This Row],[Industry]], Mean_PB_L, 2, FALSE))/(VLOOKUP(Main_L[[#This Row],[Industry]], Mean_PB_L, 3, FALSE))</f>
        <v>-0.44636768971968871</v>
      </c>
      <c r="Q18" s="1">
        <f>(Main_L[[#This Row],[ROE]]-VLOOKUP(Main_L[[#This Row],[Industry]], Mean_ROE_L, 2, FALSE))/(VLOOKUP(Main_L[[#This Row],[Industry]], Mean_ROE_L, 3, FALSE))</f>
        <v>0.78720005966713746</v>
      </c>
      <c r="R18" s="1">
        <f>(Main_L[[#This Row],[ROA]]-VLOOKUP(Main_L[[#This Row],[Industry]], Mean_ROA_L, 2, FALSE))/(VLOOKUP(Main_L[[#This Row],[Industry]], Mean_ROA_L, 3, FALSE))</f>
        <v>0.49772740762285067</v>
      </c>
      <c r="S18" s="1">
        <f>(Main_L[[#This Row],[A/E]]-VLOOKUP(Main_L[[#This Row],[Industry]], Mean_AE_L, 2, FALSE))/(VLOOKUP(Main_L[[#This Row],[Industry]], Mean_AE_L, 3, FALSE))</f>
        <v>0.36697526395628355</v>
      </c>
      <c r="T18" s="1">
        <f>(Main_L[[#This Row],[P/E]]-VLOOKUP(Main_L[[#This Row],[Industry]], Mean_PE_L, 2, FALSE))/(VLOOKUP(Main_L[[#This Row],[Industry]], Mean_PE_L, 3, FALSE))</f>
        <v>-0.34698058392980341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7" t="s">
        <v>105</v>
      </c>
      <c r="B19" s="67" t="s">
        <v>583</v>
      </c>
      <c r="C19" s="2">
        <v>12287</v>
      </c>
      <c r="D19">
        <f>RTD("tos.rtd", , "LAST", Main_L[[#This Row],[Symbol]])</f>
        <v>55.32</v>
      </c>
      <c r="E19">
        <v>0.8</v>
      </c>
      <c r="F19">
        <v>8.44</v>
      </c>
      <c r="G19">
        <v>0.86</v>
      </c>
      <c r="H19" s="1">
        <f>IF(ISNUMBER(Main_L[[#This Row],[Free CF]]),IF(Main_L[[#This Row],[Free CF]]&lt;&gt;0,Main_L[[#This Row],[Current Price]]/Main_L[[#This Row],[Free CF]],""),"")</f>
        <v>69.149999999999991</v>
      </c>
      <c r="I19" s="1">
        <f>IF(ISNUMBER(Main_L[[#This Row],[BVPS]]),IF(Main_L[[#This Row],[BVPS]]&lt;&gt;0,Main_L[[#This Row],[Current Price]]/Main_L[[#This Row],[BVPS]],""),"")</f>
        <v>6.5545023696682465</v>
      </c>
      <c r="J19">
        <v>10.43</v>
      </c>
      <c r="K19">
        <v>2.52</v>
      </c>
      <c r="L19">
        <v>5.29</v>
      </c>
      <c r="M19" s="1">
        <f>IF(ISNUMBER(Main_L[[#This Row],[EPS]]),IF(Main_L[[#This Row],[EPS]]&lt;&gt;0,Main_L[[#This Row],[Current Price]]/Main_L[[#This Row],[EPS]],""),"")</f>
        <v>64.325581395348834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1.4970164243437636</v>
      </c>
      <c r="P19" s="1">
        <f>(Main_L[[#This Row],[P/B]]-VLOOKUP(Main_L[[#This Row],[Industry]], Mean_PB_L, 2, FALSE))/(VLOOKUP(Main_L[[#This Row],[Industry]], Mean_PB_L, 3, FALSE))</f>
        <v>-0.41564623471845569</v>
      </c>
      <c r="Q19" s="1">
        <f>(Main_L[[#This Row],[ROE]]-VLOOKUP(Main_L[[#This Row],[Industry]], Mean_ROE_L, 2, FALSE))/(VLOOKUP(Main_L[[#This Row],[Industry]], Mean_ROE_L, 3, FALSE))</f>
        <v>-1.0719614075603627</v>
      </c>
      <c r="R19" s="1">
        <f>(Main_L[[#This Row],[ROA]]-VLOOKUP(Main_L[[#This Row],[Industry]], Mean_ROA_L, 2, FALSE))/(VLOOKUP(Main_L[[#This Row],[Industry]], Mean_ROA_L, 3, FALSE))</f>
        <v>-1.2828690134679999</v>
      </c>
      <c r="S19" s="1">
        <f>(Main_L[[#This Row],[A/E]]-VLOOKUP(Main_L[[#This Row],[Industry]], Mean_AE_L, 2, FALSE))/(VLOOKUP(Main_L[[#This Row],[Industry]], Mean_AE_L, 3, FALSE))</f>
        <v>5.4481712264279158</v>
      </c>
      <c r="T19" s="1">
        <f>(Main_L[[#This Row],[P/E]]-VLOOKUP(Main_L[[#This Row],[Industry]], Mean_PE_L, 2, FALSE))/(VLOOKUP(Main_L[[#This Row],[Industry]], Mean_PE_L, 3, FALSE))</f>
        <v>1.3738552499075061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7" t="s">
        <v>105</v>
      </c>
      <c r="B20" s="67" t="s">
        <v>117</v>
      </c>
      <c r="C20" s="2">
        <v>12362</v>
      </c>
      <c r="D20">
        <f>RTD("tos.rtd", , "LAST", Main_L[[#This Row],[Symbol]])</f>
        <v>29.64</v>
      </c>
      <c r="E20">
        <v>-0.35</v>
      </c>
      <c r="F20">
        <v>0.94</v>
      </c>
      <c r="G20">
        <v>-0.41</v>
      </c>
      <c r="H20" s="1">
        <f>IF(ISNUMBER(Main_L[[#This Row],[Free CF]]),IF(Main_L[[#This Row],[Free CF]]&lt;&gt;0,Main_L[[#This Row],[Current Price]]/Main_L[[#This Row],[Free CF]],""),"")</f>
        <v>-84.685714285714297</v>
      </c>
      <c r="I20" s="1">
        <f>IF(ISNUMBER(Main_L[[#This Row],[BVPS]]),IF(Main_L[[#This Row],[BVPS]]&lt;&gt;0,Main_L[[#This Row],[Current Price]]/Main_L[[#This Row],[BVPS]],""),"")</f>
        <v>31.531914893617024</v>
      </c>
      <c r="J20">
        <v>-45.38</v>
      </c>
      <c r="K20">
        <v>-10.56</v>
      </c>
      <c r="L20">
        <v>2.91</v>
      </c>
      <c r="M20" s="1">
        <f>IF(ISNUMBER(Main_L[[#This Row],[EPS]]),IF(Main_L[[#This Row],[EPS]]&lt;&gt;0,Main_L[[#This Row],[Current Price]]/Main_L[[#This Row],[EPS]],""),"")</f>
        <v>-72.292682926829272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-6.2465445329948803</v>
      </c>
      <c r="P20" s="1">
        <f>(Main_L[[#This Row],[P/B]]-VLOOKUP(Main_L[[#This Row],[Industry]], Mean_PB_L, 2, FALSE))/(VLOOKUP(Main_L[[#This Row],[Industry]], Mean_PB_L, 3, FALSE))</f>
        <v>3.720380668738303</v>
      </c>
      <c r="Q20" s="1">
        <f>(Main_L[[#This Row],[ROE]]-VLOOKUP(Main_L[[#This Row],[Industry]], Mean_ROE_L, 2, FALSE))/(VLOOKUP(Main_L[[#This Row],[Industry]], Mean_ROE_L, 3, FALSE))</f>
        <v>-8.3329692092375343</v>
      </c>
      <c r="R20" s="1">
        <f>(Main_L[[#This Row],[ROA]]-VLOOKUP(Main_L[[#This Row],[Industry]], Mean_ROA_L, 2, FALSE))/(VLOOKUP(Main_L[[#This Row],[Industry]], Mean_ROA_L, 3, FALSE))</f>
        <v>-6.175768422684035</v>
      </c>
      <c r="S20" s="1">
        <f>(Main_L[[#This Row],[A/E]]-VLOOKUP(Main_L[[#This Row],[Industry]], Mean_AE_L, 2, FALSE))/(VLOOKUP(Main_L[[#This Row],[Industry]], Mean_AE_L, 3, FALSE))</f>
        <v>0.64926392853804116</v>
      </c>
      <c r="T20" s="1">
        <f>(Main_L[[#This Row],[P/E]]-VLOOKUP(Main_L[[#This Row],[Industry]], Mean_PE_L, 2, FALSE))/(VLOOKUP(Main_L[[#This Row],[Industry]], Mean_PE_L, 3, FALSE))</f>
        <v>-5.6063419216097925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1" spans="1:26" x14ac:dyDescent="0.25">
      <c r="A21" s="67" t="s">
        <v>105</v>
      </c>
      <c r="B21" s="67" t="s">
        <v>107</v>
      </c>
      <c r="C21" s="2">
        <v>156320</v>
      </c>
      <c r="D21">
        <f>RTD("tos.rtd", , "LAST", Main_L[[#This Row],[Symbol]])</f>
        <v>217.51</v>
      </c>
      <c r="E21">
        <v>-18.809999999999999</v>
      </c>
      <c r="F21">
        <v>-4.42</v>
      </c>
      <c r="G21">
        <v>-17.09</v>
      </c>
      <c r="H21" s="1">
        <f>IF(ISNUMBER(Main_L[[#This Row],[Free CF]]),IF(Main_L[[#This Row],[Free CF]]&lt;&gt;0,Main_L[[#This Row],[Current Price]]/Main_L[[#This Row],[Free CF]],""),"")</f>
        <v>-11.563530037214248</v>
      </c>
      <c r="I21" s="1">
        <f>IF(ISNUMBER(Main_L[[#This Row],[BVPS]]),IF(Main_L[[#This Row],[BVPS]]&lt;&gt;0,Main_L[[#This Row],[Current Price]]/Main_L[[#This Row],[BVPS]],""),"")</f>
        <v>-49.210407239819006</v>
      </c>
      <c r="J21">
        <v>113.12</v>
      </c>
      <c r="K21">
        <v>-4.0999999999999996</v>
      </c>
      <c r="L21">
        <v>-46.98</v>
      </c>
      <c r="M21" s="1">
        <f>IF(ISNUMBER(Main_L[[#This Row],[EPS]]),IF(Main_L[[#This Row],[EPS]]&lt;&gt;0,Main_L[[#This Row],[Current Price]]/Main_L[[#This Row],[EPS]],""),"")</f>
        <v>-12.727325921591573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-2.5658251779927403</v>
      </c>
      <c r="P21" s="1">
        <f>(Main_L[[#This Row],[P/B]]-VLOOKUP(Main_L[[#This Row],[Industry]], Mean_PB_L, 2, FALSE))/(VLOOKUP(Main_L[[#This Row],[Industry]], Mean_PB_L, 3, FALSE))</f>
        <v>-9.6497959366752539</v>
      </c>
      <c r="Q21" s="1">
        <f>(Main_L[[#This Row],[ROE]]-VLOOKUP(Main_L[[#This Row],[Industry]], Mean_ROE_L, 2, FALSE))/(VLOOKUP(Main_L[[#This Row],[Industry]], Mean_ROE_L, 3, FALSE))</f>
        <v>12.288240906616824</v>
      </c>
      <c r="R21" s="1">
        <f>(Main_L[[#This Row],[ROA]]-VLOOKUP(Main_L[[#This Row],[Industry]], Mean_ROA_L, 2, FALSE))/(VLOOKUP(Main_L[[#This Row],[Industry]], Mean_ROA_L, 3, FALSE))</f>
        <v>-3.7592447083464515</v>
      </c>
      <c r="S21" s="1">
        <f>(Main_L[[#This Row],[A/E]]-VLOOKUP(Main_L[[#This Row],[Industry]], Mean_AE_L, 2, FALSE))/(VLOOKUP(Main_L[[#This Row],[Industry]], Mean_AE_L, 3, FALSE))</f>
        <v>-99.946318042775346</v>
      </c>
      <c r="T21" s="1">
        <f>(Main_L[[#This Row],[P/E]]-VLOOKUP(Main_L[[#This Row],[Industry]], Mean_PE_L, 2, FALSE))/(VLOOKUP(Main_L[[#This Row],[Industry]], Mean_PE_L, 3, FALSE))</f>
        <v>-2.5629864921492351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s="67" t="s">
        <v>222</v>
      </c>
      <c r="B22" s="67" t="s">
        <v>225</v>
      </c>
      <c r="C22" s="2">
        <v>52257</v>
      </c>
      <c r="D22">
        <f>RTD("tos.rtd", , "LAST", Main_L[[#This Row],[Symbol]])</f>
        <v>222.18</v>
      </c>
      <c r="E22">
        <v>14.13</v>
      </c>
      <c r="F22">
        <v>111.28</v>
      </c>
      <c r="G22">
        <v>15.95</v>
      </c>
      <c r="H22" s="1">
        <f>IF(ISNUMBER(Main_L[[#This Row],[Free CF]]),IF(Main_L[[#This Row],[Free CF]]&lt;&gt;0,Main_L[[#This Row],[Current Price]]/Main_L[[#This Row],[Free CF]],""),"")</f>
        <v>15.723991507430997</v>
      </c>
      <c r="I22" s="1">
        <f>IF(ISNUMBER(Main_L[[#This Row],[BVPS]]),IF(Main_L[[#This Row],[BVPS]]&lt;&gt;0,Main_L[[#This Row],[Current Price]]/Main_L[[#This Row],[BVPS]],""),"")</f>
        <v>1.9965851905104242</v>
      </c>
      <c r="J22">
        <v>14.76</v>
      </c>
      <c r="K22">
        <v>4.88</v>
      </c>
      <c r="L22">
        <v>3.18</v>
      </c>
      <c r="M22" s="1">
        <f>IF(ISNUMBER(Main_L[[#This Row],[EPS]]),IF(Main_L[[#This Row],[EPS]]&lt;&gt;0,Main_L[[#This Row],[Current Price]]/Main_L[[#This Row],[EPS]],""),"")</f>
        <v>13.929780564263323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-1.1002130076211389</v>
      </c>
      <c r="P22" s="1">
        <f>(Main_L[[#This Row],[P/B]]-VLOOKUP(Main_L[[#This Row],[Industry]], Mean_PB_L, 2, FALSE))/(VLOOKUP(Main_L[[#This Row],[Industry]], Mean_PB_L, 3, FALSE))</f>
        <v>-1.1186627743807656</v>
      </c>
      <c r="Q22" s="1">
        <f>(Main_L[[#This Row],[ROE]]-VLOOKUP(Main_L[[#This Row],[Industry]], Mean_ROE_L, 2, FALSE))/(VLOOKUP(Main_L[[#This Row],[Industry]], Mean_ROE_L, 3, FALSE))</f>
        <v>-1.248140472288072</v>
      </c>
      <c r="R22" s="1">
        <f>(Main_L[[#This Row],[ROA]]-VLOOKUP(Main_L[[#This Row],[Industry]], Mean_ROA_L, 2, FALSE))/(VLOOKUP(Main_L[[#This Row],[Industry]], Mean_ROA_L, 3, FALSE))</f>
        <v>-5.1841658959630479</v>
      </c>
      <c r="S22" s="1">
        <f>(Main_L[[#This Row],[A/E]]-VLOOKUP(Main_L[[#This Row],[Industry]], Mean_AE_L, 2, FALSE))/(VLOOKUP(Main_L[[#This Row],[Industry]], Mean_AE_L, 3, FALSE))</f>
        <v>0.35711186050174054</v>
      </c>
      <c r="T22" s="1">
        <f>(Main_L[[#This Row],[P/E]]-VLOOKUP(Main_L[[#This Row],[Industry]], Mean_PE_L, 2, FALSE))/(VLOOKUP(Main_L[[#This Row],[Industry]], Mean_PE_L, 3, FALSE))</f>
        <v>-0.87305708076438637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7" t="s">
        <v>222</v>
      </c>
      <c r="B23" s="67" t="s">
        <v>226</v>
      </c>
      <c r="C23" s="2">
        <v>82597</v>
      </c>
      <c r="D23">
        <f>RTD("tos.rtd", , "LAST", Main_L[[#This Row],[Symbol]])</f>
        <v>99.31</v>
      </c>
      <c r="E23">
        <v>6.3</v>
      </c>
      <c r="F23">
        <v>18.489999999999998</v>
      </c>
      <c r="G23">
        <v>6.85</v>
      </c>
      <c r="H23" s="1">
        <f>IF(ISNUMBER(Main_L[[#This Row],[Free CF]]),IF(Main_L[[#This Row],[Free CF]]&lt;&gt;0,Main_L[[#This Row],[Current Price]]/Main_L[[#This Row],[Free CF]],""),"")</f>
        <v>15.763492063492064</v>
      </c>
      <c r="I23" s="1">
        <f>IF(ISNUMBER(Main_L[[#This Row],[BVPS]]),IF(Main_L[[#This Row],[BVPS]]&lt;&gt;0,Main_L[[#This Row],[Current Price]]/Main_L[[#This Row],[BVPS]],""),"")</f>
        <v>5.371011357490536</v>
      </c>
      <c r="J23">
        <v>35.909999999999997</v>
      </c>
      <c r="K23">
        <v>7.34</v>
      </c>
      <c r="L23">
        <v>4.37</v>
      </c>
      <c r="M23" s="1">
        <f>IF(ISNUMBER(Main_L[[#This Row],[EPS]]),IF(Main_L[[#This Row],[EPS]]&lt;&gt;0,Main_L[[#This Row],[Current Price]]/Main_L[[#This Row],[EPS]],""),"")</f>
        <v>14.497810218978103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-1.0806543320955155</v>
      </c>
      <c r="P23" s="1">
        <f>(Main_L[[#This Row],[P/B]]-VLOOKUP(Main_L[[#This Row],[Industry]], Mean_PB_L, 2, FALSE))/(VLOOKUP(Main_L[[#This Row],[Industry]], Mean_PB_L, 3, FALSE))</f>
        <v>0.4071409898820581</v>
      </c>
      <c r="Q23" s="1">
        <f>(Main_L[[#This Row],[ROE]]-VLOOKUP(Main_L[[#This Row],[Industry]], Mean_ROE_L, 2, FALSE))/(VLOOKUP(Main_L[[#This Row],[Industry]], Mean_ROE_L, 3, FALSE))</f>
        <v>0.86981291257174176</v>
      </c>
      <c r="R23" s="1">
        <f>(Main_L[[#This Row],[ROA]]-VLOOKUP(Main_L[[#This Row],[Industry]], Mean_ROA_L, 2, FALSE))/(VLOOKUP(Main_L[[#This Row],[Industry]], Mean_ROA_L, 3, FALSE))</f>
        <v>-1.2480399379170293</v>
      </c>
      <c r="S23" s="1">
        <f>(Main_L[[#This Row],[A/E]]-VLOOKUP(Main_L[[#This Row],[Industry]], Mean_AE_L, 2, FALSE))/(VLOOKUP(Main_L[[#This Row],[Industry]], Mean_AE_L, 3, FALSE))</f>
        <v>1.5643934343570569</v>
      </c>
      <c r="T23" s="1">
        <f>(Main_L[[#This Row],[P/E]]-VLOOKUP(Main_L[[#This Row],[Industry]], Mean_PE_L, 2, FALSE))/(VLOOKUP(Main_L[[#This Row],[Industry]], Mean_PE_L, 3, FALSE))</f>
        <v>-0.70728691318936976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7" t="s">
        <v>222</v>
      </c>
      <c r="B24" s="67" t="s">
        <v>224</v>
      </c>
      <c r="C24" s="2">
        <v>15438</v>
      </c>
      <c r="D24">
        <f>RTD("tos.rtd", , "LAST", Main_L[[#This Row],[Symbol]])</f>
        <v>113</v>
      </c>
      <c r="E24">
        <v>5.48</v>
      </c>
      <c r="F24">
        <v>16.72</v>
      </c>
      <c r="G24">
        <v>6.03</v>
      </c>
      <c r="H24" s="1">
        <f>IF(ISNUMBER(Main_L[[#This Row],[Free CF]]),IF(Main_L[[#This Row],[Free CF]]&lt;&gt;0,Main_L[[#This Row],[Current Price]]/Main_L[[#This Row],[Free CF]],""),"")</f>
        <v>20.620437956204377</v>
      </c>
      <c r="I24" s="1">
        <f>IF(ISNUMBER(Main_L[[#This Row],[BVPS]]),IF(Main_L[[#This Row],[BVPS]]&lt;&gt;0,Main_L[[#This Row],[Current Price]]/Main_L[[#This Row],[BVPS]],""),"")</f>
        <v>6.758373205741627</v>
      </c>
      <c r="J24">
        <v>37.700000000000003</v>
      </c>
      <c r="K24">
        <v>14.77</v>
      </c>
      <c r="L24">
        <v>2.08</v>
      </c>
      <c r="M24" s="1">
        <f>IF(ISNUMBER(Main_L[[#This Row],[EPS]]),IF(Main_L[[#This Row],[EPS]]&lt;&gt;0,Main_L[[#This Row],[Current Price]]/Main_L[[#This Row],[EPS]],""),"")</f>
        <v>18.739635157545603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1.3242593763142299</v>
      </c>
      <c r="P24" s="1">
        <f>(Main_L[[#This Row],[P/B]]-VLOOKUP(Main_L[[#This Row],[Industry]], Mean_PB_L, 2, FALSE))/(VLOOKUP(Main_L[[#This Row],[Industry]], Mean_PB_L, 3, FALSE))</f>
        <v>1.0344600733962119</v>
      </c>
      <c r="Q24" s="1">
        <f>(Main_L[[#This Row],[ROE]]-VLOOKUP(Main_L[[#This Row],[Industry]], Mean_ROE_L, 2, FALSE))/(VLOOKUP(Main_L[[#This Row],[Industry]], Mean_ROE_L, 3, FALSE))</f>
        <v>1.0490628680752443</v>
      </c>
      <c r="R24" s="1">
        <f>(Main_L[[#This Row],[ROA]]-VLOOKUP(Main_L[[#This Row],[Industry]], Mean_ROA_L, 2, FALSE))/(VLOOKUP(Main_L[[#This Row],[Industry]], Mean_ROA_L, 3, FALSE))</f>
        <v>10.640340496343912</v>
      </c>
      <c r="S24" s="1">
        <f>(Main_L[[#This Row],[A/E]]-VLOOKUP(Main_L[[#This Row],[Industry]], Mean_AE_L, 2, FALSE))/(VLOOKUP(Main_L[[#This Row],[Industry]], Mean_AE_L, 3, FALSE))</f>
        <v>-0.75886270356619911</v>
      </c>
      <c r="T24" s="1">
        <f>(Main_L[[#This Row],[P/E]]-VLOOKUP(Main_L[[#This Row],[Industry]], Mean_PE_L, 2, FALSE))/(VLOOKUP(Main_L[[#This Row],[Industry]], Mean_PE_L, 3, FALSE))</f>
        <v>0.53062034227477639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7" t="s">
        <v>222</v>
      </c>
      <c r="B25" s="67" t="s">
        <v>223</v>
      </c>
      <c r="C25" s="2">
        <v>11395</v>
      </c>
      <c r="D25">
        <f>RTD("tos.rtd", , "LAST", Main_L[[#This Row],[Symbol]])</f>
        <v>95.74</v>
      </c>
      <c r="E25">
        <v>4.83</v>
      </c>
      <c r="F25">
        <v>14.58</v>
      </c>
      <c r="G25">
        <v>4.1900000000000004</v>
      </c>
      <c r="H25" s="1">
        <f>IF(ISNUMBER(Main_L[[#This Row],[Free CF]]),IF(Main_L[[#This Row],[Free CF]]&lt;&gt;0,Main_L[[#This Row],[Current Price]]/Main_L[[#This Row],[Free CF]],""),"")</f>
        <v>19.821946169772254</v>
      </c>
      <c r="I25" s="1">
        <f>IF(ISNUMBER(Main_L[[#This Row],[BVPS]]),IF(Main_L[[#This Row],[BVPS]]&lt;&gt;0,Main_L[[#This Row],[Current Price]]/Main_L[[#This Row],[BVPS]],""),"")</f>
        <v>6.5665294924554178</v>
      </c>
      <c r="J25">
        <v>32.11</v>
      </c>
      <c r="K25">
        <v>8.8699999999999992</v>
      </c>
      <c r="L25">
        <v>3.01</v>
      </c>
      <c r="M25" s="1">
        <f>IF(ISNUMBER(Main_L[[#This Row],[EPS]]),IF(Main_L[[#This Row],[EPS]]&lt;&gt;0,Main_L[[#This Row],[Current Price]]/Main_L[[#This Row],[EPS]],""),"")</f>
        <v>22.849642004773266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0.92888666974886491</v>
      </c>
      <c r="P25" s="1">
        <f>(Main_L[[#This Row],[P/B]]-VLOOKUP(Main_L[[#This Row],[Industry]], Mean_PB_L, 2, FALSE))/(VLOOKUP(Main_L[[#This Row],[Industry]], Mean_PB_L, 3, FALSE))</f>
        <v>0.94771469939852948</v>
      </c>
      <c r="Q25" s="1">
        <f>(Main_L[[#This Row],[ROE]]-VLOOKUP(Main_L[[#This Row],[Industry]], Mean_ROE_L, 2, FALSE))/(VLOOKUP(Main_L[[#This Row],[Industry]], Mean_ROE_L, 3, FALSE))</f>
        <v>0.48928228077659813</v>
      </c>
      <c r="R25" s="1">
        <f>(Main_L[[#This Row],[ROA]]-VLOOKUP(Main_L[[#This Row],[Industry]], Mean_ROA_L, 2, FALSE))/(VLOOKUP(Main_L[[#This Row],[Industry]], Mean_ROA_L, 3, FALSE))</f>
        <v>1.2000384018432984</v>
      </c>
      <c r="S25" s="1">
        <f>(Main_L[[#This Row],[A/E]]-VLOOKUP(Main_L[[#This Row],[Industry]], Mean_AE_L, 2, FALSE))/(VLOOKUP(Main_L[[#This Row],[Industry]], Mean_AE_L, 3, FALSE))</f>
        <v>0.18464306423669494</v>
      </c>
      <c r="T25" s="1">
        <f>(Main_L[[#This Row],[P/E]]-VLOOKUP(Main_L[[#This Row],[Industry]], Mean_PE_L, 2, FALSE))/(VLOOKUP(Main_L[[#This Row],[Industry]], Mean_PE_L, 3, FALSE))</f>
        <v>1.7300586429767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7" t="s">
        <v>222</v>
      </c>
      <c r="B26" s="67" t="s">
        <v>227</v>
      </c>
      <c r="C26" s="2">
        <v>14050</v>
      </c>
      <c r="D26">
        <f>RTD("tos.rtd", , "LAST", Main_L[[#This Row],[Symbol]])</f>
        <v>17.8</v>
      </c>
      <c r="E26">
        <v>1</v>
      </c>
      <c r="F26">
        <v>10.72</v>
      </c>
      <c r="G26">
        <v>1.22</v>
      </c>
      <c r="H26" s="1">
        <f>IF(ISNUMBER(Main_L[[#This Row],[Free CF]]),IF(Main_L[[#This Row],[Free CF]]&lt;&gt;0,Main_L[[#This Row],[Current Price]]/Main_L[[#This Row],[Free CF]],""),"")</f>
        <v>17.8</v>
      </c>
      <c r="I26" s="1">
        <f>IF(ISNUMBER(Main_L[[#This Row],[BVPS]]),IF(Main_L[[#This Row],[BVPS]]&lt;&gt;0,Main_L[[#This Row],[Current Price]]/Main_L[[#This Row],[BVPS]],""),"")</f>
        <v>1.6604477611940298</v>
      </c>
      <c r="J26">
        <v>15.64</v>
      </c>
      <c r="K26">
        <v>8.15</v>
      </c>
      <c r="L26">
        <v>1.5</v>
      </c>
      <c r="M26" s="1">
        <f>IF(ISNUMBER(Main_L[[#This Row],[EPS]]),IF(Main_L[[#This Row],[EPS]]&lt;&gt;0,Main_L[[#This Row],[Current Price]]/Main_L[[#This Row],[EPS]],""),"")</f>
        <v>14.590163934426231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6" s="1">
        <f>(Main_L[[#This Row],[P/FCF]]-VLOOKUP(Main_L[[#This Row],[Industry]], Mean_PFCF_L, 2, FALSE))/(VLOOKUP(Main_L[[#This Row],[Industry]], Mean_PFCF_L, 3, FALSE))</f>
        <v>-7.2278706346440194E-2</v>
      </c>
      <c r="P26" s="1">
        <f>(Main_L[[#This Row],[P/B]]-VLOOKUP(Main_L[[#This Row],[Industry]], Mean_PB_L, 2, FALSE))/(VLOOKUP(Main_L[[#This Row],[Industry]], Mean_PB_L, 3, FALSE))</f>
        <v>-1.2706529882960327</v>
      </c>
      <c r="Q26" s="1">
        <f>(Main_L[[#This Row],[ROE]]-VLOOKUP(Main_L[[#This Row],[Industry]], Mean_ROE_L, 2, FALSE))/(VLOOKUP(Main_L[[#This Row],[Industry]], Mean_ROE_L, 3, FALSE))</f>
        <v>-1.1600175891355125</v>
      </c>
      <c r="R26" s="1">
        <f>(Main_L[[#This Row],[ROA]]-VLOOKUP(Main_L[[#This Row],[Industry]], Mean_ROA_L, 2, FALSE))/(VLOOKUP(Main_L[[#This Row],[Industry]], Mean_ROA_L, 3, FALSE))</f>
        <v>4.8001536073733753E-2</v>
      </c>
      <c r="S26" s="1">
        <f>(Main_L[[#This Row],[A/E]]-VLOOKUP(Main_L[[#This Row],[Industry]], Mean_AE_L, 2, FALSE))/(VLOOKUP(Main_L[[#This Row],[Industry]], Mean_AE_L, 3, FALSE))</f>
        <v>-1.3472856555292947</v>
      </c>
      <c r="T26" s="1">
        <f>(Main_L[[#This Row],[P/E]]-VLOOKUP(Main_L[[#This Row],[Industry]], Mean_PE_L, 2, FALSE))/(VLOOKUP(Main_L[[#This Row],[Industry]], Mean_PE_L, 3, FALSE))</f>
        <v>-0.68033499129772335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s="67" t="s">
        <v>122</v>
      </c>
      <c r="B27" s="67" t="s">
        <v>130</v>
      </c>
      <c r="C27" s="2">
        <v>20029</v>
      </c>
      <c r="D27">
        <f>RTD("tos.rtd", , "LAST", Main_L[[#This Row],[Symbol]])</f>
        <v>556.09</v>
      </c>
      <c r="E27">
        <v>21.73</v>
      </c>
      <c r="F27">
        <v>24.02</v>
      </c>
      <c r="G27">
        <v>22.45</v>
      </c>
      <c r="H27" s="1">
        <f>IF(ISNUMBER(Main_L[[#This Row],[Free CF]]),IF(Main_L[[#This Row],[Free CF]]&lt;&gt;0,Main_L[[#This Row],[Current Price]]/Main_L[[#This Row],[Free CF]],""),"")</f>
        <v>25.590888173032674</v>
      </c>
      <c r="I27" s="1">
        <f>IF(ISNUMBER(Main_L[[#This Row],[BVPS]]),IF(Main_L[[#This Row],[BVPS]]&lt;&gt;0,Main_L[[#This Row],[Current Price]]/Main_L[[#This Row],[BVPS]],""),"")</f>
        <v>23.151124063280601</v>
      </c>
      <c r="J27">
        <v>131.47999999999999</v>
      </c>
      <c r="K27">
        <v>19.84</v>
      </c>
      <c r="L27">
        <v>4.05</v>
      </c>
      <c r="M27" s="1">
        <f>IF(ISNUMBER(Main_L[[#This Row],[EPS]]),IF(Main_L[[#This Row],[EPS]]&lt;&gt;0,Main_L[[#This Row],[Current Price]]/Main_L[[#This Row],[EPS]],""),"")</f>
        <v>24.770155902004458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0.7196928411564576</v>
      </c>
      <c r="P27" s="1">
        <f>(Main_L[[#This Row],[P/B]]-VLOOKUP(Main_L[[#This Row],[Industry]], Mean_PB_L, 2, FALSE))/(VLOOKUP(Main_L[[#This Row],[Industry]], Mean_PB_L, 3, FALSE))</f>
        <v>5.1418755685975155</v>
      </c>
      <c r="Q27" s="1">
        <f>(Main_L[[#This Row],[ROE]]-VLOOKUP(Main_L[[#This Row],[Industry]], Mean_ROE_L, 2, FALSE))/(VLOOKUP(Main_L[[#This Row],[Industry]], Mean_ROE_L, 3, FALSE))</f>
        <v>8.6913409496548599</v>
      </c>
      <c r="R27" s="1">
        <f>(Main_L[[#This Row],[ROA]]-VLOOKUP(Main_L[[#This Row],[Industry]], Mean_ROA_L, 2, FALSE))/(VLOOKUP(Main_L[[#This Row],[Industry]], Mean_ROA_L, 3, FALSE))</f>
        <v>2.7298193409286924</v>
      </c>
      <c r="S27" s="1">
        <f>(Main_L[[#This Row],[A/E]]-VLOOKUP(Main_L[[#This Row],[Industry]], Mean_AE_L, 2, FALSE))/(VLOOKUP(Main_L[[#This Row],[Industry]], Mean_AE_L, 3, FALSE))</f>
        <v>10.663170661493513</v>
      </c>
      <c r="T27" s="1">
        <f>(Main_L[[#This Row],[P/E]]-VLOOKUP(Main_L[[#This Row],[Industry]], Mean_PE_L, 2, FALSE))/(VLOOKUP(Main_L[[#This Row],[Industry]], Mean_PE_L, 3, FALSE))</f>
        <v>-8.3588678350321036E-2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7" t="s">
        <v>122</v>
      </c>
      <c r="B28" s="67" t="s">
        <v>128</v>
      </c>
      <c r="C28" s="2">
        <v>16444</v>
      </c>
      <c r="D28">
        <f>RTD("tos.rtd", , "LAST", Main_L[[#This Row],[Symbol]])</f>
        <v>379.19</v>
      </c>
      <c r="E28">
        <v>17.02</v>
      </c>
      <c r="F28">
        <v>50.15</v>
      </c>
      <c r="G28">
        <v>18.05</v>
      </c>
      <c r="H28" s="1">
        <f>IF(ISNUMBER(Main_L[[#This Row],[Free CF]]),IF(Main_L[[#This Row],[Free CF]]&lt;&gt;0,Main_L[[#This Row],[Current Price]]/Main_L[[#This Row],[Free CF]],""),"")</f>
        <v>22.279083431257344</v>
      </c>
      <c r="I28" s="1">
        <f>IF(ISNUMBER(Main_L[[#This Row],[BVPS]]),IF(Main_L[[#This Row],[BVPS]]&lt;&gt;0,Main_L[[#This Row],[Current Price]]/Main_L[[#This Row],[BVPS]],""),"")</f>
        <v>7.5611166500498506</v>
      </c>
      <c r="J28">
        <v>33.200000000000003</v>
      </c>
      <c r="K28">
        <v>11.14</v>
      </c>
      <c r="L28">
        <v>2.52</v>
      </c>
      <c r="M28" s="1">
        <f>IF(ISNUMBER(Main_L[[#This Row],[EPS]]),IF(Main_L[[#This Row],[EPS]]&lt;&gt;0,Main_L[[#This Row],[Current Price]]/Main_L[[#This Row],[EPS]],""),"")</f>
        <v>21.00775623268698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0.27795435780537803</v>
      </c>
      <c r="P28" s="1">
        <f>(Main_L[[#This Row],[P/B]]-VLOOKUP(Main_L[[#This Row],[Industry]], Mean_PB_L, 2, FALSE))/(VLOOKUP(Main_L[[#This Row],[Industry]], Mean_PB_L, 3, FALSE))</f>
        <v>0.47259459498838613</v>
      </c>
      <c r="Q28" s="1">
        <f>(Main_L[[#This Row],[ROE]]-VLOOKUP(Main_L[[#This Row],[Industry]], Mean_ROE_L, 2, FALSE))/(VLOOKUP(Main_L[[#This Row],[Industry]], Mean_ROE_L, 3, FALSE))</f>
        <v>0.72256023727839447</v>
      </c>
      <c r="R28" s="1">
        <f>(Main_L[[#This Row],[ROA]]-VLOOKUP(Main_L[[#This Row],[Industry]], Mean_ROA_L, 2, FALSE))/(VLOOKUP(Main_L[[#This Row],[Industry]], Mean_ROA_L, 3, FALSE))</f>
        <v>0.45387988083481401</v>
      </c>
      <c r="S28" s="1">
        <f>(Main_L[[#This Row],[A/E]]-VLOOKUP(Main_L[[#This Row],[Industry]], Mean_AE_L, 2, FALSE))/(VLOOKUP(Main_L[[#This Row],[Industry]], Mean_AE_L, 3, FALSE))</f>
        <v>-1.4217560881991327</v>
      </c>
      <c r="T28" s="1">
        <f>(Main_L[[#This Row],[P/E]]-VLOOKUP(Main_L[[#This Row],[Industry]], Mean_PE_L, 2, FALSE))/(VLOOKUP(Main_L[[#This Row],[Industry]], Mean_PE_L, 3, FALSE))</f>
        <v>-0.45883514352457361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7" t="s">
        <v>122</v>
      </c>
      <c r="B29" s="67" t="s">
        <v>132</v>
      </c>
      <c r="C29" s="2">
        <v>11393</v>
      </c>
      <c r="D29">
        <f>RTD("tos.rtd", , "LAST", Main_L[[#This Row],[Symbol]])</f>
        <v>137.12</v>
      </c>
      <c r="E29">
        <v>12.96</v>
      </c>
      <c r="F29">
        <v>57.44</v>
      </c>
      <c r="G29">
        <v>7.14</v>
      </c>
      <c r="H29" s="1">
        <f>IF(ISNUMBER(Main_L[[#This Row],[Free CF]]),IF(Main_L[[#This Row],[Free CF]]&lt;&gt;0,Main_L[[#This Row],[Current Price]]/Main_L[[#This Row],[Free CF]],""),"")</f>
        <v>10.580246913580247</v>
      </c>
      <c r="I29" s="1">
        <f>IF(ISNUMBER(Main_L[[#This Row],[BVPS]]),IF(Main_L[[#This Row],[BVPS]]&lt;&gt;0,Main_L[[#This Row],[Current Price]]/Main_L[[#This Row],[BVPS]],""),"")</f>
        <v>2.3871866295264628</v>
      </c>
      <c r="J29">
        <v>12.26</v>
      </c>
      <c r="K29">
        <v>9.32</v>
      </c>
      <c r="L29">
        <v>2.92</v>
      </c>
      <c r="M29" s="1">
        <f>IF(ISNUMBER(Main_L[[#This Row],[EPS]]),IF(Main_L[[#This Row],[EPS]]&lt;&gt;0,Main_L[[#This Row],[Current Price]]/Main_L[[#This Row],[EPS]],""),"")</f>
        <v>19.20448179271709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-1.282471664629941</v>
      </c>
      <c r="P29" s="1">
        <f>(Main_L[[#This Row],[P/B]]-VLOOKUP(Main_L[[#This Row],[Industry]], Mean_PB_L, 2, FALSE))/(VLOOKUP(Main_L[[#This Row],[Industry]], Mean_PB_L, 3, FALSE))</f>
        <v>-1.0770219230327891</v>
      </c>
      <c r="Q29" s="1">
        <f>(Main_L[[#This Row],[ROE]]-VLOOKUP(Main_L[[#This Row],[Industry]], Mean_ROE_L, 2, FALSE))/(VLOOKUP(Main_L[[#This Row],[Industry]], Mean_ROE_L, 3, FALSE))</f>
        <v>-0.97530573867971737</v>
      </c>
      <c r="R29" s="1">
        <f>(Main_L[[#This Row],[ROA]]-VLOOKUP(Main_L[[#This Row],[Industry]], Mean_ROA_L, 2, FALSE))/(VLOOKUP(Main_L[[#This Row],[Industry]], Mean_ROA_L, 3, FALSE))</f>
        <v>-2.2236190127353745E-2</v>
      </c>
      <c r="S29" s="1">
        <f>(Main_L[[#This Row],[A/E]]-VLOOKUP(Main_L[[#This Row],[Industry]], Mean_AE_L, 2, FALSE))/(VLOOKUP(Main_L[[#This Row],[Industry]], Mean_AE_L, 3, FALSE))</f>
        <v>1.7377018855767221</v>
      </c>
      <c r="T29" s="1">
        <f>(Main_L[[#This Row],[P/E]]-VLOOKUP(Main_L[[#This Row],[Industry]], Mean_PE_L, 2, FALSE))/(VLOOKUP(Main_L[[#This Row],[Industry]], Mean_PE_L, 3, FALSE))</f>
        <v>-0.63868641367433243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7" t="s">
        <v>122</v>
      </c>
      <c r="B30" s="67" t="s">
        <v>133</v>
      </c>
      <c r="C30" s="2">
        <v>95958</v>
      </c>
      <c r="D30">
        <f>RTD("tos.rtd", , "LAST", Main_L[[#This Row],[Symbol]])</f>
        <v>427.77</v>
      </c>
      <c r="E30">
        <v>12.56</v>
      </c>
      <c r="F30">
        <v>33.520000000000003</v>
      </c>
      <c r="G30">
        <v>12.15</v>
      </c>
      <c r="H30" s="1">
        <f>IF(ISNUMBER(Main_L[[#This Row],[Free CF]]),IF(Main_L[[#This Row],[Free CF]]&lt;&gt;0,Main_L[[#This Row],[Current Price]]/Main_L[[#This Row],[Free CF]],""),"")</f>
        <v>34.058121019108277</v>
      </c>
      <c r="I30" s="1">
        <f>IF(ISNUMBER(Main_L[[#This Row],[BVPS]]),IF(Main_L[[#This Row],[BVPS]]&lt;&gt;0,Main_L[[#This Row],[Current Price]]/Main_L[[#This Row],[BVPS]],""),"")</f>
        <v>12.761634844868734</v>
      </c>
      <c r="J30">
        <v>38.630000000000003</v>
      </c>
      <c r="K30">
        <v>11.36</v>
      </c>
      <c r="L30">
        <v>2.69</v>
      </c>
      <c r="M30" s="1">
        <f>IF(ISNUMBER(Main_L[[#This Row],[EPS]]),IF(Main_L[[#This Row],[EPS]]&lt;&gt;0,Main_L[[#This Row],[Current Price]]/Main_L[[#This Row],[EPS]],""),"")</f>
        <v>35.207407407407402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1.8490778403460086</v>
      </c>
      <c r="P30" s="1">
        <f>(Main_L[[#This Row],[P/B]]-VLOOKUP(Main_L[[#This Row],[Industry]], Mean_PB_L, 2, FALSE))/(VLOOKUP(Main_L[[#This Row],[Industry]], Mean_PB_L, 3, FALSE))</f>
        <v>2.0301743969946351</v>
      </c>
      <c r="Q30" s="1">
        <f>(Main_L[[#This Row],[ROE]]-VLOOKUP(Main_L[[#This Row],[Industry]], Mean_ROE_L, 2, FALSE))/(VLOOKUP(Main_L[[#This Row],[Industry]], Mean_ROE_L, 3, FALSE))</f>
        <v>1.162837804109939</v>
      </c>
      <c r="R30" s="1">
        <f>(Main_L[[#This Row],[ROA]]-VLOOKUP(Main_L[[#This Row],[Industry]], Mean_ROA_L, 2, FALSE))/(VLOOKUP(Main_L[[#This Row],[Industry]], Mean_ROA_L, 3, FALSE))</f>
        <v>0.51143237292914168</v>
      </c>
      <c r="S30" s="1">
        <f>(Main_L[[#This Row],[A/E]]-VLOOKUP(Main_L[[#This Row],[Industry]], Mean_AE_L, 2, FALSE))/(VLOOKUP(Main_L[[#This Row],[Industry]], Mean_AE_L, 3, FALSE))</f>
        <v>-7.8986449344394707E-2</v>
      </c>
      <c r="T30" s="1">
        <f>(Main_L[[#This Row],[P/E]]-VLOOKUP(Main_L[[#This Row],[Industry]], Mean_PE_L, 2, FALSE))/(VLOOKUP(Main_L[[#This Row],[Industry]], Mean_PE_L, 3, FALSE))</f>
        <v>0.95738040461995921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7" t="s">
        <v>122</v>
      </c>
      <c r="B31" s="67" t="s">
        <v>126</v>
      </c>
      <c r="C31" s="2">
        <v>11900</v>
      </c>
      <c r="D31">
        <f>RTD("tos.rtd", , "LAST", Main_L[[#This Row],[Symbol]])</f>
        <v>112.96</v>
      </c>
      <c r="E31">
        <v>11.21</v>
      </c>
      <c r="F31">
        <v>38.46</v>
      </c>
      <c r="G31">
        <v>7.84</v>
      </c>
      <c r="H31" s="1">
        <f>IF(ISNUMBER(Main_L[[#This Row],[Free CF]]),IF(Main_L[[#This Row],[Free CF]]&lt;&gt;0,Main_L[[#This Row],[Current Price]]/Main_L[[#This Row],[Free CF]],""),"")</f>
        <v>10.076717216770739</v>
      </c>
      <c r="I31" s="1">
        <f>IF(ISNUMBER(Main_L[[#This Row],[BVPS]]),IF(Main_L[[#This Row],[BVPS]]&lt;&gt;0,Main_L[[#This Row],[Current Price]]/Main_L[[#This Row],[BVPS]],""),"")</f>
        <v>2.9370774830993236</v>
      </c>
      <c r="J31">
        <v>19.62</v>
      </c>
      <c r="K31">
        <v>7.77</v>
      </c>
      <c r="L31">
        <v>2.62</v>
      </c>
      <c r="M31" s="1">
        <f>IF(ISNUMBER(Main_L[[#This Row],[EPS]]),IF(Main_L[[#This Row],[EPS]]&lt;&gt;0,Main_L[[#This Row],[Current Price]]/Main_L[[#This Row],[EPS]],""),"")</f>
        <v>14.408163265306122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1" s="1">
        <f>(Main_L[[#This Row],[P/FCF]]-VLOOKUP(Main_L[[#This Row],[Industry]], Mean_PFCF_L, 2, FALSE))/(VLOOKUP(Main_L[[#This Row],[Industry]], Mean_PFCF_L, 3, FALSE))</f>
        <v>-1.3496339709655572</v>
      </c>
      <c r="P31" s="1">
        <f>(Main_L[[#This Row],[P/B]]-VLOOKUP(Main_L[[#This Row],[Industry]], Mean_PB_L, 2, FALSE))/(VLOOKUP(Main_L[[#This Row],[Industry]], Mean_PB_L, 3, FALSE))</f>
        <v>-0.91232701095914859</v>
      </c>
      <c r="Q31" s="1">
        <f>(Main_L[[#This Row],[ROE]]-VLOOKUP(Main_L[[#This Row],[Industry]], Mean_ROE_L, 2, FALSE))/(VLOOKUP(Main_L[[#This Row],[Industry]], Mean_ROE_L, 3, FALSE))</f>
        <v>-0.37853909192462171</v>
      </c>
      <c r="R31" s="1">
        <f>(Main_L[[#This Row],[ROA]]-VLOOKUP(Main_L[[#This Row],[Industry]], Mean_ROA_L, 2, FALSE))/(VLOOKUP(Main_L[[#This Row],[Industry]], Mean_ROA_L, 3, FALSE))</f>
        <v>-0.4277196571555737</v>
      </c>
      <c r="S31" s="1">
        <f>(Main_L[[#This Row],[A/E]]-VLOOKUP(Main_L[[#This Row],[Industry]], Mean_AE_L, 2, FALSE))/(VLOOKUP(Main_L[[#This Row],[Industry]], Mean_AE_L, 3, FALSE))</f>
        <v>-0.6318915947551681</v>
      </c>
      <c r="T31" s="1">
        <f>(Main_L[[#This Row],[P/E]]-VLOOKUP(Main_L[[#This Row],[Industry]], Mean_PE_L, 2, FALSE))/(VLOOKUP(Main_L[[#This Row],[Industry]], Mean_PE_L, 3, FALSE))</f>
        <v>-1.1170517473570341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7" t="s">
        <v>122</v>
      </c>
      <c r="B32" s="67" t="s">
        <v>124</v>
      </c>
      <c r="C32" s="2">
        <v>12279</v>
      </c>
      <c r="D32">
        <f>RTD("tos.rtd", , "LAST", Main_L[[#This Row],[Symbol]])</f>
        <v>139.6</v>
      </c>
      <c r="E32">
        <v>7.39</v>
      </c>
      <c r="F32">
        <v>18.670000000000002</v>
      </c>
      <c r="G32">
        <v>7.12</v>
      </c>
      <c r="H32" s="1">
        <f>IF(ISNUMBER(Main_L[[#This Row],[Free CF]]),IF(Main_L[[#This Row],[Free CF]]&lt;&gt;0,Main_L[[#This Row],[Current Price]]/Main_L[[#This Row],[Free CF]],""),"")</f>
        <v>18.89039242219215</v>
      </c>
      <c r="I32" s="1">
        <f>IF(ISNUMBER(Main_L[[#This Row],[BVPS]]),IF(Main_L[[#This Row],[BVPS]]&lt;&gt;0,Main_L[[#This Row],[Current Price]]/Main_L[[#This Row],[BVPS]],""),"")</f>
        <v>7.477236207820031</v>
      </c>
      <c r="J32">
        <v>42.05</v>
      </c>
      <c r="K32">
        <v>11.53</v>
      </c>
      <c r="L32">
        <v>2.84</v>
      </c>
      <c r="M32" s="1">
        <f>IF(ISNUMBER(Main_L[[#This Row],[EPS]]),IF(Main_L[[#This Row],[EPS]]&lt;&gt;0,Main_L[[#This Row],[Current Price]]/Main_L[[#This Row],[EPS]],""),"")</f>
        <v>19.606741573033705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-0.17403944726643317</v>
      </c>
      <c r="P32" s="1">
        <f>(Main_L[[#This Row],[P/B]]-VLOOKUP(Main_L[[#This Row],[Industry]], Mean_PB_L, 2, FALSE))/(VLOOKUP(Main_L[[#This Row],[Industry]], Mean_PB_L, 3, FALSE))</f>
        <v>0.44747200571820872</v>
      </c>
      <c r="Q32" s="1">
        <f>(Main_L[[#This Row],[ROE]]-VLOOKUP(Main_L[[#This Row],[Industry]], Mean_ROE_L, 2, FALSE))/(VLOOKUP(Main_L[[#This Row],[Industry]], Mean_ROE_L, 3, FALSE))</f>
        <v>1.4401396970314639</v>
      </c>
      <c r="R32" s="1">
        <f>(Main_L[[#This Row],[ROA]]-VLOOKUP(Main_L[[#This Row],[Industry]], Mean_ROA_L, 2, FALSE))/(VLOOKUP(Main_L[[#This Row],[Industry]], Mean_ROA_L, 3, FALSE))</f>
        <v>0.55590475318384969</v>
      </c>
      <c r="S32" s="1">
        <f>(Main_L[[#This Row],[A/E]]-VLOOKUP(Main_L[[#This Row],[Industry]], Mean_AE_L, 2, FALSE))/(VLOOKUP(Main_L[[#This Row],[Industry]], Mean_AE_L, 3, FALSE))</f>
        <v>1.1058102908215504</v>
      </c>
      <c r="T32" s="1">
        <f>(Main_L[[#This Row],[P/E]]-VLOOKUP(Main_L[[#This Row],[Industry]], Mean_PE_L, 2, FALSE))/(VLOOKUP(Main_L[[#This Row],[Industry]], Mean_PE_L, 3, FALSE))</f>
        <v>-0.59856665662763786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7" t="s">
        <v>122</v>
      </c>
      <c r="B33" s="67" t="s">
        <v>129</v>
      </c>
      <c r="C33" s="2">
        <v>66706</v>
      </c>
      <c r="D33">
        <f>RTD("tos.rtd", , "LAST", Main_L[[#This Row],[Symbol]])</f>
        <v>103.54</v>
      </c>
      <c r="E33">
        <v>4.3600000000000003</v>
      </c>
      <c r="F33">
        <v>24.02</v>
      </c>
      <c r="G33">
        <v>3.33</v>
      </c>
      <c r="H33" s="1">
        <f>IF(ISNUMBER(Main_L[[#This Row],[Free CF]]),IF(Main_L[[#This Row],[Free CF]]&lt;&gt;0,Main_L[[#This Row],[Current Price]]/Main_L[[#This Row],[Free CF]],""),"")</f>
        <v>23.74770642201835</v>
      </c>
      <c r="I33" s="1">
        <f>IF(ISNUMBER(Main_L[[#This Row],[BVPS]]),IF(Main_L[[#This Row],[BVPS]]&lt;&gt;0,Main_L[[#This Row],[Current Price]]/Main_L[[#This Row],[BVPS]],""),"")</f>
        <v>4.310574521232307</v>
      </c>
      <c r="J33">
        <v>13.14</v>
      </c>
      <c r="K33">
        <v>4.84</v>
      </c>
      <c r="L33">
        <v>2.68</v>
      </c>
      <c r="M33" s="1">
        <f>IF(ISNUMBER(Main_L[[#This Row],[EPS]]),IF(Main_L[[#This Row],[EPS]]&lt;&gt;0,Main_L[[#This Row],[Current Price]]/Main_L[[#This Row],[EPS]],""),"")</f>
        <v>31.093093093093096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0.47384371214138427</v>
      </c>
      <c r="P33" s="1">
        <f>(Main_L[[#This Row],[P/B]]-VLOOKUP(Main_L[[#This Row],[Industry]], Mean_PB_L, 2, FALSE))/(VLOOKUP(Main_L[[#This Row],[Industry]], Mean_PB_L, 3, FALSE))</f>
        <v>-0.50095815028624646</v>
      </c>
      <c r="Q33" s="1">
        <f>(Main_L[[#This Row],[ROE]]-VLOOKUP(Main_L[[#This Row],[Industry]], Mean_ROE_L, 2, FALSE))/(VLOOKUP(Main_L[[#This Row],[Industry]], Mean_ROE_L, 3, FALSE))</f>
        <v>-0.90395320482856456</v>
      </c>
      <c r="R33" s="1">
        <f>(Main_L[[#This Row],[ROA]]-VLOOKUP(Main_L[[#This Row],[Industry]], Mean_ROA_L, 2, FALSE))/(VLOOKUP(Main_L[[#This Row],[Industry]], Mean_ROA_L, 3, FALSE))</f>
        <v>-1.1942142109573051</v>
      </c>
      <c r="S33" s="1">
        <f>(Main_L[[#This Row],[A/E]]-VLOOKUP(Main_L[[#This Row],[Industry]], Mean_AE_L, 2, FALSE))/(VLOOKUP(Main_L[[#This Row],[Industry]], Mean_AE_L, 3, FALSE))</f>
        <v>-0.15797289868878941</v>
      </c>
      <c r="T33" s="1">
        <f>(Main_L[[#This Row],[P/E]]-VLOOKUP(Main_L[[#This Row],[Industry]], Mean_PE_L, 2, FALSE))/(VLOOKUP(Main_L[[#This Row],[Industry]], Mean_PE_L, 3, FALSE))</f>
        <v>0.54703540176109455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7" t="s">
        <v>122</v>
      </c>
      <c r="B34" s="67" t="s">
        <v>131</v>
      </c>
      <c r="C34" s="2">
        <v>13167</v>
      </c>
      <c r="D34">
        <f>RTD("tos.rtd", , "LAST", Main_L[[#This Row],[Symbol]])</f>
        <v>63.72</v>
      </c>
      <c r="E34">
        <v>3.9</v>
      </c>
      <c r="F34">
        <v>-1.2</v>
      </c>
      <c r="G34">
        <v>3.66</v>
      </c>
      <c r="H34" s="1">
        <f>IF(ISNUMBER(Main_L[[#This Row],[Free CF]]),IF(Main_L[[#This Row],[Free CF]]&lt;&gt;0,Main_L[[#This Row],[Current Price]]/Main_L[[#This Row],[Free CF]],""),"")</f>
        <v>16.338461538461537</v>
      </c>
      <c r="I34" s="1">
        <f>IF(ISNUMBER(Main_L[[#This Row],[BVPS]]),IF(Main_L[[#This Row],[BVPS]]&lt;&gt;0,Main_L[[#This Row],[Current Price]]/Main_L[[#This Row],[BVPS]],""),"")</f>
        <v>-53.1</v>
      </c>
      <c r="J34">
        <v>1116.5999999999999</v>
      </c>
      <c r="K34">
        <v>16.04</v>
      </c>
      <c r="L34">
        <v>-20.11</v>
      </c>
      <c r="M34" s="1">
        <f>IF(ISNUMBER(Main_L[[#This Row],[EPS]]),IF(Main_L[[#This Row],[EPS]]&lt;&gt;0,Main_L[[#This Row],[Current Price]]/Main_L[[#This Row],[EPS]],""),"")</f>
        <v>17.409836065573771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-0.51442366858729727</v>
      </c>
      <c r="P34" s="1">
        <f>(Main_L[[#This Row],[P/B]]-VLOOKUP(Main_L[[#This Row],[Industry]], Mean_PB_L, 2, FALSE))/(VLOOKUP(Main_L[[#This Row],[Industry]], Mean_PB_L, 3, FALSE))</f>
        <v>-17.695696817854792</v>
      </c>
      <c r="Q34" s="1">
        <f>(Main_L[[#This Row],[ROE]]-VLOOKUP(Main_L[[#This Row],[Industry]], Mean_ROE_L, 2, FALSE))/(VLOOKUP(Main_L[[#This Row],[Industry]], Mean_ROE_L, 3, FALSE))</f>
        <v>88.5672592990271</v>
      </c>
      <c r="R34" s="1">
        <f>(Main_L[[#This Row],[ROA]]-VLOOKUP(Main_L[[#This Row],[Industry]], Mean_ROA_L, 2, FALSE))/(VLOOKUP(Main_L[[#This Row],[Industry]], Mean_ROA_L, 3, FALSE))</f>
        <v>1.7357308411175729</v>
      </c>
      <c r="S34" s="1">
        <f>(Main_L[[#This Row],[A/E]]-VLOOKUP(Main_L[[#This Row],[Industry]], Mean_AE_L, 2, FALSE))/(VLOOKUP(Main_L[[#This Row],[Industry]], Mean_AE_L, 3, FALSE))</f>
        <v>-180.16809095456816</v>
      </c>
      <c r="T34" s="1">
        <f>(Main_L[[#This Row],[P/E]]-VLOOKUP(Main_L[[#This Row],[Industry]], Mean_PE_L, 2, FALSE))/(VLOOKUP(Main_L[[#This Row],[Industry]], Mean_PE_L, 3, FALSE))</f>
        <v>-0.81767709104507857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7" t="s">
        <v>122</v>
      </c>
      <c r="B35" s="67" t="s">
        <v>127</v>
      </c>
      <c r="C35" s="2">
        <v>61040</v>
      </c>
      <c r="D35">
        <f>RTD("tos.rtd", , "LAST", Main_L[[#This Row],[Symbol]])</f>
        <v>71.650000000000006</v>
      </c>
      <c r="E35">
        <v>0.59</v>
      </c>
      <c r="F35">
        <v>16.11</v>
      </c>
      <c r="G35">
        <v>1.5</v>
      </c>
      <c r="H35" s="1">
        <f>IF(ISNUMBER(Main_L[[#This Row],[Free CF]]),IF(Main_L[[#This Row],[Free CF]]&lt;&gt;0,Main_L[[#This Row],[Current Price]]/Main_L[[#This Row],[Free CF]],""),"")</f>
        <v>121.44067796610172</v>
      </c>
      <c r="I35" s="1">
        <f>IF(ISNUMBER(Main_L[[#This Row],[BVPS]]),IF(Main_L[[#This Row],[BVPS]]&lt;&gt;0,Main_L[[#This Row],[Current Price]]/Main_L[[#This Row],[BVPS]],""),"")</f>
        <v>4.4475481067659848</v>
      </c>
      <c r="J35">
        <v>11.12</v>
      </c>
      <c r="K35">
        <v>3.24</v>
      </c>
      <c r="L35">
        <v>2.63</v>
      </c>
      <c r="M35" s="1">
        <f>IF(ISNUMBER(Main_L[[#This Row],[EPS]]),IF(Main_L[[#This Row],[EPS]]&lt;&gt;0,Main_L[[#This Row],[Current Price]]/Main_L[[#This Row],[EPS]],""),"")</f>
        <v>47.766666666666673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13.504426264182174</v>
      </c>
      <c r="P35" s="1">
        <f>(Main_L[[#This Row],[P/B]]-VLOOKUP(Main_L[[#This Row],[Industry]], Mean_PB_L, 2, FALSE))/(VLOOKUP(Main_L[[#This Row],[Industry]], Mean_PB_L, 3, FALSE))</f>
        <v>-0.45993391342304635</v>
      </c>
      <c r="Q35" s="1">
        <f>(Main_L[[#This Row],[ROE]]-VLOOKUP(Main_L[[#This Row],[Industry]], Mean_ROE_L, 2, FALSE))/(VLOOKUP(Main_L[[#This Row],[Industry]], Mean_ROE_L, 3, FALSE))</f>
        <v>-1.0677397029868925</v>
      </c>
      <c r="R35" s="1">
        <f>(Main_L[[#This Row],[ROA]]-VLOOKUP(Main_L[[#This Row],[Industry]], Mean_ROA_L, 2, FALSE))/(VLOOKUP(Main_L[[#This Row],[Industry]], Mean_ROA_L, 3, FALSE))</f>
        <v>-1.6127777898251447</v>
      </c>
      <c r="S35" s="1">
        <f>(Main_L[[#This Row],[A/E]]-VLOOKUP(Main_L[[#This Row],[Industry]], Mean_AE_L, 2, FALSE))/(VLOOKUP(Main_L[[#This Row],[Industry]], Mean_AE_L, 3, FALSE))</f>
        <v>-0.5529051454107734</v>
      </c>
      <c r="T35" s="1">
        <f>(Main_L[[#This Row],[P/E]]-VLOOKUP(Main_L[[#This Row],[Industry]], Mean_PE_L, 2, FALSE))/(VLOOKUP(Main_L[[#This Row],[Industry]], Mean_PE_L, 3, FALSE))</f>
        <v>2.2099899241979197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7" t="s">
        <v>190</v>
      </c>
      <c r="B36" s="67" t="s">
        <v>194</v>
      </c>
      <c r="C36" s="2">
        <v>80402</v>
      </c>
      <c r="D36">
        <f>RTD("tos.rtd", , "LAST", Main_L[[#This Row],[Symbol]])</f>
        <v>249.4</v>
      </c>
      <c r="E36">
        <v>7.49</v>
      </c>
      <c r="F36">
        <v>37.380000000000003</v>
      </c>
      <c r="G36">
        <v>6.63</v>
      </c>
      <c r="H36" s="1">
        <f>IF(ISNUMBER(Main_L[[#This Row],[Free CF]]),IF(Main_L[[#This Row],[Free CF]]&lt;&gt;0,Main_L[[#This Row],[Current Price]]/Main_L[[#This Row],[Free CF]],""),"")</f>
        <v>33.297730307076101</v>
      </c>
      <c r="I36" s="1">
        <f>IF(ISNUMBER(Main_L[[#This Row],[BVPS]]),IF(Main_L[[#This Row],[BVPS]]&lt;&gt;0,Main_L[[#This Row],[Current Price]]/Main_L[[#This Row],[BVPS]],""),"")</f>
        <v>6.6720171214553234</v>
      </c>
      <c r="J36">
        <v>18.54</v>
      </c>
      <c r="K36">
        <v>6.39</v>
      </c>
      <c r="L36">
        <v>2.84</v>
      </c>
      <c r="M36" s="1">
        <f>IF(ISNUMBER(Main_L[[#This Row],[EPS]]),IF(Main_L[[#This Row],[EPS]]&lt;&gt;0,Main_L[[#This Row],[Current Price]]/Main_L[[#This Row],[EPS]],""),"")</f>
        <v>37.616892911010559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-0.82813107093212013</v>
      </c>
      <c r="P36" s="1">
        <f>(Main_L[[#This Row],[P/B]]-VLOOKUP(Main_L[[#This Row],[Industry]], Mean_PB_L, 2, FALSE))/(VLOOKUP(Main_L[[#This Row],[Industry]], Mean_PB_L, 3, FALSE))</f>
        <v>-0.33512093850991898</v>
      </c>
      <c r="Q36" s="1">
        <f>(Main_L[[#This Row],[ROE]]-VLOOKUP(Main_L[[#This Row],[Industry]], Mean_ROE_L, 2, FALSE))/(VLOOKUP(Main_L[[#This Row],[Industry]], Mean_ROE_L, 3, FALSE))</f>
        <v>-0.11257390780904609</v>
      </c>
      <c r="R36" s="1">
        <f>(Main_L[[#This Row],[ROA]]-VLOOKUP(Main_L[[#This Row],[Industry]], Mean_ROA_L, 2, FALSE))/(VLOOKUP(Main_L[[#This Row],[Industry]], Mean_ROA_L, 3, FALSE))</f>
        <v>-0.33243643908091369</v>
      </c>
      <c r="S36" s="1">
        <f>(Main_L[[#This Row],[A/E]]-VLOOKUP(Main_L[[#This Row],[Industry]], Mean_AE_L, 2, FALSE))/(VLOOKUP(Main_L[[#This Row],[Industry]], Mean_AE_L, 3, FALSE))</f>
        <v>1.2007501788217478</v>
      </c>
      <c r="T36" s="1">
        <f>(Main_L[[#This Row],[P/E]]-VLOOKUP(Main_L[[#This Row],[Industry]], Mean_PE_L, 2, FALSE))/(VLOOKUP(Main_L[[#This Row],[Industry]], Mean_PE_L, 3, FALSE))</f>
        <v>-0.48886553377293929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7" t="s">
        <v>190</v>
      </c>
      <c r="B37" s="67" t="s">
        <v>191</v>
      </c>
      <c r="C37" s="2">
        <v>12151</v>
      </c>
      <c r="D37">
        <f>RTD("tos.rtd", , "LAST", Main_L[[#This Row],[Symbol]])</f>
        <v>225.32</v>
      </c>
      <c r="E37">
        <v>6.28</v>
      </c>
      <c r="F37">
        <v>47.94</v>
      </c>
      <c r="G37">
        <v>7.22</v>
      </c>
      <c r="H37" s="1">
        <f>IF(ISNUMBER(Main_L[[#This Row],[Free CF]]),IF(Main_L[[#This Row],[Free CF]]&lt;&gt;0,Main_L[[#This Row],[Current Price]]/Main_L[[#This Row],[Free CF]],""),"")</f>
        <v>35.878980891719742</v>
      </c>
      <c r="I37" s="1">
        <f>IF(ISNUMBER(Main_L[[#This Row],[BVPS]]),IF(Main_L[[#This Row],[BVPS]]&lt;&gt;0,Main_L[[#This Row],[Current Price]]/Main_L[[#This Row],[BVPS]],""),"")</f>
        <v>4.7000417188151857</v>
      </c>
      <c r="J37">
        <v>16.02</v>
      </c>
      <c r="K37">
        <v>5.78</v>
      </c>
      <c r="L37">
        <v>2.82</v>
      </c>
      <c r="M37" s="1">
        <f>IF(ISNUMBER(Main_L[[#This Row],[EPS]]),IF(Main_L[[#This Row],[EPS]]&lt;&gt;0,Main_L[[#This Row],[Current Price]]/Main_L[[#This Row],[EPS]],""),"")</f>
        <v>31.207756232686982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-0.49411433451193582</v>
      </c>
      <c r="P37" s="1">
        <f>(Main_L[[#This Row],[P/B]]-VLOOKUP(Main_L[[#This Row],[Industry]], Mean_PB_L, 2, FALSE))/(VLOOKUP(Main_L[[#This Row],[Industry]], Mean_PB_L, 3, FALSE))</f>
        <v>-0.74972990181892807</v>
      </c>
      <c r="Q37" s="1">
        <f>(Main_L[[#This Row],[ROE]]-VLOOKUP(Main_L[[#This Row],[Industry]], Mean_ROE_L, 2, FALSE))/(VLOOKUP(Main_L[[#This Row],[Industry]], Mean_ROE_L, 3, FALSE))</f>
        <v>-0.26606868028650593</v>
      </c>
      <c r="R37" s="1">
        <f>(Main_L[[#This Row],[ROA]]-VLOOKUP(Main_L[[#This Row],[Industry]], Mean_ROA_L, 2, FALSE))/(VLOOKUP(Main_L[[#This Row],[Industry]], Mean_ROA_L, 3, FALSE))</f>
        <v>-0.46411580780776907</v>
      </c>
      <c r="S37" s="1">
        <f>(Main_L[[#This Row],[A/E]]-VLOOKUP(Main_L[[#This Row],[Industry]], Mean_AE_L, 2, FALSE))/(VLOOKUP(Main_L[[#This Row],[Industry]], Mean_AE_L, 3, FALSE))</f>
        <v>1.1298862338421038</v>
      </c>
      <c r="T37" s="1">
        <f>(Main_L[[#This Row],[P/E]]-VLOOKUP(Main_L[[#This Row],[Industry]], Mean_PE_L, 2, FALSE))/(VLOOKUP(Main_L[[#This Row],[Industry]], Mean_PE_L, 3, FALSE))</f>
        <v>-0.909540640163919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7" t="s">
        <v>190</v>
      </c>
      <c r="B38" s="67" t="s">
        <v>198</v>
      </c>
      <c r="C38" s="2">
        <v>50927</v>
      </c>
      <c r="D38">
        <f>RTD("tos.rtd", , "LAST", Main_L[[#This Row],[Symbol]])</f>
        <v>188.99</v>
      </c>
      <c r="E38">
        <v>4.58</v>
      </c>
      <c r="F38">
        <v>31.02</v>
      </c>
      <c r="G38">
        <v>2.4300000000000002</v>
      </c>
      <c r="H38" s="1">
        <f>IF(ISNUMBER(Main_L[[#This Row],[Free CF]]),IF(Main_L[[#This Row],[Free CF]]&lt;&gt;0,Main_L[[#This Row],[Current Price]]/Main_L[[#This Row],[Free CF]],""),"")</f>
        <v>41.264192139737993</v>
      </c>
      <c r="I38" s="1">
        <f>IF(ISNUMBER(Main_L[[#This Row],[BVPS]]),IF(Main_L[[#This Row],[BVPS]]&lt;&gt;0,Main_L[[#This Row],[Current Price]]/Main_L[[#This Row],[BVPS]],""),"")</f>
        <v>6.0925209542230823</v>
      </c>
      <c r="J38">
        <v>7.96</v>
      </c>
      <c r="K38">
        <v>4</v>
      </c>
      <c r="L38">
        <v>2.5299999999999998</v>
      </c>
      <c r="M38" s="1">
        <f>IF(ISNUMBER(Main_L[[#This Row],[EPS]]),IF(Main_L[[#This Row],[EPS]]&lt;&gt;0,Main_L[[#This Row],[Current Price]]/Main_L[[#This Row],[EPS]],""),"")</f>
        <v>77.773662551440324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0.20273807365697269</v>
      </c>
      <c r="P38" s="1">
        <f>(Main_L[[#This Row],[P/B]]-VLOOKUP(Main_L[[#This Row],[Industry]], Mean_PB_L, 2, FALSE))/(VLOOKUP(Main_L[[#This Row],[Industry]], Mean_PB_L, 3, FALSE))</f>
        <v>-0.45696034117996792</v>
      </c>
      <c r="Q38" s="1">
        <f>(Main_L[[#This Row],[ROE]]-VLOOKUP(Main_L[[#This Row],[Industry]], Mean_ROE_L, 2, FALSE))/(VLOOKUP(Main_L[[#This Row],[Industry]], Mean_ROE_L, 3, FALSE))</f>
        <v>-0.7570083097183814</v>
      </c>
      <c r="R38" s="1">
        <f>(Main_L[[#This Row],[ROA]]-VLOOKUP(Main_L[[#This Row],[Industry]], Mean_ROA_L, 2, FALSE))/(VLOOKUP(Main_L[[#This Row],[Industry]], Mean_ROA_L, 3, FALSE))</f>
        <v>-0.84836052310908516</v>
      </c>
      <c r="S38" s="1">
        <f>(Main_L[[#This Row],[A/E]]-VLOOKUP(Main_L[[#This Row],[Industry]], Mean_AE_L, 2, FALSE))/(VLOOKUP(Main_L[[#This Row],[Industry]], Mean_AE_L, 3, FALSE))</f>
        <v>0.10235903163726398</v>
      </c>
      <c r="T38" s="1">
        <f>(Main_L[[#This Row],[P/E]]-VLOOKUP(Main_L[[#This Row],[Industry]], Mean_PE_L, 2, FALSE))/(VLOOKUP(Main_L[[#This Row],[Industry]], Mean_PE_L, 3, FALSE))</f>
        <v>2.146895597354086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7" t="s">
        <v>190</v>
      </c>
      <c r="B39" s="67" t="s">
        <v>199</v>
      </c>
      <c r="C39" s="2">
        <v>96968</v>
      </c>
      <c r="D39">
        <f>RTD("tos.rtd", , "LAST", Main_L[[#This Row],[Symbol]])</f>
        <v>233.99</v>
      </c>
      <c r="E39">
        <v>4.57</v>
      </c>
      <c r="F39">
        <v>21.5</v>
      </c>
      <c r="G39">
        <v>6.64</v>
      </c>
      <c r="H39" s="1">
        <f>IF(ISNUMBER(Main_L[[#This Row],[Free CF]]),IF(Main_L[[#This Row],[Free CF]]&lt;&gt;0,Main_L[[#This Row],[Current Price]]/Main_L[[#This Row],[Free CF]],""),"")</f>
        <v>51.201312910284464</v>
      </c>
      <c r="I39" s="1">
        <f>IF(ISNUMBER(Main_L[[#This Row],[BVPS]]),IF(Main_L[[#This Row],[BVPS]]&lt;&gt;0,Main_L[[#This Row],[Current Price]]/Main_L[[#This Row],[BVPS]],""),"")</f>
        <v>10.88325581395349</v>
      </c>
      <c r="J39">
        <v>34.01</v>
      </c>
      <c r="K39">
        <v>7</v>
      </c>
      <c r="L39">
        <v>5.14</v>
      </c>
      <c r="M39" s="1">
        <f>IF(ISNUMBER(Main_L[[#This Row],[EPS]]),IF(Main_L[[#This Row],[EPS]]&lt;&gt;0,Main_L[[#This Row],[Current Price]]/Main_L[[#This Row],[EPS]],""),"")</f>
        <v>35.239457831325304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1.4886127070372079</v>
      </c>
      <c r="P39" s="1">
        <f>(Main_L[[#This Row],[P/B]]-VLOOKUP(Main_L[[#This Row],[Industry]], Mean_PB_L, 2, FALSE))/(VLOOKUP(Main_L[[#This Row],[Industry]], Mean_PB_L, 3, FALSE))</f>
        <v>0.55029442022418751</v>
      </c>
      <c r="Q39" s="1">
        <f>(Main_L[[#This Row],[ROE]]-VLOOKUP(Main_L[[#This Row],[Industry]], Mean_ROE_L, 2, FALSE))/(VLOOKUP(Main_L[[#This Row],[Industry]], Mean_ROE_L, 3, FALSE))</f>
        <v>0.82971344545536008</v>
      </c>
      <c r="R39" s="1">
        <f>(Main_L[[#This Row],[ROA]]-VLOOKUP(Main_L[[#This Row],[Industry]], Mean_ROA_L, 2, FALSE))/(VLOOKUP(Main_L[[#This Row],[Industry]], Mean_ROA_L, 3, FALSE))</f>
        <v>-0.20075707035405813</v>
      </c>
      <c r="S39" s="1">
        <f>(Main_L[[#This Row],[A/E]]-VLOOKUP(Main_L[[#This Row],[Industry]], Mean_AE_L, 2, FALSE))/(VLOOKUP(Main_L[[#This Row],[Industry]], Mean_AE_L, 3, FALSE))</f>
        <v>9.3501038514808208</v>
      </c>
      <c r="T39" s="1">
        <f>(Main_L[[#This Row],[P/E]]-VLOOKUP(Main_L[[#This Row],[Industry]], Mean_PE_L, 2, FALSE))/(VLOOKUP(Main_L[[#This Row],[Industry]], Mean_PE_L, 3, FALSE))</f>
        <v>-0.64491272160508328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7" t="s">
        <v>190</v>
      </c>
      <c r="B40" s="67" t="s">
        <v>201</v>
      </c>
      <c r="C40" s="2">
        <v>91458</v>
      </c>
      <c r="D40">
        <f>RTD("tos.rtd", , "LAST", Main_L[[#This Row],[Symbol]])</f>
        <v>224.6</v>
      </c>
      <c r="E40">
        <v>4.5199999999999996</v>
      </c>
      <c r="F40">
        <v>11.38</v>
      </c>
      <c r="G40">
        <v>4.3099999999999996</v>
      </c>
      <c r="H40" s="1">
        <f>IF(ISNUMBER(Main_L[[#This Row],[Free CF]]),IF(Main_L[[#This Row],[Free CF]]&lt;&gt;0,Main_L[[#This Row],[Current Price]]/Main_L[[#This Row],[Free CF]],""),"")</f>
        <v>49.690265486725664</v>
      </c>
      <c r="I40" s="1">
        <f>IF(ISNUMBER(Main_L[[#This Row],[BVPS]]),IF(Main_L[[#This Row],[BVPS]]&lt;&gt;0,Main_L[[#This Row],[Current Price]]/Main_L[[#This Row],[BVPS]],""),"")</f>
        <v>19.736379613356764</v>
      </c>
      <c r="J40">
        <v>40.299999999999997</v>
      </c>
      <c r="K40">
        <v>15.53</v>
      </c>
      <c r="L40">
        <v>2.09</v>
      </c>
      <c r="M40" s="1">
        <f>IF(ISNUMBER(Main_L[[#This Row],[EPS]]),IF(Main_L[[#This Row],[EPS]]&lt;&gt;0,Main_L[[#This Row],[Current Price]]/Main_L[[#This Row],[EPS]],""),"")</f>
        <v>52.111368909512763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1.29308146648432</v>
      </c>
      <c r="P40" s="1">
        <f>(Main_L[[#This Row],[P/B]]-VLOOKUP(Main_L[[#This Row],[Industry]], Mean_PB_L, 2, FALSE))/(VLOOKUP(Main_L[[#This Row],[Industry]], Mean_PB_L, 3, FALSE))</f>
        <v>2.4116687941654762</v>
      </c>
      <c r="Q40" s="1">
        <f>(Main_L[[#This Row],[ROE]]-VLOOKUP(Main_L[[#This Row],[Industry]], Mean_ROE_L, 2, FALSE))/(VLOOKUP(Main_L[[#This Row],[Industry]], Mean_ROE_L, 3, FALSE))</f>
        <v>1.2128412704090197</v>
      </c>
      <c r="R40" s="1">
        <f>(Main_L[[#This Row],[ROA]]-VLOOKUP(Main_L[[#This Row],[Industry]], Mean_ROA_L, 2, FALSE))/(VLOOKUP(Main_L[[#This Row],[Industry]], Mean_ROA_L, 3, FALSE))</f>
        <v>1.6405954136460688</v>
      </c>
      <c r="S40" s="1">
        <f>(Main_L[[#This Row],[A/E]]-VLOOKUP(Main_L[[#This Row],[Industry]], Mean_AE_L, 2, FALSE))/(VLOOKUP(Main_L[[#This Row],[Industry]], Mean_AE_L, 3, FALSE))</f>
        <v>-1.4566477579149064</v>
      </c>
      <c r="T40" s="1">
        <f>(Main_L[[#This Row],[P/E]]-VLOOKUP(Main_L[[#This Row],[Industry]], Mean_PE_L, 2, FALSE))/(VLOOKUP(Main_L[[#This Row],[Industry]], Mean_PE_L, 3, FALSE))</f>
        <v>0.46250522625059576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7" t="s">
        <v>190</v>
      </c>
      <c r="B41" s="67" t="s">
        <v>202</v>
      </c>
      <c r="C41" s="2">
        <v>19501</v>
      </c>
      <c r="D41">
        <f>RTD("tos.rtd", , "LAST", Main_L[[#This Row],[Symbol]])</f>
        <v>106.16</v>
      </c>
      <c r="E41">
        <v>3.49</v>
      </c>
      <c r="F41">
        <v>28.54</v>
      </c>
      <c r="G41">
        <v>2.0299999999999998</v>
      </c>
      <c r="H41" s="1">
        <f>IF(ISNUMBER(Main_L[[#This Row],[Free CF]]),IF(Main_L[[#This Row],[Free CF]]&lt;&gt;0,Main_L[[#This Row],[Current Price]]/Main_L[[#This Row],[Free CF]],""),"")</f>
        <v>30.418338108882519</v>
      </c>
      <c r="I41" s="1">
        <f>IF(ISNUMBER(Main_L[[#This Row],[BVPS]]),IF(Main_L[[#This Row],[BVPS]]&lt;&gt;0,Main_L[[#This Row],[Current Price]]/Main_L[[#This Row],[BVPS]],""),"")</f>
        <v>3.7196916608269097</v>
      </c>
      <c r="J41">
        <v>7.39</v>
      </c>
      <c r="K41">
        <v>4.0199999999999996</v>
      </c>
      <c r="L41">
        <v>2.25</v>
      </c>
      <c r="M41" s="1">
        <f>IF(ISNUMBER(Main_L[[#This Row],[EPS]]),IF(Main_L[[#This Row],[EPS]]&lt;&gt;0,Main_L[[#This Row],[Current Price]]/Main_L[[#This Row],[EPS]],""),"")</f>
        <v>52.29556650246306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-1.2007276683473762</v>
      </c>
      <c r="P41" s="1">
        <f>(Main_L[[#This Row],[P/B]]-VLOOKUP(Main_L[[#This Row],[Industry]], Mean_PB_L, 2, FALSE))/(VLOOKUP(Main_L[[#This Row],[Industry]], Mean_PB_L, 3, FALSE))</f>
        <v>-0.9558490657183677</v>
      </c>
      <c r="Q41" s="1">
        <f>(Main_L[[#This Row],[ROE]]-VLOOKUP(Main_L[[#This Row],[Industry]], Mean_ROE_L, 2, FALSE))/(VLOOKUP(Main_L[[#This Row],[Industry]], Mean_ROE_L, 3, FALSE))</f>
        <v>-0.79172736539780686</v>
      </c>
      <c r="R41" s="1">
        <f>(Main_L[[#This Row],[ROA]]-VLOOKUP(Main_L[[#This Row],[Industry]], Mean_ROA_L, 2, FALSE))/(VLOOKUP(Main_L[[#This Row],[Industry]], Mean_ROA_L, 3, FALSE))</f>
        <v>-0.84404316675738511</v>
      </c>
      <c r="S41" s="1">
        <f>(Main_L[[#This Row],[A/E]]-VLOOKUP(Main_L[[#This Row],[Industry]], Mean_AE_L, 2, FALSE))/(VLOOKUP(Main_L[[#This Row],[Industry]], Mean_AE_L, 3, FALSE))</f>
        <v>-0.88973619807775295</v>
      </c>
      <c r="T41" s="1">
        <f>(Main_L[[#This Row],[P/E]]-VLOOKUP(Main_L[[#This Row],[Industry]], Mean_PE_L, 2, FALSE))/(VLOOKUP(Main_L[[#This Row],[Industry]], Mean_PE_L, 3, FALSE))</f>
        <v>0.47459536348754999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7" t="s">
        <v>190</v>
      </c>
      <c r="B42" s="67" t="s">
        <v>197</v>
      </c>
      <c r="C42" s="2">
        <v>25041</v>
      </c>
      <c r="D42">
        <f>RTD("tos.rtd", , "LAST", Main_L[[#This Row],[Symbol]])</f>
        <v>99.72</v>
      </c>
      <c r="E42">
        <v>3.47</v>
      </c>
      <c r="F42">
        <v>9.2899999999999991</v>
      </c>
      <c r="G42">
        <v>3.5</v>
      </c>
      <c r="H42" s="1">
        <f>IF(ISNUMBER(Main_L[[#This Row],[Free CF]]),IF(Main_L[[#This Row],[Free CF]]&lt;&gt;0,Main_L[[#This Row],[Current Price]]/Main_L[[#This Row],[Free CF]],""),"")</f>
        <v>28.737752161383284</v>
      </c>
      <c r="I42" s="1">
        <f>IF(ISNUMBER(Main_L[[#This Row],[BVPS]]),IF(Main_L[[#This Row],[BVPS]]&lt;&gt;0,Main_L[[#This Row],[Current Price]]/Main_L[[#This Row],[BVPS]],""),"")</f>
        <v>10.734122712594187</v>
      </c>
      <c r="J42">
        <v>46.04</v>
      </c>
      <c r="K42">
        <v>12.53</v>
      </c>
      <c r="L42">
        <v>2.89</v>
      </c>
      <c r="M42" s="1">
        <f>IF(ISNUMBER(Main_L[[#This Row],[EPS]]),IF(Main_L[[#This Row],[EPS]]&lt;&gt;0,Main_L[[#This Row],[Current Price]]/Main_L[[#This Row],[EPS]],""),"")</f>
        <v>28.491428571428571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-1.4181973850795915</v>
      </c>
      <c r="P42" s="1">
        <f>(Main_L[[#This Row],[P/B]]-VLOOKUP(Main_L[[#This Row],[Industry]], Mean_PB_L, 2, FALSE))/(VLOOKUP(Main_L[[#This Row],[Industry]], Mean_PB_L, 3, FALSE))</f>
        <v>0.51893909983486863</v>
      </c>
      <c r="Q42" s="1">
        <f>(Main_L[[#This Row],[ROE]]-VLOOKUP(Main_L[[#This Row],[Industry]], Mean_ROE_L, 2, FALSE))/(VLOOKUP(Main_L[[#This Row],[Industry]], Mean_ROE_L, 3, FALSE))</f>
        <v>1.5624682521632338</v>
      </c>
      <c r="R42" s="1">
        <f>(Main_L[[#This Row],[ROA]]-VLOOKUP(Main_L[[#This Row],[Industry]], Mean_ROA_L, 2, FALSE))/(VLOOKUP(Main_L[[#This Row],[Industry]], Mean_ROA_L, 3, FALSE))</f>
        <v>0.99299196089104158</v>
      </c>
      <c r="S42" s="1">
        <f>(Main_L[[#This Row],[A/E]]-VLOOKUP(Main_L[[#This Row],[Industry]], Mean_AE_L, 2, FALSE))/(VLOOKUP(Main_L[[#This Row],[Industry]], Mean_AE_L, 3, FALSE))</f>
        <v>1.3779100412708591</v>
      </c>
      <c r="T42" s="1">
        <f>(Main_L[[#This Row],[P/E]]-VLOOKUP(Main_L[[#This Row],[Industry]], Mean_PE_L, 2, FALSE))/(VLOOKUP(Main_L[[#This Row],[Industry]], Mean_PE_L, 3, FALSE))</f>
        <v>-1.0878316464639335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7" t="s">
        <v>190</v>
      </c>
      <c r="B43" s="67" t="s">
        <v>193</v>
      </c>
      <c r="C43" s="2">
        <v>27746</v>
      </c>
      <c r="D43">
        <f>RTD("tos.rtd", , "LAST", Main_L[[#This Row],[Symbol]])</f>
        <v>57.06</v>
      </c>
      <c r="E43">
        <v>1.24</v>
      </c>
      <c r="F43">
        <v>2.8</v>
      </c>
      <c r="G43">
        <v>0.99</v>
      </c>
      <c r="H43" s="1">
        <f>IF(ISNUMBER(Main_L[[#This Row],[Free CF]]),IF(Main_L[[#This Row],[Free CF]]&lt;&gt;0,Main_L[[#This Row],[Current Price]]/Main_L[[#This Row],[Free CF]],""),"")</f>
        <v>46.016129032258064</v>
      </c>
      <c r="I43" s="1">
        <f>IF(ISNUMBER(Main_L[[#This Row],[BVPS]]),IF(Main_L[[#This Row],[BVPS]]&lt;&gt;0,Main_L[[#This Row],[Current Price]]/Main_L[[#This Row],[BVPS]],""),"")</f>
        <v>20.37857142857143</v>
      </c>
      <c r="J43">
        <v>37.83</v>
      </c>
      <c r="K43">
        <v>14.88</v>
      </c>
      <c r="L43">
        <v>2.17</v>
      </c>
      <c r="M43" s="1">
        <f>IF(ISNUMBER(Main_L[[#This Row],[EPS]]),IF(Main_L[[#This Row],[EPS]]&lt;&gt;0,Main_L[[#This Row],[Current Price]]/Main_L[[#This Row],[EPS]],""),"")</f>
        <v>57.63636363636364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0.81764406610766449</v>
      </c>
      <c r="P43" s="1">
        <f>(Main_L[[#This Row],[P/B]]-VLOOKUP(Main_L[[#This Row],[Industry]], Mean_PB_L, 2, FALSE))/(VLOOKUP(Main_L[[#This Row],[Industry]], Mean_PB_L, 3, FALSE))</f>
        <v>2.5466899929061952</v>
      </c>
      <c r="Q43" s="1">
        <f>(Main_L[[#This Row],[ROE]]-VLOOKUP(Main_L[[#This Row],[Industry]], Mean_ROE_L, 2, FALSE))/(VLOOKUP(Main_L[[#This Row],[Industry]], Mean_ROE_L, 3, FALSE))</f>
        <v>1.0623920291315097</v>
      </c>
      <c r="R43" s="1">
        <f>(Main_L[[#This Row],[ROA]]-VLOOKUP(Main_L[[#This Row],[Industry]], Mean_ROA_L, 2, FALSE))/(VLOOKUP(Main_L[[#This Row],[Industry]], Mean_ROA_L, 3, FALSE))</f>
        <v>1.5002813322158131</v>
      </c>
      <c r="S43" s="1">
        <f>(Main_L[[#This Row],[A/E]]-VLOOKUP(Main_L[[#This Row],[Industry]], Mean_AE_L, 2, FALSE))/(VLOOKUP(Main_L[[#This Row],[Industry]], Mean_AE_L, 3, FALSE))</f>
        <v>-1.1731919779963296</v>
      </c>
      <c r="T43" s="1">
        <f>(Main_L[[#This Row],[P/E]]-VLOOKUP(Main_L[[#This Row],[Industry]], Mean_PE_L, 2, FALSE))/(VLOOKUP(Main_L[[#This Row],[Industry]], Mean_PE_L, 3, FALSE))</f>
        <v>0.825148100194663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7" t="s">
        <v>190</v>
      </c>
      <c r="B44" s="67" t="s">
        <v>200</v>
      </c>
      <c r="C44" s="2">
        <v>49734</v>
      </c>
      <c r="D44">
        <f>RTD("tos.rtd", , "LAST", Main_L[[#This Row],[Symbol]])</f>
        <v>50.15</v>
      </c>
      <c r="E44">
        <v>1.23</v>
      </c>
      <c r="F44">
        <v>9.09</v>
      </c>
      <c r="G44">
        <v>1.51</v>
      </c>
      <c r="H44" s="1">
        <f>IF(ISNUMBER(Main_L[[#This Row],[Free CF]]),IF(Main_L[[#This Row],[Free CF]]&lt;&gt;0,Main_L[[#This Row],[Current Price]]/Main_L[[#This Row],[Free CF]],""),"")</f>
        <v>40.772357723577237</v>
      </c>
      <c r="I44" s="1">
        <f>IF(ISNUMBER(Main_L[[#This Row],[BVPS]]),IF(Main_L[[#This Row],[BVPS]]&lt;&gt;0,Main_L[[#This Row],[Current Price]]/Main_L[[#This Row],[BVPS]],""),"")</f>
        <v>5.517051705170517</v>
      </c>
      <c r="J44">
        <v>18.440000000000001</v>
      </c>
      <c r="K44">
        <v>11.63</v>
      </c>
      <c r="L44">
        <v>1.1000000000000001</v>
      </c>
      <c r="M44" s="1">
        <f>IF(ISNUMBER(Main_L[[#This Row],[EPS]]),IF(Main_L[[#This Row],[EPS]]&lt;&gt;0,Main_L[[#This Row],[Current Price]]/Main_L[[#This Row],[EPS]],""),"")</f>
        <v>33.211920529801326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0.13909414558486621</v>
      </c>
      <c r="P44" s="1">
        <f>(Main_L[[#This Row],[P/B]]-VLOOKUP(Main_L[[#This Row],[Industry]], Mean_PB_L, 2, FALSE))/(VLOOKUP(Main_L[[#This Row],[Industry]], Mean_PB_L, 3, FALSE))</f>
        <v>-0.57795308198518314</v>
      </c>
      <c r="Q44" s="1">
        <f>(Main_L[[#This Row],[ROE]]-VLOOKUP(Main_L[[#This Row],[Industry]], Mean_ROE_L, 2, FALSE))/(VLOOKUP(Main_L[[#This Row],[Industry]], Mean_ROE_L, 3, FALSE))</f>
        <v>-0.11866497020894516</v>
      </c>
      <c r="R44" s="1">
        <f>(Main_L[[#This Row],[ROA]]-VLOOKUP(Main_L[[#This Row],[Industry]], Mean_ROA_L, 2, FALSE))/(VLOOKUP(Main_L[[#This Row],[Industry]], Mean_ROA_L, 3, FALSE))</f>
        <v>0.79871092506453378</v>
      </c>
      <c r="S44" s="1">
        <f>(Main_L[[#This Row],[A/E]]-VLOOKUP(Main_L[[#This Row],[Industry]], Mean_AE_L, 2, FALSE))/(VLOOKUP(Main_L[[#This Row],[Industry]], Mean_AE_L, 3, FALSE))</f>
        <v>-4.964413034407289</v>
      </c>
      <c r="T44" s="1">
        <f>(Main_L[[#This Row],[P/E]]-VLOOKUP(Main_L[[#This Row],[Industry]], Mean_PE_L, 2, FALSE))/(VLOOKUP(Main_L[[#This Row],[Industry]], Mean_PE_L, 3, FALSE))</f>
        <v>-0.77799374528101761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7" t="s">
        <v>190</v>
      </c>
      <c r="B45" s="67" t="s">
        <v>192</v>
      </c>
      <c r="C45" s="2">
        <v>18493</v>
      </c>
      <c r="D45">
        <f>RTD("tos.rtd", , "LAST", Main_L[[#This Row],[Symbol]])</f>
        <v>50.7</v>
      </c>
      <c r="E45">
        <v>0.43</v>
      </c>
      <c r="F45">
        <v>15.25</v>
      </c>
      <c r="G45">
        <v>-1.47</v>
      </c>
      <c r="H45" s="1">
        <f>IF(ISNUMBER(Main_L[[#This Row],[Free CF]]),IF(Main_L[[#This Row],[Free CF]]&lt;&gt;0,Main_L[[#This Row],[Current Price]]/Main_L[[#This Row],[Free CF]],""),"")</f>
        <v>117.90697674418605</v>
      </c>
      <c r="I45" s="1">
        <f>IF(ISNUMBER(Main_L[[#This Row],[BVPS]]),IF(Main_L[[#This Row],[BVPS]]&lt;&gt;0,Main_L[[#This Row],[Current Price]]/Main_L[[#This Row],[BVPS]],""),"")</f>
        <v>3.3245901639344266</v>
      </c>
      <c r="J45">
        <v>-9.64</v>
      </c>
      <c r="K45">
        <v>1.6</v>
      </c>
      <c r="L45">
        <v>2.42</v>
      </c>
      <c r="M45" s="1">
        <f>IF(ISNUMBER(Main_L[[#This Row],[EPS]]),IF(Main_L[[#This Row],[EPS]]&lt;&gt;0,Main_L[[#This Row],[Current Price]]/Main_L[[#This Row],[EPS]],""),"")</f>
        <v>-34.489795918367349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10.120400828304692</v>
      </c>
      <c r="P45" s="1">
        <f>(Main_L[[#This Row],[P/B]]-VLOOKUP(Main_L[[#This Row],[Industry]], Mean_PB_L, 2, FALSE))/(VLOOKUP(Main_L[[#This Row],[Industry]], Mean_PB_L, 3, FALSE))</f>
        <v>-1.0389193828273504</v>
      </c>
      <c r="Q45" s="1">
        <f>(Main_L[[#This Row],[ROE]]-VLOOKUP(Main_L[[#This Row],[Industry]], Mean_ROE_L, 2, FALSE))/(VLOOKUP(Main_L[[#This Row],[Industry]], Mean_ROE_L, 3, FALSE))</f>
        <v>-1.8290352921006408</v>
      </c>
      <c r="R45" s="1">
        <f>(Main_L[[#This Row],[ROA]]-VLOOKUP(Main_L[[#This Row],[Industry]], Mean_ROA_L, 2, FALSE))/(VLOOKUP(Main_L[[#This Row],[Industry]], Mean_ROA_L, 3, FALSE))</f>
        <v>-1.3664432853131068</v>
      </c>
      <c r="S45" s="1">
        <f>(Main_L[[#This Row],[A/E]]-VLOOKUP(Main_L[[#This Row],[Industry]], Mean_AE_L, 2, FALSE))/(VLOOKUP(Main_L[[#This Row],[Industry]], Mean_AE_L, 3, FALSE))</f>
        <v>-0.28739266575077821</v>
      </c>
      <c r="T45" s="1">
        <f>(Main_L[[#This Row],[P/E]]-VLOOKUP(Main_L[[#This Row],[Industry]], Mean_PE_L, 2, FALSE))/(VLOOKUP(Main_L[[#This Row],[Industry]], Mean_PE_L, 3, FALSE))</f>
        <v>-5.2217165427693777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6" spans="1:26" x14ac:dyDescent="0.25">
      <c r="A46" s="67" t="s">
        <v>190</v>
      </c>
      <c r="B46" s="67" t="s">
        <v>195</v>
      </c>
      <c r="C46" s="2">
        <v>11947</v>
      </c>
      <c r="D46">
        <f>RTD("tos.rtd", , "LAST", Main_L[[#This Row],[Symbol]])</f>
        <v>23.8</v>
      </c>
      <c r="E46">
        <v>0.23</v>
      </c>
      <c r="F46">
        <v>2.11</v>
      </c>
      <c r="G46">
        <v>0.15</v>
      </c>
      <c r="H46" s="1">
        <f>IF(ISNUMBER(Main_L[[#This Row],[Free CF]]),IF(Main_L[[#This Row],[Free CF]]&lt;&gt;0,Main_L[[#This Row],[Current Price]]/Main_L[[#This Row],[Free CF]],""),"")</f>
        <v>103.47826086956522</v>
      </c>
      <c r="I46" s="1">
        <f>IF(ISNUMBER(Main_L[[#This Row],[BVPS]]),IF(Main_L[[#This Row],[BVPS]]&lt;&gt;0,Main_L[[#This Row],[Current Price]]/Main_L[[#This Row],[BVPS]],""),"")</f>
        <v>11.279620853080569</v>
      </c>
      <c r="J46">
        <v>7.38</v>
      </c>
      <c r="K46">
        <v>3.87</v>
      </c>
      <c r="L46">
        <v>2.5</v>
      </c>
      <c r="M46" s="1">
        <f>IF(ISNUMBER(Main_L[[#This Row],[EPS]]),IF(Main_L[[#This Row],[EPS]]&lt;&gt;0,Main_L[[#This Row],[Current Price]]/Main_L[[#This Row],[EPS]],""),"")</f>
        <v>158.66666666666669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8.253308723475083</v>
      </c>
      <c r="P46" s="1">
        <f>(Main_L[[#This Row],[P/B]]-VLOOKUP(Main_L[[#This Row],[Industry]], Mean_PB_L, 2, FALSE))/(VLOOKUP(Main_L[[#This Row],[Industry]], Mean_PB_L, 3, FALSE))</f>
        <v>0.63363039781518327</v>
      </c>
      <c r="Q46" s="1">
        <f>(Main_L[[#This Row],[ROE]]-VLOOKUP(Main_L[[#This Row],[Industry]], Mean_ROE_L, 2, FALSE))/(VLOOKUP(Main_L[[#This Row],[Industry]], Mean_ROE_L, 3, FALSE))</f>
        <v>-0.79233647163779686</v>
      </c>
      <c r="R46" s="1">
        <f>(Main_L[[#This Row],[ROA]]-VLOOKUP(Main_L[[#This Row],[Industry]], Mean_ROA_L, 2, FALSE))/(VLOOKUP(Main_L[[#This Row],[Industry]], Mean_ROA_L, 3, FALSE))</f>
        <v>-0.87642333939513639</v>
      </c>
      <c r="S46" s="1">
        <f>(Main_L[[#This Row],[A/E]]-VLOOKUP(Main_L[[#This Row],[Industry]], Mean_AE_L, 2, FALSE))/(VLOOKUP(Main_L[[#This Row],[Industry]], Mean_AE_L, 3, FALSE))</f>
        <v>-3.9368858322014928E-3</v>
      </c>
      <c r="T46" s="1">
        <f>(Main_L[[#This Row],[P/E]]-VLOOKUP(Main_L[[#This Row],[Industry]], Mean_PE_L, 2, FALSE))/(VLOOKUP(Main_L[[#This Row],[Industry]], Mean_PE_L, 3, FALSE))</f>
        <v>7.4564520665663903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7" spans="1:26" x14ac:dyDescent="0.25">
      <c r="A47" s="67" t="s">
        <v>135</v>
      </c>
      <c r="B47" s="67" t="s">
        <v>138</v>
      </c>
      <c r="C47" s="2">
        <v>21120</v>
      </c>
      <c r="D47">
        <f>RTD("tos.rtd", , "LAST", Main_L[[#This Row],[Symbol]])</f>
        <v>473.79</v>
      </c>
      <c r="E47">
        <v>28.19</v>
      </c>
      <c r="F47">
        <v>65.08</v>
      </c>
      <c r="G47">
        <v>22.63</v>
      </c>
      <c r="H47" s="1">
        <f>IF(ISNUMBER(Main_L[[#This Row],[Free CF]]),IF(Main_L[[#This Row],[Free CF]]&lt;&gt;0,Main_L[[#This Row],[Current Price]]/Main_L[[#This Row],[Free CF]],""),"")</f>
        <v>16.807023767293366</v>
      </c>
      <c r="I47" s="1">
        <f>IF(ISNUMBER(Main_L[[#This Row],[BVPS]]),IF(Main_L[[#This Row],[BVPS]]&lt;&gt;0,Main_L[[#This Row],[Current Price]]/Main_L[[#This Row],[BVPS]],""),"")</f>
        <v>7.2801167793484947</v>
      </c>
      <c r="J47">
        <v>37.74</v>
      </c>
      <c r="K47">
        <v>11.97</v>
      </c>
      <c r="L47">
        <v>2.74</v>
      </c>
      <c r="M47" s="1">
        <f>IF(ISNUMBER(Main_L[[#This Row],[EPS]]),IF(Main_L[[#This Row],[EPS]]&lt;&gt;0,Main_L[[#This Row],[Current Price]]/Main_L[[#This Row],[EPS]],""),"")</f>
        <v>20.936367653557227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-0.61389284144058576</v>
      </c>
      <c r="P47" s="1">
        <f>(Main_L[[#This Row],[P/B]]-VLOOKUP(Main_L[[#This Row],[Industry]], Mean_PB_L, 2, FALSE))/(VLOOKUP(Main_L[[#This Row],[Industry]], Mean_PB_L, 3, FALSE))</f>
        <v>0.71447724174351179</v>
      </c>
      <c r="Q47" s="1">
        <f>(Main_L[[#This Row],[ROE]]-VLOOKUP(Main_L[[#This Row],[Industry]], Mean_ROE_L, 2, FALSE))/(VLOOKUP(Main_L[[#This Row],[Industry]], Mean_ROE_L, 3, FALSE))</f>
        <v>1.744237890823946</v>
      </c>
      <c r="R47" s="1">
        <f>(Main_L[[#This Row],[ROA]]-VLOOKUP(Main_L[[#This Row],[Industry]], Mean_ROA_L, 2, FALSE))/(VLOOKUP(Main_L[[#This Row],[Industry]], Mean_ROA_L, 3, FALSE))</f>
        <v>6.1376899291595537</v>
      </c>
      <c r="S47" s="1">
        <f>(Main_L[[#This Row],[A/E]]-VLOOKUP(Main_L[[#This Row],[Industry]], Mean_AE_L, 2, FALSE))/(VLOOKUP(Main_L[[#This Row],[Industry]], Mean_AE_L, 3, FALSE))</f>
        <v>0.31909167385699355</v>
      </c>
      <c r="T47" s="1">
        <f>(Main_L[[#This Row],[P/E]]-VLOOKUP(Main_L[[#This Row],[Industry]], Mean_PE_L, 2, FALSE))/(VLOOKUP(Main_L[[#This Row],[Industry]], Mean_PE_L, 3, FALSE))</f>
        <v>-0.95713513153749397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7" t="s">
        <v>135</v>
      </c>
      <c r="B48" s="67" t="s">
        <v>139</v>
      </c>
      <c r="C48" s="2">
        <v>16869</v>
      </c>
      <c r="D48">
        <f>RTD("tos.rtd", , "LAST", Main_L[[#This Row],[Symbol]])</f>
        <v>501.33</v>
      </c>
      <c r="E48">
        <v>14.21</v>
      </c>
      <c r="F48">
        <v>50.44</v>
      </c>
      <c r="G48">
        <v>16.66</v>
      </c>
      <c r="H48" s="1">
        <f>IF(ISNUMBER(Main_L[[#This Row],[Free CF]]),IF(Main_L[[#This Row],[Free CF]]&lt;&gt;0,Main_L[[#This Row],[Current Price]]/Main_L[[#This Row],[Free CF]],""),"")</f>
        <v>35.280084447572129</v>
      </c>
      <c r="I48" s="1">
        <f>IF(ISNUMBER(Main_L[[#This Row],[BVPS]]),IF(Main_L[[#This Row],[BVPS]]&lt;&gt;0,Main_L[[#This Row],[Current Price]]/Main_L[[#This Row],[BVPS]],""),"")</f>
        <v>9.9391356066613792</v>
      </c>
      <c r="J48">
        <v>37.81</v>
      </c>
      <c r="K48">
        <v>12.1</v>
      </c>
      <c r="L48">
        <v>2.57</v>
      </c>
      <c r="M48" s="1">
        <f>IF(ISNUMBER(Main_L[[#This Row],[EPS]]),IF(Main_L[[#This Row],[EPS]]&lt;&gt;0,Main_L[[#This Row],[Current Price]]/Main_L[[#This Row],[EPS]],""),"")</f>
        <v>30.091836734693878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0.83912476344865639</v>
      </c>
      <c r="P48" s="1">
        <f>(Main_L[[#This Row],[P/B]]-VLOOKUP(Main_L[[#This Row],[Industry]], Mean_PB_L, 2, FALSE))/(VLOOKUP(Main_L[[#This Row],[Industry]], Mean_PB_L, 3, FALSE))</f>
        <v>2.2104158799085449</v>
      </c>
      <c r="Q48" s="1">
        <f>(Main_L[[#This Row],[ROE]]-VLOOKUP(Main_L[[#This Row],[Industry]], Mean_ROE_L, 2, FALSE))/(VLOOKUP(Main_L[[#This Row],[Industry]], Mean_ROE_L, 3, FALSE))</f>
        <v>1.7502703341222501</v>
      </c>
      <c r="R48" s="1">
        <f>(Main_L[[#This Row],[ROA]]-VLOOKUP(Main_L[[#This Row],[Industry]], Mean_ROA_L, 2, FALSE))/(VLOOKUP(Main_L[[#This Row],[Industry]], Mean_ROA_L, 3, FALSE))</f>
        <v>6.2426940009859377</v>
      </c>
      <c r="S48" s="1">
        <f>(Main_L[[#This Row],[A/E]]-VLOOKUP(Main_L[[#This Row],[Industry]], Mean_AE_L, 2, FALSE))/(VLOOKUP(Main_L[[#This Row],[Industry]], Mean_AE_L, 3, FALSE))</f>
        <v>-0.34854628990533071</v>
      </c>
      <c r="T48" s="1">
        <f>(Main_L[[#This Row],[P/E]]-VLOOKUP(Main_L[[#This Row],[Industry]], Mean_PE_L, 2, FALSE))/(VLOOKUP(Main_L[[#This Row],[Industry]], Mean_PE_L, 3, FALSE))</f>
        <v>-0.58165734967867422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7" t="s">
        <v>135</v>
      </c>
      <c r="B49" s="67" t="s">
        <v>140</v>
      </c>
      <c r="C49" s="2">
        <v>12303</v>
      </c>
      <c r="D49">
        <f>RTD("tos.rtd", , "LAST", Main_L[[#This Row],[Symbol]])</f>
        <v>162.32</v>
      </c>
      <c r="E49">
        <v>11.8</v>
      </c>
      <c r="F49">
        <v>36.99</v>
      </c>
      <c r="G49">
        <v>2.7</v>
      </c>
      <c r="H49" s="1">
        <f>IF(ISNUMBER(Main_L[[#This Row],[Free CF]]),IF(Main_L[[#This Row],[Free CF]]&lt;&gt;0,Main_L[[#This Row],[Current Price]]/Main_L[[#This Row],[Free CF]],""),"")</f>
        <v>13.755932203389829</v>
      </c>
      <c r="I49" s="1">
        <f>IF(ISNUMBER(Main_L[[#This Row],[BVPS]]),IF(Main_L[[#This Row],[BVPS]]&lt;&gt;0,Main_L[[#This Row],[Current Price]]/Main_L[[#This Row],[BVPS]],""),"")</f>
        <v>4.3882130305487967</v>
      </c>
      <c r="J49">
        <v>8.7200000000000006</v>
      </c>
      <c r="K49">
        <v>3.35</v>
      </c>
      <c r="L49">
        <v>3.07</v>
      </c>
      <c r="M49" s="1">
        <f>IF(ISNUMBER(Main_L[[#This Row],[EPS]]),IF(Main_L[[#This Row],[EPS]]&lt;&gt;0,Main_L[[#This Row],[Current Price]]/Main_L[[#This Row],[EPS]],""),"")</f>
        <v>60.118518518518513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-0.85387958934391095</v>
      </c>
      <c r="P49" s="1">
        <f>(Main_L[[#This Row],[P/B]]-VLOOKUP(Main_L[[#This Row],[Industry]], Mean_PB_L, 2, FALSE))/(VLOOKUP(Main_L[[#This Row],[Industry]], Mean_PB_L, 3, FALSE))</f>
        <v>-0.91248023266278921</v>
      </c>
      <c r="Q49" s="1">
        <f>(Main_L[[#This Row],[ROE]]-VLOOKUP(Main_L[[#This Row],[Industry]], Mean_ROE_L, 2, FALSE))/(VLOOKUP(Main_L[[#This Row],[Industry]], Mean_ROE_L, 3, FALSE))</f>
        <v>-0.75664074513015034</v>
      </c>
      <c r="R49" s="1">
        <f>(Main_L[[#This Row],[ROA]]-VLOOKUP(Main_L[[#This Row],[Industry]], Mean_ROA_L, 2, FALSE))/(VLOOKUP(Main_L[[#This Row],[Industry]], Mean_ROA_L, 3, FALSE))</f>
        <v>-0.82488775655919622</v>
      </c>
      <c r="S49" s="1">
        <f>(Main_L[[#This Row],[A/E]]-VLOOKUP(Main_L[[#This Row],[Industry]], Mean_AE_L, 2, FALSE))/(VLOOKUP(Main_L[[#This Row],[Industry]], Mean_AE_L, 3, FALSE))</f>
        <v>1.615094779983854</v>
      </c>
      <c r="T49" s="1">
        <f>(Main_L[[#This Row],[P/E]]-VLOOKUP(Main_L[[#This Row],[Industry]], Mean_PE_L, 2, FALSE))/(VLOOKUP(Main_L[[#This Row],[Industry]], Mean_PE_L, 3, FALSE))</f>
        <v>0.64977620908895517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s="67" t="s">
        <v>135</v>
      </c>
      <c r="B50" s="67" t="s">
        <v>141</v>
      </c>
      <c r="C50" s="2">
        <v>50767</v>
      </c>
      <c r="D50">
        <f>RTD("tos.rtd", , "LAST", Main_L[[#This Row],[Symbol]])</f>
        <v>355.66</v>
      </c>
      <c r="E50">
        <v>9.7100000000000009</v>
      </c>
      <c r="F50">
        <v>50.29</v>
      </c>
      <c r="G50">
        <v>6.19</v>
      </c>
      <c r="H50" s="1">
        <f>IF(ISNUMBER(Main_L[[#This Row],[Free CF]]),IF(Main_L[[#This Row],[Free CF]]&lt;&gt;0,Main_L[[#This Row],[Current Price]]/Main_L[[#This Row],[Free CF]],""),"")</f>
        <v>36.628218331616893</v>
      </c>
      <c r="I50" s="1">
        <f>IF(ISNUMBER(Main_L[[#This Row],[BVPS]]),IF(Main_L[[#This Row],[BVPS]]&lt;&gt;0,Main_L[[#This Row],[Current Price]]/Main_L[[#This Row],[BVPS]],""),"")</f>
        <v>7.0721813481805533</v>
      </c>
      <c r="J50">
        <v>13.73</v>
      </c>
      <c r="K50">
        <v>5.01</v>
      </c>
      <c r="L50">
        <v>2.57</v>
      </c>
      <c r="M50" s="1">
        <f>IF(ISNUMBER(Main_L[[#This Row],[EPS]]),IF(Main_L[[#This Row],[EPS]]&lt;&gt;0,Main_L[[#This Row],[Current Price]]/Main_L[[#This Row],[EPS]],""),"")</f>
        <v>57.45718901453958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0.94516362193386516</v>
      </c>
      <c r="P50" s="1">
        <f>(Main_L[[#This Row],[P/B]]-VLOOKUP(Main_L[[#This Row],[Industry]], Mean_PB_L, 2, FALSE))/(VLOOKUP(Main_L[[#This Row],[Industry]], Mean_PB_L, 3, FALSE))</f>
        <v>0.59749475085909232</v>
      </c>
      <c r="Q50" s="1">
        <f>(Main_L[[#This Row],[ROE]]-VLOOKUP(Main_L[[#This Row],[Industry]], Mean_ROE_L, 2, FALSE))/(VLOOKUP(Main_L[[#This Row],[Industry]], Mean_ROE_L, 3, FALSE))</f>
        <v>-0.32489016049438119</v>
      </c>
      <c r="R50" s="1">
        <f>(Main_L[[#This Row],[ROA]]-VLOOKUP(Main_L[[#This Row],[Industry]], Mean_ROA_L, 2, FALSE))/(VLOOKUP(Main_L[[#This Row],[Industry]], Mean_ROA_L, 3, FALSE))</f>
        <v>0.51593346830079478</v>
      </c>
      <c r="S50" s="1">
        <f>(Main_L[[#This Row],[A/E]]-VLOOKUP(Main_L[[#This Row],[Industry]], Mean_AE_L, 2, FALSE))/(VLOOKUP(Main_L[[#This Row],[Industry]], Mean_AE_L, 3, FALSE))</f>
        <v>-0.34854628990533071</v>
      </c>
      <c r="T50" s="1">
        <f>(Main_L[[#This Row],[P/E]]-VLOOKUP(Main_L[[#This Row],[Industry]], Mean_PE_L, 2, FALSE))/(VLOOKUP(Main_L[[#This Row],[Industry]], Mean_PE_L, 3, FALSE))</f>
        <v>0.54063159944702255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7" t="s">
        <v>135</v>
      </c>
      <c r="B51" s="67" t="s">
        <v>574</v>
      </c>
      <c r="C51" s="2">
        <v>16405</v>
      </c>
      <c r="D51">
        <f>RTD("tos.rtd", , "LAST", Main_L[[#This Row],[Symbol]])</f>
        <v>8.66</v>
      </c>
      <c r="E51">
        <v>9.06</v>
      </c>
      <c r="F51">
        <v>35.770000000000003</v>
      </c>
      <c r="G51">
        <v>2.99</v>
      </c>
      <c r="H51" s="1">
        <f>IF(ISNUMBER(Main_L[[#This Row],[Free CF]]),IF(Main_L[[#This Row],[Free CF]]&lt;&gt;0,Main_L[[#This Row],[Current Price]]/Main_L[[#This Row],[Free CF]],""),"")</f>
        <v>0.95584988962472406</v>
      </c>
      <c r="I51" s="1">
        <f>IF(ISNUMBER(Main_L[[#This Row],[BVPS]]),IF(Main_L[[#This Row],[BVPS]]&lt;&gt;0,Main_L[[#This Row],[Current Price]]/Main_L[[#This Row],[BVPS]],""),"")</f>
        <v>0.24210232038020685</v>
      </c>
      <c r="J51">
        <v>8.48</v>
      </c>
      <c r="K51">
        <v>2.2799999999999998</v>
      </c>
      <c r="L51">
        <v>5.04</v>
      </c>
      <c r="M51" s="1">
        <f>IF(ISNUMBER(Main_L[[#This Row],[EPS]]),IF(Main_L[[#This Row],[EPS]]&lt;&gt;0,Main_L[[#This Row],[Current Price]]/Main_L[[#This Row],[EPS]],""),"")</f>
        <v>2.8963210702341136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-1.8606832407706362</v>
      </c>
      <c r="P51" s="1">
        <f>(Main_L[[#This Row],[P/B]]-VLOOKUP(Main_L[[#This Row],[Industry]], Mean_PB_L, 2, FALSE))/(VLOOKUP(Main_L[[#This Row],[Industry]], Mean_PB_L, 3, FALSE))</f>
        <v>-3.2450425845130484</v>
      </c>
      <c r="Q51" s="1">
        <f>(Main_L[[#This Row],[ROE]]-VLOOKUP(Main_L[[#This Row],[Industry]], Mean_ROE_L, 2, FALSE))/(VLOOKUP(Main_L[[#This Row],[Industry]], Mean_ROE_L, 3, FALSE))</f>
        <v>-0.77732340786719323</v>
      </c>
      <c r="R51" s="1">
        <f>(Main_L[[#This Row],[ROA]]-VLOOKUP(Main_L[[#This Row],[Industry]], Mean_ROA_L, 2, FALSE))/(VLOOKUP(Main_L[[#This Row],[Industry]], Mean_ROA_L, 3, FALSE))</f>
        <v>-1.6891520400532871</v>
      </c>
      <c r="S51" s="1">
        <f>(Main_L[[#This Row],[A/E]]-VLOOKUP(Main_L[[#This Row],[Industry]], Mean_AE_L, 2, FALSE))/(VLOOKUP(Main_L[[#This Row],[Industry]], Mean_AE_L, 3, FALSE))</f>
        <v>9.3518405953472428</v>
      </c>
      <c r="T51" s="1">
        <f>(Main_L[[#This Row],[P/E]]-VLOOKUP(Main_L[[#This Row],[Industry]], Mean_PE_L, 2, FALSE))/(VLOOKUP(Main_L[[#This Row],[Industry]], Mean_PE_L, 3, FALSE))</f>
        <v>-1.6969810766995954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s="67" t="s">
        <v>135</v>
      </c>
      <c r="B52" s="67" t="s">
        <v>575</v>
      </c>
      <c r="C52" s="2">
        <v>26674</v>
      </c>
      <c r="D52">
        <f>RTD("tos.rtd", , "LAST", Main_L[[#This Row],[Symbol]])</f>
        <v>201.48099999999999</v>
      </c>
      <c r="E52">
        <v>8.0299999999999994</v>
      </c>
      <c r="F52">
        <v>45</v>
      </c>
      <c r="G52">
        <v>3.81</v>
      </c>
      <c r="H52" s="1">
        <f>IF(ISNUMBER(Main_L[[#This Row],[Free CF]]),IF(Main_L[[#This Row],[Free CF]]&lt;&gt;0,Main_L[[#This Row],[Current Price]]/Main_L[[#This Row],[Free CF]],""),"")</f>
        <v>25.091033623910338</v>
      </c>
      <c r="I52" s="1">
        <f>IF(ISNUMBER(Main_L[[#This Row],[BVPS]]),IF(Main_L[[#This Row],[BVPS]]&lt;&gt;0,Main_L[[#This Row],[Current Price]]/Main_L[[#This Row],[BVPS]],""),"")</f>
        <v>4.4773555555555555</v>
      </c>
      <c r="J52">
        <v>9.42</v>
      </c>
      <c r="K52">
        <v>5.26</v>
      </c>
      <c r="L52">
        <v>2.36</v>
      </c>
      <c r="M52" s="1">
        <f>IF(ISNUMBER(Main_L[[#This Row],[EPS]]),IF(Main_L[[#This Row],[EPS]]&lt;&gt;0,Main_L[[#This Row],[Current Price]]/Main_L[[#This Row],[EPS]],""),"")</f>
        <v>52.88215223097113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3.7694481800904782E-2</v>
      </c>
      <c r="P52" s="1">
        <f>(Main_L[[#This Row],[P/B]]-VLOOKUP(Main_L[[#This Row],[Industry]], Mean_PB_L, 2, FALSE))/(VLOOKUP(Main_L[[#This Row],[Industry]], Mean_PB_L, 3, FALSE))</f>
        <v>-0.86232949807924963</v>
      </c>
      <c r="Q52" s="1">
        <f>(Main_L[[#This Row],[ROE]]-VLOOKUP(Main_L[[#This Row],[Industry]], Mean_ROE_L, 2, FALSE))/(VLOOKUP(Main_L[[#This Row],[Industry]], Mean_ROE_L, 3, FALSE))</f>
        <v>-0.69631631214710876</v>
      </c>
      <c r="R52" s="1">
        <f>(Main_L[[#This Row],[ROA]]-VLOOKUP(Main_L[[#This Row],[Industry]], Mean_ROA_L, 2, FALSE))/(VLOOKUP(Main_L[[#This Row],[Industry]], Mean_ROA_L, 3, FALSE))</f>
        <v>0.71786437565922723</v>
      </c>
      <c r="S52" s="1">
        <f>(Main_L[[#This Row],[A/E]]-VLOOKUP(Main_L[[#This Row],[Industry]], Mean_AE_L, 2, FALSE))/(VLOOKUP(Main_L[[#This Row],[Industry]], Mean_AE_L, 3, FALSE))</f>
        <v>-1.1732755392587881</v>
      </c>
      <c r="T52" s="1">
        <f>(Main_L[[#This Row],[P/E]]-VLOOKUP(Main_L[[#This Row],[Industry]], Mean_PE_L, 2, FALSE))/(VLOOKUP(Main_L[[#This Row],[Industry]], Mean_PE_L, 3, FALSE))</f>
        <v>0.35300334706658604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s="67" t="s">
        <v>135</v>
      </c>
      <c r="B53" s="67" t="s">
        <v>136</v>
      </c>
      <c r="C53" s="2">
        <v>14533</v>
      </c>
      <c r="D53">
        <f>RTD("tos.rtd", , "LAST", Main_L[[#This Row],[Symbol]])</f>
        <v>110.93</v>
      </c>
      <c r="E53">
        <v>6.25</v>
      </c>
      <c r="F53">
        <v>17.309999999999999</v>
      </c>
      <c r="G53">
        <v>4.67</v>
      </c>
      <c r="H53" s="1">
        <f>IF(ISNUMBER(Main_L[[#This Row],[Free CF]]),IF(Main_L[[#This Row],[Free CF]]&lt;&gt;0,Main_L[[#This Row],[Current Price]]/Main_L[[#This Row],[Free CF]],""),"")</f>
        <v>17.748800000000003</v>
      </c>
      <c r="I53" s="1">
        <f>IF(ISNUMBER(Main_L[[#This Row],[BVPS]]),IF(Main_L[[#This Row],[BVPS]]&lt;&gt;0,Main_L[[#This Row],[Current Price]]/Main_L[[#This Row],[BVPS]],""),"")</f>
        <v>6.4084344309647614</v>
      </c>
      <c r="J53">
        <v>28.33</v>
      </c>
      <c r="K53">
        <v>5.3</v>
      </c>
      <c r="L53">
        <v>5.16</v>
      </c>
      <c r="M53" s="1">
        <f>IF(ISNUMBER(Main_L[[#This Row],[EPS]]),IF(Main_L[[#This Row],[EPS]]&lt;&gt;0,Main_L[[#This Row],[Current Price]]/Main_L[[#This Row],[EPS]],""),"")</f>
        <v>23.753747323340473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-0.53981646234603264</v>
      </c>
      <c r="P53" s="1">
        <f>(Main_L[[#This Row],[P/B]]-VLOOKUP(Main_L[[#This Row],[Industry]], Mean_PB_L, 2, FALSE))/(VLOOKUP(Main_L[[#This Row],[Industry]], Mean_PB_L, 3, FALSE))</f>
        <v>0.22407706414438511</v>
      </c>
      <c r="Q53" s="1">
        <f>(Main_L[[#This Row],[ROE]]-VLOOKUP(Main_L[[#This Row],[Industry]], Mean_ROE_L, 2, FALSE))/(VLOOKUP(Main_L[[#This Row],[Industry]], Mean_ROE_L, 3, FALSE))</f>
        <v>0.93330515600905772</v>
      </c>
      <c r="R53" s="1">
        <f>(Main_L[[#This Row],[ROA]]-VLOOKUP(Main_L[[#This Row],[Industry]], Mean_ROA_L, 2, FALSE))/(VLOOKUP(Main_L[[#This Row],[Industry]], Mean_ROA_L, 3, FALSE))</f>
        <v>0.7501733208365764</v>
      </c>
      <c r="S53" s="1">
        <f>(Main_L[[#This Row],[A/E]]-VLOOKUP(Main_L[[#This Row],[Industry]], Mean_AE_L, 2, FALSE))/(VLOOKUP(Main_L[[#This Row],[Industry]], Mean_AE_L, 3, FALSE))</f>
        <v>9.823114452120647</v>
      </c>
      <c r="T53" s="1">
        <f>(Main_L[[#This Row],[P/E]]-VLOOKUP(Main_L[[#This Row],[Industry]], Mean_PE_L, 2, FALSE))/(VLOOKUP(Main_L[[#This Row],[Industry]], Mean_PE_L, 3, FALSE))</f>
        <v>-0.84159070015014947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s="67" t="s">
        <v>135</v>
      </c>
      <c r="B54" s="67" t="s">
        <v>285</v>
      </c>
      <c r="C54" s="2">
        <v>11742</v>
      </c>
      <c r="D54">
        <f>RTD("tos.rtd", , "LAST", Main_L[[#This Row],[Symbol]])</f>
        <v>104.98</v>
      </c>
      <c r="E54">
        <v>3.45</v>
      </c>
      <c r="F54">
        <v>18.52</v>
      </c>
      <c r="G54">
        <v>2.34</v>
      </c>
      <c r="H54" s="1">
        <f>IF(ISNUMBER(Main_L[[#This Row],[Free CF]]),IF(Main_L[[#This Row],[Free CF]]&lt;&gt;0,Main_L[[#This Row],[Current Price]]/Main_L[[#This Row],[Free CF]],""),"")</f>
        <v>30.428985507246377</v>
      </c>
      <c r="I54" s="1">
        <f>IF(ISNUMBER(Main_L[[#This Row],[BVPS]]),IF(Main_L[[#This Row],[BVPS]]&lt;&gt;0,Main_L[[#This Row],[Current Price]]/Main_L[[#This Row],[BVPS]],""),"")</f>
        <v>5.6684665226781865</v>
      </c>
      <c r="J54">
        <v>13.04</v>
      </c>
      <c r="K54">
        <v>6.34</v>
      </c>
      <c r="L54">
        <v>2.2799999999999998</v>
      </c>
      <c r="M54" s="1">
        <f>IF(ISNUMBER(Main_L[[#This Row],[EPS]]),IF(Main_L[[#This Row],[EPS]]&lt;&gt;0,Main_L[[#This Row],[Current Price]]/Main_L[[#This Row],[EPS]],""),"")</f>
        <v>44.863247863247871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0.45755658233626167</v>
      </c>
      <c r="P54" s="1">
        <f>(Main_L[[#This Row],[P/B]]-VLOOKUP(Main_L[[#This Row],[Industry]], Mean_PB_L, 2, FALSE))/(VLOOKUP(Main_L[[#This Row],[Industry]], Mean_PB_L, 3, FALSE))</f>
        <v>-0.19222182536994389</v>
      </c>
      <c r="Q54" s="1">
        <f>(Main_L[[#This Row],[ROE]]-VLOOKUP(Main_L[[#This Row],[Industry]], Mean_ROE_L, 2, FALSE))/(VLOOKUP(Main_L[[#This Row],[Industry]], Mean_ROE_L, 3, FALSE))</f>
        <v>-0.38435281586337944</v>
      </c>
      <c r="R54" s="1">
        <f>(Main_L[[#This Row],[ROA]]-VLOOKUP(Main_L[[#This Row],[Industry]], Mean_ROA_L, 2, FALSE))/(VLOOKUP(Main_L[[#This Row],[Industry]], Mean_ROA_L, 3, FALSE))</f>
        <v>1.5902058954476552</v>
      </c>
      <c r="S54" s="1">
        <f>(Main_L[[#This Row],[A/E]]-VLOOKUP(Main_L[[#This Row],[Industry]], Mean_AE_L, 2, FALSE))/(VLOOKUP(Main_L[[#This Row],[Industry]], Mean_AE_L, 3, FALSE))</f>
        <v>-1.487458110441058</v>
      </c>
      <c r="T54" s="1">
        <f>(Main_L[[#This Row],[P/E]]-VLOOKUP(Main_L[[#This Row],[Industry]], Mean_PE_L, 2, FALSE))/(VLOOKUP(Main_L[[#This Row],[Industry]], Mean_PE_L, 3, FALSE))</f>
        <v>2.4137573150726191E-2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7" t="s">
        <v>135</v>
      </c>
      <c r="B55" s="67" t="s">
        <v>137</v>
      </c>
      <c r="C55" s="2">
        <v>12920</v>
      </c>
      <c r="D55">
        <f>RTD("tos.rtd", , "LAST", Main_L[[#This Row],[Symbol]])</f>
        <v>47.69</v>
      </c>
      <c r="E55">
        <v>2.19</v>
      </c>
      <c r="F55">
        <v>10.77</v>
      </c>
      <c r="G55">
        <v>0.51</v>
      </c>
      <c r="H55" s="1">
        <f>IF(ISNUMBER(Main_L[[#This Row],[Free CF]]),IF(Main_L[[#This Row],[Free CF]]&lt;&gt;0,Main_L[[#This Row],[Current Price]]/Main_L[[#This Row],[Free CF]],""),"")</f>
        <v>21.776255707762555</v>
      </c>
      <c r="I55" s="1">
        <f>IF(ISNUMBER(Main_L[[#This Row],[BVPS]]),IF(Main_L[[#This Row],[BVPS]]&lt;&gt;0,Main_L[[#This Row],[Current Price]]/Main_L[[#This Row],[BVPS]],""),"")</f>
        <v>4.4280408542246983</v>
      </c>
      <c r="J55">
        <v>9.09</v>
      </c>
      <c r="K55">
        <v>3.87</v>
      </c>
      <c r="L55">
        <v>2.72</v>
      </c>
      <c r="M55" s="1">
        <f>IF(ISNUMBER(Main_L[[#This Row],[EPS]]),IF(Main_L[[#This Row],[EPS]]&lt;&gt;0,Main_L[[#This Row],[Current Price]]/Main_L[[#This Row],[EPS]],""),"")</f>
        <v>93.509803921568619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-0.22303278758995845</v>
      </c>
      <c r="P55" s="1">
        <f>(Main_L[[#This Row],[P/B]]-VLOOKUP(Main_L[[#This Row],[Industry]], Mean_PB_L, 2, FALSE))/(VLOOKUP(Main_L[[#This Row],[Industry]], Mean_PB_L, 3, FALSE))</f>
        <v>-0.89007347882606869</v>
      </c>
      <c r="Q55" s="1">
        <f>(Main_L[[#This Row],[ROE]]-VLOOKUP(Main_L[[#This Row],[Industry]], Mean_ROE_L, 2, FALSE))/(VLOOKUP(Main_L[[#This Row],[Industry]], Mean_ROE_L, 3, FALSE))</f>
        <v>-0.72475497341054274</v>
      </c>
      <c r="R55" s="1">
        <f>(Main_L[[#This Row],[ROA]]-VLOOKUP(Main_L[[#This Row],[Industry]], Mean_ROA_L, 2, FALSE))/(VLOOKUP(Main_L[[#This Row],[Industry]], Mean_ROA_L, 3, FALSE))</f>
        <v>-0.4048714692536568</v>
      </c>
      <c r="S55" s="1">
        <f>(Main_L[[#This Row],[A/E]]-VLOOKUP(Main_L[[#This Row],[Industry]], Mean_AE_L, 2, FALSE))/(VLOOKUP(Main_L[[#This Row],[Industry]], Mean_AE_L, 3, FALSE))</f>
        <v>0.24054603106142611</v>
      </c>
      <c r="T55" s="1">
        <f>(Main_L[[#This Row],[P/E]]-VLOOKUP(Main_L[[#This Row],[Industry]], Mean_PE_L, 2, FALSE))/(VLOOKUP(Main_L[[#This Row],[Industry]], Mean_PE_L, 3, FALSE))</f>
        <v>2.0191965703442722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s="67" t="s">
        <v>135</v>
      </c>
      <c r="B56" s="67" t="s">
        <v>580</v>
      </c>
      <c r="C56" s="2">
        <v>11318</v>
      </c>
      <c r="D56">
        <f>RTD("tos.rtd", , "LAST", Main_L[[#This Row],[Symbol]])</f>
        <v>68.61</v>
      </c>
      <c r="E56">
        <v>1.44</v>
      </c>
      <c r="F56">
        <v>15.49</v>
      </c>
      <c r="G56">
        <v>1.22</v>
      </c>
      <c r="H56" s="1">
        <f>IF(ISNUMBER(Main_L[[#This Row],[Free CF]]),IF(Main_L[[#This Row],[Free CF]]&lt;&gt;0,Main_L[[#This Row],[Current Price]]/Main_L[[#This Row],[Free CF]],""),"")</f>
        <v>47.645833333333336</v>
      </c>
      <c r="I56" s="1">
        <f>IF(ISNUMBER(Main_L[[#This Row],[BVPS]]),IF(Main_L[[#This Row],[BVPS]]&lt;&gt;0,Main_L[[#This Row],[Current Price]]/Main_L[[#This Row],[BVPS]],""),"")</f>
        <v>4.429309231762427</v>
      </c>
      <c r="J56">
        <v>8.64</v>
      </c>
      <c r="K56">
        <v>3.56</v>
      </c>
      <c r="L56">
        <v>2.96</v>
      </c>
      <c r="M56" s="1">
        <f>IF(ISNUMBER(Main_L[[#This Row],[EPS]]),IF(Main_L[[#This Row],[EPS]]&lt;&gt;0,Main_L[[#This Row],[Current Price]]/Main_L[[#This Row],[EPS]],""),"")</f>
        <v>56.23770491803279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1.811765471971432</v>
      </c>
      <c r="P56" s="1">
        <f>(Main_L[[#This Row],[P/B]]-VLOOKUP(Main_L[[#This Row],[Industry]], Mean_PB_L, 2, FALSE))/(VLOOKUP(Main_L[[#This Row],[Industry]], Mean_PB_L, 3, FALSE))</f>
        <v>-0.88935990171748291</v>
      </c>
      <c r="Q56" s="1">
        <f>(Main_L[[#This Row],[ROE]]-VLOOKUP(Main_L[[#This Row],[Industry]], Mean_ROE_L, 2, FALSE))/(VLOOKUP(Main_L[[#This Row],[Industry]], Mean_ROE_L, 3, FALSE))</f>
        <v>-0.76353496604249793</v>
      </c>
      <c r="R56" s="1">
        <f>(Main_L[[#This Row],[ROA]]-VLOOKUP(Main_L[[#This Row],[Industry]], Mean_ROA_L, 2, FALSE))/(VLOOKUP(Main_L[[#This Row],[Industry]], Mean_ROA_L, 3, FALSE))</f>
        <v>-0.65526579437811305</v>
      </c>
      <c r="S56" s="1">
        <f>(Main_L[[#This Row],[A/E]]-VLOOKUP(Main_L[[#This Row],[Industry]], Mean_AE_L, 2, FALSE))/(VLOOKUP(Main_L[[#This Row],[Industry]], Mean_AE_L, 3, FALSE))</f>
        <v>1.1830937446082339</v>
      </c>
      <c r="T56" s="1">
        <f>(Main_L[[#This Row],[P/E]]-VLOOKUP(Main_L[[#This Row],[Industry]], Mean_PE_L, 2, FALSE))/(VLOOKUP(Main_L[[#This Row],[Industry]], Mean_PE_L, 3, FALSE))</f>
        <v>0.4906189589683515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s="67" t="s">
        <v>142</v>
      </c>
      <c r="B57" s="67" t="s">
        <v>147</v>
      </c>
      <c r="C57" s="2">
        <v>20793</v>
      </c>
      <c r="D57">
        <f>RTD("tos.rtd", , "LAST", Main_L[[#This Row],[Symbol]])</f>
        <v>392.34</v>
      </c>
      <c r="E57">
        <v>14.36</v>
      </c>
      <c r="F57">
        <v>61.11</v>
      </c>
      <c r="G57">
        <v>14.79</v>
      </c>
      <c r="H57" s="1">
        <f>IF(ISNUMBER(Main_L[[#This Row],[Free CF]]),IF(Main_L[[#This Row],[Free CF]]&lt;&gt;0,Main_L[[#This Row],[Current Price]]/Main_L[[#This Row],[Free CF]],""),"")</f>
        <v>27.321727019498606</v>
      </c>
      <c r="I57" s="1">
        <f>IF(ISNUMBER(Main_L[[#This Row],[BVPS]]),IF(Main_L[[#This Row],[BVPS]]&lt;&gt;0,Main_L[[#This Row],[Current Price]]/Main_L[[#This Row],[BVPS]],""),"")</f>
        <v>6.4202258222876774</v>
      </c>
      <c r="J57">
        <v>25.92</v>
      </c>
      <c r="K57">
        <v>10.07</v>
      </c>
      <c r="L57">
        <v>2.12</v>
      </c>
      <c r="M57" s="1">
        <f>IF(ISNUMBER(Main_L[[#This Row],[EPS]]),IF(Main_L[[#This Row],[EPS]]&lt;&gt;0,Main_L[[#This Row],[Current Price]]/Main_L[[#This Row],[EPS]],""),"")</f>
        <v>26.527383367139958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7" s="1">
        <f>(Main_L[[#This Row],[P/FCF]]-VLOOKUP(Main_L[[#This Row],[Industry]], Mean_PFCF_L, 2, FALSE))/(VLOOKUP(Main_L[[#This Row],[Industry]], Mean_PFCF_L, 3, FALSE))</f>
        <v>-0.59841994639031348</v>
      </c>
      <c r="P57" s="1">
        <f>(Main_L[[#This Row],[P/B]]-VLOOKUP(Main_L[[#This Row],[Industry]], Mean_PB_L, 2, FALSE))/(VLOOKUP(Main_L[[#This Row],[Industry]], Mean_PB_L, 3, FALSE))</f>
        <v>-0.50542684577223196</v>
      </c>
      <c r="Q57" s="1">
        <f>(Main_L[[#This Row],[ROE]]-VLOOKUP(Main_L[[#This Row],[Industry]], Mean_ROE_L, 2, FALSE))/(VLOOKUP(Main_L[[#This Row],[Industry]], Mean_ROE_L, 3, FALSE))</f>
        <v>0.54368753598429598</v>
      </c>
      <c r="R57" s="1">
        <f>(Main_L[[#This Row],[ROA]]-VLOOKUP(Main_L[[#This Row],[Industry]], Mean_ROA_L, 2, FALSE))/(VLOOKUP(Main_L[[#This Row],[Industry]], Mean_ROA_L, 3, FALSE))</f>
        <v>1.090336526977125</v>
      </c>
      <c r="S57" s="1">
        <f>(Main_L[[#This Row],[A/E]]-VLOOKUP(Main_L[[#This Row],[Industry]], Mean_AE_L, 2, FALSE))/(VLOOKUP(Main_L[[#This Row],[Industry]], Mean_AE_L, 3, FALSE))</f>
        <v>-0.76089172344556644</v>
      </c>
      <c r="T57" s="1">
        <f>(Main_L[[#This Row],[P/E]]-VLOOKUP(Main_L[[#This Row],[Industry]], Mean_PE_L, 2, FALSE))/(VLOOKUP(Main_L[[#This Row],[Industry]], Mean_PE_L, 3, FALSE))</f>
        <v>-1.0614471549541475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s="67" t="s">
        <v>142</v>
      </c>
      <c r="B58" s="67" t="s">
        <v>152</v>
      </c>
      <c r="C58" s="2">
        <v>129093</v>
      </c>
      <c r="D58">
        <f>RTD("tos.rtd", , "LAST", Main_L[[#This Row],[Symbol]])</f>
        <v>480</v>
      </c>
      <c r="E58">
        <v>12.12</v>
      </c>
      <c r="F58">
        <v>31.54</v>
      </c>
      <c r="G58">
        <v>6.93</v>
      </c>
      <c r="H58" s="1">
        <f>IF(ISNUMBER(Main_L[[#This Row],[Free CF]]),IF(Main_L[[#This Row],[Free CF]]&lt;&gt;0,Main_L[[#This Row],[Current Price]]/Main_L[[#This Row],[Free CF]],""),"")</f>
        <v>39.603960396039604</v>
      </c>
      <c r="I58" s="1">
        <f>IF(ISNUMBER(Main_L[[#This Row],[BVPS]]),IF(Main_L[[#This Row],[BVPS]]&lt;&gt;0,Main_L[[#This Row],[Current Price]]/Main_L[[#This Row],[BVPS]],""),"")</f>
        <v>15.218769816106532</v>
      </c>
      <c r="J58">
        <v>19.64</v>
      </c>
      <c r="K58">
        <v>1.75</v>
      </c>
      <c r="L58">
        <v>5.99</v>
      </c>
      <c r="M58" s="1">
        <f>IF(ISNUMBER(Main_L[[#This Row],[EPS]]),IF(Main_L[[#This Row],[EPS]]&lt;&gt;0,Main_L[[#This Row],[Current Price]]/Main_L[[#This Row],[EPS]],""),"")</f>
        <v>69.264069264069263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1.4255195404137635</v>
      </c>
      <c r="P58" s="1">
        <f>(Main_L[[#This Row],[P/B]]-VLOOKUP(Main_L[[#This Row],[Industry]], Mean_PB_L, 2, FALSE))/(VLOOKUP(Main_L[[#This Row],[Industry]], Mean_PB_L, 3, FALSE))</f>
        <v>1.4300456001727559</v>
      </c>
      <c r="Q58" s="1">
        <f>(Main_L[[#This Row],[ROE]]-VLOOKUP(Main_L[[#This Row],[Industry]], Mean_ROE_L, 2, FALSE))/(VLOOKUP(Main_L[[#This Row],[Industry]], Mean_ROE_L, 3, FALSE))</f>
        <v>-0.17267390665538507</v>
      </c>
      <c r="R58" s="1">
        <f>(Main_L[[#This Row],[ROA]]-VLOOKUP(Main_L[[#This Row],[Industry]], Mean_ROA_L, 2, FALSE))/(VLOOKUP(Main_L[[#This Row],[Industry]], Mean_ROA_L, 3, FALSE))</f>
        <v>-1.8633793556275728</v>
      </c>
      <c r="S58" s="1">
        <f>(Main_L[[#This Row],[A/E]]-VLOOKUP(Main_L[[#This Row],[Industry]], Mean_AE_L, 2, FALSE))/(VLOOKUP(Main_L[[#This Row],[Industry]], Mean_AE_L, 3, FALSE))</f>
        <v>5.4477097187653971</v>
      </c>
      <c r="T58" s="1">
        <f>(Main_L[[#This Row],[P/E]]-VLOOKUP(Main_L[[#This Row],[Industry]], Mean_PE_L, 2, FALSE))/(VLOOKUP(Main_L[[#This Row],[Industry]], Mean_PE_L, 3, FALSE))</f>
        <v>1.6834187879792788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s="67" t="s">
        <v>142</v>
      </c>
      <c r="B59" s="67" t="s">
        <v>149</v>
      </c>
      <c r="C59" s="2">
        <v>35568</v>
      </c>
      <c r="D59">
        <f>RTD("tos.rtd", , "LAST", Main_L[[#This Row],[Symbol]])</f>
        <v>324.35000000000002</v>
      </c>
      <c r="E59">
        <v>9.44</v>
      </c>
      <c r="F59">
        <v>30.51</v>
      </c>
      <c r="G59">
        <v>7.94</v>
      </c>
      <c r="H59" s="1">
        <f>IF(ISNUMBER(Main_L[[#This Row],[Free CF]]),IF(Main_L[[#This Row],[Free CF]]&lt;&gt;0,Main_L[[#This Row],[Current Price]]/Main_L[[#This Row],[Free CF]],""),"")</f>
        <v>34.35911016949153</v>
      </c>
      <c r="I59" s="1">
        <f>IF(ISNUMBER(Main_L[[#This Row],[BVPS]]),IF(Main_L[[#This Row],[BVPS]]&lt;&gt;0,Main_L[[#This Row],[Current Price]]/Main_L[[#This Row],[BVPS]],""),"")</f>
        <v>10.630940675188462</v>
      </c>
      <c r="J59">
        <v>24.44</v>
      </c>
      <c r="K59">
        <v>7.11</v>
      </c>
      <c r="L59">
        <v>3.2</v>
      </c>
      <c r="M59" s="1">
        <f>IF(ISNUMBER(Main_L[[#This Row],[EPS]]),IF(Main_L[[#This Row],[EPS]]&lt;&gt;0,Main_L[[#This Row],[Current Price]]/Main_L[[#This Row],[EPS]],""),"")</f>
        <v>40.850125944584384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0.56124191675624147</v>
      </c>
      <c r="P59" s="1">
        <f>(Main_L[[#This Row],[P/B]]-VLOOKUP(Main_L[[#This Row],[Industry]], Mean_PB_L, 2, FALSE))/(VLOOKUP(Main_L[[#This Row],[Industry]], Mean_PB_L, 3, FALSE))</f>
        <v>0.4208312466173848</v>
      </c>
      <c r="Q59" s="1">
        <f>(Main_L[[#This Row],[ROE]]-VLOOKUP(Main_L[[#This Row],[Industry]], Mean_ROE_L, 2, FALSE))/(VLOOKUP(Main_L[[#This Row],[Industry]], Mean_ROE_L, 3, FALSE))</f>
        <v>0.3748635017316323</v>
      </c>
      <c r="R59" s="1">
        <f>(Main_L[[#This Row],[ROA]]-VLOOKUP(Main_L[[#This Row],[Industry]], Mean_ROA_L, 2, FALSE))/(VLOOKUP(Main_L[[#This Row],[Industry]], Mean_ROA_L, 3, FALSE))</f>
        <v>3.9495299511992245E-2</v>
      </c>
      <c r="S59" s="1">
        <f>(Main_L[[#This Row],[A/E]]-VLOOKUP(Main_L[[#This Row],[Industry]], Mean_AE_L, 2, FALSE))/(VLOOKUP(Main_L[[#This Row],[Industry]], Mean_AE_L, 3, FALSE))</f>
        <v>0.97174123717144667</v>
      </c>
      <c r="T59" s="1">
        <f>(Main_L[[#This Row],[P/E]]-VLOOKUP(Main_L[[#This Row],[Industry]], Mean_PE_L, 2, FALSE))/(VLOOKUP(Main_L[[#This Row],[Industry]], Mean_PE_L, 3, FALSE))</f>
        <v>-0.14153473111656362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s="67" t="s">
        <v>142</v>
      </c>
      <c r="B60" s="67" t="s">
        <v>145</v>
      </c>
      <c r="C60" s="2">
        <v>125294</v>
      </c>
      <c r="D60">
        <f>RTD("tos.rtd", , "LAST", Main_L[[#This Row],[Symbol]])</f>
        <v>325.81</v>
      </c>
      <c r="E60">
        <v>8.39</v>
      </c>
      <c r="F60">
        <v>47.29</v>
      </c>
      <c r="G60">
        <v>9.91</v>
      </c>
      <c r="H60" s="1">
        <f>IF(ISNUMBER(Main_L[[#This Row],[Free CF]]),IF(Main_L[[#This Row],[Free CF]]&lt;&gt;0,Main_L[[#This Row],[Current Price]]/Main_L[[#This Row],[Free CF]],""),"")</f>
        <v>38.833134684147794</v>
      </c>
      <c r="I60" s="1">
        <f>IF(ISNUMBER(Main_L[[#This Row],[BVPS]]),IF(Main_L[[#This Row],[BVPS]]&lt;&gt;0,Main_L[[#This Row],[Current Price]]/Main_L[[#This Row],[BVPS]],""),"")</f>
        <v>6.8896172552336647</v>
      </c>
      <c r="J60">
        <v>20.81</v>
      </c>
      <c r="K60">
        <v>7.82</v>
      </c>
      <c r="L60">
        <v>2.12</v>
      </c>
      <c r="M60" s="1">
        <f>IF(ISNUMBER(Main_L[[#This Row],[EPS]]),IF(Main_L[[#This Row],[EPS]]&lt;&gt;0,Main_L[[#This Row],[Current Price]]/Main_L[[#This Row],[EPS]],""),"")</f>
        <v>32.876892028254289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1.2984982937143246</v>
      </c>
      <c r="P60" s="1">
        <f>(Main_L[[#This Row],[P/B]]-VLOOKUP(Main_L[[#This Row],[Industry]], Mean_PB_L, 2, FALSE))/(VLOOKUP(Main_L[[#This Row],[Industry]], Mean_PB_L, 3, FALSE))</f>
        <v>-0.40217178613192922</v>
      </c>
      <c r="Q60" s="1">
        <f>(Main_L[[#This Row],[ROE]]-VLOOKUP(Main_L[[#This Row],[Industry]], Mean_ROE_L, 2, FALSE))/(VLOOKUP(Main_L[[#This Row],[Industry]], Mean_ROE_L, 3, FALSE))</f>
        <v>-3.9211663361049816E-2</v>
      </c>
      <c r="R60" s="1">
        <f>(Main_L[[#This Row],[ROA]]-VLOOKUP(Main_L[[#This Row],[Industry]], Mean_ROA_L, 2, FALSE))/(VLOOKUP(Main_L[[#This Row],[Industry]], Mean_ROA_L, 3, FALSE))</f>
        <v>0.29155518853234502</v>
      </c>
      <c r="S60" s="1">
        <f>(Main_L[[#This Row],[A/E]]-VLOOKUP(Main_L[[#This Row],[Industry]], Mean_AE_L, 2, FALSE))/(VLOOKUP(Main_L[[#This Row],[Industry]], Mean_AE_L, 3, FALSE))</f>
        <v>-0.76089172344556644</v>
      </c>
      <c r="T60" s="1">
        <f>(Main_L[[#This Row],[P/E]]-VLOOKUP(Main_L[[#This Row],[Industry]], Mean_PE_L, 2, FALSE))/(VLOOKUP(Main_L[[#This Row],[Industry]], Mean_PE_L, 3, FALSE))</f>
        <v>-0.65363476350463157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s="67" t="s">
        <v>142</v>
      </c>
      <c r="B61" s="67" t="s">
        <v>144</v>
      </c>
      <c r="C61" s="2">
        <v>67151</v>
      </c>
      <c r="D61">
        <f>RTD("tos.rtd", , "LAST", Main_L[[#This Row],[Symbol]])</f>
        <v>125.6</v>
      </c>
      <c r="E61">
        <v>4.8600000000000003</v>
      </c>
      <c r="F61">
        <v>34.22</v>
      </c>
      <c r="G61">
        <v>3.46</v>
      </c>
      <c r="H61" s="1">
        <f>IF(ISNUMBER(Main_L[[#This Row],[Free CF]]),IF(Main_L[[#This Row],[Free CF]]&lt;&gt;0,Main_L[[#This Row],[Current Price]]/Main_L[[#This Row],[Free CF]],""),"")</f>
        <v>25.843621399176953</v>
      </c>
      <c r="I61" s="1">
        <f>IF(ISNUMBER(Main_L[[#This Row],[BVPS]]),IF(Main_L[[#This Row],[BVPS]]&lt;&gt;0,Main_L[[#This Row],[Current Price]]/Main_L[[#This Row],[BVPS]],""),"")</f>
        <v>3.6703682057276446</v>
      </c>
      <c r="J61">
        <v>8.33</v>
      </c>
      <c r="K61">
        <v>4.72</v>
      </c>
      <c r="L61">
        <v>2.1800000000000002</v>
      </c>
      <c r="M61" s="1">
        <f>IF(ISNUMBER(Main_L[[#This Row],[EPS]]),IF(Main_L[[#This Row],[EPS]]&lt;&gt;0,Main_L[[#This Row],[Current Price]]/Main_L[[#This Row],[EPS]],""),"")</f>
        <v>36.300578034682083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-0.84199098423998997</v>
      </c>
      <c r="P61" s="1">
        <f>(Main_L[[#This Row],[P/B]]-VLOOKUP(Main_L[[#This Row],[Industry]], Mean_PB_L, 2, FALSE))/(VLOOKUP(Main_L[[#This Row],[Industry]], Mean_PB_L, 3, FALSE))</f>
        <v>-1.1103307538350773</v>
      </c>
      <c r="Q61" s="1">
        <f>(Main_L[[#This Row],[ROE]]-VLOOKUP(Main_L[[#This Row],[Industry]], Mean_ROE_L, 2, FALSE))/(VLOOKUP(Main_L[[#This Row],[Industry]], Mean_ROE_L, 3, FALSE))</f>
        <v>-1.4628089251672944</v>
      </c>
      <c r="R61" s="1">
        <f>(Main_L[[#This Row],[ROA]]-VLOOKUP(Main_L[[#This Row],[Industry]], Mean_ROA_L, 2, FALSE))/(VLOOKUP(Main_L[[#This Row],[Industry]], Mean_ROA_L, 3, FALSE))</f>
        <v>-0.80898798888046319</v>
      </c>
      <c r="S61" s="1">
        <f>(Main_L[[#This Row],[A/E]]-VLOOKUP(Main_L[[#This Row],[Industry]], Mean_AE_L, 2, FALSE))/(VLOOKUP(Main_L[[#This Row],[Industry]], Mean_AE_L, 3, FALSE))</f>
        <v>-0.66463433674462113</v>
      </c>
      <c r="T61" s="1">
        <f>(Main_L[[#This Row],[P/E]]-VLOOKUP(Main_L[[#This Row],[Industry]], Mean_PE_L, 2, FALSE))/(VLOOKUP(Main_L[[#This Row],[Industry]], Mean_PE_L, 3, FALSE))</f>
        <v>-0.43374033507360921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s="67" t="s">
        <v>142</v>
      </c>
      <c r="B62" s="67" t="s">
        <v>151</v>
      </c>
      <c r="C62" s="2">
        <v>41133</v>
      </c>
      <c r="D62">
        <f>RTD("tos.rtd", , "LAST", Main_L[[#This Row],[Symbol]])</f>
        <v>112</v>
      </c>
      <c r="E62">
        <v>3.45</v>
      </c>
      <c r="F62">
        <v>7</v>
      </c>
      <c r="G62">
        <v>1.71</v>
      </c>
      <c r="H62" s="1">
        <f>IF(ISNUMBER(Main_L[[#This Row],[Free CF]]),IF(Main_L[[#This Row],[Free CF]]&lt;&gt;0,Main_L[[#This Row],[Current Price]]/Main_L[[#This Row],[Free CF]],""),"")</f>
        <v>32.463768115942024</v>
      </c>
      <c r="I62" s="1">
        <f>IF(ISNUMBER(Main_L[[#This Row],[BVPS]]),IF(Main_L[[#This Row],[BVPS]]&lt;&gt;0,Main_L[[#This Row],[Current Price]]/Main_L[[#This Row],[BVPS]],""),"")</f>
        <v>16</v>
      </c>
      <c r="J62">
        <v>32.82</v>
      </c>
      <c r="K62">
        <v>10.8</v>
      </c>
      <c r="L62">
        <v>3.54</v>
      </c>
      <c r="M62" s="1">
        <f>IF(ISNUMBER(Main_L[[#This Row],[EPS]]),IF(Main_L[[#This Row],[EPS]]&lt;&gt;0,Main_L[[#This Row],[Current Price]]/Main_L[[#This Row],[EPS]],""),"")</f>
        <v>65.497076023391813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0.24891617716347147</v>
      </c>
      <c r="P62" s="1">
        <f>(Main_L[[#This Row],[P/B]]-VLOOKUP(Main_L[[#This Row],[Industry]], Mean_PB_L, 2, FALSE))/(VLOOKUP(Main_L[[#This Row],[Industry]], Mean_PB_L, 3, FALSE))</f>
        <v>1.6018978402625466</v>
      </c>
      <c r="Q62" s="1">
        <f>(Main_L[[#This Row],[ROE]]-VLOOKUP(Main_L[[#This Row],[Industry]], Mean_ROE_L, 2, FALSE))/(VLOOKUP(Main_L[[#This Row],[Industry]], Mean_ROE_L, 3, FALSE))</f>
        <v>1.3307725605406331</v>
      </c>
      <c r="R62" s="1">
        <f>(Main_L[[#This Row],[ROA]]-VLOOKUP(Main_L[[#This Row],[Industry]], Mean_ROA_L, 2, FALSE))/(VLOOKUP(Main_L[[#This Row],[Industry]], Mean_ROA_L, 3, FALSE))</f>
        <v>1.3494966945614317</v>
      </c>
      <c r="S62" s="1">
        <f>(Main_L[[#This Row],[A/E]]-VLOOKUP(Main_L[[#This Row],[Industry]], Mean_AE_L, 2, FALSE))/(VLOOKUP(Main_L[[#This Row],[Industry]], Mean_AE_L, 3, FALSE))</f>
        <v>1.5171997618101358</v>
      </c>
      <c r="T62" s="1">
        <f>(Main_L[[#This Row],[P/E]]-VLOOKUP(Main_L[[#This Row],[Industry]], Mean_PE_L, 2, FALSE))/(VLOOKUP(Main_L[[#This Row],[Industry]], Mean_PE_L, 3, FALSE))</f>
        <v>1.4414746307151123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s="67" t="s">
        <v>142</v>
      </c>
      <c r="B63" s="67" t="s">
        <v>148</v>
      </c>
      <c r="C63" s="2">
        <v>10833</v>
      </c>
      <c r="D63">
        <f>RTD("tos.rtd", , "LAST", Main_L[[#This Row],[Symbol]])</f>
        <v>68.319999999999993</v>
      </c>
      <c r="E63">
        <v>3.23</v>
      </c>
      <c r="F63">
        <v>21.96</v>
      </c>
      <c r="G63">
        <v>1.44</v>
      </c>
      <c r="H63" s="1">
        <f>IF(ISNUMBER(Main_L[[#This Row],[Free CF]]),IF(Main_L[[#This Row],[Free CF]]&lt;&gt;0,Main_L[[#This Row],[Current Price]]/Main_L[[#This Row],[Free CF]],""),"")</f>
        <v>21.151702786377708</v>
      </c>
      <c r="I63" s="1">
        <f>IF(ISNUMBER(Main_L[[#This Row],[BVPS]]),IF(Main_L[[#This Row],[BVPS]]&lt;&gt;0,Main_L[[#This Row],[Current Price]]/Main_L[[#This Row],[BVPS]],""),"")</f>
        <v>3.1111111111111107</v>
      </c>
      <c r="J63">
        <v>7.11</v>
      </c>
      <c r="K63">
        <v>5.1100000000000003</v>
      </c>
      <c r="L63">
        <v>1.86</v>
      </c>
      <c r="M63" s="1">
        <f>IF(ISNUMBER(Main_L[[#This Row],[EPS]]),IF(Main_L[[#This Row],[EPS]]&lt;&gt;0,Main_L[[#This Row],[Current Price]]/Main_L[[#This Row],[EPS]],""),"")</f>
        <v>47.444444444444443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-1.6151532470132262</v>
      </c>
      <c r="P63" s="1">
        <f>(Main_L[[#This Row],[P/B]]-VLOOKUP(Main_L[[#This Row],[Industry]], Mean_PB_L, 2, FALSE))/(VLOOKUP(Main_L[[#This Row],[Industry]], Mean_PB_L, 3, FALSE))</f>
        <v>-1.2333541424309604</v>
      </c>
      <c r="Q63" s="1">
        <f>(Main_L[[#This Row],[ROE]]-VLOOKUP(Main_L[[#This Row],[Industry]], Mean_ROE_L, 2, FALSE))/(VLOOKUP(Main_L[[#This Row],[Industry]], Mean_ROE_L, 3, FALSE))</f>
        <v>-1.6019746831323283</v>
      </c>
      <c r="R63" s="1">
        <f>(Main_L[[#This Row],[ROA]]-VLOOKUP(Main_L[[#This Row],[Industry]], Mean_ROA_L, 2, FALSE))/(VLOOKUP(Main_L[[#This Row],[Industry]], Mean_ROA_L, 3, FALSE))</f>
        <v>-0.67053255688336777</v>
      </c>
      <c r="S63" s="1">
        <f>(Main_L[[#This Row],[A/E]]-VLOOKUP(Main_L[[#This Row],[Industry]], Mean_AE_L, 2, FALSE))/(VLOOKUP(Main_L[[#This Row],[Industry]], Mean_AE_L, 3, FALSE))</f>
        <v>-1.1780070658163289</v>
      </c>
      <c r="T63" s="1">
        <f>(Main_L[[#This Row],[P/E]]-VLOOKUP(Main_L[[#This Row],[Industry]], Mean_PE_L, 2, FALSE))/(VLOOKUP(Main_L[[#This Row],[Industry]], Mean_PE_L, 3, FALSE))</f>
        <v>0.28200115818416166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s="67" t="s">
        <v>142</v>
      </c>
      <c r="B64" s="67" t="s">
        <v>578</v>
      </c>
      <c r="C64" s="2">
        <v>103507</v>
      </c>
      <c r="D64">
        <f>RTD("tos.rtd", , "LAST", Main_L[[#This Row],[Symbol]])</f>
        <v>57.5</v>
      </c>
      <c r="E64">
        <v>2.0499999999999998</v>
      </c>
      <c r="F64">
        <v>7.37</v>
      </c>
      <c r="G64">
        <v>2.2400000000000002</v>
      </c>
      <c r="H64" s="1">
        <f>IF(ISNUMBER(Main_L[[#This Row],[Free CF]]),IF(Main_L[[#This Row],[Free CF]]&lt;&gt;0,Main_L[[#This Row],[Current Price]]/Main_L[[#This Row],[Free CF]],""),"")</f>
        <v>28.04878048780488</v>
      </c>
      <c r="I64" s="1">
        <f>IF(ISNUMBER(Main_L[[#This Row],[BVPS]]),IF(Main_L[[#This Row],[BVPS]]&lt;&gt;0,Main_L[[#This Row],[Current Price]]/Main_L[[#This Row],[BVPS]],""),"")</f>
        <v>7.8018995929443689</v>
      </c>
      <c r="J64">
        <v>30.16</v>
      </c>
      <c r="K64">
        <v>8.61</v>
      </c>
      <c r="L64">
        <v>3.14</v>
      </c>
      <c r="M64" s="1">
        <f>IF(ISNUMBER(Main_L[[#This Row],[EPS]]),IF(Main_L[[#This Row],[EPS]]&lt;&gt;0,Main_L[[#This Row],[Current Price]]/Main_L[[#This Row],[EPS]],""),"")</f>
        <v>25.669642857142854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-0.47861175040427201</v>
      </c>
      <c r="P64" s="1">
        <f>(Main_L[[#This Row],[P/B]]-VLOOKUP(Main_L[[#This Row],[Industry]], Mean_PB_L, 2, FALSE))/(VLOOKUP(Main_L[[#This Row],[Industry]], Mean_PB_L, 3, FALSE))</f>
        <v>-0.20149115888249067</v>
      </c>
      <c r="Q64" s="1">
        <f>(Main_L[[#This Row],[ROE]]-VLOOKUP(Main_L[[#This Row],[Industry]], Mean_ROE_L, 2, FALSE))/(VLOOKUP(Main_L[[#This Row],[Industry]], Mean_ROE_L, 3, FALSE))</f>
        <v>1.0273455800594944</v>
      </c>
      <c r="R64" s="1">
        <f>(Main_L[[#This Row],[ROA]]-VLOOKUP(Main_L[[#This Row],[Industry]], Mean_ROA_L, 2, FALSE))/(VLOOKUP(Main_L[[#This Row],[Industry]], Mean_ROA_L, 3, FALSE))</f>
        <v>0.57201619180851193</v>
      </c>
      <c r="S64" s="1">
        <f>(Main_L[[#This Row],[A/E]]-VLOOKUP(Main_L[[#This Row],[Industry]], Mean_AE_L, 2, FALSE))/(VLOOKUP(Main_L[[#This Row],[Industry]], Mean_AE_L, 3, FALSE))</f>
        <v>0.87548385047050148</v>
      </c>
      <c r="T64" s="1">
        <f>(Main_L[[#This Row],[P/E]]-VLOOKUP(Main_L[[#This Row],[Industry]], Mean_PE_L, 2, FALSE))/(VLOOKUP(Main_L[[#This Row],[Industry]], Mean_PE_L, 3, FALSE))</f>
        <v>-1.1165375922295977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s="67" t="s">
        <v>233</v>
      </c>
      <c r="B65" s="67" t="s">
        <v>238</v>
      </c>
      <c r="C65" s="2">
        <v>132436</v>
      </c>
      <c r="D65">
        <f>RTD("tos.rtd", , "LAST", Main_L[[#This Row],[Symbol]])</f>
        <v>224.14</v>
      </c>
      <c r="E65">
        <v>9.6999999999999993</v>
      </c>
      <c r="F65">
        <v>26.78</v>
      </c>
      <c r="G65">
        <v>11.1</v>
      </c>
      <c r="H65" s="1">
        <f>IF(ISNUMBER(Main_L[[#This Row],[Free CF]]),IF(Main_L[[#This Row],[Free CF]]&lt;&gt;0,Main_L[[#This Row],[Current Price]]/Main_L[[#This Row],[Free CF]],""),"")</f>
        <v>23.10721649484536</v>
      </c>
      <c r="I65" s="1">
        <f>IF(ISNUMBER(Main_L[[#This Row],[BVPS]]),IF(Main_L[[#This Row],[BVPS]]&lt;&gt;0,Main_L[[#This Row],[Current Price]]/Main_L[[#This Row],[BVPS]],""),"")</f>
        <v>8.3696788648244951</v>
      </c>
      <c r="J65">
        <v>42.47</v>
      </c>
      <c r="K65">
        <v>8.99</v>
      </c>
      <c r="L65">
        <v>4.2699999999999996</v>
      </c>
      <c r="M65" s="1">
        <f>IF(ISNUMBER(Main_L[[#This Row],[EPS]]),IF(Main_L[[#This Row],[EPS]]&lt;&gt;0,Main_L[[#This Row],[Current Price]]/Main_L[[#This Row],[EPS]],""),"")</f>
        <v>20.192792792792794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-0.8469169505017472</v>
      </c>
      <c r="P65" s="1">
        <f>(Main_L[[#This Row],[P/B]]-VLOOKUP(Main_L[[#This Row],[Industry]], Mean_PB_L, 2, FALSE))/(VLOOKUP(Main_L[[#This Row],[Industry]], Mean_PB_L, 3, FALSE))</f>
        <v>1.4113280996047111</v>
      </c>
      <c r="Q65" s="1">
        <f>(Main_L[[#This Row],[ROE]]-VLOOKUP(Main_L[[#This Row],[Industry]], Mean_ROE_L, 2, FALSE))/(VLOOKUP(Main_L[[#This Row],[Industry]], Mean_ROE_L, 3, FALSE))</f>
        <v>2.0578318380752987</v>
      </c>
      <c r="R65" s="1">
        <f>(Main_L[[#This Row],[ROA]]-VLOOKUP(Main_L[[#This Row],[Industry]], Mean_ROA_L, 2, FALSE))/(VLOOKUP(Main_L[[#This Row],[Industry]], Mean_ROA_L, 3, FALSE))</f>
        <v>1.5360059315717873</v>
      </c>
      <c r="S65" s="1">
        <f>(Main_L[[#This Row],[A/E]]-VLOOKUP(Main_L[[#This Row],[Industry]], Mean_AE_L, 2, FALSE))/(VLOOKUP(Main_L[[#This Row],[Industry]], Mean_AE_L, 3, FALSE))</f>
        <v>1.5860674621750079</v>
      </c>
      <c r="T65" s="1">
        <f>(Main_L[[#This Row],[P/E]]-VLOOKUP(Main_L[[#This Row],[Industry]], Mean_PE_L, 2, FALSE))/(VLOOKUP(Main_L[[#This Row],[Industry]], Mean_PE_L, 3, FALSE))</f>
        <v>-0.69871724043901917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s="67" t="s">
        <v>233</v>
      </c>
      <c r="B66" s="67" t="s">
        <v>237</v>
      </c>
      <c r="C66" s="2">
        <v>55712</v>
      </c>
      <c r="D66">
        <f>RTD("tos.rtd", , "LAST", Main_L[[#This Row],[Symbol]])</f>
        <v>250.57</v>
      </c>
      <c r="E66">
        <v>8.35</v>
      </c>
      <c r="F66">
        <v>64.37</v>
      </c>
      <c r="G66">
        <v>14.65</v>
      </c>
      <c r="H66" s="1">
        <f>IF(ISNUMBER(Main_L[[#This Row],[Free CF]]),IF(Main_L[[#This Row],[Free CF]]&lt;&gt;0,Main_L[[#This Row],[Current Price]]/Main_L[[#This Row],[Free CF]],""),"")</f>
        <v>30.008383233532935</v>
      </c>
      <c r="I66" s="1">
        <f>IF(ISNUMBER(Main_L[[#This Row],[BVPS]]),IF(Main_L[[#This Row],[BVPS]]&lt;&gt;0,Main_L[[#This Row],[Current Price]]/Main_L[[#This Row],[BVPS]],""),"")</f>
        <v>3.89265185645487</v>
      </c>
      <c r="J66">
        <v>24.54</v>
      </c>
      <c r="K66">
        <v>6.74</v>
      </c>
      <c r="L66">
        <v>3.02</v>
      </c>
      <c r="M66" s="1">
        <f>IF(ISNUMBER(Main_L[[#This Row],[EPS]]),IF(Main_L[[#This Row],[EPS]]&lt;&gt;0,Main_L[[#This Row],[Current Price]]/Main_L[[#This Row],[EPS]],""),"")</f>
        <v>17.103754266211602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-0.26554428860786217</v>
      </c>
      <c r="P66" s="1">
        <f>(Main_L[[#This Row],[P/B]]-VLOOKUP(Main_L[[#This Row],[Industry]], Mean_PB_L, 2, FALSE))/(VLOOKUP(Main_L[[#This Row],[Industry]], Mean_PB_L, 3, FALSE))</f>
        <v>-0.32333360234557101</v>
      </c>
      <c r="Q66" s="1">
        <f>(Main_L[[#This Row],[ROE]]-VLOOKUP(Main_L[[#This Row],[Industry]], Mean_ROE_L, 2, FALSE))/(VLOOKUP(Main_L[[#This Row],[Industry]], Mean_ROE_L, 3, FALSE))</f>
        <v>0.59983954921768146</v>
      </c>
      <c r="R66" s="1">
        <f>(Main_L[[#This Row],[ROA]]-VLOOKUP(Main_L[[#This Row],[Industry]], Mean_ROA_L, 2, FALSE))/(VLOOKUP(Main_L[[#This Row],[Industry]], Mean_ROA_L, 3, FALSE))</f>
        <v>0.54315801288801224</v>
      </c>
      <c r="S66" s="1">
        <f>(Main_L[[#This Row],[A/E]]-VLOOKUP(Main_L[[#This Row],[Industry]], Mean_AE_L, 2, FALSE))/(VLOOKUP(Main_L[[#This Row],[Industry]], Mean_AE_L, 3, FALSE))</f>
        <v>0.45663730177431205</v>
      </c>
      <c r="T66" s="1">
        <f>(Main_L[[#This Row],[P/E]]-VLOOKUP(Main_L[[#This Row],[Industry]], Mean_PE_L, 2, FALSE))/(VLOOKUP(Main_L[[#This Row],[Industry]], Mean_PE_L, 3, FALSE))</f>
        <v>-1.1614190638906359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s="67" t="s">
        <v>233</v>
      </c>
      <c r="B67" s="67" t="s">
        <v>239</v>
      </c>
      <c r="C67" s="2">
        <v>13773</v>
      </c>
      <c r="D67">
        <f>RTD("tos.rtd", , "LAST", Main_L[[#This Row],[Symbol]])</f>
        <v>141.63999999999999</v>
      </c>
      <c r="E67">
        <v>5.07</v>
      </c>
      <c r="F67">
        <v>38.979999999999997</v>
      </c>
      <c r="G67">
        <v>5.52</v>
      </c>
      <c r="H67" s="1">
        <f>IF(ISNUMBER(Main_L[[#This Row],[Free CF]]),IF(Main_L[[#This Row],[Free CF]]&lt;&gt;0,Main_L[[#This Row],[Current Price]]/Main_L[[#This Row],[Free CF]],""),"")</f>
        <v>27.936883629191318</v>
      </c>
      <c r="I67" s="1">
        <f>IF(ISNUMBER(Main_L[[#This Row],[BVPS]]),IF(Main_L[[#This Row],[BVPS]]&lt;&gt;0,Main_L[[#This Row],[Current Price]]/Main_L[[#This Row],[BVPS]],""),"")</f>
        <v>3.6336582863006668</v>
      </c>
      <c r="J67">
        <v>13.97</v>
      </c>
      <c r="K67">
        <v>6.11</v>
      </c>
      <c r="L67">
        <v>2.14</v>
      </c>
      <c r="M67" s="1">
        <f>IF(ISNUMBER(Main_L[[#This Row],[EPS]]),IF(Main_L[[#This Row],[EPS]]&lt;&gt;0,Main_L[[#This Row],[Current Price]]/Main_L[[#This Row],[EPS]],""),"")</f>
        <v>25.659420289855071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67" s="1">
        <f>(Main_L[[#This Row],[P/FCF]]-VLOOKUP(Main_L[[#This Row],[Industry]], Mean_PFCF_L, 2, FALSE))/(VLOOKUP(Main_L[[#This Row],[Industry]], Mean_PFCF_L, 3, FALSE))</f>
        <v>-0.4400529310866621</v>
      </c>
      <c r="P67" s="1">
        <f>(Main_L[[#This Row],[P/B]]-VLOOKUP(Main_L[[#This Row],[Industry]], Mean_PB_L, 2, FALSE))/(VLOOKUP(Main_L[[#This Row],[Industry]], Mean_PB_L, 3, FALSE))</f>
        <v>-0.4236828355215122</v>
      </c>
      <c r="Q67" s="1">
        <f>(Main_L[[#This Row],[ROE]]-VLOOKUP(Main_L[[#This Row],[Industry]], Mean_ROE_L, 2, FALSE))/(VLOOKUP(Main_L[[#This Row],[Industry]], Mean_ROE_L, 3, FALSE))</f>
        <v>-0.25966845375080794</v>
      </c>
      <c r="R67" s="1">
        <f>(Main_L[[#This Row],[ROA]]-VLOOKUP(Main_L[[#This Row],[Industry]], Mean_ROA_L, 2, FALSE))/(VLOOKUP(Main_L[[#This Row],[Industry]], Mean_ROA_L, 3, FALSE))</f>
        <v>0.2651605956565552</v>
      </c>
      <c r="S67" s="1">
        <f>(Main_L[[#This Row],[A/E]]-VLOOKUP(Main_L[[#This Row],[Industry]], Mean_AE_L, 2, FALSE))/(VLOOKUP(Main_L[[#This Row],[Industry]], Mean_AE_L, 3, FALSE))</f>
        <v>-0.33848153114777807</v>
      </c>
      <c r="T67" s="1">
        <f>(Main_L[[#This Row],[P/E]]-VLOOKUP(Main_L[[#This Row],[Industry]], Mean_PE_L, 2, FALSE))/(VLOOKUP(Main_L[[#This Row],[Industry]], Mean_PE_L, 3, FALSE))</f>
        <v>0.12011958832041671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s="67" t="s">
        <v>233</v>
      </c>
      <c r="B68" s="67" t="s">
        <v>240</v>
      </c>
      <c r="C68" s="2">
        <v>33848</v>
      </c>
      <c r="D68">
        <f>RTD("tos.rtd", , "LAST", Main_L[[#This Row],[Symbol]])</f>
        <v>162.21</v>
      </c>
      <c r="E68">
        <v>3.89</v>
      </c>
      <c r="F68">
        <v>19.98</v>
      </c>
      <c r="G68">
        <v>5.33</v>
      </c>
      <c r="H68" s="1">
        <f>IF(ISNUMBER(Main_L[[#This Row],[Free CF]]),IF(Main_L[[#This Row],[Free CF]]&lt;&gt;0,Main_L[[#This Row],[Current Price]]/Main_L[[#This Row],[Free CF]],""),"")</f>
        <v>41.699228791773777</v>
      </c>
      <c r="I68" s="1">
        <f>IF(ISNUMBER(Main_L[[#This Row],[BVPS]]),IF(Main_L[[#This Row],[BVPS]]&lt;&gt;0,Main_L[[#This Row],[Current Price]]/Main_L[[#This Row],[BVPS]],""),"")</f>
        <v>8.1186186186186191</v>
      </c>
      <c r="J68">
        <v>26.59</v>
      </c>
      <c r="K68">
        <v>16.78</v>
      </c>
      <c r="L68">
        <v>1.3</v>
      </c>
      <c r="M68" s="1">
        <f>IF(ISNUMBER(Main_L[[#This Row],[EPS]]),IF(Main_L[[#This Row],[EPS]]&lt;&gt;0,Main_L[[#This Row],[Current Price]]/Main_L[[#This Row],[EPS]],""),"")</f>
        <v>30.433395872420263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0.71932367058556335</v>
      </c>
      <c r="P68" s="1">
        <f>(Main_L[[#This Row],[P/B]]-VLOOKUP(Main_L[[#This Row],[Industry]], Mean_PB_L, 2, FALSE))/(VLOOKUP(Main_L[[#This Row],[Industry]], Mean_PB_L, 3, FALSE))</f>
        <v>1.3140526993979704</v>
      </c>
      <c r="Q68" s="1">
        <f>(Main_L[[#This Row],[ROE]]-VLOOKUP(Main_L[[#This Row],[Industry]], Mean_ROE_L, 2, FALSE))/(VLOOKUP(Main_L[[#This Row],[Industry]], Mean_ROE_L, 3, FALSE))</f>
        <v>0.76653693862973482</v>
      </c>
      <c r="R68" s="1">
        <f>(Main_L[[#This Row],[ROA]]-VLOOKUP(Main_L[[#This Row],[Industry]], Mean_ROA_L, 2, FALSE))/(VLOOKUP(Main_L[[#This Row],[Industry]], Mean_ROA_L, 3, FALSE))</f>
        <v>4.9734660589258359</v>
      </c>
      <c r="S68" s="1">
        <f>(Main_L[[#This Row],[A/E]]-VLOOKUP(Main_L[[#This Row],[Industry]], Mean_AE_L, 2, FALSE))/(VLOOKUP(Main_L[[#This Row],[Industry]], Mean_AE_L, 3, FALSE))</f>
        <v>-1.097458598937046</v>
      </c>
      <c r="T68" s="1">
        <f>(Main_L[[#This Row],[P/E]]-VLOOKUP(Main_L[[#This Row],[Industry]], Mean_PE_L, 2, FALSE))/(VLOOKUP(Main_L[[#This Row],[Industry]], Mean_PE_L, 3, FALSE))</f>
        <v>0.83520526567878561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s="67" t="s">
        <v>233</v>
      </c>
      <c r="B69" s="67" t="s">
        <v>246</v>
      </c>
      <c r="C69" s="2">
        <v>175993</v>
      </c>
      <c r="D69">
        <f>RTD("tos.rtd", , "LAST", Main_L[[#This Row],[Symbol]])</f>
        <v>87.12</v>
      </c>
      <c r="E69">
        <v>3.71</v>
      </c>
      <c r="F69">
        <v>10.51</v>
      </c>
      <c r="G69">
        <v>5.66</v>
      </c>
      <c r="H69" s="1">
        <f>IF(ISNUMBER(Main_L[[#This Row],[Free CF]]),IF(Main_L[[#This Row],[Free CF]]&lt;&gt;0,Main_L[[#This Row],[Current Price]]/Main_L[[#This Row],[Free CF]],""),"")</f>
        <v>23.482479784366578</v>
      </c>
      <c r="I69" s="1">
        <f>IF(ISNUMBER(Main_L[[#This Row],[BVPS]]),IF(Main_L[[#This Row],[BVPS]]&lt;&gt;0,Main_L[[#This Row],[Current Price]]/Main_L[[#This Row],[BVPS]],""),"")</f>
        <v>8.2892483349191259</v>
      </c>
      <c r="J69">
        <v>69.38</v>
      </c>
      <c r="K69">
        <v>5.21</v>
      </c>
      <c r="L69">
        <v>2.4</v>
      </c>
      <c r="M69" s="1">
        <f>IF(ISNUMBER(Main_L[[#This Row],[EPS]]),IF(Main_L[[#This Row],[EPS]]&lt;&gt;0,Main_L[[#This Row],[Current Price]]/Main_L[[#This Row],[EPS]],""),"")</f>
        <v>15.392226148409895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-0.8153037717740157</v>
      </c>
      <c r="P69" s="1">
        <f>(Main_L[[#This Row],[P/B]]-VLOOKUP(Main_L[[#This Row],[Industry]], Mean_PB_L, 2, FALSE))/(VLOOKUP(Main_L[[#This Row],[Industry]], Mean_PB_L, 3, FALSE))</f>
        <v>1.3801646155261955</v>
      </c>
      <c r="Q69" s="1">
        <f>(Main_L[[#This Row],[ROE]]-VLOOKUP(Main_L[[#This Row],[Industry]], Mean_ROE_L, 2, FALSE))/(VLOOKUP(Main_L[[#This Row],[Industry]], Mean_ROE_L, 3, FALSE))</f>
        <v>4.246040008357423</v>
      </c>
      <c r="R69" s="1">
        <f>(Main_L[[#This Row],[ROA]]-VLOOKUP(Main_L[[#This Row],[Industry]], Mean_ROA_L, 2, FALSE))/(VLOOKUP(Main_L[[#This Row],[Industry]], Mean_ROA_L, 3, FALSE))</f>
        <v>-0.13197857181695505</v>
      </c>
      <c r="S69" s="1">
        <f>(Main_L[[#This Row],[A/E]]-VLOOKUP(Main_L[[#This Row],[Industry]], Mean_AE_L, 2, FALSE))/(VLOOKUP(Main_L[[#This Row],[Industry]], Mean_AE_L, 3, FALSE))</f>
        <v>-0.10356005778443343</v>
      </c>
      <c r="T69" s="1">
        <f>(Main_L[[#This Row],[P/E]]-VLOOKUP(Main_L[[#This Row],[Industry]], Mean_PE_L, 2, FALSE))/(VLOOKUP(Main_L[[#This Row],[Industry]], Mean_PE_L, 3, FALSE))</f>
        <v>-1.4177859476899237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s="67" t="s">
        <v>233</v>
      </c>
      <c r="B70" s="67" t="s">
        <v>234</v>
      </c>
      <c r="C70" s="2">
        <v>65850</v>
      </c>
      <c r="D70">
        <f>RTD("tos.rtd", , "LAST", Main_L[[#This Row],[Symbol]])</f>
        <v>104.6</v>
      </c>
      <c r="E70">
        <v>3.59</v>
      </c>
      <c r="F70">
        <v>23.95</v>
      </c>
      <c r="G70">
        <v>4.96</v>
      </c>
      <c r="H70" s="1">
        <f>IF(ISNUMBER(Main_L[[#This Row],[Free CF]]),IF(Main_L[[#This Row],[Free CF]]&lt;&gt;0,Main_L[[#This Row],[Current Price]]/Main_L[[#This Row],[Free CF]],""),"")</f>
        <v>29.136490250696379</v>
      </c>
      <c r="I70" s="1">
        <f>IF(ISNUMBER(Main_L[[#This Row],[BVPS]]),IF(Main_L[[#This Row],[BVPS]]&lt;&gt;0,Main_L[[#This Row],[Current Price]]/Main_L[[#This Row],[BVPS]],""),"")</f>
        <v>4.3674321503131521</v>
      </c>
      <c r="J70">
        <v>21.73</v>
      </c>
      <c r="K70">
        <v>7.72</v>
      </c>
      <c r="L70">
        <v>2.65</v>
      </c>
      <c r="M70" s="1">
        <f>IF(ISNUMBER(Main_L[[#This Row],[EPS]]),IF(Main_L[[#This Row],[EPS]]&lt;&gt;0,Main_L[[#This Row],[Current Price]]/Main_L[[#This Row],[EPS]],""),"")</f>
        <v>21.088709677419352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-0.33899487508285092</v>
      </c>
      <c r="P70" s="1">
        <f>(Main_L[[#This Row],[P/B]]-VLOOKUP(Main_L[[#This Row],[Industry]], Mean_PB_L, 2, FALSE))/(VLOOKUP(Main_L[[#This Row],[Industry]], Mean_PB_L, 3, FALSE))</f>
        <v>-0.13937599140040438</v>
      </c>
      <c r="Q70" s="1">
        <f>(Main_L[[#This Row],[ROE]]-VLOOKUP(Main_L[[#This Row],[Industry]], Mean_ROE_L, 2, FALSE))/(VLOOKUP(Main_L[[#This Row],[Industry]], Mean_ROE_L, 3, FALSE))</f>
        <v>0.37134215202359871</v>
      </c>
      <c r="R70" s="1">
        <f>(Main_L[[#This Row],[ROA]]-VLOOKUP(Main_L[[#This Row],[Industry]], Mean_ROA_L, 2, FALSE))/(VLOOKUP(Main_L[[#This Row],[Industry]], Mean_ROA_L, 3, FALSE))</f>
        <v>0.97559843969250071</v>
      </c>
      <c r="S70" s="1">
        <f>(Main_L[[#This Row],[A/E]]-VLOOKUP(Main_L[[#This Row],[Industry]], Mean_AE_L, 2, FALSE))/(VLOOKUP(Main_L[[#This Row],[Industry]], Mean_AE_L, 3, FALSE))</f>
        <v>0.12232597429570582</v>
      </c>
      <c r="T70" s="1">
        <f>(Main_L[[#This Row],[P/E]]-VLOOKUP(Main_L[[#This Row],[Industry]], Mean_PE_L, 2, FALSE))/(VLOOKUP(Main_L[[#This Row],[Industry]], Mean_PE_L, 3, FALSE))</f>
        <v>-0.56451937511274985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s="67" t="s">
        <v>233</v>
      </c>
      <c r="B71" s="67" t="s">
        <v>235</v>
      </c>
      <c r="C71" s="2">
        <v>75972</v>
      </c>
      <c r="D71">
        <f>RTD("tos.rtd", , "LAST", Main_L[[#This Row],[Symbol]])</f>
        <v>81.66</v>
      </c>
      <c r="E71">
        <v>1.75</v>
      </c>
      <c r="F71">
        <v>36.04</v>
      </c>
      <c r="G71">
        <v>2.86</v>
      </c>
      <c r="H71" s="1">
        <f>IF(ISNUMBER(Main_L[[#This Row],[Free CF]]),IF(Main_L[[#This Row],[Free CF]]&lt;&gt;0,Main_L[[#This Row],[Current Price]]/Main_L[[#This Row],[Free CF]],""),"")</f>
        <v>46.662857142857142</v>
      </c>
      <c r="I71" s="1">
        <f>IF(ISNUMBER(Main_L[[#This Row],[BVPS]]),IF(Main_L[[#This Row],[BVPS]]&lt;&gt;0,Main_L[[#This Row],[Current Price]]/Main_L[[#This Row],[BVPS]],""),"")</f>
        <v>2.2658157602663707</v>
      </c>
      <c r="J71">
        <v>8.27</v>
      </c>
      <c r="K71">
        <v>4.29</v>
      </c>
      <c r="L71">
        <v>1.82</v>
      </c>
      <c r="M71" s="1">
        <f>IF(ISNUMBER(Main_L[[#This Row],[EPS]]),IF(Main_L[[#This Row],[EPS]]&lt;&gt;0,Main_L[[#This Row],[Current Price]]/Main_L[[#This Row],[EPS]],""),"")</f>
        <v>28.552447552447553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1.1374729395988898</v>
      </c>
      <c r="P71" s="1">
        <f>(Main_L[[#This Row],[P/B]]-VLOOKUP(Main_L[[#This Row],[Industry]], Mean_PB_L, 2, FALSE))/(VLOOKUP(Main_L[[#This Row],[Industry]], Mean_PB_L, 3, FALSE))</f>
        <v>-0.95366490616233557</v>
      </c>
      <c r="Q71" s="1">
        <f>(Main_L[[#This Row],[ROE]]-VLOOKUP(Main_L[[#This Row],[Industry]], Mean_ROE_L, 2, FALSE))/(VLOOKUP(Main_L[[#This Row],[Industry]], Mean_ROE_L, 3, FALSE))</f>
        <v>-0.72316851211602939</v>
      </c>
      <c r="R71" s="1">
        <f>(Main_L[[#This Row],[ROA]]-VLOOKUP(Main_L[[#This Row],[Industry]], Mean_ROA_L, 2, FALSE))/(VLOOKUP(Main_L[[#This Row],[Industry]], Mean_ROA_L, 3, FALSE))</f>
        <v>-0.53794305412320975</v>
      </c>
      <c r="S71" s="1">
        <f>(Main_L[[#This Row],[A/E]]-VLOOKUP(Main_L[[#This Row],[Industry]], Mean_AE_L, 2, FALSE))/(VLOOKUP(Main_L[[#This Row],[Industry]], Mean_AE_L, 3, FALSE))</f>
        <v>-0.62761565221035642</v>
      </c>
      <c r="T71" s="1">
        <f>(Main_L[[#This Row],[P/E]]-VLOOKUP(Main_L[[#This Row],[Industry]], Mean_PE_L, 2, FALSE))/(VLOOKUP(Main_L[[#This Row],[Industry]], Mean_PE_L, 3, FALSE))</f>
        <v>0.55346121814408011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s="67" t="s">
        <v>233</v>
      </c>
      <c r="B72" s="67" t="s">
        <v>236</v>
      </c>
      <c r="C72" s="2">
        <v>59343</v>
      </c>
      <c r="D72">
        <f>RTD("tos.rtd", , "LAST", Main_L[[#This Row],[Symbol]])</f>
        <v>31.98</v>
      </c>
      <c r="E72">
        <v>1.41</v>
      </c>
      <c r="F72">
        <v>6.48</v>
      </c>
      <c r="G72">
        <v>1.68</v>
      </c>
      <c r="H72" s="1">
        <f>IF(ISNUMBER(Main_L[[#This Row],[Free CF]]),IF(Main_L[[#This Row],[Free CF]]&lt;&gt;0,Main_L[[#This Row],[Current Price]]/Main_L[[#This Row],[Free CF]],""),"")</f>
        <v>22.680851063829788</v>
      </c>
      <c r="I72" s="1">
        <f>IF(ISNUMBER(Main_L[[#This Row],[BVPS]]),IF(Main_L[[#This Row],[BVPS]]&lt;&gt;0,Main_L[[#This Row],[Current Price]]/Main_L[[#This Row],[BVPS]],""),"")</f>
        <v>4.9351851851851851</v>
      </c>
      <c r="J72">
        <v>26.12</v>
      </c>
      <c r="K72">
        <v>7.45</v>
      </c>
      <c r="L72">
        <v>3.55</v>
      </c>
      <c r="M72" s="1">
        <f>IF(ISNUMBER(Main_L[[#This Row],[EPS]]),IF(Main_L[[#This Row],[EPS]]&lt;&gt;0,Main_L[[#This Row],[Current Price]]/Main_L[[#This Row],[EPS]],""),"")</f>
        <v>19.035714285714288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-0.8828351096993029</v>
      </c>
      <c r="P72" s="1">
        <f>(Main_L[[#This Row],[P/B]]-VLOOKUP(Main_L[[#This Row],[Industry]], Mean_PB_L, 2, FALSE))/(VLOOKUP(Main_L[[#This Row],[Industry]], Mean_PB_L, 3, FALSE))</f>
        <v>8.06046886172508E-2</v>
      </c>
      <c r="Q72" s="1">
        <f>(Main_L[[#This Row],[ROE]]-VLOOKUP(Main_L[[#This Row],[Industry]], Mean_ROE_L, 2, FALSE))/(VLOOKUP(Main_L[[#This Row],[Industry]], Mean_ROE_L, 3, FALSE))</f>
        <v>0.72831851276453241</v>
      </c>
      <c r="R72" s="1">
        <f>(Main_L[[#This Row],[ROA]]-VLOOKUP(Main_L[[#This Row],[Industry]], Mean_ROA_L, 2, FALSE))/(VLOOKUP(Main_L[[#This Row],[Industry]], Mean_ROA_L, 3, FALSE))</f>
        <v>0.85645668945044795</v>
      </c>
      <c r="S72" s="1">
        <f>(Main_L[[#This Row],[A/E]]-VLOOKUP(Main_L[[#This Row],[Industry]], Mean_AE_L, 2, FALSE))/(VLOOKUP(Main_L[[#This Row],[Industry]], Mean_AE_L, 3, FALSE))</f>
        <v>0.93551568978420707</v>
      </c>
      <c r="T72" s="1">
        <f>(Main_L[[#This Row],[P/E]]-VLOOKUP(Main_L[[#This Row],[Industry]], Mean_PE_L, 2, FALSE))/(VLOOKUP(Main_L[[#This Row],[Industry]], Mean_PE_L, 3, FALSE))</f>
        <v>-0.87203406070361977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s="67" t="s">
        <v>233</v>
      </c>
      <c r="B73" s="67" t="s">
        <v>244</v>
      </c>
      <c r="C73" s="2">
        <v>13410</v>
      </c>
      <c r="D73">
        <f>RTD("tos.rtd", , "LAST", Main_L[[#This Row],[Symbol]])</f>
        <v>119.54</v>
      </c>
      <c r="E73">
        <v>1.06</v>
      </c>
      <c r="F73">
        <v>13.92</v>
      </c>
      <c r="G73">
        <v>3.25</v>
      </c>
      <c r="H73" s="1">
        <f>IF(ISNUMBER(Main_L[[#This Row],[Free CF]]),IF(Main_L[[#This Row],[Free CF]]&lt;&gt;0,Main_L[[#This Row],[Current Price]]/Main_L[[#This Row],[Free CF]],""),"")</f>
        <v>112.77358490566037</v>
      </c>
      <c r="I73" s="1">
        <f>IF(ISNUMBER(Main_L[[#This Row],[BVPS]]),IF(Main_L[[#This Row],[BVPS]]&lt;&gt;0,Main_L[[#This Row],[Current Price]]/Main_L[[#This Row],[BVPS]],""),"")</f>
        <v>8.5876436781609193</v>
      </c>
      <c r="J73">
        <v>26.18</v>
      </c>
      <c r="K73">
        <v>5.81</v>
      </c>
      <c r="L73">
        <v>4.8</v>
      </c>
      <c r="M73" s="1">
        <f>IF(ISNUMBER(Main_L[[#This Row],[EPS]]),IF(Main_L[[#This Row],[EPS]]&lt;&gt;0,Main_L[[#This Row],[Current Price]]/Main_L[[#This Row],[EPS]],""),"")</f>
        <v>36.78153846153846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6.7068166802360309</v>
      </c>
      <c r="P73" s="1">
        <f>(Main_L[[#This Row],[P/B]]-VLOOKUP(Main_L[[#This Row],[Industry]], Mean_PB_L, 2, FALSE))/(VLOOKUP(Main_L[[#This Row],[Industry]], Mean_PB_L, 3, FALSE))</f>
        <v>1.4957803964884695</v>
      </c>
      <c r="Q73" s="1">
        <f>(Main_L[[#This Row],[ROE]]-VLOOKUP(Main_L[[#This Row],[Industry]], Mean_ROE_L, 2, FALSE))/(VLOOKUP(Main_L[[#This Row],[Industry]], Mean_ROE_L, 3, FALSE))</f>
        <v>0.73319746074732406</v>
      </c>
      <c r="R73" s="1">
        <f>(Main_L[[#This Row],[ROA]]-VLOOKUP(Main_L[[#This Row],[Industry]], Mean_ROA_L, 2, FALSE))/(VLOOKUP(Main_L[[#This Row],[Industry]], Mean_ROA_L, 3, FALSE))</f>
        <v>0.13278087316538487</v>
      </c>
      <c r="S73" s="1">
        <f>(Main_L[[#This Row],[A/E]]-VLOOKUP(Main_L[[#This Row],[Industry]], Mean_AE_L, 2, FALSE))/(VLOOKUP(Main_L[[#This Row],[Industry]], Mean_AE_L, 3, FALSE))</f>
        <v>2.0649458501849036</v>
      </c>
      <c r="T73" s="1">
        <f>(Main_L[[#This Row],[P/E]]-VLOOKUP(Main_L[[#This Row],[Industry]], Mean_PE_L, 2, FALSE))/(VLOOKUP(Main_L[[#This Row],[Industry]], Mean_PE_L, 3, FALSE))</f>
        <v>1.7860827397667263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s="67" t="s">
        <v>233</v>
      </c>
      <c r="B74" s="67" t="s">
        <v>245</v>
      </c>
      <c r="C74" s="2">
        <v>12164</v>
      </c>
      <c r="D74">
        <f>RTD("tos.rtd", , "LAST", Main_L[[#This Row],[Symbol]])</f>
        <v>12.36</v>
      </c>
      <c r="E74">
        <v>0.38</v>
      </c>
      <c r="F74">
        <v>5.05</v>
      </c>
      <c r="G74">
        <v>0.49</v>
      </c>
      <c r="H74" s="1">
        <f>IF(ISNUMBER(Main_L[[#This Row],[Free CF]]),IF(Main_L[[#This Row],[Free CF]]&lt;&gt;0,Main_L[[#This Row],[Current Price]]/Main_L[[#This Row],[Free CF]],""),"")</f>
        <v>32.526315789473685</v>
      </c>
      <c r="I74" s="1">
        <f>IF(ISNUMBER(Main_L[[#This Row],[BVPS]]),IF(Main_L[[#This Row],[BVPS]]&lt;&gt;0,Main_L[[#This Row],[Current Price]]/Main_L[[#This Row],[BVPS]],""),"")</f>
        <v>2.4475247524752475</v>
      </c>
      <c r="J74">
        <v>10.32</v>
      </c>
      <c r="K74">
        <v>5.13</v>
      </c>
      <c r="L74">
        <v>1.1100000000000001</v>
      </c>
      <c r="M74" s="1">
        <f>IF(ISNUMBER(Main_L[[#This Row],[EPS]]),IF(Main_L[[#This Row],[EPS]]&lt;&gt;0,Main_L[[#This Row],[Current Price]]/Main_L[[#This Row],[EPS]],""),"")</f>
        <v>25.224489795918366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4" s="1">
        <f>(Main_L[[#This Row],[P/FCF]]-VLOOKUP(Main_L[[#This Row],[Industry]], Mean_PFCF_L, 2, FALSE))/(VLOOKUP(Main_L[[#This Row],[Industry]], Mean_PFCF_L, 3, FALSE))</f>
        <v>-5.3426945563498147E-2</v>
      </c>
      <c r="P74" s="1">
        <f>(Main_L[[#This Row],[P/B]]-VLOOKUP(Main_L[[#This Row],[Industry]], Mean_PB_L, 2, FALSE))/(VLOOKUP(Main_L[[#This Row],[Industry]], Mean_PB_L, 3, FALSE))</f>
        <v>-0.88326023156567579</v>
      </c>
      <c r="Q74" s="1">
        <f>(Main_L[[#This Row],[ROE]]-VLOOKUP(Main_L[[#This Row],[Industry]], Mean_ROE_L, 2, FALSE))/(VLOOKUP(Main_L[[#This Row],[Industry]], Mean_ROE_L, 3, FALSE))</f>
        <v>-0.55647112270397603</v>
      </c>
      <c r="R74" s="1">
        <f>(Main_L[[#This Row],[ROA]]-VLOOKUP(Main_L[[#This Row],[Industry]], Mean_ROA_L, 2, FALSE))/(VLOOKUP(Main_L[[#This Row],[Industry]], Mean_ROA_L, 3, FALSE))</f>
        <v>-0.16727983114793374</v>
      </c>
      <c r="S74" s="1">
        <f>(Main_L[[#This Row],[A/E]]-VLOOKUP(Main_L[[#This Row],[Industry]], Mean_AE_L, 2, FALSE))/(VLOOKUP(Main_L[[#This Row],[Industry]], Mean_AE_L, 3, FALSE))</f>
        <v>-1.269131983317952</v>
      </c>
      <c r="T74" s="1">
        <f>(Main_L[[#This Row],[P/E]]-VLOOKUP(Main_L[[#This Row],[Industry]], Mean_PE_L, 2, FALSE))/(VLOOKUP(Main_L[[#This Row],[Industry]], Mean_PE_L, 3, FALSE))</f>
        <v>5.4972089871456811E-2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s="67" t="s">
        <v>233</v>
      </c>
      <c r="B75" s="67" t="s">
        <v>543</v>
      </c>
      <c r="C75" s="2">
        <v>20084</v>
      </c>
      <c r="D75">
        <f>RTD("tos.rtd", , "LAST", Main_L[[#This Row],[Symbol]])</f>
        <v>4.9800000000000004</v>
      </c>
      <c r="E75">
        <v>0.2</v>
      </c>
      <c r="F75">
        <v>1.57</v>
      </c>
      <c r="G75">
        <v>0.01</v>
      </c>
      <c r="H75" s="1">
        <f>IF(ISNUMBER(Main_L[[#This Row],[Free CF]]),IF(Main_L[[#This Row],[Free CF]]&lt;&gt;0,Main_L[[#This Row],[Current Price]]/Main_L[[#This Row],[Free CF]],""),"")</f>
        <v>24.900000000000002</v>
      </c>
      <c r="I75" s="1">
        <f>IF(ISNUMBER(Main_L[[#This Row],[BVPS]]),IF(Main_L[[#This Row],[BVPS]]&lt;&gt;0,Main_L[[#This Row],[Current Price]]/Main_L[[#This Row],[BVPS]],""),"")</f>
        <v>3.1719745222929938</v>
      </c>
      <c r="J75">
        <v>-0.52</v>
      </c>
      <c r="K75">
        <v>-0.71</v>
      </c>
      <c r="L75">
        <v>1.49</v>
      </c>
      <c r="M75" s="1">
        <f>IF(ISNUMBER(Main_L[[#This Row],[EPS]]),IF(Main_L[[#This Row],[EPS]]&lt;&gt;0,Main_L[[#This Row],[Current Price]]/Main_L[[#This Row],[EPS]],""),"")</f>
        <v>498.00000000000006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-0.69588809435945698</v>
      </c>
      <c r="P75" s="1">
        <f>(Main_L[[#This Row],[P/B]]-VLOOKUP(Main_L[[#This Row],[Industry]], Mean_PB_L, 2, FALSE))/(VLOOKUP(Main_L[[#This Row],[Industry]], Mean_PB_L, 3, FALSE))</f>
        <v>-0.60256608602216288</v>
      </c>
      <c r="Q75" s="1">
        <f>(Main_L[[#This Row],[ROE]]-VLOOKUP(Main_L[[#This Row],[Industry]], Mean_ROE_L, 2, FALSE))/(VLOOKUP(Main_L[[#This Row],[Industry]], Mean_ROE_L, 3, FALSE))</f>
        <v>-1.4379343915950287</v>
      </c>
      <c r="R75" s="1">
        <f>(Main_L[[#This Row],[ROA]]-VLOOKUP(Main_L[[#This Row],[Industry]], Mean_ROA_L, 2, FALSE))/(VLOOKUP(Main_L[[#This Row],[Industry]], Mean_ROA_L, 3, FALSE))</f>
        <v>-2.7442717623093769</v>
      </c>
      <c r="S75" s="1">
        <f>(Main_L[[#This Row],[A/E]]-VLOOKUP(Main_L[[#This Row],[Industry]], Mean_AE_L, 2, FALSE))/(VLOOKUP(Main_L[[#This Row],[Industry]], Mean_AE_L, 3, FALSE))</f>
        <v>-0.92578521455614027</v>
      </c>
      <c r="T75" s="1">
        <f>(Main_L[[#This Row],[P/E]]-VLOOKUP(Main_L[[#This Row],[Industry]], Mean_PE_L, 2, FALSE))/(VLOOKUP(Main_L[[#This Row],[Industry]], Mean_PE_L, 3, FALSE))</f>
        <v>70.871211114511993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6" spans="1:26" x14ac:dyDescent="0.25">
      <c r="A76" s="67" t="s">
        <v>233</v>
      </c>
      <c r="B76" s="67" t="s">
        <v>586</v>
      </c>
      <c r="C76" s="2">
        <v>21326</v>
      </c>
      <c r="D76">
        <f>RTD("tos.rtd", , "LAST", Main_L[[#This Row],[Symbol]])</f>
        <v>5.01</v>
      </c>
      <c r="E76">
        <v>0.08</v>
      </c>
      <c r="F76">
        <v>2.87</v>
      </c>
      <c r="G76">
        <v>0.03</v>
      </c>
      <c r="H76" s="1">
        <f>IF(ISNUMBER(Main_L[[#This Row],[Free CF]]),IF(Main_L[[#This Row],[Free CF]]&lt;&gt;0,Main_L[[#This Row],[Current Price]]/Main_L[[#This Row],[Free CF]],""),"")</f>
        <v>62.624999999999993</v>
      </c>
      <c r="I76" s="1">
        <f>IF(ISNUMBER(Main_L[[#This Row],[BVPS]]),IF(Main_L[[#This Row],[BVPS]]&lt;&gt;0,Main_L[[#This Row],[Current Price]]/Main_L[[#This Row],[BVPS]],""),"")</f>
        <v>1.7456445993031358</v>
      </c>
      <c r="J76">
        <v>1.29</v>
      </c>
      <c r="K76">
        <v>0.84</v>
      </c>
      <c r="L76">
        <v>1.46</v>
      </c>
      <c r="M76" s="1">
        <f>IF(ISNUMBER(Main_L[[#This Row],[EPS]]),IF(Main_L[[#This Row],[EPS]]&lt;&gt;0,Main_L[[#This Row],[Current Price]]/Main_L[[#This Row],[EPS]],""),"")</f>
        <v>167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2.482166356490946</v>
      </c>
      <c r="P76" s="1">
        <f>(Main_L[[#This Row],[P/B]]-VLOOKUP(Main_L[[#This Row],[Industry]], Mean_PB_L, 2, FALSE))/(VLOOKUP(Main_L[[#This Row],[Industry]], Mean_PB_L, 3, FALSE))</f>
        <v>-1.1552095896532071</v>
      </c>
      <c r="Q76" s="1">
        <f>(Main_L[[#This Row],[ROE]]-VLOOKUP(Main_L[[#This Row],[Industry]], Mean_ROE_L, 2, FALSE))/(VLOOKUP(Main_L[[#This Row],[Industry]], Mean_ROE_L, 3, FALSE))</f>
        <v>-1.2907527941141428</v>
      </c>
      <c r="R76" s="1">
        <f>(Main_L[[#This Row],[ROA]]-VLOOKUP(Main_L[[#This Row],[Industry]], Mean_ROA_L, 2, FALSE))/(VLOOKUP(Main_L[[#This Row],[Industry]], Mean_ROA_L, 3, FALSE))</f>
        <v>-2.0603098627716649</v>
      </c>
      <c r="S76" s="1">
        <f>(Main_L[[#This Row],[A/E]]-VLOOKUP(Main_L[[#This Row],[Industry]], Mean_AE_L, 2, FALSE))/(VLOOKUP(Main_L[[#This Row],[Industry]], Mean_AE_L, 3, FALSE))</f>
        <v>-0.95289153840575702</v>
      </c>
      <c r="T76" s="1">
        <f>(Main_L[[#This Row],[P/E]]-VLOOKUP(Main_L[[#This Row],[Industry]], Mean_PE_L, 2, FALSE))/(VLOOKUP(Main_L[[#This Row],[Industry]], Mean_PE_L, 3, FALSE))</f>
        <v>21.291284465947506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7" spans="1:26" x14ac:dyDescent="0.25">
      <c r="A77" s="67" t="s">
        <v>233</v>
      </c>
      <c r="B77" s="67" t="s">
        <v>243</v>
      </c>
      <c r="C77" s="2">
        <v>12047</v>
      </c>
      <c r="D77">
        <f>RTD("tos.rtd", , "LAST", Main_L[[#This Row],[Symbol]])</f>
        <v>63.52</v>
      </c>
      <c r="E77">
        <v>-10.130000000000001</v>
      </c>
      <c r="F77">
        <v>39.020000000000003</v>
      </c>
      <c r="G77">
        <v>1.87</v>
      </c>
      <c r="H77" s="1">
        <f>IF(ISNUMBER(Main_L[[#This Row],[Free CF]]),IF(Main_L[[#This Row],[Free CF]]&lt;&gt;0,Main_L[[#This Row],[Current Price]]/Main_L[[#This Row],[Free CF]],""),"")</f>
        <v>-6.2704837117472847</v>
      </c>
      <c r="I77" s="1">
        <f>IF(ISNUMBER(Main_L[[#This Row],[BVPS]]),IF(Main_L[[#This Row],[BVPS]]&lt;&gt;0,Main_L[[#This Row],[Current Price]]/Main_L[[#This Row],[BVPS]],""),"")</f>
        <v>1.6278831368528959</v>
      </c>
      <c r="J77">
        <v>5</v>
      </c>
      <c r="K77">
        <v>2.31</v>
      </c>
      <c r="L77">
        <v>2.68</v>
      </c>
      <c r="M77" s="1">
        <f>IF(ISNUMBER(Main_L[[#This Row],[EPS]]),IF(Main_L[[#This Row],[EPS]]&lt;&gt;0,Main_L[[#This Row],[Current Price]]/Main_L[[#This Row],[EPS]],""),"")</f>
        <v>33.967914438502675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-3.3217726402912917</v>
      </c>
      <c r="P77" s="1">
        <f>(Main_L[[#This Row],[P/B]]-VLOOKUP(Main_L[[#This Row],[Industry]], Mean_PB_L, 2, FALSE))/(VLOOKUP(Main_L[[#This Row],[Industry]], Mean_PB_L, 3, FALSE))</f>
        <v>-1.2008372569637238</v>
      </c>
      <c r="Q77" s="1">
        <f>(Main_L[[#This Row],[ROE]]-VLOOKUP(Main_L[[#This Row],[Industry]], Mean_ROE_L, 2, FALSE))/(VLOOKUP(Main_L[[#This Row],[Industry]], Mean_ROE_L, 3, FALSE))</f>
        <v>-0.98907117717818271</v>
      </c>
      <c r="R77" s="1">
        <f>(Main_L[[#This Row],[ROA]]-VLOOKUP(Main_L[[#This Row],[Industry]], Mean_ROA_L, 2, FALSE))/(VLOOKUP(Main_L[[#This Row],[Industry]], Mean_ROA_L, 3, FALSE))</f>
        <v>-1.411649222564932</v>
      </c>
      <c r="S77" s="1">
        <f>(Main_L[[#This Row],[A/E]]-VLOOKUP(Main_L[[#This Row],[Industry]], Mean_AE_L, 2, FALSE))/(VLOOKUP(Main_L[[#This Row],[Industry]], Mean_AE_L, 3, FALSE))</f>
        <v>0.14943229814532277</v>
      </c>
      <c r="T77" s="1">
        <f>(Main_L[[#This Row],[P/E]]-VLOOKUP(Main_L[[#This Row],[Industry]], Mean_PE_L, 2, FALSE))/(VLOOKUP(Main_L[[#This Row],[Industry]], Mean_PE_L, 3, FALSE))</f>
        <v>1.3646347860544812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s="67" t="s">
        <v>153</v>
      </c>
      <c r="B78" s="67" t="s">
        <v>154</v>
      </c>
      <c r="C78" s="2">
        <v>145807</v>
      </c>
      <c r="D78">
        <f>RTD("tos.rtd", , "LAST", Main_L[[#This Row],[Symbol]])</f>
        <v>227.13</v>
      </c>
      <c r="E78">
        <v>7.79</v>
      </c>
      <c r="F78">
        <v>27.17</v>
      </c>
      <c r="G78">
        <v>8.6999999999999993</v>
      </c>
      <c r="H78" s="1">
        <f>IF(ISNUMBER(Main_L[[#This Row],[Free CF]]),IF(Main_L[[#This Row],[Free CF]]&lt;&gt;0,Main_L[[#This Row],[Current Price]]/Main_L[[#This Row],[Free CF]],""),"")</f>
        <v>29.156611039794608</v>
      </c>
      <c r="I78" s="1">
        <f>IF(ISNUMBER(Main_L[[#This Row],[BVPS]]),IF(Main_L[[#This Row],[BVPS]]&lt;&gt;0,Main_L[[#This Row],[Current Price]]/Main_L[[#This Row],[BVPS]],""),"")</f>
        <v>8.3595877806404122</v>
      </c>
      <c r="J78">
        <v>32.68</v>
      </c>
      <c r="K78">
        <v>7.41</v>
      </c>
      <c r="L78">
        <v>4.3099999999999996</v>
      </c>
      <c r="M78" s="1">
        <f>IF(ISNUMBER(Main_L[[#This Row],[EPS]]),IF(Main_L[[#This Row],[EPS]]&lt;&gt;0,Main_L[[#This Row],[Current Price]]/Main_L[[#This Row],[EPS]],""),"")</f>
        <v>26.106896551724141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0.70915209201716201</v>
      </c>
      <c r="P78" s="1">
        <f>(Main_L[[#This Row],[P/B]]-VLOOKUP(Main_L[[#This Row],[Industry]], Mean_PB_L, 2, FALSE))/(VLOOKUP(Main_L[[#This Row],[Industry]], Mean_PB_L, 3, FALSE))</f>
        <v>-0.43899024378904455</v>
      </c>
      <c r="Q78" s="1">
        <f>(Main_L[[#This Row],[ROE]]-VLOOKUP(Main_L[[#This Row],[Industry]], Mean_ROE_L, 2, FALSE))/(VLOOKUP(Main_L[[#This Row],[Industry]], Mean_ROE_L, 3, FALSE))</f>
        <v>-0.50255674028682551</v>
      </c>
      <c r="R78" s="1">
        <f>(Main_L[[#This Row],[ROA]]-VLOOKUP(Main_L[[#This Row],[Industry]], Mean_ROA_L, 2, FALSE))/(VLOOKUP(Main_L[[#This Row],[Industry]], Mean_ROA_L, 3, FALSE))</f>
        <v>0.17011912509595437</v>
      </c>
      <c r="S78" s="1">
        <f>(Main_L[[#This Row],[A/E]]-VLOOKUP(Main_L[[#This Row],[Industry]], Mean_AE_L, 2, FALSE))/(VLOOKUP(Main_L[[#This Row],[Industry]], Mean_AE_L, 3, FALSE))</f>
        <v>-0.28527730648415744</v>
      </c>
      <c r="T78" s="1">
        <f>(Main_L[[#This Row],[P/E]]-VLOOKUP(Main_L[[#This Row],[Industry]], Mean_PE_L, 2, FALSE))/(VLOOKUP(Main_L[[#This Row],[Industry]], Mean_PE_L, 3, FALSE))</f>
        <v>0.11258659946528594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s="67" t="s">
        <v>153</v>
      </c>
      <c r="B79" s="67" t="s">
        <v>584</v>
      </c>
      <c r="C79" s="2">
        <v>17796</v>
      </c>
      <c r="D79">
        <f>RTD("tos.rtd", , "LAST", Main_L[[#This Row],[Symbol]])</f>
        <v>21.3</v>
      </c>
      <c r="E79">
        <v>0.79</v>
      </c>
      <c r="F79">
        <v>3.64</v>
      </c>
      <c r="G79">
        <v>0.66</v>
      </c>
      <c r="H79" s="1">
        <f>IF(ISNUMBER(Main_L[[#This Row],[Free CF]]),IF(Main_L[[#This Row],[Free CF]]&lt;&gt;0,Main_L[[#This Row],[Current Price]]/Main_L[[#This Row],[Free CF]],""),"")</f>
        <v>26.962025316455694</v>
      </c>
      <c r="I79" s="1">
        <f>IF(ISNUMBER(Main_L[[#This Row],[BVPS]]),IF(Main_L[[#This Row],[BVPS]]&lt;&gt;0,Main_L[[#This Row],[Current Price]]/Main_L[[#This Row],[BVPS]],""),"")</f>
        <v>5.8516483516483513</v>
      </c>
      <c r="J79">
        <v>20.09</v>
      </c>
      <c r="K79">
        <v>8.69</v>
      </c>
      <c r="L79">
        <v>2.11</v>
      </c>
      <c r="M79" s="1">
        <f>IF(ISNUMBER(Main_L[[#This Row],[EPS]]),IF(Main_L[[#This Row],[EPS]]&lt;&gt;0,Main_L[[#This Row],[Current Price]]/Main_L[[#This Row],[EPS]],""),"")</f>
        <v>32.272727272727273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0.7050594964260628</v>
      </c>
      <c r="P79" s="1">
        <f>(Main_L[[#This Row],[P/B]]-VLOOKUP(Main_L[[#This Row],[Industry]], Mean_PB_L, 2, FALSE))/(VLOOKUP(Main_L[[#This Row],[Industry]], Mean_PB_L, 3, FALSE))</f>
        <v>-0.94474955788440085</v>
      </c>
      <c r="Q79" s="1">
        <f>(Main_L[[#This Row],[ROE]]-VLOOKUP(Main_L[[#This Row],[Industry]], Mean_ROE_L, 2, FALSE))/(VLOOKUP(Main_L[[#This Row],[Industry]], Mean_ROE_L, 3, FALSE))</f>
        <v>-0.89352621671593802</v>
      </c>
      <c r="R79" s="1">
        <f>(Main_L[[#This Row],[ROA]]-VLOOKUP(Main_L[[#This Row],[Industry]], Mean_ROA_L, 2, FALSE))/(VLOOKUP(Main_L[[#This Row],[Industry]], Mean_ROA_L, 3, FALSE))</f>
        <v>1.1307918315201673</v>
      </c>
      <c r="S79" s="1">
        <f>(Main_L[[#This Row],[A/E]]-VLOOKUP(Main_L[[#This Row],[Industry]], Mean_AE_L, 2, FALSE))/(VLOOKUP(Main_L[[#This Row],[Industry]], Mean_AE_L, 3, FALSE))</f>
        <v>-1.0569290371380258</v>
      </c>
      <c r="T79" s="1">
        <f>(Main_L[[#This Row],[P/E]]-VLOOKUP(Main_L[[#This Row],[Industry]], Mean_PE_L, 2, FALSE))/(VLOOKUP(Main_L[[#This Row],[Industry]], Mean_PE_L, 3, FALSE))</f>
        <v>1.1645642649388603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s="67" t="s">
        <v>153</v>
      </c>
      <c r="B80" s="67" t="s">
        <v>155</v>
      </c>
      <c r="C80" s="2">
        <v>79839</v>
      </c>
      <c r="D80">
        <f>RTD("tos.rtd", , "LAST", Main_L[[#This Row],[Symbol]])</f>
        <v>144.22999999999999</v>
      </c>
      <c r="E80">
        <v>-0.13</v>
      </c>
      <c r="F80">
        <v>8.2899999999999991</v>
      </c>
      <c r="G80">
        <v>8.0299999999999994</v>
      </c>
      <c r="H80" s="1">
        <f>IF(ISNUMBER(Main_L[[#This Row],[Free CF]]),IF(Main_L[[#This Row],[Free CF]]&lt;&gt;0,Main_L[[#This Row],[Current Price]]/Main_L[[#This Row],[Free CF]],""),"")</f>
        <v>-1109.4615384615383</v>
      </c>
      <c r="I80" s="1">
        <f>IF(ISNUMBER(Main_L[[#This Row],[BVPS]]),IF(Main_L[[#This Row],[BVPS]]&lt;&gt;0,Main_L[[#This Row],[Current Price]]/Main_L[[#This Row],[BVPS]],""),"")</f>
        <v>17.398069963811821</v>
      </c>
      <c r="J80">
        <v>93.82</v>
      </c>
      <c r="K80">
        <v>5.45</v>
      </c>
      <c r="L80">
        <v>8.9499999999999993</v>
      </c>
      <c r="M80" s="1">
        <f>IF(ISNUMBER(Main_L[[#This Row],[EPS]]),IF(Main_L[[#This Row],[EPS]]&lt;&gt;0,Main_L[[#This Row],[Current Price]]/Main_L[[#This Row],[EPS]],""),"")</f>
        <v>17.961394769613946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-1.4142115884432249</v>
      </c>
      <c r="P80" s="1">
        <f>(Main_L[[#This Row],[P/B]]-VLOOKUP(Main_L[[#This Row],[Industry]], Mean_PB_L, 2, FALSE))/(VLOOKUP(Main_L[[#This Row],[Industry]], Mean_PB_L, 3, FALSE))</f>
        <v>1.3837398016734457</v>
      </c>
      <c r="Q80" s="1">
        <f>(Main_L[[#This Row],[ROE]]-VLOOKUP(Main_L[[#This Row],[Industry]], Mean_ROE_L, 2, FALSE))/(VLOOKUP(Main_L[[#This Row],[Industry]], Mean_ROE_L, 3, FALSE))</f>
        <v>1.3960829570027642</v>
      </c>
      <c r="R80" s="1">
        <f>(Main_L[[#This Row],[ROA]]-VLOOKUP(Main_L[[#This Row],[Industry]], Mean_ROA_L, 2, FALSE))/(VLOOKUP(Main_L[[#This Row],[Industry]], Mean_ROA_L, 3, FALSE))</f>
        <v>-1.3009109566161221</v>
      </c>
      <c r="S80" s="1">
        <f>(Main_L[[#This Row],[A/E]]-VLOOKUP(Main_L[[#This Row],[Industry]], Mean_AE_L, 2, FALSE))/(VLOOKUP(Main_L[[#This Row],[Industry]], Mean_AE_L, 3, FALSE))</f>
        <v>1.3422063436221829</v>
      </c>
      <c r="T80" s="1">
        <f>(Main_L[[#This Row],[P/E]]-VLOOKUP(Main_L[[#This Row],[Industry]], Mean_PE_L, 2, FALSE))/(VLOOKUP(Main_L[[#This Row],[Industry]], Mean_PE_L, 3, FALSE))</f>
        <v>-1.2771508644041456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s="67" t="s">
        <v>156</v>
      </c>
      <c r="B81" s="67" t="s">
        <v>573</v>
      </c>
      <c r="C81" s="2">
        <v>10041</v>
      </c>
      <c r="D81">
        <f>RTD("tos.rtd", , "LAST", Main_L[[#This Row],[Symbol]])</f>
        <v>13.87</v>
      </c>
      <c r="H81" s="1" t="str">
        <f>IF(ISNUMBER(Main_L[[#This Row],[Free CF]]),IF(Main_L[[#This Row],[Free CF]]&lt;&gt;0,Main_L[[#This Row],[Current Price]]/Main_L[[#This Row],[Free CF]],""),"")</f>
        <v/>
      </c>
      <c r="I81" s="1" t="str">
        <f>IF(ISNUMBER(Main_L[[#This Row],[BVPS]]),IF(Main_L[[#This Row],[BVPS]]&lt;&gt;0,Main_L[[#This Row],[Current Price]]/Main_L[[#This Row],[BVPS]],""),"")</f>
        <v/>
      </c>
      <c r="J81">
        <v>17.39</v>
      </c>
      <c r="K81">
        <v>7.25</v>
      </c>
      <c r="L81">
        <v>2.0499999999999998</v>
      </c>
      <c r="M81" s="1" t="str">
        <f>IF(ISNUMBER(Main_L[[#This Row],[EPS]]),IF(Main_L[[#This Row],[EPS]]&lt;&gt;0,Main_L[[#This Row],[Current Price]]/Main_L[[#This Row],[EPS]],""),"")</f>
        <v/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 t="e">
        <f>(Main_L[[#This Row],[P/FCF]]-VLOOKUP(Main_L[[#This Row],[Industry]], Mean_PFCF_L, 2, FALSE))/(VLOOKUP(Main_L[[#This Row],[Industry]], Mean_PFCF_L, 3, FALSE))</f>
        <v>#VALUE!</v>
      </c>
      <c r="P81" s="1" t="e">
        <f>(Main_L[[#This Row],[P/B]]-VLOOKUP(Main_L[[#This Row],[Industry]], Mean_PB_L, 2, FALSE))/(VLOOKUP(Main_L[[#This Row],[Industry]], Mean_PB_L, 3, FALSE))</f>
        <v>#VALUE!</v>
      </c>
      <c r="Q81" s="1">
        <f>(Main_L[[#This Row],[ROE]]-VLOOKUP(Main_L[[#This Row],[Industry]], Mean_ROE_L, 2, FALSE))/(VLOOKUP(Main_L[[#This Row],[Industry]], Mean_ROE_L, 3, FALSE))</f>
        <v>-2.9650438318826492E-3</v>
      </c>
      <c r="R81" s="1">
        <f>(Main_L[[#This Row],[ROA]]-VLOOKUP(Main_L[[#This Row],[Industry]], Mean_ROA_L, 2, FALSE))/(VLOOKUP(Main_L[[#This Row],[Industry]], Mean_ROA_L, 3, FALSE))</f>
        <v>7.1565384052698082E-4</v>
      </c>
      <c r="S81" s="1">
        <f>(Main_L[[#This Row],[A/E]]-VLOOKUP(Main_L[[#This Row],[Industry]], Mean_AE_L, 2, FALSE))/(VLOOKUP(Main_L[[#This Row],[Industry]], Mean_AE_L, 3, FALSE))</f>
        <v>-0.23982535613891509</v>
      </c>
      <c r="T81" s="1" t="e">
        <f>(Main_L[[#This Row],[P/E]]-VLOOKUP(Main_L[[#This Row],[Industry]], Mean_PE_L, 2, FALSE))/(VLOOKUP(Main_L[[#This Row],[Industry]], Mean_PE_L, 3, FALSE))</f>
        <v>#VALUE!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2" spans="1:26" x14ac:dyDescent="0.25">
      <c r="A82" s="67" t="s">
        <v>156</v>
      </c>
      <c r="B82" s="67" t="s">
        <v>174</v>
      </c>
      <c r="C82" s="2">
        <v>84934</v>
      </c>
      <c r="D82">
        <f>RTD("tos.rtd", , "LAST", Main_L[[#This Row],[Symbol]])</f>
        <v>669.88</v>
      </c>
      <c r="E82">
        <v>24.3</v>
      </c>
      <c r="F82">
        <v>104.8</v>
      </c>
      <c r="G82">
        <v>25.99</v>
      </c>
      <c r="H82" s="1">
        <f>IF(ISNUMBER(Main_L[[#This Row],[Free CF]]),IF(Main_L[[#This Row],[Free CF]]&lt;&gt;0,Main_L[[#This Row],[Current Price]]/Main_L[[#This Row],[Free CF]],""),"")</f>
        <v>27.56707818930041</v>
      </c>
      <c r="I82" s="1">
        <f>IF(ISNUMBER(Main_L[[#This Row],[BVPS]]),IF(Main_L[[#This Row],[BVPS]]&lt;&gt;0,Main_L[[#This Row],[Current Price]]/Main_L[[#This Row],[BVPS]],""),"")</f>
        <v>6.3919847328244277</v>
      </c>
      <c r="J82">
        <v>27.15</v>
      </c>
      <c r="K82">
        <v>8.82</v>
      </c>
      <c r="L82">
        <v>2.16</v>
      </c>
      <c r="M82" s="1">
        <f>IF(ISNUMBER(Main_L[[#This Row],[EPS]]),IF(Main_L[[#This Row],[EPS]]&lt;&gt;0,Main_L[[#This Row],[Current Price]]/Main_L[[#This Row],[EPS]],""),"")</f>
        <v>25.774528664871106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0.70520423476752769</v>
      </c>
      <c r="P82" s="1">
        <f>(Main_L[[#This Row],[P/B]]-VLOOKUP(Main_L[[#This Row],[Industry]], Mean_PB_L, 2, FALSE))/(VLOOKUP(Main_L[[#This Row],[Industry]], Mean_PB_L, 3, FALSE))</f>
        <v>1.1270798701629932</v>
      </c>
      <c r="Q82" s="1">
        <f>(Main_L[[#This Row],[ROE]]-VLOOKUP(Main_L[[#This Row],[Industry]], Mean_ROE_L, 2, FALSE))/(VLOOKUP(Main_L[[#This Row],[Industry]], Mean_ROE_L, 3, FALSE))</f>
        <v>1.2703433793319647</v>
      </c>
      <c r="R82" s="1">
        <f>(Main_L[[#This Row],[ROA]]-VLOOKUP(Main_L[[#This Row],[Industry]], Mean_ROA_L, 2, FALSE))/(VLOOKUP(Main_L[[#This Row],[Industry]], Mean_ROA_L, 3, FALSE))</f>
        <v>0.54003238806123066</v>
      </c>
      <c r="S82" s="1">
        <f>(Main_L[[#This Row],[A/E]]-VLOOKUP(Main_L[[#This Row],[Industry]], Mean_AE_L, 2, FALSE))/(VLOOKUP(Main_L[[#This Row],[Industry]], Mean_AE_L, 3, FALSE))</f>
        <v>-9.8614319190940145E-2</v>
      </c>
      <c r="T82" s="1">
        <f>(Main_L[[#This Row],[P/E]]-VLOOKUP(Main_L[[#This Row],[Industry]], Mean_PE_L, 2, FALSE))/(VLOOKUP(Main_L[[#This Row],[Industry]], Mean_PE_L, 3, FALSE))</f>
        <v>0.15421880140857949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s="67" t="s">
        <v>156</v>
      </c>
      <c r="B83" s="67" t="s">
        <v>177</v>
      </c>
      <c r="C83" s="2">
        <v>16772</v>
      </c>
      <c r="D83">
        <f>RTD("tos.rtd", , "LAST", Main_L[[#This Row],[Symbol]])</f>
        <v>320.76</v>
      </c>
      <c r="E83">
        <v>20.62</v>
      </c>
      <c r="F83">
        <v>105.58</v>
      </c>
      <c r="G83">
        <v>19.11</v>
      </c>
      <c r="H83" s="1">
        <f>IF(ISNUMBER(Main_L[[#This Row],[Free CF]]),IF(Main_L[[#This Row],[Free CF]]&lt;&gt;0,Main_L[[#This Row],[Current Price]]/Main_L[[#This Row],[Free CF]],""),"")</f>
        <v>15.555771096023276</v>
      </c>
      <c r="I83" s="1">
        <f>IF(ISNUMBER(Main_L[[#This Row],[BVPS]]),IF(Main_L[[#This Row],[BVPS]]&lt;&gt;0,Main_L[[#This Row],[Current Price]]/Main_L[[#This Row],[BVPS]],""),"")</f>
        <v>3.0380753930668685</v>
      </c>
      <c r="J83">
        <v>19.54</v>
      </c>
      <c r="K83">
        <v>10.83</v>
      </c>
      <c r="L83">
        <v>1.46</v>
      </c>
      <c r="M83" s="1">
        <f>IF(ISNUMBER(Main_L[[#This Row],[EPS]]),IF(Main_L[[#This Row],[EPS]]&lt;&gt;0,Main_L[[#This Row],[Current Price]]/Main_L[[#This Row],[EPS]],""),"")</f>
        <v>16.784929356357928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3" s="1">
        <f>(Main_L[[#This Row],[P/FCF]]-VLOOKUP(Main_L[[#This Row],[Industry]], Mean_PFCF_L, 2, FALSE))/(VLOOKUP(Main_L[[#This Row],[Industry]], Mean_PFCF_L, 3, FALSE))</f>
        <v>-1.7378905277578118</v>
      </c>
      <c r="P83" s="1">
        <f>(Main_L[[#This Row],[P/B]]-VLOOKUP(Main_L[[#This Row],[Industry]], Mean_PB_L, 2, FALSE))/(VLOOKUP(Main_L[[#This Row],[Industry]], Mean_PB_L, 3, FALSE))</f>
        <v>-0.6176200962153009</v>
      </c>
      <c r="Q83" s="1">
        <f>(Main_L[[#This Row],[ROE]]-VLOOKUP(Main_L[[#This Row],[Industry]], Mean_ROE_L, 2, FALSE))/(VLOOKUP(Main_L[[#This Row],[Industry]], Mean_ROE_L, 3, FALSE))</f>
        <v>0.27752810266425165</v>
      </c>
      <c r="R83" s="1">
        <f>(Main_L[[#This Row],[ROA]]-VLOOKUP(Main_L[[#This Row],[Industry]], Mean_ROA_L, 2, FALSE))/(VLOOKUP(Main_L[[#This Row],[Industry]], Mean_ROA_L, 3, FALSE))</f>
        <v>1.2304952134011122</v>
      </c>
      <c r="S83" s="1">
        <f>(Main_L[[#This Row],[A/E]]-VLOOKUP(Main_L[[#This Row],[Industry]], Mean_AE_L, 2, FALSE))/(VLOOKUP(Main_L[[#This Row],[Industry]], Mean_AE_L, 3, FALSE))</f>
        <v>-0.99723000885986923</v>
      </c>
      <c r="T83" s="1">
        <f>(Main_L[[#This Row],[P/E]]-VLOOKUP(Main_L[[#This Row],[Industry]], Mean_PE_L, 2, FALSE))/(VLOOKUP(Main_L[[#This Row],[Industry]], Mean_PE_L, 3, FALSE))</f>
        <v>-1.0865647648936001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s="67" t="s">
        <v>156</v>
      </c>
      <c r="B84" s="67" t="s">
        <v>158</v>
      </c>
      <c r="C84" s="2">
        <v>163684</v>
      </c>
      <c r="D84">
        <f>RTD("tos.rtd", , "LAST", Main_L[[#This Row],[Symbol]])</f>
        <v>358.07</v>
      </c>
      <c r="E84">
        <v>16.34</v>
      </c>
      <c r="F84">
        <v>38.36</v>
      </c>
      <c r="G84">
        <v>20.51</v>
      </c>
      <c r="H84" s="1">
        <f>IF(ISNUMBER(Main_L[[#This Row],[Free CF]]),IF(Main_L[[#This Row],[Free CF]]&lt;&gt;0,Main_L[[#This Row],[Current Price]]/Main_L[[#This Row],[Free CF]],""),"")</f>
        <v>21.913708690330477</v>
      </c>
      <c r="I84" s="1">
        <f>IF(ISNUMBER(Main_L[[#This Row],[BVPS]]),IF(Main_L[[#This Row],[BVPS]]&lt;&gt;0,Main_L[[#This Row],[Current Price]]/Main_L[[#This Row],[BVPS]],""),"")</f>
        <v>9.3344629822732017</v>
      </c>
      <c r="J84">
        <v>55.65</v>
      </c>
      <c r="K84">
        <v>9.4</v>
      </c>
      <c r="L84">
        <v>4.7</v>
      </c>
      <c r="M84" s="1">
        <f>IF(ISNUMBER(Main_L[[#This Row],[EPS]]),IF(Main_L[[#This Row],[EPS]]&lt;&gt;0,Main_L[[#This Row],[Current Price]]/Main_L[[#This Row],[EPS]],""),"")</f>
        <v>17.458313018039981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-0.44468872078637062</v>
      </c>
      <c r="P84" s="1">
        <f>(Main_L[[#This Row],[P/B]]-VLOOKUP(Main_L[[#This Row],[Industry]], Mean_PB_L, 2, FALSE))/(VLOOKUP(Main_L[[#This Row],[Industry]], Mean_PB_L, 3, FALSE))</f>
        <v>2.6577538338346631</v>
      </c>
      <c r="Q84" s="1">
        <f>(Main_L[[#This Row],[ROE]]-VLOOKUP(Main_L[[#This Row],[Industry]], Mean_ROE_L, 2, FALSE))/(VLOOKUP(Main_L[[#This Row],[Industry]], Mean_ROE_L, 3, FALSE))</f>
        <v>4.9885083445132814</v>
      </c>
      <c r="R84" s="1">
        <f>(Main_L[[#This Row],[ROA]]-VLOOKUP(Main_L[[#This Row],[Industry]], Mean_ROA_L, 2, FALSE))/(VLOOKUP(Main_L[[#This Row],[Industry]], Mean_ROA_L, 3, FALSE))</f>
        <v>0.73927041726378362</v>
      </c>
      <c r="S84" s="1">
        <f>(Main_L[[#This Row],[A/E]]-VLOOKUP(Main_L[[#This Row],[Industry]], Mean_AE_L, 2, FALSE))/(VLOOKUP(Main_L[[#This Row],[Industry]], Mean_AE_L, 3, FALSE))</f>
        <v>3.1620768976077449</v>
      </c>
      <c r="T84" s="1">
        <f>(Main_L[[#This Row],[P/E]]-VLOOKUP(Main_L[[#This Row],[Industry]], Mean_PE_L, 2, FALSE))/(VLOOKUP(Main_L[[#This Row],[Industry]], Mean_PE_L, 3, FALSE))</f>
        <v>-0.99362142531224251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s="67" t="s">
        <v>156</v>
      </c>
      <c r="B85" s="67" t="s">
        <v>162</v>
      </c>
      <c r="C85" s="2">
        <v>137109</v>
      </c>
      <c r="D85">
        <f>RTD("tos.rtd", , "LAST", Main_L[[#This Row],[Symbol]])</f>
        <v>521.67999999999995</v>
      </c>
      <c r="E85">
        <v>15.9</v>
      </c>
      <c r="F85">
        <v>89.68</v>
      </c>
      <c r="G85">
        <v>20.67</v>
      </c>
      <c r="H85" s="1">
        <f>IF(ISNUMBER(Main_L[[#This Row],[Free CF]]),IF(Main_L[[#This Row],[Free CF]]&lt;&gt;0,Main_L[[#This Row],[Current Price]]/Main_L[[#This Row],[Free CF]],""),"")</f>
        <v>32.810062893081756</v>
      </c>
      <c r="I85" s="1">
        <f>IF(ISNUMBER(Main_L[[#This Row],[BVPS]]),IF(Main_L[[#This Row],[BVPS]]&lt;&gt;0,Main_L[[#This Row],[Current Price]]/Main_L[[#This Row],[BVPS]],""),"")</f>
        <v>5.8171275646743972</v>
      </c>
      <c r="J85">
        <v>23.91</v>
      </c>
      <c r="K85">
        <v>4.33</v>
      </c>
      <c r="L85">
        <v>4.38</v>
      </c>
      <c r="M85" s="1">
        <f>IF(ISNUMBER(Main_L[[#This Row],[EPS]]),IF(Main_L[[#This Row],[EPS]]&lt;&gt;0,Main_L[[#This Row],[Current Price]]/Main_L[[#This Row],[EPS]],""),"")</f>
        <v>25.238509917755195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1.7716250972378644</v>
      </c>
      <c r="P85" s="1">
        <f>(Main_L[[#This Row],[P/B]]-VLOOKUP(Main_L[[#This Row],[Industry]], Mean_PB_L, 2, FALSE))/(VLOOKUP(Main_L[[#This Row],[Industry]], Mean_PB_L, 3, FALSE))</f>
        <v>0.8280398006970191</v>
      </c>
      <c r="Q85" s="1">
        <f>(Main_L[[#This Row],[ROE]]-VLOOKUP(Main_L[[#This Row],[Industry]], Mean_ROE_L, 2, FALSE))/(VLOOKUP(Main_L[[#This Row],[Industry]], Mean_ROE_L, 3, FALSE))</f>
        <v>0.84764673065872043</v>
      </c>
      <c r="R85" s="1">
        <f>(Main_L[[#This Row],[ROA]]-VLOOKUP(Main_L[[#This Row],[Industry]], Mean_ROA_L, 2, FALSE))/(VLOOKUP(Main_L[[#This Row],[Industry]], Mean_ROA_L, 3, FALSE))</f>
        <v>-1.002344769041291</v>
      </c>
      <c r="S85" s="1">
        <f>(Main_L[[#This Row],[A/E]]-VLOOKUP(Main_L[[#This Row],[Industry]], Mean_AE_L, 2, FALSE))/(VLOOKUP(Main_L[[#This Row],[Industry]], Mean_AE_L, 3, FALSE))</f>
        <v>2.7512811537590913</v>
      </c>
      <c r="T85" s="1">
        <f>(Main_L[[#This Row],[P/E]]-VLOOKUP(Main_L[[#This Row],[Industry]], Mean_PE_L, 2, FALSE))/(VLOOKUP(Main_L[[#This Row],[Industry]], Mean_PE_L, 3, FALSE))</f>
        <v>8.023516433796278E-2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s="67" t="s">
        <v>156</v>
      </c>
      <c r="B86" s="67" t="s">
        <v>170</v>
      </c>
      <c r="C86" s="2">
        <v>71898</v>
      </c>
      <c r="D86">
        <f>RTD("tos.rtd", , "LAST", Main_L[[#This Row],[Symbol]])</f>
        <v>247.28</v>
      </c>
      <c r="E86">
        <v>9.6300000000000008</v>
      </c>
      <c r="F86">
        <v>11.06</v>
      </c>
      <c r="G86">
        <v>11.37</v>
      </c>
      <c r="H86" s="1">
        <f>IF(ISNUMBER(Main_L[[#This Row],[Free CF]]),IF(Main_L[[#This Row],[Free CF]]&lt;&gt;0,Main_L[[#This Row],[Current Price]]/Main_L[[#This Row],[Free CF]],""),"")</f>
        <v>25.678089304257526</v>
      </c>
      <c r="I86" s="1">
        <f>IF(ISNUMBER(Main_L[[#This Row],[BVPS]]),IF(Main_L[[#This Row],[BVPS]]&lt;&gt;0,Main_L[[#This Row],[Current Price]]/Main_L[[#This Row],[BVPS]],""),"")</f>
        <v>22.358047016274863</v>
      </c>
      <c r="J86">
        <v>107.58</v>
      </c>
      <c r="K86">
        <v>16.54</v>
      </c>
      <c r="L86">
        <v>4.7699999999999996</v>
      </c>
      <c r="M86" s="1">
        <f>IF(ISNUMBER(Main_L[[#This Row],[EPS]]),IF(Main_L[[#This Row],[EPS]]&lt;&gt;0,Main_L[[#This Row],[Current Price]]/Main_L[[#This Row],[EPS]],""),"")</f>
        <v>21.748460861917327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0.32098469765321075</v>
      </c>
      <c r="P86" s="1">
        <f>(Main_L[[#This Row],[P/B]]-VLOOKUP(Main_L[[#This Row],[Industry]], Mean_PB_L, 2, FALSE))/(VLOOKUP(Main_L[[#This Row],[Industry]], Mean_PB_L, 3, FALSE))</f>
        <v>9.4326079889234489</v>
      </c>
      <c r="Q86" s="1">
        <f>(Main_L[[#This Row],[ROE]]-VLOOKUP(Main_L[[#This Row],[Industry]], Mean_ROE_L, 2, FALSE))/(VLOOKUP(Main_L[[#This Row],[Industry]], Mean_ROE_L, 3, FALSE))</f>
        <v>11.763396296859451</v>
      </c>
      <c r="R86" s="1">
        <f>(Main_L[[#This Row],[ROA]]-VLOOKUP(Main_L[[#This Row],[Industry]], Mean_ROA_L, 2, FALSE))/(VLOOKUP(Main_L[[#This Row],[Industry]], Mean_ROA_L, 3, FALSE))</f>
        <v>3.1919592595159001</v>
      </c>
      <c r="S86" s="1">
        <f>(Main_L[[#This Row],[A/E]]-VLOOKUP(Main_L[[#This Row],[Industry]], Mean_AE_L, 2, FALSE))/(VLOOKUP(Main_L[[#This Row],[Industry]], Mean_AE_L, 3, FALSE))</f>
        <v>3.2519384665746367</v>
      </c>
      <c r="T86" s="1">
        <f>(Main_L[[#This Row],[P/E]]-VLOOKUP(Main_L[[#This Row],[Industry]], Mean_PE_L, 2, FALSE))/(VLOOKUP(Main_L[[#This Row],[Industry]], Mean_PE_L, 3, FALSE))</f>
        <v>-0.40147657446792234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s="67" t="s">
        <v>156</v>
      </c>
      <c r="B87" s="67" t="s">
        <v>171</v>
      </c>
      <c r="C87" s="2">
        <v>10807</v>
      </c>
      <c r="D87">
        <f>RTD("tos.rtd", , "LAST", Main_L[[#This Row],[Symbol]])</f>
        <v>202.99</v>
      </c>
      <c r="E87">
        <v>9.4600000000000009</v>
      </c>
      <c r="F87">
        <v>24.01</v>
      </c>
      <c r="G87">
        <v>8.11</v>
      </c>
      <c r="H87" s="1">
        <f>IF(ISNUMBER(Main_L[[#This Row],[Free CF]]),IF(Main_L[[#This Row],[Free CF]]&lt;&gt;0,Main_L[[#This Row],[Current Price]]/Main_L[[#This Row],[Free CF]],""),"")</f>
        <v>21.457716701902747</v>
      </c>
      <c r="I87" s="1">
        <f>IF(ISNUMBER(Main_L[[#This Row],[BVPS]]),IF(Main_L[[#This Row],[BVPS]]&lt;&gt;0,Main_L[[#This Row],[Current Price]]/Main_L[[#This Row],[BVPS]],""),"")</f>
        <v>8.4543940024989581</v>
      </c>
      <c r="J87">
        <v>34.83</v>
      </c>
      <c r="K87">
        <v>12.5</v>
      </c>
      <c r="L87">
        <v>2.7</v>
      </c>
      <c r="M87" s="1">
        <f>IF(ISNUMBER(Main_L[[#This Row],[EPS]]),IF(Main_L[[#This Row],[EPS]]&lt;&gt;0,Main_L[[#This Row],[Current Price]]/Main_L[[#This Row],[EPS]],""),"")</f>
        <v>25.029593094944516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-0.53743729760902448</v>
      </c>
      <c r="P87" s="1">
        <f>(Main_L[[#This Row],[P/B]]-VLOOKUP(Main_L[[#This Row],[Industry]], Mean_PB_L, 2, FALSE))/(VLOOKUP(Main_L[[#This Row],[Industry]], Mean_PB_L, 3, FALSE))</f>
        <v>2.1999429141352969</v>
      </c>
      <c r="Q87" s="1">
        <f>(Main_L[[#This Row],[ROE]]-VLOOKUP(Main_L[[#This Row],[Industry]], Mean_ROE_L, 2, FALSE))/(VLOOKUP(Main_L[[#This Row],[Industry]], Mean_ROE_L, 3, FALSE))</f>
        <v>2.2722909910018778</v>
      </c>
      <c r="R87" s="1">
        <f>(Main_L[[#This Row],[ROA]]-VLOOKUP(Main_L[[#This Row],[Industry]], Mean_ROA_L, 2, FALSE))/(VLOOKUP(Main_L[[#This Row],[Industry]], Mean_ROA_L, 3, FALSE))</f>
        <v>1.8041633319670836</v>
      </c>
      <c r="S87" s="1">
        <f>(Main_L[[#This Row],[A/E]]-VLOOKUP(Main_L[[#This Row],[Industry]], Mean_AE_L, 2, FALSE))/(VLOOKUP(Main_L[[#This Row],[Industry]], Mean_AE_L, 3, FALSE))</f>
        <v>0.59460349855366224</v>
      </c>
      <c r="T87" s="1">
        <f>(Main_L[[#This Row],[P/E]]-VLOOKUP(Main_L[[#This Row],[Industry]], Mean_PE_L, 2, FALSE))/(VLOOKUP(Main_L[[#This Row],[Industry]], Mean_PE_L, 3, FALSE))</f>
        <v>5.1399556479215208E-2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s="67" t="s">
        <v>156</v>
      </c>
      <c r="B88" s="67" t="s">
        <v>161</v>
      </c>
      <c r="C88" s="2">
        <v>34622</v>
      </c>
      <c r="D88">
        <f>RTD("tos.rtd", , "LAST", Main_L[[#This Row],[Symbol]])</f>
        <v>205.37</v>
      </c>
      <c r="E88">
        <v>8.52</v>
      </c>
      <c r="F88">
        <v>60.6</v>
      </c>
      <c r="G88">
        <v>6.39</v>
      </c>
      <c r="H88" s="1">
        <f>IF(ISNUMBER(Main_L[[#This Row],[Free CF]]),IF(Main_L[[#This Row],[Free CF]]&lt;&gt;0,Main_L[[#This Row],[Current Price]]/Main_L[[#This Row],[Free CF]],""),"")</f>
        <v>24.104460093896716</v>
      </c>
      <c r="I88" s="1">
        <f>IF(ISNUMBER(Main_L[[#This Row],[BVPS]]),IF(Main_L[[#This Row],[BVPS]]&lt;&gt;0,Main_L[[#This Row],[Current Price]]/Main_L[[#This Row],[BVPS]],""),"")</f>
        <v>3.3889438943894388</v>
      </c>
      <c r="J88">
        <v>10.68</v>
      </c>
      <c r="K88">
        <v>5.73</v>
      </c>
      <c r="L88">
        <v>1.84</v>
      </c>
      <c r="M88" s="1">
        <f>IF(ISNUMBER(Main_L[[#This Row],[EPS]]),IF(Main_L[[#This Row],[EPS]]&lt;&gt;0,Main_L[[#This Row],[Current Price]]/Main_L[[#This Row],[EPS]],""),"")</f>
        <v>32.139280125195619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9.0918446104490229E-4</v>
      </c>
      <c r="P88" s="1">
        <f>(Main_L[[#This Row],[P/B]]-VLOOKUP(Main_L[[#This Row],[Industry]], Mean_PB_L, 2, FALSE))/(VLOOKUP(Main_L[[#This Row],[Industry]], Mean_PB_L, 3, FALSE))</f>
        <v>-0.4350986859899007</v>
      </c>
      <c r="Q88" s="1">
        <f>(Main_L[[#This Row],[ROE]]-VLOOKUP(Main_L[[#This Row],[Industry]], Mean_ROE_L, 2, FALSE))/(VLOOKUP(Main_L[[#This Row],[Industry]], Mean_ROE_L, 3, FALSE))</f>
        <v>-0.87836458475702806</v>
      </c>
      <c r="R88" s="1">
        <f>(Main_L[[#This Row],[ROA]]-VLOOKUP(Main_L[[#This Row],[Industry]], Mean_ROA_L, 2, FALSE))/(VLOOKUP(Main_L[[#This Row],[Industry]], Mean_ROA_L, 3, FALSE))</f>
        <v>-0.52142538820754258</v>
      </c>
      <c r="S88" s="1">
        <f>(Main_L[[#This Row],[A/E]]-VLOOKUP(Main_L[[#This Row],[Industry]], Mean_AE_L, 2, FALSE))/(VLOOKUP(Main_L[[#This Row],[Industry]], Mean_AE_L, 3, FALSE))</f>
        <v>-0.50941006303959346</v>
      </c>
      <c r="T88" s="1">
        <f>(Main_L[[#This Row],[P/E]]-VLOOKUP(Main_L[[#This Row],[Industry]], Mean_PE_L, 2, FALSE))/(VLOOKUP(Main_L[[#This Row],[Industry]], Mean_PE_L, 3, FALSE))</f>
        <v>1.0327094598397852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s="67" t="s">
        <v>156</v>
      </c>
      <c r="B89" s="67" t="s">
        <v>172</v>
      </c>
      <c r="C89" s="2">
        <v>11979</v>
      </c>
      <c r="D89">
        <f>RTD("tos.rtd", , "LAST", Main_L[[#This Row],[Symbol]])</f>
        <v>219.28</v>
      </c>
      <c r="E89">
        <v>8.0500000000000007</v>
      </c>
      <c r="F89">
        <v>52.39</v>
      </c>
      <c r="G89">
        <v>7.78</v>
      </c>
      <c r="H89" s="1">
        <f>IF(ISNUMBER(Main_L[[#This Row],[Free CF]]),IF(Main_L[[#This Row],[Free CF]]&lt;&gt;0,Main_L[[#This Row],[Current Price]]/Main_L[[#This Row],[Free CF]],""),"")</f>
        <v>27.239751552795028</v>
      </c>
      <c r="I89" s="1">
        <f>IF(ISNUMBER(Main_L[[#This Row],[BVPS]]),IF(Main_L[[#This Row],[BVPS]]&lt;&gt;0,Main_L[[#This Row],[Current Price]]/Main_L[[#This Row],[BVPS]],""),"")</f>
        <v>4.1855315899980914</v>
      </c>
      <c r="J89">
        <v>15.54</v>
      </c>
      <c r="K89">
        <v>7.37</v>
      </c>
      <c r="L89">
        <v>2.0499999999999998</v>
      </c>
      <c r="M89" s="1">
        <f>IF(ISNUMBER(Main_L[[#This Row],[EPS]]),IF(Main_L[[#This Row],[EPS]]&lt;&gt;0,Main_L[[#This Row],[Current Price]]/Main_L[[#This Row],[EPS]],""),"")</f>
        <v>28.18508997429306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0.63862613589193307</v>
      </c>
      <c r="P89" s="1">
        <f>(Main_L[[#This Row],[P/B]]-VLOOKUP(Main_L[[#This Row],[Industry]], Mean_PB_L, 2, FALSE))/(VLOOKUP(Main_L[[#This Row],[Industry]], Mean_PB_L, 3, FALSE))</f>
        <v>-2.071463891060708E-2</v>
      </c>
      <c r="Q89" s="1">
        <f>(Main_L[[#This Row],[ROE]]-VLOOKUP(Main_L[[#This Row],[Industry]], Mean_ROE_L, 2, FALSE))/(VLOOKUP(Main_L[[#This Row],[Industry]], Mean_ROE_L, 3, FALSE))</f>
        <v>-0.24431961174716132</v>
      </c>
      <c r="R89" s="1">
        <f>(Main_L[[#This Row],[ROA]]-VLOOKUP(Main_L[[#This Row],[Industry]], Mean_ROA_L, 2, FALSE))/(VLOOKUP(Main_L[[#This Row],[Industry]], Mean_ROA_L, 3, FALSE))</f>
        <v>4.1937315054848309E-2</v>
      </c>
      <c r="S89" s="1">
        <f>(Main_L[[#This Row],[A/E]]-VLOOKUP(Main_L[[#This Row],[Industry]], Mean_AE_L, 2, FALSE))/(VLOOKUP(Main_L[[#This Row],[Industry]], Mean_AE_L, 3, FALSE))</f>
        <v>-0.23982535613891509</v>
      </c>
      <c r="T89" s="1">
        <f>(Main_L[[#This Row],[P/E]]-VLOOKUP(Main_L[[#This Row],[Industry]], Mean_PE_L, 2, FALSE))/(VLOOKUP(Main_L[[#This Row],[Industry]], Mean_PE_L, 3, FALSE))</f>
        <v>0.48693494988720548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s="67" t="s">
        <v>156</v>
      </c>
      <c r="B90" s="67" t="s">
        <v>176</v>
      </c>
      <c r="C90" s="2">
        <v>11516</v>
      </c>
      <c r="D90">
        <f>RTD("tos.rtd", , "LAST", Main_L[[#This Row],[Symbol]])</f>
        <v>381.22</v>
      </c>
      <c r="E90">
        <v>7.52</v>
      </c>
      <c r="F90">
        <v>96.72</v>
      </c>
      <c r="G90">
        <v>7.7</v>
      </c>
      <c r="H90" s="1">
        <f>IF(ISNUMBER(Main_L[[#This Row],[Free CF]]),IF(Main_L[[#This Row],[Free CF]]&lt;&gt;0,Main_L[[#This Row],[Current Price]]/Main_L[[#This Row],[Free CF]],""),"")</f>
        <v>50.694148936170222</v>
      </c>
      <c r="I90" s="1">
        <f>IF(ISNUMBER(Main_L[[#This Row],[BVPS]]),IF(Main_L[[#This Row],[BVPS]]&lt;&gt;0,Main_L[[#This Row],[Current Price]]/Main_L[[#This Row],[BVPS]],""),"")</f>
        <v>3.9414805624483047</v>
      </c>
      <c r="J90">
        <v>8.51</v>
      </c>
      <c r="K90">
        <v>4.96</v>
      </c>
      <c r="L90">
        <v>1.55</v>
      </c>
      <c r="M90" s="1">
        <f>IF(ISNUMBER(Main_L[[#This Row],[EPS]]),IF(Main_L[[#This Row],[EPS]]&lt;&gt;0,Main_L[[#This Row],[Current Price]]/Main_L[[#This Row],[EPS]],""),"")</f>
        <v>49.509090909090915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5.4092406044524921</v>
      </c>
      <c r="P90" s="1">
        <f>(Main_L[[#This Row],[P/B]]-VLOOKUP(Main_L[[#This Row],[Industry]], Mean_PB_L, 2, FALSE))/(VLOOKUP(Main_L[[#This Row],[Industry]], Mean_PB_L, 3, FALSE))</f>
        <v>-0.14766971623284622</v>
      </c>
      <c r="Q90" s="1">
        <f>(Main_L[[#This Row],[ROE]]-VLOOKUP(Main_L[[#This Row],[Industry]], Mean_ROE_L, 2, FALSE))/(VLOOKUP(Main_L[[#This Row],[Industry]], Mean_ROE_L, 3, FALSE))</f>
        <v>-1.1614669698252196</v>
      </c>
      <c r="R90" s="1">
        <f>(Main_L[[#This Row],[ROA]]-VLOOKUP(Main_L[[#This Row],[Industry]], Mean_ROA_L, 2, FALSE))/(VLOOKUP(Main_L[[#This Row],[Industry]], Mean_ROA_L, 3, FALSE))</f>
        <v>-0.78593104766610433</v>
      </c>
      <c r="S90" s="1">
        <f>(Main_L[[#This Row],[A/E]]-VLOOKUP(Main_L[[#This Row],[Industry]], Mean_AE_L, 2, FALSE))/(VLOOKUP(Main_L[[#This Row],[Industry]], Mean_AE_L, 3, FALSE))</f>
        <v>-0.88169370590243545</v>
      </c>
      <c r="T90" s="1">
        <f>(Main_L[[#This Row],[P/E]]-VLOOKUP(Main_L[[#This Row],[Industry]], Mean_PE_L, 2, FALSE))/(VLOOKUP(Main_L[[#This Row],[Industry]], Mean_PE_L, 3, FALSE))</f>
        <v>3.4301662352519759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1" spans="1:26" x14ac:dyDescent="0.25">
      <c r="A91" s="67" t="s">
        <v>156</v>
      </c>
      <c r="B91" s="67" t="s">
        <v>167</v>
      </c>
      <c r="C91" s="2">
        <v>13667</v>
      </c>
      <c r="D91">
        <f>RTD("tos.rtd", , "LAST", Main_L[[#This Row],[Symbol]])</f>
        <v>183.23</v>
      </c>
      <c r="E91">
        <v>7.37</v>
      </c>
      <c r="F91">
        <v>51.61</v>
      </c>
      <c r="G91">
        <v>6.3</v>
      </c>
      <c r="H91" s="1">
        <f>IF(ISNUMBER(Main_L[[#This Row],[Free CF]]),IF(Main_L[[#This Row],[Free CF]]&lt;&gt;0,Main_L[[#This Row],[Current Price]]/Main_L[[#This Row],[Free CF]],""),"")</f>
        <v>24.861601085481681</v>
      </c>
      <c r="I91" s="1">
        <f>IF(ISNUMBER(Main_L[[#This Row],[BVPS]]),IF(Main_L[[#This Row],[BVPS]]&lt;&gt;0,Main_L[[#This Row],[Current Price]]/Main_L[[#This Row],[BVPS]],""),"")</f>
        <v>3.550280953303623</v>
      </c>
      <c r="J91">
        <v>12.72</v>
      </c>
      <c r="K91">
        <v>6.9</v>
      </c>
      <c r="L91">
        <v>1.74</v>
      </c>
      <c r="M91" s="1">
        <f>IF(ISNUMBER(Main_L[[#This Row],[EPS]]),IF(Main_L[[#This Row],[EPS]]&lt;&gt;0,Main_L[[#This Row],[Current Price]]/Main_L[[#This Row],[EPS]],""),"")</f>
        <v>29.084126984126982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0.15491134065183998</v>
      </c>
      <c r="P91" s="1">
        <f>(Main_L[[#This Row],[P/B]]-VLOOKUP(Main_L[[#This Row],[Industry]], Mean_PB_L, 2, FALSE))/(VLOOKUP(Main_L[[#This Row],[Industry]], Mean_PB_L, 3, FALSE))</f>
        <v>-0.35117132458916062</v>
      </c>
      <c r="Q91" s="1">
        <f>(Main_L[[#This Row],[ROE]]-VLOOKUP(Main_L[[#This Row],[Industry]], Mean_ROE_L, 2, FALSE))/(VLOOKUP(Main_L[[#This Row],[Industry]], Mean_ROE_L, 3, FALSE))</f>
        <v>-0.61222225040720735</v>
      </c>
      <c r="R91" s="1">
        <f>(Main_L[[#This Row],[ROA]]-VLOOKUP(Main_L[[#This Row],[Industry]], Mean_ROA_L, 2, FALSE))/(VLOOKUP(Main_L[[#This Row],[Industry]], Mean_ROA_L, 3, FALSE))</f>
        <v>-0.11951419136791</v>
      </c>
      <c r="S91" s="1">
        <f>(Main_L[[#This Row],[A/E]]-VLOOKUP(Main_L[[#This Row],[Industry]], Mean_AE_L, 2, FALSE))/(VLOOKUP(Main_L[[#This Row],[Industry]], Mean_AE_L, 3, FALSE))</f>
        <v>-0.63778373299229774</v>
      </c>
      <c r="T91" s="1">
        <f>(Main_L[[#This Row],[P/E]]-VLOOKUP(Main_L[[#This Row],[Industry]], Mean_PE_L, 2, FALSE))/(VLOOKUP(Main_L[[#This Row],[Industry]], Mean_PE_L, 3, FALSE))</f>
        <v>0.61102394529359583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s="67" t="s">
        <v>156</v>
      </c>
      <c r="B92" s="67" t="s">
        <v>169</v>
      </c>
      <c r="C92" s="2">
        <v>11847</v>
      </c>
      <c r="D92">
        <f>RTD("tos.rtd", , "LAST", Main_L[[#This Row],[Symbol]])</f>
        <v>151.96</v>
      </c>
      <c r="E92">
        <v>5.94</v>
      </c>
      <c r="F92">
        <v>34.31</v>
      </c>
      <c r="G92">
        <v>6.28</v>
      </c>
      <c r="H92" s="1">
        <f>IF(ISNUMBER(Main_L[[#This Row],[Free CF]]),IF(Main_L[[#This Row],[Free CF]]&lt;&gt;0,Main_L[[#This Row],[Current Price]]/Main_L[[#This Row],[Free CF]],""),"")</f>
        <v>25.582491582491581</v>
      </c>
      <c r="I92" s="1">
        <f>IF(ISNUMBER(Main_L[[#This Row],[BVPS]]),IF(Main_L[[#This Row],[BVPS]]&lt;&gt;0,Main_L[[#This Row],[Current Price]]/Main_L[[#This Row],[BVPS]],""),"")</f>
        <v>4.429029437481784</v>
      </c>
      <c r="J92">
        <v>19.3</v>
      </c>
      <c r="K92">
        <v>8.58</v>
      </c>
      <c r="L92">
        <v>1.74</v>
      </c>
      <c r="M92" s="1">
        <f>IF(ISNUMBER(Main_L[[#This Row],[EPS]]),IF(Main_L[[#This Row],[EPS]]&lt;&gt;0,Main_L[[#This Row],[Current Price]]/Main_L[[#This Row],[EPS]],""),"")</f>
        <v>24.197452229299362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0.30154016163877012</v>
      </c>
      <c r="P92" s="1">
        <f>(Main_L[[#This Row],[P/B]]-VLOOKUP(Main_L[[#This Row],[Industry]], Mean_PB_L, 2, FALSE))/(VLOOKUP(Main_L[[#This Row],[Industry]], Mean_PB_L, 3, FALSE))</f>
        <v>0.10595267474692155</v>
      </c>
      <c r="Q92" s="1">
        <f>(Main_L[[#This Row],[ROE]]-VLOOKUP(Main_L[[#This Row],[Industry]], Mean_ROE_L, 2, FALSE))/(VLOOKUP(Main_L[[#This Row],[Industry]], Mean_ROE_L, 3, FALSE))</f>
        <v>0.24621723979956706</v>
      </c>
      <c r="R92" s="1">
        <f>(Main_L[[#This Row],[ROA]]-VLOOKUP(Main_L[[#This Row],[Industry]], Mean_ROA_L, 2, FALSE))/(VLOOKUP(Main_L[[#This Row],[Industry]], Mean_ROA_L, 3, FALSE))</f>
        <v>0.457589065632588</v>
      </c>
      <c r="S92" s="1">
        <f>(Main_L[[#This Row],[A/E]]-VLOOKUP(Main_L[[#This Row],[Industry]], Mean_AE_L, 2, FALSE))/(VLOOKUP(Main_L[[#This Row],[Industry]], Mean_AE_L, 3, FALSE))</f>
        <v>-0.63778373299229774</v>
      </c>
      <c r="T92" s="1">
        <f>(Main_L[[#This Row],[P/E]]-VLOOKUP(Main_L[[#This Row],[Industry]], Mean_PE_L, 2, FALSE))/(VLOOKUP(Main_L[[#This Row],[Industry]], Mean_PE_L, 3, FALSE))</f>
        <v>-6.3456142368584462E-2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3" spans="1:26" x14ac:dyDescent="0.25">
      <c r="A93" s="67" t="s">
        <v>156</v>
      </c>
      <c r="B93" s="67" t="s">
        <v>178</v>
      </c>
      <c r="C93" s="2">
        <v>10123</v>
      </c>
      <c r="D93">
        <f>RTD("tos.rtd", , "LAST", Main_L[[#This Row],[Symbol]])</f>
        <v>67.209999999999994</v>
      </c>
      <c r="E93">
        <v>5.07</v>
      </c>
      <c r="F93">
        <v>57.16</v>
      </c>
      <c r="G93">
        <v>2.36</v>
      </c>
      <c r="H93" s="1">
        <f>IF(ISNUMBER(Main_L[[#This Row],[Free CF]]),IF(Main_L[[#This Row],[Free CF]]&lt;&gt;0,Main_L[[#This Row],[Current Price]]/Main_L[[#This Row],[Free CF]],""),"")</f>
        <v>13.256410256410254</v>
      </c>
      <c r="I93" s="1">
        <f>IF(ISNUMBER(Main_L[[#This Row],[BVPS]]),IF(Main_L[[#This Row],[BVPS]]&lt;&gt;0,Main_L[[#This Row],[Current Price]]/Main_L[[#This Row],[BVPS]],""),"")</f>
        <v>1.1758222533240028</v>
      </c>
      <c r="J93">
        <v>4.03</v>
      </c>
      <c r="K93">
        <v>2.8</v>
      </c>
      <c r="L93">
        <v>2.54</v>
      </c>
      <c r="M93" s="1">
        <f>IF(ISNUMBER(Main_L[[#This Row],[EPS]]),IF(Main_L[[#This Row],[EPS]]&lt;&gt;0,Main_L[[#This Row],[Current Price]]/Main_L[[#This Row],[EPS]],""),"")</f>
        <v>28.478813559322031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-2.2055795461793499</v>
      </c>
      <c r="P93" s="1">
        <f>(Main_L[[#This Row],[P/B]]-VLOOKUP(Main_L[[#This Row],[Industry]], Mean_PB_L, 2, FALSE))/(VLOOKUP(Main_L[[#This Row],[Industry]], Mean_PB_L, 3, FALSE))</f>
        <v>-1.5863621405462049</v>
      </c>
      <c r="Q93" s="1">
        <f>(Main_L[[#This Row],[ROE]]-VLOOKUP(Main_L[[#This Row],[Industry]], Mean_ROE_L, 2, FALSE))/(VLOOKUP(Main_L[[#This Row],[Industry]], Mean_ROE_L, 3, FALSE))</f>
        <v>-1.745936409966002</v>
      </c>
      <c r="R93" s="1">
        <f>(Main_L[[#This Row],[ROA]]-VLOOKUP(Main_L[[#This Row],[Industry]], Mean_ROA_L, 2, FALSE))/(VLOOKUP(Main_L[[#This Row],[Industry]], Mean_ROA_L, 3, FALSE))</f>
        <v>-1.5279209495238877</v>
      </c>
      <c r="S93" s="1">
        <f>(Main_L[[#This Row],[A/E]]-VLOOKUP(Main_L[[#This Row],[Industry]], Mean_AE_L, 2, FALSE))/(VLOOKUP(Main_L[[#This Row],[Industry]], Mean_AE_L, 3, FALSE))</f>
        <v>0.38920562662933539</v>
      </c>
      <c r="T93" s="1">
        <f>(Main_L[[#This Row],[P/E]]-VLOOKUP(Main_L[[#This Row],[Industry]], Mean_PE_L, 2, FALSE))/(VLOOKUP(Main_L[[#This Row],[Industry]], Mean_PE_L, 3, FALSE))</f>
        <v>0.52747595564640271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s="67" t="s">
        <v>156</v>
      </c>
      <c r="B94" s="67" t="s">
        <v>175</v>
      </c>
      <c r="C94" s="2">
        <v>16318</v>
      </c>
      <c r="D94">
        <f>RTD("tos.rtd", , "LAST", Main_L[[#This Row],[Symbol]])</f>
        <v>99.67</v>
      </c>
      <c r="E94">
        <v>4.62</v>
      </c>
      <c r="F94">
        <v>22.09</v>
      </c>
      <c r="G94">
        <v>3.87</v>
      </c>
      <c r="H94" s="1">
        <f>IF(ISNUMBER(Main_L[[#This Row],[Free CF]]),IF(Main_L[[#This Row],[Free CF]]&lt;&gt;0,Main_L[[#This Row],[Current Price]]/Main_L[[#This Row],[Free CF]],""),"")</f>
        <v>21.573593073593074</v>
      </c>
      <c r="I94" s="1">
        <f>IF(ISNUMBER(Main_L[[#This Row],[BVPS]]),IF(Main_L[[#This Row],[BVPS]]&lt;&gt;0,Main_L[[#This Row],[Current Price]]/Main_L[[#This Row],[BVPS]],""),"")</f>
        <v>4.511996378451788</v>
      </c>
      <c r="J94">
        <v>18.59</v>
      </c>
      <c r="K94">
        <v>8.5500000000000007</v>
      </c>
      <c r="L94">
        <v>1.86</v>
      </c>
      <c r="M94" s="1">
        <f>IF(ISNUMBER(Main_L[[#This Row],[EPS]]),IF(Main_L[[#This Row],[EPS]]&lt;&gt;0,Main_L[[#This Row],[Current Price]]/Main_L[[#This Row],[EPS]],""),"")</f>
        <v>25.754521963824288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-0.51386809281069501</v>
      </c>
      <c r="P94" s="1">
        <f>(Main_L[[#This Row],[P/B]]-VLOOKUP(Main_L[[#This Row],[Industry]], Mean_PB_L, 2, FALSE))/(VLOOKUP(Main_L[[#This Row],[Industry]], Mean_PB_L, 3, FALSE))</f>
        <v>0.14911198659979932</v>
      </c>
      <c r="Q94" s="1">
        <f>(Main_L[[#This Row],[ROE]]-VLOOKUP(Main_L[[#This Row],[Industry]], Mean_ROE_L, 2, FALSE))/(VLOOKUP(Main_L[[#This Row],[Industry]], Mean_ROE_L, 3, FALSE))</f>
        <v>0.15358927049154114</v>
      </c>
      <c r="R94" s="1">
        <f>(Main_L[[#This Row],[ROA]]-VLOOKUP(Main_L[[#This Row],[Industry]], Mean_ROA_L, 2, FALSE))/(VLOOKUP(Main_L[[#This Row],[Industry]], Mean_ROA_L, 3, FALSE))</f>
        <v>0.44728365032900791</v>
      </c>
      <c r="S94" s="1">
        <f>(Main_L[[#This Row],[A/E]]-VLOOKUP(Main_L[[#This Row],[Industry]], Mean_AE_L, 2, FALSE))/(VLOOKUP(Main_L[[#This Row],[Industry]], Mean_AE_L, 3, FALSE))</f>
        <v>-0.48373532904905259</v>
      </c>
      <c r="T94" s="1">
        <f>(Main_L[[#This Row],[P/E]]-VLOOKUP(Main_L[[#This Row],[Industry]], Mean_PE_L, 2, FALSE))/(VLOOKUP(Main_L[[#This Row],[Industry]], Mean_PE_L, 3, FALSE))</f>
        <v>0.15145738957887722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5" spans="1:26" x14ac:dyDescent="0.25">
      <c r="A95" s="67" t="s">
        <v>156</v>
      </c>
      <c r="B95" s="67" t="s">
        <v>160</v>
      </c>
      <c r="C95" s="2">
        <v>49267</v>
      </c>
      <c r="D95">
        <f>RTD("tos.rtd", , "LAST", Main_L[[#This Row],[Symbol]])</f>
        <v>94.43</v>
      </c>
      <c r="E95">
        <v>4.5</v>
      </c>
      <c r="F95">
        <v>34.33</v>
      </c>
      <c r="G95">
        <v>6.59</v>
      </c>
      <c r="H95" s="1">
        <f>IF(ISNUMBER(Main_L[[#This Row],[Free CF]]),IF(Main_L[[#This Row],[Free CF]]&lt;&gt;0,Main_L[[#This Row],[Current Price]]/Main_L[[#This Row],[Free CF]],""),"")</f>
        <v>20.984444444444446</v>
      </c>
      <c r="I95" s="1">
        <f>IF(ISNUMBER(Main_L[[#This Row],[BVPS]]),IF(Main_L[[#This Row],[BVPS]]&lt;&gt;0,Main_L[[#This Row],[Current Price]]/Main_L[[#This Row],[BVPS]],""),"")</f>
        <v>2.7506554034372273</v>
      </c>
      <c r="J95">
        <v>19.899999999999999</v>
      </c>
      <c r="K95">
        <v>6.7</v>
      </c>
      <c r="L95">
        <v>2.37</v>
      </c>
      <c r="M95" s="1">
        <f>IF(ISNUMBER(Main_L[[#This Row],[EPS]]),IF(Main_L[[#This Row],[EPS]]&lt;&gt;0,Main_L[[#This Row],[Current Price]]/Main_L[[#This Row],[EPS]],""),"")</f>
        <v>14.32928679817906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5" s="1">
        <f>(Main_L[[#This Row],[P/FCF]]-VLOOKUP(Main_L[[#This Row],[Industry]], Mean_PFCF_L, 2, FALSE))/(VLOOKUP(Main_L[[#This Row],[Industry]], Mean_PFCF_L, 3, FALSE))</f>
        <v>-0.63370067381494022</v>
      </c>
      <c r="P95" s="1">
        <f>(Main_L[[#This Row],[P/B]]-VLOOKUP(Main_L[[#This Row],[Industry]], Mean_PB_L, 2, FALSE))/(VLOOKUP(Main_L[[#This Row],[Industry]], Mean_PB_L, 3, FALSE))</f>
        <v>-0.76713566012721435</v>
      </c>
      <c r="Q95" s="1">
        <f>(Main_L[[#This Row],[ROE]]-VLOOKUP(Main_L[[#This Row],[Industry]], Mean_ROE_L, 2, FALSE))/(VLOOKUP(Main_L[[#This Row],[Industry]], Mean_ROE_L, 3, FALSE))</f>
        <v>0.32449439696127874</v>
      </c>
      <c r="R95" s="1">
        <f>(Main_L[[#This Row],[ROA]]-VLOOKUP(Main_L[[#This Row],[Industry]], Mean_ROA_L, 2, FALSE))/(VLOOKUP(Main_L[[#This Row],[Industry]], Mean_ROA_L, 3, FALSE))</f>
        <v>-0.18821696005844554</v>
      </c>
      <c r="S95" s="1">
        <f>(Main_L[[#This Row],[A/E]]-VLOOKUP(Main_L[[#This Row],[Industry]], Mean_AE_L, 2, FALSE))/(VLOOKUP(Main_L[[#This Row],[Industry]], Mean_AE_L, 3, FALSE))</f>
        <v>0.17097038770973849</v>
      </c>
      <c r="T95" s="1">
        <f>(Main_L[[#This Row],[P/E]]-VLOOKUP(Main_L[[#This Row],[Industry]], Mean_PE_L, 2, FALSE))/(VLOOKUP(Main_L[[#This Row],[Industry]], Mean_PE_L, 3, FALSE))</f>
        <v>-1.4255032232534894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6" spans="1:26" x14ac:dyDescent="0.25">
      <c r="A96" s="67" t="s">
        <v>156</v>
      </c>
      <c r="B96" s="67" t="s">
        <v>164</v>
      </c>
      <c r="C96" s="2">
        <v>24370</v>
      </c>
      <c r="D96">
        <f>RTD("tos.rtd", , "LAST", Main_L[[#This Row],[Symbol]])</f>
        <v>180.73</v>
      </c>
      <c r="E96">
        <v>4.0999999999999996</v>
      </c>
      <c r="F96">
        <v>52.06</v>
      </c>
      <c r="G96">
        <v>7.5</v>
      </c>
      <c r="H96" s="1">
        <f>IF(ISNUMBER(Main_L[[#This Row],[Free CF]]),IF(Main_L[[#This Row],[Free CF]]&lt;&gt;0,Main_L[[#This Row],[Current Price]]/Main_L[[#This Row],[Free CF]],""),"")</f>
        <v>44.080487804878047</v>
      </c>
      <c r="I96" s="1">
        <f>IF(ISNUMBER(Main_L[[#This Row],[BVPS]]),IF(Main_L[[#This Row],[BVPS]]&lt;&gt;0,Main_L[[#This Row],[Current Price]]/Main_L[[#This Row],[BVPS]],""),"")</f>
        <v>3.4715712639262386</v>
      </c>
      <c r="J96">
        <v>16.88</v>
      </c>
      <c r="K96">
        <v>6.71</v>
      </c>
      <c r="L96">
        <v>1.77</v>
      </c>
      <c r="M96" s="1">
        <f>IF(ISNUMBER(Main_L[[#This Row],[EPS]]),IF(Main_L[[#This Row],[EPS]]&lt;&gt;0,Main_L[[#This Row],[Current Price]]/Main_L[[#This Row],[EPS]],""),"")</f>
        <v>24.097333333333331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4.0640247386437629</v>
      </c>
      <c r="P96" s="1">
        <f>(Main_L[[#This Row],[P/B]]-VLOOKUP(Main_L[[#This Row],[Industry]], Mean_PB_L, 2, FALSE))/(VLOOKUP(Main_L[[#This Row],[Industry]], Mean_PB_L, 3, FALSE))</f>
        <v>-0.3921160188247822</v>
      </c>
      <c r="Q96" s="1">
        <f>(Main_L[[#This Row],[ROE]]-VLOOKUP(Main_L[[#This Row],[Industry]], Mean_ROE_L, 2, FALSE))/(VLOOKUP(Main_L[[#This Row],[Industry]], Mean_ROE_L, 3, FALSE))</f>
        <v>-6.9500627419338004E-2</v>
      </c>
      <c r="R96" s="1">
        <f>(Main_L[[#This Row],[ROA]]-VLOOKUP(Main_L[[#This Row],[Industry]], Mean_ROA_L, 2, FALSE))/(VLOOKUP(Main_L[[#This Row],[Industry]], Mean_ROA_L, 3, FALSE))</f>
        <v>-0.18478182162391885</v>
      </c>
      <c r="S96" s="1">
        <f>(Main_L[[#This Row],[A/E]]-VLOOKUP(Main_L[[#This Row],[Industry]], Mean_AE_L, 2, FALSE))/(VLOOKUP(Main_L[[#This Row],[Industry]], Mean_AE_L, 3, FALSE))</f>
        <v>-0.59927163200648637</v>
      </c>
      <c r="T96" s="1">
        <f>(Main_L[[#This Row],[P/E]]-VLOOKUP(Main_L[[#This Row],[Industry]], Mean_PE_L, 2, FALSE))/(VLOOKUP(Main_L[[#This Row],[Industry]], Mean_PE_L, 3, FALSE))</f>
        <v>-7.7274987517035723E-2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s="67" t="s">
        <v>156</v>
      </c>
      <c r="B97" s="67" t="s">
        <v>165</v>
      </c>
      <c r="C97" s="2">
        <v>23856</v>
      </c>
      <c r="D97">
        <f>RTD("tos.rtd", , "LAST", Main_L[[#This Row],[Symbol]])</f>
        <v>73.209999999999994</v>
      </c>
      <c r="E97">
        <v>4.01</v>
      </c>
      <c r="F97">
        <v>30.12</v>
      </c>
      <c r="G97">
        <v>2.2799999999999998</v>
      </c>
      <c r="H97" s="1">
        <f>IF(ISNUMBER(Main_L[[#This Row],[Free CF]]),IF(Main_L[[#This Row],[Free CF]]&lt;&gt;0,Main_L[[#This Row],[Current Price]]/Main_L[[#This Row],[Free CF]],""),"")</f>
        <v>18.256857855361595</v>
      </c>
      <c r="I97" s="1">
        <f>IF(ISNUMBER(Main_L[[#This Row],[BVPS]]),IF(Main_L[[#This Row],[BVPS]]&lt;&gt;0,Main_L[[#This Row],[Current Price]]/Main_L[[#This Row],[BVPS]],""),"")</f>
        <v>2.4306108897742362</v>
      </c>
      <c r="J97">
        <v>7.69</v>
      </c>
      <c r="K97">
        <v>4.0999999999999996</v>
      </c>
      <c r="L97">
        <v>1.67</v>
      </c>
      <c r="M97" s="1">
        <f>IF(ISNUMBER(Main_L[[#This Row],[EPS]]),IF(Main_L[[#This Row],[EPS]]&lt;&gt;0,Main_L[[#This Row],[Current Price]]/Main_L[[#This Row],[EPS]],""),"")</f>
        <v>32.109649122807021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-1.1884906278452094</v>
      </c>
      <c r="P97" s="1">
        <f>(Main_L[[#This Row],[P/B]]-VLOOKUP(Main_L[[#This Row],[Industry]], Mean_PB_L, 2, FALSE))/(VLOOKUP(Main_L[[#This Row],[Industry]], Mean_PB_L, 3, FALSE))</f>
        <v>-0.93362246572099383</v>
      </c>
      <c r="Q97" s="1">
        <f>(Main_L[[#This Row],[ROE]]-VLOOKUP(Main_L[[#This Row],[Industry]], Mean_ROE_L, 2, FALSE))/(VLOOKUP(Main_L[[#This Row],[Industry]], Mean_ROE_L, 3, FALSE))</f>
        <v>-1.2684457512795591</v>
      </c>
      <c r="R97" s="1">
        <f>(Main_L[[#This Row],[ROA]]-VLOOKUP(Main_L[[#This Row],[Industry]], Mean_ROA_L, 2, FALSE))/(VLOOKUP(Main_L[[#This Row],[Industry]], Mean_ROA_L, 3, FALSE))</f>
        <v>-1.0813529530354071</v>
      </c>
      <c r="S97" s="1">
        <f>(Main_L[[#This Row],[A/E]]-VLOOKUP(Main_L[[#This Row],[Industry]], Mean_AE_L, 2, FALSE))/(VLOOKUP(Main_L[[#This Row],[Industry]], Mean_AE_L, 3, FALSE))</f>
        <v>-0.72764530195919064</v>
      </c>
      <c r="T97" s="1">
        <f>(Main_L[[#This Row],[P/E]]-VLOOKUP(Main_L[[#This Row],[Industry]], Mean_PE_L, 2, FALSE))/(VLOOKUP(Main_L[[#This Row],[Industry]], Mean_PE_L, 3, FALSE))</f>
        <v>1.0286196601106676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s="67" t="s">
        <v>156</v>
      </c>
      <c r="B98" s="67" t="s">
        <v>179</v>
      </c>
      <c r="C98" s="2">
        <v>30672</v>
      </c>
      <c r="D98">
        <f>RTD("tos.rtd", , "LAST", Main_L[[#This Row],[Symbol]])</f>
        <v>127.63</v>
      </c>
      <c r="E98">
        <v>3.66</v>
      </c>
      <c r="F98">
        <v>44.44</v>
      </c>
      <c r="G98">
        <v>3.71</v>
      </c>
      <c r="H98" s="1">
        <f>IF(ISNUMBER(Main_L[[#This Row],[Free CF]]),IF(Main_L[[#This Row],[Free CF]]&lt;&gt;0,Main_L[[#This Row],[Current Price]]/Main_L[[#This Row],[Free CF]],""),"")</f>
        <v>34.87158469945355</v>
      </c>
      <c r="I98" s="1">
        <f>IF(ISNUMBER(Main_L[[#This Row],[BVPS]]),IF(Main_L[[#This Row],[BVPS]]&lt;&gt;0,Main_L[[#This Row],[Current Price]]/Main_L[[#This Row],[BVPS]],""),"")</f>
        <v>2.8719621962196218</v>
      </c>
      <c r="J98">
        <v>8.51</v>
      </c>
      <c r="K98">
        <v>4.4400000000000004</v>
      </c>
      <c r="L98">
        <v>1.53</v>
      </c>
      <c r="M98" s="1">
        <f>IF(ISNUMBER(Main_L[[#This Row],[EPS]]),IF(Main_L[[#This Row],[EPS]]&lt;&gt;0,Main_L[[#This Row],[Current Price]]/Main_L[[#This Row],[EPS]],""),"")</f>
        <v>34.401617250673851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8" s="1">
        <f>(Main_L[[#This Row],[P/FCF]]-VLOOKUP(Main_L[[#This Row],[Industry]], Mean_PFCF_L, 2, FALSE))/(VLOOKUP(Main_L[[#This Row],[Industry]], Mean_PFCF_L, 3, FALSE))</f>
        <v>2.1909377572894662</v>
      </c>
      <c r="P98" s="1">
        <f>(Main_L[[#This Row],[P/B]]-VLOOKUP(Main_L[[#This Row],[Industry]], Mean_PB_L, 2, FALSE))/(VLOOKUP(Main_L[[#This Row],[Industry]], Mean_PB_L, 3, FALSE))</f>
        <v>-0.7040319993394718</v>
      </c>
      <c r="Q98" s="1">
        <f>(Main_L[[#This Row],[ROE]]-VLOOKUP(Main_L[[#This Row],[Industry]], Mean_ROE_L, 2, FALSE))/(VLOOKUP(Main_L[[#This Row],[Industry]], Mean_ROE_L, 3, FALSE))</f>
        <v>-1.1614669698252196</v>
      </c>
      <c r="R98" s="1">
        <f>(Main_L[[#This Row],[ROA]]-VLOOKUP(Main_L[[#This Row],[Industry]], Mean_ROA_L, 2, FALSE))/(VLOOKUP(Main_L[[#This Row],[Industry]], Mean_ROA_L, 3, FALSE))</f>
        <v>-0.96455824626149644</v>
      </c>
      <c r="S98" s="1">
        <f>(Main_L[[#This Row],[A/E]]-VLOOKUP(Main_L[[#This Row],[Industry]], Mean_AE_L, 2, FALSE))/(VLOOKUP(Main_L[[#This Row],[Industry]], Mean_AE_L, 3, FALSE))</f>
        <v>-0.90736843989297633</v>
      </c>
      <c r="T98" s="1">
        <f>(Main_L[[#This Row],[P/E]]-VLOOKUP(Main_L[[#This Row],[Industry]], Mean_PE_L, 2, FALSE))/(VLOOKUP(Main_L[[#This Row],[Industry]], Mean_PE_L, 3, FALSE))</f>
        <v>1.3449670622526535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s="67" t="s">
        <v>156</v>
      </c>
      <c r="B99" s="67" t="s">
        <v>173</v>
      </c>
      <c r="C99" s="2">
        <v>37632</v>
      </c>
      <c r="D99">
        <f>RTD("tos.rtd", , "LAST", Main_L[[#This Row],[Symbol]])</f>
        <v>95.32</v>
      </c>
      <c r="E99">
        <v>3.64</v>
      </c>
      <c r="F99">
        <v>-12.97</v>
      </c>
      <c r="G99">
        <v>3.83</v>
      </c>
      <c r="H99" s="1">
        <f>IF(ISNUMBER(Main_L[[#This Row],[Free CF]]),IF(Main_L[[#This Row],[Free CF]]&lt;&gt;0,Main_L[[#This Row],[Current Price]]/Main_L[[#This Row],[Free CF]],""),"")</f>
        <v>26.186813186813183</v>
      </c>
      <c r="I99" s="1">
        <f>IF(ISNUMBER(Main_L[[#This Row],[BVPS]]),IF(Main_L[[#This Row],[BVPS]]&lt;&gt;0,Main_L[[#This Row],[Current Price]]/Main_L[[#This Row],[BVPS]],""),"")</f>
        <v>-7.3492675404780252</v>
      </c>
      <c r="J99">
        <v>-32.96</v>
      </c>
      <c r="K99">
        <v>13.96</v>
      </c>
      <c r="L99">
        <v>-2.1800000000000002</v>
      </c>
      <c r="M99" s="1">
        <f>IF(ISNUMBER(Main_L[[#This Row],[EPS]]),IF(Main_L[[#This Row],[EPS]]&lt;&gt;0,Main_L[[#This Row],[Current Price]]/Main_L[[#This Row],[EPS]],""),"")</f>
        <v>24.887728459530024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0.42445891935044172</v>
      </c>
      <c r="P99" s="1">
        <f>(Main_L[[#This Row],[P/B]]-VLOOKUP(Main_L[[#This Row],[Industry]], Mean_PB_L, 2, FALSE))/(VLOOKUP(Main_L[[#This Row],[Industry]], Mean_PB_L, 3, FALSE))</f>
        <v>-6.0211045172419029</v>
      </c>
      <c r="Q99" s="1">
        <f>(Main_L[[#This Row],[ROE]]-VLOOKUP(Main_L[[#This Row],[Industry]], Mean_ROE_L, 2, FALSE))/(VLOOKUP(Main_L[[#This Row],[Industry]], Mean_ROE_L, 3, FALSE))</f>
        <v>-6.5717231489855443</v>
      </c>
      <c r="R99" s="1">
        <f>(Main_L[[#This Row],[ROA]]-VLOOKUP(Main_L[[#This Row],[Industry]], Mean_ROA_L, 2, FALSE))/(VLOOKUP(Main_L[[#This Row],[Industry]], Mean_ROA_L, 3, FALSE))</f>
        <v>2.305693543407993</v>
      </c>
      <c r="S99" s="1">
        <f>(Main_L[[#This Row],[A/E]]-VLOOKUP(Main_L[[#This Row],[Industry]], Mean_AE_L, 2, FALSE))/(VLOOKUP(Main_L[[#This Row],[Industry]], Mean_AE_L, 3, FALSE))</f>
        <v>-5.6700315951382994</v>
      </c>
      <c r="T99" s="1">
        <f>(Main_L[[#This Row],[P/E]]-VLOOKUP(Main_L[[#This Row],[Industry]], Mean_PE_L, 2, FALSE))/(VLOOKUP(Main_L[[#This Row],[Industry]], Mean_PE_L, 3, FALSE))</f>
        <v>3.1818782940726348E-2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0" spans="1:26" x14ac:dyDescent="0.25">
      <c r="A100" s="67" t="s">
        <v>156</v>
      </c>
      <c r="B100" s="67" t="s">
        <v>168</v>
      </c>
      <c r="C100" s="2">
        <v>32939</v>
      </c>
      <c r="D100">
        <f>RTD("tos.rtd", , "LAST", Main_L[[#This Row],[Symbol]])</f>
        <v>83.46</v>
      </c>
      <c r="E100">
        <v>3.4</v>
      </c>
      <c r="F100">
        <v>25.99</v>
      </c>
      <c r="G100">
        <v>2.02</v>
      </c>
      <c r="H100" s="1">
        <f>IF(ISNUMBER(Main_L[[#This Row],[Free CF]]),IF(Main_L[[#This Row],[Free CF]]&lt;&gt;0,Main_L[[#This Row],[Current Price]]/Main_L[[#This Row],[Free CF]],""),"")</f>
        <v>24.547058823529412</v>
      </c>
      <c r="I100" s="1">
        <f>IF(ISNUMBER(Main_L[[#This Row],[BVPS]]),IF(Main_L[[#This Row],[BVPS]]&lt;&gt;0,Main_L[[#This Row],[Current Price]]/Main_L[[#This Row],[BVPS]],""),"")</f>
        <v>3.2112350904193918</v>
      </c>
      <c r="J100">
        <v>8.11</v>
      </c>
      <c r="K100">
        <v>5.39</v>
      </c>
      <c r="L100">
        <v>1.75</v>
      </c>
      <c r="M100" s="1">
        <f>IF(ISNUMBER(Main_L[[#This Row],[EPS]]),IF(Main_L[[#This Row],[EPS]]&lt;&gt;0,Main_L[[#This Row],[Current Price]]/Main_L[[#This Row],[EPS]],""),"")</f>
        <v>41.31683168316831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0" s="1">
        <f>(Main_L[[#This Row],[P/FCF]]-VLOOKUP(Main_L[[#This Row],[Industry]], Mean_PFCF_L, 2, FALSE))/(VLOOKUP(Main_L[[#This Row],[Industry]], Mean_PFCF_L, 3, FALSE))</f>
        <v>9.093357813184115E-2</v>
      </c>
      <c r="P100" s="1">
        <f>(Main_L[[#This Row],[P/B]]-VLOOKUP(Main_L[[#This Row],[Industry]], Mean_PB_L, 2, FALSE))/(VLOOKUP(Main_L[[#This Row],[Industry]], Mean_PB_L, 3, FALSE))</f>
        <v>-0.52754261124343182</v>
      </c>
      <c r="Q100" s="1">
        <f>(Main_L[[#This Row],[ROE]]-VLOOKUP(Main_L[[#This Row],[Industry]], Mean_ROE_L, 2, FALSE))/(VLOOKUP(Main_L[[#This Row],[Industry]], Mean_ROE_L, 3, FALSE))</f>
        <v>-1.213651741266361</v>
      </c>
      <c r="R100" s="1">
        <f>(Main_L[[#This Row],[ROA]]-VLOOKUP(Main_L[[#This Row],[Industry]], Mean_ROA_L, 2, FALSE))/(VLOOKUP(Main_L[[#This Row],[Industry]], Mean_ROA_L, 3, FALSE))</f>
        <v>-0.63822009498145316</v>
      </c>
      <c r="S100" s="1">
        <f>(Main_L[[#This Row],[A/E]]-VLOOKUP(Main_L[[#This Row],[Industry]], Mean_AE_L, 2, FALSE))/(VLOOKUP(Main_L[[#This Row],[Industry]], Mean_AE_L, 3, FALSE))</f>
        <v>-0.62494636599702724</v>
      </c>
      <c r="T100" s="1">
        <f>(Main_L[[#This Row],[P/E]]-VLOOKUP(Main_L[[#This Row],[Industry]], Mean_PE_L, 2, FALSE))/(VLOOKUP(Main_L[[#This Row],[Industry]], Mean_PE_L, 3, FALSE))</f>
        <v>2.2994350124725509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s="67" t="s">
        <v>156</v>
      </c>
      <c r="B101" s="67" t="s">
        <v>166</v>
      </c>
      <c r="C101" s="2">
        <v>14149</v>
      </c>
      <c r="D101">
        <f>RTD("tos.rtd", , "LAST", Main_L[[#This Row],[Symbol]])</f>
        <v>85.01</v>
      </c>
      <c r="E101">
        <v>3.24</v>
      </c>
      <c r="F101">
        <v>14.82</v>
      </c>
      <c r="G101">
        <v>2.83</v>
      </c>
      <c r="H101" s="1">
        <f>IF(ISNUMBER(Main_L[[#This Row],[Free CF]]),IF(Main_L[[#This Row],[Free CF]]&lt;&gt;0,Main_L[[#This Row],[Current Price]]/Main_L[[#This Row],[Free CF]],""),"")</f>
        <v>26.237654320987655</v>
      </c>
      <c r="I101" s="1">
        <f>IF(ISNUMBER(Main_L[[#This Row],[BVPS]]),IF(Main_L[[#This Row],[BVPS]]&lt;&gt;0,Main_L[[#This Row],[Current Price]]/Main_L[[#This Row],[BVPS]],""),"")</f>
        <v>5.7361673414304999</v>
      </c>
      <c r="J101">
        <v>20.28</v>
      </c>
      <c r="K101">
        <v>12.5</v>
      </c>
      <c r="L101">
        <v>1.21</v>
      </c>
      <c r="M101" s="1">
        <f>IF(ISNUMBER(Main_L[[#This Row],[EPS]]),IF(Main_L[[#This Row],[EPS]]&lt;&gt;0,Main_L[[#This Row],[Current Price]]/Main_L[[#This Row],[EPS]],""),"")</f>
        <v>30.03886925795053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1" s="1">
        <f>(Main_L[[#This Row],[P/FCF]]-VLOOKUP(Main_L[[#This Row],[Industry]], Mean_PFCF_L, 2, FALSE))/(VLOOKUP(Main_L[[#This Row],[Industry]], Mean_PFCF_L, 3, FALSE))</f>
        <v>0.43479998445334161</v>
      </c>
      <c r="P101" s="1">
        <f>(Main_L[[#This Row],[P/B]]-VLOOKUP(Main_L[[#This Row],[Industry]], Mean_PB_L, 2, FALSE))/(VLOOKUP(Main_L[[#This Row],[Industry]], Mean_PB_L, 3, FALSE))</f>
        <v>0.7859243812081258</v>
      </c>
      <c r="Q101" s="1">
        <f>(Main_L[[#This Row],[ROE]]-VLOOKUP(Main_L[[#This Row],[Industry]], Mean_ROE_L, 2, FALSE))/(VLOOKUP(Main_L[[#This Row],[Industry]], Mean_ROE_L, 3, FALSE))</f>
        <v>0.3740699298303633</v>
      </c>
      <c r="R101" s="1">
        <f>(Main_L[[#This Row],[ROA]]-VLOOKUP(Main_L[[#This Row],[Industry]], Mean_ROA_L, 2, FALSE))/(VLOOKUP(Main_L[[#This Row],[Industry]], Mean_ROA_L, 3, FALSE))</f>
        <v>1.8041633319670836</v>
      </c>
      <c r="S101" s="1">
        <f>(Main_L[[#This Row],[A/E]]-VLOOKUP(Main_L[[#This Row],[Industry]], Mean_AE_L, 2, FALSE))/(VLOOKUP(Main_L[[#This Row],[Industry]], Mean_AE_L, 3, FALSE))</f>
        <v>-1.3181641837416296</v>
      </c>
      <c r="T101" s="1">
        <f>(Main_L[[#This Row],[P/E]]-VLOOKUP(Main_L[[#This Row],[Industry]], Mean_PE_L, 2, FALSE))/(VLOOKUP(Main_L[[#This Row],[Industry]], Mean_PE_L, 3, FALSE))</f>
        <v>0.74280162333675259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2" spans="1:26" x14ac:dyDescent="0.25">
      <c r="A102" s="67" t="s">
        <v>156</v>
      </c>
      <c r="B102" s="67" t="s">
        <v>581</v>
      </c>
      <c r="C102" s="2">
        <v>60556</v>
      </c>
      <c r="D102">
        <f>RTD("tos.rtd", , "LAST", Main_L[[#This Row],[Symbol]])</f>
        <v>29.78</v>
      </c>
      <c r="E102">
        <v>1.1599999999999999</v>
      </c>
      <c r="F102">
        <v>9.64</v>
      </c>
      <c r="G102">
        <v>2.27</v>
      </c>
      <c r="H102" s="1">
        <f>IF(ISNUMBER(Main_L[[#This Row],[Free CF]]),IF(Main_L[[#This Row],[Free CF]]&lt;&gt;0,Main_L[[#This Row],[Current Price]]/Main_L[[#This Row],[Free CF]],""),"")</f>
        <v>25.672413793103452</v>
      </c>
      <c r="I102" s="1">
        <f>IF(ISNUMBER(Main_L[[#This Row],[BVPS]]),IF(Main_L[[#This Row],[BVPS]]&lt;&gt;0,Main_L[[#This Row],[Current Price]]/Main_L[[#This Row],[BVPS]],""),"")</f>
        <v>3.0892116182572615</v>
      </c>
      <c r="J102">
        <v>25.59</v>
      </c>
      <c r="K102">
        <v>5.59</v>
      </c>
      <c r="L102">
        <v>3.51</v>
      </c>
      <c r="M102" s="1">
        <f>IF(ISNUMBER(Main_L[[#This Row],[EPS]]),IF(Main_L[[#This Row],[EPS]]&lt;&gt;0,Main_L[[#This Row],[Current Price]]/Main_L[[#This Row],[EPS]],""),"")</f>
        <v>13.118942731277533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0.31983030109441052</v>
      </c>
      <c r="P102" s="1">
        <f>(Main_L[[#This Row],[P/B]]-VLOOKUP(Main_L[[#This Row],[Industry]], Mean_PB_L, 2, FALSE))/(VLOOKUP(Main_L[[#This Row],[Industry]], Mean_PB_L, 3, FALSE))</f>
        <v>-0.59101908785982737</v>
      </c>
      <c r="Q102" s="1">
        <f>(Main_L[[#This Row],[ROE]]-VLOOKUP(Main_L[[#This Row],[Industry]], Mean_ROE_L, 2, FALSE))/(VLOOKUP(Main_L[[#This Row],[Industry]], Mean_ROE_L, 3, FALSE))</f>
        <v>1.0668227707115139</v>
      </c>
      <c r="R102" s="1">
        <f>(Main_L[[#This Row],[ROA]]-VLOOKUP(Main_L[[#This Row],[Industry]], Mean_ROA_L, 2, FALSE))/(VLOOKUP(Main_L[[#This Row],[Industry]], Mean_ROA_L, 3, FALSE))</f>
        <v>-0.56951732629091756</v>
      </c>
      <c r="S102" s="1">
        <f>(Main_L[[#This Row],[A/E]]-VLOOKUP(Main_L[[#This Row],[Industry]], Mean_AE_L, 2, FALSE))/(VLOOKUP(Main_L[[#This Row],[Industry]], Mean_AE_L, 3, FALSE))</f>
        <v>1.6344302251705651</v>
      </c>
      <c r="T102" s="1">
        <f>(Main_L[[#This Row],[P/E]]-VLOOKUP(Main_L[[#This Row],[Industry]], Mean_PE_L, 2, FALSE))/(VLOOKUP(Main_L[[#This Row],[Industry]], Mean_PE_L, 3, FALSE))</f>
        <v>-1.5925601716494624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3" spans="1:26" x14ac:dyDescent="0.25">
      <c r="A103" s="67" t="s">
        <v>156</v>
      </c>
      <c r="B103" s="67" t="s">
        <v>582</v>
      </c>
      <c r="C103" s="2">
        <v>57770</v>
      </c>
      <c r="D103">
        <f>RTD("tos.rtd", , "LAST", Main_L[[#This Row],[Symbol]])</f>
        <v>27.425000000000001</v>
      </c>
      <c r="E103">
        <v>1.1599999999999999</v>
      </c>
      <c r="F103">
        <v>9.64</v>
      </c>
      <c r="G103">
        <v>2.27</v>
      </c>
      <c r="H103" s="1">
        <f>IF(ISNUMBER(Main_L[[#This Row],[Free CF]]),IF(Main_L[[#This Row],[Free CF]]&lt;&gt;0,Main_L[[#This Row],[Current Price]]/Main_L[[#This Row],[Free CF]],""),"")</f>
        <v>23.642241379310349</v>
      </c>
      <c r="I103" s="1">
        <f>IF(ISNUMBER(Main_L[[#This Row],[BVPS]]),IF(Main_L[[#This Row],[BVPS]]&lt;&gt;0,Main_L[[#This Row],[Current Price]]/Main_L[[#This Row],[BVPS]],""),"")</f>
        <v>2.8449170124481329</v>
      </c>
      <c r="J103">
        <v>25.59</v>
      </c>
      <c r="K103">
        <v>5.59</v>
      </c>
      <c r="L103">
        <v>3.51</v>
      </c>
      <c r="M103" s="1">
        <f>IF(ISNUMBER(Main_L[[#This Row],[EPS]]),IF(Main_L[[#This Row],[EPS]]&lt;&gt;0,Main_L[[#This Row],[Current Price]]/Main_L[[#This Row],[EPS]],""),"")</f>
        <v>12.081497797356828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-9.310590581828021E-2</v>
      </c>
      <c r="P103" s="1">
        <f>(Main_L[[#This Row],[P/B]]-VLOOKUP(Main_L[[#This Row],[Industry]], Mean_PB_L, 2, FALSE))/(VLOOKUP(Main_L[[#This Row],[Industry]], Mean_PB_L, 3, FALSE))</f>
        <v>-0.71810087432588465</v>
      </c>
      <c r="Q103" s="1">
        <f>(Main_L[[#This Row],[ROE]]-VLOOKUP(Main_L[[#This Row],[Industry]], Mean_ROE_L, 2, FALSE))/(VLOOKUP(Main_L[[#This Row],[Industry]], Mean_ROE_L, 3, FALSE))</f>
        <v>1.0668227707115139</v>
      </c>
      <c r="R103" s="1">
        <f>(Main_L[[#This Row],[ROA]]-VLOOKUP(Main_L[[#This Row],[Industry]], Mean_ROA_L, 2, FALSE))/(VLOOKUP(Main_L[[#This Row],[Industry]], Mean_ROA_L, 3, FALSE))</f>
        <v>-0.56951732629091756</v>
      </c>
      <c r="S103" s="1">
        <f>(Main_L[[#This Row],[A/E]]-VLOOKUP(Main_L[[#This Row],[Industry]], Mean_AE_L, 2, FALSE))/(VLOOKUP(Main_L[[#This Row],[Industry]], Mean_AE_L, 3, FALSE))</f>
        <v>1.6344302251705651</v>
      </c>
      <c r="T103" s="1">
        <f>(Main_L[[#This Row],[P/E]]-VLOOKUP(Main_L[[#This Row],[Industry]], Mean_PE_L, 2, FALSE))/(VLOOKUP(Main_L[[#This Row],[Industry]], Mean_PE_L, 3, FALSE))</f>
        <v>-1.7357528302736611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s="67" t="s">
        <v>156</v>
      </c>
      <c r="B104" s="67" t="s">
        <v>585</v>
      </c>
      <c r="C104" s="2">
        <v>77426</v>
      </c>
      <c r="D104">
        <f>RTD("tos.rtd", , "LAST", Main_L[[#This Row],[Symbol]])</f>
        <v>48.2</v>
      </c>
      <c r="E104">
        <v>0.57999999999999996</v>
      </c>
      <c r="F104">
        <v>4.66</v>
      </c>
      <c r="G104">
        <v>0.49</v>
      </c>
      <c r="H104" s="1">
        <f>IF(ISNUMBER(Main_L[[#This Row],[Free CF]]),IF(Main_L[[#This Row],[Free CF]]&lt;&gt;0,Main_L[[#This Row],[Current Price]]/Main_L[[#This Row],[Free CF]],""),"")</f>
        <v>83.103448275862078</v>
      </c>
      <c r="I104" s="1">
        <f>IF(ISNUMBER(Main_L[[#This Row],[BVPS]]),IF(Main_L[[#This Row],[BVPS]]&lt;&gt;0,Main_L[[#This Row],[Current Price]]/Main_L[[#This Row],[BVPS]],""),"")</f>
        <v>10.343347639484978</v>
      </c>
      <c r="J104">
        <v>12.15</v>
      </c>
      <c r="K104">
        <v>3.22</v>
      </c>
      <c r="L104">
        <v>2.84</v>
      </c>
      <c r="M104" s="1">
        <f>IF(ISNUMBER(Main_L[[#This Row],[EPS]]),IF(Main_L[[#This Row],[EPS]]&lt;&gt;0,Main_L[[#This Row],[Current Price]]/Main_L[[#This Row],[EPS]],""),"")</f>
        <v>98.367346938775512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12.001278328492909</v>
      </c>
      <c r="P104" s="1">
        <f>(Main_L[[#This Row],[P/B]]-VLOOKUP(Main_L[[#This Row],[Industry]], Mean_PB_L, 2, FALSE))/(VLOOKUP(Main_L[[#This Row],[Industry]], Mean_PB_L, 3, FALSE))</f>
        <v>3.1825745278979682</v>
      </c>
      <c r="Q104" s="1">
        <f>(Main_L[[#This Row],[ROE]]-VLOOKUP(Main_L[[#This Row],[Industry]], Mean_ROE_L, 2, FALSE))/(VLOOKUP(Main_L[[#This Row],[Industry]], Mean_ROE_L, 3, FALSE))</f>
        <v>-0.68658554971083363</v>
      </c>
      <c r="R104" s="1">
        <f>(Main_L[[#This Row],[ROA]]-VLOOKUP(Main_L[[#This Row],[Industry]], Mean_ROA_L, 2, FALSE))/(VLOOKUP(Main_L[[#This Row],[Industry]], Mean_ROA_L, 3, FALSE))</f>
        <v>-1.3836451352737629</v>
      </c>
      <c r="S104" s="1">
        <f>(Main_L[[#This Row],[A/E]]-VLOOKUP(Main_L[[#This Row],[Industry]], Mean_AE_L, 2, FALSE))/(VLOOKUP(Main_L[[#This Row],[Industry]], Mean_AE_L, 3, FALSE))</f>
        <v>0.77432663648744759</v>
      </c>
      <c r="T104" s="1">
        <f>(Main_L[[#This Row],[P/E]]-VLOOKUP(Main_L[[#This Row],[Industry]], Mean_PE_L, 2, FALSE))/(VLOOKUP(Main_L[[#This Row],[Industry]], Mean_PE_L, 3, FALSE))</f>
        <v>10.173795075572736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5" spans="1:26" x14ac:dyDescent="0.25">
      <c r="A105" s="67" t="s">
        <v>156</v>
      </c>
      <c r="B105" s="67" t="s">
        <v>159</v>
      </c>
      <c r="C105" s="2">
        <v>44285</v>
      </c>
      <c r="D105">
        <f>RTD("tos.rtd", , "LAST", Main_L[[#This Row],[Symbol]])</f>
        <v>325.68</v>
      </c>
      <c r="E105">
        <v>0.05</v>
      </c>
      <c r="F105">
        <v>79.3</v>
      </c>
      <c r="G105">
        <v>20.100000000000001</v>
      </c>
      <c r="H105" s="1">
        <f>IF(ISNUMBER(Main_L[[#This Row],[Free CF]]),IF(Main_L[[#This Row],[Free CF]]&lt;&gt;0,Main_L[[#This Row],[Current Price]]/Main_L[[#This Row],[Free CF]],""),"")</f>
        <v>6513.5999999999995</v>
      </c>
      <c r="I105" s="1">
        <f>IF(ISNUMBER(Main_L[[#This Row],[BVPS]]),IF(Main_L[[#This Row],[BVPS]]&lt;&gt;0,Main_L[[#This Row],[Current Price]]/Main_L[[#This Row],[BVPS]],""),"")</f>
        <v>4.1069356872635563</v>
      </c>
      <c r="J105">
        <v>26.19</v>
      </c>
      <c r="K105">
        <v>7.73</v>
      </c>
      <c r="L105">
        <v>2.98</v>
      </c>
      <c r="M105" s="1">
        <f>IF(ISNUMBER(Main_L[[#This Row],[EPS]]),IF(Main_L[[#This Row],[EPS]]&lt;&gt;0,Main_L[[#This Row],[Current Price]]/Main_L[[#This Row],[EPS]],""),"")</f>
        <v>16.202985074626866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1319.9615464285182</v>
      </c>
      <c r="P105" s="1">
        <f>(Main_L[[#This Row],[P/B]]-VLOOKUP(Main_L[[#This Row],[Industry]], Mean_PB_L, 2, FALSE))/(VLOOKUP(Main_L[[#This Row],[Industry]], Mean_PB_L, 3, FALSE))</f>
        <v>-6.1600141459202312E-2</v>
      </c>
      <c r="Q105" s="1">
        <f>(Main_L[[#This Row],[ROE]]-VLOOKUP(Main_L[[#This Row],[Industry]], Mean_ROE_L, 2, FALSE))/(VLOOKUP(Main_L[[#This Row],[Industry]], Mean_ROE_L, 3, FALSE))</f>
        <v>1.1450999278732259</v>
      </c>
      <c r="R105" s="1">
        <f>(Main_L[[#This Row],[ROA]]-VLOOKUP(Main_L[[#This Row],[Industry]], Mean_ROA_L, 2, FALSE))/(VLOOKUP(Main_L[[#This Row],[Industry]], Mean_ROA_L, 3, FALSE))</f>
        <v>0.16560229869781229</v>
      </c>
      <c r="S105" s="1">
        <f>(Main_L[[#This Row],[A/E]]-VLOOKUP(Main_L[[#This Row],[Industry]], Mean_AE_L, 2, FALSE))/(VLOOKUP(Main_L[[#This Row],[Industry]], Mean_AE_L, 3, FALSE))</f>
        <v>0.95404977442123351</v>
      </c>
      <c r="T105" s="1">
        <f>(Main_L[[#This Row],[P/E]]-VLOOKUP(Main_L[[#This Row],[Industry]], Mean_PE_L, 2, FALSE))/(VLOOKUP(Main_L[[#This Row],[Industry]], Mean_PE_L, 3, FALSE))</f>
        <v>-1.1668872438489888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6" spans="1:26" x14ac:dyDescent="0.25">
      <c r="A106" s="67" t="s">
        <v>228</v>
      </c>
      <c r="B106" s="67" t="s">
        <v>230</v>
      </c>
      <c r="C106" s="2">
        <v>31596</v>
      </c>
      <c r="D106">
        <f>RTD("tos.rtd", , "LAST", Main_L[[#This Row],[Symbol]])</f>
        <v>51.2</v>
      </c>
      <c r="E106">
        <v>4.4000000000000004</v>
      </c>
      <c r="F106">
        <v>23.81</v>
      </c>
      <c r="G106">
        <v>5.63</v>
      </c>
      <c r="H106" s="1">
        <f>IF(ISNUMBER(Main_L[[#This Row],[Free CF]]),IF(Main_L[[#This Row],[Free CF]]&lt;&gt;0,Main_L[[#This Row],[Current Price]]/Main_L[[#This Row],[Free CF]],""),"")</f>
        <v>11.636363636363637</v>
      </c>
      <c r="I106" s="1">
        <f>IF(ISNUMBER(Main_L[[#This Row],[BVPS]]),IF(Main_L[[#This Row],[BVPS]]&lt;&gt;0,Main_L[[#This Row],[Current Price]]/Main_L[[#This Row],[BVPS]],""),"")</f>
        <v>2.1503569928601429</v>
      </c>
      <c r="J106">
        <v>27.52</v>
      </c>
      <c r="K106">
        <v>4.7300000000000004</v>
      </c>
      <c r="L106">
        <v>5.01</v>
      </c>
      <c r="M106" s="1">
        <f>IF(ISNUMBER(Main_L[[#This Row],[EPS]]),IF(Main_L[[#This Row],[EPS]]&lt;&gt;0,Main_L[[#This Row],[Current Price]]/Main_L[[#This Row],[EPS]],""),"")</f>
        <v>9.0941385435168751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0.3228439584598729</v>
      </c>
      <c r="P106" s="1">
        <f>(Main_L[[#This Row],[P/B]]-VLOOKUP(Main_L[[#This Row],[Industry]], Mean_PB_L, 2, FALSE))/(VLOOKUP(Main_L[[#This Row],[Industry]], Mean_PB_L, 3, FALSE))</f>
        <v>-0.68791674585421658</v>
      </c>
      <c r="Q106" s="1">
        <f>(Main_L[[#This Row],[ROE]]-VLOOKUP(Main_L[[#This Row],[Industry]], Mean_ROE_L, 2, FALSE))/(VLOOKUP(Main_L[[#This Row],[Industry]], Mean_ROE_L, 3, FALSE))</f>
        <v>0.98243737570564338</v>
      </c>
      <c r="R106" s="1">
        <f>(Main_L[[#This Row],[ROA]]-VLOOKUP(Main_L[[#This Row],[Industry]], Mean_ROA_L, 2, FALSE))/(VLOOKUP(Main_L[[#This Row],[Industry]], Mean_ROA_L, 3, FALSE))</f>
        <v>7.9487644811999991E-2</v>
      </c>
      <c r="S106" s="1">
        <f>(Main_L[[#This Row],[A/E]]-VLOOKUP(Main_L[[#This Row],[Industry]], Mean_AE_L, 2, FALSE))/(VLOOKUP(Main_L[[#This Row],[Industry]], Mean_AE_L, 3, FALSE))</f>
        <v>1.2841649829777675</v>
      </c>
      <c r="T106" s="1">
        <f>(Main_L[[#This Row],[P/E]]-VLOOKUP(Main_L[[#This Row],[Industry]], Mean_PE_L, 2, FALSE))/(VLOOKUP(Main_L[[#This Row],[Industry]], Mean_PE_L, 3, FALSE))</f>
        <v>-1.4128068580858502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s="67" t="s">
        <v>228</v>
      </c>
      <c r="B107" s="67" t="s">
        <v>232</v>
      </c>
      <c r="C107" s="2">
        <v>29531</v>
      </c>
      <c r="D107">
        <f>RTD("tos.rtd", , "LAST", Main_L[[#This Row],[Symbol]])</f>
        <v>57.6</v>
      </c>
      <c r="E107">
        <v>1.83</v>
      </c>
      <c r="F107">
        <v>7.16</v>
      </c>
      <c r="G107">
        <v>1.57</v>
      </c>
      <c r="H107" s="1">
        <f>IF(ISNUMBER(Main_L[[#This Row],[Free CF]]),IF(Main_L[[#This Row],[Free CF]]&lt;&gt;0,Main_L[[#This Row],[Current Price]]/Main_L[[#This Row],[Free CF]],""),"")</f>
        <v>31.475409836065573</v>
      </c>
      <c r="I107" s="1">
        <f>IF(ISNUMBER(Main_L[[#This Row],[BVPS]]),IF(Main_L[[#This Row],[BVPS]]&lt;&gt;0,Main_L[[#This Row],[Current Price]]/Main_L[[#This Row],[BVPS]],""),"")</f>
        <v>8.044692737430168</v>
      </c>
      <c r="J107">
        <v>22</v>
      </c>
      <c r="K107">
        <v>5.62</v>
      </c>
      <c r="L107">
        <v>2.4900000000000002</v>
      </c>
      <c r="M107" s="1">
        <f>IF(ISNUMBER(Main_L[[#This Row],[EPS]]),IF(Main_L[[#This Row],[EPS]]&lt;&gt;0,Main_L[[#This Row],[Current Price]]/Main_L[[#This Row],[EPS]],""),"")</f>
        <v>36.687898089171973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1.0309826642801727</v>
      </c>
      <c r="P107" s="1">
        <f>(Main_L[[#This Row],[P/B]]-VLOOKUP(Main_L[[#This Row],[Industry]], Mean_PB_L, 2, FALSE))/(VLOOKUP(Main_L[[#This Row],[Industry]], Mean_PB_L, 3, FALSE))</f>
        <v>1.4140415066508432</v>
      </c>
      <c r="Q107" s="1">
        <f>(Main_L[[#This Row],[ROE]]-VLOOKUP(Main_L[[#This Row],[Industry]], Mean_ROE_L, 2, FALSE))/(VLOOKUP(Main_L[[#This Row],[Industry]], Mean_ROE_L, 3, FALSE))</f>
        <v>0.38975384413240272</v>
      </c>
      <c r="R107" s="1">
        <f>(Main_L[[#This Row],[ROA]]-VLOOKUP(Main_L[[#This Row],[Industry]], Mean_ROA_L, 2, FALSE))/(VLOOKUP(Main_L[[#This Row],[Industry]], Mean_ROA_L, 3, FALSE))</f>
        <v>0.47804541316512605</v>
      </c>
      <c r="S107" s="1">
        <f>(Main_L[[#This Row],[A/E]]-VLOOKUP(Main_L[[#This Row],[Industry]], Mean_AE_L, 2, FALSE))/(VLOOKUP(Main_L[[#This Row],[Industry]], Mean_AE_L, 3, FALSE))</f>
        <v>-1.155103175643319</v>
      </c>
      <c r="T107" s="1">
        <f>(Main_L[[#This Row],[P/E]]-VLOOKUP(Main_L[[#This Row],[Industry]], Mean_PE_L, 2, FALSE))/(VLOOKUP(Main_L[[#This Row],[Industry]], Mean_PE_L, 3, FALSE))</f>
        <v>0.65179036916534772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s="67" t="s">
        <v>228</v>
      </c>
      <c r="B108" s="67" t="s">
        <v>386</v>
      </c>
      <c r="C108" s="2">
        <v>11439</v>
      </c>
      <c r="D108">
        <f>RTD("tos.rtd", , "LAST", Main_L[[#This Row],[Symbol]])</f>
        <v>38.729999999999997</v>
      </c>
      <c r="E108">
        <v>0</v>
      </c>
      <c r="F108">
        <v>0</v>
      </c>
      <c r="G108">
        <v>0</v>
      </c>
      <c r="H108" s="1" t="str">
        <f>IF(ISNUMBER(Main_L[[#This Row],[Free CF]]),IF(Main_L[[#This Row],[Free CF]]&lt;&gt;0,Main_L[[#This Row],[Current Price]]/Main_L[[#This Row],[Free CF]],""),"")</f>
        <v/>
      </c>
      <c r="I108" s="1" t="str">
        <f>IF(ISNUMBER(Main_L[[#This Row],[BVPS]]),IF(Main_L[[#This Row],[BVPS]]&lt;&gt;0,Main_L[[#This Row],[Current Price]]/Main_L[[#This Row],[BVPS]],""),"")</f>
        <v/>
      </c>
      <c r="J108">
        <v>140.66</v>
      </c>
      <c r="K108">
        <v>6.93</v>
      </c>
      <c r="L108">
        <v>16.690000000000001</v>
      </c>
      <c r="M108" s="1" t="str">
        <f>IF(ISNUMBER(Main_L[[#This Row],[EPS]]),IF(Main_L[[#This Row],[EPS]]&lt;&gt;0,Main_L[[#This Row],[Current Price]]/Main_L[[#This Row],[EPS]],""),"")</f>
        <v/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 t="e">
        <f>(Main_L[[#This Row],[P/FCF]]-VLOOKUP(Main_L[[#This Row],[Industry]], Mean_PFCF_L, 2, FALSE))/(VLOOKUP(Main_L[[#This Row],[Industry]], Mean_PFCF_L, 3, FALSE))</f>
        <v>#VALUE!</v>
      </c>
      <c r="P108" s="1" t="e">
        <f>(Main_L[[#This Row],[P/B]]-VLOOKUP(Main_L[[#This Row],[Industry]], Mean_PB_L, 2, FALSE))/(VLOOKUP(Main_L[[#This Row],[Industry]], Mean_PB_L, 3, FALSE))</f>
        <v>#VALUE!</v>
      </c>
      <c r="Q108" s="1">
        <f>(Main_L[[#This Row],[ROE]]-VLOOKUP(Main_L[[#This Row],[Industry]], Mean_ROE_L, 2, FALSE))/(VLOOKUP(Main_L[[#This Row],[Industry]], Mean_ROE_L, 3, FALSE))</f>
        <v>13.130302368857173</v>
      </c>
      <c r="R108" s="1">
        <f>(Main_L[[#This Row],[ROA]]-VLOOKUP(Main_L[[#This Row],[Industry]], Mean_ROA_L, 2, FALSE))/(VLOOKUP(Main_L[[#This Row],[Industry]], Mean_ROA_L, 3, FALSE))</f>
        <v>1.0646866227635476</v>
      </c>
      <c r="S108" s="1">
        <f>(Main_L[[#This Row],[A/E]]-VLOOKUP(Main_L[[#This Row],[Industry]], Mean_AE_L, 2, FALSE))/(VLOOKUP(Main_L[[#This Row],[Industry]], Mean_AE_L, 3, FALSE))</f>
        <v>12.589979305475506</v>
      </c>
      <c r="T108" s="1" t="e">
        <f>(Main_L[[#This Row],[P/E]]-VLOOKUP(Main_L[[#This Row],[Industry]], Mean_PE_L, 2, FALSE))/(VLOOKUP(Main_L[[#This Row],[Industry]], Mean_PE_L, 3, FALSE))</f>
        <v>#VALUE!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9" spans="1:26" x14ac:dyDescent="0.25">
      <c r="A109" s="67" t="s">
        <v>228</v>
      </c>
      <c r="B109" s="67" t="s">
        <v>231</v>
      </c>
      <c r="C109" s="2">
        <v>19022</v>
      </c>
      <c r="D109">
        <f>RTD("tos.rtd", , "LAST", Main_L[[#This Row],[Symbol]])</f>
        <v>33.57</v>
      </c>
      <c r="E109">
        <v>-0.95</v>
      </c>
      <c r="F109">
        <v>16.43</v>
      </c>
      <c r="G109">
        <v>0.88</v>
      </c>
      <c r="H109" s="1">
        <f>IF(ISNUMBER(Main_L[[#This Row],[Free CF]]),IF(Main_L[[#This Row],[Free CF]]&lt;&gt;0,Main_L[[#This Row],[Current Price]]/Main_L[[#This Row],[Free CF]],""),"")</f>
        <v>-35.336842105263159</v>
      </c>
      <c r="I109" s="1">
        <f>IF(ISNUMBER(Main_L[[#This Row],[BVPS]]),IF(Main_L[[#This Row],[BVPS]]&lt;&gt;0,Main_L[[#This Row],[Current Price]]/Main_L[[#This Row],[BVPS]],""),"")</f>
        <v>2.0432136335970785</v>
      </c>
      <c r="J109">
        <v>5.59</v>
      </c>
      <c r="K109">
        <v>0.93</v>
      </c>
      <c r="L109">
        <v>3.55</v>
      </c>
      <c r="M109" s="1">
        <f>IF(ISNUMBER(Main_L[[#This Row],[EPS]]),IF(Main_L[[#This Row],[EPS]]&lt;&gt;0,Main_L[[#This Row],[Current Price]]/Main_L[[#This Row],[EPS]],""),"")</f>
        <v>38.147727272727273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-1.3538266227400453</v>
      </c>
      <c r="P109" s="1">
        <f>(Main_L[[#This Row],[P/B]]-VLOOKUP(Main_L[[#This Row],[Industry]], Mean_PB_L, 2, FALSE))/(VLOOKUP(Main_L[[#This Row],[Industry]], Mean_PB_L, 3, FALSE))</f>
        <v>-0.72612476079662658</v>
      </c>
      <c r="Q109" s="1">
        <f>(Main_L[[#This Row],[ROE]]-VLOOKUP(Main_L[[#This Row],[Industry]], Mean_ROE_L, 2, FALSE))/(VLOOKUP(Main_L[[#This Row],[Industry]], Mean_ROE_L, 3, FALSE))</f>
        <v>-1.3721912198380464</v>
      </c>
      <c r="R109" s="1">
        <f>(Main_L[[#This Row],[ROA]]-VLOOKUP(Main_L[[#This Row],[Industry]], Mean_ROA_L, 2, FALSE))/(VLOOKUP(Main_L[[#This Row],[Industry]], Mean_ROA_L, 3, FALSE))</f>
        <v>-1.6222196807406739</v>
      </c>
      <c r="S109" s="1">
        <f>(Main_L[[#This Row],[A/E]]-VLOOKUP(Main_L[[#This Row],[Industry]], Mean_AE_L, 2, FALSE))/(VLOOKUP(Main_L[[#This Row],[Industry]], Mean_AE_L, 3, FALSE))</f>
        <v>-0.12906180733444944</v>
      </c>
      <c r="T109" s="1">
        <f>(Main_L[[#This Row],[P/E]]-VLOOKUP(Main_L[[#This Row],[Industry]], Mean_PE_L, 2, FALSE))/(VLOOKUP(Main_L[[#This Row],[Industry]], Mean_PE_L, 3, FALSE))</f>
        <v>0.76101648892050189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0" spans="1:26" x14ac:dyDescent="0.25">
      <c r="A110" s="67" t="s">
        <v>203</v>
      </c>
      <c r="B110" s="67" t="s">
        <v>204</v>
      </c>
      <c r="C110" s="2">
        <v>132140</v>
      </c>
      <c r="D110">
        <f>RTD("tos.rtd", , "LAST", Main_L[[#This Row],[Symbol]])</f>
        <v>318.57</v>
      </c>
      <c r="E110">
        <v>10.4</v>
      </c>
      <c r="F110">
        <v>14.41</v>
      </c>
      <c r="G110">
        <v>9.7799999999999994</v>
      </c>
      <c r="H110" s="1">
        <f>IF(ISNUMBER(Main_L[[#This Row],[Free CF]]),IF(Main_L[[#This Row],[Free CF]]&lt;&gt;0,Main_L[[#This Row],[Current Price]]/Main_L[[#This Row],[Free CF]],""),"")</f>
        <v>30.631730769230767</v>
      </c>
      <c r="I110" s="1">
        <f>IF(ISNUMBER(Main_L[[#This Row],[BVPS]]),IF(Main_L[[#This Row],[BVPS]]&lt;&gt;0,Main_L[[#This Row],[Current Price]]/Main_L[[#This Row],[BVPS]],""),"")</f>
        <v>22.107564191533658</v>
      </c>
      <c r="J110">
        <v>76.290000000000006</v>
      </c>
      <c r="K110">
        <v>5.57</v>
      </c>
      <c r="L110">
        <v>9.64</v>
      </c>
      <c r="M110" s="1">
        <f>IF(ISNUMBER(Main_L[[#This Row],[EPS]]),IF(Main_L[[#This Row],[EPS]]&lt;&gt;0,Main_L[[#This Row],[Current Price]]/Main_L[[#This Row],[EPS]],""),"")</f>
        <v>32.573619631901842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-0.16185611439287653</v>
      </c>
      <c r="P110" s="1">
        <f>(Main_L[[#This Row],[P/B]]-VLOOKUP(Main_L[[#This Row],[Industry]], Mean_PB_L, 2, FALSE))/(VLOOKUP(Main_L[[#This Row],[Industry]], Mean_PB_L, 3, FALSE))</f>
        <v>1.9310007881811557</v>
      </c>
      <c r="Q110" s="1">
        <f>(Main_L[[#This Row],[ROE]]-VLOOKUP(Main_L[[#This Row],[Industry]], Mean_ROE_L, 2, FALSE))/(VLOOKUP(Main_L[[#This Row],[Industry]], Mean_ROE_L, 3, FALSE))</f>
        <v>1.7009243828068756</v>
      </c>
      <c r="R110" s="1">
        <f>(Main_L[[#This Row],[ROA]]-VLOOKUP(Main_L[[#This Row],[Industry]], Mean_ROA_L, 2, FALSE))/(VLOOKUP(Main_L[[#This Row],[Industry]], Mean_ROA_L, 3, FALSE))</f>
        <v>-0.70760201987378568</v>
      </c>
      <c r="S110" s="1">
        <f>(Main_L[[#This Row],[A/E]]-VLOOKUP(Main_L[[#This Row],[Industry]], Mean_AE_L, 2, FALSE))/(VLOOKUP(Main_L[[#This Row],[Industry]], Mean_AE_L, 3, FALSE))</f>
        <v>8.8469190139921796</v>
      </c>
      <c r="T110" s="1">
        <f>(Main_L[[#This Row],[P/E]]-VLOOKUP(Main_L[[#This Row],[Industry]], Mean_PE_L, 2, FALSE))/(VLOOKUP(Main_L[[#This Row],[Industry]], Mean_PE_L, 3, FALSE))</f>
        <v>-1.0466200839667277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1" spans="1:26" x14ac:dyDescent="0.25">
      <c r="A111" s="67" t="s">
        <v>203</v>
      </c>
      <c r="B111" s="67" t="s">
        <v>220</v>
      </c>
      <c r="C111" s="2">
        <v>28524</v>
      </c>
      <c r="D111">
        <f>RTD("tos.rtd", , "LAST", Main_L[[#This Row],[Symbol]])</f>
        <v>243.71</v>
      </c>
      <c r="E111">
        <v>9.1999999999999993</v>
      </c>
      <c r="F111">
        <v>20.329999999999998</v>
      </c>
      <c r="G111">
        <v>6.66</v>
      </c>
      <c r="H111" s="1">
        <f>IF(ISNUMBER(Main_L[[#This Row],[Free CF]]),IF(Main_L[[#This Row],[Free CF]]&lt;&gt;0,Main_L[[#This Row],[Current Price]]/Main_L[[#This Row],[Free CF]],""),"")</f>
        <v>26.490217391304352</v>
      </c>
      <c r="I111" s="1">
        <f>IF(ISNUMBER(Main_L[[#This Row],[BVPS]]),IF(Main_L[[#This Row],[BVPS]]&lt;&gt;0,Main_L[[#This Row],[Current Price]]/Main_L[[#This Row],[BVPS]],""),"")</f>
        <v>11.987702902115101</v>
      </c>
      <c r="J111">
        <v>33.92</v>
      </c>
      <c r="K111">
        <v>9.02</v>
      </c>
      <c r="L111">
        <v>3.48</v>
      </c>
      <c r="M111" s="1">
        <f>IF(ISNUMBER(Main_L[[#This Row],[EPS]]),IF(Main_L[[#This Row],[EPS]]&lt;&gt;0,Main_L[[#This Row],[Current Price]]/Main_L[[#This Row],[EPS]],""),"")</f>
        <v>36.593093093093096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-0.56356194004617277</v>
      </c>
      <c r="P111" s="1">
        <f>(Main_L[[#This Row],[P/B]]-VLOOKUP(Main_L[[#This Row],[Industry]], Mean_PB_L, 2, FALSE))/(VLOOKUP(Main_L[[#This Row],[Industry]], Mean_PB_L, 3, FALSE))</f>
        <v>0.2846989723330845</v>
      </c>
      <c r="Q111" s="1">
        <f>(Main_L[[#This Row],[ROE]]-VLOOKUP(Main_L[[#This Row],[Industry]], Mean_ROE_L, 2, FALSE))/(VLOOKUP(Main_L[[#This Row],[Industry]], Mean_ROE_L, 3, FALSE))</f>
        <v>-1.1722149976567972E-2</v>
      </c>
      <c r="R111" s="1">
        <f>(Main_L[[#This Row],[ROA]]-VLOOKUP(Main_L[[#This Row],[Industry]], Mean_ROA_L, 2, FALSE))/(VLOOKUP(Main_L[[#This Row],[Industry]], Mean_ROA_L, 3, FALSE))</f>
        <v>0.26088262779795185</v>
      </c>
      <c r="S111" s="1">
        <f>(Main_L[[#This Row],[A/E]]-VLOOKUP(Main_L[[#This Row],[Industry]], Mean_AE_L, 2, FALSE))/(VLOOKUP(Main_L[[#This Row],[Industry]], Mean_AE_L, 3, FALSE))</f>
        <v>0.65393162343465128</v>
      </c>
      <c r="T111" s="1">
        <f>(Main_L[[#This Row],[P/E]]-VLOOKUP(Main_L[[#This Row],[Industry]], Mean_PE_L, 2, FALSE))/(VLOOKUP(Main_L[[#This Row],[Industry]], Mean_PE_L, 3, FALSE))</f>
        <v>-0.49912061999161927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2" spans="1:26" x14ac:dyDescent="0.25">
      <c r="A112" s="67" t="s">
        <v>203</v>
      </c>
      <c r="B112" s="67" t="s">
        <v>213</v>
      </c>
      <c r="C112" s="2">
        <v>19117</v>
      </c>
      <c r="D112">
        <f>RTD("tos.rtd", , "LAST", Main_L[[#This Row],[Symbol]])</f>
        <v>146.34</v>
      </c>
      <c r="E112">
        <v>8.93</v>
      </c>
      <c r="F112">
        <v>33.07</v>
      </c>
      <c r="G112">
        <v>9.91</v>
      </c>
      <c r="H112" s="1">
        <f>IF(ISNUMBER(Main_L[[#This Row],[Free CF]]),IF(Main_L[[#This Row],[Free CF]]&lt;&gt;0,Main_L[[#This Row],[Current Price]]/Main_L[[#This Row],[Free CF]],""),"")</f>
        <v>16.387458006718926</v>
      </c>
      <c r="I112" s="1">
        <f>IF(ISNUMBER(Main_L[[#This Row],[BVPS]]),IF(Main_L[[#This Row],[BVPS]]&lt;&gt;0,Main_L[[#This Row],[Current Price]]/Main_L[[#This Row],[BVPS]],""),"")</f>
        <v>4.425158754157847</v>
      </c>
      <c r="J112">
        <v>30.95</v>
      </c>
      <c r="K112">
        <v>9.27</v>
      </c>
      <c r="L112">
        <v>3.1</v>
      </c>
      <c r="M112" s="1">
        <f>IF(ISNUMBER(Main_L[[#This Row],[EPS]]),IF(Main_L[[#This Row],[EPS]]&lt;&gt;0,Main_L[[#This Row],[Current Price]]/Main_L[[#This Row],[EPS]],""),"")</f>
        <v>14.766902119071645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-1.5434784414854159</v>
      </c>
      <c r="P112" s="1">
        <f>(Main_L[[#This Row],[P/B]]-VLOOKUP(Main_L[[#This Row],[Industry]], Mean_PB_L, 2, FALSE))/(VLOOKUP(Main_L[[#This Row],[Industry]], Mean_PB_L, 3, FALSE))</f>
        <v>-0.9455777881034777</v>
      </c>
      <c r="Q112" s="1">
        <f>(Main_L[[#This Row],[ROE]]-VLOOKUP(Main_L[[#This Row],[Industry]], Mean_ROE_L, 2, FALSE))/(VLOOKUP(Main_L[[#This Row],[Industry]], Mean_ROE_L, 3, FALSE))</f>
        <v>-0.13177313421935369</v>
      </c>
      <c r="R112" s="1">
        <f>(Main_L[[#This Row],[ROA]]-VLOOKUP(Main_L[[#This Row],[Industry]], Mean_ROA_L, 2, FALSE))/(VLOOKUP(Main_L[[#This Row],[Industry]], Mean_ROA_L, 3, FALSE))</f>
        <v>0.33106267473068646</v>
      </c>
      <c r="S112" s="1">
        <f>(Main_L[[#This Row],[A/E]]-VLOOKUP(Main_L[[#This Row],[Industry]], Mean_AE_L, 2, FALSE))/(VLOOKUP(Main_L[[#This Row],[Industry]], Mean_AE_L, 3, FALSE))</f>
        <v>0.14852006362753115</v>
      </c>
      <c r="T112" s="1">
        <f>(Main_L[[#This Row],[P/E]]-VLOOKUP(Main_L[[#This Row],[Industry]], Mean_PE_L, 2, FALSE))/(VLOOKUP(Main_L[[#This Row],[Industry]], Mean_PE_L, 3, FALSE))</f>
        <v>-3.4721040155216194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3" spans="1:26" x14ac:dyDescent="0.25">
      <c r="A113" s="67" t="s">
        <v>203</v>
      </c>
      <c r="B113" s="67" t="s">
        <v>209</v>
      </c>
      <c r="C113" s="2">
        <v>13195</v>
      </c>
      <c r="D113">
        <f>RTD("tos.rtd", , "LAST", Main_L[[#This Row],[Symbol]])</f>
        <v>101.9</v>
      </c>
      <c r="E113">
        <v>7.13</v>
      </c>
      <c r="F113">
        <v>8.0299999999999994</v>
      </c>
      <c r="G113">
        <v>7.25</v>
      </c>
      <c r="H113" s="1">
        <f>IF(ISNUMBER(Main_L[[#This Row],[Free CF]]),IF(Main_L[[#This Row],[Free CF]]&lt;&gt;0,Main_L[[#This Row],[Current Price]]/Main_L[[#This Row],[Free CF]],""),"")</f>
        <v>14.291725105189341</v>
      </c>
      <c r="I113" s="1">
        <f>IF(ISNUMBER(Main_L[[#This Row],[BVPS]]),IF(Main_L[[#This Row],[BVPS]]&lt;&gt;0,Main_L[[#This Row],[Current Price]]/Main_L[[#This Row],[BVPS]],""),"")</f>
        <v>12.68991282689913</v>
      </c>
      <c r="J113">
        <v>91.22</v>
      </c>
      <c r="K113">
        <v>11.25</v>
      </c>
      <c r="L113">
        <v>7.29</v>
      </c>
      <c r="M113" s="1">
        <f>IF(ISNUMBER(Main_L[[#This Row],[EPS]]),IF(Main_L[[#This Row],[EPS]]&lt;&gt;0,Main_L[[#This Row],[Current Price]]/Main_L[[#This Row],[EPS]],""),"")</f>
        <v>14.055172413793104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-1.7467539204551901</v>
      </c>
      <c r="P113" s="1">
        <f>(Main_L[[#This Row],[P/B]]-VLOOKUP(Main_L[[#This Row],[Industry]], Mean_PB_L, 2, FALSE))/(VLOOKUP(Main_L[[#This Row],[Industry]], Mean_PB_L, 3, FALSE))</f>
        <v>0.39893467588835585</v>
      </c>
      <c r="Q113" s="1">
        <f>(Main_L[[#This Row],[ROE]]-VLOOKUP(Main_L[[#This Row],[Industry]], Mean_ROE_L, 2, FALSE))/(VLOOKUP(Main_L[[#This Row],[Industry]], Mean_ROE_L, 3, FALSE))</f>
        <v>2.3044130005660639</v>
      </c>
      <c r="R113" s="1">
        <f>(Main_L[[#This Row],[ROA]]-VLOOKUP(Main_L[[#This Row],[Industry]], Mean_ROA_L, 2, FALSE))/(VLOOKUP(Main_L[[#This Row],[Industry]], Mean_ROA_L, 3, FALSE))</f>
        <v>0.88688864643794474</v>
      </c>
      <c r="S113" s="1">
        <f>(Main_L[[#This Row],[A/E]]-VLOOKUP(Main_L[[#This Row],[Industry]], Mean_AE_L, 2, FALSE))/(VLOOKUP(Main_L[[#This Row],[Industry]], Mean_AE_L, 3, FALSE))</f>
        <v>5.7213475257113044</v>
      </c>
      <c r="T113" s="1">
        <f>(Main_L[[#This Row],[P/E]]-VLOOKUP(Main_L[[#This Row],[Industry]], Mean_PE_L, 2, FALSE))/(VLOOKUP(Main_L[[#This Row],[Industry]], Mean_PE_L, 3, FALSE))</f>
        <v>-3.5690499553063986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4" spans="1:26" x14ac:dyDescent="0.25">
      <c r="A114" s="67" t="s">
        <v>203</v>
      </c>
      <c r="B114" s="67" t="s">
        <v>219</v>
      </c>
      <c r="C114" s="2">
        <v>43943</v>
      </c>
      <c r="D114">
        <f>RTD("tos.rtd", , "LAST", Main_L[[#This Row],[Symbol]])</f>
        <v>313.27</v>
      </c>
      <c r="E114">
        <v>7.03</v>
      </c>
      <c r="F114">
        <v>0.88</v>
      </c>
      <c r="G114">
        <v>6.79</v>
      </c>
      <c r="H114" s="1">
        <f>IF(ISNUMBER(Main_L[[#This Row],[Free CF]]),IF(Main_L[[#This Row],[Free CF]]&lt;&gt;0,Main_L[[#This Row],[Current Price]]/Main_L[[#This Row],[Free CF]],""),"")</f>
        <v>44.56187766714082</v>
      </c>
      <c r="I114" s="1">
        <f>IF(ISNUMBER(Main_L[[#This Row],[BVPS]]),IF(Main_L[[#This Row],[BVPS]]&lt;&gt;0,Main_L[[#This Row],[Current Price]]/Main_L[[#This Row],[BVPS]],""),"")</f>
        <v>355.98863636363632</v>
      </c>
      <c r="J114">
        <v>468.22</v>
      </c>
      <c r="K114">
        <v>16.7</v>
      </c>
      <c r="L114">
        <v>41.64</v>
      </c>
      <c r="M114" s="1">
        <f>IF(ISNUMBER(Main_L[[#This Row],[EPS]]),IF(Main_L[[#This Row],[EPS]]&lt;&gt;0,Main_L[[#This Row],[Current Price]]/Main_L[[#This Row],[EPS]],""),"")</f>
        <v>46.136966126656844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4" s="1">
        <f>(Main_L[[#This Row],[P/FCF]]-VLOOKUP(Main_L[[#This Row],[Industry]], Mean_PFCF_L, 2, FALSE))/(VLOOKUP(Main_L[[#This Row],[Industry]], Mean_PFCF_L, 3, FALSE))</f>
        <v>1.1892975945197801</v>
      </c>
      <c r="P114" s="1">
        <f>(Main_L[[#This Row],[P/B]]-VLOOKUP(Main_L[[#This Row],[Industry]], Mean_PB_L, 2, FALSE))/(VLOOKUP(Main_L[[#This Row],[Industry]], Mean_PB_L, 3, FALSE))</f>
        <v>56.246865371124969</v>
      </c>
      <c r="Q114" s="1">
        <f>(Main_L[[#This Row],[ROE]]-VLOOKUP(Main_L[[#This Row],[Industry]], Mean_ROE_L, 2, FALSE))/(VLOOKUP(Main_L[[#This Row],[Industry]], Mean_ROE_L, 3, FALSE))</f>
        <v>17.543207970104849</v>
      </c>
      <c r="R114" s="1">
        <f>(Main_L[[#This Row],[ROA]]-VLOOKUP(Main_L[[#This Row],[Industry]], Mean_ROA_L, 2, FALSE))/(VLOOKUP(Main_L[[#This Row],[Industry]], Mean_ROA_L, 3, FALSE))</f>
        <v>2.4168136695715594</v>
      </c>
      <c r="S114" s="1">
        <f>(Main_L[[#This Row],[A/E]]-VLOOKUP(Main_L[[#This Row],[Industry]], Mean_AE_L, 2, FALSE))/(VLOOKUP(Main_L[[#This Row],[Industry]], Mean_AE_L, 3, FALSE))</f>
        <v>51.40789247143389</v>
      </c>
      <c r="T114" s="1">
        <f>(Main_L[[#This Row],[P/E]]-VLOOKUP(Main_L[[#This Row],[Industry]], Mean_PE_L, 2, FALSE))/(VLOOKUP(Main_L[[#This Row],[Industry]], Mean_PE_L, 3, FALSE))</f>
        <v>0.80086690836838403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s="67" t="s">
        <v>203</v>
      </c>
      <c r="B115" s="67" t="s">
        <v>206</v>
      </c>
      <c r="C115" s="2">
        <v>14514</v>
      </c>
      <c r="D115">
        <f>RTD("tos.rtd", , "LAST", Main_L[[#This Row],[Symbol]])</f>
        <v>258.45</v>
      </c>
      <c r="E115">
        <v>6.79</v>
      </c>
      <c r="F115">
        <v>31.71</v>
      </c>
      <c r="G115">
        <v>7.02</v>
      </c>
      <c r="H115" s="1">
        <f>IF(ISNUMBER(Main_L[[#This Row],[Free CF]]),IF(Main_L[[#This Row],[Free CF]]&lt;&gt;0,Main_L[[#This Row],[Current Price]]/Main_L[[#This Row],[Free CF]],""),"")</f>
        <v>38.063328424153163</v>
      </c>
      <c r="I115" s="1">
        <f>IF(ISNUMBER(Main_L[[#This Row],[BVPS]]),IF(Main_L[[#This Row],[BVPS]]&lt;&gt;0,Main_L[[#This Row],[Current Price]]/Main_L[[#This Row],[BVPS]],""),"")</f>
        <v>8.1504257332071894</v>
      </c>
      <c r="J115">
        <v>24.99</v>
      </c>
      <c r="K115">
        <v>5.59</v>
      </c>
      <c r="L115">
        <v>2.66</v>
      </c>
      <c r="M115" s="1">
        <f>IF(ISNUMBER(Main_L[[#This Row],[EPS]]),IF(Main_L[[#This Row],[EPS]]&lt;&gt;0,Main_L[[#This Row],[Current Price]]/Main_L[[#This Row],[EPS]],""),"")</f>
        <v>36.816239316239319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0.55897122563334289</v>
      </c>
      <c r="P115" s="1">
        <f>(Main_L[[#This Row],[P/B]]-VLOOKUP(Main_L[[#This Row],[Industry]], Mean_PB_L, 2, FALSE))/(VLOOKUP(Main_L[[#This Row],[Industry]], Mean_PB_L, 3, FALSE))</f>
        <v>-0.3395503321204163</v>
      </c>
      <c r="Q115" s="1">
        <f>(Main_L[[#This Row],[ROE]]-VLOOKUP(Main_L[[#This Row],[Industry]], Mean_ROE_L, 2, FALSE))/(VLOOKUP(Main_L[[#This Row],[Industry]], Mean_ROE_L, 3, FALSE))</f>
        <v>-0.37268352684124006</v>
      </c>
      <c r="R115" s="1">
        <f>(Main_L[[#This Row],[ROA]]-VLOOKUP(Main_L[[#This Row],[Industry]], Mean_ROA_L, 2, FALSE))/(VLOOKUP(Main_L[[#This Row],[Industry]], Mean_ROA_L, 3, FALSE))</f>
        <v>-0.70198761611916705</v>
      </c>
      <c r="S115" s="1">
        <f>(Main_L[[#This Row],[A/E]]-VLOOKUP(Main_L[[#This Row],[Industry]], Mean_AE_L, 2, FALSE))/(VLOOKUP(Main_L[[#This Row],[Industry]], Mean_AE_L, 3, FALSE))</f>
        <v>-0.43669332141229228</v>
      </c>
      <c r="T115" s="1">
        <f>(Main_L[[#This Row],[P/E]]-VLOOKUP(Main_L[[#This Row],[Industry]], Mean_PE_L, 2, FALSE))/(VLOOKUP(Main_L[[#This Row],[Industry]], Mean_PE_L, 3, FALSE))</f>
        <v>-0.4687254852208031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6" spans="1:26" x14ac:dyDescent="0.25">
      <c r="A116" s="67" t="s">
        <v>203</v>
      </c>
      <c r="B116" s="67" t="s">
        <v>211</v>
      </c>
      <c r="C116" s="2">
        <v>32812</v>
      </c>
      <c r="D116">
        <f>RTD("tos.rtd", , "LAST", Main_L[[#This Row],[Symbol]])</f>
        <v>268.52</v>
      </c>
      <c r="E116">
        <v>6.53</v>
      </c>
      <c r="F116">
        <v>40.11</v>
      </c>
      <c r="G116">
        <v>4.9000000000000004</v>
      </c>
      <c r="H116" s="1">
        <f>IF(ISNUMBER(Main_L[[#This Row],[Free CF]]),IF(Main_L[[#This Row],[Free CF]]&lt;&gt;0,Main_L[[#This Row],[Current Price]]/Main_L[[#This Row],[Free CF]],""),"")</f>
        <v>41.120980091883609</v>
      </c>
      <c r="I116" s="1">
        <f>IF(ISNUMBER(Main_L[[#This Row],[BVPS]]),IF(Main_L[[#This Row],[BVPS]]&lt;&gt;0,Main_L[[#This Row],[Current Price]]/Main_L[[#This Row],[BVPS]],""),"")</f>
        <v>6.6945898778359512</v>
      </c>
      <c r="J116">
        <v>12.52</v>
      </c>
      <c r="K116">
        <v>5.64</v>
      </c>
      <c r="L116">
        <v>2.38</v>
      </c>
      <c r="M116" s="1">
        <f>IF(ISNUMBER(Main_L[[#This Row],[EPS]]),IF(Main_L[[#This Row],[EPS]]&lt;&gt;0,Main_L[[#This Row],[Current Price]]/Main_L[[#This Row],[EPS]],""),"")</f>
        <v>54.79999999999999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0.85554795391154892</v>
      </c>
      <c r="P116" s="1">
        <f>(Main_L[[#This Row],[P/B]]-VLOOKUP(Main_L[[#This Row],[Industry]], Mean_PB_L, 2, FALSE))/(VLOOKUP(Main_L[[#This Row],[Industry]], Mean_PB_L, 3, FALSE))</f>
        <v>-0.57638610918590472</v>
      </c>
      <c r="Q116" s="1">
        <f>(Main_L[[#This Row],[ROE]]-VLOOKUP(Main_L[[#This Row],[Industry]], Mean_ROE_L, 2, FALSE))/(VLOOKUP(Main_L[[#This Row],[Industry]], Mean_ROE_L, 3, FALSE))</f>
        <v>-0.87673597583367668</v>
      </c>
      <c r="R116" s="1">
        <f>(Main_L[[#This Row],[ROA]]-VLOOKUP(Main_L[[#This Row],[Industry]], Mean_ROA_L, 2, FALSE))/(VLOOKUP(Main_L[[#This Row],[Industry]], Mean_ROA_L, 3, FALSE))</f>
        <v>-0.68795160673262012</v>
      </c>
      <c r="S116" s="1">
        <f>(Main_L[[#This Row],[A/E]]-VLOOKUP(Main_L[[#This Row],[Industry]], Mean_AE_L, 2, FALSE))/(VLOOKUP(Main_L[[#This Row],[Industry]], Mean_AE_L, 3, FALSE))</f>
        <v>-0.80910183916490752</v>
      </c>
      <c r="T116" s="1">
        <f>(Main_L[[#This Row],[P/E]]-VLOOKUP(Main_L[[#This Row],[Industry]], Mean_PE_L, 2, FALSE))/(VLOOKUP(Main_L[[#This Row],[Industry]], Mean_PE_L, 3, FALSE))</f>
        <v>1.9808738042586465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s="67" t="s">
        <v>203</v>
      </c>
      <c r="B117" s="67" t="s">
        <v>208</v>
      </c>
      <c r="C117" s="2">
        <v>10543</v>
      </c>
      <c r="D117">
        <f>RTD("tos.rtd", , "LAST", Main_L[[#This Row],[Symbol]])</f>
        <v>186.12</v>
      </c>
      <c r="E117">
        <v>6.01</v>
      </c>
      <c r="F117">
        <v>21.76</v>
      </c>
      <c r="G117">
        <v>4.01</v>
      </c>
      <c r="H117" s="1">
        <f>IF(ISNUMBER(Main_L[[#This Row],[Free CF]]),IF(Main_L[[#This Row],[Free CF]]&lt;&gt;0,Main_L[[#This Row],[Current Price]]/Main_L[[#This Row],[Free CF]],""),"")</f>
        <v>30.96838602329451</v>
      </c>
      <c r="I117" s="1">
        <f>IF(ISNUMBER(Main_L[[#This Row],[BVPS]]),IF(Main_L[[#This Row],[BVPS]]&lt;&gt;0,Main_L[[#This Row],[Current Price]]/Main_L[[#This Row],[BVPS]],""),"")</f>
        <v>8.5533088235294112</v>
      </c>
      <c r="J117">
        <v>19.7</v>
      </c>
      <c r="K117">
        <v>3.68</v>
      </c>
      <c r="L117">
        <v>4.28</v>
      </c>
      <c r="M117" s="1">
        <f>IF(ISNUMBER(Main_L[[#This Row],[EPS]]),IF(Main_L[[#This Row],[EPS]]&lt;&gt;0,Main_L[[#This Row],[Current Price]]/Main_L[[#This Row],[EPS]],""),"")</f>
        <v>46.413965087281802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-0.12920225952064945</v>
      </c>
      <c r="P117" s="1">
        <f>(Main_L[[#This Row],[P/B]]-VLOOKUP(Main_L[[#This Row],[Industry]], Mean_PB_L, 2, FALSE))/(VLOOKUP(Main_L[[#This Row],[Industry]], Mean_PB_L, 3, FALSE))</f>
        <v>-0.27400920026068654</v>
      </c>
      <c r="Q117" s="1">
        <f>(Main_L[[#This Row],[ROE]]-VLOOKUP(Main_L[[#This Row],[Industry]], Mean_ROE_L, 2, FALSE))/(VLOOKUP(Main_L[[#This Row],[Industry]], Mean_ROE_L, 3, FALSE))</f>
        <v>-0.58651171089657195</v>
      </c>
      <c r="R117" s="1">
        <f>(Main_L[[#This Row],[ROA]]-VLOOKUP(Main_L[[#This Row],[Industry]], Mean_ROA_L, 2, FALSE))/(VLOOKUP(Main_L[[#This Row],[Industry]], Mean_ROA_L, 3, FALSE))</f>
        <v>-1.2381631746852595</v>
      </c>
      <c r="S117" s="1">
        <f>(Main_L[[#This Row],[A/E]]-VLOOKUP(Main_L[[#This Row],[Industry]], Mean_AE_L, 2, FALSE))/(VLOOKUP(Main_L[[#This Row],[Industry]], Mean_AE_L, 3, FALSE))</f>
        <v>1.7179559598706942</v>
      </c>
      <c r="T117" s="1">
        <f>(Main_L[[#This Row],[P/E]]-VLOOKUP(Main_L[[#This Row],[Industry]], Mean_PE_L, 2, FALSE))/(VLOOKUP(Main_L[[#This Row],[Industry]], Mean_PE_L, 3, FALSE))</f>
        <v>0.83859741808019095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s="67" t="s">
        <v>203</v>
      </c>
      <c r="B118" s="67" t="s">
        <v>221</v>
      </c>
      <c r="C118" s="2">
        <v>19933</v>
      </c>
      <c r="D118">
        <f>RTD("tos.rtd", , "LAST", Main_L[[#This Row],[Symbol]])</f>
        <v>81.22</v>
      </c>
      <c r="E118">
        <v>4.96</v>
      </c>
      <c r="F118">
        <v>27.53</v>
      </c>
      <c r="G118">
        <v>3.22</v>
      </c>
      <c r="H118" s="1">
        <f>IF(ISNUMBER(Main_L[[#This Row],[Free CF]]),IF(Main_L[[#This Row],[Free CF]]&lt;&gt;0,Main_L[[#This Row],[Current Price]]/Main_L[[#This Row],[Free CF]],""),"")</f>
        <v>16.375</v>
      </c>
      <c r="I118" s="1">
        <f>IF(ISNUMBER(Main_L[[#This Row],[BVPS]]),IF(Main_L[[#This Row],[BVPS]]&lt;&gt;0,Main_L[[#This Row],[Current Price]]/Main_L[[#This Row],[BVPS]],""),"")</f>
        <v>2.9502361060661095</v>
      </c>
      <c r="J118">
        <v>12.24</v>
      </c>
      <c r="K118">
        <v>4.53</v>
      </c>
      <c r="L118">
        <v>3.01</v>
      </c>
      <c r="M118" s="1">
        <f>IF(ISNUMBER(Main_L[[#This Row],[EPS]]),IF(Main_L[[#This Row],[EPS]]&lt;&gt;0,Main_L[[#This Row],[Current Price]]/Main_L[[#This Row],[EPS]],""),"")</f>
        <v>25.223602484472046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-1.5446868050516653</v>
      </c>
      <c r="P118" s="1">
        <f>(Main_L[[#This Row],[P/B]]-VLOOKUP(Main_L[[#This Row],[Industry]], Mean_PB_L, 2, FALSE))/(VLOOKUP(Main_L[[#This Row],[Industry]], Mean_PB_L, 3, FALSE))</f>
        <v>-1.1855186098544432</v>
      </c>
      <c r="Q118" s="1">
        <f>(Main_L[[#This Row],[ROE]]-VLOOKUP(Main_L[[#This Row],[Industry]], Mean_ROE_L, 2, FALSE))/(VLOOKUP(Main_L[[#This Row],[Industry]], Mean_ROE_L, 3, FALSE))</f>
        <v>-0.88805391374208731</v>
      </c>
      <c r="R118" s="1">
        <f>(Main_L[[#This Row],[ROA]]-VLOOKUP(Main_L[[#This Row],[Industry]], Mean_ROA_L, 2, FALSE))/(VLOOKUP(Main_L[[#This Row],[Industry]], Mean_ROA_L, 3, FALSE))</f>
        <v>-0.99955101511396172</v>
      </c>
      <c r="S118" s="1">
        <f>(Main_L[[#This Row],[A/E]]-VLOOKUP(Main_L[[#This Row],[Industry]], Mean_AE_L, 2, FALSE))/(VLOOKUP(Main_L[[#This Row],[Industry]], Mean_AE_L, 3, FALSE))</f>
        <v>2.8817325778475934E-2</v>
      </c>
      <c r="T118" s="1">
        <f>(Main_L[[#This Row],[P/E]]-VLOOKUP(Main_L[[#This Row],[Industry]], Mean_PE_L, 2, FALSE))/(VLOOKUP(Main_L[[#This Row],[Industry]], Mean_PE_L, 3, FALSE))</f>
        <v>-2.0477786902566759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9" spans="1:26" x14ac:dyDescent="0.25">
      <c r="A119" s="67" t="s">
        <v>203</v>
      </c>
      <c r="B119" s="67" t="s">
        <v>212</v>
      </c>
      <c r="C119" s="2">
        <v>15176</v>
      </c>
      <c r="D119">
        <f>RTD("tos.rtd", , "LAST", Main_L[[#This Row],[Symbol]])</f>
        <v>127.74</v>
      </c>
      <c r="E119">
        <v>4.7300000000000004</v>
      </c>
      <c r="F119">
        <v>32.1</v>
      </c>
      <c r="G119">
        <v>3.07</v>
      </c>
      <c r="H119" s="1">
        <f>IF(ISNUMBER(Main_L[[#This Row],[Free CF]]),IF(Main_L[[#This Row],[Free CF]]&lt;&gt;0,Main_L[[#This Row],[Current Price]]/Main_L[[#This Row],[Free CF]],""),"")</f>
        <v>27.006342494714584</v>
      </c>
      <c r="I119" s="1">
        <f>IF(ISNUMBER(Main_L[[#This Row],[BVPS]]),IF(Main_L[[#This Row],[BVPS]]&lt;&gt;0,Main_L[[#This Row],[Current Price]]/Main_L[[#This Row],[BVPS]],""),"")</f>
        <v>3.9794392523364484</v>
      </c>
      <c r="J119">
        <v>6.8</v>
      </c>
      <c r="K119">
        <v>5.0599999999999996</v>
      </c>
      <c r="L119">
        <v>2.9</v>
      </c>
      <c r="M119" s="1">
        <f>IF(ISNUMBER(Main_L[[#This Row],[EPS]]),IF(Main_L[[#This Row],[EPS]]&lt;&gt;0,Main_L[[#This Row],[Current Price]]/Main_L[[#This Row],[EPS]],""),"")</f>
        <v>41.609120521172642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-0.51350041859586493</v>
      </c>
      <c r="P119" s="1">
        <f>(Main_L[[#This Row],[P/B]]-VLOOKUP(Main_L[[#This Row],[Industry]], Mean_PB_L, 2, FALSE))/(VLOOKUP(Main_L[[#This Row],[Industry]], Mean_PB_L, 3, FALSE))</f>
        <v>-1.0180875591588108</v>
      </c>
      <c r="Q119" s="1">
        <f>(Main_L[[#This Row],[ROE]]-VLOOKUP(Main_L[[#This Row],[Industry]], Mean_ROE_L, 2, FALSE))/(VLOOKUP(Main_L[[#This Row],[Industry]], Mean_ROE_L, 3, FALSE))</f>
        <v>-1.1079452788197823</v>
      </c>
      <c r="R119" s="1">
        <f>(Main_L[[#This Row],[ROA]]-VLOOKUP(Main_L[[#This Row],[Industry]], Mean_ROA_L, 2, FALSE))/(VLOOKUP(Main_L[[#This Row],[Industry]], Mean_ROA_L, 3, FALSE))</f>
        <v>-0.85076931561656455</v>
      </c>
      <c r="S119" s="1">
        <f>(Main_L[[#This Row],[A/E]]-VLOOKUP(Main_L[[#This Row],[Industry]], Mean_AE_L, 2, FALSE))/(VLOOKUP(Main_L[[#This Row],[Industry]], Mean_AE_L, 3, FALSE))</f>
        <v>-0.11748602048147977</v>
      </c>
      <c r="T119" s="1">
        <f>(Main_L[[#This Row],[P/E]]-VLOOKUP(Main_L[[#This Row],[Industry]], Mean_PE_L, 2, FALSE))/(VLOOKUP(Main_L[[#This Row],[Industry]], Mean_PE_L, 3, FALSE))</f>
        <v>0.1841211913236567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s="67" t="s">
        <v>203</v>
      </c>
      <c r="B120" s="67" t="s">
        <v>207</v>
      </c>
      <c r="C120" s="2">
        <v>56878</v>
      </c>
      <c r="D120">
        <f>RTD("tos.rtd", , "LAST", Main_L[[#This Row],[Symbol]])</f>
        <v>156.97</v>
      </c>
      <c r="E120">
        <v>4.46</v>
      </c>
      <c r="F120">
        <v>11.43</v>
      </c>
      <c r="G120">
        <v>4.8099999999999996</v>
      </c>
      <c r="H120" s="1">
        <f>IF(ISNUMBER(Main_L[[#This Row],[Free CF]]),IF(Main_L[[#This Row],[Free CF]]&lt;&gt;0,Main_L[[#This Row],[Current Price]]/Main_L[[#This Row],[Free CF]],""),"")</f>
        <v>35.195067264573993</v>
      </c>
      <c r="I120" s="1">
        <f>IF(ISNUMBER(Main_L[[#This Row],[BVPS]]),IF(Main_L[[#This Row],[BVPS]]&lt;&gt;0,Main_L[[#This Row],[Current Price]]/Main_L[[#This Row],[BVPS]],""),"")</f>
        <v>13.7331583552056</v>
      </c>
      <c r="J120">
        <v>44.25</v>
      </c>
      <c r="K120">
        <v>11.64</v>
      </c>
      <c r="L120">
        <v>2.73</v>
      </c>
      <c r="M120" s="1">
        <f>IF(ISNUMBER(Main_L[[#This Row],[EPS]]),IF(Main_L[[#This Row],[EPS]]&lt;&gt;0,Main_L[[#This Row],[Current Price]]/Main_L[[#This Row],[EPS]],""),"")</f>
        <v>32.634095634095637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0.28076441760054682</v>
      </c>
      <c r="P120" s="1">
        <f>(Main_L[[#This Row],[P/B]]-VLOOKUP(Main_L[[#This Row],[Industry]], Mean_PB_L, 2, FALSE))/(VLOOKUP(Main_L[[#This Row],[Industry]], Mean_PB_L, 3, FALSE))</f>
        <v>0.56865014515295487</v>
      </c>
      <c r="Q120" s="1">
        <f>(Main_L[[#This Row],[ROE]]-VLOOKUP(Main_L[[#This Row],[Industry]], Mean_ROE_L, 2, FALSE))/(VLOOKUP(Main_L[[#This Row],[Industry]], Mean_ROE_L, 3, FALSE))</f>
        <v>0.40582891643015773</v>
      </c>
      <c r="R120" s="1">
        <f>(Main_L[[#This Row],[ROA]]-VLOOKUP(Main_L[[#This Row],[Industry]], Mean_ROA_L, 2, FALSE))/(VLOOKUP(Main_L[[#This Row],[Industry]], Mean_ROA_L, 3, FALSE))</f>
        <v>0.9963695196530109</v>
      </c>
      <c r="S120" s="1">
        <f>(Main_L[[#This Row],[A/E]]-VLOOKUP(Main_L[[#This Row],[Industry]], Mean_AE_L, 2, FALSE))/(VLOOKUP(Main_L[[#This Row],[Industry]], Mean_AE_L, 3, FALSE))</f>
        <v>-0.34359119197413873</v>
      </c>
      <c r="T120" s="1">
        <f>(Main_L[[#This Row],[P/E]]-VLOOKUP(Main_L[[#This Row],[Industry]], Mean_PE_L, 2, FALSE))/(VLOOKUP(Main_L[[#This Row],[Industry]], Mean_PE_L, 3, FALSE))</f>
        <v>-1.0383825426309909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1" spans="1:26" x14ac:dyDescent="0.25">
      <c r="A121" s="67" t="s">
        <v>203</v>
      </c>
      <c r="B121" s="67" t="s">
        <v>216</v>
      </c>
      <c r="C121" s="2">
        <v>89485</v>
      </c>
      <c r="D121">
        <f>RTD("tos.rtd", , "LAST", Main_L[[#This Row],[Symbol]])</f>
        <v>192.66</v>
      </c>
      <c r="E121">
        <v>4.1100000000000003</v>
      </c>
      <c r="F121">
        <v>27.3</v>
      </c>
      <c r="G121">
        <v>4.76</v>
      </c>
      <c r="H121" s="1">
        <f>IF(ISNUMBER(Main_L[[#This Row],[Free CF]]),IF(Main_L[[#This Row],[Free CF]]&lt;&gt;0,Main_L[[#This Row],[Current Price]]/Main_L[[#This Row],[Free CF]],""),"")</f>
        <v>46.87591240875912</v>
      </c>
      <c r="I121" s="1">
        <f>IF(ISNUMBER(Main_L[[#This Row],[BVPS]]),IF(Main_L[[#This Row],[BVPS]]&lt;&gt;0,Main_L[[#This Row],[Current Price]]/Main_L[[#This Row],[BVPS]],""),"")</f>
        <v>7.0571428571428569</v>
      </c>
      <c r="J121">
        <v>18.46</v>
      </c>
      <c r="K121">
        <v>6.35</v>
      </c>
      <c r="L121">
        <v>1.5</v>
      </c>
      <c r="M121" s="1">
        <f>IF(ISNUMBER(Main_L[[#This Row],[EPS]]),IF(Main_L[[#This Row],[EPS]]&lt;&gt;0,Main_L[[#This Row],[Current Price]]/Main_L[[#This Row],[EPS]],""),"")</f>
        <v>40.47478991596639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1.4137472465302263</v>
      </c>
      <c r="P121" s="1">
        <f>(Main_L[[#This Row],[P/B]]-VLOOKUP(Main_L[[#This Row],[Industry]], Mean_PB_L, 2, FALSE))/(VLOOKUP(Main_L[[#This Row],[Industry]], Mean_PB_L, 3, FALSE))</f>
        <v>-0.51740589087024624</v>
      </c>
      <c r="Q121" s="1">
        <f>(Main_L[[#This Row],[ROE]]-VLOOKUP(Main_L[[#This Row],[Industry]], Mean_ROE_L, 2, FALSE))/(VLOOKUP(Main_L[[#This Row],[Industry]], Mean_ROE_L, 3, FALSE))</f>
        <v>-0.63663400734810527</v>
      </c>
      <c r="R121" s="1">
        <f>(Main_L[[#This Row],[ROA]]-VLOOKUP(Main_L[[#This Row],[Industry]], Mean_ROA_L, 2, FALSE))/(VLOOKUP(Main_L[[#This Row],[Industry]], Mean_ROA_L, 3, FALSE))</f>
        <v>-0.48864027344365385</v>
      </c>
      <c r="S121" s="1">
        <f>(Main_L[[#This Row],[A/E]]-VLOOKUP(Main_L[[#This Row],[Industry]], Mean_AE_L, 2, FALSE))/(VLOOKUP(Main_L[[#This Row],[Industry]], Mean_AE_L, 3, FALSE))</f>
        <v>-1.9795286092445543</v>
      </c>
      <c r="T121" s="1">
        <f>(Main_L[[#This Row],[P/E]]-VLOOKUP(Main_L[[#This Row],[Industry]], Mean_PE_L, 2, FALSE))/(VLOOKUP(Main_L[[#This Row],[Industry]], Mean_PE_L, 3, FALSE))</f>
        <v>2.9612048691595741E-2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2" spans="1:26" x14ac:dyDescent="0.25">
      <c r="A122" s="67" t="s">
        <v>203</v>
      </c>
      <c r="B122" s="67" t="s">
        <v>217</v>
      </c>
      <c r="C122" s="2">
        <v>16706</v>
      </c>
      <c r="D122">
        <f>RTD("tos.rtd", , "LAST", Main_L[[#This Row],[Symbol]])</f>
        <v>87.36</v>
      </c>
      <c r="E122">
        <v>2.62</v>
      </c>
      <c r="F122">
        <v>22.48</v>
      </c>
      <c r="G122">
        <v>1.87</v>
      </c>
      <c r="H122" s="1">
        <f>IF(ISNUMBER(Main_L[[#This Row],[Free CF]]),IF(Main_L[[#This Row],[Free CF]]&lt;&gt;0,Main_L[[#This Row],[Current Price]]/Main_L[[#This Row],[Free CF]],""),"")</f>
        <v>33.343511450381676</v>
      </c>
      <c r="I122" s="1">
        <f>IF(ISNUMBER(Main_L[[#This Row],[BVPS]]),IF(Main_L[[#This Row],[BVPS]]&lt;&gt;0,Main_L[[#This Row],[Current Price]]/Main_L[[#This Row],[BVPS]],""),"")</f>
        <v>3.8861209964412811</v>
      </c>
      <c r="J122">
        <v>8.89</v>
      </c>
      <c r="K122">
        <v>4.9400000000000004</v>
      </c>
      <c r="L122">
        <v>2.5</v>
      </c>
      <c r="M122" s="1">
        <f>IF(ISNUMBER(Main_L[[#This Row],[EPS]]),IF(Main_L[[#This Row],[EPS]]&lt;&gt;0,Main_L[[#This Row],[Current Price]]/Main_L[[#This Row],[EPS]],""),"")</f>
        <v>46.716577540106947</v>
      </c>
      <c r="N1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2" s="1">
        <f>(Main_L[[#This Row],[P/FCF]]-VLOOKUP(Main_L[[#This Row],[Industry]], Mean_PFCF_L, 2, FALSE))/(VLOOKUP(Main_L[[#This Row],[Industry]], Mean_PFCF_L, 3, FALSE))</f>
        <v>0.10117287962616414</v>
      </c>
      <c r="P122" s="1">
        <f>(Main_L[[#This Row],[P/B]]-VLOOKUP(Main_L[[#This Row],[Industry]], Mean_PB_L, 2, FALSE))/(VLOOKUP(Main_L[[#This Row],[Industry]], Mean_PB_L, 3, FALSE))</f>
        <v>-1.0332685986748982</v>
      </c>
      <c r="Q122" s="1">
        <f>(Main_L[[#This Row],[ROE]]-VLOOKUP(Main_L[[#This Row],[Industry]], Mean_ROE_L, 2, FALSE))/(VLOOKUP(Main_L[[#This Row],[Industry]], Mean_ROE_L, 3, FALSE))</f>
        <v>-1.023464956574859</v>
      </c>
      <c r="R122" s="1">
        <f>(Main_L[[#This Row],[ROA]]-VLOOKUP(Main_L[[#This Row],[Industry]], Mean_ROA_L, 2, FALSE))/(VLOOKUP(Main_L[[#This Row],[Industry]], Mean_ROA_L, 3, FALSE))</f>
        <v>-0.88445573814427692</v>
      </c>
      <c r="S122" s="1">
        <f>(Main_L[[#This Row],[A/E]]-VLOOKUP(Main_L[[#This Row],[Industry]], Mean_AE_L, 2, FALSE))/(VLOOKUP(Main_L[[#This Row],[Industry]], Mean_AE_L, 3, FALSE))</f>
        <v>-0.64949818869950093</v>
      </c>
      <c r="T122" s="1">
        <f>(Main_L[[#This Row],[P/E]]-VLOOKUP(Main_L[[#This Row],[Industry]], Mean_PE_L, 2, FALSE))/(VLOOKUP(Main_L[[#This Row],[Industry]], Mean_PE_L, 3, FALSE))</f>
        <v>0.8798167860679712</v>
      </c>
      <c r="U1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3" spans="1:26" x14ac:dyDescent="0.25">
      <c r="A123" s="67" t="s">
        <v>203</v>
      </c>
      <c r="B123" s="67" t="s">
        <v>218</v>
      </c>
      <c r="C123" s="2">
        <v>14336</v>
      </c>
      <c r="D123">
        <f>RTD("tos.rtd", , "LAST", Main_L[[#This Row],[Symbol]])</f>
        <v>70.55</v>
      </c>
      <c r="E123">
        <v>1.53</v>
      </c>
      <c r="F123">
        <v>4.8499999999999996</v>
      </c>
      <c r="G123">
        <v>1.67</v>
      </c>
      <c r="H123" s="1">
        <f>IF(ISNUMBER(Main_L[[#This Row],[Free CF]]),IF(Main_L[[#This Row],[Free CF]]&lt;&gt;0,Main_L[[#This Row],[Current Price]]/Main_L[[#This Row],[Free CF]],""),"")</f>
        <v>46.111111111111107</v>
      </c>
      <c r="I123" s="1">
        <f>IF(ISNUMBER(Main_L[[#This Row],[BVPS]]),IF(Main_L[[#This Row],[BVPS]]&lt;&gt;0,Main_L[[#This Row],[Current Price]]/Main_L[[#This Row],[BVPS]],""),"")</f>
        <v>14.546391752577319</v>
      </c>
      <c r="J123">
        <v>42.71</v>
      </c>
      <c r="K123">
        <v>10.4</v>
      </c>
      <c r="L123">
        <v>2.97</v>
      </c>
      <c r="M123" s="1">
        <f>IF(ISNUMBER(Main_L[[#This Row],[EPS]]),IF(Main_L[[#This Row],[EPS]]&lt;&gt;0,Main_L[[#This Row],[Current Price]]/Main_L[[#This Row],[EPS]],""),"")</f>
        <v>42.245508982035929</v>
      </c>
      <c r="N1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3" s="1">
        <f>(Main_L[[#This Row],[P/FCF]]-VLOOKUP(Main_L[[#This Row],[Industry]], Mean_PFCF_L, 2, FALSE))/(VLOOKUP(Main_L[[#This Row],[Industry]], Mean_PFCF_L, 3, FALSE))</f>
        <v>1.3395653934979828</v>
      </c>
      <c r="P123" s="1">
        <f>(Main_L[[#This Row],[P/B]]-VLOOKUP(Main_L[[#This Row],[Industry]], Mean_PB_L, 2, FALSE))/(VLOOKUP(Main_L[[#This Row],[Industry]], Mean_PB_L, 3, FALSE))</f>
        <v>0.70094717774185533</v>
      </c>
      <c r="Q123" s="1">
        <f>(Main_L[[#This Row],[ROE]]-VLOOKUP(Main_L[[#This Row],[Industry]], Mean_ROE_L, 2, FALSE))/(VLOOKUP(Main_L[[#This Row],[Industry]], Mean_ROE_L, 3, FALSE))</f>
        <v>0.34358025793389857</v>
      </c>
      <c r="R123" s="1">
        <f>(Main_L[[#This Row],[ROA]]-VLOOKUP(Main_L[[#This Row],[Industry]], Mean_ROA_L, 2, FALSE))/(VLOOKUP(Main_L[[#This Row],[Industry]], Mean_ROA_L, 3, FALSE))</f>
        <v>0.64827648686664718</v>
      </c>
      <c r="S123" s="1">
        <f>(Main_L[[#This Row],[A/E]]-VLOOKUP(Main_L[[#This Row],[Industry]], Mean_AE_L, 2, FALSE))/(VLOOKUP(Main_L[[#This Row],[Industry]], Mean_AE_L, 3, FALSE))</f>
        <v>-2.4383891043325653E-2</v>
      </c>
      <c r="T123" s="1">
        <f>(Main_L[[#This Row],[P/E]]-VLOOKUP(Main_L[[#This Row],[Industry]], Mean_PE_L, 2, FALSE))/(VLOOKUP(Main_L[[#This Row],[Industry]], Mean_PE_L, 3, FALSE))</f>
        <v>0.27080476930138814</v>
      </c>
      <c r="U1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4" spans="1:26" x14ac:dyDescent="0.25">
      <c r="A124" s="67" t="s">
        <v>203</v>
      </c>
      <c r="B124" s="67" t="s">
        <v>215</v>
      </c>
      <c r="C124" s="2">
        <v>99015</v>
      </c>
      <c r="D124">
        <f>RTD("tos.rtd", , "LAST", Main_L[[#This Row],[Symbol]])</f>
        <v>53.03</v>
      </c>
      <c r="E124">
        <v>1.43</v>
      </c>
      <c r="F124">
        <v>2.35</v>
      </c>
      <c r="G124">
        <v>1.29</v>
      </c>
      <c r="H124" s="1">
        <f>IF(ISNUMBER(Main_L[[#This Row],[Free CF]]),IF(Main_L[[#This Row],[Free CF]]&lt;&gt;0,Main_L[[#This Row],[Current Price]]/Main_L[[#This Row],[Free CF]],""),"")</f>
        <v>37.083916083916087</v>
      </c>
      <c r="I124" s="1">
        <f>IF(ISNUMBER(Main_L[[#This Row],[BVPS]]),IF(Main_L[[#This Row],[BVPS]]&lt;&gt;0,Main_L[[#This Row],[Current Price]]/Main_L[[#This Row],[BVPS]],""),"")</f>
        <v>22.565957446808511</v>
      </c>
      <c r="J124">
        <v>56</v>
      </c>
      <c r="K124">
        <v>11.72</v>
      </c>
      <c r="L124">
        <v>4.3499999999999996</v>
      </c>
      <c r="M124" s="1">
        <f>IF(ISNUMBER(Main_L[[#This Row],[EPS]]),IF(Main_L[[#This Row],[EPS]]&lt;&gt;0,Main_L[[#This Row],[Current Price]]/Main_L[[#This Row],[EPS]],""),"")</f>
        <v>41.108527131782942</v>
      </c>
      <c r="N1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4" s="1">
        <f>(Main_L[[#This Row],[P/FCF]]-VLOOKUP(Main_L[[#This Row],[Industry]], Mean_PFCF_L, 2, FALSE))/(VLOOKUP(Main_L[[#This Row],[Industry]], Mean_PFCF_L, 3, FALSE))</f>
        <v>0.46397318822824635</v>
      </c>
      <c r="P124" s="1">
        <f>(Main_L[[#This Row],[P/B]]-VLOOKUP(Main_L[[#This Row],[Industry]], Mean_PB_L, 2, FALSE))/(VLOOKUP(Main_L[[#This Row],[Industry]], Mean_PB_L, 3, FALSE))</f>
        <v>2.0055723289314793</v>
      </c>
      <c r="Q124" s="1">
        <f>(Main_L[[#This Row],[ROE]]-VLOOKUP(Main_L[[#This Row],[Industry]], Mean_ROE_L, 2, FALSE))/(VLOOKUP(Main_L[[#This Row],[Industry]], Mean_ROE_L, 3, FALSE))</f>
        <v>0.88077809651525241</v>
      </c>
      <c r="R124" s="1">
        <f>(Main_L[[#This Row],[ROA]]-VLOOKUP(Main_L[[#This Row],[Industry]], Mean_ROA_L, 2, FALSE))/(VLOOKUP(Main_L[[#This Row],[Industry]], Mean_ROA_L, 3, FALSE))</f>
        <v>1.0188271346714861</v>
      </c>
      <c r="S124" s="1">
        <f>(Main_L[[#This Row],[A/E]]-VLOOKUP(Main_L[[#This Row],[Industry]], Mean_AE_L, 2, FALSE))/(VLOOKUP(Main_L[[#This Row],[Industry]], Mean_AE_L, 3, FALSE))</f>
        <v>1.8110580893088473</v>
      </c>
      <c r="T124" s="1">
        <f>(Main_L[[#This Row],[P/E]]-VLOOKUP(Main_L[[#This Row],[Industry]], Mean_PE_L, 2, FALSE))/(VLOOKUP(Main_L[[#This Row],[Industry]], Mean_PE_L, 3, FALSE))</f>
        <v>0.11593449597497898</v>
      </c>
      <c r="U1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5" spans="1:26" x14ac:dyDescent="0.25">
      <c r="A125" s="67" t="s">
        <v>180</v>
      </c>
      <c r="B125" s="67" t="s">
        <v>187</v>
      </c>
      <c r="C125" s="2">
        <v>46044</v>
      </c>
      <c r="D125">
        <f>RTD("tos.rtd", , "LAST", Main_L[[#This Row],[Symbol]])</f>
        <v>707.21</v>
      </c>
      <c r="E125">
        <v>32.700000000000003</v>
      </c>
      <c r="F125">
        <v>135.22</v>
      </c>
      <c r="G125">
        <v>38.61</v>
      </c>
      <c r="H125" s="1">
        <f>IF(ISNUMBER(Main_L[[#This Row],[Free CF]]),IF(Main_L[[#This Row],[Free CF]]&lt;&gt;0,Main_L[[#This Row],[Current Price]]/Main_L[[#This Row],[Free CF]],""),"")</f>
        <v>21.627217125382263</v>
      </c>
      <c r="I125" s="1">
        <f>IF(ISNUMBER(Main_L[[#This Row],[BVPS]]),IF(Main_L[[#This Row],[BVPS]]&lt;&gt;0,Main_L[[#This Row],[Current Price]]/Main_L[[#This Row],[BVPS]],""),"")</f>
        <v>5.2300695163437361</v>
      </c>
      <c r="J125">
        <v>30.17</v>
      </c>
      <c r="K125">
        <v>9.32</v>
      </c>
      <c r="L125">
        <v>3.19</v>
      </c>
      <c r="M125" s="1">
        <f>IF(ISNUMBER(Main_L[[#This Row],[EPS]]),IF(Main_L[[#This Row],[EPS]]&lt;&gt;0,Main_L[[#This Row],[Current Price]]/Main_L[[#This Row],[EPS]],""),"")</f>
        <v>18.316757316757318</v>
      </c>
      <c r="N1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5" s="1">
        <f>(Main_L[[#This Row],[P/FCF]]-VLOOKUP(Main_L[[#This Row],[Industry]], Mean_PFCF_L, 2, FALSE))/(VLOOKUP(Main_L[[#This Row],[Industry]], Mean_PFCF_L, 3, FALSE))</f>
        <v>0.18332619738567149</v>
      </c>
      <c r="P125" s="1">
        <f>(Main_L[[#This Row],[P/B]]-VLOOKUP(Main_L[[#This Row],[Industry]], Mean_PB_L, 2, FALSE))/(VLOOKUP(Main_L[[#This Row],[Industry]], Mean_PB_L, 3, FALSE))</f>
        <v>-0.22875476508858822</v>
      </c>
      <c r="Q125" s="1">
        <f>(Main_L[[#This Row],[ROE]]-VLOOKUP(Main_L[[#This Row],[Industry]], Mean_ROE_L, 2, FALSE))/(VLOOKUP(Main_L[[#This Row],[Industry]], Mean_ROE_L, 3, FALSE))</f>
        <v>0.3549424943286526</v>
      </c>
      <c r="R125" s="1">
        <f>(Main_L[[#This Row],[ROA]]-VLOOKUP(Main_L[[#This Row],[Industry]], Mean_ROA_L, 2, FALSE))/(VLOOKUP(Main_L[[#This Row],[Industry]], Mean_ROA_L, 3, FALSE))</f>
        <v>0.65235782322371016</v>
      </c>
      <c r="S125" s="1">
        <f>(Main_L[[#This Row],[A/E]]-VLOOKUP(Main_L[[#This Row],[Industry]], Mean_AE_L, 2, FALSE))/(VLOOKUP(Main_L[[#This Row],[Industry]], Mean_AE_L, 3, FALSE))</f>
        <v>0.57572509675223593</v>
      </c>
      <c r="T125" s="1">
        <f>(Main_L[[#This Row],[P/E]]-VLOOKUP(Main_L[[#This Row],[Industry]], Mean_PE_L, 2, FALSE))/(VLOOKUP(Main_L[[#This Row],[Industry]], Mean_PE_L, 3, FALSE))</f>
        <v>-0.37544276417122174</v>
      </c>
      <c r="U1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6" spans="1:26" x14ac:dyDescent="0.25">
      <c r="A126" s="67" t="s">
        <v>180</v>
      </c>
      <c r="B126" s="67" t="s">
        <v>186</v>
      </c>
      <c r="C126" s="2">
        <v>52246</v>
      </c>
      <c r="D126">
        <f>RTD("tos.rtd", , "LAST", Main_L[[#This Row],[Symbol]])</f>
        <v>1078.3599999999999</v>
      </c>
      <c r="E126">
        <v>31.84</v>
      </c>
      <c r="F126">
        <v>72.39</v>
      </c>
      <c r="G126">
        <v>38.950000000000003</v>
      </c>
      <c r="H126" s="1">
        <f>IF(ISNUMBER(Main_L[[#This Row],[Free CF]]),IF(Main_L[[#This Row],[Free CF]]&lt;&gt;0,Main_L[[#This Row],[Current Price]]/Main_L[[#This Row],[Free CF]],""),"")</f>
        <v>33.868090452261306</v>
      </c>
      <c r="I126" s="1">
        <f>IF(ISNUMBER(Main_L[[#This Row],[BVPS]]),IF(Main_L[[#This Row],[BVPS]]&lt;&gt;0,Main_L[[#This Row],[Current Price]]/Main_L[[#This Row],[BVPS]],""),"")</f>
        <v>14.896532670258322</v>
      </c>
      <c r="J126">
        <v>54.16</v>
      </c>
      <c r="K126">
        <v>19.600000000000001</v>
      </c>
      <c r="L126">
        <v>2.4900000000000002</v>
      </c>
      <c r="M126" s="1">
        <f>IF(ISNUMBER(Main_L[[#This Row],[EPS]]),IF(Main_L[[#This Row],[EPS]]&lt;&gt;0,Main_L[[#This Row],[Current Price]]/Main_L[[#This Row],[EPS]],""),"")</f>
        <v>27.685750962772779</v>
      </c>
      <c r="N1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6" s="1">
        <f>(Main_L[[#This Row],[P/FCF]]-VLOOKUP(Main_L[[#This Row],[Industry]], Mean_PFCF_L, 2, FALSE))/(VLOOKUP(Main_L[[#This Row],[Industry]], Mean_PFCF_L, 3, FALSE))</f>
        <v>0.7088350465761788</v>
      </c>
      <c r="P126" s="1">
        <f>(Main_L[[#This Row],[P/B]]-VLOOKUP(Main_L[[#This Row],[Industry]], Mean_PB_L, 2, FALSE))/(VLOOKUP(Main_L[[#This Row],[Industry]], Mean_PB_L, 3, FALSE))</f>
        <v>1.7850684310445657</v>
      </c>
      <c r="Q126" s="1">
        <f>(Main_L[[#This Row],[ROE]]-VLOOKUP(Main_L[[#This Row],[Industry]], Mean_ROE_L, 2, FALSE))/(VLOOKUP(Main_L[[#This Row],[Industry]], Mean_ROE_L, 3, FALSE))</f>
        <v>2.2388076356880275</v>
      </c>
      <c r="R126" s="1">
        <f>(Main_L[[#This Row],[ROA]]-VLOOKUP(Main_L[[#This Row],[Industry]], Mean_ROA_L, 2, FALSE))/(VLOOKUP(Main_L[[#This Row],[Industry]], Mean_ROA_L, 3, FALSE))</f>
        <v>3.7233313425092232</v>
      </c>
      <c r="S126" s="1">
        <f>(Main_L[[#This Row],[A/E]]-VLOOKUP(Main_L[[#This Row],[Industry]], Mean_AE_L, 2, FALSE))/(VLOOKUP(Main_L[[#This Row],[Industry]], Mean_AE_L, 3, FALSE))</f>
        <v>-0.25426760565945561</v>
      </c>
      <c r="T126" s="1">
        <f>(Main_L[[#This Row],[P/E]]-VLOOKUP(Main_L[[#This Row],[Industry]], Mean_PE_L, 2, FALSE))/(VLOOKUP(Main_L[[#This Row],[Industry]], Mean_PE_L, 3, FALSE))</f>
        <v>0.4411484229125287</v>
      </c>
      <c r="U1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7" spans="1:26" x14ac:dyDescent="0.25">
      <c r="A127" s="67" t="s">
        <v>180</v>
      </c>
      <c r="B127" s="67" t="s">
        <v>189</v>
      </c>
      <c r="C127" s="2">
        <v>17970</v>
      </c>
      <c r="D127">
        <f>RTD("tos.rtd", , "LAST", Main_L[[#This Row],[Symbol]])</f>
        <v>444.48</v>
      </c>
      <c r="E127">
        <v>12.23</v>
      </c>
      <c r="F127">
        <v>70.349999999999994</v>
      </c>
      <c r="G127">
        <v>13.03</v>
      </c>
      <c r="H127" s="1">
        <f>IF(ISNUMBER(Main_L[[#This Row],[Free CF]]),IF(Main_L[[#This Row],[Free CF]]&lt;&gt;0,Main_L[[#This Row],[Current Price]]/Main_L[[#This Row],[Free CF]],""),"")</f>
        <v>36.343417825020438</v>
      </c>
      <c r="I127" s="1">
        <f>IF(ISNUMBER(Main_L[[#This Row],[BVPS]]),IF(Main_L[[#This Row],[BVPS]]&lt;&gt;0,Main_L[[#This Row],[Current Price]]/Main_L[[#This Row],[BVPS]],""),"")</f>
        <v>6.3181236673773995</v>
      </c>
      <c r="J127">
        <v>20.81</v>
      </c>
      <c r="K127">
        <v>10.41</v>
      </c>
      <c r="L127">
        <v>1.67</v>
      </c>
      <c r="M127" s="1">
        <f>IF(ISNUMBER(Main_L[[#This Row],[EPS]]),IF(Main_L[[#This Row],[EPS]]&lt;&gt;0,Main_L[[#This Row],[Current Price]]/Main_L[[#This Row],[EPS]],""),"")</f>
        <v>34.112049117421336</v>
      </c>
      <c r="N1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7" s="1">
        <f>(Main_L[[#This Row],[P/FCF]]-VLOOKUP(Main_L[[#This Row],[Industry]], Mean_PFCF_L, 2, FALSE))/(VLOOKUP(Main_L[[#This Row],[Industry]], Mean_PFCF_L, 3, FALSE))</f>
        <v>0.81510250023669872</v>
      </c>
      <c r="P127" s="1">
        <f>(Main_L[[#This Row],[P/B]]-VLOOKUP(Main_L[[#This Row],[Industry]], Mean_PB_L, 2, FALSE))/(VLOOKUP(Main_L[[#This Row],[Industry]], Mean_PB_L, 3, FALSE))</f>
        <v>-2.0794389520356607E-3</v>
      </c>
      <c r="Q127" s="1">
        <f>(Main_L[[#This Row],[ROE]]-VLOOKUP(Main_L[[#This Row],[Industry]], Mean_ROE_L, 2, FALSE))/(VLOOKUP(Main_L[[#This Row],[Industry]], Mean_ROE_L, 3, FALSE))</f>
        <v>-0.38007116649351325</v>
      </c>
      <c r="R127" s="1">
        <f>(Main_L[[#This Row],[ROA]]-VLOOKUP(Main_L[[#This Row],[Industry]], Mean_ROA_L, 2, FALSE))/(VLOOKUP(Main_L[[#This Row],[Industry]], Mean_ROA_L, 3, FALSE))</f>
        <v>0.97797661077441134</v>
      </c>
      <c r="S127" s="1">
        <f>(Main_L[[#This Row],[A/E]]-VLOOKUP(Main_L[[#This Row],[Industry]], Mean_AE_L, 2, FALSE))/(VLOOKUP(Main_L[[#This Row],[Industry]], Mean_AE_L, 3, FALSE))</f>
        <v>-1.2265447713417235</v>
      </c>
      <c r="T127" s="1">
        <f>(Main_L[[#This Row],[P/E]]-VLOOKUP(Main_L[[#This Row],[Industry]], Mean_PE_L, 2, FALSE))/(VLOOKUP(Main_L[[#This Row],[Industry]], Mean_PE_L, 3, FALSE))</f>
        <v>1.0012575058011008</v>
      </c>
      <c r="U1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8" spans="1:26" x14ac:dyDescent="0.25">
      <c r="A128" s="67" t="s">
        <v>180</v>
      </c>
      <c r="B128" s="67" t="s">
        <v>185</v>
      </c>
      <c r="C128" s="2">
        <v>36593</v>
      </c>
      <c r="D128">
        <f>RTD("tos.rtd", , "LAST", Main_L[[#This Row],[Symbol]])</f>
        <v>213.83</v>
      </c>
      <c r="E128">
        <v>6.74</v>
      </c>
      <c r="F128">
        <v>27.58</v>
      </c>
      <c r="G128">
        <v>8.1300000000000008</v>
      </c>
      <c r="H128" s="1">
        <f>IF(ISNUMBER(Main_L[[#This Row],[Free CF]]),IF(Main_L[[#This Row],[Free CF]]&lt;&gt;0,Main_L[[#This Row],[Current Price]]/Main_L[[#This Row],[Free CF]],""),"")</f>
        <v>31.72551928783383</v>
      </c>
      <c r="I128" s="1">
        <f>IF(ISNUMBER(Main_L[[#This Row],[BVPS]]),IF(Main_L[[#This Row],[BVPS]]&lt;&gt;0,Main_L[[#This Row],[Current Price]]/Main_L[[#This Row],[BVPS]],""),"")</f>
        <v>7.753081943437274</v>
      </c>
      <c r="J128">
        <v>30.07</v>
      </c>
      <c r="K128">
        <v>9.86</v>
      </c>
      <c r="L128">
        <v>3.01</v>
      </c>
      <c r="M128" s="1">
        <f>IF(ISNUMBER(Main_L[[#This Row],[EPS]]),IF(Main_L[[#This Row],[EPS]]&lt;&gt;0,Main_L[[#This Row],[Current Price]]/Main_L[[#This Row],[EPS]],""),"")</f>
        <v>26.301353013530136</v>
      </c>
      <c r="N1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8" s="1">
        <f>(Main_L[[#This Row],[P/FCF]]-VLOOKUP(Main_L[[#This Row],[Industry]], Mean_PFCF_L, 2, FALSE))/(VLOOKUP(Main_L[[#This Row],[Industry]], Mean_PFCF_L, 3, FALSE))</f>
        <v>0.61685303868670416</v>
      </c>
      <c r="P128" s="1">
        <f>(Main_L[[#This Row],[P/B]]-VLOOKUP(Main_L[[#This Row],[Industry]], Mean_PB_L, 2, FALSE))/(VLOOKUP(Main_L[[#This Row],[Industry]], Mean_PB_L, 3, FALSE))</f>
        <v>0.29686674392793178</v>
      </c>
      <c r="Q128" s="1">
        <f>(Main_L[[#This Row],[ROE]]-VLOOKUP(Main_L[[#This Row],[Industry]], Mean_ROE_L, 2, FALSE))/(VLOOKUP(Main_L[[#This Row],[Industry]], Mean_ROE_L, 3, FALSE))</f>
        <v>0.34708978427713361</v>
      </c>
      <c r="R128" s="1">
        <f>(Main_L[[#This Row],[ROA]]-VLOOKUP(Main_L[[#This Row],[Industry]], Mean_ROA_L, 2, FALSE))/(VLOOKUP(Main_L[[#This Row],[Industry]], Mean_ROA_L, 3, FALSE))</f>
        <v>0.81367355283598397</v>
      </c>
      <c r="S128" s="1">
        <f>(Main_L[[#This Row],[A/E]]-VLOOKUP(Main_L[[#This Row],[Industry]], Mean_AE_L, 2, FALSE))/(VLOOKUP(Main_L[[#This Row],[Industry]], Mean_AE_L, 3, FALSE))</f>
        <v>0.36229840184637213</v>
      </c>
      <c r="T128" s="1">
        <f>(Main_L[[#This Row],[P/E]]-VLOOKUP(Main_L[[#This Row],[Industry]], Mean_PE_L, 2, FALSE))/(VLOOKUP(Main_L[[#This Row],[Industry]], Mean_PE_L, 3, FALSE))</f>
        <v>0.32048581949096011</v>
      </c>
      <c r="U1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9" spans="1:26" x14ac:dyDescent="0.25">
      <c r="A129" s="67" t="s">
        <v>180</v>
      </c>
      <c r="B129" s="67" t="s">
        <v>183</v>
      </c>
      <c r="C129" s="2">
        <v>10381</v>
      </c>
      <c r="D129">
        <f>RTD("tos.rtd", , "LAST", Main_L[[#This Row],[Symbol]])</f>
        <v>59.33</v>
      </c>
      <c r="E129">
        <v>3.06</v>
      </c>
      <c r="F129">
        <v>8.9499999999999993</v>
      </c>
      <c r="G129">
        <v>2.13</v>
      </c>
      <c r="H129" s="1">
        <f>IF(ISNUMBER(Main_L[[#This Row],[Free CF]]),IF(Main_L[[#This Row],[Free CF]]&lt;&gt;0,Main_L[[#This Row],[Current Price]]/Main_L[[#This Row],[Free CF]],""),"")</f>
        <v>19.388888888888889</v>
      </c>
      <c r="I129" s="1">
        <f>IF(ISNUMBER(Main_L[[#This Row],[BVPS]]),IF(Main_L[[#This Row],[BVPS]]&lt;&gt;0,Main_L[[#This Row],[Current Price]]/Main_L[[#This Row],[BVPS]],""),"")</f>
        <v>6.6290502793296096</v>
      </c>
      <c r="J129">
        <v>26.32</v>
      </c>
      <c r="K129">
        <v>8.2200000000000006</v>
      </c>
      <c r="L129">
        <v>3.46</v>
      </c>
      <c r="M129" s="1">
        <f>IF(ISNUMBER(Main_L[[#This Row],[EPS]]),IF(Main_L[[#This Row],[EPS]]&lt;&gt;0,Main_L[[#This Row],[Current Price]]/Main_L[[#This Row],[EPS]],""),"")</f>
        <v>27.854460093896716</v>
      </c>
      <c r="N1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9" s="1">
        <f>(Main_L[[#This Row],[P/FCF]]-VLOOKUP(Main_L[[#This Row],[Industry]], Mean_PFCF_L, 2, FALSE))/(VLOOKUP(Main_L[[#This Row],[Industry]], Mean_PFCF_L, 3, FALSE))</f>
        <v>8.7233274580289233E-2</v>
      </c>
      <c r="P129" s="1">
        <f>(Main_L[[#This Row],[P/B]]-VLOOKUP(Main_L[[#This Row],[Industry]], Mean_PB_L, 2, FALSE))/(VLOOKUP(Main_L[[#This Row],[Industry]], Mean_PB_L, 3, FALSE))</f>
        <v>6.269618926632492E-2</v>
      </c>
      <c r="Q129" s="1">
        <f>(Main_L[[#This Row],[ROE]]-VLOOKUP(Main_L[[#This Row],[Industry]], Mean_ROE_L, 2, FALSE))/(VLOOKUP(Main_L[[#This Row],[Industry]], Mean_ROE_L, 3, FALSE))</f>
        <v>5.2613157345176242E-2</v>
      </c>
      <c r="R129" s="1">
        <f>(Main_L[[#This Row],[ROA]]-VLOOKUP(Main_L[[#This Row],[Industry]], Mean_ROA_L, 2, FALSE))/(VLOOKUP(Main_L[[#This Row],[Industry]], Mean_ROA_L, 3, FALSE))</f>
        <v>0.32375170734685582</v>
      </c>
      <c r="S129" s="1">
        <f>(Main_L[[#This Row],[A/E]]-VLOOKUP(Main_L[[#This Row],[Industry]], Mean_AE_L, 2, FALSE))/(VLOOKUP(Main_L[[#This Row],[Industry]], Mean_AE_L, 3, FALSE))</f>
        <v>0.89586513911103138</v>
      </c>
      <c r="T129" s="1">
        <f>(Main_L[[#This Row],[P/E]]-VLOOKUP(Main_L[[#This Row],[Industry]], Mean_PE_L, 2, FALSE))/(VLOOKUP(Main_L[[#This Row],[Industry]], Mean_PE_L, 3, FALSE))</f>
        <v>0.45585292532351646</v>
      </c>
      <c r="U1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0" spans="1:26" x14ac:dyDescent="0.25">
      <c r="A130" s="67" t="s">
        <v>180</v>
      </c>
      <c r="B130" s="67" t="s">
        <v>577</v>
      </c>
      <c r="C130" s="2">
        <v>80510</v>
      </c>
      <c r="D130">
        <f>RTD("tos.rtd", , "LAST", Main_L[[#This Row],[Symbol]])</f>
        <v>19.71</v>
      </c>
      <c r="E130">
        <v>2.12</v>
      </c>
      <c r="F130">
        <v>15.71</v>
      </c>
      <c r="G130">
        <v>1.57</v>
      </c>
      <c r="H130" s="1">
        <f>IF(ISNUMBER(Main_L[[#This Row],[Free CF]]),IF(Main_L[[#This Row],[Free CF]]&lt;&gt;0,Main_L[[#This Row],[Current Price]]/Main_L[[#This Row],[Free CF]],""),"")</f>
        <v>9.2971698113207548</v>
      </c>
      <c r="I130" s="1">
        <f>IF(ISNUMBER(Main_L[[#This Row],[BVPS]]),IF(Main_L[[#This Row],[BVPS]]&lt;&gt;0,Main_L[[#This Row],[Current Price]]/Main_L[[#This Row],[BVPS]],""),"")</f>
        <v>1.2546148949713558</v>
      </c>
      <c r="J130">
        <v>10.63</v>
      </c>
      <c r="K130">
        <v>1.24</v>
      </c>
      <c r="L130">
        <v>2.29</v>
      </c>
      <c r="M130" s="1">
        <f>IF(ISNUMBER(Main_L[[#This Row],[EPS]]),IF(Main_L[[#This Row],[EPS]]&lt;&gt;0,Main_L[[#This Row],[Current Price]]/Main_L[[#This Row],[EPS]],""),"")</f>
        <v>12.554140127388536</v>
      </c>
      <c r="N1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0" s="1">
        <f>(Main_L[[#This Row],[P/FCF]]-VLOOKUP(Main_L[[#This Row],[Industry]], Mean_PFCF_L, 2, FALSE))/(VLOOKUP(Main_L[[#This Row],[Industry]], Mean_PFCF_L, 3, FALSE))</f>
        <v>-0.346010950499757</v>
      </c>
      <c r="P130" s="1">
        <f>(Main_L[[#This Row],[P/B]]-VLOOKUP(Main_L[[#This Row],[Industry]], Mean_PB_L, 2, FALSE))/(VLOOKUP(Main_L[[#This Row],[Industry]], Mean_PB_L, 3, FALSE))</f>
        <v>-1.0569648978145731</v>
      </c>
      <c r="Q130" s="1">
        <f>(Main_L[[#This Row],[ROE]]-VLOOKUP(Main_L[[#This Row],[Industry]], Mean_ROE_L, 2, FALSE))/(VLOOKUP(Main_L[[#This Row],[Industry]], Mean_ROE_L, 3, FALSE))</f>
        <v>-1.1794770497381335</v>
      </c>
      <c r="R130" s="1">
        <f>(Main_L[[#This Row],[ROA]]-VLOOKUP(Main_L[[#This Row],[Industry]], Mean_ROA_L, 2, FALSE))/(VLOOKUP(Main_L[[#This Row],[Industry]], Mean_ROA_L, 3, FALSE))</f>
        <v>-1.7614034643080936</v>
      </c>
      <c r="S130" s="1">
        <f>(Main_L[[#This Row],[A/E]]-VLOOKUP(Main_L[[#This Row],[Industry]], Mean_AE_L, 2, FALSE))/(VLOOKUP(Main_L[[#This Row],[Industry]], Mean_AE_L, 3, FALSE))</f>
        <v>-0.49140837777708202</v>
      </c>
      <c r="T130" s="1">
        <f>(Main_L[[#This Row],[P/E]]-VLOOKUP(Main_L[[#This Row],[Industry]], Mean_PE_L, 2, FALSE))/(VLOOKUP(Main_L[[#This Row],[Industry]], Mean_PE_L, 3, FALSE))</f>
        <v>-0.87770614369407662</v>
      </c>
      <c r="U1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1" spans="1:26" x14ac:dyDescent="0.25">
      <c r="A131" s="67" t="s">
        <v>180</v>
      </c>
      <c r="B131" s="67" t="s">
        <v>579</v>
      </c>
      <c r="C131" s="2">
        <v>20723</v>
      </c>
      <c r="D131">
        <f>RTD("tos.rtd", , "LAST", Main_L[[#This Row],[Symbol]])</f>
        <v>9.8949999999999996</v>
      </c>
      <c r="E131">
        <v>1.98</v>
      </c>
      <c r="F131">
        <v>16.579999999999998</v>
      </c>
      <c r="G131">
        <v>2.29</v>
      </c>
      <c r="H131" s="1">
        <f>IF(ISNUMBER(Main_L[[#This Row],[Free CF]]),IF(Main_L[[#This Row],[Free CF]]&lt;&gt;0,Main_L[[#This Row],[Current Price]]/Main_L[[#This Row],[Free CF]],""),"")</f>
        <v>4.9974747474747474</v>
      </c>
      <c r="I131" s="1">
        <f>IF(ISNUMBER(Main_L[[#This Row],[BVPS]]),IF(Main_L[[#This Row],[BVPS]]&lt;&gt;0,Main_L[[#This Row],[Current Price]]/Main_L[[#This Row],[BVPS]],""),"")</f>
        <v>0.59680337756332935</v>
      </c>
      <c r="J131">
        <v>13.82</v>
      </c>
      <c r="K131">
        <v>4.1100000000000003</v>
      </c>
      <c r="L131">
        <v>2.69</v>
      </c>
      <c r="M131" s="1">
        <f>IF(ISNUMBER(Main_L[[#This Row],[EPS]]),IF(Main_L[[#This Row],[EPS]]&lt;&gt;0,Main_L[[#This Row],[Current Price]]/Main_L[[#This Row],[EPS]],""),"")</f>
        <v>4.320960698689956</v>
      </c>
      <c r="N1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1" s="1">
        <f>(Main_L[[#This Row],[P/FCF]]-VLOOKUP(Main_L[[#This Row],[Industry]], Mean_PFCF_L, 2, FALSE))/(VLOOKUP(Main_L[[#This Row],[Industry]], Mean_PFCF_L, 3, FALSE))</f>
        <v>-0.53059972488975504</v>
      </c>
      <c r="P131" s="1">
        <f>(Main_L[[#This Row],[P/B]]-VLOOKUP(Main_L[[#This Row],[Industry]], Mean_PB_L, 2, FALSE))/(VLOOKUP(Main_L[[#This Row],[Industry]], Mean_PB_L, 3, FALSE))</f>
        <v>-1.1940073787454986</v>
      </c>
      <c r="Q131" s="1">
        <f>(Main_L[[#This Row],[ROE]]-VLOOKUP(Main_L[[#This Row],[Industry]], Mean_ROE_L, 2, FALSE))/(VLOOKUP(Main_L[[#This Row],[Industry]], Mean_ROE_L, 3, FALSE))</f>
        <v>-0.92897559909468175</v>
      </c>
      <c r="R131" s="1">
        <f>(Main_L[[#This Row],[ROA]]-VLOOKUP(Main_L[[#This Row],[Industry]], Mean_ROA_L, 2, FALSE))/(VLOOKUP(Main_L[[#This Row],[Industry]], Mean_ROA_L, 3, FALSE))</f>
        <v>-0.90404023470211869</v>
      </c>
      <c r="S131" s="1">
        <f>(Main_L[[#This Row],[A/E]]-VLOOKUP(Main_L[[#This Row],[Industry]], Mean_AE_L, 2, FALSE))/(VLOOKUP(Main_L[[#This Row],[Industry]], Mean_AE_L, 3, FALSE))</f>
        <v>-1.7126833541829659E-2</v>
      </c>
      <c r="T131" s="1">
        <f>(Main_L[[#This Row],[P/E]]-VLOOKUP(Main_L[[#This Row],[Industry]], Mean_PE_L, 2, FALSE))/(VLOOKUP(Main_L[[#This Row],[Industry]], Mean_PE_L, 3, FALSE))</f>
        <v>-1.5953010121689606</v>
      </c>
      <c r="U1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2" spans="1:26" x14ac:dyDescent="0.25">
      <c r="A132" s="67" t="s">
        <v>180</v>
      </c>
      <c r="B132" s="67" t="s">
        <v>184</v>
      </c>
      <c r="C132" s="2">
        <v>47427</v>
      </c>
      <c r="D132">
        <f>RTD("tos.rtd", , "LAST", Main_L[[#This Row],[Symbol]])</f>
        <v>42.13</v>
      </c>
      <c r="E132">
        <v>0.76</v>
      </c>
      <c r="F132">
        <v>3.22</v>
      </c>
      <c r="G132">
        <v>1</v>
      </c>
      <c r="H132" s="1">
        <f>IF(ISNUMBER(Main_L[[#This Row],[Free CF]]),IF(Main_L[[#This Row],[Free CF]]&lt;&gt;0,Main_L[[#This Row],[Current Price]]/Main_L[[#This Row],[Free CF]],""),"")</f>
        <v>55.434210526315795</v>
      </c>
      <c r="I132" s="1">
        <f>IF(ISNUMBER(Main_L[[#This Row],[BVPS]]),IF(Main_L[[#This Row],[BVPS]]&lt;&gt;0,Main_L[[#This Row],[Current Price]]/Main_L[[#This Row],[BVPS]],""),"")</f>
        <v>13.083850931677018</v>
      </c>
      <c r="J132">
        <v>32.35</v>
      </c>
      <c r="K132">
        <v>20.12</v>
      </c>
      <c r="L132">
        <v>1.32</v>
      </c>
      <c r="M132" s="1">
        <f>IF(ISNUMBER(Main_L[[#This Row],[EPS]]),IF(Main_L[[#This Row],[EPS]]&lt;&gt;0,Main_L[[#This Row],[Current Price]]/Main_L[[#This Row],[EPS]],""),"")</f>
        <v>42.13</v>
      </c>
      <c r="N1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2" s="1">
        <f>(Main_L[[#This Row],[P/FCF]]-VLOOKUP(Main_L[[#This Row],[Industry]], Mean_PFCF_L, 2, FALSE))/(VLOOKUP(Main_L[[#This Row],[Industry]], Mean_PFCF_L, 3, FALSE))</f>
        <v>1.634682952928969</v>
      </c>
      <c r="P132" s="1">
        <f>(Main_L[[#This Row],[P/B]]-VLOOKUP(Main_L[[#This Row],[Industry]], Mean_PB_L, 2, FALSE))/(VLOOKUP(Main_L[[#This Row],[Industry]], Mean_PB_L, 3, FALSE))</f>
        <v>1.4074307703781914</v>
      </c>
      <c r="Q132" s="1">
        <f>(Main_L[[#This Row],[ROE]]-VLOOKUP(Main_L[[#This Row],[Industry]], Mean_ROE_L, 2, FALSE))/(VLOOKUP(Main_L[[#This Row],[Industry]], Mean_ROE_L, 3, FALSE))</f>
        <v>0.52613157345176376</v>
      </c>
      <c r="R132" s="1">
        <f>(Main_L[[#This Row],[ROA]]-VLOOKUP(Main_L[[#This Row],[Industry]], Mean_ROA_L, 2, FALSE))/(VLOOKUP(Main_L[[#This Row],[Industry]], Mean_ROA_L, 3, FALSE))</f>
        <v>3.8786724154691905</v>
      </c>
      <c r="S132" s="1">
        <f>(Main_L[[#This Row],[A/E]]-VLOOKUP(Main_L[[#This Row],[Industry]], Mean_AE_L, 2, FALSE))/(VLOOKUP(Main_L[[#This Row],[Industry]], Mean_AE_L, 3, FALSE))</f>
        <v>-1.6415411225475693</v>
      </c>
      <c r="T132" s="1">
        <f>(Main_L[[#This Row],[P/E]]-VLOOKUP(Main_L[[#This Row],[Industry]], Mean_PE_L, 2, FALSE))/(VLOOKUP(Main_L[[#This Row],[Industry]], Mean_PE_L, 3, FALSE))</f>
        <v>1.7000932907915898</v>
      </c>
      <c r="U1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3" spans="1:26" x14ac:dyDescent="0.25">
      <c r="A133" s="67" t="s">
        <v>180</v>
      </c>
      <c r="B133" s="67" t="s">
        <v>542</v>
      </c>
      <c r="C133" s="2">
        <v>12014</v>
      </c>
      <c r="D133">
        <f>RTD("tos.rtd", , "LAST", Main_L[[#This Row],[Symbol]])</f>
        <v>124.73</v>
      </c>
      <c r="E133">
        <v>-4.33</v>
      </c>
      <c r="F133">
        <v>0.28000000000000003</v>
      </c>
      <c r="G133">
        <v>0.25</v>
      </c>
      <c r="H133" s="1">
        <f>IF(ISNUMBER(Main_L[[#This Row],[Free CF]]),IF(Main_L[[#This Row],[Free CF]]&lt;&gt;0,Main_L[[#This Row],[Current Price]]/Main_L[[#This Row],[Free CF]],""),"")</f>
        <v>-28.806004618937646</v>
      </c>
      <c r="I133" s="1">
        <f>IF(ISNUMBER(Main_L[[#This Row],[BVPS]]),IF(Main_L[[#This Row],[BVPS]]&lt;&gt;0,Main_L[[#This Row],[Current Price]]/Main_L[[#This Row],[BVPS]],""),"")</f>
        <v>445.46428571428567</v>
      </c>
      <c r="J133">
        <v>69.39</v>
      </c>
      <c r="K133">
        <v>10.25</v>
      </c>
      <c r="L133">
        <v>151</v>
      </c>
      <c r="M133" s="1">
        <f>IF(ISNUMBER(Main_L[[#This Row],[EPS]]),IF(Main_L[[#This Row],[EPS]]&lt;&gt;0,Main_L[[#This Row],[Current Price]]/Main_L[[#This Row],[EPS]],""),"")</f>
        <v>498.92</v>
      </c>
      <c r="N1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3" s="1">
        <f>(Main_L[[#This Row],[P/FCF]]-VLOOKUP(Main_L[[#This Row],[Industry]], Mean_PFCF_L, 2, FALSE))/(VLOOKUP(Main_L[[#This Row],[Industry]], Mean_PFCF_L, 3, FALSE))</f>
        <v>-1.9818056205893217</v>
      </c>
      <c r="P133" s="1">
        <f>(Main_L[[#This Row],[P/B]]-VLOOKUP(Main_L[[#This Row],[Industry]], Mean_PB_L, 2, FALSE))/(VLOOKUP(Main_L[[#This Row],[Industry]], Mean_PB_L, 3, FALSE))</f>
        <v>91.485646065362957</v>
      </c>
      <c r="Q133" s="1">
        <f>(Main_L[[#This Row],[ROE]]-VLOOKUP(Main_L[[#This Row],[Industry]], Mean_ROE_L, 2, FALSE))/(VLOOKUP(Main_L[[#This Row],[Industry]], Mean_ROE_L, 3, FALSE))</f>
        <v>3.4347753765343505</v>
      </c>
      <c r="R133" s="1">
        <f>(Main_L[[#This Row],[ROA]]-VLOOKUP(Main_L[[#This Row],[Industry]], Mean_ROA_L, 2, FALSE))/(VLOOKUP(Main_L[[#This Row],[Industry]], Mean_ROA_L, 3, FALSE))</f>
        <v>0.93017935755595982</v>
      </c>
      <c r="S133" s="1">
        <f>(Main_L[[#This Row],[A/E]]-VLOOKUP(Main_L[[#This Row],[Industry]], Mean_AE_L, 2, FALSE))/(VLOOKUP(Main_L[[#This Row],[Industry]], Mean_AE_L, 3, FALSE))</f>
        <v>175.83461273028391</v>
      </c>
      <c r="T133" s="1">
        <f>(Main_L[[#This Row],[P/E]]-VLOOKUP(Main_L[[#This Row],[Industry]], Mean_PE_L, 2, FALSE))/(VLOOKUP(Main_L[[#This Row],[Industry]], Mean_PE_L, 3, FALSE))</f>
        <v>41.513407552844065</v>
      </c>
      <c r="U1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4" spans="1:26" x14ac:dyDescent="0.25">
      <c r="A134" s="67" t="s">
        <v>180</v>
      </c>
      <c r="B134" s="67" t="s">
        <v>181</v>
      </c>
      <c r="C134" s="2">
        <v>20979</v>
      </c>
      <c r="D134">
        <f>RTD("tos.rtd", , "LAST", Main_L[[#This Row],[Symbol]])</f>
        <v>115.95</v>
      </c>
      <c r="E134">
        <v>-11.25</v>
      </c>
      <c r="F134">
        <v>97.37</v>
      </c>
      <c r="G134">
        <v>11.21</v>
      </c>
      <c r="H134" s="1">
        <f>IF(ISNUMBER(Main_L[[#This Row],[Free CF]]),IF(Main_L[[#This Row],[Free CF]]&lt;&gt;0,Main_L[[#This Row],[Current Price]]/Main_L[[#This Row],[Free CF]],""),"")</f>
        <v>-10.306666666666667</v>
      </c>
      <c r="I134" s="1">
        <f>IF(ISNUMBER(Main_L[[#This Row],[BVPS]]),IF(Main_L[[#This Row],[BVPS]]&lt;&gt;0,Main_L[[#This Row],[Current Price]]/Main_L[[#This Row],[BVPS]],""),"")</f>
        <v>1.1908185272671254</v>
      </c>
      <c r="J134">
        <v>12.52</v>
      </c>
      <c r="K134">
        <v>3.68</v>
      </c>
      <c r="L134">
        <v>4.22</v>
      </c>
      <c r="M134" s="1">
        <f>IF(ISNUMBER(Main_L[[#This Row],[EPS]]),IF(Main_L[[#This Row],[EPS]]&lt;&gt;0,Main_L[[#This Row],[Current Price]]/Main_L[[#This Row],[EPS]],""),"")</f>
        <v>10.343443354148082</v>
      </c>
      <c r="N1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4" s="1">
        <f>(Main_L[[#This Row],[P/FCF]]-VLOOKUP(Main_L[[#This Row],[Industry]], Mean_PFCF_L, 2, FALSE))/(VLOOKUP(Main_L[[#This Row],[Industry]], Mean_PFCF_L, 3, FALSE))</f>
        <v>-1.187616714415678</v>
      </c>
      <c r="P134" s="1">
        <f>(Main_L[[#This Row],[P/B]]-VLOOKUP(Main_L[[#This Row],[Industry]], Mean_PB_L, 2, FALSE))/(VLOOKUP(Main_L[[#This Row],[Industry]], Mean_PB_L, 3, FALSE))</f>
        <v>-1.0702556540163171</v>
      </c>
      <c r="Q134" s="1">
        <f>(Main_L[[#This Row],[ROE]]-VLOOKUP(Main_L[[#This Row],[Industry]], Mean_ROE_L, 2, FALSE))/(VLOOKUP(Main_L[[#This Row],[Industry]], Mean_ROE_L, 3, FALSE))</f>
        <v>-1.031060829764427</v>
      </c>
      <c r="R134" s="1">
        <f>(Main_L[[#This Row],[ROA]]-VLOOKUP(Main_L[[#This Row],[Industry]], Mean_ROA_L, 2, FALSE))/(VLOOKUP(Main_L[[#This Row],[Industry]], Mean_ROA_L, 3, FALSE))</f>
        <v>-1.0324953527267073</v>
      </c>
      <c r="S134" s="1">
        <f>(Main_L[[#This Row],[A/E]]-VLOOKUP(Main_L[[#This Row],[Industry]], Mean_AE_L, 2, FALSE))/(VLOOKUP(Main_L[[#This Row],[Industry]], Mean_AE_L, 3, FALSE))</f>
        <v>1.7970000731580109</v>
      </c>
      <c r="T134" s="1">
        <f>(Main_L[[#This Row],[P/E]]-VLOOKUP(Main_L[[#This Row],[Industry]], Mean_PE_L, 2, FALSE))/(VLOOKUP(Main_L[[#This Row],[Industry]], Mean_PE_L, 3, FALSE))</f>
        <v>-1.070388044285437</v>
      </c>
      <c r="U1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5" spans="1:26" x14ac:dyDescent="0.25">
      <c r="A135" s="67" t="s">
        <v>248</v>
      </c>
      <c r="B135" s="67" t="s">
        <v>403</v>
      </c>
      <c r="C135" s="2">
        <v>11608</v>
      </c>
      <c r="D135">
        <f>RTD("tos.rtd", , "LAST", Main_L[[#This Row],[Symbol]])</f>
        <v>237.93</v>
      </c>
      <c r="E135">
        <v>0.82</v>
      </c>
      <c r="F135">
        <v>2.42</v>
      </c>
      <c r="G135">
        <v>0.86</v>
      </c>
      <c r="H135" s="1">
        <f>IF(ISNUMBER(Main_L[[#This Row],[Free CF]]),IF(Main_L[[#This Row],[Free CF]]&lt;&gt;0,Main_L[[#This Row],[Current Price]]/Main_L[[#This Row],[Free CF]],""),"")</f>
        <v>290.15853658536588</v>
      </c>
      <c r="I135" s="1">
        <f>IF(ISNUMBER(Main_L[[#This Row],[BVPS]]),IF(Main_L[[#This Row],[BVPS]]&lt;&gt;0,Main_L[[#This Row],[Current Price]]/Main_L[[#This Row],[BVPS]],""),"")</f>
        <v>98.318181818181827</v>
      </c>
      <c r="J135">
        <v>36.65</v>
      </c>
      <c r="K135">
        <v>12.76</v>
      </c>
      <c r="L135">
        <v>3.36</v>
      </c>
      <c r="M135" s="1">
        <f>IF(ISNUMBER(Main_L[[#This Row],[EPS]]),IF(Main_L[[#This Row],[EPS]]&lt;&gt;0,Main_L[[#This Row],[Current Price]]/Main_L[[#This Row],[EPS]],""),"")</f>
        <v>276.66279069767444</v>
      </c>
      <c r="N1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5" s="1" t="e">
        <f>(Main_L[[#This Row],[P/FCF]]-VLOOKUP(Main_L[[#This Row],[Industry]], Mean_PFCF_L, 2, FALSE))/(VLOOKUP(Main_L[[#This Row],[Industry]], Mean_PFCF_L, 3, FALSE))</f>
        <v>#DIV/0!</v>
      </c>
      <c r="P135" s="1" t="e">
        <f>(Main_L[[#This Row],[P/B]]-VLOOKUP(Main_L[[#This Row],[Industry]], Mean_PB_L, 2, FALSE))/(VLOOKUP(Main_L[[#This Row],[Industry]], Mean_PB_L, 3, FALSE))</f>
        <v>#DIV/0!</v>
      </c>
      <c r="Q135" s="1" t="e">
        <f>(Main_L[[#This Row],[ROE]]-VLOOKUP(Main_L[[#This Row],[Industry]], Mean_ROE_L, 2, FALSE))/(VLOOKUP(Main_L[[#This Row],[Industry]], Mean_ROE_L, 3, FALSE))</f>
        <v>#DIV/0!</v>
      </c>
      <c r="R135" s="1" t="e">
        <f>(Main_L[[#This Row],[ROA]]-VLOOKUP(Main_L[[#This Row],[Industry]], Mean_ROA_L, 2, FALSE))/(VLOOKUP(Main_L[[#This Row],[Industry]], Mean_ROA_L, 3, FALSE))</f>
        <v>#DIV/0!</v>
      </c>
      <c r="S135" s="1" t="e">
        <f>(Main_L[[#This Row],[A/E]]-VLOOKUP(Main_L[[#This Row],[Industry]], Mean_AE_L, 2, FALSE))/(VLOOKUP(Main_L[[#This Row],[Industry]], Mean_AE_L, 3, FALSE))</f>
        <v>#DIV/0!</v>
      </c>
      <c r="T135" s="1" t="e">
        <f>(Main_L[[#This Row],[P/E]]-VLOOKUP(Main_L[[#This Row],[Industry]], Mean_PE_L, 2, FALSE))/(VLOOKUP(Main_L[[#This Row],[Industry]], Mean_PE_L, 3, FALSE))</f>
        <v>#DIV/0!</v>
      </c>
      <c r="U1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83"/>
  <sheetViews>
    <sheetView topLeftCell="H1"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590</v>
      </c>
      <c r="C2" s="2">
        <v>2520</v>
      </c>
      <c r="D2">
        <f>RTD("tos.rtd", , "LAST", Main_M[[#This Row],[Symbol]])</f>
        <v>21.25</v>
      </c>
      <c r="E2">
        <v>4.8099999999999996</v>
      </c>
      <c r="F2">
        <v>6.88</v>
      </c>
      <c r="G2">
        <v>0.54</v>
      </c>
      <c r="H2" s="1">
        <f>IF(ISNUMBER(Main_M[[#This Row],[Free CF]]),IF(Main_M[[#This Row],[Free CF]]&lt;&gt;0,Main_M[[#This Row],[Current Price]]/Main_M[[#This Row],[Free CF]],""),"")</f>
        <v>4.4178794178794183</v>
      </c>
      <c r="I2" s="1">
        <f>IF(ISNUMBER(Main_M[[#This Row],[BVPS]]),IF(Main_M[[#This Row],[BVPS]]&lt;&gt;0,Main_M[[#This Row],[Current Price]]/Main_M[[#This Row],[BVPS]],""),"")</f>
        <v>3.0886627906976747</v>
      </c>
      <c r="J2">
        <v>8.5399999999999991</v>
      </c>
      <c r="K2">
        <v>3.15</v>
      </c>
      <c r="L2">
        <v>2.35</v>
      </c>
      <c r="M2" s="1">
        <f>IF(ISNUMBER(Main_M[[#This Row],[EPS]]),IF(Main_M[[#This Row],[EPS]]&lt;&gt;0,Main_M[[#This Row],[Current Price]]/Main_M[[#This Row],[EPS]],""),"")</f>
        <v>39.351851851851848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8.5159681071512436E-2</v>
      </c>
      <c r="P2" s="1">
        <f>(Main_M[[#This Row],[P/B]]-VLOOKUP(Main_M[[#This Row],[Industry]], Mean_PB_M, 2, FALSE))/(VLOOKUP(Main_M[[#This Row],[Industry]], Mean_PB_M, 3, FALSE))</f>
        <v>-4.4663079533626988E-3</v>
      </c>
      <c r="Q2" s="1">
        <f>(Main_M[[#This Row],[ROE]]-VLOOKUP(Main_M[[#This Row],[Industry]], Mean_ROE_M, 2, FALSE))/(VLOOKUP(Main_M[[#This Row],[Industry]], Mean_ROE_M, 3, FALSE))</f>
        <v>0.66054907751428993</v>
      </c>
      <c r="R2" s="1">
        <f>(Main_M[[#This Row],[ROA]]-VLOOKUP(Main_M[[#This Row],[Industry]], Mean_ROA_M, 2, FALSE))/(VLOOKUP(Main_M[[#This Row],[Industry]], Mean_ROA_M, 3, FALSE))</f>
        <v>-0.21574466131782305</v>
      </c>
      <c r="S2" s="1">
        <f>(Main_M[[#This Row],[A/E]]-VLOOKUP(Main_M[[#This Row],[Industry]], Mean_AE_M, 2, FALSE))/(VLOOKUP(Main_M[[#This Row],[Industry]], Mean_AE_M, 3, FALSE))</f>
        <v>0.38274613971838217</v>
      </c>
      <c r="T2" s="1">
        <f>(Main_M[[#This Row],[P/E]]-VLOOKUP(Main_M[[#This Row],[Industry]], Mean_PE_M, 2, FALSE))/(VLOOKUP(Main_M[[#This Row],[Industry]], Mean_PE_M, 3, FALSE))</f>
        <v>-0.25009755755449742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7" t="s">
        <v>105</v>
      </c>
      <c r="B3" s="67" t="s">
        <v>594</v>
      </c>
      <c r="C3" s="2">
        <v>6638</v>
      </c>
      <c r="D3">
        <f>RTD("tos.rtd", , "LAST", Main_M[[#This Row],[Symbol]])</f>
        <v>75</v>
      </c>
      <c r="E3">
        <v>2.98</v>
      </c>
      <c r="F3">
        <v>-23.39</v>
      </c>
      <c r="G3">
        <v>2.75</v>
      </c>
      <c r="H3" s="1">
        <f>IF(ISNUMBER(Main_M[[#This Row],[Free CF]]),IF(Main_M[[#This Row],[Free CF]]&lt;&gt;0,Main_M[[#This Row],[Current Price]]/Main_M[[#This Row],[Free CF]],""),"")</f>
        <v>25.167785234899331</v>
      </c>
      <c r="I3" s="1">
        <f>IF(ISNUMBER(Main_M[[#This Row],[BVPS]]),IF(Main_M[[#This Row],[BVPS]]&lt;&gt;0,Main_M[[#This Row],[Current Price]]/Main_M[[#This Row],[BVPS]],""),"")</f>
        <v>-3.2064985036340317</v>
      </c>
      <c r="J3">
        <v>-14.84</v>
      </c>
      <c r="K3">
        <v>4.6900000000000004</v>
      </c>
      <c r="L3">
        <v>-5.49</v>
      </c>
      <c r="M3" s="1">
        <f>IF(ISNUMBER(Main_M[[#This Row],[EPS]]),IF(Main_M[[#This Row],[EPS]]&lt;&gt;0,Main_M[[#This Row],[Current Price]]/Main_M[[#This Row],[EPS]],""),"")</f>
        <v>27.272727272727273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0.34962374883951497</v>
      </c>
      <c r="P3" s="1">
        <f>(Main_M[[#This Row],[P/B]]-VLOOKUP(Main_M[[#This Row],[Industry]], Mean_PB_M, 2, FALSE))/(VLOOKUP(Main_M[[#This Row],[Industry]], Mean_PB_M, 3, FALSE))</f>
        <v>-1.6832842397846643</v>
      </c>
      <c r="Q3" s="1">
        <f>(Main_M[[#This Row],[ROE]]-VLOOKUP(Main_M[[#This Row],[Industry]], Mean_ROE_M, 2, FALSE))/(VLOOKUP(Main_M[[#This Row],[Industry]], Mean_ROE_M, 3, FALSE))</f>
        <v>-1.0953408753717975</v>
      </c>
      <c r="R3" s="1">
        <f>(Main_M[[#This Row],[ROA]]-VLOOKUP(Main_M[[#This Row],[Industry]], Mean_ROA_M, 2, FALSE))/(VLOOKUP(Main_M[[#This Row],[Industry]], Mean_ROA_M, 3, FALSE))</f>
        <v>0.70170206412838121</v>
      </c>
      <c r="S3" s="1">
        <f>(Main_M[[#This Row],[A/E]]-VLOOKUP(Main_M[[#This Row],[Industry]], Mean_AE_M, 2, FALSE))/(VLOOKUP(Main_M[[#This Row],[Industry]], Mean_AE_M, 3, FALSE))</f>
        <v>-10.957220883565766</v>
      </c>
      <c r="T3" s="1">
        <f>(Main_M[[#This Row],[P/E]]-VLOOKUP(Main_M[[#This Row],[Industry]], Mean_PE_M, 2, FALSE))/(VLOOKUP(Main_M[[#This Row],[Industry]], Mean_PE_M, 3, FALSE))</f>
        <v>-0.41321140123375322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7" t="s">
        <v>105</v>
      </c>
      <c r="B4" s="67" t="s">
        <v>595</v>
      </c>
      <c r="C4" s="2">
        <v>6863</v>
      </c>
      <c r="D4">
        <f>RTD("tos.rtd", , "LAST", Main_M[[#This Row],[Symbol]])</f>
        <v>77.48</v>
      </c>
      <c r="E4">
        <v>2.98</v>
      </c>
      <c r="F4">
        <v>-23.39</v>
      </c>
      <c r="G4">
        <v>2.75</v>
      </c>
      <c r="H4" s="1">
        <f>IF(ISNUMBER(Main_M[[#This Row],[Free CF]]),IF(Main_M[[#This Row],[Free CF]]&lt;&gt;0,Main_M[[#This Row],[Current Price]]/Main_M[[#This Row],[Free CF]],""),"")</f>
        <v>26</v>
      </c>
      <c r="I4" s="1">
        <f>IF(ISNUMBER(Main_M[[#This Row],[BVPS]]),IF(Main_M[[#This Row],[BVPS]]&lt;&gt;0,Main_M[[#This Row],[Current Price]]/Main_M[[#This Row],[BVPS]],""),"")</f>
        <v>-3.3125267208208635</v>
      </c>
      <c r="J4">
        <v>-14.84</v>
      </c>
      <c r="K4">
        <v>4.6900000000000004</v>
      </c>
      <c r="L4">
        <v>-5.49</v>
      </c>
      <c r="M4" s="1">
        <f>IF(ISNUMBER(Main_M[[#This Row],[EPS]]),IF(Main_M[[#This Row],[EPS]]&lt;&gt;0,Main_M[[#This Row],[Current Price]]/Main_M[[#This Row],[EPS]],""),"")</f>
        <v>28.174545454545456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0.36023058744282987</v>
      </c>
      <c r="P4" s="1">
        <f>(Main_M[[#This Row],[P/B]]-VLOOKUP(Main_M[[#This Row],[Industry]], Mean_PB_M, 2, FALSE))/(VLOOKUP(Main_M[[#This Row],[Industry]], Mean_PB_M, 3, FALSE))</f>
        <v>-1.7115602543251707</v>
      </c>
      <c r="Q4" s="1">
        <f>(Main_M[[#This Row],[ROE]]-VLOOKUP(Main_M[[#This Row],[Industry]], Mean_ROE_M, 2, FALSE))/(VLOOKUP(Main_M[[#This Row],[Industry]], Mean_ROE_M, 3, FALSE))</f>
        <v>-1.0953408753717975</v>
      </c>
      <c r="R4" s="1">
        <f>(Main_M[[#This Row],[ROA]]-VLOOKUP(Main_M[[#This Row],[Industry]], Mean_ROA_M, 2, FALSE))/(VLOOKUP(Main_M[[#This Row],[Industry]], Mean_ROA_M, 3, FALSE))</f>
        <v>0.70170206412838121</v>
      </c>
      <c r="S4" s="1">
        <f>(Main_M[[#This Row],[A/E]]-VLOOKUP(Main_M[[#This Row],[Industry]], Mean_AE_M, 2, FALSE))/(VLOOKUP(Main_M[[#This Row],[Industry]], Mean_AE_M, 3, FALSE))</f>
        <v>-10.957220883565766</v>
      </c>
      <c r="T4" s="1">
        <f>(Main_M[[#This Row],[P/E]]-VLOOKUP(Main_M[[#This Row],[Industry]], Mean_PE_M, 2, FALSE))/(VLOOKUP(Main_M[[#This Row],[Industry]], Mean_PE_M, 3, FALSE))</f>
        <v>-0.40103344669966212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7" t="s">
        <v>105</v>
      </c>
      <c r="B5" s="67" t="s">
        <v>258</v>
      </c>
      <c r="C5" s="2">
        <v>2943</v>
      </c>
      <c r="D5">
        <f>RTD("tos.rtd", , "LAST", Main_M[[#This Row],[Symbol]])</f>
        <v>53.87</v>
      </c>
      <c r="E5">
        <v>2.5</v>
      </c>
      <c r="F5">
        <v>24.66</v>
      </c>
      <c r="G5">
        <v>-1.1200000000000001</v>
      </c>
      <c r="H5" s="1">
        <f>IF(ISNUMBER(Main_M[[#This Row],[Free CF]]),IF(Main_M[[#This Row],[Free CF]]&lt;&gt;0,Main_M[[#This Row],[Current Price]]/Main_M[[#This Row],[Free CF]],""),"")</f>
        <v>21.547999999999998</v>
      </c>
      <c r="I5" s="1">
        <f>IF(ISNUMBER(Main_M[[#This Row],[BVPS]]),IF(Main_M[[#This Row],[BVPS]]&lt;&gt;0,Main_M[[#This Row],[Current Price]]/Main_M[[#This Row],[BVPS]],""),"")</f>
        <v>2.184509326845093</v>
      </c>
      <c r="J5">
        <v>-4.45</v>
      </c>
      <c r="K5">
        <v>-0.94</v>
      </c>
      <c r="L5">
        <v>1.66</v>
      </c>
      <c r="M5" s="1">
        <f>IF(ISNUMBER(Main_M[[#This Row],[EPS]]),IF(Main_M[[#This Row],[EPS]]&lt;&gt;0,Main_M[[#This Row],[Current Price]]/Main_M[[#This Row],[EPS]],""),"")</f>
        <v>-48.098214285714278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0.30348844894418658</v>
      </c>
      <c r="P5" s="1">
        <f>(Main_M[[#This Row],[P/B]]-VLOOKUP(Main_M[[#This Row],[Industry]], Mean_PB_M, 2, FALSE))/(VLOOKUP(Main_M[[#This Row],[Industry]], Mean_PB_M, 3, FALSE))</f>
        <v>-0.24558944638825164</v>
      </c>
      <c r="Q5" s="1">
        <f>(Main_M[[#This Row],[ROE]]-VLOOKUP(Main_M[[#This Row],[Industry]], Mean_ROE_M, 2, FALSE))/(VLOOKUP(Main_M[[#This Row],[Industry]], Mean_ROE_M, 3, FALSE))</f>
        <v>-0.315028787669212</v>
      </c>
      <c r="R5" s="1">
        <f>(Main_M[[#This Row],[ROA]]-VLOOKUP(Main_M[[#This Row],[Industry]], Mean_ROA_M, 2, FALSE))/(VLOOKUP(Main_M[[#This Row],[Industry]], Mean_ROA_M, 3, FALSE))</f>
        <v>-2.652340185392482</v>
      </c>
      <c r="S5" s="1">
        <f>(Main_M[[#This Row],[A/E]]-VLOOKUP(Main_M[[#This Row],[Industry]], Mean_AE_M, 2, FALSE))/(VLOOKUP(Main_M[[#This Row],[Industry]], Mean_AE_M, 3, FALSE))</f>
        <v>-0.61528667227984024</v>
      </c>
      <c r="T5" s="1">
        <f>(Main_M[[#This Row],[P/E]]-VLOOKUP(Main_M[[#This Row],[Industry]], Mean_PE_M, 2, FALSE))/(VLOOKUP(Main_M[[#This Row],[Industry]], Mean_PE_M, 3, FALSE))</f>
        <v>-1.4310040317169934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105</v>
      </c>
      <c r="B6" s="67" t="s">
        <v>255</v>
      </c>
      <c r="C6" s="2">
        <v>4253</v>
      </c>
      <c r="D6">
        <f>RTD("tos.rtd", , "LAST", Main_M[[#This Row],[Symbol]])</f>
        <v>57.32</v>
      </c>
      <c r="E6">
        <v>2.25</v>
      </c>
      <c r="F6">
        <v>19.059999999999999</v>
      </c>
      <c r="G6">
        <v>1.51</v>
      </c>
      <c r="H6" s="1">
        <f>IF(ISNUMBER(Main_M[[#This Row],[Free CF]]),IF(Main_M[[#This Row],[Free CF]]&lt;&gt;0,Main_M[[#This Row],[Current Price]]/Main_M[[#This Row],[Free CF]],""),"")</f>
        <v>25.475555555555555</v>
      </c>
      <c r="I6" s="1">
        <f>IF(ISNUMBER(Main_M[[#This Row],[BVPS]]),IF(Main_M[[#This Row],[BVPS]]&lt;&gt;0,Main_M[[#This Row],[Current Price]]/Main_M[[#This Row],[BVPS]],""),"")</f>
        <v>3.0073452256033582</v>
      </c>
      <c r="J6">
        <v>7.87</v>
      </c>
      <c r="K6">
        <v>5.0999999999999996</v>
      </c>
      <c r="L6">
        <v>1.81</v>
      </c>
      <c r="M6" s="1">
        <f>IF(ISNUMBER(Main_M[[#This Row],[EPS]]),IF(Main_M[[#This Row],[EPS]]&lt;&gt;0,Main_M[[#This Row],[Current Price]]/Main_M[[#This Row],[EPS]],""),"")</f>
        <v>37.960264900662253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0.35354637825560825</v>
      </c>
      <c r="P6" s="1">
        <f>(Main_M[[#This Row],[P/B]]-VLOOKUP(Main_M[[#This Row],[Industry]], Mean_PB_M, 2, FALSE))/(VLOOKUP(Main_M[[#This Row],[Industry]], Mean_PB_M, 3, FALSE))</f>
        <v>-2.6152390337958756E-2</v>
      </c>
      <c r="Q6" s="1">
        <f>(Main_M[[#This Row],[ROE]]-VLOOKUP(Main_M[[#This Row],[Industry]], Mean_ROE_M, 2, FALSE))/(VLOOKUP(Main_M[[#This Row],[Industry]], Mean_ROE_M, 3, FALSE))</f>
        <v>0.61023058870190006</v>
      </c>
      <c r="R6" s="1">
        <f>(Main_M[[#This Row],[ROA]]-VLOOKUP(Main_M[[#This Row],[Industry]], Mean_ROA_M, 2, FALSE))/(VLOOKUP(Main_M[[#This Row],[Industry]], Mean_ROA_M, 3, FALSE))</f>
        <v>0.94595736116275975</v>
      </c>
      <c r="S6" s="1">
        <f>(Main_M[[#This Row],[A/E]]-VLOOKUP(Main_M[[#This Row],[Industry]], Mean_AE_M, 2, FALSE))/(VLOOKUP(Main_M[[#This Row],[Industry]], Mean_AE_M, 3, FALSE))</f>
        <v>-0.39832301749761778</v>
      </c>
      <c r="T6" s="1">
        <f>(Main_M[[#This Row],[P/E]]-VLOOKUP(Main_M[[#This Row],[Industry]], Mean_PE_M, 2, FALSE))/(VLOOKUP(Main_M[[#This Row],[Industry]], Mean_PE_M, 3, FALSE))</f>
        <v>-0.26888924191337193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105</v>
      </c>
      <c r="B7" s="67" t="s">
        <v>252</v>
      </c>
      <c r="C7" s="2">
        <v>8234</v>
      </c>
      <c r="D7">
        <f>RTD("tos.rtd", , "LAST", Main_M[[#This Row],[Symbol]])</f>
        <v>27.25</v>
      </c>
      <c r="E7">
        <v>0.99</v>
      </c>
      <c r="F7">
        <v>10.61</v>
      </c>
      <c r="G7">
        <v>0.88</v>
      </c>
      <c r="H7" s="1">
        <f>IF(ISNUMBER(Main_M[[#This Row],[Free CF]]),IF(Main_M[[#This Row],[Free CF]]&lt;&gt;0,Main_M[[#This Row],[Current Price]]/Main_M[[#This Row],[Free CF]],""),"")</f>
        <v>27.525252525252526</v>
      </c>
      <c r="I7" s="1">
        <f>IF(ISNUMBER(Main_M[[#This Row],[BVPS]]),IF(Main_M[[#This Row],[BVPS]]&lt;&gt;0,Main_M[[#This Row],[Current Price]]/Main_M[[#This Row],[BVPS]],""),"")</f>
        <v>2.5683317624882189</v>
      </c>
      <c r="J7">
        <v>8.9499999999999993</v>
      </c>
      <c r="K7">
        <v>3.78</v>
      </c>
      <c r="L7">
        <v>2.29</v>
      </c>
      <c r="M7" s="1">
        <f>IF(ISNUMBER(Main_M[[#This Row],[EPS]]),IF(Main_M[[#This Row],[EPS]]&lt;&gt;0,Main_M[[#This Row],[Current Price]]/Main_M[[#This Row],[EPS]],""),"")</f>
        <v>30.96590909090909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0.37967041000196827</v>
      </c>
      <c r="P7" s="1">
        <f>(Main_M[[#This Row],[P/B]]-VLOOKUP(Main_M[[#This Row],[Industry]], Mean_PB_M, 2, FALSE))/(VLOOKUP(Main_M[[#This Row],[Industry]], Mean_PB_M, 3, FALSE))</f>
        <v>-0.14323019656616245</v>
      </c>
      <c r="Q7" s="1">
        <f>(Main_M[[#This Row],[ROE]]-VLOOKUP(Main_M[[#This Row],[Industry]], Mean_ROE_M, 2, FALSE))/(VLOOKUP(Main_M[[#This Row],[Industry]], Mean_ROE_M, 3, FALSE))</f>
        <v>0.69134098857858839</v>
      </c>
      <c r="R7" s="1">
        <f>(Main_M[[#This Row],[ROA]]-VLOOKUP(Main_M[[#This Row],[Industry]], Mean_ROA_M, 2, FALSE))/(VLOOKUP(Main_M[[#This Row],[Industry]], Mean_ROA_M, 3, FALSE))</f>
        <v>0.15957445363744216</v>
      </c>
      <c r="S7" s="1">
        <f>(Main_M[[#This Row],[A/E]]-VLOOKUP(Main_M[[#This Row],[Industry]], Mean_AE_M, 2, FALSE))/(VLOOKUP(Main_M[[#This Row],[Industry]], Mean_AE_M, 3, FALSE))</f>
        <v>0.29596067780549323</v>
      </c>
      <c r="T7" s="1">
        <f>(Main_M[[#This Row],[P/E]]-VLOOKUP(Main_M[[#This Row],[Industry]], Mean_PE_M, 2, FALSE))/(VLOOKUP(Main_M[[#This Row],[Industry]], Mean_PE_M, 3, FALSE))</f>
        <v>-0.36333948561405044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105</v>
      </c>
      <c r="B8" s="67" t="s">
        <v>253</v>
      </c>
      <c r="C8" s="2">
        <v>8446</v>
      </c>
      <c r="D8">
        <f>RTD("tos.rtd", , "LAST", Main_M[[#This Row],[Symbol]])</f>
        <v>48.37</v>
      </c>
      <c r="E8">
        <v>0.75</v>
      </c>
      <c r="F8">
        <v>4.38</v>
      </c>
      <c r="G8">
        <v>0.53</v>
      </c>
      <c r="H8" s="1">
        <f>IF(ISNUMBER(Main_M[[#This Row],[Free CF]]),IF(Main_M[[#This Row],[Free CF]]&lt;&gt;0,Main_M[[#This Row],[Current Price]]/Main_M[[#This Row],[Free CF]],""),"")</f>
        <v>64.493333333333325</v>
      </c>
      <c r="I8" s="1">
        <f>IF(ISNUMBER(Main_M[[#This Row],[BVPS]]),IF(Main_M[[#This Row],[BVPS]]&lt;&gt;0,Main_M[[#This Row],[Current Price]]/Main_M[[#This Row],[BVPS]],""),"")</f>
        <v>11.043378995433789</v>
      </c>
      <c r="J8">
        <v>12.72</v>
      </c>
      <c r="K8">
        <v>3.31</v>
      </c>
      <c r="L8">
        <v>3.67</v>
      </c>
      <c r="M8" s="1">
        <f>IF(ISNUMBER(Main_M[[#This Row],[EPS]]),IF(Main_M[[#This Row],[EPS]]&lt;&gt;0,Main_M[[#This Row],[Current Price]]/Main_M[[#This Row],[EPS]],""),"")</f>
        <v>91.264150943396217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0.85084021261678333</v>
      </c>
      <c r="P8" s="1">
        <f>(Main_M[[#This Row],[P/B]]-VLOOKUP(Main_M[[#This Row],[Industry]], Mean_PB_M, 2, FALSE))/(VLOOKUP(Main_M[[#This Row],[Industry]], Mean_PB_M, 3, FALSE))</f>
        <v>2.1169281381531588</v>
      </c>
      <c r="Q8" s="1">
        <f>(Main_M[[#This Row],[ROE]]-VLOOKUP(Main_M[[#This Row],[Industry]], Mean_ROE_M, 2, FALSE))/(VLOOKUP(Main_M[[#This Row],[Industry]], Mean_ROE_M, 3, FALSE))</f>
        <v>0.97447636592591735</v>
      </c>
      <c r="R8" s="1">
        <f>(Main_M[[#This Row],[ROA]]-VLOOKUP(Main_M[[#This Row],[Industry]], Mean_ROA_M, 2, FALSE))/(VLOOKUP(Main_M[[#This Row],[Industry]], Mean_ROA_M, 3, FALSE))</f>
        <v>-0.12042552101172385</v>
      </c>
      <c r="S8" s="1">
        <f>(Main_M[[#This Row],[A/E]]-VLOOKUP(Main_M[[#This Row],[Industry]], Mean_AE_M, 2, FALSE))/(VLOOKUP(Main_M[[#This Row],[Industry]], Mean_AE_M, 3, FALSE))</f>
        <v>2.2920263018019371</v>
      </c>
      <c r="T8" s="1">
        <f>(Main_M[[#This Row],[P/E]]-VLOOKUP(Main_M[[#This Row],[Industry]], Mean_PE_M, 2, FALSE))/(VLOOKUP(Main_M[[#This Row],[Industry]], Mean_PE_M, 3, FALSE))</f>
        <v>0.45091472057722004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7" t="s">
        <v>105</v>
      </c>
      <c r="B9" s="67" t="s">
        <v>257</v>
      </c>
      <c r="C9" s="2">
        <v>8144</v>
      </c>
      <c r="D9">
        <f>RTD("tos.rtd", , "LAST", Main_M[[#This Row],[Symbol]])</f>
        <v>89.21</v>
      </c>
      <c r="E9">
        <v>0.69</v>
      </c>
      <c r="F9">
        <v>11.83</v>
      </c>
      <c r="G9">
        <v>0.37</v>
      </c>
      <c r="H9" s="1">
        <f>IF(ISNUMBER(Main_M[[#This Row],[Free CF]]),IF(Main_M[[#This Row],[Free CF]]&lt;&gt;0,Main_M[[#This Row],[Current Price]]/Main_M[[#This Row],[Free CF]],""),"")</f>
        <v>129.28985507246378</v>
      </c>
      <c r="I9" s="1">
        <f>IF(ISNUMBER(Main_M[[#This Row],[BVPS]]),IF(Main_M[[#This Row],[BVPS]]&lt;&gt;0,Main_M[[#This Row],[Current Price]]/Main_M[[#This Row],[BVPS]],""),"")</f>
        <v>7.5409974640743869</v>
      </c>
      <c r="J9">
        <v>4.62</v>
      </c>
      <c r="K9">
        <v>4.87</v>
      </c>
      <c r="L9">
        <v>1.34</v>
      </c>
      <c r="M9" s="1">
        <f>IF(ISNUMBER(Main_M[[#This Row],[EPS]]),IF(Main_M[[#This Row],[EPS]]&lt;&gt;0,Main_M[[#This Row],[Current Price]]/Main_M[[#This Row],[EPS]],""),"")</f>
        <v>241.1081081081081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1.6766922365952399</v>
      </c>
      <c r="P9" s="1">
        <f>(Main_M[[#This Row],[P/B]]-VLOOKUP(Main_M[[#This Row],[Industry]], Mean_PB_M, 2, FALSE))/(VLOOKUP(Main_M[[#This Row],[Industry]], Mean_PB_M, 3, FALSE))</f>
        <v>1.1828995018646358</v>
      </c>
      <c r="Q9" s="1">
        <f>(Main_M[[#This Row],[ROE]]-VLOOKUP(Main_M[[#This Row],[Industry]], Mean_ROE_M, 2, FALSE))/(VLOOKUP(Main_M[[#This Row],[Industry]], Mean_ROE_M, 3, FALSE))</f>
        <v>0.36614836685075441</v>
      </c>
      <c r="R9" s="1">
        <f>(Main_M[[#This Row],[ROA]]-VLOOKUP(Main_M[[#This Row],[Industry]], Mean_ROA_M, 2, FALSE))/(VLOOKUP(Main_M[[#This Row],[Industry]], Mean_ROA_M, 3, FALSE))</f>
        <v>0.8089360969727426</v>
      </c>
      <c r="S9" s="1">
        <f>(Main_M[[#This Row],[A/E]]-VLOOKUP(Main_M[[#This Row],[Industry]], Mean_AE_M, 2, FALSE))/(VLOOKUP(Main_M[[#This Row],[Industry]], Mean_AE_M, 3, FALSE))</f>
        <v>-1.0781424691485806</v>
      </c>
      <c r="T9" s="1">
        <f>(Main_M[[#This Row],[P/E]]-VLOOKUP(Main_M[[#This Row],[Industry]], Mean_PE_M, 2, FALSE))/(VLOOKUP(Main_M[[#This Row],[Industry]], Mean_PE_M, 3, FALSE))</f>
        <v>2.4743745868233633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7" t="s">
        <v>105</v>
      </c>
      <c r="B10" s="67" t="s">
        <v>413</v>
      </c>
      <c r="C10" s="2">
        <v>2004</v>
      </c>
      <c r="D10">
        <f>RTD("tos.rtd", , "LAST", Main_M[[#This Row],[Symbol]])</f>
        <v>25.94</v>
      </c>
      <c r="E10">
        <v>0.24</v>
      </c>
      <c r="F10">
        <v>-0.99</v>
      </c>
      <c r="G10">
        <v>0.46</v>
      </c>
      <c r="H10" s="1">
        <f>IF(ISNUMBER(Main_M[[#This Row],[Free CF]]),IF(Main_M[[#This Row],[Free CF]]&lt;&gt;0,Main_M[[#This Row],[Current Price]]/Main_M[[#This Row],[Free CF]],""),"")</f>
        <v>108.08333333333334</v>
      </c>
      <c r="I10" s="1">
        <f>IF(ISNUMBER(Main_M[[#This Row],[BVPS]]),IF(Main_M[[#This Row],[BVPS]]&lt;&gt;0,Main_M[[#This Row],[Current Price]]/Main_M[[#This Row],[BVPS]],""),"")</f>
        <v>-26.202020202020204</v>
      </c>
      <c r="J10">
        <v>-39.65</v>
      </c>
      <c r="K10">
        <v>5.79</v>
      </c>
      <c r="L10">
        <v>-21.28</v>
      </c>
      <c r="M10" s="1">
        <f>IF(ISNUMBER(Main_M[[#This Row],[EPS]]),IF(Main_M[[#This Row],[EPS]]&lt;&gt;0,Main_M[[#This Row],[Current Price]]/Main_M[[#This Row],[EPS]],""),"")</f>
        <v>56.391304347826086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1.4064084554640117</v>
      </c>
      <c r="P10" s="1">
        <f>(Main_M[[#This Row],[P/B]]-VLOOKUP(Main_M[[#This Row],[Industry]], Mean_PB_M, 2, FALSE))/(VLOOKUP(Main_M[[#This Row],[Industry]], Mean_PB_M, 3, FALSE))</f>
        <v>-7.8158187967351758</v>
      </c>
      <c r="Q10" s="1">
        <f>(Main_M[[#This Row],[ROE]]-VLOOKUP(Main_M[[#This Row],[Industry]], Mean_ROE_M, 2, FALSE))/(VLOOKUP(Main_M[[#This Row],[Industry]], Mean_ROE_M, 3, FALSE))</f>
        <v>-2.9586270058723891</v>
      </c>
      <c r="R10" s="1">
        <f>(Main_M[[#This Row],[ROA]]-VLOOKUP(Main_M[[#This Row],[Industry]], Mean_ROA_M, 2, FALSE))/(VLOOKUP(Main_M[[#This Row],[Industry]], Mean_ROA_M, 3, FALSE))</f>
        <v>1.3570211537328125</v>
      </c>
      <c r="S10" s="1">
        <f>(Main_M[[#This Row],[A/E]]-VLOOKUP(Main_M[[#This Row],[Industry]], Mean_AE_M, 2, FALSE))/(VLOOKUP(Main_M[[#This Row],[Industry]], Mean_AE_M, 3, FALSE))</f>
        <v>-33.796261610307688</v>
      </c>
      <c r="T10" s="1">
        <f>(Main_M[[#This Row],[P/E]]-VLOOKUP(Main_M[[#This Row],[Industry]], Mean_PE_M, 2, FALSE))/(VLOOKUP(Main_M[[#This Row],[Industry]], Mean_PE_M, 3, FALSE))</f>
        <v>-2.0000535820669112E-2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7" t="s">
        <v>105</v>
      </c>
      <c r="B11" s="67" t="s">
        <v>259</v>
      </c>
      <c r="C11" s="2">
        <v>9810</v>
      </c>
      <c r="D11">
        <f>RTD("tos.rtd", , "LAST", Main_M[[#This Row],[Symbol]])</f>
        <v>30.75</v>
      </c>
      <c r="E11">
        <v>-0.03</v>
      </c>
      <c r="F11">
        <v>7.29</v>
      </c>
      <c r="G11">
        <v>0.23</v>
      </c>
      <c r="H11" s="1">
        <f>IF(ISNUMBER(Main_M[[#This Row],[Free CF]]),IF(Main_M[[#This Row],[Free CF]]&lt;&gt;0,Main_M[[#This Row],[Current Price]]/Main_M[[#This Row],[Free CF]],""),"")</f>
        <v>-1025</v>
      </c>
      <c r="I11" s="1">
        <f>IF(ISNUMBER(Main_M[[#This Row],[BVPS]]),IF(Main_M[[#This Row],[BVPS]]&lt;&gt;0,Main_M[[#This Row],[Current Price]]/Main_M[[#This Row],[BVPS]],""),"")</f>
        <v>4.2181069958847734</v>
      </c>
      <c r="J11">
        <v>3.95</v>
      </c>
      <c r="K11">
        <v>4.22</v>
      </c>
      <c r="L11">
        <v>2.66</v>
      </c>
      <c r="M11" s="1">
        <f>IF(ISNUMBER(Main_M[[#This Row],[EPS]]),IF(Main_M[[#This Row],[EPS]]&lt;&gt;0,Main_M[[#This Row],[Current Price]]/Main_M[[#This Row],[EPS]],""),"")</f>
        <v>133.69565217391303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-13.03509456127102</v>
      </c>
      <c r="P11" s="1">
        <f>(Main_M[[#This Row],[P/B]]-VLOOKUP(Main_M[[#This Row],[Industry]], Mean_PB_M, 2, FALSE))/(VLOOKUP(Main_M[[#This Row],[Industry]], Mean_PB_M, 3, FALSE))</f>
        <v>0.2967382356662534</v>
      </c>
      <c r="Q11" s="1">
        <f>(Main_M[[#This Row],[ROE]]-VLOOKUP(Main_M[[#This Row],[Industry]], Mean_ROE_M, 2, FALSE))/(VLOOKUP(Main_M[[#This Row],[Industry]], Mean_ROE_M, 3, FALSE))</f>
        <v>0.31582987803836438</v>
      </c>
      <c r="R11" s="1">
        <f>(Main_M[[#This Row],[ROA]]-VLOOKUP(Main_M[[#This Row],[Industry]], Mean_ROA_M, 2, FALSE))/(VLOOKUP(Main_M[[#This Row],[Industry]], Mean_ROA_M, 3, FALSE))</f>
        <v>0.42170208947921467</v>
      </c>
      <c r="S11" s="1">
        <f>(Main_M[[#This Row],[A/E]]-VLOOKUP(Main_M[[#This Row],[Industry]], Mean_AE_M, 2, FALSE))/(VLOOKUP(Main_M[[#This Row],[Industry]], Mean_AE_M, 3, FALSE))</f>
        <v>0.83113769293497475</v>
      </c>
      <c r="T11" s="1">
        <f>(Main_M[[#This Row],[P/E]]-VLOOKUP(Main_M[[#This Row],[Industry]], Mean_PE_M, 2, FALSE))/(VLOOKUP(Main_M[[#This Row],[Industry]], Mean_PE_M, 3, FALSE))</f>
        <v>1.0239003879948729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105</v>
      </c>
      <c r="B12" s="67" t="s">
        <v>545</v>
      </c>
      <c r="C12" s="2">
        <v>5665</v>
      </c>
      <c r="D12">
        <f>RTD("tos.rtd", , "LAST", Main_M[[#This Row],[Symbol]])</f>
        <v>46.68</v>
      </c>
      <c r="E12">
        <v>-0.05</v>
      </c>
      <c r="F12">
        <v>2.64</v>
      </c>
      <c r="G12">
        <v>0.04</v>
      </c>
      <c r="H12" s="1">
        <f>IF(ISNUMBER(Main_M[[#This Row],[Free CF]]),IF(Main_M[[#This Row],[Free CF]]&lt;&gt;0,Main_M[[#This Row],[Current Price]]/Main_M[[#This Row],[Free CF]],""),"")</f>
        <v>-933.59999999999991</v>
      </c>
      <c r="I12" s="1">
        <f>IF(ISNUMBER(Main_M[[#This Row],[BVPS]]),IF(Main_M[[#This Row],[BVPS]]&lt;&gt;0,Main_M[[#This Row],[Current Price]]/Main_M[[#This Row],[BVPS]],""),"")</f>
        <v>17.68181818181818</v>
      </c>
      <c r="J12">
        <v>6.71</v>
      </c>
      <c r="K12">
        <v>5.35</v>
      </c>
      <c r="L12">
        <v>2.5099999999999998</v>
      </c>
      <c r="M12" s="1">
        <f>IF(ISNUMBER(Main_M[[#This Row],[EPS]]),IF(Main_M[[#This Row],[EPS]]&lt;&gt;0,Main_M[[#This Row],[Current Price]]/Main_M[[#This Row],[EPS]],""),"")</f>
        <v>1167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-11.870172849955656</v>
      </c>
      <c r="P12" s="1">
        <f>(Main_M[[#This Row],[P/B]]-VLOOKUP(Main_M[[#This Row],[Industry]], Mean_PB_M, 2, FALSE))/(VLOOKUP(Main_M[[#This Row],[Industry]], Mean_PB_M, 3, FALSE))</f>
        <v>3.8872927443005278</v>
      </c>
      <c r="Q12" s="1">
        <f>(Main_M[[#This Row],[ROE]]-VLOOKUP(Main_M[[#This Row],[Industry]], Mean_ROE_M, 2, FALSE))/(VLOOKUP(Main_M[[#This Row],[Industry]], Mean_ROE_M, 3, FALSE))</f>
        <v>0.52311201105656802</v>
      </c>
      <c r="R12" s="1">
        <f>(Main_M[[#This Row],[ROA]]-VLOOKUP(Main_M[[#This Row],[Industry]], Mean_ROA_M, 2, FALSE))/(VLOOKUP(Main_M[[#This Row],[Industry]], Mean_ROA_M, 3, FALSE))</f>
        <v>1.0948935178910397</v>
      </c>
      <c r="S12" s="1">
        <f>(Main_M[[#This Row],[A/E]]-VLOOKUP(Main_M[[#This Row],[Industry]], Mean_AE_M, 2, FALSE))/(VLOOKUP(Main_M[[#This Row],[Industry]], Mean_AE_M, 3, FALSE))</f>
        <v>0.61417403815275207</v>
      </c>
      <c r="T12" s="1">
        <f>(Main_M[[#This Row],[P/E]]-VLOOKUP(Main_M[[#This Row],[Industry]], Mean_PE_M, 2, FALSE))/(VLOOKUP(Main_M[[#This Row],[Industry]], Mean_PE_M, 3, FALSE))</f>
        <v>14.97741521105459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" spans="1:26" x14ac:dyDescent="0.25">
      <c r="A13" s="67" t="s">
        <v>105</v>
      </c>
      <c r="B13" s="67" t="s">
        <v>256</v>
      </c>
      <c r="C13" s="2">
        <v>5661</v>
      </c>
      <c r="D13">
        <f>RTD("tos.rtd", , "LAST", Main_M[[#This Row],[Symbol]])</f>
        <v>40.590000000000003</v>
      </c>
      <c r="E13">
        <v>-0.28999999999999998</v>
      </c>
      <c r="F13">
        <v>9.0500000000000007</v>
      </c>
      <c r="G13">
        <v>0.13</v>
      </c>
      <c r="H13" s="1">
        <f>IF(ISNUMBER(Main_M[[#This Row],[Free CF]]),IF(Main_M[[#This Row],[Free CF]]&lt;&gt;0,Main_M[[#This Row],[Current Price]]/Main_M[[#This Row],[Free CF]],""),"")</f>
        <v>-139.96551724137933</v>
      </c>
      <c r="I13" s="1">
        <f>IF(ISNUMBER(Main_M[[#This Row],[BVPS]]),IF(Main_M[[#This Row],[BVPS]]&lt;&gt;0,Main_M[[#This Row],[Current Price]]/Main_M[[#This Row],[BVPS]],""),"")</f>
        <v>4.4850828729281771</v>
      </c>
      <c r="J13">
        <v>1.44</v>
      </c>
      <c r="K13">
        <v>1.04</v>
      </c>
      <c r="L13">
        <v>1.44</v>
      </c>
      <c r="M13" s="1">
        <f>IF(ISNUMBER(Main_M[[#This Row],[EPS]]),IF(Main_M[[#This Row],[EPS]]&lt;&gt;0,Main_M[[#This Row],[Current Price]]/Main_M[[#This Row],[EPS]],""),"")</f>
        <v>312.23076923076923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-1.7550520642438978</v>
      </c>
      <c r="P13" s="1">
        <f>(Main_M[[#This Row],[P/B]]-VLOOKUP(Main_M[[#This Row],[Industry]], Mean_PB_M, 2, FALSE))/(VLOOKUP(Main_M[[#This Row],[Industry]], Mean_PB_M, 3, FALSE))</f>
        <v>0.36793639386919363</v>
      </c>
      <c r="Q13" s="1">
        <f>(Main_M[[#This Row],[ROE]]-VLOOKUP(Main_M[[#This Row],[Industry]], Mean_ROE_M, 2, FALSE))/(VLOOKUP(Main_M[[#This Row],[Industry]], Mean_ROE_M, 3, FALSE))</f>
        <v>0.12732330054717192</v>
      </c>
      <c r="R13" s="1">
        <f>(Main_M[[#This Row],[ROA]]-VLOOKUP(Main_M[[#This Row],[Industry]], Mean_ROA_M, 2, FALSE))/(VLOOKUP(Main_M[[#This Row],[Industry]], Mean_ROA_M, 3, FALSE))</f>
        <v>-1.472765824104505</v>
      </c>
      <c r="S13" s="1">
        <f>(Main_M[[#This Row],[A/E]]-VLOOKUP(Main_M[[#This Row],[Industry]], Mean_AE_M, 2, FALSE))/(VLOOKUP(Main_M[[#This Row],[Industry]], Mean_AE_M, 3, FALSE))</f>
        <v>-0.93350003262709935</v>
      </c>
      <c r="T13" s="1">
        <f>(Main_M[[#This Row],[P/E]]-VLOOKUP(Main_M[[#This Row],[Industry]], Mean_PE_M, 2, FALSE))/(VLOOKUP(Main_M[[#This Row],[Industry]], Mean_PE_M, 3, FALSE))</f>
        <v>3.4347993719492416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" spans="1:26" x14ac:dyDescent="0.25">
      <c r="A14" s="67" t="s">
        <v>105</v>
      </c>
      <c r="B14" s="67" t="s">
        <v>250</v>
      </c>
      <c r="C14" s="2">
        <v>2217</v>
      </c>
      <c r="D14">
        <f>RTD("tos.rtd", , "LAST", Main_M[[#This Row],[Symbol]])</f>
        <v>67.349999999999994</v>
      </c>
      <c r="E14">
        <v>-0.65</v>
      </c>
      <c r="F14">
        <v>33.340000000000003</v>
      </c>
      <c r="G14">
        <v>-0.36</v>
      </c>
      <c r="H14" s="1">
        <f>IF(ISNUMBER(Main_M[[#This Row],[Free CF]]),IF(Main_M[[#This Row],[Free CF]]&lt;&gt;0,Main_M[[#This Row],[Current Price]]/Main_M[[#This Row],[Free CF]],""),"")</f>
        <v>-103.6153846153846</v>
      </c>
      <c r="I14" s="1">
        <f>IF(ISNUMBER(Main_M[[#This Row],[BVPS]]),IF(Main_M[[#This Row],[BVPS]]&lt;&gt;0,Main_M[[#This Row],[Current Price]]/Main_M[[#This Row],[BVPS]],""),"")</f>
        <v>2.020095980803839</v>
      </c>
      <c r="J14">
        <v>-1.06</v>
      </c>
      <c r="K14">
        <v>4.13</v>
      </c>
      <c r="L14">
        <v>2.42</v>
      </c>
      <c r="M14" s="1">
        <f>IF(ISNUMBER(Main_M[[#This Row],[EPS]]),IF(Main_M[[#This Row],[EPS]]&lt;&gt;0,Main_M[[#This Row],[Current Price]]/Main_M[[#This Row],[EPS]],""),"")</f>
        <v>-187.08333333333331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-1.2917582053247054</v>
      </c>
      <c r="P14" s="1">
        <f>(Main_M[[#This Row],[P/B]]-VLOOKUP(Main_M[[#This Row],[Industry]], Mean_PB_M, 2, FALSE))/(VLOOKUP(Main_M[[#This Row],[Industry]], Mean_PB_M, 3, FALSE))</f>
        <v>-0.28943583263016992</v>
      </c>
      <c r="Q14" s="1">
        <f>(Main_M[[#This Row],[ROE]]-VLOOKUP(Main_M[[#This Row],[Industry]], Mean_ROE_M, 2, FALSE))/(VLOOKUP(Main_M[[#This Row],[Industry]], Mean_ROE_M, 3, FALSE))</f>
        <v>-6.0432254722940081E-2</v>
      </c>
      <c r="R14" s="1">
        <f>(Main_M[[#This Row],[ROA]]-VLOOKUP(Main_M[[#This Row],[Industry]], Mean_ROA_M, 2, FALSE))/(VLOOKUP(Main_M[[#This Row],[Industry]], Mean_ROA_M, 3, FALSE))</f>
        <v>0.36808507305703403</v>
      </c>
      <c r="S14" s="1">
        <f>(Main_M[[#This Row],[A/E]]-VLOOKUP(Main_M[[#This Row],[Industry]], Mean_AE_M, 2, FALSE))/(VLOOKUP(Main_M[[#This Row],[Industry]], Mean_AE_M, 3, FALSE))</f>
        <v>0.48399584528341894</v>
      </c>
      <c r="T14" s="1">
        <f>(Main_M[[#This Row],[P/E]]-VLOOKUP(Main_M[[#This Row],[Industry]], Mean_PE_M, 2, FALSE))/(VLOOKUP(Main_M[[#This Row],[Industry]], Mean_PE_M, 3, FALSE))</f>
        <v>-3.3078285344839902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s="67" t="s">
        <v>105</v>
      </c>
      <c r="B15" s="67" t="s">
        <v>249</v>
      </c>
      <c r="C15" s="2">
        <v>5540</v>
      </c>
      <c r="D15">
        <f>RTD("tos.rtd", , "LAST", Main_M[[#This Row],[Symbol]])</f>
        <v>11.26</v>
      </c>
      <c r="E15">
        <v>-1.05</v>
      </c>
      <c r="F15">
        <v>1.84</v>
      </c>
      <c r="G15">
        <v>-1.19</v>
      </c>
      <c r="H15" s="1">
        <f>IF(ISNUMBER(Main_M[[#This Row],[Free CF]]),IF(Main_M[[#This Row],[Free CF]]&lt;&gt;0,Main_M[[#This Row],[Current Price]]/Main_M[[#This Row],[Free CF]],""),"")</f>
        <v>-10.723809523809523</v>
      </c>
      <c r="I15" s="1">
        <f>IF(ISNUMBER(Main_M[[#This Row],[BVPS]]),IF(Main_M[[#This Row],[BVPS]]&lt;&gt;0,Main_M[[#This Row],[Current Price]]/Main_M[[#This Row],[BVPS]],""),"")</f>
        <v>6.1195652173913038</v>
      </c>
      <c r="J15">
        <v>-73.89</v>
      </c>
      <c r="K15">
        <v>-37.049999999999997</v>
      </c>
      <c r="L15">
        <v>1.2</v>
      </c>
      <c r="M15" s="1">
        <f>IF(ISNUMBER(Main_M[[#This Row],[EPS]]),IF(Main_M[[#This Row],[EPS]]&lt;&gt;0,Main_M[[#This Row],[Current Price]]/Main_M[[#This Row],[EPS]],""),"")</f>
        <v>-9.46218487394958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-0.10782590092145454</v>
      </c>
      <c r="P15" s="1">
        <f>(Main_M[[#This Row],[P/B]]-VLOOKUP(Main_M[[#This Row],[Industry]], Mean_PB_M, 2, FALSE))/(VLOOKUP(Main_M[[#This Row],[Industry]], Mean_PB_M, 3, FALSE))</f>
        <v>0.80382645940526121</v>
      </c>
      <c r="Q15" s="1">
        <f>(Main_M[[#This Row],[ROE]]-VLOOKUP(Main_M[[#This Row],[Industry]], Mean_ROE_M, 2, FALSE))/(VLOOKUP(Main_M[[#This Row],[Industry]], Mean_ROE_M, 3, FALSE))</f>
        <v>-5.5301270908518427</v>
      </c>
      <c r="R15" s="1">
        <f>(Main_M[[#This Row],[ROA]]-VLOOKUP(Main_M[[#This Row],[Industry]], Mean_ROA_M, 2, FALSE))/(VLOOKUP(Main_M[[#This Row],[Industry]], Mean_ROA_M, 3, FALSE))</f>
        <v>-24.164678663225221</v>
      </c>
      <c r="S15" s="1">
        <f>(Main_M[[#This Row],[A/E]]-VLOOKUP(Main_M[[#This Row],[Industry]], Mean_AE_M, 2, FALSE))/(VLOOKUP(Main_M[[#This Row],[Industry]], Mean_AE_M, 3, FALSE))</f>
        <v>-1.280641880278655</v>
      </c>
      <c r="T15" s="1">
        <f>(Main_M[[#This Row],[P/E]]-VLOOKUP(Main_M[[#This Row],[Industry]], Mean_PE_M, 2, FALSE))/(VLOOKUP(Main_M[[#This Row],[Industry]], Mean_PE_M, 3, FALSE))</f>
        <v>-0.90927158160640287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105</v>
      </c>
      <c r="B16" s="67" t="s">
        <v>251</v>
      </c>
      <c r="C16" s="2">
        <v>8126</v>
      </c>
      <c r="D16">
        <f>RTD("tos.rtd", , "LAST", Main_M[[#This Row],[Symbol]])</f>
        <v>195.72</v>
      </c>
      <c r="E16">
        <v>-1.29</v>
      </c>
      <c r="F16">
        <v>30.73</v>
      </c>
      <c r="G16">
        <v>1.17</v>
      </c>
      <c r="H16" s="1">
        <f>IF(ISNUMBER(Main_M[[#This Row],[Free CF]]),IF(Main_M[[#This Row],[Free CF]]&lt;&gt;0,Main_M[[#This Row],[Current Price]]/Main_M[[#This Row],[Free CF]],""),"")</f>
        <v>-151.72093023255815</v>
      </c>
      <c r="I16" s="1">
        <f>IF(ISNUMBER(Main_M[[#This Row],[BVPS]]),IF(Main_M[[#This Row],[BVPS]]&lt;&gt;0,Main_M[[#This Row],[Current Price]]/Main_M[[#This Row],[BVPS]],""),"")</f>
        <v>6.3690205011389525</v>
      </c>
      <c r="J16">
        <v>3.94</v>
      </c>
      <c r="K16">
        <v>2.15</v>
      </c>
      <c r="L16">
        <v>1.22</v>
      </c>
      <c r="M16" s="1">
        <f>IF(ISNUMBER(Main_M[[#This Row],[EPS]]),IF(Main_M[[#This Row],[EPS]]&lt;&gt;0,Main_M[[#This Row],[Current Price]]/Main_M[[#This Row],[EPS]],""),"")</f>
        <v>167.2820512820513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-1.9048784955229225</v>
      </c>
      <c r="P16" s="1">
        <f>(Main_M[[#This Row],[P/B]]-VLOOKUP(Main_M[[#This Row],[Industry]], Mean_PB_M, 2, FALSE))/(VLOOKUP(Main_M[[#This Row],[Industry]], Mean_PB_M, 3, FALSE))</f>
        <v>0.87035215810700939</v>
      </c>
      <c r="Q16" s="1">
        <f>(Main_M[[#This Row],[ROE]]-VLOOKUP(Main_M[[#This Row],[Industry]], Mean_ROE_M, 2, FALSE))/(VLOOKUP(Main_M[[#This Row],[Industry]], Mean_ROE_M, 3, FALSE))</f>
        <v>0.31507885581728395</v>
      </c>
      <c r="R16" s="1">
        <f>(Main_M[[#This Row],[ROA]]-VLOOKUP(Main_M[[#This Row],[Industry]], Mean_ROA_M, 2, FALSE))/(VLOOKUP(Main_M[[#This Row],[Industry]], Mean_ROA_M, 3, FALSE))</f>
        <v>-0.81148928823094257</v>
      </c>
      <c r="S16" s="1">
        <f>(Main_M[[#This Row],[A/E]]-VLOOKUP(Main_M[[#This Row],[Industry]], Mean_AE_M, 2, FALSE))/(VLOOKUP(Main_M[[#This Row],[Industry]], Mean_AE_M, 3, FALSE))</f>
        <v>-1.2517133929743585</v>
      </c>
      <c r="T16" s="1">
        <f>(Main_M[[#This Row],[P/E]]-VLOOKUP(Main_M[[#This Row],[Industry]], Mean_PE_M, 2, FALSE))/(VLOOKUP(Main_M[[#This Row],[Industry]], Mean_PE_M, 3, FALSE))</f>
        <v>1.477443740245902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105</v>
      </c>
      <c r="B17" s="67" t="s">
        <v>254</v>
      </c>
      <c r="C17" s="2">
        <v>8753</v>
      </c>
      <c r="D17">
        <f>RTD("tos.rtd", , "LAST", Main_M[[#This Row],[Symbol]])</f>
        <v>228.07</v>
      </c>
      <c r="E17">
        <v>-4.04</v>
      </c>
      <c r="F17">
        <v>121.64</v>
      </c>
      <c r="G17">
        <v>13.88</v>
      </c>
      <c r="H17" s="1">
        <f>IF(ISNUMBER(Main_M[[#This Row],[Free CF]]),IF(Main_M[[#This Row],[Free CF]]&lt;&gt;0,Main_M[[#This Row],[Current Price]]/Main_M[[#This Row],[Free CF]],""),"")</f>
        <v>-56.452970297029701</v>
      </c>
      <c r="I17" s="1">
        <f>IF(ISNUMBER(Main_M[[#This Row],[BVPS]]),IF(Main_M[[#This Row],[BVPS]]&lt;&gt;0,Main_M[[#This Row],[Current Price]]/Main_M[[#This Row],[BVPS]],""),"")</f>
        <v>1.8749588951002958</v>
      </c>
      <c r="J17">
        <v>12.27</v>
      </c>
      <c r="K17">
        <v>3.63</v>
      </c>
      <c r="L17">
        <v>2.54</v>
      </c>
      <c r="M17" s="1">
        <f>IF(ISNUMBER(Main_M[[#This Row],[EPS]]),IF(Main_M[[#This Row],[EPS]]&lt;&gt;0,Main_M[[#This Row],[Current Price]]/Main_M[[#This Row],[EPS]],""),"")</f>
        <v>16.431556195965417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-0.69065841979404741</v>
      </c>
      <c r="P17" s="1">
        <f>(Main_M[[#This Row],[P/B]]-VLOOKUP(Main_M[[#This Row],[Industry]], Mean_PB_M, 2, FALSE))/(VLOOKUP(Main_M[[#This Row],[Industry]], Mean_PB_M, 3, FALSE))</f>
        <v>-0.32814155130210293</v>
      </c>
      <c r="Q17" s="1">
        <f>(Main_M[[#This Row],[ROE]]-VLOOKUP(Main_M[[#This Row],[Industry]], Mean_ROE_M, 2, FALSE))/(VLOOKUP(Main_M[[#This Row],[Industry]], Mean_ROE_M, 3, FALSE))</f>
        <v>0.94068036597729709</v>
      </c>
      <c r="R17" s="1">
        <f>(Main_M[[#This Row],[ROA]]-VLOOKUP(Main_M[[#This Row],[Industry]], Mean_ROA_M, 2, FALSE))/(VLOOKUP(Main_M[[#This Row],[Industry]], Mean_ROA_M, 3, FALSE))</f>
        <v>7.0212759600474281E-2</v>
      </c>
      <c r="S17" s="1">
        <f>(Main_M[[#This Row],[A/E]]-VLOOKUP(Main_M[[#This Row],[Industry]], Mean_AE_M, 2, FALSE))/(VLOOKUP(Main_M[[#This Row],[Industry]], Mean_AE_M, 3, FALSE))</f>
        <v>0.65756676910919687</v>
      </c>
      <c r="T17" s="1">
        <f>(Main_M[[#This Row],[P/E]]-VLOOKUP(Main_M[[#This Row],[Industry]], Mean_PE_M, 2, FALSE))/(VLOOKUP(Main_M[[#This Row],[Industry]], Mean_PE_M, 3, FALSE))</f>
        <v>-0.55960819288296737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7" t="s">
        <v>105</v>
      </c>
      <c r="B18" s="67" t="s">
        <v>260</v>
      </c>
      <c r="C18" s="2">
        <v>4385</v>
      </c>
      <c r="D18">
        <f>RTD("tos.rtd", , "LAST", Main_M[[#This Row],[Symbol]])</f>
        <v>38.72</v>
      </c>
      <c r="E18">
        <v>-11.13</v>
      </c>
      <c r="F18">
        <v>-27.27</v>
      </c>
      <c r="G18">
        <v>-18.23</v>
      </c>
      <c r="H18" s="1">
        <f>IF(ISNUMBER(Main_M[[#This Row],[Free CF]]),IF(Main_M[[#This Row],[Free CF]]&lt;&gt;0,Main_M[[#This Row],[Current Price]]/Main_M[[#This Row],[Free CF]],""),"")</f>
        <v>-3.4788858939802334</v>
      </c>
      <c r="I18" s="1">
        <f>IF(ISNUMBER(Main_M[[#This Row],[BVPS]]),IF(Main_M[[#This Row],[BVPS]]&lt;&gt;0,Main_M[[#This Row],[Current Price]]/Main_M[[#This Row],[BVPS]],""),"")</f>
        <v>-1.4198753208654198</v>
      </c>
      <c r="J18">
        <v>99.14</v>
      </c>
      <c r="K18">
        <v>-16.28</v>
      </c>
      <c r="L18">
        <v>-2.02</v>
      </c>
      <c r="M18" s="1">
        <f>IF(ISNUMBER(Main_M[[#This Row],[EPS]]),IF(Main_M[[#This Row],[EPS]]&lt;&gt;0,Main_M[[#This Row],[Current Price]]/Main_M[[#This Row],[EPS]],""),"")</f>
        <v>-2.1239714755896872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-1.548707342462911E-2</v>
      </c>
      <c r="P18" s="1">
        <f>(Main_M[[#This Row],[P/B]]-VLOOKUP(Main_M[[#This Row],[Industry]], Mean_PB_M, 2, FALSE))/(VLOOKUP(Main_M[[#This Row],[Industry]], Mean_PB_M, 3, FALSE))</f>
        <v>-1.2068206677776698</v>
      </c>
      <c r="Q18" s="1">
        <f>(Main_M[[#This Row],[ROE]]-VLOOKUP(Main_M[[#This Row],[Industry]], Mean_ROE_M, 2, FALSE))/(VLOOKUP(Main_M[[#This Row],[Industry]], Mean_ROE_M, 3, FALSE))</f>
        <v>7.4648104005031497</v>
      </c>
      <c r="R18" s="1">
        <f>(Main_M[[#This Row],[ROA]]-VLOOKUP(Main_M[[#This Row],[Industry]], Mean_ROA_M, 2, FALSE))/(VLOOKUP(Main_M[[#This Row],[Industry]], Mean_ROA_M, 3, FALSE))</f>
        <v>-11.791062762239736</v>
      </c>
      <c r="S18" s="1">
        <f>(Main_M[[#This Row],[A/E]]-VLOOKUP(Main_M[[#This Row],[Industry]], Mean_AE_M, 2, FALSE))/(VLOOKUP(Main_M[[#This Row],[Industry]], Mean_AE_M, 3, FALSE))</f>
        <v>-5.9381283362703581</v>
      </c>
      <c r="T18" s="1">
        <f>(Main_M[[#This Row],[P/E]]-VLOOKUP(Main_M[[#This Row],[Industry]], Mean_PE_M, 2, FALSE))/(VLOOKUP(Main_M[[#This Row],[Industry]], Mean_PE_M, 3, FALSE))</f>
        <v>-0.81017796059899005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7" t="s">
        <v>222</v>
      </c>
      <c r="B19" s="67" t="s">
        <v>381</v>
      </c>
      <c r="C19" s="2">
        <v>2065</v>
      </c>
      <c r="D19">
        <f>RTD("tos.rtd", , "LAST", Main_M[[#This Row],[Symbol]])</f>
        <v>33.83</v>
      </c>
      <c r="E19">
        <v>2.1800000000000002</v>
      </c>
      <c r="F19">
        <v>26.91</v>
      </c>
      <c r="G19">
        <v>1.7</v>
      </c>
      <c r="H19" s="1">
        <f>IF(ISNUMBER(Main_M[[#This Row],[Free CF]]),IF(Main_M[[#This Row],[Free CF]]&lt;&gt;0,Main_M[[#This Row],[Current Price]]/Main_M[[#This Row],[Free CF]],""),"")</f>
        <v>15.518348623853209</v>
      </c>
      <c r="I19" s="1">
        <f>IF(ISNUMBER(Main_M[[#This Row],[BVPS]]),IF(Main_M[[#This Row],[BVPS]]&lt;&gt;0,Main_M[[#This Row],[Current Price]]/Main_M[[#This Row],[BVPS]],""),"")</f>
        <v>1.2571534745447788</v>
      </c>
      <c r="J19">
        <v>6.28</v>
      </c>
      <c r="K19">
        <v>3.12</v>
      </c>
      <c r="L19">
        <v>1.71</v>
      </c>
      <c r="M19" s="1">
        <f>IF(ISNUMBER(Main_M[[#This Row],[EPS]]),IF(Main_M[[#This Row],[EPS]]&lt;&gt;0,Main_M[[#This Row],[Current Price]]/Main_M[[#This Row],[EPS]],""),"")</f>
        <v>19.899999999999999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-0.99999999999999989</v>
      </c>
      <c r="P19" s="1">
        <f>(Main_M[[#This Row],[P/B]]-VLOOKUP(Main_M[[#This Row],[Industry]], Mean_PB_M, 2, FALSE))/(VLOOKUP(Main_M[[#This Row],[Industry]], Mean_PB_M, 3, FALSE))</f>
        <v>-1.000000000000002</v>
      </c>
      <c r="Q19" s="1">
        <f>(Main_M[[#This Row],[ROE]]-VLOOKUP(Main_M[[#This Row],[Industry]], Mean_ROE_M, 2, FALSE))/(VLOOKUP(Main_M[[#This Row],[Industry]], Mean_ROE_M, 3, FALSE))</f>
        <v>0.99999999999999989</v>
      </c>
      <c r="R19" s="1">
        <f>(Main_M[[#This Row],[ROA]]-VLOOKUP(Main_M[[#This Row],[Industry]], Mean_ROA_M, 2, FALSE))/(VLOOKUP(Main_M[[#This Row],[Industry]], Mean_ROA_M, 3, FALSE))</f>
        <v>1</v>
      </c>
      <c r="S19" s="1">
        <f>(Main_M[[#This Row],[A/E]]-VLOOKUP(Main_M[[#This Row],[Industry]], Mean_AE_M, 2, FALSE))/(VLOOKUP(Main_M[[#This Row],[Industry]], Mean_AE_M, 3, FALSE))</f>
        <v>-1.0000000000000002</v>
      </c>
      <c r="T19" s="1">
        <f>(Main_M[[#This Row],[P/E]]-VLOOKUP(Main_M[[#This Row],[Industry]], Mean_PE_M, 2, FALSE))/(VLOOKUP(Main_M[[#This Row],[Industry]], Mean_PE_M, 3, FALSE))</f>
        <v>-0.99999999999999944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222</v>
      </c>
      <c r="B20" s="67" t="s">
        <v>380</v>
      </c>
      <c r="C20" s="2">
        <v>4707</v>
      </c>
      <c r="D20">
        <f>RTD("tos.rtd", , "LAST", Main_M[[#This Row],[Symbol]])</f>
        <v>42.77</v>
      </c>
      <c r="E20">
        <v>1.37</v>
      </c>
      <c r="F20">
        <v>24.54</v>
      </c>
      <c r="G20">
        <v>0.62</v>
      </c>
      <c r="H20" s="1">
        <f>IF(ISNUMBER(Main_M[[#This Row],[Free CF]]),IF(Main_M[[#This Row],[Free CF]]&lt;&gt;0,Main_M[[#This Row],[Current Price]]/Main_M[[#This Row],[Free CF]],""),"")</f>
        <v>31.21897810218978</v>
      </c>
      <c r="I20" s="1">
        <f>IF(ISNUMBER(Main_M[[#This Row],[BVPS]]),IF(Main_M[[#This Row],[BVPS]]&lt;&gt;0,Main_M[[#This Row],[Current Price]]/Main_M[[#This Row],[BVPS]],""),"")</f>
        <v>1.7428687856560718</v>
      </c>
      <c r="J20">
        <v>2.72</v>
      </c>
      <c r="K20">
        <v>2.37</v>
      </c>
      <c r="L20">
        <v>3.94</v>
      </c>
      <c r="M20" s="1">
        <f>IF(ISNUMBER(Main_M[[#This Row],[EPS]]),IF(Main_M[[#This Row],[EPS]]&lt;&gt;0,Main_M[[#This Row],[Current Price]]/Main_M[[#This Row],[EPS]],""),"")</f>
        <v>68.983870967741936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1.0000000000000002</v>
      </c>
      <c r="P20" s="1">
        <f>(Main_M[[#This Row],[P/B]]-VLOOKUP(Main_M[[#This Row],[Industry]], Mean_PB_M, 2, FALSE))/(VLOOKUP(Main_M[[#This Row],[Industry]], Mean_PB_M, 3, FALSE))</f>
        <v>1.000000000000002</v>
      </c>
      <c r="Q20" s="1">
        <f>(Main_M[[#This Row],[ROE]]-VLOOKUP(Main_M[[#This Row],[Industry]], Mean_ROE_M, 2, FALSE))/(VLOOKUP(Main_M[[#This Row],[Industry]], Mean_ROE_M, 3, FALSE))</f>
        <v>-0.99999999999999967</v>
      </c>
      <c r="R20" s="1">
        <f>(Main_M[[#This Row],[ROA]]-VLOOKUP(Main_M[[#This Row],[Industry]], Mean_ROA_M, 2, FALSE))/(VLOOKUP(Main_M[[#This Row],[Industry]], Mean_ROA_M, 3, FALSE))</f>
        <v>-1</v>
      </c>
      <c r="S20" s="1">
        <f>(Main_M[[#This Row],[A/E]]-VLOOKUP(Main_M[[#This Row],[Industry]], Mean_AE_M, 2, FALSE))/(VLOOKUP(Main_M[[#This Row],[Industry]], Mean_AE_M, 3, FALSE))</f>
        <v>0.99999999999999978</v>
      </c>
      <c r="T20" s="1">
        <f>(Main_M[[#This Row],[P/E]]-VLOOKUP(Main_M[[#This Row],[Industry]], Mean_PE_M, 2, FALSE))/(VLOOKUP(Main_M[[#This Row],[Industry]], Mean_PE_M, 3, FALSE))</f>
        <v>0.99999999999999967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7" t="s">
        <v>122</v>
      </c>
      <c r="B21" s="67" t="s">
        <v>264</v>
      </c>
      <c r="C21" s="2">
        <v>5140</v>
      </c>
      <c r="D21">
        <f>RTD("tos.rtd", , "LAST", Main_M[[#This Row],[Symbol]])</f>
        <v>305.10000000000002</v>
      </c>
      <c r="E21">
        <v>9.36</v>
      </c>
      <c r="F21">
        <v>60.21</v>
      </c>
      <c r="G21">
        <v>8.3800000000000008</v>
      </c>
      <c r="H21" s="1">
        <f>IF(ISNUMBER(Main_M[[#This Row],[Free CF]]),IF(Main_M[[#This Row],[Free CF]]&lt;&gt;0,Main_M[[#This Row],[Current Price]]/Main_M[[#This Row],[Free CF]],""),"")</f>
        <v>32.596153846153854</v>
      </c>
      <c r="I21" s="1">
        <f>IF(ISNUMBER(Main_M[[#This Row],[BVPS]]),IF(Main_M[[#This Row],[BVPS]]&lt;&gt;0,Main_M[[#This Row],[Current Price]]/Main_M[[#This Row],[BVPS]],""),"")</f>
        <v>5.0672645739910314</v>
      </c>
      <c r="J21">
        <v>15.92</v>
      </c>
      <c r="K21">
        <v>9.5299999999999994</v>
      </c>
      <c r="L21">
        <v>1.29</v>
      </c>
      <c r="M21" s="1">
        <f>IF(ISNUMBER(Main_M[[#This Row],[EPS]]),IF(Main_M[[#This Row],[EPS]]&lt;&gt;0,Main_M[[#This Row],[Current Price]]/Main_M[[#This Row],[EPS]],""),"")</f>
        <v>36.408114558472555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0.5178104716031815</v>
      </c>
      <c r="P21" s="1">
        <f>(Main_M[[#This Row],[P/B]]-VLOOKUP(Main_M[[#This Row],[Industry]], Mean_PB_M, 2, FALSE))/(VLOOKUP(Main_M[[#This Row],[Industry]], Mean_PB_M, 3, FALSE))</f>
        <v>0.10364991293301382</v>
      </c>
      <c r="Q21" s="1">
        <f>(Main_M[[#This Row],[ROE]]-VLOOKUP(Main_M[[#This Row],[Industry]], Mean_ROE_M, 2, FALSE))/(VLOOKUP(Main_M[[#This Row],[Industry]], Mean_ROE_M, 3, FALSE))</f>
        <v>-0.37962246930828525</v>
      </c>
      <c r="R21" s="1">
        <f>(Main_M[[#This Row],[ROA]]-VLOOKUP(Main_M[[#This Row],[Industry]], Mean_ROA_M, 2, FALSE))/(VLOOKUP(Main_M[[#This Row],[Industry]], Mean_ROA_M, 3, FALSE))</f>
        <v>0.12752449801244622</v>
      </c>
      <c r="S21" s="1">
        <f>(Main_M[[#This Row],[A/E]]-VLOOKUP(Main_M[[#This Row],[Industry]], Mean_AE_M, 2, FALSE))/(VLOOKUP(Main_M[[#This Row],[Industry]], Mean_AE_M, 3, FALSE))</f>
        <v>-1.4350606625803077</v>
      </c>
      <c r="T21" s="1">
        <f>(Main_M[[#This Row],[P/E]]-VLOOKUP(Main_M[[#This Row],[Industry]], Mean_PE_M, 2, FALSE))/(VLOOKUP(Main_M[[#This Row],[Industry]], Mean_PE_M, 3, FALSE))</f>
        <v>0.21585880452038933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122</v>
      </c>
      <c r="B22" s="67" t="s">
        <v>266</v>
      </c>
      <c r="C22" s="2">
        <v>3233</v>
      </c>
      <c r="D22">
        <f>RTD("tos.rtd", , "LAST", Main_M[[#This Row],[Symbol]])</f>
        <v>70.81</v>
      </c>
      <c r="E22">
        <v>6.23</v>
      </c>
      <c r="F22">
        <v>4.55</v>
      </c>
      <c r="G22">
        <v>4.82</v>
      </c>
      <c r="H22" s="1">
        <f>IF(ISNUMBER(Main_M[[#This Row],[Free CF]]),IF(Main_M[[#This Row],[Free CF]]&lt;&gt;0,Main_M[[#This Row],[Current Price]]/Main_M[[#This Row],[Free CF]],""),"")</f>
        <v>11.365971107544141</v>
      </c>
      <c r="I22" s="1">
        <f>IF(ISNUMBER(Main_M[[#This Row],[BVPS]]),IF(Main_M[[#This Row],[BVPS]]&lt;&gt;0,Main_M[[#This Row],[Current Price]]/Main_M[[#This Row],[BVPS]],""),"")</f>
        <v>15.562637362637364</v>
      </c>
      <c r="J22">
        <v>110.9</v>
      </c>
      <c r="K22">
        <v>11.6</v>
      </c>
      <c r="L22">
        <v>10.92</v>
      </c>
      <c r="M22" s="1">
        <f>IF(ISNUMBER(Main_M[[#This Row],[EPS]]),IF(Main_M[[#This Row],[EPS]]&lt;&gt;0,Main_M[[#This Row],[Current Price]]/Main_M[[#This Row],[EPS]],""),"")</f>
        <v>14.690871369294605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-1.1845114565715067</v>
      </c>
      <c r="P22" s="1">
        <f>(Main_M[[#This Row],[P/B]]-VLOOKUP(Main_M[[#This Row],[Industry]], Mean_PB_M, 2, FALSE))/(VLOOKUP(Main_M[[#This Row],[Industry]], Mean_PB_M, 3, FALSE))</f>
        <v>4.7253155907772681</v>
      </c>
      <c r="Q22" s="1">
        <f>(Main_M[[#This Row],[ROE]]-VLOOKUP(Main_M[[#This Row],[Industry]], Mean_ROE_M, 2, FALSE))/(VLOOKUP(Main_M[[#This Row],[Industry]], Mean_ROE_M, 3, FALSE))</f>
        <v>3.4616284683587155</v>
      </c>
      <c r="R22" s="1">
        <f>(Main_M[[#This Row],[ROA]]-VLOOKUP(Main_M[[#This Row],[Industry]], Mean_ROA_M, 2, FALSE))/(VLOOKUP(Main_M[[#This Row],[Industry]], Mean_ROA_M, 3, FALSE))</f>
        <v>0.81959565014740687</v>
      </c>
      <c r="S22" s="1">
        <f>(Main_M[[#This Row],[A/E]]-VLOOKUP(Main_M[[#This Row],[Industry]], Mean_AE_M, 2, FALSE))/(VLOOKUP(Main_M[[#This Row],[Industry]], Mean_AE_M, 3, FALSE))</f>
        <v>19.016829245355964</v>
      </c>
      <c r="T22" s="1">
        <f>(Main_M[[#This Row],[P/E]]-VLOOKUP(Main_M[[#This Row],[Industry]], Mean_PE_M, 2, FALSE))/(VLOOKUP(Main_M[[#This Row],[Industry]], Mean_PE_M, 3, FALSE))</f>
        <v>-1.1270203198053552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122</v>
      </c>
      <c r="B23" s="67" t="s">
        <v>134</v>
      </c>
      <c r="C23" s="2">
        <v>8531</v>
      </c>
      <c r="D23">
        <f>RTD("tos.rtd", , "LAST", Main_M[[#This Row],[Symbol]])</f>
        <v>116.75</v>
      </c>
      <c r="E23">
        <v>4.75</v>
      </c>
      <c r="F23">
        <v>21.23</v>
      </c>
      <c r="G23">
        <v>5.76</v>
      </c>
      <c r="H23" s="1">
        <f>IF(ISNUMBER(Main_M[[#This Row],[Free CF]]),IF(Main_M[[#This Row],[Free CF]]&lt;&gt;0,Main_M[[#This Row],[Current Price]]/Main_M[[#This Row],[Free CF]],""),"")</f>
        <v>24.578947368421051</v>
      </c>
      <c r="I23" s="1">
        <f>IF(ISNUMBER(Main_M[[#This Row],[BVPS]]),IF(Main_M[[#This Row],[BVPS]]&lt;&gt;0,Main_M[[#This Row],[Current Price]]/Main_M[[#This Row],[BVPS]],""),"")</f>
        <v>5.4992934526613286</v>
      </c>
      <c r="J23">
        <v>33.340000000000003</v>
      </c>
      <c r="K23">
        <v>12.05</v>
      </c>
      <c r="L23">
        <v>2.42</v>
      </c>
      <c r="M23" s="1">
        <f>IF(ISNUMBER(Main_M[[#This Row],[EPS]]),IF(Main_M[[#This Row],[EPS]]&lt;&gt;0,Main_M[[#This Row],[Current Price]]/Main_M[[#This Row],[EPS]],""),"")</f>
        <v>20.269097222222221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-0.12504157342082914</v>
      </c>
      <c r="P23" s="1">
        <f>(Main_M[[#This Row],[P/B]]-VLOOKUP(Main_M[[#This Row],[Industry]], Mean_PB_M, 2, FALSE))/(VLOOKUP(Main_M[[#This Row],[Industry]], Mean_PB_M, 3, FALSE))</f>
        <v>0.29389499336960695</v>
      </c>
      <c r="Q23" s="1">
        <f>(Main_M[[#This Row],[ROE]]-VLOOKUP(Main_M[[#This Row],[Industry]], Mean_ROE_M, 2, FALSE))/(VLOOKUP(Main_M[[#This Row],[Industry]], Mean_ROE_M, 3, FALSE))</f>
        <v>0.32488996840659329</v>
      </c>
      <c r="R23" s="1">
        <f>(Main_M[[#This Row],[ROA]]-VLOOKUP(Main_M[[#This Row],[Industry]], Mean_ROA_M, 2, FALSE))/(VLOOKUP(Main_M[[#This Row],[Industry]], Mean_ROA_M, 3, FALSE))</f>
        <v>0.97004590061152918</v>
      </c>
      <c r="S23" s="1">
        <f>(Main_M[[#This Row],[A/E]]-VLOOKUP(Main_M[[#This Row],[Industry]], Mean_AE_M, 2, FALSE))/(VLOOKUP(Main_M[[#This Row],[Industry]], Mean_AE_M, 3, FALSE))</f>
        <v>0.96479765475800872</v>
      </c>
      <c r="T23" s="1">
        <f>(Main_M[[#This Row],[P/E]]-VLOOKUP(Main_M[[#This Row],[Industry]], Mean_PE_M, 2, FALSE))/(VLOOKUP(Main_M[[#This Row],[Industry]], Mean_PE_M, 3, FALSE))</f>
        <v>-0.78209242157177583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122</v>
      </c>
      <c r="B24" s="67" t="s">
        <v>263</v>
      </c>
      <c r="C24" s="2">
        <v>2716</v>
      </c>
      <c r="D24">
        <f>RTD("tos.rtd", , "LAST", Main_M[[#This Row],[Symbol]])</f>
        <v>92.85</v>
      </c>
      <c r="E24">
        <v>4.6100000000000003</v>
      </c>
      <c r="F24">
        <v>34.950000000000003</v>
      </c>
      <c r="G24">
        <v>1.79</v>
      </c>
      <c r="H24" s="1">
        <f>IF(ISNUMBER(Main_M[[#This Row],[Free CF]]),IF(Main_M[[#This Row],[Free CF]]&lt;&gt;0,Main_M[[#This Row],[Current Price]]/Main_M[[#This Row],[Free CF]],""),"")</f>
        <v>20.140997830802601</v>
      </c>
      <c r="I24" s="1">
        <f>IF(ISNUMBER(Main_M[[#This Row],[BVPS]]),IF(Main_M[[#This Row],[BVPS]]&lt;&gt;0,Main_M[[#This Row],[Current Price]]/Main_M[[#This Row],[BVPS]],""),"")</f>
        <v>2.6566523605150212</v>
      </c>
      <c r="J24">
        <v>13.01</v>
      </c>
      <c r="K24">
        <v>6.89</v>
      </c>
      <c r="L24">
        <v>2.13</v>
      </c>
      <c r="M24" s="1">
        <f>IF(ISNUMBER(Main_M[[#This Row],[EPS]]),IF(Main_M[[#This Row],[EPS]]&lt;&gt;0,Main_M[[#This Row],[Current Price]]/Main_M[[#This Row],[EPS]],""),"")</f>
        <v>51.871508379888262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-0.48089431887465112</v>
      </c>
      <c r="P24" s="1">
        <f>(Main_M[[#This Row],[P/B]]-VLOOKUP(Main_M[[#This Row],[Industry]], Mean_PB_M, 2, FALSE))/(VLOOKUP(Main_M[[#This Row],[Industry]], Mean_PB_M, 3, FALSE))</f>
        <v>-0.95786966850256716</v>
      </c>
      <c r="Q24" s="1">
        <f>(Main_M[[#This Row],[ROE]]-VLOOKUP(Main_M[[#This Row],[Industry]], Mean_ROE_M, 2, FALSE))/(VLOOKUP(Main_M[[#This Row],[Industry]], Mean_ROE_M, 3, FALSE))</f>
        <v>-0.49731082715847447</v>
      </c>
      <c r="R24" s="1">
        <f>(Main_M[[#This Row],[ROA]]-VLOOKUP(Main_M[[#This Row],[Industry]], Mean_ROA_M, 2, FALSE))/(VLOOKUP(Main_M[[#This Row],[Industry]], Mean_ROA_M, 3, FALSE))</f>
        <v>-0.75511697137706857</v>
      </c>
      <c r="S24" s="1">
        <f>(Main_M[[#This Row],[A/E]]-VLOOKUP(Main_M[[#This Row],[Industry]], Mean_AE_M, 2, FALSE))/(VLOOKUP(Main_M[[#This Row],[Industry]], Mean_AE_M, 3, FALSE))</f>
        <v>0.34890481225525483</v>
      </c>
      <c r="T24" s="1">
        <f>(Main_M[[#This Row],[P/E]]-VLOOKUP(Main_M[[#This Row],[Industry]], Mean_PE_M, 2, FALSE))/(VLOOKUP(Main_M[[#This Row],[Industry]], Mean_PE_M, 3, FALSE))</f>
        <v>1.1720330561562793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7" t="s">
        <v>122</v>
      </c>
      <c r="B25" s="67" t="s">
        <v>261</v>
      </c>
      <c r="C25" s="2">
        <v>6759</v>
      </c>
      <c r="D25">
        <f>RTD("tos.rtd", , "LAST", Main_M[[#This Row],[Symbol]])</f>
        <v>154.53</v>
      </c>
      <c r="E25">
        <v>4.45</v>
      </c>
      <c r="F25">
        <v>18.27</v>
      </c>
      <c r="G25">
        <v>6.24</v>
      </c>
      <c r="H25" s="1">
        <f>IF(ISNUMBER(Main_M[[#This Row],[Free CF]]),IF(Main_M[[#This Row],[Free CF]]&lt;&gt;0,Main_M[[#This Row],[Current Price]]/Main_M[[#This Row],[Free CF]],""),"")</f>
        <v>34.725842696629215</v>
      </c>
      <c r="I25" s="1">
        <f>IF(ISNUMBER(Main_M[[#This Row],[BVPS]]),IF(Main_M[[#This Row],[BVPS]]&lt;&gt;0,Main_M[[#This Row],[Current Price]]/Main_M[[#This Row],[BVPS]],""),"")</f>
        <v>8.4581280788177349</v>
      </c>
      <c r="J25">
        <v>38.6</v>
      </c>
      <c r="K25">
        <v>10.38</v>
      </c>
      <c r="L25">
        <v>2.34</v>
      </c>
      <c r="M25" s="1">
        <f>IF(ISNUMBER(Main_M[[#This Row],[EPS]]),IF(Main_M[[#This Row],[EPS]]&lt;&gt;0,Main_M[[#This Row],[Current Price]]/Main_M[[#This Row],[EPS]],""),"")</f>
        <v>24.764423076923077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0.68857753823610712</v>
      </c>
      <c r="P25" s="1">
        <f>(Main_M[[#This Row],[P/B]]-VLOOKUP(Main_M[[#This Row],[Industry]], Mean_PB_M, 2, FALSE))/(VLOOKUP(Main_M[[#This Row],[Industry]], Mean_PB_M, 3, FALSE))</f>
        <v>1.596825790922338</v>
      </c>
      <c r="Q25" s="1">
        <f>(Main_M[[#This Row],[ROE]]-VLOOKUP(Main_M[[#This Row],[Industry]], Mean_ROE_M, 2, FALSE))/(VLOOKUP(Main_M[[#This Row],[Industry]], Mean_ROE_M, 3, FALSE))</f>
        <v>0.53761875269937509</v>
      </c>
      <c r="R25" s="1">
        <f>(Main_M[[#This Row],[ROA]]-VLOOKUP(Main_M[[#This Row],[Industry]], Mean_ROA_M, 2, FALSE))/(VLOOKUP(Main_M[[#This Row],[Industry]], Mean_ROA_M, 3, FALSE))</f>
        <v>0.41170830444467693</v>
      </c>
      <c r="S25" s="1">
        <f>(Main_M[[#This Row],[A/E]]-VLOOKUP(Main_M[[#This Row],[Industry]], Mean_AE_M, 2, FALSE))/(VLOOKUP(Main_M[[#This Row],[Industry]], Mean_AE_M, 3, FALSE))</f>
        <v>0.79489618096414538</v>
      </c>
      <c r="T25" s="1">
        <f>(Main_M[[#This Row],[P/E]]-VLOOKUP(Main_M[[#This Row],[Industry]], Mean_PE_M, 2, FALSE))/(VLOOKUP(Main_M[[#This Row],[Industry]], Mean_PE_M, 3, FALSE))</f>
        <v>-0.50412531521604198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122</v>
      </c>
      <c r="B26" s="67" t="s">
        <v>265</v>
      </c>
      <c r="C26" s="2">
        <v>6061</v>
      </c>
      <c r="D26">
        <f>RTD("tos.rtd", , "LAST", Main_M[[#This Row],[Symbol]])</f>
        <v>52.04</v>
      </c>
      <c r="E26">
        <v>4.0199999999999996</v>
      </c>
      <c r="F26">
        <v>19.16</v>
      </c>
      <c r="G26">
        <v>3.42</v>
      </c>
      <c r="H26" s="1">
        <f>IF(ISNUMBER(Main_M[[#This Row],[Free CF]]),IF(Main_M[[#This Row],[Free CF]]&lt;&gt;0,Main_M[[#This Row],[Current Price]]/Main_M[[#This Row],[Free CF]],""),"")</f>
        <v>12.945273631840797</v>
      </c>
      <c r="I26" s="1">
        <f>IF(ISNUMBER(Main_M[[#This Row],[BVPS]]),IF(Main_M[[#This Row],[BVPS]]&lt;&gt;0,Main_M[[#This Row],[Current Price]]/Main_M[[#This Row],[BVPS]],""),"")</f>
        <v>2.7160751565762005</v>
      </c>
      <c r="J26">
        <v>18.62</v>
      </c>
      <c r="K26">
        <v>6.83</v>
      </c>
      <c r="L26">
        <v>2.86</v>
      </c>
      <c r="M26" s="1">
        <f>IF(ISNUMBER(Main_M[[#This Row],[EPS]]),IF(Main_M[[#This Row],[EPS]]&lt;&gt;0,Main_M[[#This Row],[Current Price]]/Main_M[[#This Row],[EPS]],""),"")</f>
        <v>15.216374269005849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-1.0578765918869697</v>
      </c>
      <c r="P26" s="1">
        <f>(Main_M[[#This Row],[P/B]]-VLOOKUP(Main_M[[#This Row],[Industry]], Mean_PB_M, 2, FALSE))/(VLOOKUP(Main_M[[#This Row],[Industry]], Mean_PB_M, 3, FALSE))</f>
        <v>-0.93170268019562663</v>
      </c>
      <c r="Q26" s="1">
        <f>(Main_M[[#This Row],[ROE]]-VLOOKUP(Main_M[[#This Row],[Industry]], Mean_ROE_M, 2, FALSE))/(VLOOKUP(Main_M[[#This Row],[Industry]], Mean_ROE_M, 3, FALSE))</f>
        <v>-0.27042708573594471</v>
      </c>
      <c r="R26" s="1">
        <f>(Main_M[[#This Row],[ROA]]-VLOOKUP(Main_M[[#This Row],[Industry]], Mean_ROA_M, 2, FALSE))/(VLOOKUP(Main_M[[#This Row],[Industry]], Mean_ROA_M, 3, FALSE))</f>
        <v>-0.77517700477228468</v>
      </c>
      <c r="S26" s="1">
        <f>(Main_M[[#This Row],[A/E]]-VLOOKUP(Main_M[[#This Row],[Industry]], Mean_AE_M, 2, FALSE))/(VLOOKUP(Main_M[[#This Row],[Industry]], Mean_AE_M, 3, FALSE))</f>
        <v>1.8992557606242557</v>
      </c>
      <c r="T26" s="1">
        <f>(Main_M[[#This Row],[P/E]]-VLOOKUP(Main_M[[#This Row],[Industry]], Mean_PE_M, 2, FALSE))/(VLOOKUP(Main_M[[#This Row],[Industry]], Mean_PE_M, 3, FALSE))</f>
        <v>-1.0945260079054671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122</v>
      </c>
      <c r="B27" s="67" t="s">
        <v>271</v>
      </c>
      <c r="C27" s="2">
        <v>6535</v>
      </c>
      <c r="D27">
        <f>RTD("tos.rtd", , "LAST", Main_M[[#This Row],[Symbol]])</f>
        <v>158.86000000000001</v>
      </c>
      <c r="E27">
        <v>3.49</v>
      </c>
      <c r="F27">
        <v>44.51</v>
      </c>
      <c r="G27">
        <v>7.68</v>
      </c>
      <c r="H27" s="1">
        <f>IF(ISNUMBER(Main_M[[#This Row],[Free CF]]),IF(Main_M[[#This Row],[Free CF]]&lt;&gt;0,Main_M[[#This Row],[Current Price]]/Main_M[[#This Row],[Free CF]],""),"")</f>
        <v>45.51862464183381</v>
      </c>
      <c r="I27" s="1">
        <f>IF(ISNUMBER(Main_M[[#This Row],[BVPS]]),IF(Main_M[[#This Row],[BVPS]]&lt;&gt;0,Main_M[[#This Row],[Current Price]]/Main_M[[#This Row],[BVPS]],""),"")</f>
        <v>3.5690855987418564</v>
      </c>
      <c r="J27">
        <v>18.100000000000001</v>
      </c>
      <c r="K27">
        <v>9.91</v>
      </c>
      <c r="L27">
        <v>1.52</v>
      </c>
      <c r="M27" s="1">
        <f>IF(ISNUMBER(Main_M[[#This Row],[EPS]]),IF(Main_M[[#This Row],[EPS]]&lt;&gt;0,Main_M[[#This Row],[Current Price]]/Main_M[[#This Row],[EPS]],""),"")</f>
        <v>20.684895833333336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1.5539864514583404</v>
      </c>
      <c r="P27" s="1">
        <f>(Main_M[[#This Row],[P/B]]-VLOOKUP(Main_M[[#This Row],[Industry]], Mean_PB_M, 2, FALSE))/(VLOOKUP(Main_M[[#This Row],[Industry]], Mean_PB_M, 3, FALSE))</f>
        <v>-0.55607723431680189</v>
      </c>
      <c r="Q27" s="1">
        <f>(Main_M[[#This Row],[ROE]]-VLOOKUP(Main_M[[#This Row],[Industry]], Mean_ROE_M, 2, FALSE))/(VLOOKUP(Main_M[[#This Row],[Industry]], Mean_ROE_M, 3, FALSE))</f>
        <v>-0.29145730775728435</v>
      </c>
      <c r="R27" s="1">
        <f>(Main_M[[#This Row],[ROA]]-VLOOKUP(Main_M[[#This Row],[Industry]], Mean_ROA_M, 2, FALSE))/(VLOOKUP(Main_M[[#This Row],[Industry]], Mean_ROA_M, 3, FALSE))</f>
        <v>0.25457137618214942</v>
      </c>
      <c r="S27" s="1">
        <f>(Main_M[[#This Row],[A/E]]-VLOOKUP(Main_M[[#This Row],[Industry]], Mean_AE_M, 2, FALSE))/(VLOOKUP(Main_M[[#This Row],[Industry]], Mean_AE_M, 3, FALSE))</f>
        <v>-0.94659392542295129</v>
      </c>
      <c r="T27" s="1">
        <f>(Main_M[[#This Row],[P/E]]-VLOOKUP(Main_M[[#This Row],[Industry]], Mean_PE_M, 2, FALSE))/(VLOOKUP(Main_M[[#This Row],[Industry]], Mean_PE_M, 3, FALSE))</f>
        <v>-0.75638164097587601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122</v>
      </c>
      <c r="B28" s="67" t="s">
        <v>125</v>
      </c>
      <c r="C28" s="2">
        <v>9139</v>
      </c>
      <c r="D28">
        <f>RTD("tos.rtd", , "LAST", Main_M[[#This Row],[Symbol]])</f>
        <v>64.83</v>
      </c>
      <c r="E28">
        <v>2.8</v>
      </c>
      <c r="F28">
        <v>13.05</v>
      </c>
      <c r="G28">
        <v>3.58</v>
      </c>
      <c r="H28" s="1">
        <f>IF(ISNUMBER(Main_M[[#This Row],[Free CF]]),IF(Main_M[[#This Row],[Free CF]]&lt;&gt;0,Main_M[[#This Row],[Current Price]]/Main_M[[#This Row],[Free CF]],""),"")</f>
        <v>23.153571428571428</v>
      </c>
      <c r="I28" s="1">
        <f>IF(ISNUMBER(Main_M[[#This Row],[BVPS]]),IF(Main_M[[#This Row],[BVPS]]&lt;&gt;0,Main_M[[#This Row],[Current Price]]/Main_M[[#This Row],[BVPS]],""),"")</f>
        <v>4.9678160919540222</v>
      </c>
      <c r="J28">
        <v>27.97</v>
      </c>
      <c r="K28">
        <v>13.35</v>
      </c>
      <c r="L28">
        <v>1.76</v>
      </c>
      <c r="M28" s="1">
        <f>IF(ISNUMBER(Main_M[[#This Row],[EPS]]),IF(Main_M[[#This Row],[EPS]]&lt;&gt;0,Main_M[[#This Row],[Current Price]]/Main_M[[#This Row],[EPS]],""),"")</f>
        <v>18.108938547486034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-0.23933398193061656</v>
      </c>
      <c r="P28" s="1">
        <f>(Main_M[[#This Row],[P/B]]-VLOOKUP(Main_M[[#This Row],[Industry]], Mean_PB_M, 2, FALSE))/(VLOOKUP(Main_M[[#This Row],[Industry]], Mean_PB_M, 3, FALSE))</f>
        <v>5.9857505993323165E-2</v>
      </c>
      <c r="Q28" s="1">
        <f>(Main_M[[#This Row],[ROE]]-VLOOKUP(Main_M[[#This Row],[Industry]], Mean_ROE_M, 2, FALSE))/(VLOOKUP(Main_M[[#This Row],[Industry]], Mean_ROE_M, 3, FALSE))</f>
        <v>0.10771248330160477</v>
      </c>
      <c r="R28" s="1">
        <f>(Main_M[[#This Row],[ROA]]-VLOOKUP(Main_M[[#This Row],[Industry]], Mean_ROA_M, 2, FALSE))/(VLOOKUP(Main_M[[#This Row],[Industry]], Mean_ROA_M, 3, FALSE))</f>
        <v>1.4046799575078808</v>
      </c>
      <c r="S28" s="1">
        <f>(Main_M[[#This Row],[A/E]]-VLOOKUP(Main_M[[#This Row],[Industry]], Mean_AE_M, 2, FALSE))/(VLOOKUP(Main_M[[#This Row],[Industry]], Mean_AE_M, 3, FALSE))</f>
        <v>-0.4368895040413619</v>
      </c>
      <c r="T28" s="1">
        <f>(Main_M[[#This Row],[P/E]]-VLOOKUP(Main_M[[#This Row],[Industry]], Mean_PE_M, 2, FALSE))/(VLOOKUP(Main_M[[#This Row],[Industry]], Mean_PE_M, 3, FALSE))</f>
        <v>-0.91566517591565699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122</v>
      </c>
      <c r="B29" s="67" t="s">
        <v>269</v>
      </c>
      <c r="C29" s="2">
        <v>3074</v>
      </c>
      <c r="D29">
        <f>RTD("tos.rtd", , "LAST", Main_M[[#This Row],[Symbol]])</f>
        <v>21.47</v>
      </c>
      <c r="E29">
        <v>1.82</v>
      </c>
      <c r="F29">
        <v>19.29</v>
      </c>
      <c r="G29">
        <v>0.3</v>
      </c>
      <c r="H29" s="1">
        <f>IF(ISNUMBER(Main_M[[#This Row],[Free CF]]),IF(Main_M[[#This Row],[Free CF]]&lt;&gt;0,Main_M[[#This Row],[Current Price]]/Main_M[[#This Row],[Free CF]],""),"")</f>
        <v>11.796703296703296</v>
      </c>
      <c r="I29" s="1">
        <f>IF(ISNUMBER(Main_M[[#This Row],[BVPS]]),IF(Main_M[[#This Row],[BVPS]]&lt;&gt;0,Main_M[[#This Row],[Current Price]]/Main_M[[#This Row],[BVPS]],""),"")</f>
        <v>1.1130119232763089</v>
      </c>
      <c r="J29">
        <v>2.58</v>
      </c>
      <c r="K29">
        <v>5.2</v>
      </c>
      <c r="L29">
        <v>2.82</v>
      </c>
      <c r="M29" s="1">
        <f>IF(ISNUMBER(Main_M[[#This Row],[EPS]]),IF(Main_M[[#This Row],[EPS]]&lt;&gt;0,Main_M[[#This Row],[Current Price]]/Main_M[[#This Row],[EPS]],""),"")</f>
        <v>71.566666666666663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-1.1499736073309148</v>
      </c>
      <c r="P29" s="1">
        <f>(Main_M[[#This Row],[P/B]]-VLOOKUP(Main_M[[#This Row],[Industry]], Mean_PB_M, 2, FALSE))/(VLOOKUP(Main_M[[#This Row],[Industry]], Mean_PB_M, 3, FALSE))</f>
        <v>-1.6376158929945897</v>
      </c>
      <c r="Q29" s="1">
        <f>(Main_M[[#This Row],[ROE]]-VLOOKUP(Main_M[[#This Row],[Industry]], Mean_ROE_M, 2, FALSE))/(VLOOKUP(Main_M[[#This Row],[Industry]], Mean_ROE_M, 3, FALSE))</f>
        <v>-0.91912854962496027</v>
      </c>
      <c r="R29" s="1">
        <f>(Main_M[[#This Row],[ROA]]-VLOOKUP(Main_M[[#This Row],[Industry]], Mean_ROA_M, 2, FALSE))/(VLOOKUP(Main_M[[#This Row],[Industry]], Mean_ROA_M, 3, FALSE))</f>
        <v>-1.3201412453423262</v>
      </c>
      <c r="S29" s="1">
        <f>(Main_M[[#This Row],[A/E]]-VLOOKUP(Main_M[[#This Row],[Industry]], Mean_AE_M, 2, FALSE))/(VLOOKUP(Main_M[[#This Row],[Industry]], Mean_AE_M, 3, FALSE))</f>
        <v>1.8143050237273242</v>
      </c>
      <c r="T29" s="1">
        <f>(Main_M[[#This Row],[P/E]]-VLOOKUP(Main_M[[#This Row],[Industry]], Mean_PE_M, 2, FALSE))/(VLOOKUP(Main_M[[#This Row],[Industry]], Mean_PE_M, 3, FALSE))</f>
        <v>2.38987717583651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7" t="s">
        <v>122</v>
      </c>
      <c r="B30" s="67" t="s">
        <v>272</v>
      </c>
      <c r="C30" s="2">
        <v>4024</v>
      </c>
      <c r="D30">
        <f>RTD("tos.rtd", , "LAST", Main_M[[#This Row],[Symbol]])</f>
        <v>88.16</v>
      </c>
      <c r="E30">
        <v>1.78</v>
      </c>
      <c r="F30">
        <v>14.58</v>
      </c>
      <c r="G30">
        <v>3.7</v>
      </c>
      <c r="H30" s="1">
        <f>IF(ISNUMBER(Main_M[[#This Row],[Free CF]]),IF(Main_M[[#This Row],[Free CF]]&lt;&gt;0,Main_M[[#This Row],[Current Price]]/Main_M[[#This Row],[Free CF]],""),"")</f>
        <v>49.528089887640448</v>
      </c>
      <c r="I30" s="1">
        <f>IF(ISNUMBER(Main_M[[#This Row],[BVPS]]),IF(Main_M[[#This Row],[BVPS]]&lt;&gt;0,Main_M[[#This Row],[Current Price]]/Main_M[[#This Row],[BVPS]],""),"")</f>
        <v>6.0466392318244164</v>
      </c>
      <c r="J30">
        <v>27.61</v>
      </c>
      <c r="K30">
        <v>14.21</v>
      </c>
      <c r="L30">
        <v>1.66</v>
      </c>
      <c r="M30" s="1">
        <f>IF(ISNUMBER(Main_M[[#This Row],[EPS]]),IF(Main_M[[#This Row],[EPS]]&lt;&gt;0,Main_M[[#This Row],[Current Price]]/Main_M[[#This Row],[EPS]],""),"")</f>
        <v>23.827027027027025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1.8754815931736362</v>
      </c>
      <c r="P30" s="1">
        <f>(Main_M[[#This Row],[P/B]]-VLOOKUP(Main_M[[#This Row],[Industry]], Mean_PB_M, 2, FALSE))/(VLOOKUP(Main_M[[#This Row],[Industry]], Mean_PB_M, 3, FALSE))</f>
        <v>0.53492018155610788</v>
      </c>
      <c r="Q30" s="1">
        <f>(Main_M[[#This Row],[ROE]]-VLOOKUP(Main_M[[#This Row],[Industry]], Mean_ROE_M, 2, FALSE))/(VLOOKUP(Main_M[[#This Row],[Industry]], Mean_ROE_M, 3, FALSE))</f>
        <v>9.3153098825292713E-2</v>
      </c>
      <c r="R30" s="1">
        <f>(Main_M[[#This Row],[ROA]]-VLOOKUP(Main_M[[#This Row],[Industry]], Mean_ROA_M, 2, FALSE))/(VLOOKUP(Main_M[[#This Row],[Industry]], Mean_ROA_M, 3, FALSE))</f>
        <v>1.6922071028393142</v>
      </c>
      <c r="S30" s="1">
        <f>(Main_M[[#This Row],[A/E]]-VLOOKUP(Main_M[[#This Row],[Industry]], Mean_AE_M, 2, FALSE))/(VLOOKUP(Main_M[[#This Row],[Industry]], Mean_AE_M, 3, FALSE))</f>
        <v>-0.64926634628369095</v>
      </c>
      <c r="T30" s="1">
        <f>(Main_M[[#This Row],[P/E]]-VLOOKUP(Main_M[[#This Row],[Industry]], Mean_PE_M, 2, FALSE))/(VLOOKUP(Main_M[[#This Row],[Industry]], Mean_PE_M, 3, FALSE))</f>
        <v>-0.56208891472383338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7" t="s">
        <v>122</v>
      </c>
      <c r="B31" s="67" t="s">
        <v>274</v>
      </c>
      <c r="C31" s="2">
        <v>6089</v>
      </c>
      <c r="D31">
        <f>RTD("tos.rtd", , "LAST", Main_M[[#This Row],[Symbol]])</f>
        <v>36.590000000000003</v>
      </c>
      <c r="E31">
        <v>1.52</v>
      </c>
      <c r="F31">
        <v>9.19</v>
      </c>
      <c r="G31">
        <v>0.96</v>
      </c>
      <c r="H31" s="1">
        <f>IF(ISNUMBER(Main_M[[#This Row],[Free CF]]),IF(Main_M[[#This Row],[Free CF]]&lt;&gt;0,Main_M[[#This Row],[Current Price]]/Main_M[[#This Row],[Free CF]],""),"")</f>
        <v>24.072368421052634</v>
      </c>
      <c r="I31" s="1">
        <f>IF(ISNUMBER(Main_M[[#This Row],[BVPS]]),IF(Main_M[[#This Row],[BVPS]]&lt;&gt;0,Main_M[[#This Row],[Current Price]]/Main_M[[#This Row],[BVPS]],""),"")</f>
        <v>3.9815016322089232</v>
      </c>
      <c r="J31">
        <v>10.49</v>
      </c>
      <c r="K31">
        <v>6.2</v>
      </c>
      <c r="L31">
        <v>1.68</v>
      </c>
      <c r="M31" s="1">
        <f>IF(ISNUMBER(Main_M[[#This Row],[EPS]]),IF(Main_M[[#This Row],[EPS]]&lt;&gt;0,Main_M[[#This Row],[Current Price]]/Main_M[[#This Row],[EPS]],""),"")</f>
        <v>38.114583333333336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1" s="1">
        <f>(Main_M[[#This Row],[P/FCF]]-VLOOKUP(Main_M[[#This Row],[Industry]], Mean_PFCF_M, 2, FALSE))/(VLOOKUP(Main_M[[#This Row],[Industry]], Mean_PFCF_M, 3, FALSE))</f>
        <v>-0.16566112253514739</v>
      </c>
      <c r="P31" s="1">
        <f>(Main_M[[#This Row],[P/B]]-VLOOKUP(Main_M[[#This Row],[Industry]], Mean_PB_M, 2, FALSE))/(VLOOKUP(Main_M[[#This Row],[Industry]], Mean_PB_M, 3, FALSE))</f>
        <v>-0.37446872309466289</v>
      </c>
      <c r="Q31" s="1">
        <f>(Main_M[[#This Row],[ROE]]-VLOOKUP(Main_M[[#This Row],[Industry]], Mean_ROE_M, 2, FALSE))/(VLOOKUP(Main_M[[#This Row],[Industry]], Mean_ROE_M, 3, FALSE))</f>
        <v>-0.59922651849265895</v>
      </c>
      <c r="R31" s="1">
        <f>(Main_M[[#This Row],[ROA]]-VLOOKUP(Main_M[[#This Row],[Industry]], Mean_ROA_M, 2, FALSE))/(VLOOKUP(Main_M[[#This Row],[Industry]], Mean_ROA_M, 3, FALSE))</f>
        <v>-0.98580735542205533</v>
      </c>
      <c r="S31" s="1">
        <f>(Main_M[[#This Row],[A/E]]-VLOOKUP(Main_M[[#This Row],[Industry]], Mean_AE_M, 2, FALSE))/(VLOOKUP(Main_M[[#This Row],[Industry]], Mean_AE_M, 3, FALSE))</f>
        <v>-0.60679097783522518</v>
      </c>
      <c r="T31" s="1">
        <f>(Main_M[[#This Row],[P/E]]-VLOOKUP(Main_M[[#This Row],[Industry]], Mean_PE_M, 2, FALSE))/(VLOOKUP(Main_M[[#This Row],[Industry]], Mean_PE_M, 3, FALSE))</f>
        <v>0.32137778195746125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7" t="s">
        <v>122</v>
      </c>
      <c r="B32" s="67" t="s">
        <v>262</v>
      </c>
      <c r="C32" s="2">
        <v>7122</v>
      </c>
      <c r="D32">
        <f>RTD("tos.rtd", , "LAST", Main_M[[#This Row],[Symbol]])</f>
        <v>54.05</v>
      </c>
      <c r="E32">
        <v>1.44</v>
      </c>
      <c r="F32">
        <v>10.11</v>
      </c>
      <c r="G32">
        <v>1.03</v>
      </c>
      <c r="H32" s="1">
        <f>IF(ISNUMBER(Main_M[[#This Row],[Free CF]]),IF(Main_M[[#This Row],[Free CF]]&lt;&gt;0,Main_M[[#This Row],[Current Price]]/Main_M[[#This Row],[Free CF]],""),"")</f>
        <v>37.534722222222221</v>
      </c>
      <c r="I32" s="1">
        <f>IF(ISNUMBER(Main_M[[#This Row],[BVPS]]),IF(Main_M[[#This Row],[BVPS]]&lt;&gt;0,Main_M[[#This Row],[Current Price]]/Main_M[[#This Row],[BVPS]],""),"")</f>
        <v>5.3461918892185958</v>
      </c>
      <c r="J32">
        <v>10.62</v>
      </c>
      <c r="K32">
        <v>6.42</v>
      </c>
      <c r="L32">
        <v>1.58</v>
      </c>
      <c r="M32" s="1">
        <f>IF(ISNUMBER(Main_M[[#This Row],[EPS]]),IF(Main_M[[#This Row],[EPS]]&lt;&gt;0,Main_M[[#This Row],[Current Price]]/Main_M[[#This Row],[EPS]],""),"")</f>
        <v>52.475728155339802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0.91380486052956666</v>
      </c>
      <c r="P32" s="1">
        <f>(Main_M[[#This Row],[P/B]]-VLOOKUP(Main_M[[#This Row],[Industry]], Mean_PB_M, 2, FALSE))/(VLOOKUP(Main_M[[#This Row],[Industry]], Mean_PB_M, 3, FALSE))</f>
        <v>0.22647630751282422</v>
      </c>
      <c r="Q32" s="1">
        <f>(Main_M[[#This Row],[ROE]]-VLOOKUP(Main_M[[#This Row],[Industry]], Mean_ROE_M, 2, FALSE))/(VLOOKUP(Main_M[[#This Row],[Industry]], Mean_ROE_M, 3, FALSE))</f>
        <v>-0.59396896298732405</v>
      </c>
      <c r="R32" s="1">
        <f>(Main_M[[#This Row],[ROA]]-VLOOKUP(Main_M[[#This Row],[Industry]], Mean_ROA_M, 2, FALSE))/(VLOOKUP(Main_M[[#This Row],[Industry]], Mean_ROA_M, 3, FALSE))</f>
        <v>-0.9122538996395958</v>
      </c>
      <c r="S32" s="1">
        <f>(Main_M[[#This Row],[A/E]]-VLOOKUP(Main_M[[#This Row],[Industry]], Mean_AE_M, 2, FALSE))/(VLOOKUP(Main_M[[#This Row],[Industry]], Mean_AE_M, 3, FALSE))</f>
        <v>-0.81916782007755373</v>
      </c>
      <c r="T32" s="1">
        <f>(Main_M[[#This Row],[P/E]]-VLOOKUP(Main_M[[#This Row],[Industry]], Mean_PE_M, 2, FALSE))/(VLOOKUP(Main_M[[#This Row],[Industry]], Mean_PE_M, 3, FALSE))</f>
        <v>1.2093948021150385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7" t="s">
        <v>122</v>
      </c>
      <c r="B33" s="67" t="s">
        <v>267</v>
      </c>
      <c r="C33" s="2">
        <v>3017</v>
      </c>
      <c r="D33">
        <f>RTD("tos.rtd", , "LAST", Main_M[[#This Row],[Symbol]])</f>
        <v>14.21</v>
      </c>
      <c r="E33">
        <v>1.2</v>
      </c>
      <c r="F33">
        <v>6.66</v>
      </c>
      <c r="G33">
        <v>0.56000000000000005</v>
      </c>
      <c r="H33" s="1">
        <f>IF(ISNUMBER(Main_M[[#This Row],[Free CF]]),IF(Main_M[[#This Row],[Free CF]]&lt;&gt;0,Main_M[[#This Row],[Current Price]]/Main_M[[#This Row],[Free CF]],""),"")</f>
        <v>11.841666666666669</v>
      </c>
      <c r="I33" s="1">
        <f>IF(ISNUMBER(Main_M[[#This Row],[BVPS]]),IF(Main_M[[#This Row],[BVPS]]&lt;&gt;0,Main_M[[#This Row],[Current Price]]/Main_M[[#This Row],[BVPS]],""),"")</f>
        <v>2.1336336336336337</v>
      </c>
      <c r="J33">
        <v>8.92</v>
      </c>
      <c r="K33">
        <v>4.6399999999999997</v>
      </c>
      <c r="L33">
        <v>2.0699999999999998</v>
      </c>
      <c r="M33" s="1">
        <f>IF(ISNUMBER(Main_M[[#This Row],[EPS]]),IF(Main_M[[#This Row],[EPS]]&lt;&gt;0,Main_M[[#This Row],[Current Price]]/Main_M[[#This Row],[EPS]],""),"")</f>
        <v>25.375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-1.1463682624502003</v>
      </c>
      <c r="P33" s="1">
        <f>(Main_M[[#This Row],[P/B]]-VLOOKUP(Main_M[[#This Row],[Industry]], Mean_PB_M, 2, FALSE))/(VLOOKUP(Main_M[[#This Row],[Industry]], Mean_PB_M, 3, FALSE))</f>
        <v>-1.1881823736894093</v>
      </c>
      <c r="Q33" s="1">
        <f>(Main_M[[#This Row],[ROE]]-VLOOKUP(Main_M[[#This Row],[Industry]], Mean_ROE_M, 2, FALSE))/(VLOOKUP(Main_M[[#This Row],[Industry]], Mean_ROE_M, 3, FALSE))</f>
        <v>-0.66272161190324208</v>
      </c>
      <c r="R33" s="1">
        <f>(Main_M[[#This Row],[ROA]]-VLOOKUP(Main_M[[#This Row],[Industry]], Mean_ROA_M, 2, FALSE))/(VLOOKUP(Main_M[[#This Row],[Industry]], Mean_ROA_M, 3, FALSE))</f>
        <v>-1.507368223697678</v>
      </c>
      <c r="S33" s="1">
        <f>(Main_M[[#This Row],[A/E]]-VLOOKUP(Main_M[[#This Row],[Industry]], Mean_AE_M, 2, FALSE))/(VLOOKUP(Main_M[[#This Row],[Industry]], Mean_AE_M, 3, FALSE))</f>
        <v>0.22147870690985735</v>
      </c>
      <c r="T33" s="1">
        <f>(Main_M[[#This Row],[P/E]]-VLOOKUP(Main_M[[#This Row],[Industry]], Mean_PE_M, 2, FALSE))/(VLOOKUP(Main_M[[#This Row],[Industry]], Mean_PE_M, 3, FALSE))</f>
        <v>-0.46637047696826517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7" t="s">
        <v>122</v>
      </c>
      <c r="B34" s="67" t="s">
        <v>273</v>
      </c>
      <c r="C34" s="2">
        <v>5991</v>
      </c>
      <c r="D34">
        <f>RTD("tos.rtd", , "LAST", Main_M[[#This Row],[Symbol]])</f>
        <v>57.08</v>
      </c>
      <c r="E34">
        <v>-1.07</v>
      </c>
      <c r="F34">
        <v>8.49</v>
      </c>
      <c r="G34">
        <v>1.83</v>
      </c>
      <c r="H34" s="1">
        <f>IF(ISNUMBER(Main_M[[#This Row],[Free CF]]),IF(Main_M[[#This Row],[Free CF]]&lt;&gt;0,Main_M[[#This Row],[Current Price]]/Main_M[[#This Row],[Free CF]],""),"")</f>
        <v>-53.345794392523359</v>
      </c>
      <c r="I34" s="1">
        <f>IF(ISNUMBER(Main_M[[#This Row],[BVPS]]),IF(Main_M[[#This Row],[BVPS]]&lt;&gt;0,Main_M[[#This Row],[Current Price]]/Main_M[[#This Row],[BVPS]],""),"")</f>
        <v>6.7232037691401647</v>
      </c>
      <c r="J34">
        <v>23.07</v>
      </c>
      <c r="K34">
        <v>11.43</v>
      </c>
      <c r="L34">
        <v>1.8</v>
      </c>
      <c r="M34" s="1">
        <f>IF(ISNUMBER(Main_M[[#This Row],[EPS]]),IF(Main_M[[#This Row],[EPS]]&lt;&gt;0,Main_M[[#This Row],[Current Price]]/Main_M[[#This Row],[EPS]],""),"")</f>
        <v>31.191256830601091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-6.3733625737747106</v>
      </c>
      <c r="P34" s="1">
        <f>(Main_M[[#This Row],[P/B]]-VLOOKUP(Main_M[[#This Row],[Industry]], Mean_PB_M, 2, FALSE))/(VLOOKUP(Main_M[[#This Row],[Industry]], Mean_PB_M, 3, FALSE))</f>
        <v>0.83284719795912088</v>
      </c>
      <c r="Q34" s="1">
        <f>(Main_M[[#This Row],[ROE]]-VLOOKUP(Main_M[[#This Row],[Industry]], Mean_ROE_M, 2, FALSE))/(VLOOKUP(Main_M[[#This Row],[Industry]], Mean_ROE_M, 3, FALSE))</f>
        <v>-9.0456916514864996E-2</v>
      </c>
      <c r="R34" s="1">
        <f>(Main_M[[#This Row],[ROA]]-VLOOKUP(Main_M[[#This Row],[Industry]], Mean_ROA_M, 2, FALSE))/(VLOOKUP(Main_M[[#This Row],[Industry]], Mean_ROA_M, 3, FALSE))</f>
        <v>0.76275888886096088</v>
      </c>
      <c r="S34" s="1">
        <f>(Main_M[[#This Row],[A/E]]-VLOOKUP(Main_M[[#This Row],[Industry]], Mean_AE_M, 2, FALSE))/(VLOOKUP(Main_M[[#This Row],[Industry]], Mean_AE_M, 3, FALSE))</f>
        <v>-0.35193876714443023</v>
      </c>
      <c r="T34" s="1">
        <f>(Main_M[[#This Row],[P/E]]-VLOOKUP(Main_M[[#This Row],[Industry]], Mean_PE_M, 2, FALSE))/(VLOOKUP(Main_M[[#This Row],[Industry]], Mean_PE_M, 3, FALSE))</f>
        <v>-0.10672400566000373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122</v>
      </c>
      <c r="B35" s="67" t="s">
        <v>123</v>
      </c>
      <c r="C35" s="2">
        <v>7835</v>
      </c>
      <c r="D35">
        <f>RTD("tos.rtd", , "LAST", Main_M[[#This Row],[Symbol]])</f>
        <v>93.96</v>
      </c>
      <c r="E35">
        <v>-1.64</v>
      </c>
      <c r="F35">
        <v>10.029999999999999</v>
      </c>
      <c r="G35">
        <v>1.91</v>
      </c>
      <c r="H35" s="1">
        <f>IF(ISNUMBER(Main_M[[#This Row],[Free CF]]),IF(Main_M[[#This Row],[Free CF]]&lt;&gt;0,Main_M[[#This Row],[Current Price]]/Main_M[[#This Row],[Free CF]],""),"")</f>
        <v>-57.292682926829265</v>
      </c>
      <c r="I35" s="1">
        <f>IF(ISNUMBER(Main_M[[#This Row],[BVPS]]),IF(Main_M[[#This Row],[BVPS]]&lt;&gt;0,Main_M[[#This Row],[Current Price]]/Main_M[[#This Row],[BVPS]],""),"")</f>
        <v>9.367896311066799</v>
      </c>
      <c r="J35">
        <v>19.850000000000001</v>
      </c>
      <c r="K35">
        <v>11.04</v>
      </c>
      <c r="L35">
        <v>1.59</v>
      </c>
      <c r="M35" s="1">
        <f>IF(ISNUMBER(Main_M[[#This Row],[EPS]]),IF(Main_M[[#This Row],[EPS]]&lt;&gt;0,Main_M[[#This Row],[Current Price]]/Main_M[[#This Row],[EPS]],""),"")</f>
        <v>49.193717277486911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-6.6898400616387743</v>
      </c>
      <c r="P35" s="1">
        <f>(Main_M[[#This Row],[P/B]]-VLOOKUP(Main_M[[#This Row],[Industry]], Mean_PB_M, 2, FALSE))/(VLOOKUP(Main_M[[#This Row],[Industry]], Mean_PB_M, 3, FALSE))</f>
        <v>1.9974446825473247</v>
      </c>
      <c r="Q35" s="1">
        <f>(Main_M[[#This Row],[ROE]]-VLOOKUP(Main_M[[#This Row],[Industry]], Mean_ROE_M, 2, FALSE))/(VLOOKUP(Main_M[[#This Row],[Industry]], Mean_ROE_M, 3, FALSE))</f>
        <v>-0.22068252210854511</v>
      </c>
      <c r="R35" s="1">
        <f>(Main_M[[#This Row],[ROA]]-VLOOKUP(Main_M[[#This Row],[Industry]], Mean_ROA_M, 2, FALSE))/(VLOOKUP(Main_M[[#This Row],[Industry]], Mean_ROA_M, 3, FALSE))</f>
        <v>0.63236867179205514</v>
      </c>
      <c r="S35" s="1">
        <f>(Main_M[[#This Row],[A/E]]-VLOOKUP(Main_M[[#This Row],[Industry]], Mean_AE_M, 2, FALSE))/(VLOOKUP(Main_M[[#This Row],[Industry]], Mean_AE_M, 3, FALSE))</f>
        <v>-0.79793013585332084</v>
      </c>
      <c r="T35" s="1">
        <f>(Main_M[[#This Row],[P/E]]-VLOOKUP(Main_M[[#This Row],[Industry]], Mean_PE_M, 2, FALSE))/(VLOOKUP(Main_M[[#This Row],[Industry]], Mean_PE_M, 3, FALSE))</f>
        <v>1.006452658156596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190</v>
      </c>
      <c r="B36" s="67" t="s">
        <v>587</v>
      </c>
      <c r="C36" s="2">
        <v>3185</v>
      </c>
      <c r="D36">
        <f>RTD("tos.rtd", , "LAST", Main_M[[#This Row],[Symbol]])</f>
        <v>146.47</v>
      </c>
      <c r="E36">
        <v>10.48</v>
      </c>
      <c r="F36">
        <v>38.49</v>
      </c>
      <c r="G36">
        <v>0.63</v>
      </c>
      <c r="H36" s="1">
        <f>IF(ISNUMBER(Main_M[[#This Row],[Free CF]]),IF(Main_M[[#This Row],[Free CF]]&lt;&gt;0,Main_M[[#This Row],[Current Price]]/Main_M[[#This Row],[Free CF]],""),"")</f>
        <v>13.976145038167939</v>
      </c>
      <c r="I36" s="1">
        <f>IF(ISNUMBER(Main_M[[#This Row],[BVPS]]),IF(Main_M[[#This Row],[BVPS]]&lt;&gt;0,Main_M[[#This Row],[Current Price]]/Main_M[[#This Row],[BVPS]],""),"")</f>
        <v>3.8054040010392307</v>
      </c>
      <c r="J36">
        <v>1.63</v>
      </c>
      <c r="K36">
        <v>2.61</v>
      </c>
      <c r="L36">
        <v>2.99</v>
      </c>
      <c r="M36" s="1">
        <f>IF(ISNUMBER(Main_M[[#This Row],[EPS]]),IF(Main_M[[#This Row],[EPS]]&lt;&gt;0,Main_M[[#This Row],[Current Price]]/Main_M[[#This Row],[EPS]],""),"")</f>
        <v>232.49206349206349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-0.93595446869258436</v>
      </c>
      <c r="P36" s="1">
        <f>(Main_M[[#This Row],[P/B]]-VLOOKUP(Main_M[[#This Row],[Industry]], Mean_PB_M, 2, FALSE))/(VLOOKUP(Main_M[[#This Row],[Industry]], Mean_PB_M, 3, FALSE))</f>
        <v>0.18949288783461854</v>
      </c>
      <c r="Q36" s="1">
        <f>(Main_M[[#This Row],[ROE]]-VLOOKUP(Main_M[[#This Row],[Industry]], Mean_ROE_M, 2, FALSE))/(VLOOKUP(Main_M[[#This Row],[Industry]], Mean_ROE_M, 3, FALSE))</f>
        <v>-0.28934580587849307</v>
      </c>
      <c r="R36" s="1">
        <f>(Main_M[[#This Row],[ROA]]-VLOOKUP(Main_M[[#This Row],[Industry]], Mean_ROA_M, 2, FALSE))/(VLOOKUP(Main_M[[#This Row],[Industry]], Mean_ROA_M, 3, FALSE))</f>
        <v>-0.58177895176860406</v>
      </c>
      <c r="S36" s="1">
        <f>(Main_M[[#This Row],[A/E]]-VLOOKUP(Main_M[[#This Row],[Industry]], Mean_AE_M, 2, FALSE))/(VLOOKUP(Main_M[[#This Row],[Industry]], Mean_AE_M, 3, FALSE))</f>
        <v>1.0711556131058519</v>
      </c>
      <c r="T36" s="1">
        <f>(Main_M[[#This Row],[P/E]]-VLOOKUP(Main_M[[#This Row],[Industry]], Mean_PE_M, 2, FALSE))/(VLOOKUP(Main_M[[#This Row],[Industry]], Mean_PE_M, 3, FALSE))</f>
        <v>12.116238511809737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7" spans="1:26" x14ac:dyDescent="0.25">
      <c r="A37" s="67" t="s">
        <v>190</v>
      </c>
      <c r="B37" s="67" t="s">
        <v>350</v>
      </c>
      <c r="C37" s="2">
        <v>3501</v>
      </c>
      <c r="D37">
        <f>RTD("tos.rtd", , "LAST", Main_M[[#This Row],[Symbol]])</f>
        <v>189.64</v>
      </c>
      <c r="E37">
        <v>8.7799999999999994</v>
      </c>
      <c r="F37">
        <v>115.47</v>
      </c>
      <c r="G37">
        <v>8.0399999999999991</v>
      </c>
      <c r="H37" s="1">
        <f>IF(ISNUMBER(Main_M[[#This Row],[Free CF]]),IF(Main_M[[#This Row],[Free CF]]&lt;&gt;0,Main_M[[#This Row],[Current Price]]/Main_M[[#This Row],[Free CF]],""),"")</f>
        <v>21.599088838268791</v>
      </c>
      <c r="I37" s="1">
        <f>IF(ISNUMBER(Main_M[[#This Row],[BVPS]]),IF(Main_M[[#This Row],[BVPS]]&lt;&gt;0,Main_M[[#This Row],[Current Price]]/Main_M[[#This Row],[BVPS]],""),"")</f>
        <v>1.6423313414739757</v>
      </c>
      <c r="J37">
        <v>7.17</v>
      </c>
      <c r="K37">
        <v>4.66</v>
      </c>
      <c r="L37">
        <v>1.28</v>
      </c>
      <c r="M37" s="1">
        <f>IF(ISNUMBER(Main_M[[#This Row],[EPS]]),IF(Main_M[[#This Row],[EPS]]&lt;&gt;0,Main_M[[#This Row],[Current Price]]/Main_M[[#This Row],[EPS]],""),"")</f>
        <v>23.587064676616915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-0.61541676285457803</v>
      </c>
      <c r="P37" s="1">
        <f>(Main_M[[#This Row],[P/B]]-VLOOKUP(Main_M[[#This Row],[Industry]], Mean_PB_M, 2, FALSE))/(VLOOKUP(Main_M[[#This Row],[Industry]], Mean_PB_M, 3, FALSE))</f>
        <v>-1.1971242567671005</v>
      </c>
      <c r="Q37" s="1">
        <f>(Main_M[[#This Row],[ROE]]-VLOOKUP(Main_M[[#This Row],[Industry]], Mean_ROE_M, 2, FALSE))/(VLOOKUP(Main_M[[#This Row],[Industry]], Mean_ROE_M, 3, FALSE))</f>
        <v>5.4300053939598553E-2</v>
      </c>
      <c r="R37" s="1">
        <f>(Main_M[[#This Row],[ROA]]-VLOOKUP(Main_M[[#This Row],[Industry]], Mean_ROA_M, 2, FALSE))/(VLOOKUP(Main_M[[#This Row],[Industry]], Mean_ROA_M, 3, FALSE))</f>
        <v>-3.4334495514212582E-2</v>
      </c>
      <c r="S37" s="1">
        <f>(Main_M[[#This Row],[A/E]]-VLOOKUP(Main_M[[#This Row],[Industry]], Mean_AE_M, 2, FALSE))/(VLOOKUP(Main_M[[#This Row],[Industry]], Mean_AE_M, 3, FALSE))</f>
        <v>-1.6784736339314568</v>
      </c>
      <c r="T37" s="1">
        <f>(Main_M[[#This Row],[P/E]]-VLOOKUP(Main_M[[#This Row],[Industry]], Mean_PE_M, 2, FALSE))/(VLOOKUP(Main_M[[#This Row],[Industry]], Mean_PE_M, 3, FALSE))</f>
        <v>-0.24960571604016951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190</v>
      </c>
      <c r="B38" s="67" t="s">
        <v>346</v>
      </c>
      <c r="C38" s="2">
        <v>6406</v>
      </c>
      <c r="D38">
        <f>RTD("tos.rtd", , "LAST", Main_M[[#This Row],[Symbol]])</f>
        <v>166.09</v>
      </c>
      <c r="E38">
        <v>6.44</v>
      </c>
      <c r="F38">
        <v>30.19</v>
      </c>
      <c r="G38">
        <v>7.25</v>
      </c>
      <c r="H38" s="1">
        <f>IF(ISNUMBER(Main_M[[#This Row],[Free CF]]),IF(Main_M[[#This Row],[Free CF]]&lt;&gt;0,Main_M[[#This Row],[Current Price]]/Main_M[[#This Row],[Free CF]],""),"")</f>
        <v>25.790372670807454</v>
      </c>
      <c r="I38" s="1">
        <f>IF(ISNUMBER(Main_M[[#This Row],[BVPS]]),IF(Main_M[[#This Row],[BVPS]]&lt;&gt;0,Main_M[[#This Row],[Current Price]]/Main_M[[#This Row],[BVPS]],""),"")</f>
        <v>5.5014905597880093</v>
      </c>
      <c r="J38">
        <v>26.22</v>
      </c>
      <c r="K38">
        <v>11.96</v>
      </c>
      <c r="L38">
        <v>1.88</v>
      </c>
      <c r="M38" s="1">
        <f>IF(ISNUMBER(Main_M[[#This Row],[EPS]]),IF(Main_M[[#This Row],[EPS]]&lt;&gt;0,Main_M[[#This Row],[Current Price]]/Main_M[[#This Row],[EPS]],""),"")</f>
        <v>22.908965517241381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-0.43917717098193487</v>
      </c>
      <c r="P38" s="1">
        <f>(Main_M[[#This Row],[P/B]]-VLOOKUP(Main_M[[#This Row],[Industry]], Mean_PB_M, 2, FALSE))/(VLOOKUP(Main_M[[#This Row],[Industry]], Mean_PB_M, 3, FALSE))</f>
        <v>1.2767530363505117</v>
      </c>
      <c r="Q38" s="1">
        <f>(Main_M[[#This Row],[ROE]]-VLOOKUP(Main_M[[#This Row],[Industry]], Mean_ROE_M, 2, FALSE))/(VLOOKUP(Main_M[[#This Row],[Industry]], Mean_ROE_M, 3, FALSE))</f>
        <v>1.2359703841805092</v>
      </c>
      <c r="R38" s="1">
        <f>(Main_M[[#This Row],[ROA]]-VLOOKUP(Main_M[[#This Row],[Industry]], Mean_ROA_M, 2, FALSE))/(VLOOKUP(Main_M[[#This Row],[Industry]], Mean_ROA_M, 3, FALSE))</f>
        <v>1.9151018609038644</v>
      </c>
      <c r="S38" s="1">
        <f>(Main_M[[#This Row],[A/E]]-VLOOKUP(Main_M[[#This Row],[Industry]], Mean_AE_M, 2, FALSE))/(VLOOKUP(Main_M[[#This Row],[Industry]], Mean_AE_M, 3, FALSE))</f>
        <v>-0.71369144198854173</v>
      </c>
      <c r="T38" s="1">
        <f>(Main_M[[#This Row],[P/E]]-VLOOKUP(Main_M[[#This Row],[Industry]], Mean_PE_M, 2, FALSE))/(VLOOKUP(Main_M[[#This Row],[Industry]], Mean_PE_M, 3, FALSE))</f>
        <v>-0.28974486361165319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7" t="s">
        <v>190</v>
      </c>
      <c r="B39" s="67" t="s">
        <v>345</v>
      </c>
      <c r="C39" s="2">
        <v>2166</v>
      </c>
      <c r="D39">
        <f>RTD("tos.rtd", , "LAST", Main_M[[#This Row],[Symbol]])</f>
        <v>47.94</v>
      </c>
      <c r="E39">
        <v>3.92</v>
      </c>
      <c r="F39">
        <v>17.260000000000002</v>
      </c>
      <c r="G39">
        <v>2.8</v>
      </c>
      <c r="H39" s="1">
        <f>IF(ISNUMBER(Main_M[[#This Row],[Free CF]]),IF(Main_M[[#This Row],[Free CF]]&lt;&gt;0,Main_M[[#This Row],[Current Price]]/Main_M[[#This Row],[Free CF]],""),"")</f>
        <v>12.229591836734693</v>
      </c>
      <c r="I39" s="1">
        <f>IF(ISNUMBER(Main_M[[#This Row],[BVPS]]),IF(Main_M[[#This Row],[BVPS]]&lt;&gt;0,Main_M[[#This Row],[Current Price]]/Main_M[[#This Row],[BVPS]],""),"")</f>
        <v>2.7775202780996522</v>
      </c>
      <c r="J39">
        <v>17.22</v>
      </c>
      <c r="K39">
        <v>7.25</v>
      </c>
      <c r="L39">
        <v>2.31</v>
      </c>
      <c r="M39" s="1">
        <f>IF(ISNUMBER(Main_M[[#This Row],[EPS]]),IF(Main_M[[#This Row],[EPS]]&lt;&gt;0,Main_M[[#This Row],[Current Price]]/Main_M[[#This Row],[EPS]],""),"")</f>
        <v>17.12142857142857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9" s="1">
        <f>(Main_M[[#This Row],[P/FCF]]-VLOOKUP(Main_M[[#This Row],[Industry]], Mean_PFCF_M, 2, FALSE))/(VLOOKUP(Main_M[[#This Row],[Industry]], Mean_PFCF_M, 3, FALSE))</f>
        <v>-1.0093954084387271</v>
      </c>
      <c r="P39" s="1">
        <f>(Main_M[[#This Row],[P/B]]-VLOOKUP(Main_M[[#This Row],[Industry]], Mean_PB_M, 2, FALSE))/(VLOOKUP(Main_M[[#This Row],[Industry]], Mean_PB_M, 3, FALSE))</f>
        <v>-0.46942219140803754</v>
      </c>
      <c r="Q39" s="1">
        <f>(Main_M[[#This Row],[ROE]]-VLOOKUP(Main_M[[#This Row],[Industry]], Mean_ROE_M, 2, FALSE))/(VLOOKUP(Main_M[[#This Row],[Industry]], Mean_ROE_M, 3, FALSE))</f>
        <v>0.67770093682259858</v>
      </c>
      <c r="R39" s="1">
        <f>(Main_M[[#This Row],[ROA]]-VLOOKUP(Main_M[[#This Row],[Industry]], Mean_ROA_M, 2, FALSE))/(VLOOKUP(Main_M[[#This Row],[Industry]], Mean_ROA_M, 3, FALSE))</f>
        <v>0.6573148418998721</v>
      </c>
      <c r="S39" s="1">
        <f>(Main_M[[#This Row],[A/E]]-VLOOKUP(Main_M[[#This Row],[Industry]], Mean_AE_M, 2, FALSE))/(VLOOKUP(Main_M[[#This Row],[Industry]], Mean_AE_M, 3, FALSE))</f>
        <v>-2.226420442945224E-2</v>
      </c>
      <c r="T39" s="1">
        <f>(Main_M[[#This Row],[P/E]]-VLOOKUP(Main_M[[#This Row],[Industry]], Mean_PE_M, 2, FALSE))/(VLOOKUP(Main_M[[#This Row],[Industry]], Mean_PE_M, 3, FALSE))</f>
        <v>-0.63233015712142071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7" t="s">
        <v>190</v>
      </c>
      <c r="B40" s="67" t="s">
        <v>342</v>
      </c>
      <c r="C40" s="2">
        <v>3301</v>
      </c>
      <c r="D40">
        <f>RTD("tos.rtd", , "LAST", Main_M[[#This Row],[Symbol]])</f>
        <v>70.03</v>
      </c>
      <c r="E40">
        <v>3.72</v>
      </c>
      <c r="F40">
        <v>24.68</v>
      </c>
      <c r="G40">
        <v>4.03</v>
      </c>
      <c r="H40" s="1">
        <f>IF(ISNUMBER(Main_M[[#This Row],[Free CF]]),IF(Main_M[[#This Row],[Free CF]]&lt;&gt;0,Main_M[[#This Row],[Current Price]]/Main_M[[#This Row],[Free CF]],""),"")</f>
        <v>18.8252688172043</v>
      </c>
      <c r="I40" s="1">
        <f>IF(ISNUMBER(Main_M[[#This Row],[BVPS]]),IF(Main_M[[#This Row],[BVPS]]&lt;&gt;0,Main_M[[#This Row],[Current Price]]/Main_M[[#This Row],[BVPS]],""),"")</f>
        <v>2.837520259319287</v>
      </c>
      <c r="J40">
        <v>17.8</v>
      </c>
      <c r="K40">
        <v>10.18</v>
      </c>
      <c r="L40">
        <v>1.45</v>
      </c>
      <c r="M40" s="1">
        <f>IF(ISNUMBER(Main_M[[#This Row],[EPS]]),IF(Main_M[[#This Row],[EPS]]&lt;&gt;0,Main_M[[#This Row],[Current Price]]/Main_M[[#This Row],[EPS]],""),"")</f>
        <v>17.377171215880892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0" s="1">
        <f>(Main_M[[#This Row],[P/FCF]]-VLOOKUP(Main_M[[#This Row],[Industry]], Mean_PFCF_M, 2, FALSE))/(VLOOKUP(Main_M[[#This Row],[Industry]], Mean_PFCF_M, 3, FALSE))</f>
        <v>-0.73205331813756191</v>
      </c>
      <c r="P40" s="1">
        <f>(Main_M[[#This Row],[P/B]]-VLOOKUP(Main_M[[#This Row],[Industry]], Mean_PB_M, 2, FALSE))/(VLOOKUP(Main_M[[#This Row],[Industry]], Mean_PB_M, 3, FALSE))</f>
        <v>-0.43095977440737698</v>
      </c>
      <c r="Q40" s="1">
        <f>(Main_M[[#This Row],[ROE]]-VLOOKUP(Main_M[[#This Row],[Industry]], Mean_ROE_M, 2, FALSE))/(VLOOKUP(Main_M[[#This Row],[Industry]], Mean_ROE_M, 3, FALSE))</f>
        <v>0.71367830120788633</v>
      </c>
      <c r="R40" s="1">
        <f>(Main_M[[#This Row],[ROA]]-VLOOKUP(Main_M[[#This Row],[Industry]], Mean_ROA_M, 2, FALSE))/(VLOOKUP(Main_M[[#This Row],[Industry]], Mean_ROA_M, 3, FALSE))</f>
        <v>1.4397598452293192</v>
      </c>
      <c r="S40" s="1">
        <f>(Main_M[[#This Row],[A/E]]-VLOOKUP(Main_M[[#This Row],[Industry]], Mean_AE_M, 2, FALSE))/(VLOOKUP(Main_M[[#This Row],[Industry]], Mean_AE_M, 3, FALSE))</f>
        <v>-1.4051186795476309</v>
      </c>
      <c r="T40" s="1">
        <f>(Main_M[[#This Row],[P/E]]-VLOOKUP(Main_M[[#This Row],[Industry]], Mean_PE_M, 2, FALSE))/(VLOOKUP(Main_M[[#This Row],[Industry]], Mean_PE_M, 3, FALSE))</f>
        <v>-0.61719182284676011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190</v>
      </c>
      <c r="B41" s="67" t="s">
        <v>349</v>
      </c>
      <c r="C41" s="2">
        <v>2462</v>
      </c>
      <c r="D41">
        <f>RTD("tos.rtd", , "LAST", Main_M[[#This Row],[Symbol]])</f>
        <v>23.8</v>
      </c>
      <c r="E41">
        <v>2.02</v>
      </c>
      <c r="F41">
        <v>12.78</v>
      </c>
      <c r="G41">
        <v>0.57999999999999996</v>
      </c>
      <c r="H41" s="1">
        <f>IF(ISNUMBER(Main_M[[#This Row],[Free CF]]),IF(Main_M[[#This Row],[Free CF]]&lt;&gt;0,Main_M[[#This Row],[Current Price]]/Main_M[[#This Row],[Free CF]],""),"")</f>
        <v>11.782178217821782</v>
      </c>
      <c r="I41" s="1">
        <f>IF(ISNUMBER(Main_M[[#This Row],[BVPS]]),IF(Main_M[[#This Row],[BVPS]]&lt;&gt;0,Main_M[[#This Row],[Current Price]]/Main_M[[#This Row],[BVPS]],""),"")</f>
        <v>1.8622848200312991</v>
      </c>
      <c r="J41">
        <v>6.53</v>
      </c>
      <c r="K41">
        <v>3.84</v>
      </c>
      <c r="L41">
        <v>3.5</v>
      </c>
      <c r="M41" s="1">
        <f>IF(ISNUMBER(Main_M[[#This Row],[EPS]]),IF(Main_M[[#This Row],[EPS]]&lt;&gt;0,Main_M[[#This Row],[Current Price]]/Main_M[[#This Row],[EPS]],""),"")</f>
        <v>41.03448275862069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-1.028208735511285</v>
      </c>
      <c r="P41" s="1">
        <f>(Main_M[[#This Row],[P/B]]-VLOOKUP(Main_M[[#This Row],[Industry]], Mean_PB_M, 2, FALSE))/(VLOOKUP(Main_M[[#This Row],[Industry]], Mean_PB_M, 3, FALSE))</f>
        <v>-1.0561251724165683</v>
      </c>
      <c r="Q41" s="1">
        <f>(Main_M[[#This Row],[ROE]]-VLOOKUP(Main_M[[#This Row],[Industry]], Mean_ROE_M, 2, FALSE))/(VLOOKUP(Main_M[[#This Row],[Industry]], Mean_ROE_M, 3, FALSE))</f>
        <v>1.4600893238591598E-2</v>
      </c>
      <c r="R41" s="1">
        <f>(Main_M[[#This Row],[ROA]]-VLOOKUP(Main_M[[#This Row],[Industry]], Mean_ROA_M, 2, FALSE))/(VLOOKUP(Main_M[[#This Row],[Industry]], Mean_ROA_M, 3, FALSE))</f>
        <v>-0.25331227801596923</v>
      </c>
      <c r="S41" s="1">
        <f>(Main_M[[#This Row],[A/E]]-VLOOKUP(Main_M[[#This Row],[Industry]], Mean_AE_M, 2, FALSE))/(VLOOKUP(Main_M[[#This Row],[Industry]], Mean_AE_M, 3, FALSE))</f>
        <v>1.8912204762573297</v>
      </c>
      <c r="T41" s="1">
        <f>(Main_M[[#This Row],[P/E]]-VLOOKUP(Main_M[[#This Row],[Industry]], Mean_PE_M, 2, FALSE))/(VLOOKUP(Main_M[[#This Row],[Industry]], Mean_PE_M, 3, FALSE))</f>
        <v>0.78317021274855603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190</v>
      </c>
      <c r="B42" s="67" t="s">
        <v>353</v>
      </c>
      <c r="C42" s="2">
        <v>3447</v>
      </c>
      <c r="D42">
        <f>RTD("tos.rtd", , "LAST", Main_M[[#This Row],[Symbol]])</f>
        <v>84.07</v>
      </c>
      <c r="E42">
        <v>1.66</v>
      </c>
      <c r="F42">
        <v>4.82</v>
      </c>
      <c r="G42">
        <v>3.69</v>
      </c>
      <c r="H42" s="1">
        <f>IF(ISNUMBER(Main_M[[#This Row],[Free CF]]),IF(Main_M[[#This Row],[Free CF]]&lt;&gt;0,Main_M[[#This Row],[Current Price]]/Main_M[[#This Row],[Free CF]],""),"")</f>
        <v>50.644578313253014</v>
      </c>
      <c r="I42" s="1">
        <f>IF(ISNUMBER(Main_M[[#This Row],[BVPS]]),IF(Main_M[[#This Row],[BVPS]]&lt;&gt;0,Main_M[[#This Row],[Current Price]]/Main_M[[#This Row],[BVPS]],""),"")</f>
        <v>17.441908713692943</v>
      </c>
      <c r="J42">
        <v>41.3</v>
      </c>
      <c r="K42">
        <v>4.32</v>
      </c>
      <c r="L42">
        <v>31.99</v>
      </c>
      <c r="M42" s="1">
        <f>IF(ISNUMBER(Main_M[[#This Row],[EPS]]),IF(Main_M[[#This Row],[EPS]]&lt;&gt;0,Main_M[[#This Row],[Current Price]]/Main_M[[#This Row],[EPS]],""),"")</f>
        <v>22.783197831978317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0.60591908919909021</v>
      </c>
      <c r="P42" s="1">
        <f>(Main_M[[#This Row],[P/B]]-VLOOKUP(Main_M[[#This Row],[Industry]], Mean_PB_M, 2, FALSE))/(VLOOKUP(Main_M[[#This Row],[Industry]], Mean_PB_M, 3, FALSE))</f>
        <v>8.9310444688194757</v>
      </c>
      <c r="Q42" s="1">
        <f>(Main_M[[#This Row],[ROE]]-VLOOKUP(Main_M[[#This Row],[Industry]], Mean_ROE_M, 2, FALSE))/(VLOOKUP(Main_M[[#This Row],[Industry]], Mean_ROE_M, 3, FALSE))</f>
        <v>2.1713818581979858</v>
      </c>
      <c r="R42" s="1">
        <f>(Main_M[[#This Row],[ROA]]-VLOOKUP(Main_M[[#This Row],[Industry]], Mean_ROA_M, 2, FALSE))/(VLOOKUP(Main_M[[#This Row],[Industry]], Mean_ROA_M, 3, FALSE))</f>
        <v>-0.12513016142957503</v>
      </c>
      <c r="S42" s="1">
        <f>(Main_M[[#This Row],[A/E]]-VLOOKUP(Main_M[[#This Row],[Industry]], Mean_AE_M, 2, FALSE))/(VLOOKUP(Main_M[[#This Row],[Industry]], Mean_AE_M, 3, FALSE))</f>
        <v>47.702294890346749</v>
      </c>
      <c r="T42" s="1">
        <f>(Main_M[[#This Row],[P/E]]-VLOOKUP(Main_M[[#This Row],[Industry]], Mean_PE_M, 2, FALSE))/(VLOOKUP(Main_M[[#This Row],[Industry]], Mean_PE_M, 3, FALSE))</f>
        <v>-0.29718950885077566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190</v>
      </c>
      <c r="B43" s="67" t="s">
        <v>344</v>
      </c>
      <c r="C43" s="2">
        <v>7439</v>
      </c>
      <c r="D43">
        <f>RTD("tos.rtd", , "LAST", Main_M[[#This Row],[Symbol]])</f>
        <v>116.97</v>
      </c>
      <c r="E43">
        <v>1.56</v>
      </c>
      <c r="F43">
        <v>24.37</v>
      </c>
      <c r="G43">
        <v>0.21</v>
      </c>
      <c r="H43" s="1">
        <f>IF(ISNUMBER(Main_M[[#This Row],[Free CF]]),IF(Main_M[[#This Row],[Free CF]]&lt;&gt;0,Main_M[[#This Row],[Current Price]]/Main_M[[#This Row],[Free CF]],""),"")</f>
        <v>74.980769230769226</v>
      </c>
      <c r="I43" s="1">
        <f>IF(ISNUMBER(Main_M[[#This Row],[BVPS]]),IF(Main_M[[#This Row],[BVPS]]&lt;&gt;0,Main_M[[#This Row],[Current Price]]/Main_M[[#This Row],[BVPS]],""),"")</f>
        <v>4.79975379565039</v>
      </c>
      <c r="J43">
        <v>1</v>
      </c>
      <c r="K43">
        <v>2.2200000000000002</v>
      </c>
      <c r="L43">
        <v>2.0699999999999998</v>
      </c>
      <c r="M43" s="1">
        <f>IF(ISNUMBER(Main_M[[#This Row],[EPS]]),IF(Main_M[[#This Row],[EPS]]&lt;&gt;0,Main_M[[#This Row],[Current Price]]/Main_M[[#This Row],[EPS]],""),"")</f>
        <v>557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1.6292333113809683</v>
      </c>
      <c r="P43" s="1">
        <f>(Main_M[[#This Row],[P/B]]-VLOOKUP(Main_M[[#This Row],[Industry]], Mean_PB_M, 2, FALSE))/(VLOOKUP(Main_M[[#This Row],[Industry]], Mean_PB_M, 3, FALSE))</f>
        <v>0.82691136143140742</v>
      </c>
      <c r="Q43" s="1">
        <f>(Main_M[[#This Row],[ROE]]-VLOOKUP(Main_M[[#This Row],[Industry]], Mean_ROE_M, 2, FALSE))/(VLOOKUP(Main_M[[#This Row],[Industry]], Mean_ROE_M, 3, FALSE))</f>
        <v>-0.32842466719354679</v>
      </c>
      <c r="R43" s="1">
        <f>(Main_M[[#This Row],[ROA]]-VLOOKUP(Main_M[[#This Row],[Industry]], Mean_ROA_M, 2, FALSE))/(VLOOKUP(Main_M[[#This Row],[Industry]], Mean_ROA_M, 3, FALSE))</f>
        <v>-0.68592692149504919</v>
      </c>
      <c r="S43" s="1">
        <f>(Main_M[[#This Row],[A/E]]-VLOOKUP(Main_M[[#This Row],[Industry]], Mean_AE_M, 2, FALSE))/(VLOOKUP(Main_M[[#This Row],[Industry]], Mean_AE_M, 3, FALSE))</f>
        <v>-0.40817708120661872</v>
      </c>
      <c r="T43" s="1">
        <f>(Main_M[[#This Row],[P/E]]-VLOOKUP(Main_M[[#This Row],[Industry]], Mean_PE_M, 2, FALSE))/(VLOOKUP(Main_M[[#This Row],[Industry]], Mean_PE_M, 3, FALSE))</f>
        <v>31.325039719593189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4" spans="1:26" x14ac:dyDescent="0.25">
      <c r="A44" s="67" t="s">
        <v>190</v>
      </c>
      <c r="B44" s="67" t="s">
        <v>354</v>
      </c>
      <c r="C44" s="2">
        <v>2397</v>
      </c>
      <c r="D44">
        <f>RTD("tos.rtd", , "LAST", Main_M[[#This Row],[Symbol]])</f>
        <v>22.29</v>
      </c>
      <c r="E44">
        <v>1.43</v>
      </c>
      <c r="F44">
        <v>13.5</v>
      </c>
      <c r="G44">
        <v>0.77</v>
      </c>
      <c r="H44" s="1">
        <f>IF(ISNUMBER(Main_M[[#This Row],[Free CF]]),IF(Main_M[[#This Row],[Free CF]]&lt;&gt;0,Main_M[[#This Row],[Current Price]]/Main_M[[#This Row],[Free CF]],""),"")</f>
        <v>15.587412587412587</v>
      </c>
      <c r="I44" s="1">
        <f>IF(ISNUMBER(Main_M[[#This Row],[BVPS]]),IF(Main_M[[#This Row],[BVPS]]&lt;&gt;0,Main_M[[#This Row],[Current Price]]/Main_M[[#This Row],[BVPS]],""),"")</f>
        <v>1.651111111111111</v>
      </c>
      <c r="J44">
        <v>5.78</v>
      </c>
      <c r="K44">
        <v>3.76</v>
      </c>
      <c r="L44">
        <v>2.04</v>
      </c>
      <c r="M44" s="1">
        <f>IF(ISNUMBER(Main_M[[#This Row],[EPS]]),IF(Main_M[[#This Row],[EPS]]&lt;&gt;0,Main_M[[#This Row],[Current Price]]/Main_M[[#This Row],[EPS]],""),"")</f>
        <v>28.948051948051948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-0.86820216495406366</v>
      </c>
      <c r="P44" s="1">
        <f>(Main_M[[#This Row],[P/B]]-VLOOKUP(Main_M[[#This Row],[Industry]], Mean_PB_M, 2, FALSE))/(VLOOKUP(Main_M[[#This Row],[Industry]], Mean_PB_M, 3, FALSE))</f>
        <v>-1.1914960689895562</v>
      </c>
      <c r="Q44" s="1">
        <f>(Main_M[[#This Row],[ROE]]-VLOOKUP(Main_M[[#This Row],[Industry]], Mean_ROE_M, 2, FALSE))/(VLOOKUP(Main_M[[#This Row],[Industry]], Mean_ROE_M, 3, FALSE))</f>
        <v>-3.1921560707900948E-2</v>
      </c>
      <c r="R44" s="1">
        <f>(Main_M[[#This Row],[ROA]]-VLOOKUP(Main_M[[#This Row],[Industry]], Mean_ROA_M, 2, FALSE))/(VLOOKUP(Main_M[[#This Row],[Industry]], Mean_ROA_M, 3, FALSE))</f>
        <v>-0.2746759641137016</v>
      </c>
      <c r="S44" s="1">
        <f>(Main_M[[#This Row],[A/E]]-VLOOKUP(Main_M[[#This Row],[Industry]], Mean_AE_M, 2, FALSE))/(VLOOKUP(Main_M[[#This Row],[Industry]], Mean_AE_M, 3, FALSE))</f>
        <v>-0.45641619080376417</v>
      </c>
      <c r="T44" s="1">
        <f>(Main_M[[#This Row],[P/E]]-VLOOKUP(Main_M[[#This Row],[Industry]], Mean_PE_M, 2, FALSE))/(VLOOKUP(Main_M[[#This Row],[Industry]], Mean_PE_M, 3, FALSE))</f>
        <v>6.77305558631046E-2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7" t="s">
        <v>190</v>
      </c>
      <c r="B45" s="67" t="s">
        <v>355</v>
      </c>
      <c r="C45" s="2">
        <v>3836</v>
      </c>
      <c r="D45">
        <f>RTD("tos.rtd", , "LAST", Main_M[[#This Row],[Symbol]])</f>
        <v>26.96</v>
      </c>
      <c r="E45">
        <v>1</v>
      </c>
      <c r="F45">
        <v>9.6999999999999993</v>
      </c>
      <c r="G45">
        <v>0.23</v>
      </c>
      <c r="H45" s="1">
        <f>IF(ISNUMBER(Main_M[[#This Row],[Free CF]]),IF(Main_M[[#This Row],[Free CF]]&lt;&gt;0,Main_M[[#This Row],[Current Price]]/Main_M[[#This Row],[Free CF]],""),"")</f>
        <v>26.96</v>
      </c>
      <c r="I45" s="1">
        <f>IF(ISNUMBER(Main_M[[#This Row],[BVPS]]),IF(Main_M[[#This Row],[BVPS]]&lt;&gt;0,Main_M[[#This Row],[Current Price]]/Main_M[[#This Row],[BVPS]],""),"")</f>
        <v>2.7793814432989694</v>
      </c>
      <c r="J45">
        <v>2.17</v>
      </c>
      <c r="K45">
        <v>5.01</v>
      </c>
      <c r="L45">
        <v>2.7</v>
      </c>
      <c r="M45" s="1">
        <f>IF(ISNUMBER(Main_M[[#This Row],[EPS]]),IF(Main_M[[#This Row],[EPS]]&lt;&gt;0,Main_M[[#This Row],[Current Price]]/Main_M[[#This Row],[EPS]],""),"")</f>
        <v>117.21739130434783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-0.38999542825678796</v>
      </c>
      <c r="P45" s="1">
        <f>(Main_M[[#This Row],[P/B]]-VLOOKUP(Main_M[[#This Row],[Industry]], Mean_PB_M, 2, FALSE))/(VLOOKUP(Main_M[[#This Row],[Industry]], Mean_PB_M, 3, FALSE))</f>
        <v>-0.46822910916787458</v>
      </c>
      <c r="Q45" s="1">
        <f>(Main_M[[#This Row],[ROE]]-VLOOKUP(Main_M[[#This Row],[Industry]], Mean_ROE_M, 2, FALSE))/(VLOOKUP(Main_M[[#This Row],[Industry]], Mean_ROE_M, 3, FALSE))</f>
        <v>-0.25584963903701841</v>
      </c>
      <c r="R45" s="1">
        <f>(Main_M[[#This Row],[ROA]]-VLOOKUP(Main_M[[#This Row],[Industry]], Mean_ROA_M, 2, FALSE))/(VLOOKUP(Main_M[[#This Row],[Industry]], Mean_ROA_M, 3, FALSE))</f>
        <v>5.9131631163366345E-2</v>
      </c>
      <c r="S45" s="1">
        <f>(Main_M[[#This Row],[A/E]]-VLOOKUP(Main_M[[#This Row],[Industry]], Mean_AE_M, 2, FALSE))/(VLOOKUP(Main_M[[#This Row],[Industry]], Mean_AE_M, 3, FALSE))</f>
        <v>0.60484422033344287</v>
      </c>
      <c r="T45" s="1">
        <f>(Main_M[[#This Row],[P/E]]-VLOOKUP(Main_M[[#This Row],[Industry]], Mean_PE_M, 2, FALSE))/(VLOOKUP(Main_M[[#This Row],[Industry]], Mean_PE_M, 3, FALSE))</f>
        <v>5.2927127571720556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6" spans="1:26" x14ac:dyDescent="0.25">
      <c r="A46" s="67" t="s">
        <v>190</v>
      </c>
      <c r="B46" s="67" t="s">
        <v>343</v>
      </c>
      <c r="C46" s="2">
        <v>3276</v>
      </c>
      <c r="D46">
        <f>RTD("tos.rtd", , "LAST", Main_M[[#This Row],[Symbol]])</f>
        <v>48.25</v>
      </c>
      <c r="E46">
        <v>0.92</v>
      </c>
      <c r="F46">
        <v>28.6</v>
      </c>
      <c r="G46">
        <v>1.27</v>
      </c>
      <c r="H46" s="1">
        <f>IF(ISNUMBER(Main_M[[#This Row],[Free CF]]),IF(Main_M[[#This Row],[Free CF]]&lt;&gt;0,Main_M[[#This Row],[Current Price]]/Main_M[[#This Row],[Free CF]],""),"")</f>
        <v>52.445652173913039</v>
      </c>
      <c r="I46" s="1">
        <f>IF(ISNUMBER(Main_M[[#This Row],[BVPS]]),IF(Main_M[[#This Row],[BVPS]]&lt;&gt;0,Main_M[[#This Row],[Current Price]]/Main_M[[#This Row],[BVPS]],""),"")</f>
        <v>1.6870629370629371</v>
      </c>
      <c r="J46">
        <v>4.46</v>
      </c>
      <c r="K46">
        <v>3.82</v>
      </c>
      <c r="L46">
        <v>2.93</v>
      </c>
      <c r="M46" s="1">
        <f>IF(ISNUMBER(Main_M[[#This Row],[EPS]]),IF(Main_M[[#This Row],[EPS]]&lt;&gt;0,Main_M[[#This Row],[Current Price]]/Main_M[[#This Row],[EPS]],""),"")</f>
        <v>37.99212598425197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0.68165257202145191</v>
      </c>
      <c r="P46" s="1">
        <f>(Main_M[[#This Row],[P/B]]-VLOOKUP(Main_M[[#This Row],[Industry]], Mean_PB_M, 2, FALSE))/(VLOOKUP(Main_M[[#This Row],[Industry]], Mean_PB_M, 3, FALSE))</f>
        <v>-1.1684494930809326</v>
      </c>
      <c r="Q46" s="1">
        <f>(Main_M[[#This Row],[ROE]]-VLOOKUP(Main_M[[#This Row],[Industry]], Mean_ROE_M, 2, FALSE))/(VLOOKUP(Main_M[[#This Row],[Industry]], Mean_ROE_M, 3, FALSE))</f>
        <v>-0.11380107965372785</v>
      </c>
      <c r="R46" s="1">
        <f>(Main_M[[#This Row],[ROA]]-VLOOKUP(Main_M[[#This Row],[Industry]], Mean_ROA_M, 2, FALSE))/(VLOOKUP(Main_M[[#This Row],[Industry]], Mean_ROA_M, 3, FALSE))</f>
        <v>-0.25865319954040233</v>
      </c>
      <c r="S46" s="1">
        <f>(Main_M[[#This Row],[A/E]]-VLOOKUP(Main_M[[#This Row],[Industry]], Mean_AE_M, 2, FALSE))/(VLOOKUP(Main_M[[#This Row],[Industry]], Mean_AE_M, 3, FALSE))</f>
        <v>0.97467739391156039</v>
      </c>
      <c r="T46" s="1">
        <f>(Main_M[[#This Row],[P/E]]-VLOOKUP(Main_M[[#This Row],[Industry]], Mean_PE_M, 2, FALSE))/(VLOOKUP(Main_M[[#This Row],[Industry]], Mean_PE_M, 3, FALSE))</f>
        <v>0.60308208574962596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7" t="s">
        <v>190</v>
      </c>
      <c r="B47" s="67" t="s">
        <v>196</v>
      </c>
      <c r="C47" s="2">
        <v>9207</v>
      </c>
      <c r="D47">
        <f>RTD("tos.rtd", , "LAST", Main_M[[#This Row],[Symbol]])</f>
        <v>35.270000000000003</v>
      </c>
      <c r="E47">
        <v>0.87</v>
      </c>
      <c r="F47">
        <v>5.97</v>
      </c>
      <c r="G47">
        <v>0.69</v>
      </c>
      <c r="H47" s="1">
        <f>IF(ISNUMBER(Main_M[[#This Row],[Free CF]]),IF(Main_M[[#This Row],[Free CF]]&lt;&gt;0,Main_M[[#This Row],[Current Price]]/Main_M[[#This Row],[Free CF]],""),"")</f>
        <v>40.540229885057478</v>
      </c>
      <c r="I47" s="1">
        <f>IF(ISNUMBER(Main_M[[#This Row],[BVPS]]),IF(Main_M[[#This Row],[BVPS]]&lt;&gt;0,Main_M[[#This Row],[Current Price]]/Main_M[[#This Row],[BVPS]],""),"")</f>
        <v>5.9078726968174209</v>
      </c>
      <c r="J47">
        <v>11.92</v>
      </c>
      <c r="K47">
        <v>8.34</v>
      </c>
      <c r="L47">
        <v>2.66</v>
      </c>
      <c r="M47" s="1">
        <f>IF(ISNUMBER(Main_M[[#This Row],[EPS]]),IF(Main_M[[#This Row],[EPS]]&lt;&gt;0,Main_M[[#This Row],[Current Price]]/Main_M[[#This Row],[EPS]],""),"")</f>
        <v>51.115942028985515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0.18104062372767848</v>
      </c>
      <c r="P47" s="1">
        <f>(Main_M[[#This Row],[P/B]]-VLOOKUP(Main_M[[#This Row],[Industry]], Mean_PB_M, 2, FALSE))/(VLOOKUP(Main_M[[#This Row],[Industry]], Mean_PB_M, 3, FALSE))</f>
        <v>1.5372604381583277</v>
      </c>
      <c r="Q47" s="1">
        <f>(Main_M[[#This Row],[ROE]]-VLOOKUP(Main_M[[#This Row],[Industry]], Mean_ROE_M, 2, FALSE))/(VLOOKUP(Main_M[[#This Row],[Industry]], Mean_ROE_M, 3, FALSE))</f>
        <v>0.34894226226738467</v>
      </c>
      <c r="R47" s="1">
        <f>(Main_M[[#This Row],[ROA]]-VLOOKUP(Main_M[[#This Row],[Industry]], Mean_ROA_M, 2, FALSE))/(VLOOKUP(Main_M[[#This Row],[Industry]], Mean_ROA_M, 3, FALSE))</f>
        <v>0.9483950649814753</v>
      </c>
      <c r="S47" s="1">
        <f>(Main_M[[#This Row],[A/E]]-VLOOKUP(Main_M[[#This Row],[Industry]], Mean_AE_M, 2, FALSE))/(VLOOKUP(Main_M[[#This Row],[Industry]], Mean_AE_M, 3, FALSE))</f>
        <v>0.54052540753724843</v>
      </c>
      <c r="T47" s="1">
        <f>(Main_M[[#This Row],[P/E]]-VLOOKUP(Main_M[[#This Row],[Industry]], Mean_PE_M, 2, FALSE))/(VLOOKUP(Main_M[[#This Row],[Industry]], Mean_PE_M, 3, FALSE))</f>
        <v>1.3799283355011789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7" t="s">
        <v>190</v>
      </c>
      <c r="B48" s="67" t="s">
        <v>347</v>
      </c>
      <c r="C48" s="2">
        <v>2802</v>
      </c>
      <c r="D48">
        <f>RTD("tos.rtd", , "LAST", Main_M[[#This Row],[Symbol]])</f>
        <v>16.690000000000001</v>
      </c>
      <c r="E48">
        <v>0.32</v>
      </c>
      <c r="F48">
        <v>2.58</v>
      </c>
      <c r="G48">
        <v>-0.45</v>
      </c>
      <c r="H48" s="1">
        <f>IF(ISNUMBER(Main_M[[#This Row],[Free CF]]),IF(Main_M[[#This Row],[Free CF]]&lt;&gt;0,Main_M[[#This Row],[Current Price]]/Main_M[[#This Row],[Free CF]],""),"")</f>
        <v>52.15625</v>
      </c>
      <c r="I48" s="1">
        <f>IF(ISNUMBER(Main_M[[#This Row],[BVPS]]),IF(Main_M[[#This Row],[BVPS]]&lt;&gt;0,Main_M[[#This Row],[Current Price]]/Main_M[[#This Row],[BVPS]],""),"")</f>
        <v>6.4689922480620154</v>
      </c>
      <c r="J48">
        <v>-16.489999999999998</v>
      </c>
      <c r="K48">
        <v>-4.13</v>
      </c>
      <c r="L48">
        <v>2.62</v>
      </c>
      <c r="M48" s="1">
        <f>IF(ISNUMBER(Main_M[[#This Row],[EPS]]),IF(Main_M[[#This Row],[EPS]]&lt;&gt;0,Main_M[[#This Row],[Current Price]]/Main_M[[#This Row],[EPS]],""),"")</f>
        <v>-37.088888888888889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0.66948347943422981</v>
      </c>
      <c r="P48" s="1">
        <f>(Main_M[[#This Row],[P/B]]-VLOOKUP(Main_M[[#This Row],[Industry]], Mean_PB_M, 2, FALSE))/(VLOOKUP(Main_M[[#This Row],[Industry]], Mean_PB_M, 3, FALSE))</f>
        <v>1.8969607868666118</v>
      </c>
      <c r="Q48" s="1">
        <f>(Main_M[[#This Row],[ROE]]-VLOOKUP(Main_M[[#This Row],[Industry]], Mean_ROE_M, 2, FALSE))/(VLOOKUP(Main_M[[#This Row],[Industry]], Mean_ROE_M, 3, FALSE))</f>
        <v>-1.4133282932257529</v>
      </c>
      <c r="R48" s="1">
        <f>(Main_M[[#This Row],[ROA]]-VLOOKUP(Main_M[[#This Row],[Industry]], Mean_ROA_M, 2, FALSE))/(VLOOKUP(Main_M[[#This Row],[Industry]], Mean_ROA_M, 3, FALSE))</f>
        <v>-2.3816695055025545</v>
      </c>
      <c r="S48" s="1">
        <f>(Main_M[[#This Row],[A/E]]-VLOOKUP(Main_M[[#This Row],[Industry]], Mean_AE_M, 2, FALSE))/(VLOOKUP(Main_M[[#This Row],[Industry]], Mean_AE_M, 3, FALSE))</f>
        <v>0.47620659474105409</v>
      </c>
      <c r="T48" s="1">
        <f>(Main_M[[#This Row],[P/E]]-VLOOKUP(Main_M[[#This Row],[Industry]], Mean_PE_M, 2, FALSE))/(VLOOKUP(Main_M[[#This Row],[Industry]], Mean_PE_M, 3, FALSE))</f>
        <v>-3.8412353774737213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9" spans="1:26" x14ac:dyDescent="0.25">
      <c r="A49" s="67" t="s">
        <v>190</v>
      </c>
      <c r="B49" s="67" t="s">
        <v>606</v>
      </c>
      <c r="C49" s="2">
        <v>9470</v>
      </c>
      <c r="D49">
        <f>RTD("tos.rtd", , "LAST", Main_M[[#This Row],[Symbol]])</f>
        <v>23.34</v>
      </c>
      <c r="E49">
        <v>0.26</v>
      </c>
      <c r="F49">
        <v>6.76</v>
      </c>
      <c r="G49">
        <v>0.97</v>
      </c>
      <c r="H49" s="1">
        <f>IF(ISNUMBER(Main_M[[#This Row],[Free CF]]),IF(Main_M[[#This Row],[Free CF]]&lt;&gt;0,Main_M[[#This Row],[Current Price]]/Main_M[[#This Row],[Free CF]],""),"")</f>
        <v>89.769230769230759</v>
      </c>
      <c r="I49" s="1">
        <f>IF(ISNUMBER(Main_M[[#This Row],[BVPS]]),IF(Main_M[[#This Row],[BVPS]]&lt;&gt;0,Main_M[[#This Row],[Current Price]]/Main_M[[#This Row],[BVPS]],""),"")</f>
        <v>3.4526627218934913</v>
      </c>
      <c r="J49">
        <v>13.96</v>
      </c>
      <c r="K49">
        <v>2.99</v>
      </c>
      <c r="L49">
        <v>4.83</v>
      </c>
      <c r="M49" s="1">
        <f>IF(ISNUMBER(Main_M[[#This Row],[EPS]]),IF(Main_M[[#This Row],[EPS]]&lt;&gt;0,Main_M[[#This Row],[Current Price]]/Main_M[[#This Row],[EPS]],""),"")</f>
        <v>24.061855670103093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2.2510743820640999</v>
      </c>
      <c r="P49" s="1">
        <f>(Main_M[[#This Row],[P/B]]-VLOOKUP(Main_M[[#This Row],[Industry]], Mean_PB_M, 2, FALSE))/(VLOOKUP(Main_M[[#This Row],[Industry]], Mean_PB_M, 3, FALSE))</f>
        <v>-3.6628552473599411E-2</v>
      </c>
      <c r="Q49" s="1">
        <f>(Main_M[[#This Row],[ROE]]-VLOOKUP(Main_M[[#This Row],[Industry]], Mean_ROE_M, 2, FALSE))/(VLOOKUP(Main_M[[#This Row],[Industry]], Mean_ROE_M, 3, FALSE))</f>
        <v>0.47548333700184447</v>
      </c>
      <c r="R49" s="1">
        <f>(Main_M[[#This Row],[ROA]]-VLOOKUP(Main_M[[#This Row],[Industry]], Mean_ROA_M, 2, FALSE))/(VLOOKUP(Main_M[[#This Row],[Industry]], Mean_ROA_M, 3, FALSE))</f>
        <v>-0.48030144280437531</v>
      </c>
      <c r="S49" s="1">
        <f>(Main_M[[#This Row],[A/E]]-VLOOKUP(Main_M[[#This Row],[Industry]], Mean_AE_M, 2, FALSE))/(VLOOKUP(Main_M[[#This Row],[Industry]], Mean_AE_M, 3, FALSE))</f>
        <v>4.0298210017307916</v>
      </c>
      <c r="T49" s="1">
        <f>(Main_M[[#This Row],[P/E]]-VLOOKUP(Main_M[[#This Row],[Industry]], Mean_PE_M, 2, FALSE))/(VLOOKUP(Main_M[[#This Row],[Industry]], Mean_PE_M, 3, FALSE))</f>
        <v>-0.22150111586531698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7" t="s">
        <v>190</v>
      </c>
      <c r="B50" s="67" t="s">
        <v>348</v>
      </c>
      <c r="C50" s="2">
        <v>2927</v>
      </c>
      <c r="D50">
        <f>RTD("tos.rtd", , "LAST", Main_M[[#This Row],[Symbol]])</f>
        <v>18.23</v>
      </c>
      <c r="E50">
        <v>0.01</v>
      </c>
      <c r="F50">
        <v>3.92</v>
      </c>
      <c r="G50">
        <v>-1.78</v>
      </c>
      <c r="H50" s="1">
        <f>IF(ISNUMBER(Main_M[[#This Row],[Free CF]]),IF(Main_M[[#This Row],[Free CF]]&lt;&gt;0,Main_M[[#This Row],[Current Price]]/Main_M[[#This Row],[Free CF]],""),"")</f>
        <v>1823</v>
      </c>
      <c r="I50" s="1">
        <f>IF(ISNUMBER(Main_M[[#This Row],[BVPS]]),IF(Main_M[[#This Row],[BVPS]]&lt;&gt;0,Main_M[[#This Row],[Current Price]]/Main_M[[#This Row],[BVPS]],""),"")</f>
        <v>4.6505102040816331</v>
      </c>
      <c r="J50">
        <v>-36.97</v>
      </c>
      <c r="K50">
        <v>2.7</v>
      </c>
      <c r="L50">
        <v>8.24</v>
      </c>
      <c r="M50" s="1">
        <f>IF(ISNUMBER(Main_M[[#This Row],[EPS]]),IF(Main_M[[#This Row],[EPS]]&lt;&gt;0,Main_M[[#This Row],[Current Price]]/Main_M[[#This Row],[EPS]],""),"")</f>
        <v>-10.241573033707866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75.131818229306376</v>
      </c>
      <c r="P50" s="1">
        <f>(Main_M[[#This Row],[P/B]]-VLOOKUP(Main_M[[#This Row],[Industry]], Mean_PB_M, 2, FALSE))/(VLOOKUP(Main_M[[#This Row],[Industry]], Mean_PB_M, 3, FALSE))</f>
        <v>0.73124017725918111</v>
      </c>
      <c r="Q50" s="1">
        <f>(Main_M[[#This Row],[ROE]]-VLOOKUP(Main_M[[#This Row],[Industry]], Mean_ROE_M, 2, FALSE))/(VLOOKUP(Main_M[[#This Row],[Industry]], Mean_ROE_M, 3, FALSE))</f>
        <v>-2.683701435657976</v>
      </c>
      <c r="R50" s="1">
        <f>(Main_M[[#This Row],[ROA]]-VLOOKUP(Main_M[[#This Row],[Industry]], Mean_ROA_M, 2, FALSE))/(VLOOKUP(Main_M[[#This Row],[Industry]], Mean_ROA_M, 3, FALSE))</f>
        <v>-0.55774480490865508</v>
      </c>
      <c r="S50" s="1">
        <f>(Main_M[[#This Row],[A/E]]-VLOOKUP(Main_M[[#This Row],[Industry]], Mean_AE_M, 2, FALSE))/(VLOOKUP(Main_M[[#This Row],[Industry]], Mean_AE_M, 3, FALSE))</f>
        <v>9.5129997926063599</v>
      </c>
      <c r="T50" s="1">
        <f>(Main_M[[#This Row],[P/E]]-VLOOKUP(Main_M[[#This Row],[Industry]], Mean_PE_M, 2, FALSE))/(VLOOKUP(Main_M[[#This Row],[Industry]], Mean_PE_M, 3, FALSE))</f>
        <v>-2.2520454218310419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s="67" t="s">
        <v>190</v>
      </c>
      <c r="B51" s="67" t="s">
        <v>351</v>
      </c>
      <c r="C51" s="2">
        <v>2689</v>
      </c>
      <c r="D51">
        <f>RTD("tos.rtd", , "LAST", Main_M[[#This Row],[Symbol]])</f>
        <v>133.28</v>
      </c>
      <c r="E51">
        <v>-0.76</v>
      </c>
      <c r="F51">
        <v>47.21</v>
      </c>
      <c r="G51">
        <v>2.34</v>
      </c>
      <c r="H51" s="1">
        <f>IF(ISNUMBER(Main_M[[#This Row],[Free CF]]),IF(Main_M[[#This Row],[Free CF]]&lt;&gt;0,Main_M[[#This Row],[Current Price]]/Main_M[[#This Row],[Free CF]],""),"")</f>
        <v>-175.36842105263159</v>
      </c>
      <c r="I51" s="1">
        <f>IF(ISNUMBER(Main_M[[#This Row],[BVPS]]),IF(Main_M[[#This Row],[BVPS]]&lt;&gt;0,Main_M[[#This Row],[Current Price]]/Main_M[[#This Row],[BVPS]],""),"")</f>
        <v>2.8231306926498623</v>
      </c>
      <c r="J51">
        <v>5.66</v>
      </c>
      <c r="K51">
        <v>4.53</v>
      </c>
      <c r="L51">
        <v>1.78</v>
      </c>
      <c r="M51" s="1">
        <f>IF(ISNUMBER(Main_M[[#This Row],[EPS]]),IF(Main_M[[#This Row],[EPS]]&lt;&gt;0,Main_M[[#This Row],[Current Price]]/Main_M[[#This Row],[EPS]],""),"")</f>
        <v>56.957264957264961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-8.8977175905504016</v>
      </c>
      <c r="P51" s="1">
        <f>(Main_M[[#This Row],[P/B]]-VLOOKUP(Main_M[[#This Row],[Industry]], Mean_PB_M, 2, FALSE))/(VLOOKUP(Main_M[[#This Row],[Industry]], Mean_PB_M, 3, FALSE))</f>
        <v>-0.44018406918960773</v>
      </c>
      <c r="Q51" s="1">
        <f>(Main_M[[#This Row],[ROE]]-VLOOKUP(Main_M[[#This Row],[Industry]], Mean_ROE_M, 2, FALSE))/(VLOOKUP(Main_M[[#This Row],[Industry]], Mean_ROE_M, 3, FALSE))</f>
        <v>-3.9365153339339765E-2</v>
      </c>
      <c r="R51" s="1">
        <f>(Main_M[[#This Row],[ROA]]-VLOOKUP(Main_M[[#This Row],[Industry]], Mean_ROA_M, 2, FALSE))/(VLOOKUP(Main_M[[#This Row],[Industry]], Mean_ROA_M, 3, FALSE))</f>
        <v>-6.9050485423027622E-2</v>
      </c>
      <c r="S51" s="1">
        <f>(Main_M[[#This Row],[A/E]]-VLOOKUP(Main_M[[#This Row],[Industry]], Mean_AE_M, 2, FALSE))/(VLOOKUP(Main_M[[#This Row],[Industry]], Mean_AE_M, 3, FALSE))</f>
        <v>-0.8744884739790274</v>
      </c>
      <c r="T51" s="1">
        <f>(Main_M[[#This Row],[P/E]]-VLOOKUP(Main_M[[#This Row],[Industry]], Mean_PE_M, 2, FALSE))/(VLOOKUP(Main_M[[#This Row],[Industry]], Mean_PE_M, 3, FALSE))</f>
        <v>1.7256974163046717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7" t="s">
        <v>135</v>
      </c>
      <c r="B52" s="67" t="s">
        <v>287</v>
      </c>
      <c r="C52" s="2">
        <v>6383</v>
      </c>
      <c r="D52">
        <f>RTD("tos.rtd", , "LAST", Main_M[[#This Row],[Symbol]])</f>
        <v>324.7</v>
      </c>
      <c r="E52">
        <v>25.87</v>
      </c>
      <c r="F52">
        <v>81.459999999999994</v>
      </c>
      <c r="G52">
        <v>17.190000000000001</v>
      </c>
      <c r="H52" s="1">
        <f>IF(ISNUMBER(Main_M[[#This Row],[Free CF]]),IF(Main_M[[#This Row],[Free CF]]&lt;&gt;0,Main_M[[#This Row],[Current Price]]/Main_M[[#This Row],[Free CF]],""),"")</f>
        <v>12.551217626594511</v>
      </c>
      <c r="I52" s="1">
        <f>IF(ISNUMBER(Main_M[[#This Row],[BVPS]]),IF(Main_M[[#This Row],[BVPS]]&lt;&gt;0,Main_M[[#This Row],[Current Price]]/Main_M[[#This Row],[BVPS]],""),"")</f>
        <v>3.9860054014240118</v>
      </c>
      <c r="J52">
        <v>22.18</v>
      </c>
      <c r="K52">
        <v>9.51</v>
      </c>
      <c r="L52">
        <v>2.06</v>
      </c>
      <c r="M52" s="1">
        <f>IF(ISNUMBER(Main_M[[#This Row],[EPS]]),IF(Main_M[[#This Row],[EPS]]&lt;&gt;0,Main_M[[#This Row],[Current Price]]/Main_M[[#This Row],[EPS]],""),"")</f>
        <v>18.888888888888886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52" s="1">
        <f>(Main_M[[#This Row],[P/FCF]]-VLOOKUP(Main_M[[#This Row],[Industry]], Mean_PFCF_M, 2, FALSE))/(VLOOKUP(Main_M[[#This Row],[Industry]], Mean_PFCF_M, 3, FALSE))</f>
        <v>-0.90641205144959192</v>
      </c>
      <c r="P52" s="1">
        <f>(Main_M[[#This Row],[P/B]]-VLOOKUP(Main_M[[#This Row],[Industry]], Mean_PB_M, 2, FALSE))/(VLOOKUP(Main_M[[#This Row],[Industry]], Mean_PB_M, 3, FALSE))</f>
        <v>-0.5845208998955963</v>
      </c>
      <c r="Q52" s="1">
        <f>(Main_M[[#This Row],[ROE]]-VLOOKUP(Main_M[[#This Row],[Industry]], Mean_ROE_M, 2, FALSE))/(VLOOKUP(Main_M[[#This Row],[Industry]], Mean_ROE_M, 3, FALSE))</f>
        <v>0.15549718301332324</v>
      </c>
      <c r="R52" s="1">
        <f>(Main_M[[#This Row],[ROA]]-VLOOKUP(Main_M[[#This Row],[Industry]], Mean_ROA_M, 2, FALSE))/(VLOOKUP(Main_M[[#This Row],[Industry]], Mean_ROA_M, 3, FALSE))</f>
        <v>0.75097494331075343</v>
      </c>
      <c r="S52" s="1">
        <f>(Main_M[[#This Row],[A/E]]-VLOOKUP(Main_M[[#This Row],[Industry]], Mean_AE_M, 2, FALSE))/(VLOOKUP(Main_M[[#This Row],[Industry]], Mean_AE_M, 3, FALSE))</f>
        <v>-0.7490664993495586</v>
      </c>
      <c r="T52" s="1">
        <f>(Main_M[[#This Row],[P/E]]-VLOOKUP(Main_M[[#This Row],[Industry]], Mean_PE_M, 2, FALSE))/(VLOOKUP(Main_M[[#This Row],[Industry]], Mean_PE_M, 3, FALSE))</f>
        <v>-0.76051183635661135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7" t="s">
        <v>135</v>
      </c>
      <c r="B53" s="67" t="s">
        <v>286</v>
      </c>
      <c r="C53" s="2">
        <v>5718</v>
      </c>
      <c r="D53">
        <f>RTD("tos.rtd", , "LAST", Main_M[[#This Row],[Symbol]])</f>
        <v>202.91</v>
      </c>
      <c r="E53">
        <v>14.84</v>
      </c>
      <c r="F53">
        <v>26.48</v>
      </c>
      <c r="G53">
        <v>8.56</v>
      </c>
      <c r="H53" s="1">
        <f>IF(ISNUMBER(Main_M[[#This Row],[Free CF]]),IF(Main_M[[#This Row],[Free CF]]&lt;&gt;0,Main_M[[#This Row],[Current Price]]/Main_M[[#This Row],[Free CF]],""),"")</f>
        <v>13.673180592991914</v>
      </c>
      <c r="I53" s="1">
        <f>IF(ISNUMBER(Main_M[[#This Row],[BVPS]]),IF(Main_M[[#This Row],[BVPS]]&lt;&gt;0,Main_M[[#This Row],[Current Price]]/Main_M[[#This Row],[BVPS]],""),"")</f>
        <v>7.6627643504531724</v>
      </c>
      <c r="J53">
        <v>37.83</v>
      </c>
      <c r="K53">
        <v>9.07</v>
      </c>
      <c r="L53">
        <v>2.5299999999999998</v>
      </c>
      <c r="M53" s="1">
        <f>IF(ISNUMBER(Main_M[[#This Row],[EPS]]),IF(Main_M[[#This Row],[EPS]]&lt;&gt;0,Main_M[[#This Row],[Current Price]]/Main_M[[#This Row],[EPS]],""),"")</f>
        <v>23.704439252336446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-0.79737662854276981</v>
      </c>
      <c r="P53" s="1">
        <f>(Main_M[[#This Row],[P/B]]-VLOOKUP(Main_M[[#This Row],[Industry]], Mean_PB_M, 2, FALSE))/(VLOOKUP(Main_M[[#This Row],[Industry]], Mean_PB_M, 3, FALSE))</f>
        <v>1.2393374085918147</v>
      </c>
      <c r="Q53" s="1">
        <f>(Main_M[[#This Row],[ROE]]-VLOOKUP(Main_M[[#This Row],[Industry]], Mean_ROE_M, 2, FALSE))/(VLOOKUP(Main_M[[#This Row],[Industry]], Mean_ROE_M, 3, FALSE))</f>
        <v>1.1283536307066158</v>
      </c>
      <c r="R53" s="1">
        <f>(Main_M[[#This Row],[ROA]]-VLOOKUP(Main_M[[#This Row],[Industry]], Mean_ROA_M, 2, FALSE))/(VLOOKUP(Main_M[[#This Row],[Industry]], Mean_ROA_M, 3, FALSE))</f>
        <v>0.63658311218329955</v>
      </c>
      <c r="S53" s="1">
        <f>(Main_M[[#This Row],[A/E]]-VLOOKUP(Main_M[[#This Row],[Industry]], Mean_AE_M, 2, FALSE))/(VLOOKUP(Main_M[[#This Row],[Industry]], Mean_AE_M, 3, FALSE))</f>
        <v>0.13108663738617249</v>
      </c>
      <c r="T53" s="1">
        <f>(Main_M[[#This Row],[P/E]]-VLOOKUP(Main_M[[#This Row],[Industry]], Mean_PE_M, 2, FALSE))/(VLOOKUP(Main_M[[#This Row],[Industry]], Mean_PE_M, 3, FALSE))</f>
        <v>-0.56437130272581493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7" t="s">
        <v>135</v>
      </c>
      <c r="B54" s="67" t="s">
        <v>421</v>
      </c>
      <c r="C54" s="2">
        <v>2868</v>
      </c>
      <c r="D54">
        <f>RTD("tos.rtd", , "LAST", Main_M[[#This Row],[Symbol]])</f>
        <v>217.97</v>
      </c>
      <c r="E54">
        <v>11.97</v>
      </c>
      <c r="F54">
        <v>25.81</v>
      </c>
      <c r="G54">
        <v>6.15</v>
      </c>
      <c r="H54" s="1">
        <f>IF(ISNUMBER(Main_M[[#This Row],[Free CF]]),IF(Main_M[[#This Row],[Free CF]]&lt;&gt;0,Main_M[[#This Row],[Current Price]]/Main_M[[#This Row],[Free CF]],""),"")</f>
        <v>18.209690893901421</v>
      </c>
      <c r="I54" s="1">
        <f>IF(ISNUMBER(Main_M[[#This Row],[BVPS]]),IF(Main_M[[#This Row],[BVPS]]&lt;&gt;0,Main_M[[#This Row],[Current Price]]/Main_M[[#This Row],[BVPS]],""),"")</f>
        <v>8.4451762882603649</v>
      </c>
      <c r="J54">
        <v>26.59</v>
      </c>
      <c r="K54">
        <v>7.69</v>
      </c>
      <c r="L54">
        <v>2.38</v>
      </c>
      <c r="M54" s="1">
        <f>IF(ISNUMBER(Main_M[[#This Row],[EPS]]),IF(Main_M[[#This Row],[EPS]]&lt;&gt;0,Main_M[[#This Row],[Current Price]]/Main_M[[#This Row],[EPS]],""),"")</f>
        <v>35.442276422764223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-0.35650617738242374</v>
      </c>
      <c r="P54" s="1">
        <f>(Main_M[[#This Row],[P/B]]-VLOOKUP(Main_M[[#This Row],[Industry]], Mean_PB_M, 2, FALSE))/(VLOOKUP(Main_M[[#This Row],[Industry]], Mean_PB_M, 3, FALSE))</f>
        <v>1.627453282711379</v>
      </c>
      <c r="Q54" s="1">
        <f>(Main_M[[#This Row],[ROE]]-VLOOKUP(Main_M[[#This Row],[Industry]], Mean_ROE_M, 2, FALSE))/(VLOOKUP(Main_M[[#This Row],[Industry]], Mean_ROE_M, 3, FALSE))</f>
        <v>0.4296375622035738</v>
      </c>
      <c r="R54" s="1">
        <f>(Main_M[[#This Row],[ROA]]-VLOOKUP(Main_M[[#This Row],[Industry]], Mean_ROA_M, 2, FALSE))/(VLOOKUP(Main_M[[#This Row],[Industry]], Mean_ROA_M, 3, FALSE))</f>
        <v>0.27780873273810286</v>
      </c>
      <c r="S54" s="1">
        <f>(Main_M[[#This Row],[A/E]]-VLOOKUP(Main_M[[#This Row],[Industry]], Mean_AE_M, 2, FALSE))/(VLOOKUP(Main_M[[#This Row],[Industry]], Mean_AE_M, 3, FALSE))</f>
        <v>-0.14981329986991188</v>
      </c>
      <c r="T54" s="1">
        <f>(Main_M[[#This Row],[P/E]]-VLOOKUP(Main_M[[#This Row],[Industry]], Mean_PE_M, 2, FALSE))/(VLOOKUP(Main_M[[#This Row],[Industry]], Mean_PE_M, 3, FALSE))</f>
        <v>-8.6281474457284707E-2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7" t="s">
        <v>135</v>
      </c>
      <c r="B55" s="67" t="s">
        <v>281</v>
      </c>
      <c r="C55" s="2">
        <v>5155</v>
      </c>
      <c r="D55">
        <f>RTD("tos.rtd", , "LAST", Main_M[[#This Row],[Symbol]])</f>
        <v>276.69</v>
      </c>
      <c r="E55">
        <v>8.7799999999999994</v>
      </c>
      <c r="F55">
        <v>35.49</v>
      </c>
      <c r="G55">
        <v>11.95</v>
      </c>
      <c r="H55" s="1">
        <f>IF(ISNUMBER(Main_M[[#This Row],[Free CF]]),IF(Main_M[[#This Row],[Free CF]]&lt;&gt;0,Main_M[[#This Row],[Current Price]]/Main_M[[#This Row],[Free CF]],""),"")</f>
        <v>31.513667425968112</v>
      </c>
      <c r="I55" s="1">
        <f>IF(ISNUMBER(Main_M[[#This Row],[BVPS]]),IF(Main_M[[#This Row],[BVPS]]&lt;&gt;0,Main_M[[#This Row],[Current Price]]/Main_M[[#This Row],[BVPS]],""),"")</f>
        <v>7.7962806424344882</v>
      </c>
      <c r="J55">
        <v>39.119999999999997</v>
      </c>
      <c r="K55">
        <v>16.899999999999999</v>
      </c>
      <c r="L55">
        <v>1.93</v>
      </c>
      <c r="M55" s="1">
        <f>IF(ISNUMBER(Main_M[[#This Row],[EPS]]),IF(Main_M[[#This Row],[EPS]]&lt;&gt;0,Main_M[[#This Row],[Current Price]]/Main_M[[#This Row],[EPS]],""),"")</f>
        <v>23.153974895397489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0.9364105685010764</v>
      </c>
      <c r="P55" s="1">
        <f>(Main_M[[#This Row],[P/B]]-VLOOKUP(Main_M[[#This Row],[Industry]], Mean_PB_M, 2, FALSE))/(VLOOKUP(Main_M[[#This Row],[Industry]], Mean_PB_M, 3, FALSE))</f>
        <v>1.3055682390118653</v>
      </c>
      <c r="Q55" s="1">
        <f>(Main_M[[#This Row],[ROE]]-VLOOKUP(Main_M[[#This Row],[Industry]], Mean_ROE_M, 2, FALSE))/(VLOOKUP(Main_M[[#This Row],[Industry]], Mean_ROE_M, 3, FALSE))</f>
        <v>1.2085443538711109</v>
      </c>
      <c r="R55" s="1">
        <f>(Main_M[[#This Row],[ROA]]-VLOOKUP(Main_M[[#This Row],[Industry]], Mean_ROA_M, 2, FALSE))/(VLOOKUP(Main_M[[#This Row],[Industry]], Mean_ROA_M, 3, FALSE))</f>
        <v>2.6722377433832198</v>
      </c>
      <c r="S55" s="1">
        <f>(Main_M[[#This Row],[A/E]]-VLOOKUP(Main_M[[#This Row],[Industry]], Mean_AE_M, 2, FALSE))/(VLOOKUP(Main_M[[#This Row],[Industry]], Mean_AE_M, 3, FALSE))</f>
        <v>-0.99251311163816547</v>
      </c>
      <c r="T55" s="1">
        <f>(Main_M[[#This Row],[P/E]]-VLOOKUP(Main_M[[#This Row],[Industry]], Mean_PE_M, 2, FALSE))/(VLOOKUP(Main_M[[#This Row],[Industry]], Mean_PE_M, 3, FALSE))</f>
        <v>-0.58679207804036138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7" t="s">
        <v>135</v>
      </c>
      <c r="B56" s="67" t="s">
        <v>283</v>
      </c>
      <c r="C56" s="2">
        <v>3894</v>
      </c>
      <c r="D56">
        <f>RTD("tos.rtd", , "LAST", Main_M[[#This Row],[Symbol]])</f>
        <v>73.83</v>
      </c>
      <c r="E56">
        <v>8.31</v>
      </c>
      <c r="F56">
        <v>26.78</v>
      </c>
      <c r="G56">
        <v>3.77</v>
      </c>
      <c r="H56" s="1">
        <f>IF(ISNUMBER(Main_M[[#This Row],[Free CF]]),IF(Main_M[[#This Row],[Free CF]]&lt;&gt;0,Main_M[[#This Row],[Current Price]]/Main_M[[#This Row],[Free CF]],""),"")</f>
        <v>8.884476534296029</v>
      </c>
      <c r="I56" s="1">
        <f>IF(ISNUMBER(Main_M[[#This Row],[BVPS]]),IF(Main_M[[#This Row],[BVPS]]&lt;&gt;0,Main_M[[#This Row],[Current Price]]/Main_M[[#This Row],[BVPS]],""),"")</f>
        <v>2.756908140403286</v>
      </c>
      <c r="J56">
        <v>15.3</v>
      </c>
      <c r="K56">
        <v>5.3</v>
      </c>
      <c r="L56">
        <v>2.92</v>
      </c>
      <c r="M56" s="1">
        <f>IF(ISNUMBER(Main_M[[#This Row],[EPS]]),IF(Main_M[[#This Row],[EPS]]&lt;&gt;0,Main_M[[#This Row],[Current Price]]/Main_M[[#This Row],[EPS]],""),"")</f>
        <v>19.583554376657823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-1.262755957320524</v>
      </c>
      <c r="P56" s="1">
        <f>(Main_M[[#This Row],[P/B]]-VLOOKUP(Main_M[[#This Row],[Industry]], Mean_PB_M, 2, FALSE))/(VLOOKUP(Main_M[[#This Row],[Industry]], Mean_PB_M, 3, FALSE))</f>
        <v>-1.1942152754389499</v>
      </c>
      <c r="Q56" s="1">
        <f>(Main_M[[#This Row],[ROE]]-VLOOKUP(Main_M[[#This Row],[Industry]], Mean_ROE_M, 2, FALSE))/(VLOOKUP(Main_M[[#This Row],[Industry]], Mean_ROE_M, 3, FALSE))</f>
        <v>-0.2721866738639836</v>
      </c>
      <c r="R56" s="1">
        <f>(Main_M[[#This Row],[ROA]]-VLOOKUP(Main_M[[#This Row],[Industry]], Mean_ROA_M, 2, FALSE))/(VLOOKUP(Main_M[[#This Row],[Industry]], Mean_ROA_M, 3, FALSE))</f>
        <v>-0.3435468954314771</v>
      </c>
      <c r="S56" s="1">
        <f>(Main_M[[#This Row],[A/E]]-VLOOKUP(Main_M[[#This Row],[Industry]], Mean_AE_M, 2, FALSE))/(VLOOKUP(Main_M[[#This Row],[Industry]], Mean_AE_M, 3, FALSE))</f>
        <v>0.86142647425199248</v>
      </c>
      <c r="T56" s="1">
        <f>(Main_M[[#This Row],[P/E]]-VLOOKUP(Main_M[[#This Row],[Industry]], Mean_PE_M, 2, FALSE))/(VLOOKUP(Main_M[[#This Row],[Industry]], Mean_PE_M, 3, FALSE))</f>
        <v>-0.73221765413808071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7" t="s">
        <v>135</v>
      </c>
      <c r="B57" s="67" t="s">
        <v>280</v>
      </c>
      <c r="C57" s="2">
        <v>3912</v>
      </c>
      <c r="D57">
        <f>RTD("tos.rtd", , "LAST", Main_M[[#This Row],[Symbol]])</f>
        <v>90.79</v>
      </c>
      <c r="E57">
        <v>6.75</v>
      </c>
      <c r="F57">
        <v>22.72</v>
      </c>
      <c r="G57">
        <v>2.58</v>
      </c>
      <c r="H57" s="1">
        <f>IF(ISNUMBER(Main_M[[#This Row],[Free CF]]),IF(Main_M[[#This Row],[Free CF]]&lt;&gt;0,Main_M[[#This Row],[Current Price]]/Main_M[[#This Row],[Free CF]],""),"")</f>
        <v>13.450370370370372</v>
      </c>
      <c r="I57" s="1">
        <f>IF(ISNUMBER(Main_M[[#This Row],[BVPS]]),IF(Main_M[[#This Row],[BVPS]]&lt;&gt;0,Main_M[[#This Row],[Current Price]]/Main_M[[#This Row],[BVPS]],""),"")</f>
        <v>3.9960387323943665</v>
      </c>
      <c r="J57">
        <v>13.86</v>
      </c>
      <c r="K57">
        <v>4.6399999999999997</v>
      </c>
      <c r="L57">
        <v>2.93</v>
      </c>
      <c r="M57" s="1">
        <f>IF(ISNUMBER(Main_M[[#This Row],[EPS]]),IF(Main_M[[#This Row],[EPS]]&lt;&gt;0,Main_M[[#This Row],[Current Price]]/Main_M[[#This Row],[EPS]],""),"")</f>
        <v>35.189922480620154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-0.81902993402531266</v>
      </c>
      <c r="P57" s="1">
        <f>(Main_M[[#This Row],[P/B]]-VLOOKUP(Main_M[[#This Row],[Industry]], Mean_PB_M, 2, FALSE))/(VLOOKUP(Main_M[[#This Row],[Industry]], Mean_PB_M, 3, FALSE))</f>
        <v>-0.57954386052321183</v>
      </c>
      <c r="Q57" s="1">
        <f>(Main_M[[#This Row],[ROE]]-VLOOKUP(Main_M[[#This Row],[Industry]], Mean_ROE_M, 2, FALSE))/(VLOOKUP(Main_M[[#This Row],[Industry]], Mean_ROE_M, 3, FALSE))</f>
        <v>-0.36170189972202466</v>
      </c>
      <c r="R57" s="1">
        <f>(Main_M[[#This Row],[ROA]]-VLOOKUP(Main_M[[#This Row],[Industry]], Mean_ROA_M, 2, FALSE))/(VLOOKUP(Main_M[[#This Row],[Industry]], Mean_ROA_M, 3, FALSE))</f>
        <v>-0.51513464212265825</v>
      </c>
      <c r="S57" s="1">
        <f>(Main_M[[#This Row],[A/E]]-VLOOKUP(Main_M[[#This Row],[Industry]], Mean_AE_M, 2, FALSE))/(VLOOKUP(Main_M[[#This Row],[Industry]], Mean_AE_M, 3, FALSE))</f>
        <v>0.88015313673573192</v>
      </c>
      <c r="T57" s="1">
        <f>(Main_M[[#This Row],[P/E]]-VLOOKUP(Main_M[[#This Row],[Industry]], Mean_PE_M, 2, FALSE))/(VLOOKUP(Main_M[[#This Row],[Industry]], Mean_PE_M, 3, FALSE))</f>
        <v>-9.6560016501342355E-2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7" t="s">
        <v>135</v>
      </c>
      <c r="B58" s="67" t="s">
        <v>282</v>
      </c>
      <c r="C58" s="2">
        <v>2435</v>
      </c>
      <c r="D58">
        <f>RTD("tos.rtd", , "LAST", Main_M[[#This Row],[Symbol]])</f>
        <v>166.2</v>
      </c>
      <c r="E58">
        <v>6.11</v>
      </c>
      <c r="F58">
        <v>35.35</v>
      </c>
      <c r="G58">
        <v>2.12</v>
      </c>
      <c r="H58" s="1">
        <f>IF(ISNUMBER(Main_M[[#This Row],[Free CF]]),IF(Main_M[[#This Row],[Free CF]]&lt;&gt;0,Main_M[[#This Row],[Current Price]]/Main_M[[#This Row],[Free CF]],""),"")</f>
        <v>27.2013093289689</v>
      </c>
      <c r="I58" s="1">
        <f>IF(ISNUMBER(Main_M[[#This Row],[BVPS]]),IF(Main_M[[#This Row],[BVPS]]&lt;&gt;0,Main_M[[#This Row],[Current Price]]/Main_M[[#This Row],[BVPS]],""),"")</f>
        <v>4.7015558698727009</v>
      </c>
      <c r="J58">
        <v>5.71</v>
      </c>
      <c r="K58">
        <v>2.3199999999999998</v>
      </c>
      <c r="L58">
        <v>2.77</v>
      </c>
      <c r="M58" s="1">
        <f>IF(ISNUMBER(Main_M[[#This Row],[EPS]]),IF(Main_M[[#This Row],[EPS]]&lt;&gt;0,Main_M[[#This Row],[Current Price]]/Main_M[[#This Row],[EPS]],""),"")</f>
        <v>78.396226415094333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0.51732384022717581</v>
      </c>
      <c r="P58" s="1">
        <f>(Main_M[[#This Row],[P/B]]-VLOOKUP(Main_M[[#This Row],[Industry]], Mean_PB_M, 2, FALSE))/(VLOOKUP(Main_M[[#This Row],[Industry]], Mean_PB_M, 3, FALSE))</f>
        <v>-0.22957169459977478</v>
      </c>
      <c r="Q58" s="1">
        <f>(Main_M[[#This Row],[ROE]]-VLOOKUP(Main_M[[#This Row],[Industry]], Mean_ROE_M, 2, FALSE))/(VLOOKUP(Main_M[[#This Row],[Industry]], Mean_ROE_M, 3, FALSE))</f>
        <v>-0.86833321273802044</v>
      </c>
      <c r="R58" s="1">
        <f>(Main_M[[#This Row],[ROA]]-VLOOKUP(Main_M[[#This Row],[Industry]], Mean_ROA_M, 2, FALSE))/(VLOOKUP(Main_M[[#This Row],[Industry]], Mean_ROA_M, 3, FALSE))</f>
        <v>-1.1182915698855977</v>
      </c>
      <c r="S58" s="1">
        <f>(Main_M[[#This Row],[A/E]]-VLOOKUP(Main_M[[#This Row],[Industry]], Mean_AE_M, 2, FALSE))/(VLOOKUP(Main_M[[#This Row],[Industry]], Mean_AE_M, 3, FALSE))</f>
        <v>0.58052653699590817</v>
      </c>
      <c r="T58" s="1">
        <f>(Main_M[[#This Row],[P/E]]-VLOOKUP(Main_M[[#This Row],[Industry]], Mean_PE_M, 2, FALSE))/(VLOOKUP(Main_M[[#This Row],[Industry]], Mean_PE_M, 3, FALSE))</f>
        <v>1.66326116079293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7" t="s">
        <v>135</v>
      </c>
      <c r="B59" s="67" t="s">
        <v>275</v>
      </c>
      <c r="C59" s="2">
        <v>4211</v>
      </c>
      <c r="D59">
        <f>RTD("tos.rtd", , "LAST", Main_M[[#This Row],[Symbol]])</f>
        <v>89.94</v>
      </c>
      <c r="E59">
        <v>5.17</v>
      </c>
      <c r="F59">
        <v>50.3</v>
      </c>
      <c r="G59">
        <v>1.59</v>
      </c>
      <c r="H59" s="1">
        <f>IF(ISNUMBER(Main_M[[#This Row],[Free CF]]),IF(Main_M[[#This Row],[Free CF]]&lt;&gt;0,Main_M[[#This Row],[Current Price]]/Main_M[[#This Row],[Free CF]],""),"")</f>
        <v>17.396518375241779</v>
      </c>
      <c r="I59" s="1">
        <f>IF(ISNUMBER(Main_M[[#This Row],[BVPS]]),IF(Main_M[[#This Row],[BVPS]]&lt;&gt;0,Main_M[[#This Row],[Current Price]]/Main_M[[#This Row],[BVPS]],""),"")</f>
        <v>1.7880715705765409</v>
      </c>
      <c r="J59">
        <v>3.24</v>
      </c>
      <c r="K59">
        <v>3.4</v>
      </c>
      <c r="L59">
        <v>2.0099999999999998</v>
      </c>
      <c r="M59" s="1">
        <f>IF(ISNUMBER(Main_M[[#This Row],[EPS]]),IF(Main_M[[#This Row],[EPS]]&lt;&gt;0,Main_M[[#This Row],[Current Price]]/Main_M[[#This Row],[EPS]],""),"")</f>
        <v>56.566037735849051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-0.43553250189022791</v>
      </c>
      <c r="P59" s="1">
        <f>(Main_M[[#This Row],[P/B]]-VLOOKUP(Main_M[[#This Row],[Industry]], Mean_PB_M, 2, FALSE))/(VLOOKUP(Main_M[[#This Row],[Industry]], Mean_PB_M, 3, FALSE))</f>
        <v>-1.6748071912923213</v>
      </c>
      <c r="Q59" s="1">
        <f>(Main_M[[#This Row],[ROE]]-VLOOKUP(Main_M[[#This Row],[Industry]], Mean_ROE_M, 2, FALSE))/(VLOOKUP(Main_M[[#This Row],[Industry]], Mean_ROE_M, 3, FALSE))</f>
        <v>-1.0218766904250769</v>
      </c>
      <c r="R59" s="1">
        <f>(Main_M[[#This Row],[ROA]]-VLOOKUP(Main_M[[#This Row],[Industry]], Mean_ROA_M, 2, FALSE))/(VLOOKUP(Main_M[[#This Row],[Industry]], Mean_ROA_M, 3, FALSE))</f>
        <v>-0.83751162075457408</v>
      </c>
      <c r="S59" s="1">
        <f>(Main_M[[#This Row],[A/E]]-VLOOKUP(Main_M[[#This Row],[Industry]], Mean_AE_M, 2, FALSE))/(VLOOKUP(Main_M[[#This Row],[Industry]], Mean_AE_M, 3, FALSE))</f>
        <v>-0.84269981176825393</v>
      </c>
      <c r="T59" s="1">
        <f>(Main_M[[#This Row],[P/E]]-VLOOKUP(Main_M[[#This Row],[Industry]], Mean_PE_M, 2, FALSE))/(VLOOKUP(Main_M[[#This Row],[Industry]], Mean_PE_M, 3, FALSE))</f>
        <v>0.77410321753704925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s="67" t="s">
        <v>135</v>
      </c>
      <c r="B60" s="67" t="s">
        <v>279</v>
      </c>
      <c r="C60" s="2">
        <v>6847</v>
      </c>
      <c r="D60">
        <f>RTD("tos.rtd", , "LAST", Main_M[[#This Row],[Symbol]])</f>
        <v>45.14</v>
      </c>
      <c r="E60">
        <v>2.99</v>
      </c>
      <c r="F60">
        <v>21.61</v>
      </c>
      <c r="G60">
        <v>10.64</v>
      </c>
      <c r="H60" s="1">
        <f>IF(ISNUMBER(Main_M[[#This Row],[Free CF]]),IF(Main_M[[#This Row],[Free CF]]&lt;&gt;0,Main_M[[#This Row],[Current Price]]/Main_M[[#This Row],[Free CF]],""),"")</f>
        <v>15.096989966555183</v>
      </c>
      <c r="I60" s="1">
        <f>IF(ISNUMBER(Main_M[[#This Row],[BVPS]]),IF(Main_M[[#This Row],[BVPS]]&lt;&gt;0,Main_M[[#This Row],[Current Price]]/Main_M[[#This Row],[BVPS]],""),"")</f>
        <v>2.088847755668672</v>
      </c>
      <c r="J60">
        <v>63.65</v>
      </c>
      <c r="K60">
        <v>3.68</v>
      </c>
      <c r="L60">
        <v>2.35</v>
      </c>
      <c r="M60" s="1">
        <f>IF(ISNUMBER(Main_M[[#This Row],[EPS]]),IF(Main_M[[#This Row],[EPS]]&lt;&gt;0,Main_M[[#This Row],[Current Price]]/Main_M[[#This Row],[EPS]],""),"")</f>
        <v>4.242481203007519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-0.65900694804996451</v>
      </c>
      <c r="P60" s="1">
        <f>(Main_M[[#This Row],[P/B]]-VLOOKUP(Main_M[[#This Row],[Industry]], Mean_PB_M, 2, FALSE))/(VLOOKUP(Main_M[[#This Row],[Industry]], Mean_PB_M, 3, FALSE))</f>
        <v>-1.5256069984648095</v>
      </c>
      <c r="Q60" s="1">
        <f>(Main_M[[#This Row],[ROE]]-VLOOKUP(Main_M[[#This Row],[Industry]], Mean_ROE_M, 2, FALSE))/(VLOOKUP(Main_M[[#This Row],[Industry]], Mean_ROE_M, 3, FALSE))</f>
        <v>2.733411361022323</v>
      </c>
      <c r="R60" s="1">
        <f>(Main_M[[#This Row],[ROA]]-VLOOKUP(Main_M[[#This Row],[Industry]], Mean_ROA_M, 2, FALSE))/(VLOOKUP(Main_M[[#This Row],[Industry]], Mean_ROA_M, 3, FALSE))</f>
        <v>-0.76471681912801226</v>
      </c>
      <c r="S60" s="1">
        <f>(Main_M[[#This Row],[A/E]]-VLOOKUP(Main_M[[#This Row],[Industry]], Mean_AE_M, 2, FALSE))/(VLOOKUP(Main_M[[#This Row],[Industry]], Mean_AE_M, 3, FALSE))</f>
        <v>-0.20599328732112843</v>
      </c>
      <c r="T60" s="1">
        <f>(Main_M[[#This Row],[P/E]]-VLOOKUP(Main_M[[#This Row],[Industry]], Mean_PE_M, 2, FALSE))/(VLOOKUP(Main_M[[#This Row],[Industry]], Mean_PE_M, 3, FALSE))</f>
        <v>-1.3570696547710159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s="67" t="s">
        <v>135</v>
      </c>
      <c r="B61" s="67" t="s">
        <v>284</v>
      </c>
      <c r="C61" s="2">
        <v>5866</v>
      </c>
      <c r="D61">
        <f>RTD("tos.rtd", , "LAST", Main_M[[#This Row],[Symbol]])</f>
        <v>104.7</v>
      </c>
      <c r="E61">
        <v>2.37</v>
      </c>
      <c r="F61">
        <v>14.41</v>
      </c>
      <c r="G61">
        <v>1.1299999999999999</v>
      </c>
      <c r="H61" s="1">
        <f>IF(ISNUMBER(Main_M[[#This Row],[Free CF]]),IF(Main_M[[#This Row],[Free CF]]&lt;&gt;0,Main_M[[#This Row],[Current Price]]/Main_M[[#This Row],[Free CF]],""),"")</f>
        <v>44.177215189873415</v>
      </c>
      <c r="I61" s="1">
        <f>IF(ISNUMBER(Main_M[[#This Row],[BVPS]]),IF(Main_M[[#This Row],[BVPS]]&lt;&gt;0,Main_M[[#This Row],[Current Price]]/Main_M[[#This Row],[BVPS]],""),"")</f>
        <v>7.2657876474670369</v>
      </c>
      <c r="J61">
        <v>9.2100000000000009</v>
      </c>
      <c r="K61">
        <v>4.7699999999999996</v>
      </c>
      <c r="L61">
        <v>3.41</v>
      </c>
      <c r="M61" s="1">
        <f>IF(ISNUMBER(Main_M[[#This Row],[EPS]]),IF(Main_M[[#This Row],[EPS]]&lt;&gt;0,Main_M[[#This Row],[Current Price]]/Main_M[[#This Row],[EPS]],""),"")</f>
        <v>92.654867256637175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2.1670886989671776</v>
      </c>
      <c r="P61" s="1">
        <f>(Main_M[[#This Row],[P/B]]-VLOOKUP(Main_M[[#This Row],[Industry]], Mean_PB_M, 2, FALSE))/(VLOOKUP(Main_M[[#This Row],[Industry]], Mean_PB_M, 3, FALSE))</f>
        <v>1.0424168957014113</v>
      </c>
      <c r="Q61" s="1">
        <f>(Main_M[[#This Row],[ROE]]-VLOOKUP(Main_M[[#This Row],[Industry]], Mean_ROE_M, 2, FALSE))/(VLOOKUP(Main_M[[#This Row],[Industry]], Mean_ROE_M, 3, FALSE))</f>
        <v>-0.6507614832219486</v>
      </c>
      <c r="R61" s="1">
        <f>(Main_M[[#This Row],[ROA]]-VLOOKUP(Main_M[[#This Row],[Industry]], Mean_ROA_M, 2, FALSE))/(VLOOKUP(Main_M[[#This Row],[Industry]], Mean_ROA_M, 3, FALSE))</f>
        <v>-0.48133705565318319</v>
      </c>
      <c r="S61" s="1">
        <f>(Main_M[[#This Row],[A/E]]-VLOOKUP(Main_M[[#This Row],[Industry]], Mean_AE_M, 2, FALSE))/(VLOOKUP(Main_M[[#This Row],[Industry]], Mean_AE_M, 3, FALSE))</f>
        <v>1.7790329359552024</v>
      </c>
      <c r="T61" s="1">
        <f>(Main_M[[#This Row],[P/E]]-VLOOKUP(Main_M[[#This Row],[Industry]], Mean_PE_M, 2, FALSE))/(VLOOKUP(Main_M[[#This Row],[Industry]], Mean_PE_M, 3, FALSE))</f>
        <v>2.2440249805918913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s="67" t="s">
        <v>135</v>
      </c>
      <c r="B62" s="67" t="s">
        <v>278</v>
      </c>
      <c r="C62" s="2">
        <v>2953</v>
      </c>
      <c r="D62">
        <f>RTD("tos.rtd", , "LAST", Main_M[[#This Row],[Symbol]])</f>
        <v>61.03</v>
      </c>
      <c r="E62">
        <v>1.79</v>
      </c>
      <c r="F62">
        <v>9.02</v>
      </c>
      <c r="G62">
        <v>2.98</v>
      </c>
      <c r="H62" s="1">
        <f>IF(ISNUMBER(Main_M[[#This Row],[Free CF]]),IF(Main_M[[#This Row],[Free CF]]&lt;&gt;0,Main_M[[#This Row],[Current Price]]/Main_M[[#This Row],[Free CF]],""),"")</f>
        <v>34.094972067039109</v>
      </c>
      <c r="I62" s="1">
        <f>IF(ISNUMBER(Main_M[[#This Row],[BVPS]]),IF(Main_M[[#This Row],[BVPS]]&lt;&gt;0,Main_M[[#This Row],[Current Price]]/Main_M[[#This Row],[BVPS]],""),"")</f>
        <v>6.766075388026608</v>
      </c>
      <c r="J62">
        <v>33.42</v>
      </c>
      <c r="K62">
        <v>10.14</v>
      </c>
      <c r="L62">
        <v>2.95</v>
      </c>
      <c r="M62" s="1">
        <f>IF(ISNUMBER(Main_M[[#This Row],[EPS]]),IF(Main_M[[#This Row],[EPS]]&lt;&gt;0,Main_M[[#This Row],[Current Price]]/Main_M[[#This Row],[EPS]],""),"")</f>
        <v>20.479865771812079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1.1872687978901089</v>
      </c>
      <c r="P62" s="1">
        <f>(Main_M[[#This Row],[P/B]]-VLOOKUP(Main_M[[#This Row],[Industry]], Mean_PB_M, 2, FALSE))/(VLOOKUP(Main_M[[#This Row],[Industry]], Mean_PB_M, 3, FALSE))</f>
        <v>0.79453435325894395</v>
      </c>
      <c r="Q62" s="1">
        <f>(Main_M[[#This Row],[ROE]]-VLOOKUP(Main_M[[#This Row],[Industry]], Mean_ROE_M, 2, FALSE))/(VLOOKUP(Main_M[[#This Row],[Industry]], Mean_ROE_M, 3, FALSE))</f>
        <v>0.85421325151636551</v>
      </c>
      <c r="R62" s="1">
        <f>(Main_M[[#This Row],[ROA]]-VLOOKUP(Main_M[[#This Row],[Industry]], Mean_ROA_M, 2, FALSE))/(VLOOKUP(Main_M[[#This Row],[Industry]], Mean_ROA_M, 3, FALSE))</f>
        <v>0.91476324697051736</v>
      </c>
      <c r="S62" s="1">
        <f>(Main_M[[#This Row],[A/E]]-VLOOKUP(Main_M[[#This Row],[Industry]], Mean_AE_M, 2, FALSE))/(VLOOKUP(Main_M[[#This Row],[Industry]], Mean_AE_M, 3, FALSE))</f>
        <v>0.91760646170320992</v>
      </c>
      <c r="T62" s="1">
        <f>(Main_M[[#This Row],[P/E]]-VLOOKUP(Main_M[[#This Row],[Industry]], Mean_PE_M, 2, FALSE))/(VLOOKUP(Main_M[[#This Row],[Industry]], Mean_PE_M, 3, FALSE))</f>
        <v>-0.69571030148336599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s="67" t="s">
        <v>135</v>
      </c>
      <c r="B63" s="67" t="s">
        <v>288</v>
      </c>
      <c r="C63" s="2">
        <v>4915</v>
      </c>
      <c r="D63">
        <f>RTD("tos.rtd", , "LAST", Main_M[[#This Row],[Symbol]])</f>
        <v>28.29</v>
      </c>
      <c r="E63">
        <v>1.75</v>
      </c>
      <c r="F63">
        <v>5.52</v>
      </c>
      <c r="G63">
        <v>0.08</v>
      </c>
      <c r="H63" s="1">
        <f>IF(ISNUMBER(Main_M[[#This Row],[Free CF]]),IF(Main_M[[#This Row],[Free CF]]&lt;&gt;0,Main_M[[#This Row],[Current Price]]/Main_M[[#This Row],[Free CF]],""),"")</f>
        <v>16.165714285714284</v>
      </c>
      <c r="I63" s="1">
        <f>IF(ISNUMBER(Main_M[[#This Row],[BVPS]]),IF(Main_M[[#This Row],[BVPS]]&lt;&gt;0,Main_M[[#This Row],[Current Price]]/Main_M[[#This Row],[BVPS]],""),"")</f>
        <v>5.125</v>
      </c>
      <c r="J63">
        <v>1.28</v>
      </c>
      <c r="K63">
        <v>6.16</v>
      </c>
      <c r="L63">
        <v>5.89</v>
      </c>
      <c r="M63" s="1">
        <f>IF(ISNUMBER(Main_M[[#This Row],[EPS]]),IF(Main_M[[#This Row],[EPS]]&lt;&gt;0,Main_M[[#This Row],[Current Price]]/Main_M[[#This Row],[EPS]],""),"")</f>
        <v>353.625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-0.55514540216981001</v>
      </c>
      <c r="P63" s="1">
        <f>(Main_M[[#This Row],[P/B]]-VLOOKUP(Main_M[[#This Row],[Industry]], Mean_PB_M, 2, FALSE))/(VLOOKUP(Main_M[[#This Row],[Industry]], Mean_PB_M, 3, FALSE))</f>
        <v>-1.9521999849776712E-2</v>
      </c>
      <c r="Q63" s="1">
        <f>(Main_M[[#This Row],[ROE]]-VLOOKUP(Main_M[[#This Row],[Industry]], Mean_ROE_M, 2, FALSE))/(VLOOKUP(Main_M[[#This Row],[Industry]], Mean_ROE_M, 3, FALSE))</f>
        <v>-1.1437168589540772</v>
      </c>
      <c r="R63" s="1">
        <f>(Main_M[[#This Row],[ROA]]-VLOOKUP(Main_M[[#This Row],[Industry]], Mean_ROA_M, 2, FALSE))/(VLOOKUP(Main_M[[#This Row],[Industry]], Mean_ROA_M, 3, FALSE))</f>
        <v>-0.11996286186418054</v>
      </c>
      <c r="S63" s="1">
        <f>(Main_M[[#This Row],[A/E]]-VLOOKUP(Main_M[[#This Row],[Industry]], Mean_AE_M, 2, FALSE))/(VLOOKUP(Main_M[[#This Row],[Industry]], Mean_AE_M, 3, FALSE))</f>
        <v>6.4232452319224658</v>
      </c>
      <c r="T63" s="1">
        <f>(Main_M[[#This Row],[P/E]]-VLOOKUP(Main_M[[#This Row],[Industry]], Mean_PE_M, 2, FALSE))/(VLOOKUP(Main_M[[#This Row],[Industry]], Mean_PE_M, 3, FALSE))</f>
        <v>12.873510134878011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4" spans="1:26" x14ac:dyDescent="0.25">
      <c r="A64" s="67" t="s">
        <v>135</v>
      </c>
      <c r="B64" s="67" t="s">
        <v>277</v>
      </c>
      <c r="C64" s="2">
        <v>6650</v>
      </c>
      <c r="D64">
        <f>RTD("tos.rtd", , "LAST", Main_M[[#This Row],[Symbol]])</f>
        <v>238.24</v>
      </c>
      <c r="E64">
        <v>1.53</v>
      </c>
      <c r="F64">
        <v>43.77</v>
      </c>
      <c r="G64">
        <v>7.89</v>
      </c>
      <c r="H64" s="1">
        <f>IF(ISNUMBER(Main_M[[#This Row],[Free CF]]),IF(Main_M[[#This Row],[Free CF]]&lt;&gt;0,Main_M[[#This Row],[Current Price]]/Main_M[[#This Row],[Free CF]],""),"")</f>
        <v>155.71241830065361</v>
      </c>
      <c r="I64" s="1">
        <f>IF(ISNUMBER(Main_M[[#This Row],[BVPS]]),IF(Main_M[[#This Row],[BVPS]]&lt;&gt;0,Main_M[[#This Row],[Current Price]]/Main_M[[#This Row],[BVPS]],""),"")</f>
        <v>5.4429974868631481</v>
      </c>
      <c r="J64">
        <v>19.760000000000002</v>
      </c>
      <c r="K64">
        <v>7.63</v>
      </c>
      <c r="L64">
        <v>2.4500000000000002</v>
      </c>
      <c r="M64" s="1">
        <f>IF(ISNUMBER(Main_M[[#This Row],[EPS]]),IF(Main_M[[#This Row],[EPS]]&lt;&gt;0,Main_M[[#This Row],[Current Price]]/Main_M[[#This Row],[EPS]],""),"")</f>
        <v>30.195183776932829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13.006384116383529</v>
      </c>
      <c r="P64" s="1">
        <f>(Main_M[[#This Row],[P/B]]-VLOOKUP(Main_M[[#This Row],[Industry]], Mean_PB_M, 2, FALSE))/(VLOOKUP(Main_M[[#This Row],[Industry]], Mean_PB_M, 3, FALSE))</f>
        <v>0.13822082923794793</v>
      </c>
      <c r="Q64" s="1">
        <f>(Main_M[[#This Row],[ROE]]-VLOOKUP(Main_M[[#This Row],[Industry]], Mean_ROE_M, 2, FALSE))/(VLOOKUP(Main_M[[#This Row],[Industry]], Mean_ROE_M, 3, FALSE))</f>
        <v>5.0618728907822711E-3</v>
      </c>
      <c r="R64" s="1">
        <f>(Main_M[[#This Row],[ROA]]-VLOOKUP(Main_M[[#This Row],[Industry]], Mean_ROA_M, 2, FALSE))/(VLOOKUP(Main_M[[#This Row],[Industry]], Mean_ROA_M, 3, FALSE))</f>
        <v>0.26220984667526809</v>
      </c>
      <c r="S64" s="1">
        <f>(Main_M[[#This Row],[A/E]]-VLOOKUP(Main_M[[#This Row],[Industry]], Mean_AE_M, 2, FALSE))/(VLOOKUP(Main_M[[#This Row],[Industry]], Mean_AE_M, 3, FALSE))</f>
        <v>-1.8726662483738572E-2</v>
      </c>
      <c r="T64" s="1">
        <f>(Main_M[[#This Row],[P/E]]-VLOOKUP(Main_M[[#This Row],[Industry]], Mean_PE_M, 2, FALSE))/(VLOOKUP(Main_M[[#This Row],[Industry]], Mean_PE_M, 3, FALSE))</f>
        <v>-0.29999900908748911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s="67" t="s">
        <v>135</v>
      </c>
      <c r="B65" s="67" t="s">
        <v>605</v>
      </c>
      <c r="C65" s="2">
        <v>3395</v>
      </c>
      <c r="D65">
        <f>RTD("tos.rtd", , "LAST", Main_M[[#This Row],[Symbol]])</f>
        <v>12.8</v>
      </c>
      <c r="E65">
        <v>0.4</v>
      </c>
      <c r="F65">
        <v>2.79</v>
      </c>
      <c r="G65">
        <v>0.53</v>
      </c>
      <c r="H65" s="1">
        <f>IF(ISNUMBER(Main_M[[#This Row],[Free CF]]),IF(Main_M[[#This Row],[Free CF]]&lt;&gt;0,Main_M[[#This Row],[Current Price]]/Main_M[[#This Row],[Free CF]],""),"")</f>
        <v>32</v>
      </c>
      <c r="I65" s="1">
        <f>IF(ISNUMBER(Main_M[[#This Row],[BVPS]]),IF(Main_M[[#This Row],[BVPS]]&lt;&gt;0,Main_M[[#This Row],[Current Price]]/Main_M[[#This Row],[BVPS]],""),"")</f>
        <v>4.5878136200716844</v>
      </c>
      <c r="J65">
        <v>15.23</v>
      </c>
      <c r="K65">
        <v>1.63</v>
      </c>
      <c r="L65">
        <v>5.0199999999999996</v>
      </c>
      <c r="M65" s="1">
        <f>IF(ISNUMBER(Main_M[[#This Row],[EPS]]),IF(Main_M[[#This Row],[EPS]]&lt;&gt;0,Main_M[[#This Row],[Current Price]]/Main_M[[#This Row],[EPS]],""),"")</f>
        <v>24.150943396226417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0.98367369524509041</v>
      </c>
      <c r="P65" s="1">
        <f>(Main_M[[#This Row],[P/B]]-VLOOKUP(Main_M[[#This Row],[Industry]], Mean_PB_M, 2, FALSE))/(VLOOKUP(Main_M[[#This Row],[Industry]], Mean_PB_M, 3, FALSE))</f>
        <v>-0.28599360046891292</v>
      </c>
      <c r="Q65" s="1">
        <f>(Main_M[[#This Row],[ROE]]-VLOOKUP(Main_M[[#This Row],[Industry]], Mean_ROE_M, 2, FALSE))/(VLOOKUP(Main_M[[#This Row],[Industry]], Mean_ROE_M, 3, FALSE))</f>
        <v>-0.27653810845430504</v>
      </c>
      <c r="R65" s="1">
        <f>(Main_M[[#This Row],[ROA]]-VLOOKUP(Main_M[[#This Row],[Industry]], Mean_ROA_M, 2, FALSE))/(VLOOKUP(Main_M[[#This Row],[Industry]], Mean_ROA_M, 3, FALSE))</f>
        <v>-1.297678759608196</v>
      </c>
      <c r="S65" s="1">
        <f>(Main_M[[#This Row],[A/E]]-VLOOKUP(Main_M[[#This Row],[Industry]], Mean_AE_M, 2, FALSE))/(VLOOKUP(Main_M[[#This Row],[Industry]], Mean_AE_M, 3, FALSE))</f>
        <v>4.7940255958371756</v>
      </c>
      <c r="T65" s="1">
        <f>(Main_M[[#This Row],[P/E]]-VLOOKUP(Main_M[[#This Row],[Industry]], Mean_PE_M, 2, FALSE))/(VLOOKUP(Main_M[[#This Row],[Industry]], Mean_PE_M, 3, FALSE))</f>
        <v>-0.54618489526641034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s="67" t="s">
        <v>135</v>
      </c>
      <c r="B66" s="67" t="s">
        <v>607</v>
      </c>
      <c r="C66" s="2">
        <v>9263</v>
      </c>
      <c r="D66">
        <f>RTD("tos.rtd", , "LAST", Main_M[[#This Row],[Symbol]])</f>
        <v>6.32</v>
      </c>
      <c r="E66">
        <v>0.04</v>
      </c>
      <c r="F66">
        <v>1.25</v>
      </c>
      <c r="G66">
        <v>0.1</v>
      </c>
      <c r="H66" s="1">
        <f>IF(ISNUMBER(Main_M[[#This Row],[Free CF]]),IF(Main_M[[#This Row],[Free CF]]&lt;&gt;0,Main_M[[#This Row],[Current Price]]/Main_M[[#This Row],[Free CF]],""),"")</f>
        <v>158</v>
      </c>
      <c r="I66" s="1">
        <f>IF(ISNUMBER(Main_M[[#This Row],[BVPS]]),IF(Main_M[[#This Row],[BVPS]]&lt;&gt;0,Main_M[[#This Row],[Current Price]]/Main_M[[#This Row],[BVPS]],""),"")</f>
        <v>5.056</v>
      </c>
      <c r="J66">
        <v>8.24</v>
      </c>
      <c r="K66">
        <v>3.54</v>
      </c>
      <c r="L66">
        <v>1.29</v>
      </c>
      <c r="M66" s="1">
        <f>IF(ISNUMBER(Main_M[[#This Row],[EPS]]),IF(Main_M[[#This Row],[EPS]]&lt;&gt;0,Main_M[[#This Row],[Current Price]]/Main_M[[#This Row],[EPS]],""),"")</f>
        <v>63.2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13.228697548727064</v>
      </c>
      <c r="P66" s="1">
        <f>(Main_M[[#This Row],[P/B]]-VLOOKUP(Main_M[[#This Row],[Industry]], Mean_PB_M, 2, FALSE))/(VLOOKUP(Main_M[[#This Row],[Industry]], Mean_PB_M, 3, FALSE))</f>
        <v>-5.3749487980011813E-2</v>
      </c>
      <c r="Q66" s="1">
        <f>(Main_M[[#This Row],[ROE]]-VLOOKUP(Main_M[[#This Row],[Industry]], Mean_ROE_M, 2, FALSE))/(VLOOKUP(Main_M[[#This Row],[Industry]], Mean_ROE_M, 3, FALSE))</f>
        <v>-0.71105993397354572</v>
      </c>
      <c r="R66" s="1">
        <f>(Main_M[[#This Row],[ROA]]-VLOOKUP(Main_M[[#This Row],[Industry]], Mean_ROA_M, 2, FALSE))/(VLOOKUP(Main_M[[#This Row],[Industry]], Mean_ROA_M, 3, FALSE))</f>
        <v>-0.80111421994129317</v>
      </c>
      <c r="S66" s="1">
        <f>(Main_M[[#This Row],[A/E]]-VLOOKUP(Main_M[[#This Row],[Industry]], Mean_AE_M, 2, FALSE))/(VLOOKUP(Main_M[[#This Row],[Industry]], Mean_AE_M, 3, FALSE))</f>
        <v>-2.1910195105974593</v>
      </c>
      <c r="T66" s="1">
        <f>(Main_M[[#This Row],[P/E]]-VLOOKUP(Main_M[[#This Row],[Industry]], Mean_PE_M, 2, FALSE))/(VLOOKUP(Main_M[[#This Row],[Industry]], Mean_PE_M, 3, FALSE))</f>
        <v>1.0443088639059066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s="67" t="s">
        <v>142</v>
      </c>
      <c r="B67" s="67" t="s">
        <v>143</v>
      </c>
      <c r="C67" s="2">
        <v>8032</v>
      </c>
      <c r="D67">
        <f>RTD("tos.rtd", , "LAST", Main_M[[#This Row],[Symbol]])</f>
        <v>269.72000000000003</v>
      </c>
      <c r="E67">
        <v>14.72</v>
      </c>
      <c r="F67">
        <v>82.1</v>
      </c>
      <c r="G67">
        <v>13.18</v>
      </c>
      <c r="H67" s="1">
        <f>IF(ISNUMBER(Main_M[[#This Row],[Free CF]]),IF(Main_M[[#This Row],[Free CF]]&lt;&gt;0,Main_M[[#This Row],[Current Price]]/Main_M[[#This Row],[Free CF]],""),"")</f>
        <v>18.323369565217391</v>
      </c>
      <c r="I67" s="1">
        <f>IF(ISNUMBER(Main_M[[#This Row],[BVPS]]),IF(Main_M[[#This Row],[BVPS]]&lt;&gt;0,Main_M[[#This Row],[Current Price]]/Main_M[[#This Row],[BVPS]],""),"")</f>
        <v>3.2852618757612673</v>
      </c>
      <c r="J67">
        <v>17.86</v>
      </c>
      <c r="K67">
        <v>8.68</v>
      </c>
      <c r="L67">
        <v>1.82</v>
      </c>
      <c r="M67" s="1">
        <f>IF(ISNUMBER(Main_M[[#This Row],[EPS]]),IF(Main_M[[#This Row],[EPS]]&lt;&gt;0,Main_M[[#This Row],[Current Price]]/Main_M[[#This Row],[EPS]],""),"")</f>
        <v>20.464339908952962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0.71136249037647115</v>
      </c>
      <c r="P67" s="1">
        <f>(Main_M[[#This Row],[P/B]]-VLOOKUP(Main_M[[#This Row],[Industry]], Mean_PB_M, 2, FALSE))/(VLOOKUP(Main_M[[#This Row],[Industry]], Mean_PB_M, 3, FALSE))</f>
        <v>-0.10685718122321149</v>
      </c>
      <c r="Q67" s="1">
        <f>(Main_M[[#This Row],[ROE]]-VLOOKUP(Main_M[[#This Row],[Industry]], Mean_ROE_M, 2, FALSE))/(VLOOKUP(Main_M[[#This Row],[Industry]], Mean_ROE_M, 3, FALSE))</f>
        <v>0.1027643260565482</v>
      </c>
      <c r="R67" s="1">
        <f>(Main_M[[#This Row],[ROA]]-VLOOKUP(Main_M[[#This Row],[Industry]], Mean_ROA_M, 2, FALSE))/(VLOOKUP(Main_M[[#This Row],[Industry]], Mean_ROA_M, 3, FALSE))</f>
        <v>0.30555139423749228</v>
      </c>
      <c r="S67" s="1">
        <f>(Main_M[[#This Row],[A/E]]-VLOOKUP(Main_M[[#This Row],[Industry]], Mean_AE_M, 2, FALSE))/(VLOOKUP(Main_M[[#This Row],[Industry]], Mean_AE_M, 3, FALSE))</f>
        <v>-1.0716942073697386</v>
      </c>
      <c r="T67" s="1">
        <f>(Main_M[[#This Row],[P/E]]-VLOOKUP(Main_M[[#This Row],[Industry]], Mean_PE_M, 2, FALSE))/(VLOOKUP(Main_M[[#This Row],[Industry]], Mean_PE_M, 3, FALSE))</f>
        <v>4.9701332160042577E-2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s="67" t="s">
        <v>142</v>
      </c>
      <c r="B68" s="67" t="s">
        <v>588</v>
      </c>
      <c r="C68" s="2">
        <v>4956</v>
      </c>
      <c r="D68">
        <f>RTD("tos.rtd", , "LAST", Main_M[[#This Row],[Symbol]])</f>
        <v>58.883499999999998</v>
      </c>
      <c r="E68">
        <v>9.42</v>
      </c>
      <c r="F68">
        <v>43.11</v>
      </c>
      <c r="G68">
        <v>6.42</v>
      </c>
      <c r="H68" s="1">
        <f>IF(ISNUMBER(Main_M[[#This Row],[Free CF]]),IF(Main_M[[#This Row],[Free CF]]&lt;&gt;0,Main_M[[#This Row],[Current Price]]/Main_M[[#This Row],[Free CF]],""),"")</f>
        <v>6.250902335456475</v>
      </c>
      <c r="I68" s="1">
        <f>IF(ISNUMBER(Main_M[[#This Row],[BVPS]]),IF(Main_M[[#This Row],[BVPS]]&lt;&gt;0,Main_M[[#This Row],[Current Price]]/Main_M[[#This Row],[BVPS]],""),"")</f>
        <v>1.365889584783113</v>
      </c>
      <c r="J68">
        <v>15.92</v>
      </c>
      <c r="K68">
        <v>5.3</v>
      </c>
      <c r="L68">
        <v>4.2300000000000004</v>
      </c>
      <c r="M68" s="1">
        <f>IF(ISNUMBER(Main_M[[#This Row],[EPS]]),IF(Main_M[[#This Row],[EPS]]&lt;&gt;0,Main_M[[#This Row],[Current Price]]/Main_M[[#This Row],[EPS]],""),"")</f>
        <v>9.1718847352024913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-1.33377567785255</v>
      </c>
      <c r="P68" s="1">
        <f>(Main_M[[#This Row],[P/B]]-VLOOKUP(Main_M[[#This Row],[Industry]], Mean_PB_M, 2, FALSE))/(VLOOKUP(Main_M[[#This Row],[Industry]], Mean_PB_M, 3, FALSE))</f>
        <v>-0.9337525761063753</v>
      </c>
      <c r="Q68" s="1">
        <f>(Main_M[[#This Row],[ROE]]-VLOOKUP(Main_M[[#This Row],[Industry]], Mean_ROE_M, 2, FALSE))/(VLOOKUP(Main_M[[#This Row],[Industry]], Mean_ROE_M, 3, FALSE))</f>
        <v>-5.3721382381209069E-2</v>
      </c>
      <c r="R68" s="1">
        <f>(Main_M[[#This Row],[ROA]]-VLOOKUP(Main_M[[#This Row],[Industry]], Mean_ROA_M, 2, FALSE))/(VLOOKUP(Main_M[[#This Row],[Industry]], Mean_ROA_M, 3, FALSE))</f>
        <v>-0.51605856003675066</v>
      </c>
      <c r="S68" s="1">
        <f>(Main_M[[#This Row],[A/E]]-VLOOKUP(Main_M[[#This Row],[Industry]], Mean_AE_M, 2, FALSE))/(VLOOKUP(Main_M[[#This Row],[Industry]], Mean_AE_M, 3, FALSE))</f>
        <v>10.097097315921379</v>
      </c>
      <c r="T68" s="1">
        <f>(Main_M[[#This Row],[P/E]]-VLOOKUP(Main_M[[#This Row],[Industry]], Mean_PE_M, 2, FALSE))/(VLOOKUP(Main_M[[#This Row],[Industry]], Mean_PE_M, 3, FALSE))</f>
        <v>-1.0515031021569261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s="67" t="s">
        <v>142</v>
      </c>
      <c r="B69" s="67" t="s">
        <v>289</v>
      </c>
      <c r="C69" s="2">
        <v>2191</v>
      </c>
      <c r="D69">
        <f>RTD("tos.rtd", , "LAST", Main_M[[#This Row],[Symbol]])</f>
        <v>69.540000000000006</v>
      </c>
      <c r="E69">
        <v>9.25</v>
      </c>
      <c r="F69">
        <v>41.91</v>
      </c>
      <c r="G69">
        <v>5.38</v>
      </c>
      <c r="H69" s="1">
        <f>IF(ISNUMBER(Main_M[[#This Row],[Free CF]]),IF(Main_M[[#This Row],[Free CF]]&lt;&gt;0,Main_M[[#This Row],[Current Price]]/Main_M[[#This Row],[Free CF]],""),"")</f>
        <v>7.5178378378378383</v>
      </c>
      <c r="I69" s="1">
        <f>IF(ISNUMBER(Main_M[[#This Row],[BVPS]]),IF(Main_M[[#This Row],[BVPS]]&lt;&gt;0,Main_M[[#This Row],[Current Price]]/Main_M[[#This Row],[BVPS]],""),"")</f>
        <v>1.6592698639942738</v>
      </c>
      <c r="J69">
        <v>12.93</v>
      </c>
      <c r="K69">
        <v>8.8000000000000007</v>
      </c>
      <c r="L69">
        <v>2.0299999999999998</v>
      </c>
      <c r="M69" s="1">
        <f>IF(ISNUMBER(Main_M[[#This Row],[EPS]]),IF(Main_M[[#This Row],[EPS]]&lt;&gt;0,Main_M[[#This Row],[Current Price]]/Main_M[[#This Row],[EPS]],""),"")</f>
        <v>12.92565055762082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9" s="1">
        <f>(Main_M[[#This Row],[P/FCF]]-VLOOKUP(Main_M[[#This Row],[Industry]], Mean_PFCF_M, 2, FALSE))/(VLOOKUP(Main_M[[#This Row],[Industry]], Mean_PFCF_M, 3, FALSE))</f>
        <v>-1.1191502741722577</v>
      </c>
      <c r="P69" s="1">
        <f>(Main_M[[#This Row],[P/B]]-VLOOKUP(Main_M[[#This Row],[Industry]], Mean_PB_M, 2, FALSE))/(VLOOKUP(Main_M[[#This Row],[Industry]], Mean_PB_M, 3, FALSE))</f>
        <v>-0.80735979500312527</v>
      </c>
      <c r="Q69" s="1">
        <f>(Main_M[[#This Row],[ROE]]-VLOOKUP(Main_M[[#This Row],[Industry]], Mean_ROE_M, 2, FALSE))/(VLOOKUP(Main_M[[#This Row],[Industry]], Mean_ROE_M, 3, FALSE))</f>
        <v>-0.29490296394249482</v>
      </c>
      <c r="R69" s="1">
        <f>(Main_M[[#This Row],[ROA]]-VLOOKUP(Main_M[[#This Row],[Industry]], Mean_ROA_M, 2, FALSE))/(VLOOKUP(Main_M[[#This Row],[Industry]], Mean_ROA_M, 3, FALSE))</f>
        <v>0.33472097841290943</v>
      </c>
      <c r="S69" s="1">
        <f>(Main_M[[#This Row],[A/E]]-VLOOKUP(Main_M[[#This Row],[Industry]], Mean_AE_M, 2, FALSE))/(VLOOKUP(Main_M[[#This Row],[Industry]], Mean_AE_M, 3, FALSE))</f>
        <v>-9.8480008244787809E-2</v>
      </c>
      <c r="T69" s="1">
        <f>(Main_M[[#This Row],[P/E]]-VLOOKUP(Main_M[[#This Row],[Industry]], Mean_PE_M, 2, FALSE))/(VLOOKUP(Main_M[[#This Row],[Industry]], Mean_PE_M, 3, FALSE))</f>
        <v>-0.68544775764306642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s="67" t="s">
        <v>142</v>
      </c>
      <c r="B70" s="67" t="s">
        <v>146</v>
      </c>
      <c r="C70" s="2">
        <v>7216</v>
      </c>
      <c r="D70">
        <f>RTD("tos.rtd", , "LAST", Main_M[[#This Row],[Symbol]])</f>
        <v>128.46</v>
      </c>
      <c r="E70">
        <v>9.2100000000000009</v>
      </c>
      <c r="F70">
        <v>41.79</v>
      </c>
      <c r="G70">
        <v>5.74</v>
      </c>
      <c r="H70" s="1">
        <f>IF(ISNUMBER(Main_M[[#This Row],[Free CF]]),IF(Main_M[[#This Row],[Free CF]]&lt;&gt;0,Main_M[[#This Row],[Current Price]]/Main_M[[#This Row],[Free CF]],""),"")</f>
        <v>13.947882736156352</v>
      </c>
      <c r="I70" s="1">
        <f>IF(ISNUMBER(Main_M[[#This Row],[BVPS]]),IF(Main_M[[#This Row],[BVPS]]&lt;&gt;0,Main_M[[#This Row],[Current Price]]/Main_M[[#This Row],[BVPS]],""),"")</f>
        <v>3.0739411342426419</v>
      </c>
      <c r="J70">
        <v>13.8</v>
      </c>
      <c r="K70">
        <v>6.79</v>
      </c>
      <c r="L70">
        <v>2.0499999999999998</v>
      </c>
      <c r="M70" s="1">
        <f>IF(ISNUMBER(Main_M[[#This Row],[EPS]]),IF(Main_M[[#This Row],[EPS]]&lt;&gt;0,Main_M[[#This Row],[Current Price]]/Main_M[[#This Row],[EPS]],""),"")</f>
        <v>22.379790940766551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70" s="1">
        <f>(Main_M[[#This Row],[P/FCF]]-VLOOKUP(Main_M[[#This Row],[Industry]], Mean_PFCF_M, 2, FALSE))/(VLOOKUP(Main_M[[#This Row],[Industry]], Mean_PFCF_M, 3, FALSE))</f>
        <v>-2.9867529004854402E-2</v>
      </c>
      <c r="P70" s="1">
        <f>(Main_M[[#This Row],[P/B]]-VLOOKUP(Main_M[[#This Row],[Industry]], Mean_PB_M, 2, FALSE))/(VLOOKUP(Main_M[[#This Row],[Industry]], Mean_PB_M, 3, FALSE))</f>
        <v>-0.19789743892954489</v>
      </c>
      <c r="Q70" s="1">
        <f>(Main_M[[#This Row],[ROE]]-VLOOKUP(Main_M[[#This Row],[Industry]], Mean_ROE_M, 2, FALSE))/(VLOOKUP(Main_M[[#This Row],[Industry]], Mean_ROE_M, 3, FALSE))</f>
        <v>-0.22472638335442835</v>
      </c>
      <c r="R70" s="1">
        <f>(Main_M[[#This Row],[ROA]]-VLOOKUP(Main_M[[#This Row],[Industry]], Mean_ROA_M, 2, FALSE))/(VLOOKUP(Main_M[[#This Row],[Industry]], Mean_ROA_M, 3, FALSE))</f>
        <v>-0.153869556525324</v>
      </c>
      <c r="S70" s="1">
        <f>(Main_M[[#This Row],[A/E]]-VLOOKUP(Main_M[[#This Row],[Industry]], Mean_AE_M, 2, FALSE))/(VLOOKUP(Main_M[[#This Row],[Industry]], Mean_AE_M, 3, FALSE))</f>
        <v>-5.7929416614589538E-3</v>
      </c>
      <c r="T70" s="1">
        <f>(Main_M[[#This Row],[P/E]]-VLOOKUP(Main_M[[#This Row],[Industry]], Mean_PE_M, 2, FALSE))/(VLOOKUP(Main_M[[#This Row],[Industry]], Mean_PE_M, 3, FALSE))</f>
        <v>0.23649004528712705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s="67" t="s">
        <v>142</v>
      </c>
      <c r="B71" s="67" t="s">
        <v>150</v>
      </c>
      <c r="C71" s="2">
        <v>8852</v>
      </c>
      <c r="D71">
        <f>RTD("tos.rtd", , "LAST", Main_M[[#This Row],[Symbol]])</f>
        <v>142.09</v>
      </c>
      <c r="E71">
        <v>7.85</v>
      </c>
      <c r="F71">
        <v>96.87</v>
      </c>
      <c r="G71">
        <v>3.5</v>
      </c>
      <c r="H71" s="1">
        <f>IF(ISNUMBER(Main_M[[#This Row],[Free CF]]),IF(Main_M[[#This Row],[Free CF]]&lt;&gt;0,Main_M[[#This Row],[Current Price]]/Main_M[[#This Row],[Free CF]],""),"")</f>
        <v>18.100636942675159</v>
      </c>
      <c r="I71" s="1">
        <f>IF(ISNUMBER(Main_M[[#This Row],[BVPS]]),IF(Main_M[[#This Row],[BVPS]]&lt;&gt;0,Main_M[[#This Row],[Current Price]]/Main_M[[#This Row],[BVPS]],""),"")</f>
        <v>1.466811190254981</v>
      </c>
      <c r="J71">
        <v>3.71</v>
      </c>
      <c r="K71">
        <v>3.07</v>
      </c>
      <c r="L71">
        <v>2.1800000000000002</v>
      </c>
      <c r="M71" s="1">
        <f>IF(ISNUMBER(Main_M[[#This Row],[EPS]]),IF(Main_M[[#This Row],[EPS]]&lt;&gt;0,Main_M[[#This Row],[Current Price]]/Main_M[[#This Row],[EPS]],""),"")</f>
        <v>40.597142857142856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0.67363043619056906</v>
      </c>
      <c r="P71" s="1">
        <f>(Main_M[[#This Row],[P/B]]-VLOOKUP(Main_M[[#This Row],[Industry]], Mean_PB_M, 2, FALSE))/(VLOOKUP(Main_M[[#This Row],[Industry]], Mean_PB_M, 3, FALSE))</f>
        <v>-0.89027398094213328</v>
      </c>
      <c r="Q71" s="1">
        <f>(Main_M[[#This Row],[ROE]]-VLOOKUP(Main_M[[#This Row],[Industry]], Mean_ROE_M, 2, FALSE))/(VLOOKUP(Main_M[[#This Row],[Industry]], Mean_ROE_M, 3, FALSE))</f>
        <v>-1.0386133927033827</v>
      </c>
      <c r="R71" s="1">
        <f>(Main_M[[#This Row],[ROA]]-VLOOKUP(Main_M[[#This Row],[Industry]], Mean_ROA_M, 2, FALSE))/(VLOOKUP(Main_M[[#This Row],[Industry]], Mean_ROA_M, 3, FALSE))</f>
        <v>-1.0581266659632484</v>
      </c>
      <c r="S71" s="1">
        <f>(Main_M[[#This Row],[A/E]]-VLOOKUP(Main_M[[#This Row],[Industry]], Mean_AE_M, 2, FALSE))/(VLOOKUP(Main_M[[#This Row],[Industry]], Mean_AE_M, 3, FALSE))</f>
        <v>0.59667299113017958</v>
      </c>
      <c r="T71" s="1">
        <f>(Main_M[[#This Row],[P/E]]-VLOOKUP(Main_M[[#This Row],[Industry]], Mean_PE_M, 2, FALSE))/(VLOOKUP(Main_M[[#This Row],[Industry]], Mean_PE_M, 3, FALSE))</f>
        <v>2.0129884597735148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s="67" t="s">
        <v>142</v>
      </c>
      <c r="B72" s="67" t="s">
        <v>291</v>
      </c>
      <c r="C72" s="2">
        <v>8292</v>
      </c>
      <c r="D72">
        <f>RTD("tos.rtd", , "LAST", Main_M[[#This Row],[Symbol]])</f>
        <v>59.02</v>
      </c>
      <c r="E72">
        <v>4.33</v>
      </c>
      <c r="F72">
        <v>11.18</v>
      </c>
      <c r="G72">
        <v>3.47</v>
      </c>
      <c r="H72" s="1">
        <f>IF(ISNUMBER(Main_M[[#This Row],[Free CF]]),IF(Main_M[[#This Row],[Free CF]]&lt;&gt;0,Main_M[[#This Row],[Current Price]]/Main_M[[#This Row],[Free CF]],""),"")</f>
        <v>13.630484988452656</v>
      </c>
      <c r="I72" s="1">
        <f>IF(ISNUMBER(Main_M[[#This Row],[BVPS]]),IF(Main_M[[#This Row],[BVPS]]&lt;&gt;0,Main_M[[#This Row],[Current Price]]/Main_M[[#This Row],[BVPS]],""),"")</f>
        <v>5.279069767441861</v>
      </c>
      <c r="J72">
        <v>39.479999999999997</v>
      </c>
      <c r="K72">
        <v>13.99</v>
      </c>
      <c r="L72">
        <v>1.96</v>
      </c>
      <c r="M72" s="1">
        <f>IF(ISNUMBER(Main_M[[#This Row],[EPS]]),IF(Main_M[[#This Row],[EPS]]&lt;&gt;0,Main_M[[#This Row],[Current Price]]/Main_M[[#This Row],[EPS]],""),"")</f>
        <v>17.008645533141209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-8.3636343281570324E-2</v>
      </c>
      <c r="P72" s="1">
        <f>(Main_M[[#This Row],[P/B]]-VLOOKUP(Main_M[[#This Row],[Industry]], Mean_PB_M, 2, FALSE))/(VLOOKUP(Main_M[[#This Row],[Industry]], Mean_PB_M, 3, FALSE))</f>
        <v>0.75210622658559578</v>
      </c>
      <c r="Q72" s="1">
        <f>(Main_M[[#This Row],[ROE]]-VLOOKUP(Main_M[[#This Row],[Industry]], Mean_ROE_M, 2, FALSE))/(VLOOKUP(Main_M[[#This Row],[Industry]], Mean_ROE_M, 3, FALSE))</f>
        <v>1.8466926850381526</v>
      </c>
      <c r="R72" s="1">
        <f>(Main_M[[#This Row],[ROA]]-VLOOKUP(Main_M[[#This Row],[Industry]], Mean_ROA_M, 2, FALSE))/(VLOOKUP(Main_M[[#This Row],[Industry]], Mean_ROA_M, 3, FALSE))</f>
        <v>1.5963054939996906</v>
      </c>
      <c r="S72" s="1">
        <f>(Main_M[[#This Row],[A/E]]-VLOOKUP(Main_M[[#This Row],[Industry]], Mean_AE_M, 2, FALSE))/(VLOOKUP(Main_M[[#This Row],[Industry]], Mean_AE_M, 3, FALSE))</f>
        <v>-0.42288474128643777</v>
      </c>
      <c r="T72" s="1">
        <f>(Main_M[[#This Row],[P/E]]-VLOOKUP(Main_M[[#This Row],[Industry]], Mean_PE_M, 2, FALSE))/(VLOOKUP(Main_M[[#This Row],[Industry]], Mean_PE_M, 3, FALSE))</f>
        <v>-0.28728702969185099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s="67" t="s">
        <v>142</v>
      </c>
      <c r="B73" s="67" t="s">
        <v>293</v>
      </c>
      <c r="C73" s="2">
        <v>2047</v>
      </c>
      <c r="D73">
        <f>RTD("tos.rtd", , "LAST", Main_M[[#This Row],[Symbol]])</f>
        <v>190.24</v>
      </c>
      <c r="E73">
        <v>4.25</v>
      </c>
      <c r="F73">
        <v>44.86</v>
      </c>
      <c r="G73">
        <v>14.23</v>
      </c>
      <c r="H73" s="1">
        <f>IF(ISNUMBER(Main_M[[#This Row],[Free CF]]),IF(Main_M[[#This Row],[Free CF]]&lt;&gt;0,Main_M[[#This Row],[Current Price]]/Main_M[[#This Row],[Free CF]],""),"")</f>
        <v>44.762352941176474</v>
      </c>
      <c r="I73" s="1">
        <f>IF(ISNUMBER(Main_M[[#This Row],[BVPS]]),IF(Main_M[[#This Row],[BVPS]]&lt;&gt;0,Main_M[[#This Row],[Current Price]]/Main_M[[#This Row],[BVPS]],""),"")</f>
        <v>4.2407489968791801</v>
      </c>
      <c r="J73">
        <v>37.08</v>
      </c>
      <c r="K73">
        <v>14.32</v>
      </c>
      <c r="L73">
        <v>1.78</v>
      </c>
      <c r="M73" s="1">
        <f>IF(ISNUMBER(Main_M[[#This Row],[EPS]]),IF(Main_M[[#This Row],[EPS]]&lt;&gt;0,Main_M[[#This Row],[Current Price]]/Main_M[[#This Row],[EPS]],""),"")</f>
        <v>13.368938861560084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5.1902625364292225</v>
      </c>
      <c r="P73" s="1">
        <f>(Main_M[[#This Row],[P/B]]-VLOOKUP(Main_M[[#This Row],[Industry]], Mean_PB_M, 2, FALSE))/(VLOOKUP(Main_M[[#This Row],[Industry]], Mean_PB_M, 3, FALSE))</f>
        <v>0.30478151129950271</v>
      </c>
      <c r="Q73" s="1">
        <f>(Main_M[[#This Row],[ROE]]-VLOOKUP(Main_M[[#This Row],[Industry]], Mean_ROE_M, 2, FALSE))/(VLOOKUP(Main_M[[#This Row],[Industry]], Mean_ROE_M, 3, FALSE))</f>
        <v>1.6531021178986594</v>
      </c>
      <c r="R73" s="1">
        <f>(Main_M[[#This Row],[ROA]]-VLOOKUP(Main_M[[#This Row],[Industry]], Mean_ROA_M, 2, FALSE))/(VLOOKUP(Main_M[[#This Row],[Industry]], Mean_ROA_M, 3, FALSE))</f>
        <v>1.6765218504820871</v>
      </c>
      <c r="S73" s="1">
        <f>(Main_M[[#This Row],[A/E]]-VLOOKUP(Main_M[[#This Row],[Industry]], Mean_AE_M, 2, FALSE))/(VLOOKUP(Main_M[[#This Row],[Industry]], Mean_AE_M, 3, FALSE))</f>
        <v>-1.2570683405363965</v>
      </c>
      <c r="T73" s="1">
        <f>(Main_M[[#This Row],[P/E]]-VLOOKUP(Main_M[[#This Row],[Industry]], Mean_PE_M, 2, FALSE))/(VLOOKUP(Main_M[[#This Row],[Industry]], Mean_PE_M, 3, FALSE))</f>
        <v>-0.64221968735473067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s="67" t="s">
        <v>142</v>
      </c>
      <c r="B74" s="67" t="s">
        <v>290</v>
      </c>
      <c r="C74" s="2">
        <v>3278</v>
      </c>
      <c r="D74">
        <f>RTD("tos.rtd", , "LAST", Main_M[[#This Row],[Symbol]])</f>
        <v>88.19</v>
      </c>
      <c r="E74">
        <v>3.5</v>
      </c>
      <c r="F74">
        <v>48.89</v>
      </c>
      <c r="G74">
        <v>8.99</v>
      </c>
      <c r="H74" s="1">
        <f>IF(ISNUMBER(Main_M[[#This Row],[Free CF]]),IF(Main_M[[#This Row],[Free CF]]&lt;&gt;0,Main_M[[#This Row],[Current Price]]/Main_M[[#This Row],[Free CF]],""),"")</f>
        <v>25.197142857142858</v>
      </c>
      <c r="I74" s="1">
        <f>IF(ISNUMBER(Main_M[[#This Row],[BVPS]]),IF(Main_M[[#This Row],[BVPS]]&lt;&gt;0,Main_M[[#This Row],[Current Price]]/Main_M[[#This Row],[BVPS]],""),"")</f>
        <v>1.8038453671507466</v>
      </c>
      <c r="J74">
        <v>19.79</v>
      </c>
      <c r="K74">
        <v>8.2100000000000009</v>
      </c>
      <c r="L74">
        <v>2.0699999999999998</v>
      </c>
      <c r="M74" s="1">
        <f>IF(ISNUMBER(Main_M[[#This Row],[EPS]]),IF(Main_M[[#This Row],[EPS]]&lt;&gt;0,Main_M[[#This Row],[Current Price]]/Main_M[[#This Row],[EPS]],""),"")</f>
        <v>9.8097886540600658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1.8758151123239419</v>
      </c>
      <c r="P74" s="1">
        <f>(Main_M[[#This Row],[P/B]]-VLOOKUP(Main_M[[#This Row],[Industry]], Mean_PB_M, 2, FALSE))/(VLOOKUP(Main_M[[#This Row],[Industry]], Mean_PB_M, 3, FALSE))</f>
        <v>-0.74507442267857271</v>
      </c>
      <c r="Q74" s="1">
        <f>(Main_M[[#This Row],[ROE]]-VLOOKUP(Main_M[[#This Row],[Industry]], Mean_ROE_M, 2, FALSE))/(VLOOKUP(Main_M[[#This Row],[Industry]], Mean_ROE_M, 3, FALSE))</f>
        <v>0.25844340713122427</v>
      </c>
      <c r="R74" s="1">
        <f>(Main_M[[#This Row],[ROA]]-VLOOKUP(Main_M[[#This Row],[Industry]], Mean_ROA_M, 2, FALSE))/(VLOOKUP(Main_M[[#This Row],[Industry]], Mean_ROA_M, 3, FALSE))</f>
        <v>0.19130385621710966</v>
      </c>
      <c r="S74" s="1">
        <f>(Main_M[[#This Row],[A/E]]-VLOOKUP(Main_M[[#This Row],[Industry]], Mean_AE_M, 2, FALSE))/(VLOOKUP(Main_M[[#This Row],[Industry]], Mean_AE_M, 3, FALSE))</f>
        <v>8.6894124921869903E-2</v>
      </c>
      <c r="T74" s="1">
        <f>(Main_M[[#This Row],[P/E]]-VLOOKUP(Main_M[[#This Row],[Industry]], Mean_PE_M, 2, FALSE))/(VLOOKUP(Main_M[[#This Row],[Industry]], Mean_PE_M, 3, FALSE))</f>
        <v>-0.98929673398404017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s="67" t="s">
        <v>142</v>
      </c>
      <c r="B75" s="67" t="s">
        <v>295</v>
      </c>
      <c r="C75" s="2">
        <v>3812</v>
      </c>
      <c r="D75">
        <f>RTD("tos.rtd", , "LAST", Main_M[[#This Row],[Symbol]])</f>
        <v>27.77</v>
      </c>
      <c r="E75">
        <v>2.77</v>
      </c>
      <c r="F75">
        <v>19.510000000000002</v>
      </c>
      <c r="G75">
        <v>0.82</v>
      </c>
      <c r="H75" s="1">
        <f>IF(ISNUMBER(Main_M[[#This Row],[Free CF]]),IF(Main_M[[#This Row],[Free CF]]&lt;&gt;0,Main_M[[#This Row],[Current Price]]/Main_M[[#This Row],[Free CF]],""),"")</f>
        <v>10.025270758122744</v>
      </c>
      <c r="I75" s="1">
        <f>IF(ISNUMBER(Main_M[[#This Row],[BVPS]]),IF(Main_M[[#This Row],[BVPS]]&lt;&gt;0,Main_M[[#This Row],[Current Price]]/Main_M[[#This Row],[BVPS]],""),"")</f>
        <v>1.4233726294208098</v>
      </c>
      <c r="J75">
        <v>4.2</v>
      </c>
      <c r="K75">
        <v>3.72</v>
      </c>
      <c r="L75">
        <v>2.52</v>
      </c>
      <c r="M75" s="1">
        <f>IF(ISNUMBER(Main_M[[#This Row],[EPS]]),IF(Main_M[[#This Row],[EPS]]&lt;&gt;0,Main_M[[#This Row],[Current Price]]/Main_M[[#This Row],[EPS]],""),"")</f>
        <v>33.865853658536587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-0.69437821457974858</v>
      </c>
      <c r="P75" s="1">
        <f>(Main_M[[#This Row],[P/B]]-VLOOKUP(Main_M[[#This Row],[Industry]], Mean_PB_M, 2, FALSE))/(VLOOKUP(Main_M[[#This Row],[Industry]], Mean_PB_M, 3, FALSE))</f>
        <v>-0.908987987642638</v>
      </c>
      <c r="Q75" s="1">
        <f>(Main_M[[#This Row],[ROE]]-VLOOKUP(Main_M[[#This Row],[Industry]], Mean_ROE_M, 2, FALSE))/(VLOOKUP(Main_M[[#This Row],[Industry]], Mean_ROE_M, 3, FALSE))</f>
        <v>-0.99908865191240281</v>
      </c>
      <c r="R75" s="1">
        <f>(Main_M[[#This Row],[ROA]]-VLOOKUP(Main_M[[#This Row],[Industry]], Mean_ROA_M, 2, FALSE))/(VLOOKUP(Main_M[[#This Row],[Industry]], Mean_ROA_M, 3, FALSE))</f>
        <v>-0.90012475167973993</v>
      </c>
      <c r="S75" s="1">
        <f>(Main_M[[#This Row],[A/E]]-VLOOKUP(Main_M[[#This Row],[Industry]], Mean_AE_M, 2, FALSE))/(VLOOKUP(Main_M[[#This Row],[Industry]], Mean_AE_M, 3, FALSE))</f>
        <v>2.1723531230467681</v>
      </c>
      <c r="T75" s="1">
        <f>(Main_M[[#This Row],[P/E]]-VLOOKUP(Main_M[[#This Row],[Industry]], Mean_PE_M, 2, FALSE))/(VLOOKUP(Main_M[[#This Row],[Industry]], Mean_PE_M, 3, FALSE))</f>
        <v>1.3565744736099301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s="67" t="s">
        <v>142</v>
      </c>
      <c r="B76" s="67" t="s">
        <v>297</v>
      </c>
      <c r="C76" s="2">
        <v>4289</v>
      </c>
      <c r="D76">
        <f>RTD("tos.rtd", , "LAST", Main_M[[#This Row],[Symbol]])</f>
        <v>21.43</v>
      </c>
      <c r="E76">
        <v>0.34</v>
      </c>
      <c r="F76">
        <v>2.4900000000000002</v>
      </c>
      <c r="G76">
        <v>0.02</v>
      </c>
      <c r="H76" s="1">
        <f>IF(ISNUMBER(Main_M[[#This Row],[Free CF]]),IF(Main_M[[#This Row],[Free CF]]&lt;&gt;0,Main_M[[#This Row],[Current Price]]/Main_M[[#This Row],[Free CF]],""),"")</f>
        <v>63.029411764705877</v>
      </c>
      <c r="I76" s="1">
        <f>IF(ISNUMBER(Main_M[[#This Row],[BVPS]]),IF(Main_M[[#This Row],[BVPS]]&lt;&gt;0,Main_M[[#This Row],[Current Price]]/Main_M[[#This Row],[BVPS]],""),"")</f>
        <v>8.6064257028112436</v>
      </c>
      <c r="J76">
        <v>1.0900000000000001</v>
      </c>
      <c r="K76">
        <v>1.35</v>
      </c>
      <c r="L76">
        <v>4.51</v>
      </c>
      <c r="M76" s="1">
        <f>IF(ISNUMBER(Main_M[[#This Row],[EPS]]),IF(Main_M[[#This Row],[EPS]]&lt;&gt;0,Main_M[[#This Row],[Current Price]]/Main_M[[#This Row],[EPS]],""),"")</f>
        <v>1071.5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8.2847964465473236</v>
      </c>
      <c r="P76" s="1">
        <f>(Main_M[[#This Row],[P/B]]-VLOOKUP(Main_M[[#This Row],[Industry]], Mean_PB_M, 2, FALSE))/(VLOOKUP(Main_M[[#This Row],[Industry]], Mean_PB_M, 3, FALSE))</f>
        <v>2.1855828444500451</v>
      </c>
      <c r="Q76" s="1">
        <f>(Main_M[[#This Row],[ROE]]-VLOOKUP(Main_M[[#This Row],[Industry]], Mean_ROE_M, 2, FALSE))/(VLOOKUP(Main_M[[#This Row],[Industry]], Mean_ROE_M, 3, FALSE))</f>
        <v>-1.2499497618306632</v>
      </c>
      <c r="R76" s="1">
        <f>(Main_M[[#This Row],[ROA]]-VLOOKUP(Main_M[[#This Row],[Industry]], Mean_ROA_M, 2, FALSE))/(VLOOKUP(Main_M[[#This Row],[Industry]], Mean_ROA_M, 3, FALSE))</f>
        <v>-1.4762240391442238</v>
      </c>
      <c r="S76" s="1">
        <f>(Main_M[[#This Row],[A/E]]-VLOOKUP(Main_M[[#This Row],[Industry]], Mean_AE_M, 2, FALSE))/(VLOOKUP(Main_M[[#This Row],[Industry]], Mean_AE_M, 3, FALSE))</f>
        <v>11.394716248087979</v>
      </c>
      <c r="T76" s="1">
        <f>(Main_M[[#This Row],[P/E]]-VLOOKUP(Main_M[[#This Row],[Industry]], Mean_PE_M, 2, FALSE))/(VLOOKUP(Main_M[[#This Row],[Industry]], Mean_PE_M, 3, FALSE))</f>
        <v>102.5433673869905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7" spans="1:26" x14ac:dyDescent="0.25">
      <c r="A77" s="67" t="s">
        <v>142</v>
      </c>
      <c r="B77" s="67" t="s">
        <v>298</v>
      </c>
      <c r="C77" s="2">
        <v>4267</v>
      </c>
      <c r="D77">
        <f>RTD("tos.rtd", , "LAST", Main_M[[#This Row],[Symbol]])</f>
        <v>35.24</v>
      </c>
      <c r="E77">
        <v>-0.93</v>
      </c>
      <c r="F77">
        <v>5.29</v>
      </c>
      <c r="G77">
        <v>-1.27</v>
      </c>
      <c r="H77" s="1">
        <f>IF(ISNUMBER(Main_M[[#This Row],[Free CF]]),IF(Main_M[[#This Row],[Free CF]]&lt;&gt;0,Main_M[[#This Row],[Current Price]]/Main_M[[#This Row],[Free CF]],""),"")</f>
        <v>-37.892473118279568</v>
      </c>
      <c r="I77" s="1">
        <f>IF(ISNUMBER(Main_M[[#This Row],[BVPS]]),IF(Main_M[[#This Row],[BVPS]]&lt;&gt;0,Main_M[[#This Row],[Current Price]]/Main_M[[#This Row],[BVPS]],""),"")</f>
        <v>6.6616257088846886</v>
      </c>
      <c r="J77">
        <v>-100.49</v>
      </c>
      <c r="K77">
        <v>-19.18</v>
      </c>
      <c r="L77">
        <v>0.88</v>
      </c>
      <c r="M77" s="1">
        <f>IF(ISNUMBER(Main_M[[#This Row],[EPS]]),IF(Main_M[[#This Row],[EPS]]&lt;&gt;0,Main_M[[#This Row],[Current Price]]/Main_M[[#This Row],[EPS]],""),"")</f>
        <v>-27.748031496062993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-8.811890987401215</v>
      </c>
      <c r="P77" s="1">
        <f>(Main_M[[#This Row],[P/B]]-VLOOKUP(Main_M[[#This Row],[Industry]], Mean_PB_M, 2, FALSE))/(VLOOKUP(Main_M[[#This Row],[Industry]], Mean_PB_M, 3, FALSE))</f>
        <v>1.3477328001904574</v>
      </c>
      <c r="Q77" s="1">
        <f>(Main_M[[#This Row],[ROE]]-VLOOKUP(Main_M[[#This Row],[Industry]], Mean_ROE_M, 2, FALSE))/(VLOOKUP(Main_M[[#This Row],[Industry]], Mean_ROE_M, 3, FALSE))</f>
        <v>-9.4436705160097283</v>
      </c>
      <c r="R77" s="1">
        <f>(Main_M[[#This Row],[ROA]]-VLOOKUP(Main_M[[#This Row],[Industry]], Mean_ROA_M, 2, FALSE))/(VLOOKUP(Main_M[[#This Row],[Industry]], Mean_ROA_M, 3, FALSE))</f>
        <v>-6.4666537318217996</v>
      </c>
      <c r="S77" s="1">
        <f>(Main_M[[#This Row],[A/E]]-VLOOKUP(Main_M[[#This Row],[Industry]], Mean_AE_M, 2, FALSE))/(VLOOKUP(Main_M[[#This Row],[Industry]], Mean_AE_M, 3, FALSE))</f>
        <v>-5.4279863367861916</v>
      </c>
      <c r="T77" s="1">
        <f>(Main_M[[#This Row],[P/E]]-VLOOKUP(Main_M[[#This Row],[Industry]], Mean_PE_M, 2, FALSE))/(VLOOKUP(Main_M[[#This Row],[Industry]], Mean_PE_M, 3, FALSE))</f>
        <v>-4.6518163062320772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8" spans="1:26" x14ac:dyDescent="0.25">
      <c r="A78" s="67" t="s">
        <v>233</v>
      </c>
      <c r="B78" s="67" t="s">
        <v>398</v>
      </c>
      <c r="C78" s="2">
        <v>4286</v>
      </c>
      <c r="D78">
        <f>RTD("tos.rtd", , "LAST", Main_M[[#This Row],[Symbol]])</f>
        <v>126.1</v>
      </c>
      <c r="E78">
        <v>47.32</v>
      </c>
      <c r="F78">
        <v>-80.17</v>
      </c>
      <c r="G78">
        <v>-62.49</v>
      </c>
      <c r="H78" s="1">
        <f>IF(ISNUMBER(Main_M[[#This Row],[Free CF]]),IF(Main_M[[#This Row],[Free CF]]&lt;&gt;0,Main_M[[#This Row],[Current Price]]/Main_M[[#This Row],[Free CF]],""),"")</f>
        <v>2.6648351648351647</v>
      </c>
      <c r="I78" s="1">
        <f>IF(ISNUMBER(Main_M[[#This Row],[BVPS]]),IF(Main_M[[#This Row],[BVPS]]&lt;&gt;0,Main_M[[#This Row],[Current Price]]/Main_M[[#This Row],[BVPS]],""),"")</f>
        <v>-1.5729075714107521</v>
      </c>
      <c r="J78">
        <v>133.05000000000001</v>
      </c>
      <c r="K78">
        <v>1.54</v>
      </c>
      <c r="L78">
        <v>-10.29</v>
      </c>
      <c r="M78" s="1">
        <f>IF(ISNUMBER(Main_M[[#This Row],[EPS]]),IF(Main_M[[#This Row],[EPS]]&lt;&gt;0,Main_M[[#This Row],[Current Price]]/Main_M[[#This Row],[EPS]],""),"")</f>
        <v>-2.0179228676588252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8.6445895069695682E-3</v>
      </c>
      <c r="P78" s="1">
        <f>(Main_M[[#This Row],[P/B]]-VLOOKUP(Main_M[[#This Row],[Industry]], Mean_PB_M, 2, FALSE))/(VLOOKUP(Main_M[[#This Row],[Industry]], Mean_PB_M, 3, FALSE))</f>
        <v>-3.0604831368775689</v>
      </c>
      <c r="Q78" s="1">
        <f>(Main_M[[#This Row],[ROE]]-VLOOKUP(Main_M[[#This Row],[Industry]], Mean_ROE_M, 2, FALSE))/(VLOOKUP(Main_M[[#This Row],[Industry]], Mean_ROE_M, 3, FALSE))</f>
        <v>1.564038043839046</v>
      </c>
      <c r="R78" s="1">
        <f>(Main_M[[#This Row],[ROA]]-VLOOKUP(Main_M[[#This Row],[Industry]], Mean_ROA_M, 2, FALSE))/(VLOOKUP(Main_M[[#This Row],[Industry]], Mean_ROA_M, 3, FALSE))</f>
        <v>-0.79609279639754571</v>
      </c>
      <c r="S78" s="1">
        <f>(Main_M[[#This Row],[A/E]]-VLOOKUP(Main_M[[#This Row],[Industry]], Mean_AE_M, 2, FALSE))/(VLOOKUP(Main_M[[#This Row],[Industry]], Mean_AE_M, 3, FALSE))</f>
        <v>-30.427831912359977</v>
      </c>
      <c r="T78" s="1">
        <f>(Main_M[[#This Row],[P/E]]-VLOOKUP(Main_M[[#This Row],[Industry]], Mean_PE_M, 2, FALSE))/(VLOOKUP(Main_M[[#This Row],[Industry]], Mean_PE_M, 3, FALSE))</f>
        <v>-1.1052522878995834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s="67" t="s">
        <v>233</v>
      </c>
      <c r="B79" s="67" t="s">
        <v>394</v>
      </c>
      <c r="C79" s="2">
        <v>6082</v>
      </c>
      <c r="D79">
        <f>RTD("tos.rtd", , "LAST", Main_M[[#This Row],[Symbol]])</f>
        <v>153.05000000000001</v>
      </c>
      <c r="E79">
        <v>8.64</v>
      </c>
      <c r="F79">
        <v>72.64</v>
      </c>
      <c r="G79">
        <v>11.48</v>
      </c>
      <c r="H79" s="1">
        <f>IF(ISNUMBER(Main_M[[#This Row],[Free CF]]),IF(Main_M[[#This Row],[Free CF]]&lt;&gt;0,Main_M[[#This Row],[Current Price]]/Main_M[[#This Row],[Free CF]],""),"")</f>
        <v>17.71412037037037</v>
      </c>
      <c r="I79" s="1">
        <f>IF(ISNUMBER(Main_M[[#This Row],[BVPS]]),IF(Main_M[[#This Row],[BVPS]]&lt;&gt;0,Main_M[[#This Row],[Current Price]]/Main_M[[#This Row],[BVPS]],""),"")</f>
        <v>2.1069658590308373</v>
      </c>
      <c r="J79">
        <v>16.55</v>
      </c>
      <c r="K79">
        <v>3.78</v>
      </c>
      <c r="L79">
        <v>5.47</v>
      </c>
      <c r="M79" s="1">
        <f>IF(ISNUMBER(Main_M[[#This Row],[EPS]]),IF(Main_M[[#This Row],[EPS]]&lt;&gt;0,Main_M[[#This Row],[Current Price]]/Main_M[[#This Row],[EPS]],""),"")</f>
        <v>13.331881533101045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0.70428543304638347</v>
      </c>
      <c r="P79" s="1">
        <f>(Main_M[[#This Row],[P/B]]-VLOOKUP(Main_M[[#This Row],[Industry]], Mean_PB_M, 2, FALSE))/(VLOOKUP(Main_M[[#This Row],[Industry]], Mean_PB_M, 3, FALSE))</f>
        <v>-0.2622536766517406</v>
      </c>
      <c r="Q79" s="1">
        <f>(Main_M[[#This Row],[ROE]]-VLOOKUP(Main_M[[#This Row],[Industry]], Mean_ROE_M, 2, FALSE))/(VLOOKUP(Main_M[[#This Row],[Industry]], Mean_ROE_M, 3, FALSE))</f>
        <v>0.25424584386457283</v>
      </c>
      <c r="R79" s="1">
        <f>(Main_M[[#This Row],[ROA]]-VLOOKUP(Main_M[[#This Row],[Industry]], Mean_ROA_M, 2, FALSE))/(VLOOKUP(Main_M[[#This Row],[Industry]], Mean_ROA_M, 3, FALSE))</f>
        <v>-0.1324705184861413</v>
      </c>
      <c r="S79" s="1">
        <f>(Main_M[[#This Row],[A/E]]-VLOOKUP(Main_M[[#This Row],[Industry]], Mean_AE_M, 2, FALSE))/(VLOOKUP(Main_M[[#This Row],[Industry]], Mean_AE_M, 3, FALSE))</f>
        <v>8.8628383816828933</v>
      </c>
      <c r="T79" s="1">
        <f>(Main_M[[#This Row],[P/E]]-VLOOKUP(Main_M[[#This Row],[Industry]], Mean_PE_M, 2, FALSE))/(VLOOKUP(Main_M[[#This Row],[Industry]], Mean_PE_M, 3, FALSE))</f>
        <v>-0.21420837084318439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s="67" t="s">
        <v>233</v>
      </c>
      <c r="B80" s="67" t="s">
        <v>242</v>
      </c>
      <c r="C80" s="2">
        <v>7224</v>
      </c>
      <c r="D80">
        <f>RTD("tos.rtd", , "LAST", Main_M[[#This Row],[Symbol]])</f>
        <v>87.89</v>
      </c>
      <c r="E80">
        <v>8.2100000000000009</v>
      </c>
      <c r="F80">
        <v>31.34</v>
      </c>
      <c r="G80">
        <v>4.53</v>
      </c>
      <c r="H80" s="1">
        <f>IF(ISNUMBER(Main_M[[#This Row],[Free CF]]),IF(Main_M[[#This Row],[Free CF]]&lt;&gt;0,Main_M[[#This Row],[Current Price]]/Main_M[[#This Row],[Free CF]],""),"")</f>
        <v>10.705237515225335</v>
      </c>
      <c r="I80" s="1">
        <f>IF(ISNUMBER(Main_M[[#This Row],[BVPS]]),IF(Main_M[[#This Row],[BVPS]]&lt;&gt;0,Main_M[[#This Row],[Current Price]]/Main_M[[#This Row],[BVPS]],""),"")</f>
        <v>2.8044033184428847</v>
      </c>
      <c r="J80">
        <v>14.78</v>
      </c>
      <c r="K80">
        <v>5.97</v>
      </c>
      <c r="L80">
        <v>2.7</v>
      </c>
      <c r="M80" s="1">
        <f>IF(ISNUMBER(Main_M[[#This Row],[EPS]]),IF(Main_M[[#This Row],[EPS]]&lt;&gt;0,Main_M[[#This Row],[Current Price]]/Main_M[[#This Row],[EPS]],""),"")</f>
        <v>19.401766004415009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0.38030558184197327</v>
      </c>
      <c r="P80" s="1">
        <f>(Main_M[[#This Row],[P/B]]-VLOOKUP(Main_M[[#This Row],[Industry]], Mean_PB_M, 2, FALSE))/(VLOOKUP(Main_M[[#This Row],[Industry]], Mean_PB_M, 3, FALSE))</f>
        <v>0.26808794582021855</v>
      </c>
      <c r="Q80" s="1">
        <f>(Main_M[[#This Row],[ROE]]-VLOOKUP(Main_M[[#This Row],[Industry]], Mean_ROE_M, 2, FALSE))/(VLOOKUP(Main_M[[#This Row],[Industry]], Mean_ROE_M, 3, FALSE))</f>
        <v>0.23434599670616235</v>
      </c>
      <c r="R80" s="1">
        <f>(Main_M[[#This Row],[ROA]]-VLOOKUP(Main_M[[#This Row],[Industry]], Mean_ROA_M, 2, FALSE))/(VLOOKUP(Main_M[[#This Row],[Industry]], Mean_ROA_M, 3, FALSE))</f>
        <v>0.51633876215045504</v>
      </c>
      <c r="S80" s="1">
        <f>(Main_M[[#This Row],[A/E]]-VLOOKUP(Main_M[[#This Row],[Industry]], Mean_AE_M, 2, FALSE))/(VLOOKUP(Main_M[[#This Row],[Industry]], Mean_AE_M, 3, FALSE))</f>
        <v>1.9570543261943949</v>
      </c>
      <c r="T80" s="1">
        <f>(Main_M[[#This Row],[P/E]]-VLOOKUP(Main_M[[#This Row],[Industry]], Mean_PE_M, 2, FALSE))/(VLOOKUP(Main_M[[#This Row],[Industry]], Mean_PE_M, 3, FALSE))</f>
        <v>0.13814358714864916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s="67" t="s">
        <v>233</v>
      </c>
      <c r="B81" s="67" t="s">
        <v>393</v>
      </c>
      <c r="C81" s="2">
        <v>4795</v>
      </c>
      <c r="D81">
        <f>RTD("tos.rtd", , "LAST", Main_M[[#This Row],[Symbol]])</f>
        <v>140.22</v>
      </c>
      <c r="E81">
        <v>6.34</v>
      </c>
      <c r="F81">
        <v>26.63</v>
      </c>
      <c r="G81">
        <v>5.05</v>
      </c>
      <c r="H81" s="1">
        <f>IF(ISNUMBER(Main_M[[#This Row],[Free CF]]),IF(Main_M[[#This Row],[Free CF]]&lt;&gt;0,Main_M[[#This Row],[Current Price]]/Main_M[[#This Row],[Free CF]],""),"")</f>
        <v>22.11671924290221</v>
      </c>
      <c r="I81" s="1">
        <f>IF(ISNUMBER(Main_M[[#This Row],[BVPS]]),IF(Main_M[[#This Row],[BVPS]]&lt;&gt;0,Main_M[[#This Row],[Current Price]]/Main_M[[#This Row],[BVPS]],""),"")</f>
        <v>5.2654900488171235</v>
      </c>
      <c r="J81">
        <v>18.34</v>
      </c>
      <c r="K81">
        <v>8.17</v>
      </c>
      <c r="L81">
        <v>1.84</v>
      </c>
      <c r="M81" s="1">
        <f>IF(ISNUMBER(Main_M[[#This Row],[EPS]]),IF(Main_M[[#This Row],[EPS]]&lt;&gt;0,Main_M[[#This Row],[Current Price]]/Main_M[[#This Row],[EPS]],""),"")</f>
        <v>27.766336633663368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0.90779194858024226</v>
      </c>
      <c r="P81" s="1">
        <f>(Main_M[[#This Row],[P/B]]-VLOOKUP(Main_M[[#This Row],[Industry]], Mean_PB_M, 2, FALSE))/(VLOOKUP(Main_M[[#This Row],[Industry]], Mean_PB_M, 3, FALSE))</f>
        <v>2.1395342124592438</v>
      </c>
      <c r="Q81" s="1">
        <f>(Main_M[[#This Row],[ROE]]-VLOOKUP(Main_M[[#This Row],[Industry]], Mean_ROE_M, 2, FALSE))/(VLOOKUP(Main_M[[#This Row],[Industry]], Mean_ROE_M, 3, FALSE))</f>
        <v>0.2743705480530218</v>
      </c>
      <c r="R81" s="1">
        <f>(Main_M[[#This Row],[ROA]]-VLOOKUP(Main_M[[#This Row],[Industry]], Mean_ROA_M, 2, FALSE))/(VLOOKUP(Main_M[[#This Row],[Industry]], Mean_ROA_M, 3, FALSE))</f>
        <v>1.1681106422420129</v>
      </c>
      <c r="S81" s="1">
        <f>(Main_M[[#This Row],[A/E]]-VLOOKUP(Main_M[[#This Row],[Industry]], Mean_AE_M, 2, FALSE))/(VLOOKUP(Main_M[[#This Row],[Industry]], Mean_AE_M, 3, FALSE))</f>
        <v>-0.18697971269373184</v>
      </c>
      <c r="T81" s="1">
        <f>(Main_M[[#This Row],[P/E]]-VLOOKUP(Main_M[[#This Row],[Industry]], Mean_PE_M, 2, FALSE))/(VLOOKUP(Main_M[[#This Row],[Industry]], Mean_PE_M, 3, FALSE))</f>
        <v>0.62370024854893424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s="67" t="s">
        <v>233</v>
      </c>
      <c r="B82" s="67" t="s">
        <v>399</v>
      </c>
      <c r="C82" s="2">
        <v>6410</v>
      </c>
      <c r="D82">
        <f>RTD("tos.rtd", , "LAST", Main_M[[#This Row],[Symbol]])</f>
        <v>15.63</v>
      </c>
      <c r="E82">
        <v>2.2200000000000002</v>
      </c>
      <c r="F82">
        <v>1.99</v>
      </c>
      <c r="G82">
        <v>0.14000000000000001</v>
      </c>
      <c r="H82" s="1">
        <f>IF(ISNUMBER(Main_M[[#This Row],[Free CF]]),IF(Main_M[[#This Row],[Free CF]]&lt;&gt;0,Main_M[[#This Row],[Current Price]]/Main_M[[#This Row],[Free CF]],""),"")</f>
        <v>7.0405405405405403</v>
      </c>
      <c r="I82" s="1">
        <f>IF(ISNUMBER(Main_M[[#This Row],[BVPS]]),IF(Main_M[[#This Row],[BVPS]]&lt;&gt;0,Main_M[[#This Row],[Current Price]]/Main_M[[#This Row],[BVPS]],""),"")</f>
        <v>7.8542713567839204</v>
      </c>
      <c r="J82">
        <v>8.56</v>
      </c>
      <c r="K82">
        <v>-0.92</v>
      </c>
      <c r="L82">
        <v>6.76</v>
      </c>
      <c r="M82" s="1">
        <f>IF(ISNUMBER(Main_M[[#This Row],[EPS]]),IF(Main_M[[#This Row],[EPS]]&lt;&gt;0,Main_M[[#This Row],[Current Price]]/Main_M[[#This Row],[EPS]],""),"")</f>
        <v>111.64285714285714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0.21090797524678309</v>
      </c>
      <c r="P82" s="1">
        <f>(Main_M[[#This Row],[P/B]]-VLOOKUP(Main_M[[#This Row],[Industry]], Mean_PB_M, 2, FALSE))/(VLOOKUP(Main_M[[#This Row],[Industry]], Mean_PB_M, 3, FALSE))</f>
        <v>4.108081299462004</v>
      </c>
      <c r="Q82" s="1">
        <f>(Main_M[[#This Row],[ROE]]-VLOOKUP(Main_M[[#This Row],[Industry]], Mean_ROE_M, 2, FALSE))/(VLOOKUP(Main_M[[#This Row],[Industry]], Mean_ROE_M, 3, FALSE))</f>
        <v>0.16441546036417762</v>
      </c>
      <c r="R82" s="1">
        <f>(Main_M[[#This Row],[ROA]]-VLOOKUP(Main_M[[#This Row],[Industry]], Mean_ROA_M, 2, FALSE))/(VLOOKUP(Main_M[[#This Row],[Industry]], Mean_ROA_M, 3, FALSE))</f>
        <v>-1.5248922623181058</v>
      </c>
      <c r="S82" s="1">
        <f>(Main_M[[#This Row],[A/E]]-VLOOKUP(Main_M[[#This Row],[Industry]], Mean_AE_M, 2, FALSE))/(VLOOKUP(Main_M[[#This Row],[Industry]], Mean_AE_M, 3, FALSE))</f>
        <v>12.078889440015084</v>
      </c>
      <c r="T82" s="1">
        <f>(Main_M[[#This Row],[P/E]]-VLOOKUP(Main_M[[#This Row],[Industry]], Mean_PE_M, 2, FALSE))/(VLOOKUP(Main_M[[#This Row],[Industry]], Mean_PE_M, 3, FALSE))</f>
        <v>5.4926654439538751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3" spans="1:26" x14ac:dyDescent="0.25">
      <c r="A83" s="67" t="s">
        <v>233</v>
      </c>
      <c r="B83" s="67" t="s">
        <v>396</v>
      </c>
      <c r="C83" s="2">
        <v>4059</v>
      </c>
      <c r="D83">
        <f>RTD("tos.rtd", , "LAST", Main_M[[#This Row],[Symbol]])</f>
        <v>24.14</v>
      </c>
      <c r="E83">
        <v>0.76</v>
      </c>
      <c r="F83">
        <v>17.059999999999999</v>
      </c>
      <c r="G83">
        <v>0.71</v>
      </c>
      <c r="H83" s="1">
        <f>IF(ISNUMBER(Main_M[[#This Row],[Free CF]]),IF(Main_M[[#This Row],[Free CF]]&lt;&gt;0,Main_M[[#This Row],[Current Price]]/Main_M[[#This Row],[Free CF]],""),"")</f>
        <v>31.763157894736842</v>
      </c>
      <c r="I83" s="1">
        <f>IF(ISNUMBER(Main_M[[#This Row],[BVPS]]),IF(Main_M[[#This Row],[BVPS]]&lt;&gt;0,Main_M[[#This Row],[Current Price]]/Main_M[[#This Row],[BVPS]],""),"")</f>
        <v>1.415005861664713</v>
      </c>
      <c r="J83">
        <v>4.2</v>
      </c>
      <c r="K83">
        <v>2.36</v>
      </c>
      <c r="L83">
        <v>1.67</v>
      </c>
      <c r="M83" s="1">
        <f>IF(ISNUMBER(Main_M[[#This Row],[EPS]]),IF(Main_M[[#This Row],[EPS]]&lt;&gt;0,Main_M[[#This Row],[Current Price]]/Main_M[[#This Row],[EPS]],""),"")</f>
        <v>34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1.3536906493667296</v>
      </c>
      <c r="P83" s="1">
        <f>(Main_M[[#This Row],[P/B]]-VLOOKUP(Main_M[[#This Row],[Industry]], Mean_PB_M, 2, FALSE))/(VLOOKUP(Main_M[[#This Row],[Industry]], Mean_PB_M, 3, FALSE))</f>
        <v>-0.78843015704642683</v>
      </c>
      <c r="Q83" s="1">
        <f>(Main_M[[#This Row],[ROE]]-VLOOKUP(Main_M[[#This Row],[Industry]], Mean_ROE_M, 2, FALSE))/(VLOOKUP(Main_M[[#This Row],[Industry]], Mean_ROE_M, 3, FALSE))</f>
        <v>0.11539662781577675</v>
      </c>
      <c r="R83" s="1">
        <f>(Main_M[[#This Row],[ROA]]-VLOOKUP(Main_M[[#This Row],[Industry]], Mean_ROA_M, 2, FALSE))/(VLOOKUP(Main_M[[#This Row],[Industry]], Mean_ROA_M, 3, FALSE))</f>
        <v>-0.55315964109069227</v>
      </c>
      <c r="S83" s="1">
        <f>(Main_M[[#This Row],[A/E]]-VLOOKUP(Main_M[[#This Row],[Industry]], Mean_AE_M, 2, FALSE))/(VLOOKUP(Main_M[[#This Row],[Industry]], Mean_AE_M, 3, FALSE))</f>
        <v>-0.61080039479952464</v>
      </c>
      <c r="T83" s="1">
        <f>(Main_M[[#This Row],[P/E]]-VLOOKUP(Main_M[[#This Row],[Industry]], Mean_PE_M, 2, FALSE))/(VLOOKUP(Main_M[[#This Row],[Industry]], Mean_PE_M, 3, FALSE))</f>
        <v>0.98555944092252601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s="67" t="s">
        <v>233</v>
      </c>
      <c r="B84" s="67" t="s">
        <v>392</v>
      </c>
      <c r="C84" s="2">
        <v>7182</v>
      </c>
      <c r="D84">
        <f>RTD("tos.rtd", , "LAST", Main_M[[#This Row],[Symbol]])</f>
        <v>44.36</v>
      </c>
      <c r="E84">
        <v>0.68</v>
      </c>
      <c r="F84">
        <v>43.91</v>
      </c>
      <c r="G84">
        <v>0.93</v>
      </c>
      <c r="H84" s="1">
        <f>IF(ISNUMBER(Main_M[[#This Row],[Free CF]]),IF(Main_M[[#This Row],[Free CF]]&lt;&gt;0,Main_M[[#This Row],[Current Price]]/Main_M[[#This Row],[Free CF]],""),"")</f>
        <v>65.235294117647058</v>
      </c>
      <c r="I84" s="1">
        <f>IF(ISNUMBER(Main_M[[#This Row],[BVPS]]),IF(Main_M[[#This Row],[BVPS]]&lt;&gt;0,Main_M[[#This Row],[Current Price]]/Main_M[[#This Row],[BVPS]],""),"")</f>
        <v>1.0102482350261901</v>
      </c>
      <c r="J84">
        <v>2.1</v>
      </c>
      <c r="K84">
        <v>1.28</v>
      </c>
      <c r="L84">
        <v>1.77</v>
      </c>
      <c r="M84" s="1">
        <f>IF(ISNUMBER(Main_M[[#This Row],[EPS]]),IF(Main_M[[#This Row],[EPS]]&lt;&gt;0,Main_M[[#This Row],[Current Price]]/Main_M[[#This Row],[EPS]],""),"")</f>
        <v>47.698924731182792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2.9009126442430868</v>
      </c>
      <c r="P84" s="1">
        <f>(Main_M[[#This Row],[P/B]]-VLOOKUP(Main_M[[#This Row],[Industry]], Mean_PB_M, 2, FALSE))/(VLOOKUP(Main_M[[#This Row],[Industry]], Mean_PB_M, 3, FALSE))</f>
        <v>-1.0962137633361375</v>
      </c>
      <c r="Q84" s="1">
        <f>(Main_M[[#This Row],[ROE]]-VLOOKUP(Main_M[[#This Row],[Industry]], Mean_ROE_M, 2, FALSE))/(VLOOKUP(Main_M[[#This Row],[Industry]], Mean_ROE_M, 3, FALSE))</f>
        <v>9.1786639661730438E-2</v>
      </c>
      <c r="R84" s="1">
        <f>(Main_M[[#This Row],[ROA]]-VLOOKUP(Main_M[[#This Row],[Industry]], Mean_ROA_M, 2, FALSE))/(VLOOKUP(Main_M[[#This Row],[Industry]], Mean_ROA_M, 3, FALSE))</f>
        <v>-0.87312038222654786</v>
      </c>
      <c r="S84" s="1">
        <f>(Main_M[[#This Row],[A/E]]-VLOOKUP(Main_M[[#This Row],[Industry]], Mean_AE_M, 2, FALSE))/(VLOOKUP(Main_M[[#This Row],[Industry]], Mean_AE_M, 3, FALSE))</f>
        <v>-0.36149411120788183</v>
      </c>
      <c r="T84" s="1">
        <f>(Main_M[[#This Row],[P/E]]-VLOOKUP(Main_M[[#This Row],[Industry]], Mean_PE_M, 2, FALSE))/(VLOOKUP(Main_M[[#This Row],[Industry]], Mean_PE_M, 3, FALSE))</f>
        <v>1.7807711083317626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s="67" t="s">
        <v>233</v>
      </c>
      <c r="B85" s="67" t="s">
        <v>395</v>
      </c>
      <c r="C85" s="2">
        <v>2546</v>
      </c>
      <c r="D85">
        <f>RTD("tos.rtd", , "LAST", Main_M[[#This Row],[Symbol]])</f>
        <v>16.21</v>
      </c>
      <c r="E85">
        <v>-0.48</v>
      </c>
      <c r="F85">
        <v>9.68</v>
      </c>
      <c r="G85">
        <v>-2.09</v>
      </c>
      <c r="H85" s="1">
        <f>IF(ISNUMBER(Main_M[[#This Row],[Free CF]]),IF(Main_M[[#This Row],[Free CF]]&lt;&gt;0,Main_M[[#This Row],[Current Price]]/Main_M[[#This Row],[Free CF]],""),"")</f>
        <v>-33.770833333333336</v>
      </c>
      <c r="I85" s="1">
        <f>IF(ISNUMBER(Main_M[[#This Row],[BVPS]]),IF(Main_M[[#This Row],[BVPS]]&lt;&gt;0,Main_M[[#This Row],[Current Price]]/Main_M[[#This Row],[BVPS]],""),"")</f>
        <v>1.6745867768595042</v>
      </c>
      <c r="J85">
        <v>-28.22</v>
      </c>
      <c r="K85">
        <v>0.49</v>
      </c>
      <c r="L85">
        <v>2.08</v>
      </c>
      <c r="M85" s="1">
        <f>IF(ISNUMBER(Main_M[[#This Row],[EPS]]),IF(Main_M[[#This Row],[EPS]]&lt;&gt;0,Main_M[[#This Row],[Current Price]]/Main_M[[#This Row],[EPS]],""),"")</f>
        <v>-7.7559808612440202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-1.6755642498381673</v>
      </c>
      <c r="P85" s="1">
        <f>(Main_M[[#This Row],[P/B]]-VLOOKUP(Main_M[[#This Row],[Industry]], Mean_PB_M, 2, FALSE))/(VLOOKUP(Main_M[[#This Row],[Industry]], Mean_PB_M, 3, FALSE))</f>
        <v>-0.5910410408334591</v>
      </c>
      <c r="Q85" s="1">
        <f>(Main_M[[#This Row],[ROE]]-VLOOKUP(Main_M[[#This Row],[Industry]], Mean_ROE_M, 2, FALSE))/(VLOOKUP(Main_M[[#This Row],[Industry]], Mean_ROE_M, 3, FALSE))</f>
        <v>-0.24909661787669035</v>
      </c>
      <c r="R85" s="1">
        <f>(Main_M[[#This Row],[ROA]]-VLOOKUP(Main_M[[#This Row],[Industry]], Mean_ROA_M, 2, FALSE))/(VLOOKUP(Main_M[[#This Row],[Industry]], Mean_ROA_M, 3, FALSE))</f>
        <v>-1.1071657391685163</v>
      </c>
      <c r="S85" s="1">
        <f>(Main_M[[#This Row],[A/E]]-VLOOKUP(Main_M[[#This Row],[Industry]], Mean_AE_M, 2, FALSE))/(VLOOKUP(Main_M[[#This Row],[Industry]], Mean_AE_M, 3, FALSE))</f>
        <v>0.41135536792621036</v>
      </c>
      <c r="T85" s="1">
        <f>(Main_M[[#This Row],[P/E]]-VLOOKUP(Main_M[[#This Row],[Industry]], Mean_PE_M, 2, FALSE))/(VLOOKUP(Main_M[[#This Row],[Industry]], Mean_PE_M, 3, FALSE))</f>
        <v>-1.4383419832085236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s="67" t="s">
        <v>233</v>
      </c>
      <c r="B86" s="67" t="s">
        <v>539</v>
      </c>
      <c r="C86" s="2">
        <v>2026</v>
      </c>
      <c r="D86">
        <f>RTD("tos.rtd", , "LAST", Main_M[[#This Row],[Symbol]])</f>
        <v>6.31</v>
      </c>
      <c r="E86">
        <v>-2.89</v>
      </c>
      <c r="F86">
        <v>-0.85</v>
      </c>
      <c r="G86">
        <v>-10.18</v>
      </c>
      <c r="H86" s="1">
        <f>IF(ISNUMBER(Main_M[[#This Row],[Free CF]]),IF(Main_M[[#This Row],[Free CF]]&lt;&gt;0,Main_M[[#This Row],[Current Price]]/Main_M[[#This Row],[Free CF]],""),"")</f>
        <v>-2.1833910034602075</v>
      </c>
      <c r="I86" s="1">
        <f>IF(ISNUMBER(Main_M[[#This Row],[BVPS]]),IF(Main_M[[#This Row],[BVPS]]&lt;&gt;0,Main_M[[#This Row],[Current Price]]/Main_M[[#This Row],[BVPS]],""),"")</f>
        <v>-7.4235294117647053</v>
      </c>
      <c r="J86">
        <v>-244.63</v>
      </c>
      <c r="K86">
        <v>-2.5499999999999998</v>
      </c>
      <c r="L86">
        <v>-84.15</v>
      </c>
      <c r="M86" s="1">
        <f>IF(ISNUMBER(Main_M[[#This Row],[EPS]]),IF(Main_M[[#This Row],[EPS]]&lt;&gt;0,Main_M[[#This Row],[Current Price]]/Main_M[[#This Row],[EPS]],""),"")</f>
        <v>-0.6198428290766208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-0.21546068162859139</v>
      </c>
      <c r="P86" s="1">
        <f>(Main_M[[#This Row],[P/B]]-VLOOKUP(Main_M[[#This Row],[Industry]], Mean_PB_M, 2, FALSE))/(VLOOKUP(Main_M[[#This Row],[Industry]], Mean_PB_M, 3, FALSE))</f>
        <v>-7.5093813676937575</v>
      </c>
      <c r="Q86" s="1">
        <f>(Main_M[[#This Row],[ROE]]-VLOOKUP(Main_M[[#This Row],[Industry]], Mean_ROE_M, 2, FALSE))/(VLOOKUP(Main_M[[#This Row],[Industry]], Mean_ROE_M, 3, FALSE))</f>
        <v>-2.6821621114086707</v>
      </c>
      <c r="R86" s="1">
        <f>(Main_M[[#This Row],[ROA]]-VLOOKUP(Main_M[[#This Row],[Industry]], Mean_ROA_M, 2, FALSE))/(VLOOKUP(Main_M[[#This Row],[Industry]], Mean_ROA_M, 3, FALSE))</f>
        <v>-2.0077959734768509</v>
      </c>
      <c r="S86" s="1">
        <f>(Main_M[[#This Row],[A/E]]-VLOOKUP(Main_M[[#This Row],[Industry]], Mean_AE_M, 2, FALSE))/(VLOOKUP(Main_M[[#This Row],[Industry]], Mean_AE_M, 3, FALSE))</f>
        <v>-214.56545297314725</v>
      </c>
      <c r="T86" s="1">
        <f>(Main_M[[#This Row],[P/E]]-VLOOKUP(Main_M[[#This Row],[Industry]], Mean_PE_M, 2, FALSE))/(VLOOKUP(Main_M[[#This Row],[Industry]], Mean_PE_M, 3, FALSE))</f>
        <v>-1.0240948554390772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s="67" t="s">
        <v>233</v>
      </c>
      <c r="B87" s="67" t="s">
        <v>241</v>
      </c>
      <c r="C87" s="2">
        <v>7042</v>
      </c>
      <c r="D87">
        <f>RTD("tos.rtd", , "LAST", Main_M[[#This Row],[Symbol]])</f>
        <v>256.5</v>
      </c>
      <c r="E87">
        <v>-7.6</v>
      </c>
      <c r="F87">
        <v>88.87</v>
      </c>
      <c r="G87">
        <v>11.99</v>
      </c>
      <c r="H87" s="1">
        <f>IF(ISNUMBER(Main_M[[#This Row],[Free CF]]),IF(Main_M[[#This Row],[Free CF]]&lt;&gt;0,Main_M[[#This Row],[Current Price]]/Main_M[[#This Row],[Free CF]],""),"")</f>
        <v>-33.75</v>
      </c>
      <c r="I87" s="1">
        <f>IF(ISNUMBER(Main_M[[#This Row],[BVPS]]),IF(Main_M[[#This Row],[BVPS]]&lt;&gt;0,Main_M[[#This Row],[Current Price]]/Main_M[[#This Row],[BVPS]],""),"")</f>
        <v>2.8862383256441992</v>
      </c>
      <c r="J87">
        <v>14.63</v>
      </c>
      <c r="K87">
        <v>8.9499999999999993</v>
      </c>
      <c r="L87">
        <v>1.43</v>
      </c>
      <c r="M87" s="1">
        <f>IF(ISNUMBER(Main_M[[#This Row],[EPS]]),IF(Main_M[[#This Row],[EPS]]&lt;&gt;0,Main_M[[#This Row],[Current Price]]/Main_M[[#This Row],[EPS]],""),"")</f>
        <v>21.392827356130109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-1.6746012461223225</v>
      </c>
      <c r="P87" s="1">
        <f>(Main_M[[#This Row],[P/B]]-VLOOKUP(Main_M[[#This Row],[Industry]], Mean_PB_M, 2, FALSE))/(VLOOKUP(Main_M[[#This Row],[Industry]], Mean_PB_M, 3, FALSE))</f>
        <v>0.33031647958830296</v>
      </c>
      <c r="Q87" s="1">
        <f>(Main_M[[#This Row],[ROE]]-VLOOKUP(Main_M[[#This Row],[Industry]], Mean_ROE_M, 2, FALSE))/(VLOOKUP(Main_M[[#This Row],[Industry]], Mean_ROE_M, 3, FALSE))</f>
        <v>0.23265956898087337</v>
      </c>
      <c r="R87" s="1">
        <f>(Main_M[[#This Row],[ROA]]-VLOOKUP(Main_M[[#This Row],[Industry]], Mean_ROA_M, 2, FALSE))/(VLOOKUP(Main_M[[#This Row],[Industry]], Mean_ROA_M, 3, FALSE))</f>
        <v>1.3991933997290198</v>
      </c>
      <c r="S87" s="1">
        <f>(Main_M[[#This Row],[A/E]]-VLOOKUP(Main_M[[#This Row],[Industry]], Mean_AE_M, 2, FALSE))/(VLOOKUP(Main_M[[#This Row],[Industry]], Mean_AE_M, 3, FALSE))</f>
        <v>-1.209135475419467</v>
      </c>
      <c r="T87" s="1">
        <f>(Main_M[[#This Row],[P/E]]-VLOOKUP(Main_M[[#This Row],[Industry]], Mean_PE_M, 2, FALSE))/(VLOOKUP(Main_M[[#This Row],[Industry]], Mean_PE_M, 3, FALSE))</f>
        <v>0.25372311243849621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s="67" t="s">
        <v>153</v>
      </c>
      <c r="B88" s="67" t="s">
        <v>443</v>
      </c>
      <c r="C88" s="2">
        <v>2236</v>
      </c>
      <c r="D88">
        <f>RTD("tos.rtd", , "LAST", Main_M[[#This Row],[Symbol]])</f>
        <v>24.91</v>
      </c>
      <c r="E88">
        <v>6.34</v>
      </c>
      <c r="F88">
        <v>10.15</v>
      </c>
      <c r="G88">
        <v>-0.11</v>
      </c>
      <c r="H88" s="1">
        <f>IF(ISNUMBER(Main_M[[#This Row],[Free CF]]),IF(Main_M[[#This Row],[Free CF]]&lt;&gt;0,Main_M[[#This Row],[Current Price]]/Main_M[[#This Row],[Free CF]],""),"")</f>
        <v>3.9290220820189274</v>
      </c>
      <c r="I88" s="1">
        <f>IF(ISNUMBER(Main_M[[#This Row],[BVPS]]),IF(Main_M[[#This Row],[BVPS]]&lt;&gt;0,Main_M[[#This Row],[Current Price]]/Main_M[[#This Row],[BVPS]],""),"")</f>
        <v>2.4541871921182263</v>
      </c>
      <c r="J88">
        <v>5.7</v>
      </c>
      <c r="K88">
        <v>3.72</v>
      </c>
      <c r="L88">
        <v>35.159999999999997</v>
      </c>
      <c r="M88" s="1">
        <f>IF(ISNUMBER(Main_M[[#This Row],[EPS]]),IF(Main_M[[#This Row],[EPS]]&lt;&gt;0,Main_M[[#This Row],[Current Price]]/Main_M[[#This Row],[EPS]],""),"")</f>
        <v>-226.45454545454547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0.40979670591013018</v>
      </c>
      <c r="P88" s="1">
        <f>(Main_M[[#This Row],[P/B]]-VLOOKUP(Main_M[[#This Row],[Industry]], Mean_PB_M, 2, FALSE))/(VLOOKUP(Main_M[[#This Row],[Industry]], Mean_PB_M, 3, FALSE))</f>
        <v>0.73435321308040713</v>
      </c>
      <c r="Q88" s="1">
        <f>(Main_M[[#This Row],[ROE]]-VLOOKUP(Main_M[[#This Row],[Industry]], Mean_ROE_M, 2, FALSE))/(VLOOKUP(Main_M[[#This Row],[Industry]], Mean_ROE_M, 3, FALSE))</f>
        <v>1.2220880529524083</v>
      </c>
      <c r="R88" s="1">
        <f>(Main_M[[#This Row],[ROA]]-VLOOKUP(Main_M[[#This Row],[Industry]], Mean_ROA_M, 2, FALSE))/(VLOOKUP(Main_M[[#This Row],[Industry]], Mean_ROA_M, 3, FALSE))</f>
        <v>1.2156667608859026</v>
      </c>
      <c r="S88" s="1">
        <f>(Main_M[[#This Row],[A/E]]-VLOOKUP(Main_M[[#This Row],[Industry]], Mean_AE_M, 2, FALSE))/(VLOOKUP(Main_M[[#This Row],[Industry]], Mean_AE_M, 3, FALSE))</f>
        <v>0.81872975226303502</v>
      </c>
      <c r="T88" s="1">
        <f>(Main_M[[#This Row],[P/E]]-VLOOKUP(Main_M[[#This Row],[Industry]], Mean_PE_M, 2, FALSE))/(VLOOKUP(Main_M[[#This Row],[Industry]], Mean_PE_M, 3, FALSE))</f>
        <v>-1.4141497750084833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s="67" t="s">
        <v>153</v>
      </c>
      <c r="B89" s="67" t="s">
        <v>299</v>
      </c>
      <c r="C89" s="2">
        <v>4533</v>
      </c>
      <c r="D89">
        <f>RTD("tos.rtd", , "LAST", Main_M[[#This Row],[Symbol]])</f>
        <v>8.39</v>
      </c>
      <c r="E89">
        <v>1.23</v>
      </c>
      <c r="F89">
        <v>4.9000000000000004</v>
      </c>
      <c r="G89">
        <v>-1.66</v>
      </c>
      <c r="H89" s="1">
        <f>IF(ISNUMBER(Main_M[[#This Row],[Free CF]]),IF(Main_M[[#This Row],[Free CF]]&lt;&gt;0,Main_M[[#This Row],[Current Price]]/Main_M[[#This Row],[Free CF]],""),"")</f>
        <v>6.821138211382114</v>
      </c>
      <c r="I89" s="1">
        <f>IF(ISNUMBER(Main_M[[#This Row],[BVPS]]),IF(Main_M[[#This Row],[BVPS]]&lt;&gt;0,Main_M[[#This Row],[Current Price]]/Main_M[[#This Row],[BVPS]],""),"")</f>
        <v>1.7122448979591838</v>
      </c>
      <c r="J89">
        <v>-23.4</v>
      </c>
      <c r="K89">
        <v>-2.19</v>
      </c>
      <c r="L89">
        <v>6.04</v>
      </c>
      <c r="M89" s="1">
        <f>IF(ISNUMBER(Main_M[[#This Row],[EPS]]),IF(Main_M[[#This Row],[EPS]]&lt;&gt;0,Main_M[[#This Row],[Current Price]]/Main_M[[#This Row],[EPS]],""),"")</f>
        <v>-5.0542168674698802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0.96730043345827388</v>
      </c>
      <c r="P89" s="1">
        <f>(Main_M[[#This Row],[P/B]]-VLOOKUP(Main_M[[#This Row],[Industry]], Mean_PB_M, 2, FALSE))/(VLOOKUP(Main_M[[#This Row],[Industry]], Mean_PB_M, 3, FALSE))</f>
        <v>0.67950578025574393</v>
      </c>
      <c r="Q89" s="1">
        <f>(Main_M[[#This Row],[ROE]]-VLOOKUP(Main_M[[#This Row],[Industry]], Mean_ROE_M, 2, FALSE))/(VLOOKUP(Main_M[[#This Row],[Industry]], Mean_ROE_M, 3, FALSE))</f>
        <v>5.2964582586898104E-3</v>
      </c>
      <c r="R89" s="1">
        <f>(Main_M[[#This Row],[ROA]]-VLOOKUP(Main_M[[#This Row],[Industry]], Mean_ROA_M, 2, FALSE))/(VLOOKUP(Main_M[[#This Row],[Industry]], Mean_ROA_M, 3, FALSE))</f>
        <v>-1.2336254743989896</v>
      </c>
      <c r="S89" s="1">
        <f>(Main_M[[#This Row],[A/E]]-VLOOKUP(Main_M[[#This Row],[Industry]], Mean_AE_M, 2, FALSE))/(VLOOKUP(Main_M[[#This Row],[Industry]], Mean_AE_M, 3, FALSE))</f>
        <v>0.58926478223512768</v>
      </c>
      <c r="T89" s="1">
        <f>(Main_M[[#This Row],[P/E]]-VLOOKUP(Main_M[[#This Row],[Industry]], Mean_PE_M, 2, FALSE))/(VLOOKUP(Main_M[[#This Row],[Industry]], Mean_PE_M, 3, FALSE))</f>
        <v>0.69544258839391782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s="67" t="s">
        <v>153</v>
      </c>
      <c r="B90" s="67" t="s">
        <v>444</v>
      </c>
      <c r="C90" s="2">
        <v>2045</v>
      </c>
      <c r="D90">
        <f>RTD("tos.rtd", , "LAST", Main_M[[#This Row],[Symbol]])</f>
        <v>29</v>
      </c>
      <c r="E90">
        <v>-5.43</v>
      </c>
      <c r="F90">
        <v>-1.0900000000000001</v>
      </c>
      <c r="G90">
        <v>-11.1</v>
      </c>
      <c r="H90" s="1">
        <f>IF(ISNUMBER(Main_M[[#This Row],[Free CF]]),IF(Main_M[[#This Row],[Free CF]]&lt;&gt;0,Main_M[[#This Row],[Current Price]]/Main_M[[#This Row],[Free CF]],""),"")</f>
        <v>-5.3406998158379375</v>
      </c>
      <c r="I90" s="1">
        <f>IF(ISNUMBER(Main_M[[#This Row],[BVPS]]),IF(Main_M[[#This Row],[BVPS]]&lt;&gt;0,Main_M[[#This Row],[Current Price]]/Main_M[[#This Row],[BVPS]],""),"")</f>
        <v>-26.605504587155963</v>
      </c>
      <c r="J90">
        <v>-52.88</v>
      </c>
      <c r="K90">
        <v>0.83</v>
      </c>
      <c r="L90">
        <v>-247.42</v>
      </c>
      <c r="M90" s="1">
        <f>IF(ISNUMBER(Main_M[[#This Row],[EPS]]),IF(Main_M[[#This Row],[EPS]]&lt;&gt;0,Main_M[[#This Row],[Current Price]]/Main_M[[#This Row],[EPS]],""),"")</f>
        <v>-2.6126126126126126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-1.3770971393684042</v>
      </c>
      <c r="P90" s="1">
        <f>(Main_M[[#This Row],[P/B]]-VLOOKUP(Main_M[[#This Row],[Industry]], Mean_PB_M, 2, FALSE))/(VLOOKUP(Main_M[[#This Row],[Industry]], Mean_PB_M, 3, FALSE))</f>
        <v>-1.4138589933361514</v>
      </c>
      <c r="Q90" s="1">
        <f>(Main_M[[#This Row],[ROE]]-VLOOKUP(Main_M[[#This Row],[Industry]], Mean_ROE_M, 2, FALSE))/(VLOOKUP(Main_M[[#This Row],[Industry]], Mean_ROE_M, 3, FALSE))</f>
        <v>-1.2273845112110979</v>
      </c>
      <c r="R90" s="1">
        <f>(Main_M[[#This Row],[ROA]]-VLOOKUP(Main_M[[#This Row],[Industry]], Mean_ROA_M, 2, FALSE))/(VLOOKUP(Main_M[[#This Row],[Industry]], Mean_ROA_M, 3, FALSE))</f>
        <v>1.795871351308715E-2</v>
      </c>
      <c r="S90" s="1">
        <f>(Main_M[[#This Row],[A/E]]-VLOOKUP(Main_M[[#This Row],[Industry]], Mean_AE_M, 2, FALSE))/(VLOOKUP(Main_M[[#This Row],[Industry]], Mean_AE_M, 3, FALSE))</f>
        <v>-1.4079945344981628</v>
      </c>
      <c r="T90" s="1">
        <f>(Main_M[[#This Row],[P/E]]-VLOOKUP(Main_M[[#This Row],[Industry]], Mean_PE_M, 2, FALSE))/(VLOOKUP(Main_M[[#This Row],[Industry]], Mean_PE_M, 3, FALSE))</f>
        <v>0.71870718661456556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s="67" t="s">
        <v>156</v>
      </c>
      <c r="B91" s="67" t="s">
        <v>307</v>
      </c>
      <c r="C91" s="2">
        <v>2394</v>
      </c>
      <c r="D91">
        <f>RTD("tos.rtd", , "LAST", Main_M[[#This Row],[Symbol]])</f>
        <v>209.28</v>
      </c>
      <c r="E91">
        <v>16.55</v>
      </c>
      <c r="F91">
        <v>88.35</v>
      </c>
      <c r="G91">
        <v>9.6</v>
      </c>
      <c r="H91" s="1">
        <f>IF(ISNUMBER(Main_M[[#This Row],[Free CF]]),IF(Main_M[[#This Row],[Free CF]]&lt;&gt;0,Main_M[[#This Row],[Current Price]]/Main_M[[#This Row],[Free CF]],""),"")</f>
        <v>12.645317220543806</v>
      </c>
      <c r="I91" s="1">
        <f>IF(ISNUMBER(Main_M[[#This Row],[BVPS]]),IF(Main_M[[#This Row],[BVPS]]&lt;&gt;0,Main_M[[#This Row],[Current Price]]/Main_M[[#This Row],[BVPS]],""),"")</f>
        <v>2.3687606112054329</v>
      </c>
      <c r="J91">
        <v>11.48</v>
      </c>
      <c r="K91">
        <v>6.71</v>
      </c>
      <c r="L91">
        <v>1.42</v>
      </c>
      <c r="M91" s="1">
        <f>IF(ISNUMBER(Main_M[[#This Row],[EPS]]),IF(Main_M[[#This Row],[EPS]]&lt;&gt;0,Main_M[[#This Row],[Current Price]]/Main_M[[#This Row],[EPS]],""),"")</f>
        <v>21.8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1" s="1">
        <f>(Main_M[[#This Row],[P/FCF]]-VLOOKUP(Main_M[[#This Row],[Industry]], Mean_PFCF_M, 2, FALSE))/(VLOOKUP(Main_M[[#This Row],[Industry]], Mean_PFCF_M, 3, FALSE))</f>
        <v>-1.0682546572451204</v>
      </c>
      <c r="P91" s="1">
        <f>(Main_M[[#This Row],[P/B]]-VLOOKUP(Main_M[[#This Row],[Industry]], Mean_PB_M, 2, FALSE))/(VLOOKUP(Main_M[[#This Row],[Industry]], Mean_PB_M, 3, FALSE))</f>
        <v>-0.56184501374661444</v>
      </c>
      <c r="Q91" s="1">
        <f>(Main_M[[#This Row],[ROE]]-VLOOKUP(Main_M[[#This Row],[Industry]], Mean_ROE_M, 2, FALSE))/(VLOOKUP(Main_M[[#This Row],[Industry]], Mean_ROE_M, 3, FALSE))</f>
        <v>-0.28006969436763479</v>
      </c>
      <c r="R91" s="1">
        <f>(Main_M[[#This Row],[ROA]]-VLOOKUP(Main_M[[#This Row],[Industry]], Mean_ROA_M, 2, FALSE))/(VLOOKUP(Main_M[[#This Row],[Industry]], Mean_ROA_M, 3, FALSE))</f>
        <v>-7.0325064461877806E-2</v>
      </c>
      <c r="S91" s="1">
        <f>(Main_M[[#This Row],[A/E]]-VLOOKUP(Main_M[[#This Row],[Industry]], Mean_AE_M, 2, FALSE))/(VLOOKUP(Main_M[[#This Row],[Industry]], Mean_AE_M, 3, FALSE))</f>
        <v>-1.1236412152601085</v>
      </c>
      <c r="T91" s="1">
        <f>(Main_M[[#This Row],[P/E]]-VLOOKUP(Main_M[[#This Row],[Industry]], Mean_PE_M, 2, FALSE))/(VLOOKUP(Main_M[[#This Row],[Industry]], Mean_PE_M, 3, FALSE))</f>
        <v>-0.1419999094294867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s="67" t="s">
        <v>156</v>
      </c>
      <c r="B92" s="67" t="s">
        <v>321</v>
      </c>
      <c r="C92" s="2">
        <v>3697</v>
      </c>
      <c r="D92">
        <f>RTD("tos.rtd", , "LAST", Main_M[[#This Row],[Symbol]])</f>
        <v>333.06</v>
      </c>
      <c r="E92">
        <v>11.64</v>
      </c>
      <c r="F92">
        <v>74.39</v>
      </c>
      <c r="G92">
        <v>9.42</v>
      </c>
      <c r="H92" s="1">
        <f>IF(ISNUMBER(Main_M[[#This Row],[Free CF]]),IF(Main_M[[#This Row],[Free CF]]&lt;&gt;0,Main_M[[#This Row],[Current Price]]/Main_M[[#This Row],[Free CF]],""),"")</f>
        <v>28.61340206185567</v>
      </c>
      <c r="I92" s="1">
        <f>IF(ISNUMBER(Main_M[[#This Row],[BVPS]]),IF(Main_M[[#This Row],[BVPS]]&lt;&gt;0,Main_M[[#This Row],[Current Price]]/Main_M[[#This Row],[BVPS]],""),"")</f>
        <v>4.4772146793923913</v>
      </c>
      <c r="J92">
        <v>13.32</v>
      </c>
      <c r="K92">
        <v>7.71</v>
      </c>
      <c r="L92">
        <v>1.64</v>
      </c>
      <c r="M92" s="1">
        <f>IF(ISNUMBER(Main_M[[#This Row],[EPS]]),IF(Main_M[[#This Row],[EPS]]&lt;&gt;0,Main_M[[#This Row],[Current Price]]/Main_M[[#This Row],[EPS]],""),"")</f>
        <v>35.35668789808917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0.67784478277116522</v>
      </c>
      <c r="P92" s="1">
        <f>(Main_M[[#This Row],[P/B]]-VLOOKUP(Main_M[[#This Row],[Industry]], Mean_PB_M, 2, FALSE))/(VLOOKUP(Main_M[[#This Row],[Industry]], Mean_PB_M, 3, FALSE))</f>
        <v>0.83697194551509868</v>
      </c>
      <c r="Q92" s="1">
        <f>(Main_M[[#This Row],[ROE]]-VLOOKUP(Main_M[[#This Row],[Industry]], Mean_ROE_M, 2, FALSE))/(VLOOKUP(Main_M[[#This Row],[Industry]], Mean_ROE_M, 3, FALSE))</f>
        <v>-0.17152875969110701</v>
      </c>
      <c r="R92" s="1">
        <f>(Main_M[[#This Row],[ROA]]-VLOOKUP(Main_M[[#This Row],[Industry]], Mean_ROA_M, 2, FALSE))/(VLOOKUP(Main_M[[#This Row],[Industry]], Mean_ROA_M, 3, FALSE))</f>
        <v>0.2448572972720264</v>
      </c>
      <c r="S92" s="1">
        <f>(Main_M[[#This Row],[A/E]]-VLOOKUP(Main_M[[#This Row],[Industry]], Mean_AE_M, 2, FALSE))/(VLOOKUP(Main_M[[#This Row],[Industry]], Mean_AE_M, 3, FALSE))</f>
        <v>-0.73506810891958074</v>
      </c>
      <c r="T92" s="1">
        <f>(Main_M[[#This Row],[P/E]]-VLOOKUP(Main_M[[#This Row],[Industry]], Mean_PE_M, 2, FALSE))/(VLOOKUP(Main_M[[#This Row],[Industry]], Mean_PE_M, 3, FALSE))</f>
        <v>1.1177142527440669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s="67" t="s">
        <v>156</v>
      </c>
      <c r="B93" s="67" t="s">
        <v>323</v>
      </c>
      <c r="C93" s="2">
        <v>7815</v>
      </c>
      <c r="D93">
        <f>RTD("tos.rtd", , "LAST", Main_M[[#This Row],[Symbol]])</f>
        <v>149.97</v>
      </c>
      <c r="E93">
        <v>11.48</v>
      </c>
      <c r="F93">
        <v>69.569999999999993</v>
      </c>
      <c r="G93">
        <v>8</v>
      </c>
      <c r="H93" s="1">
        <f>IF(ISNUMBER(Main_M[[#This Row],[Free CF]]),IF(Main_M[[#This Row],[Free CF]]&lt;&gt;0,Main_M[[#This Row],[Current Price]]/Main_M[[#This Row],[Free CF]],""),"")</f>
        <v>13.063588850174215</v>
      </c>
      <c r="I93" s="1">
        <f>IF(ISNUMBER(Main_M[[#This Row],[BVPS]]),IF(Main_M[[#This Row],[BVPS]]&lt;&gt;0,Main_M[[#This Row],[Current Price]]/Main_M[[#This Row],[BVPS]],""),"")</f>
        <v>2.1556705476498492</v>
      </c>
      <c r="J93">
        <v>12.33</v>
      </c>
      <c r="K93">
        <v>6.28</v>
      </c>
      <c r="L93">
        <v>1.98</v>
      </c>
      <c r="M93" s="1">
        <f>IF(ISNUMBER(Main_M[[#This Row],[EPS]]),IF(Main_M[[#This Row],[EPS]]&lt;&gt;0,Main_M[[#This Row],[Current Price]]/Main_M[[#This Row],[EPS]],""),"")</f>
        <v>18.74625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3" s="1">
        <f>(Main_M[[#This Row],[P/FCF]]-VLOOKUP(Main_M[[#This Row],[Industry]], Mean_PFCF_M, 2, FALSE))/(VLOOKUP(Main_M[[#This Row],[Industry]], Mean_PFCF_M, 3, FALSE))</f>
        <v>-1.0225169331830057</v>
      </c>
      <c r="P93" s="1">
        <f>(Main_M[[#This Row],[P/B]]-VLOOKUP(Main_M[[#This Row],[Industry]], Mean_PB_M, 2, FALSE))/(VLOOKUP(Main_M[[#This Row],[Industry]], Mean_PB_M, 3, FALSE))</f>
        <v>-0.70321588790941669</v>
      </c>
      <c r="Q93" s="1">
        <f>(Main_M[[#This Row],[ROE]]-VLOOKUP(Main_M[[#This Row],[Industry]], Mean_ROE_M, 2, FALSE))/(VLOOKUP(Main_M[[#This Row],[Industry]], Mean_ROE_M, 3, FALSE))</f>
        <v>-0.22992850171815188</v>
      </c>
      <c r="R93" s="1">
        <f>(Main_M[[#This Row],[ROA]]-VLOOKUP(Main_M[[#This Row],[Industry]], Mean_ROA_M, 2, FALSE))/(VLOOKUP(Main_M[[#This Row],[Industry]], Mean_ROA_M, 3, FALSE))</f>
        <v>-0.20585348000745651</v>
      </c>
      <c r="S93" s="1">
        <f>(Main_M[[#This Row],[A/E]]-VLOOKUP(Main_M[[#This Row],[Industry]], Mean_AE_M, 2, FALSE))/(VLOOKUP(Main_M[[#This Row],[Industry]], Mean_AE_M, 3, FALSE))</f>
        <v>-0.13454603548421942</v>
      </c>
      <c r="T93" s="1">
        <f>(Main_M[[#This Row],[P/E]]-VLOOKUP(Main_M[[#This Row],[Industry]], Mean_PE_M, 2, FALSE))/(VLOOKUP(Main_M[[#This Row],[Industry]], Mean_PE_M, 3, FALSE))</f>
        <v>-0.42576037892290247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s="67" t="s">
        <v>156</v>
      </c>
      <c r="B94" s="67" t="s">
        <v>330</v>
      </c>
      <c r="C94" s="2">
        <v>8081</v>
      </c>
      <c r="D94">
        <f>RTD("tos.rtd", , "LAST", Main_M[[#This Row],[Symbol]])</f>
        <v>245.25</v>
      </c>
      <c r="E94">
        <v>10.02</v>
      </c>
      <c r="F94">
        <v>53.09</v>
      </c>
      <c r="G94">
        <v>8.7200000000000006</v>
      </c>
      <c r="H94" s="1">
        <f>IF(ISNUMBER(Main_M[[#This Row],[Free CF]]),IF(Main_M[[#This Row],[Free CF]]&lt;&gt;0,Main_M[[#This Row],[Current Price]]/Main_M[[#This Row],[Free CF]],""),"")</f>
        <v>24.476047904191617</v>
      </c>
      <c r="I94" s="1">
        <f>IF(ISNUMBER(Main_M[[#This Row],[BVPS]]),IF(Main_M[[#This Row],[BVPS]]&lt;&gt;0,Main_M[[#This Row],[Current Price]]/Main_M[[#This Row],[BVPS]],""),"")</f>
        <v>4.6195140327745339</v>
      </c>
      <c r="J94">
        <v>17.600000000000001</v>
      </c>
      <c r="K94">
        <v>10.47</v>
      </c>
      <c r="L94">
        <v>1.41</v>
      </c>
      <c r="M94" s="1">
        <f>IF(ISNUMBER(Main_M[[#This Row],[EPS]]),IF(Main_M[[#This Row],[EPS]]&lt;&gt;0,Main_M[[#This Row],[Current Price]]/Main_M[[#This Row],[EPS]],""),"")</f>
        <v>28.124999999999996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0.22542786179163318</v>
      </c>
      <c r="P94" s="1">
        <f>(Main_M[[#This Row],[P/B]]-VLOOKUP(Main_M[[#This Row],[Industry]], Mean_PB_M, 2, FALSE))/(VLOOKUP(Main_M[[#This Row],[Industry]], Mean_PB_M, 3, FALSE))</f>
        <v>0.93137796166041531</v>
      </c>
      <c r="Q94" s="1">
        <f>(Main_M[[#This Row],[ROE]]-VLOOKUP(Main_M[[#This Row],[Industry]], Mean_ROE_M, 2, FALSE))/(VLOOKUP(Main_M[[#This Row],[Industry]], Mean_ROE_M, 3, FALSE))</f>
        <v>8.0946892708642484E-2</v>
      </c>
      <c r="R94" s="1">
        <f>(Main_M[[#This Row],[ROA]]-VLOOKUP(Main_M[[#This Row],[Industry]], Mean_ROA_M, 2, FALSE))/(VLOOKUP(Main_M[[#This Row],[Industry]], Mean_ROA_M, 3, FALSE))</f>
        <v>1.1147606156576022</v>
      </c>
      <c r="S94" s="1">
        <f>(Main_M[[#This Row],[A/E]]-VLOOKUP(Main_M[[#This Row],[Industry]], Mean_AE_M, 2, FALSE))/(VLOOKUP(Main_M[[#This Row],[Industry]], Mean_AE_M, 3, FALSE))</f>
        <v>-1.1413036291846781</v>
      </c>
      <c r="T94" s="1">
        <f>(Main_M[[#This Row],[P/E]]-VLOOKUP(Main_M[[#This Row],[Industry]], Mean_PE_M, 2, FALSE))/(VLOOKUP(Main_M[[#This Row],[Industry]], Mean_PE_M, 3, FALSE))</f>
        <v>0.4457315582891716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s="67" t="s">
        <v>156</v>
      </c>
      <c r="B95" s="67" t="s">
        <v>318</v>
      </c>
      <c r="C95" s="2">
        <v>7168</v>
      </c>
      <c r="D95">
        <f>RTD("tos.rtd", , "LAST", Main_M[[#This Row],[Symbol]])</f>
        <v>150</v>
      </c>
      <c r="E95">
        <v>9.6999999999999993</v>
      </c>
      <c r="F95">
        <v>66.69</v>
      </c>
      <c r="G95">
        <v>5.03</v>
      </c>
      <c r="H95" s="1">
        <f>IF(ISNUMBER(Main_M[[#This Row],[Free CF]]),IF(Main_M[[#This Row],[Free CF]]&lt;&gt;0,Main_M[[#This Row],[Current Price]]/Main_M[[#This Row],[Free CF]],""),"")</f>
        <v>15.463917525773198</v>
      </c>
      <c r="I95" s="1">
        <f>IF(ISNUMBER(Main_M[[#This Row],[BVPS]]),IF(Main_M[[#This Row],[BVPS]]&lt;&gt;0,Main_M[[#This Row],[Current Price]]/Main_M[[#This Row],[BVPS]],""),"")</f>
        <v>2.2492127755285649</v>
      </c>
      <c r="J95">
        <v>9.0299999999999994</v>
      </c>
      <c r="K95">
        <v>4.71</v>
      </c>
      <c r="L95">
        <v>3.11</v>
      </c>
      <c r="M95" s="1">
        <f>IF(ISNUMBER(Main_M[[#This Row],[EPS]]),IF(Main_M[[#This Row],[EPS]]&lt;&gt;0,Main_M[[#This Row],[Current Price]]/Main_M[[#This Row],[EPS]],""),"")</f>
        <v>29.821073558648109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-0.76004259152149911</v>
      </c>
      <c r="P95" s="1">
        <f>(Main_M[[#This Row],[P/B]]-VLOOKUP(Main_M[[#This Row],[Industry]], Mean_PB_M, 2, FALSE))/(VLOOKUP(Main_M[[#This Row],[Industry]], Mean_PB_M, 3, FALSE))</f>
        <v>-0.64115693356075165</v>
      </c>
      <c r="Q95" s="1">
        <f>(Main_M[[#This Row],[ROE]]-VLOOKUP(Main_M[[#This Row],[Industry]], Mean_ROE_M, 2, FALSE))/(VLOOKUP(Main_M[[#This Row],[Industry]], Mean_ROE_M, 3, FALSE))</f>
        <v>-0.4245943084749681</v>
      </c>
      <c r="R95" s="1">
        <f>(Main_M[[#This Row],[ROA]]-VLOOKUP(Main_M[[#This Row],[Industry]], Mean_ROA_M, 2, FALSE))/(VLOOKUP(Main_M[[#This Row],[Industry]], Mean_ROA_M, 3, FALSE))</f>
        <v>-0.70068978792968617</v>
      </c>
      <c r="S95" s="1">
        <f>(Main_M[[#This Row],[A/E]]-VLOOKUP(Main_M[[#This Row],[Industry]], Mean_AE_M, 2, FALSE))/(VLOOKUP(Main_M[[#This Row],[Industry]], Mean_AE_M, 3, FALSE))</f>
        <v>1.861306737992128</v>
      </c>
      <c r="T95" s="1">
        <f>(Main_M[[#This Row],[P/E]]-VLOOKUP(Main_M[[#This Row],[Industry]], Mean_PE_M, 2, FALSE))/(VLOOKUP(Main_M[[#This Row],[Industry]], Mean_PE_M, 3, FALSE))</f>
        <v>0.60333405662641493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s="67" t="s">
        <v>156</v>
      </c>
      <c r="B96" s="67" t="s">
        <v>157</v>
      </c>
      <c r="C96" s="2">
        <v>8722</v>
      </c>
      <c r="D96">
        <f>RTD("tos.rtd", , "LAST", Main_M[[#This Row],[Symbol]])</f>
        <v>101.07</v>
      </c>
      <c r="E96">
        <v>7.55</v>
      </c>
      <c r="F96">
        <v>19.670000000000002</v>
      </c>
      <c r="G96">
        <v>8.64</v>
      </c>
      <c r="H96" s="1">
        <f>IF(ISNUMBER(Main_M[[#This Row],[Free CF]]),IF(Main_M[[#This Row],[Free CF]]&lt;&gt;0,Main_M[[#This Row],[Current Price]]/Main_M[[#This Row],[Free CF]],""),"")</f>
        <v>13.386754966887416</v>
      </c>
      <c r="I96" s="1">
        <f>IF(ISNUMBER(Main_M[[#This Row],[BVPS]]),IF(Main_M[[#This Row],[BVPS]]&lt;&gt;0,Main_M[[#This Row],[Current Price]]/Main_M[[#This Row],[BVPS]],""),"")</f>
        <v>5.1382816471784434</v>
      </c>
      <c r="J96">
        <v>50.15</v>
      </c>
      <c r="K96">
        <v>12.17</v>
      </c>
      <c r="L96">
        <v>3.22</v>
      </c>
      <c r="M96" s="1">
        <f>IF(ISNUMBER(Main_M[[#This Row],[EPS]]),IF(Main_M[[#This Row],[EPS]]&lt;&gt;0,Main_M[[#This Row],[Current Price]]/Main_M[[#This Row],[EPS]],""),"")</f>
        <v>11.697916666666664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-0.98717893360241238</v>
      </c>
      <c r="P96" s="1">
        <f>(Main_M[[#This Row],[P/B]]-VLOOKUP(Main_M[[#This Row],[Industry]], Mean_PB_M, 2, FALSE))/(VLOOKUP(Main_M[[#This Row],[Industry]], Mean_PB_M, 3, FALSE))</f>
        <v>1.2755452583983136</v>
      </c>
      <c r="Q96" s="1">
        <f>(Main_M[[#This Row],[ROE]]-VLOOKUP(Main_M[[#This Row],[Industry]], Mean_ROE_M, 2, FALSE))/(VLOOKUP(Main_M[[#This Row],[Industry]], Mean_ROE_M, 3, FALSE))</f>
        <v>2.0010596229917832</v>
      </c>
      <c r="R96" s="1">
        <f>(Main_M[[#This Row],[ROA]]-VLOOKUP(Main_M[[#This Row],[Industry]], Mean_ROA_M, 2, FALSE))/(VLOOKUP(Main_M[[#This Row],[Industry]], Mean_ROA_M, 3, FALSE))</f>
        <v>1.6505706306052392</v>
      </c>
      <c r="S96" s="1">
        <f>(Main_M[[#This Row],[A/E]]-VLOOKUP(Main_M[[#This Row],[Industry]], Mean_AE_M, 2, FALSE))/(VLOOKUP(Main_M[[#This Row],[Industry]], Mean_AE_M, 3, FALSE))</f>
        <v>2.0555932911623924</v>
      </c>
      <c r="T96" s="1">
        <f>(Main_M[[#This Row],[P/E]]-VLOOKUP(Main_M[[#This Row],[Industry]], Mean_PE_M, 2, FALSE))/(VLOOKUP(Main_M[[#This Row],[Industry]], Mean_PE_M, 3, FALSE))</f>
        <v>-1.0807054057956846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s="67" t="s">
        <v>156</v>
      </c>
      <c r="B97" s="67" t="s">
        <v>326</v>
      </c>
      <c r="C97" s="2">
        <v>3896</v>
      </c>
      <c r="D97">
        <f>RTD("tos.rtd", , "LAST", Main_M[[#This Row],[Symbol]])</f>
        <v>191.32</v>
      </c>
      <c r="E97">
        <v>6.83</v>
      </c>
      <c r="F97">
        <v>69.47</v>
      </c>
      <c r="G97">
        <v>4.01</v>
      </c>
      <c r="H97" s="1">
        <f>IF(ISNUMBER(Main_M[[#This Row],[Free CF]]),IF(Main_M[[#This Row],[Free CF]]&lt;&gt;0,Main_M[[#This Row],[Current Price]]/Main_M[[#This Row],[Free CF]],""),"")</f>
        <v>28.011713030746705</v>
      </c>
      <c r="I97" s="1">
        <f>IF(ISNUMBER(Main_M[[#This Row],[BVPS]]),IF(Main_M[[#This Row],[BVPS]]&lt;&gt;0,Main_M[[#This Row],[Current Price]]/Main_M[[#This Row],[BVPS]],""),"")</f>
        <v>2.7539945300129554</v>
      </c>
      <c r="J97">
        <v>5.9</v>
      </c>
      <c r="K97">
        <v>4.04</v>
      </c>
      <c r="L97">
        <v>1.71</v>
      </c>
      <c r="M97" s="1">
        <f>IF(ISNUMBER(Main_M[[#This Row],[EPS]]),IF(Main_M[[#This Row],[EPS]]&lt;&gt;0,Main_M[[#This Row],[Current Price]]/Main_M[[#This Row],[EPS]],""),"")</f>
        <v>47.710723192019948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0.61205048804364603</v>
      </c>
      <c r="P97" s="1">
        <f>(Main_M[[#This Row],[P/B]]-VLOOKUP(Main_M[[#This Row],[Industry]], Mean_PB_M, 2, FALSE))/(VLOOKUP(Main_M[[#This Row],[Industry]], Mean_PB_M, 3, FALSE))</f>
        <v>-0.30626831087151535</v>
      </c>
      <c r="Q97" s="1">
        <f>(Main_M[[#This Row],[ROE]]-VLOOKUP(Main_M[[#This Row],[Industry]], Mean_ROE_M, 2, FALSE))/(VLOOKUP(Main_M[[#This Row],[Industry]], Mean_ROE_M, 3, FALSE))</f>
        <v>-0.60923187670188761</v>
      </c>
      <c r="R97" s="1">
        <f>(Main_M[[#This Row],[ROA]]-VLOOKUP(Main_M[[#This Row],[Industry]], Mean_ROA_M, 2, FALSE))/(VLOOKUP(Main_M[[#This Row],[Industry]], Mean_ROA_M, 3, FALSE))</f>
        <v>-0.91186197029140204</v>
      </c>
      <c r="S97" s="1">
        <f>(Main_M[[#This Row],[A/E]]-VLOOKUP(Main_M[[#This Row],[Industry]], Mean_AE_M, 2, FALSE))/(VLOOKUP(Main_M[[#This Row],[Industry]], Mean_AE_M, 3, FALSE))</f>
        <v>-0.61143121144759449</v>
      </c>
      <c r="T97" s="1">
        <f>(Main_M[[#This Row],[P/E]]-VLOOKUP(Main_M[[#This Row],[Industry]], Mean_PE_M, 2, FALSE))/(VLOOKUP(Main_M[[#This Row],[Industry]], Mean_PE_M, 3, FALSE))</f>
        <v>2.2656755642934816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s="67" t="s">
        <v>156</v>
      </c>
      <c r="B98" s="67" t="s">
        <v>306</v>
      </c>
      <c r="C98" s="2">
        <v>7308</v>
      </c>
      <c r="D98">
        <f>RTD("tos.rtd", , "LAST", Main_M[[#This Row],[Symbol]])</f>
        <v>103.1</v>
      </c>
      <c r="E98">
        <v>6.72</v>
      </c>
      <c r="F98">
        <v>51.08</v>
      </c>
      <c r="G98">
        <v>-7.81</v>
      </c>
      <c r="H98" s="1">
        <f>IF(ISNUMBER(Main_M[[#This Row],[Free CF]]),IF(Main_M[[#This Row],[Free CF]]&lt;&gt;0,Main_M[[#This Row],[Current Price]]/Main_M[[#This Row],[Free CF]],""),"")</f>
        <v>15.342261904761905</v>
      </c>
      <c r="I98" s="1">
        <f>IF(ISNUMBER(Main_M[[#This Row],[BVPS]]),IF(Main_M[[#This Row],[BVPS]]&lt;&gt;0,Main_M[[#This Row],[Current Price]]/Main_M[[#This Row],[BVPS]],""),"")</f>
        <v>2.0184025058731403</v>
      </c>
      <c r="J98">
        <v>-14.55</v>
      </c>
      <c r="K98">
        <v>3.55</v>
      </c>
      <c r="L98">
        <v>3.01</v>
      </c>
      <c r="M98" s="1">
        <f>IF(ISNUMBER(Main_M[[#This Row],[EPS]]),IF(Main_M[[#This Row],[EPS]]&lt;&gt;0,Main_M[[#This Row],[Current Price]]/Main_M[[#This Row],[EPS]],""),"")</f>
        <v>-13.201024327784891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-0.77334555263635241</v>
      </c>
      <c r="P98" s="1">
        <f>(Main_M[[#This Row],[P/B]]-VLOOKUP(Main_M[[#This Row],[Industry]], Mean_PB_M, 2, FALSE))/(VLOOKUP(Main_M[[#This Row],[Industry]], Mean_PB_M, 3, FALSE))</f>
        <v>-0.79428396840453319</v>
      </c>
      <c r="Q98" s="1">
        <f>(Main_M[[#This Row],[ROE]]-VLOOKUP(Main_M[[#This Row],[Industry]], Mean_ROE_M, 2, FALSE))/(VLOOKUP(Main_M[[#This Row],[Industry]], Mean_ROE_M, 3, FALSE))</f>
        <v>-1.8155699822100362</v>
      </c>
      <c r="R98" s="1">
        <f>(Main_M[[#This Row],[ROA]]-VLOOKUP(Main_M[[#This Row],[Industry]], Mean_ROA_M, 2, FALSE))/(VLOOKUP(Main_M[[#This Row],[Industry]], Mean_ROA_M, 3, FALSE))</f>
        <v>-1.0663013275410151</v>
      </c>
      <c r="S98" s="1">
        <f>(Main_M[[#This Row],[A/E]]-VLOOKUP(Main_M[[#This Row],[Industry]], Mean_AE_M, 2, FALSE))/(VLOOKUP(Main_M[[#This Row],[Industry]], Mean_AE_M, 3, FALSE))</f>
        <v>1.6846825987464333</v>
      </c>
      <c r="T98" s="1">
        <f>(Main_M[[#This Row],[P/E]]-VLOOKUP(Main_M[[#This Row],[Industry]], Mean_PE_M, 2, FALSE))/(VLOOKUP(Main_M[[#This Row],[Industry]], Mean_PE_M, 3, FALSE))</f>
        <v>-3.3943640833149402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9" spans="1:26" x14ac:dyDescent="0.25">
      <c r="A99" s="67" t="s">
        <v>156</v>
      </c>
      <c r="B99" s="67" t="s">
        <v>546</v>
      </c>
      <c r="C99" s="2">
        <v>5967</v>
      </c>
      <c r="D99">
        <f>RTD("tos.rtd", , "LAST", Main_M[[#This Row],[Symbol]])</f>
        <v>123.78</v>
      </c>
      <c r="E99">
        <v>5.7</v>
      </c>
      <c r="F99">
        <v>79.040000000000006</v>
      </c>
      <c r="G99">
        <v>-3.02</v>
      </c>
      <c r="H99" s="1">
        <f>IF(ISNUMBER(Main_M[[#This Row],[Free CF]]),IF(Main_M[[#This Row],[Free CF]]&lt;&gt;0,Main_M[[#This Row],[Current Price]]/Main_M[[#This Row],[Free CF]],""),"")</f>
        <v>21.715789473684211</v>
      </c>
      <c r="I99" s="1">
        <f>IF(ISNUMBER(Main_M[[#This Row],[BVPS]]),IF(Main_M[[#This Row],[BVPS]]&lt;&gt;0,Main_M[[#This Row],[Current Price]]/Main_M[[#This Row],[BVPS]],""),"")</f>
        <v>1.5660425101214575</v>
      </c>
      <c r="J99">
        <v>-3.97</v>
      </c>
      <c r="K99">
        <v>0.56999999999999995</v>
      </c>
      <c r="L99">
        <v>1.95</v>
      </c>
      <c r="M99" s="1">
        <f>IF(ISNUMBER(Main_M[[#This Row],[EPS]]),IF(Main_M[[#This Row],[EPS]]&lt;&gt;0,Main_M[[#This Row],[Current Price]]/Main_M[[#This Row],[EPS]],""),"")</f>
        <v>-40.986754966887418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-7.6404558796460964E-2</v>
      </c>
      <c r="P99" s="1">
        <f>(Main_M[[#This Row],[P/B]]-VLOOKUP(Main_M[[#This Row],[Industry]], Mean_PB_M, 2, FALSE))/(VLOOKUP(Main_M[[#This Row],[Industry]], Mean_PB_M, 3, FALSE))</f>
        <v>-1.0943942925023793</v>
      </c>
      <c r="Q99" s="1">
        <f>(Main_M[[#This Row],[ROE]]-VLOOKUP(Main_M[[#This Row],[Industry]], Mean_ROE_M, 2, FALSE))/(VLOOKUP(Main_M[[#This Row],[Industry]], Mean_ROE_M, 3, FALSE))</f>
        <v>-1.1914596078200013</v>
      </c>
      <c r="R99" s="1">
        <f>(Main_M[[#This Row],[ROA]]-VLOOKUP(Main_M[[#This Row],[Industry]], Mean_ROA_M, 2, FALSE))/(VLOOKUP(Main_M[[#This Row],[Industry]], Mean_ROA_M, 3, FALSE))</f>
        <v>-2.0055447655080494</v>
      </c>
      <c r="S99" s="1">
        <f>(Main_M[[#This Row],[A/E]]-VLOOKUP(Main_M[[#This Row],[Industry]], Mean_AE_M, 2, FALSE))/(VLOOKUP(Main_M[[#This Row],[Industry]], Mean_AE_M, 3, FALSE))</f>
        <v>-0.18753327725792782</v>
      </c>
      <c r="T99" s="1">
        <f>(Main_M[[#This Row],[P/E]]-VLOOKUP(Main_M[[#This Row],[Industry]], Mean_PE_M, 2, FALSE))/(VLOOKUP(Main_M[[#This Row],[Industry]], Mean_PE_M, 3, FALSE))</f>
        <v>-5.9762689449995312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0" spans="1:26" x14ac:dyDescent="0.25">
      <c r="A100" s="67" t="s">
        <v>156</v>
      </c>
      <c r="B100" s="67" t="s">
        <v>327</v>
      </c>
      <c r="C100" s="2">
        <v>7104</v>
      </c>
      <c r="D100">
        <f>RTD("tos.rtd", , "LAST", Main_M[[#This Row],[Symbol]])</f>
        <v>160</v>
      </c>
      <c r="E100">
        <v>4.9800000000000004</v>
      </c>
      <c r="F100">
        <v>30.91</v>
      </c>
      <c r="G100">
        <v>4.34</v>
      </c>
      <c r="H100" s="1">
        <f>IF(ISNUMBER(Main_M[[#This Row],[Free CF]]),IF(Main_M[[#This Row],[Free CF]]&lt;&gt;0,Main_M[[#This Row],[Current Price]]/Main_M[[#This Row],[Free CF]],""),"")</f>
        <v>32.128514056224894</v>
      </c>
      <c r="I100" s="1">
        <f>IF(ISNUMBER(Main_M[[#This Row],[BVPS]]),IF(Main_M[[#This Row],[BVPS]]&lt;&gt;0,Main_M[[#This Row],[Current Price]]/Main_M[[#This Row],[BVPS]],""),"")</f>
        <v>5.1763183435781297</v>
      </c>
      <c r="J100">
        <v>15.24</v>
      </c>
      <c r="K100">
        <v>6.83</v>
      </c>
      <c r="L100">
        <v>2.17</v>
      </c>
      <c r="M100" s="1">
        <f>IF(ISNUMBER(Main_M[[#This Row],[EPS]]),IF(Main_M[[#This Row],[EPS]]&lt;&gt;0,Main_M[[#This Row],[Current Price]]/Main_M[[#This Row],[EPS]],""),"")</f>
        <v>36.866359447004612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1.0622199377104338</v>
      </c>
      <c r="P100" s="1">
        <f>(Main_M[[#This Row],[P/B]]-VLOOKUP(Main_M[[#This Row],[Industry]], Mean_PB_M, 2, FALSE))/(VLOOKUP(Main_M[[#This Row],[Industry]], Mean_PB_M, 3, FALSE))</f>
        <v>1.3007800390847726</v>
      </c>
      <c r="Q100" s="1">
        <f>(Main_M[[#This Row],[ROE]]-VLOOKUP(Main_M[[#This Row],[Industry]], Mean_ROE_M, 2, FALSE))/(VLOOKUP(Main_M[[#This Row],[Industry]], Mean_ROE_M, 3, FALSE))</f>
        <v>-5.8268653941686711E-2</v>
      </c>
      <c r="R100" s="1">
        <f>(Main_M[[#This Row],[ROA]]-VLOOKUP(Main_M[[#This Row],[Industry]], Mean_ROA_M, 2, FALSE))/(VLOOKUP(Main_M[[#This Row],[Industry]], Mean_ROA_M, 3, FALSE))</f>
        <v>-3.2503181053809262E-2</v>
      </c>
      <c r="S100" s="1">
        <f>(Main_M[[#This Row],[A/E]]-VLOOKUP(Main_M[[#This Row],[Industry]], Mean_AE_M, 2, FALSE))/(VLOOKUP(Main_M[[#This Row],[Industry]], Mean_AE_M, 3, FALSE))</f>
        <v>0.20103982908260001</v>
      </c>
      <c r="T100" s="1">
        <f>(Main_M[[#This Row],[P/E]]-VLOOKUP(Main_M[[#This Row],[Industry]], Mean_PE_M, 2, FALSE))/(VLOOKUP(Main_M[[#This Row],[Industry]], Mean_PE_M, 3, FALSE))</f>
        <v>1.2579959089048849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s="67" t="s">
        <v>156</v>
      </c>
      <c r="B101" s="67" t="s">
        <v>308</v>
      </c>
      <c r="C101" s="2">
        <v>7564</v>
      </c>
      <c r="D101">
        <f>RTD("tos.rtd", , "LAST", Main_M[[#This Row],[Symbol]])</f>
        <v>71.41</v>
      </c>
      <c r="E101">
        <v>4.9400000000000004</v>
      </c>
      <c r="F101">
        <v>14.63</v>
      </c>
      <c r="G101">
        <v>3.92</v>
      </c>
      <c r="H101" s="1">
        <f>IF(ISNUMBER(Main_M[[#This Row],[Free CF]]),IF(Main_M[[#This Row],[Free CF]]&lt;&gt;0,Main_M[[#This Row],[Current Price]]/Main_M[[#This Row],[Free CF]],""),"")</f>
        <v>14.455465587044532</v>
      </c>
      <c r="I101" s="1">
        <f>IF(ISNUMBER(Main_M[[#This Row],[BVPS]]),IF(Main_M[[#This Row],[BVPS]]&lt;&gt;0,Main_M[[#This Row],[Current Price]]/Main_M[[#This Row],[BVPS]],""),"")</f>
        <v>4.8810663021189331</v>
      </c>
      <c r="J101">
        <v>26.98</v>
      </c>
      <c r="K101">
        <v>8.99</v>
      </c>
      <c r="L101">
        <v>2.52</v>
      </c>
      <c r="M101" s="1">
        <f>IF(ISNUMBER(Main_M[[#This Row],[EPS]]),IF(Main_M[[#This Row],[EPS]]&lt;&gt;0,Main_M[[#This Row],[Current Price]]/Main_M[[#This Row],[EPS]],""),"")</f>
        <v>18.216836734693878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-0.87031613922597106</v>
      </c>
      <c r="P101" s="1">
        <f>(Main_M[[#This Row],[P/B]]-VLOOKUP(Main_M[[#This Row],[Industry]], Mean_PB_M, 2, FALSE))/(VLOOKUP(Main_M[[#This Row],[Industry]], Mean_PB_M, 3, FALSE))</f>
        <v>1.1049002382955124</v>
      </c>
      <c r="Q101" s="1">
        <f>(Main_M[[#This Row],[ROE]]-VLOOKUP(Main_M[[#This Row],[Industry]], Mean_ROE_M, 2, FALSE))/(VLOOKUP(Main_M[[#This Row],[Industry]], Mean_ROE_M, 3, FALSE))</f>
        <v>0.63426970100528957</v>
      </c>
      <c r="R101" s="1">
        <f>(Main_M[[#This Row],[ROA]]-VLOOKUP(Main_M[[#This Row],[Industry]], Mean_ROA_M, 2, FALSE))/(VLOOKUP(Main_M[[#This Row],[Industry]], Mean_ROA_M, 3, FALSE))</f>
        <v>0.64829072029142387</v>
      </c>
      <c r="S101" s="1">
        <f>(Main_M[[#This Row],[A/E]]-VLOOKUP(Main_M[[#This Row],[Industry]], Mean_AE_M, 2, FALSE))/(VLOOKUP(Main_M[[#This Row],[Industry]], Mean_AE_M, 3, FALSE))</f>
        <v>0.8192243164425308</v>
      </c>
      <c r="T101" s="1">
        <f>(Main_M[[#This Row],[P/E]]-VLOOKUP(Main_M[[#This Row],[Industry]], Mean_PE_M, 2, FALSE))/(VLOOKUP(Main_M[[#This Row],[Industry]], Mean_PE_M, 3, FALSE))</f>
        <v>-0.47495450310441939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s="67" t="s">
        <v>156</v>
      </c>
      <c r="B102" s="67" t="s">
        <v>313</v>
      </c>
      <c r="C102" s="2">
        <v>7456</v>
      </c>
      <c r="D102">
        <f>RTD("tos.rtd", , "LAST", Main_M[[#This Row],[Symbol]])</f>
        <v>127.5</v>
      </c>
      <c r="E102">
        <v>4.87</v>
      </c>
      <c r="F102">
        <v>31.56</v>
      </c>
      <c r="G102">
        <v>4.82</v>
      </c>
      <c r="H102" s="1">
        <f>IF(ISNUMBER(Main_M[[#This Row],[Free CF]]),IF(Main_M[[#This Row],[Free CF]]&lt;&gt;0,Main_M[[#This Row],[Current Price]]/Main_M[[#This Row],[Free CF]],""),"")</f>
        <v>26.180698151950718</v>
      </c>
      <c r="I102" s="1">
        <f>IF(ISNUMBER(Main_M[[#This Row],[BVPS]]),IF(Main_M[[#This Row],[BVPS]]&lt;&gt;0,Main_M[[#This Row],[Current Price]]/Main_M[[#This Row],[BVPS]],""),"")</f>
        <v>4.0399239543726235</v>
      </c>
      <c r="J102">
        <v>16.670000000000002</v>
      </c>
      <c r="K102">
        <v>7.25</v>
      </c>
      <c r="L102">
        <v>2.21</v>
      </c>
      <c r="M102" s="1">
        <f>IF(ISNUMBER(Main_M[[#This Row],[EPS]]),IF(Main_M[[#This Row],[EPS]]&lt;&gt;0,Main_M[[#This Row],[Current Price]]/Main_M[[#This Row],[EPS]],""),"")</f>
        <v>26.452282157676347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0.41183023080555275</v>
      </c>
      <c r="P102" s="1">
        <f>(Main_M[[#This Row],[P/B]]-VLOOKUP(Main_M[[#This Row],[Industry]], Mean_PB_M, 2, FALSE))/(VLOOKUP(Main_M[[#This Row],[Industry]], Mean_PB_M, 3, FALSE))</f>
        <v>0.5468590654126223</v>
      </c>
      <c r="Q102" s="1">
        <f>(Main_M[[#This Row],[ROE]]-VLOOKUP(Main_M[[#This Row],[Industry]], Mean_ROE_M, 2, FALSE))/(VLOOKUP(Main_M[[#This Row],[Industry]], Mean_ROE_M, 3, FALSE))</f>
        <v>2.6086528986267041E-2</v>
      </c>
      <c r="R102" s="1">
        <f>(Main_M[[#This Row],[ROA]]-VLOOKUP(Main_M[[#This Row],[Industry]], Mean_ROA_M, 2, FALSE))/(VLOOKUP(Main_M[[#This Row],[Industry]], Mean_ROA_M, 3, FALSE))</f>
        <v>9.9873410874430482E-2</v>
      </c>
      <c r="S102" s="1">
        <f>(Main_M[[#This Row],[A/E]]-VLOOKUP(Main_M[[#This Row],[Industry]], Mean_AE_M, 2, FALSE))/(VLOOKUP(Main_M[[#This Row],[Industry]], Mean_AE_M, 3, FALSE))</f>
        <v>0.27168948478087784</v>
      </c>
      <c r="T102" s="1">
        <f>(Main_M[[#This Row],[P/E]]-VLOOKUP(Main_M[[#This Row],[Industry]], Mean_PE_M, 2, FALSE))/(VLOOKUP(Main_M[[#This Row],[Industry]], Mean_PE_M, 3, FALSE))</f>
        <v>0.29029931915113738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s="67" t="s">
        <v>156</v>
      </c>
      <c r="B103" s="67" t="s">
        <v>314</v>
      </c>
      <c r="C103" s="2">
        <v>4680</v>
      </c>
      <c r="D103">
        <f>RTD("tos.rtd", , "LAST", Main_M[[#This Row],[Symbol]])</f>
        <v>184.96</v>
      </c>
      <c r="E103">
        <v>4.6399999999999997</v>
      </c>
      <c r="F103">
        <v>49.46</v>
      </c>
      <c r="G103">
        <v>4.5599999999999996</v>
      </c>
      <c r="H103" s="1">
        <f>IF(ISNUMBER(Main_M[[#This Row],[Free CF]]),IF(Main_M[[#This Row],[Free CF]]&lt;&gt;0,Main_M[[#This Row],[Current Price]]/Main_M[[#This Row],[Free CF]],""),"")</f>
        <v>39.862068965517246</v>
      </c>
      <c r="I103" s="1">
        <f>IF(ISNUMBER(Main_M[[#This Row],[BVPS]]),IF(Main_M[[#This Row],[BVPS]]&lt;&gt;0,Main_M[[#This Row],[Current Price]]/Main_M[[#This Row],[BVPS]],""),"")</f>
        <v>3.7395875454913061</v>
      </c>
      <c r="J103">
        <v>9.66</v>
      </c>
      <c r="K103">
        <v>5.78</v>
      </c>
      <c r="L103">
        <v>1.42</v>
      </c>
      <c r="M103" s="1">
        <f>IF(ISNUMBER(Main_M[[#This Row],[EPS]]),IF(Main_M[[#This Row],[EPS]]&lt;&gt;0,Main_M[[#This Row],[Current Price]]/Main_M[[#This Row],[EPS]],""),"")</f>
        <v>40.561403508771932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1.9078790152170122</v>
      </c>
      <c r="P103" s="1">
        <f>(Main_M[[#This Row],[P/B]]-VLOOKUP(Main_M[[#This Row],[Industry]], Mean_PB_M, 2, FALSE))/(VLOOKUP(Main_M[[#This Row],[Industry]], Mean_PB_M, 3, FALSE))</f>
        <v>0.34760613001991497</v>
      </c>
      <c r="Q103" s="1">
        <f>(Main_M[[#This Row],[ROE]]-VLOOKUP(Main_M[[#This Row],[Industry]], Mean_ROE_M, 2, FALSE))/(VLOOKUP(Main_M[[#This Row],[Industry]], Mean_ROE_M, 3, FALSE))</f>
        <v>-0.38743083627593949</v>
      </c>
      <c r="R103" s="1">
        <f>(Main_M[[#This Row],[ROA]]-VLOOKUP(Main_M[[#This Row],[Industry]], Mean_ROA_M, 2, FALSE))/(VLOOKUP(Main_M[[#This Row],[Industry]], Mean_ROA_M, 3, FALSE))</f>
        <v>-0.36344466087440863</v>
      </c>
      <c r="S103" s="1">
        <f>(Main_M[[#This Row],[A/E]]-VLOOKUP(Main_M[[#This Row],[Industry]], Mean_AE_M, 2, FALSE))/(VLOOKUP(Main_M[[#This Row],[Industry]], Mean_AE_M, 3, FALSE))</f>
        <v>-1.1236412152601085</v>
      </c>
      <c r="T103" s="1">
        <f>(Main_M[[#This Row],[P/E]]-VLOOKUP(Main_M[[#This Row],[Industry]], Mean_PE_M, 2, FALSE))/(VLOOKUP(Main_M[[#This Row],[Industry]], Mean_PE_M, 3, FALSE))</f>
        <v>1.6013466867242716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s="67" t="s">
        <v>156</v>
      </c>
      <c r="B104" s="67" t="s">
        <v>329</v>
      </c>
      <c r="C104" s="2">
        <v>4792</v>
      </c>
      <c r="D104">
        <f>RTD("tos.rtd", , "LAST", Main_M[[#This Row],[Symbol]])</f>
        <v>72.63</v>
      </c>
      <c r="E104">
        <v>4.62</v>
      </c>
      <c r="F104">
        <v>41.7</v>
      </c>
      <c r="G104">
        <v>4.6399999999999997</v>
      </c>
      <c r="H104" s="1">
        <f>IF(ISNUMBER(Main_M[[#This Row],[Free CF]]),IF(Main_M[[#This Row],[Free CF]]&lt;&gt;0,Main_M[[#This Row],[Current Price]]/Main_M[[#This Row],[Free CF]],""),"")</f>
        <v>15.720779220779219</v>
      </c>
      <c r="I104" s="1">
        <f>IF(ISNUMBER(Main_M[[#This Row],[BVPS]]),IF(Main_M[[#This Row],[BVPS]]&lt;&gt;0,Main_M[[#This Row],[Current Price]]/Main_M[[#This Row],[BVPS]],""),"")</f>
        <v>1.7417266187050358</v>
      </c>
      <c r="J104">
        <v>12.23</v>
      </c>
      <c r="K104">
        <v>5.52</v>
      </c>
      <c r="L104">
        <v>2.25</v>
      </c>
      <c r="M104" s="1">
        <f>IF(ISNUMBER(Main_M[[#This Row],[EPS]]),IF(Main_M[[#This Row],[EPS]]&lt;&gt;0,Main_M[[#This Row],[Current Price]]/Main_M[[#This Row],[EPS]],""),"")</f>
        <v>15.65301724137931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-0.73195493628489272</v>
      </c>
      <c r="P104" s="1">
        <f>(Main_M[[#This Row],[P/B]]-VLOOKUP(Main_M[[#This Row],[Industry]], Mean_PB_M, 2, FALSE))/(VLOOKUP(Main_M[[#This Row],[Industry]], Mean_PB_M, 3, FALSE))</f>
        <v>-0.97783974466212031</v>
      </c>
      <c r="Q104" s="1">
        <f>(Main_M[[#This Row],[ROE]]-VLOOKUP(Main_M[[#This Row],[Industry]], Mean_ROE_M, 2, FALSE))/(VLOOKUP(Main_M[[#This Row],[Industry]], Mean_ROE_M, 3, FALSE))</f>
        <v>-0.23582746555926751</v>
      </c>
      <c r="R104" s="1">
        <f>(Main_M[[#This Row],[ROA]]-VLOOKUP(Main_M[[#This Row],[Industry]], Mean_ROA_M, 2, FALSE))/(VLOOKUP(Main_M[[#This Row],[Industry]], Mean_ROA_M, 3, FALSE))</f>
        <v>-0.44539207492522392</v>
      </c>
      <c r="S104" s="1">
        <f>(Main_M[[#This Row],[A/E]]-VLOOKUP(Main_M[[#This Row],[Industry]], Mean_AE_M, 2, FALSE))/(VLOOKUP(Main_M[[#This Row],[Industry]], Mean_AE_M, 3, FALSE))</f>
        <v>0.3423391404791557</v>
      </c>
      <c r="T104" s="1">
        <f>(Main_M[[#This Row],[P/E]]-VLOOKUP(Main_M[[#This Row],[Industry]], Mean_PE_M, 2, FALSE))/(VLOOKUP(Main_M[[#This Row],[Industry]], Mean_PE_M, 3, FALSE))</f>
        <v>-0.71318966417500895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s="67" t="s">
        <v>156</v>
      </c>
      <c r="B105" s="67" t="s">
        <v>163</v>
      </c>
      <c r="C105" s="2">
        <v>9856</v>
      </c>
      <c r="D105">
        <f>RTD("tos.rtd", , "LAST", Main_M[[#This Row],[Symbol]])</f>
        <v>185.99</v>
      </c>
      <c r="E105">
        <v>4.5999999999999996</v>
      </c>
      <c r="F105">
        <v>30.56</v>
      </c>
      <c r="G105">
        <v>4.92</v>
      </c>
      <c r="H105" s="1">
        <f>IF(ISNUMBER(Main_M[[#This Row],[Free CF]]),IF(Main_M[[#This Row],[Free CF]]&lt;&gt;0,Main_M[[#This Row],[Current Price]]/Main_M[[#This Row],[Free CF]],""),"")</f>
        <v>40.432608695652178</v>
      </c>
      <c r="I105" s="1">
        <f>IF(ISNUMBER(Main_M[[#This Row],[BVPS]]),IF(Main_M[[#This Row],[BVPS]]&lt;&gt;0,Main_M[[#This Row],[Current Price]]/Main_M[[#This Row],[BVPS]],""),"")</f>
        <v>6.0860602094240841</v>
      </c>
      <c r="J105">
        <v>18.170000000000002</v>
      </c>
      <c r="K105">
        <v>8.85</v>
      </c>
      <c r="L105">
        <v>1.49</v>
      </c>
      <c r="M105" s="1">
        <f>IF(ISNUMBER(Main_M[[#This Row],[EPS]]),IF(Main_M[[#This Row],[EPS]]&lt;&gt;0,Main_M[[#This Row],[Current Price]]/Main_M[[#This Row],[EPS]],""),"")</f>
        <v>37.802845528455286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1.9702671546335988</v>
      </c>
      <c r="P105" s="1">
        <f>(Main_M[[#This Row],[P/B]]-VLOOKUP(Main_M[[#This Row],[Industry]], Mean_PB_M, 2, FALSE))/(VLOOKUP(Main_M[[#This Row],[Industry]], Mean_PB_M, 3, FALSE))</f>
        <v>1.9043323619437575</v>
      </c>
      <c r="Q105" s="1">
        <f>(Main_M[[#This Row],[ROE]]-VLOOKUP(Main_M[[#This Row],[Industry]], Mean_ROE_M, 2, FALSE))/(VLOOKUP(Main_M[[#This Row],[Industry]], Mean_ROE_M, 3, FALSE))</f>
        <v>0.11457098660300166</v>
      </c>
      <c r="R105" s="1">
        <f>(Main_M[[#This Row],[ROA]]-VLOOKUP(Main_M[[#This Row],[Industry]], Mean_ROA_M, 2, FALSE))/(VLOOKUP(Main_M[[#This Row],[Industry]], Mean_ROA_M, 3, FALSE))</f>
        <v>0.60416518964867705</v>
      </c>
      <c r="S105" s="1">
        <f>(Main_M[[#This Row],[A/E]]-VLOOKUP(Main_M[[#This Row],[Industry]], Mean_AE_M, 2, FALSE))/(VLOOKUP(Main_M[[#This Row],[Industry]], Mean_AE_M, 3, FALSE))</f>
        <v>-1.0000043177881224</v>
      </c>
      <c r="T105" s="1">
        <f>(Main_M[[#This Row],[P/E]]-VLOOKUP(Main_M[[#This Row],[Industry]], Mean_PE_M, 2, FALSE))/(VLOOKUP(Main_M[[#This Row],[Industry]], Mean_PE_M, 3, FALSE))</f>
        <v>1.3450160415766792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s="67" t="s">
        <v>156</v>
      </c>
      <c r="B106" s="67" t="s">
        <v>324</v>
      </c>
      <c r="C106" s="2">
        <v>8616</v>
      </c>
      <c r="D106">
        <f>RTD("tos.rtd", , "LAST", Main_M[[#This Row],[Symbol]])</f>
        <v>77.44</v>
      </c>
      <c r="E106">
        <v>4.54</v>
      </c>
      <c r="F106">
        <v>24.1</v>
      </c>
      <c r="G106">
        <v>5.49</v>
      </c>
      <c r="H106" s="1">
        <f>IF(ISNUMBER(Main_M[[#This Row],[Free CF]]),IF(Main_M[[#This Row],[Free CF]]&lt;&gt;0,Main_M[[#This Row],[Current Price]]/Main_M[[#This Row],[Free CF]],""),"")</f>
        <v>17.057268722466961</v>
      </c>
      <c r="I106" s="1">
        <f>IF(ISNUMBER(Main_M[[#This Row],[BVPS]]),IF(Main_M[[#This Row],[BVPS]]&lt;&gt;0,Main_M[[#This Row],[Current Price]]/Main_M[[#This Row],[BVPS]],""),"")</f>
        <v>3.2132780082987549</v>
      </c>
      <c r="J106">
        <v>24.74</v>
      </c>
      <c r="K106">
        <v>15.76</v>
      </c>
      <c r="L106">
        <v>1.21</v>
      </c>
      <c r="M106" s="1">
        <f>IF(ISNUMBER(Main_M[[#This Row],[EPS]]),IF(Main_M[[#This Row],[EPS]]&lt;&gt;0,Main_M[[#This Row],[Current Price]]/Main_M[[#This Row],[EPS]],""),"")</f>
        <v>14.105646630236793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6" s="1">
        <f>(Main_M[[#This Row],[P/FCF]]-VLOOKUP(Main_M[[#This Row],[Industry]], Mean_PFCF_M, 2, FALSE))/(VLOOKUP(Main_M[[#This Row],[Industry]], Mean_PFCF_M, 3, FALSE))</f>
        <v>-0.58581069959802834</v>
      </c>
      <c r="P106" s="1">
        <f>(Main_M[[#This Row],[P/B]]-VLOOKUP(Main_M[[#This Row],[Industry]], Mean_PB_M, 2, FALSE))/(VLOOKUP(Main_M[[#This Row],[Industry]], Mean_PB_M, 3, FALSE))</f>
        <v>-1.5647234287377201E-3</v>
      </c>
      <c r="Q106" s="1">
        <f>(Main_M[[#This Row],[ROE]]-VLOOKUP(Main_M[[#This Row],[Industry]], Mean_ROE_M, 2, FALSE))/(VLOOKUP(Main_M[[#This Row],[Industry]], Mean_ROE_M, 3, FALSE))</f>
        <v>0.50213291096429913</v>
      </c>
      <c r="R106" s="1">
        <f>(Main_M[[#This Row],[ROA]]-VLOOKUP(Main_M[[#This Row],[Industry]], Mean_ROA_M, 2, FALSE))/(VLOOKUP(Main_M[[#This Row],[Industry]], Mean_ROA_M, 3, FALSE))</f>
        <v>2.7820753092299548</v>
      </c>
      <c r="S106" s="1">
        <f>(Main_M[[#This Row],[A/E]]-VLOOKUP(Main_M[[#This Row],[Industry]], Mean_AE_M, 2, FALSE))/(VLOOKUP(Main_M[[#This Row],[Industry]], Mean_AE_M, 3, FALSE))</f>
        <v>-1.4945519076760669</v>
      </c>
      <c r="T106" s="1">
        <f>(Main_M[[#This Row],[P/E]]-VLOOKUP(Main_M[[#This Row],[Industry]], Mean_PE_M, 2, FALSE))/(VLOOKUP(Main_M[[#This Row],[Industry]], Mean_PE_M, 3, FALSE))</f>
        <v>-0.85697439150963495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s="67" t="s">
        <v>156</v>
      </c>
      <c r="B107" s="67" t="s">
        <v>315</v>
      </c>
      <c r="C107" s="2">
        <v>3939</v>
      </c>
      <c r="D107">
        <f>RTD("tos.rtd", , "LAST", Main_M[[#This Row],[Symbol]])</f>
        <v>86.83</v>
      </c>
      <c r="E107">
        <v>4.45</v>
      </c>
      <c r="F107">
        <v>28.37</v>
      </c>
      <c r="G107">
        <v>3.83</v>
      </c>
      <c r="H107" s="1">
        <f>IF(ISNUMBER(Main_M[[#This Row],[Free CF]]),IF(Main_M[[#This Row],[Free CF]]&lt;&gt;0,Main_M[[#This Row],[Current Price]]/Main_M[[#This Row],[Free CF]],""),"")</f>
        <v>19.512359550561797</v>
      </c>
      <c r="I107" s="1">
        <f>IF(ISNUMBER(Main_M[[#This Row],[BVPS]]),IF(Main_M[[#This Row],[BVPS]]&lt;&gt;0,Main_M[[#This Row],[Current Price]]/Main_M[[#This Row],[BVPS]],""),"")</f>
        <v>3.0606274233345081</v>
      </c>
      <c r="J107">
        <v>14.25</v>
      </c>
      <c r="K107">
        <v>8.3699999999999992</v>
      </c>
      <c r="L107">
        <v>1.49</v>
      </c>
      <c r="M107" s="1">
        <f>IF(ISNUMBER(Main_M[[#This Row],[EPS]]),IF(Main_M[[#This Row],[EPS]]&lt;&gt;0,Main_M[[#This Row],[Current Price]]/Main_M[[#This Row],[EPS]],""),"")</f>
        <v>22.6710182767624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7" s="1">
        <f>(Main_M[[#This Row],[P/FCF]]-VLOOKUP(Main_M[[#This Row],[Industry]], Mean_PFCF_M, 2, FALSE))/(VLOOKUP(Main_M[[#This Row],[Industry]], Mean_PFCF_M, 3, FALSE))</f>
        <v>-0.31734815304173608</v>
      </c>
      <c r="P107" s="1">
        <f>(Main_M[[#This Row],[P/B]]-VLOOKUP(Main_M[[#This Row],[Industry]], Mean_PB_M, 2, FALSE))/(VLOOKUP(Main_M[[#This Row],[Industry]], Mean_PB_M, 3, FALSE))</f>
        <v>-0.10283808304848142</v>
      </c>
      <c r="Q107" s="1">
        <f>(Main_M[[#This Row],[ROE]]-VLOOKUP(Main_M[[#This Row],[Industry]], Mean_ROE_M, 2, FALSE))/(VLOOKUP(Main_M[[#This Row],[Industry]], Mean_ROE_M, 3, FALSE))</f>
        <v>-0.11666839596873158</v>
      </c>
      <c r="R107" s="1">
        <f>(Main_M[[#This Row],[ROA]]-VLOOKUP(Main_M[[#This Row],[Industry]], Mean_ROA_M, 2, FALSE))/(VLOOKUP(Main_M[[#This Row],[Industry]], Mean_ROA_M, 3, FALSE))</f>
        <v>0.45287765601640295</v>
      </c>
      <c r="S107" s="1">
        <f>(Main_M[[#This Row],[A/E]]-VLOOKUP(Main_M[[#This Row],[Industry]], Mean_AE_M, 2, FALSE))/(VLOOKUP(Main_M[[#This Row],[Industry]], Mean_AE_M, 3, FALSE))</f>
        <v>-1.0000043177881224</v>
      </c>
      <c r="T107" s="1">
        <f>(Main_M[[#This Row],[P/E]]-VLOOKUP(Main_M[[#This Row],[Industry]], Mean_PE_M, 2, FALSE))/(VLOOKUP(Main_M[[#This Row],[Industry]], Mean_PE_M, 3, FALSE))</f>
        <v>-6.1063174218207388E-2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s="67" t="s">
        <v>156</v>
      </c>
      <c r="B108" s="67" t="s">
        <v>303</v>
      </c>
      <c r="C108" s="2">
        <v>6385</v>
      </c>
      <c r="D108">
        <f>RTD("tos.rtd", , "LAST", Main_M[[#This Row],[Symbol]])</f>
        <v>110.69</v>
      </c>
      <c r="E108">
        <v>4.4400000000000004</v>
      </c>
      <c r="F108">
        <v>65.66</v>
      </c>
      <c r="G108">
        <v>9.3699999999999992</v>
      </c>
      <c r="H108" s="1">
        <f>IF(ISNUMBER(Main_M[[#This Row],[Free CF]]),IF(Main_M[[#This Row],[Free CF]]&lt;&gt;0,Main_M[[#This Row],[Current Price]]/Main_M[[#This Row],[Free CF]],""),"")</f>
        <v>24.930180180180177</v>
      </c>
      <c r="I108" s="1">
        <f>IF(ISNUMBER(Main_M[[#This Row],[BVPS]]),IF(Main_M[[#This Row],[BVPS]]&lt;&gt;0,Main_M[[#This Row],[Current Price]]/Main_M[[#This Row],[BVPS]],""),"")</f>
        <v>1.6858056655498022</v>
      </c>
      <c r="J108">
        <v>15.24</v>
      </c>
      <c r="K108">
        <v>6.39</v>
      </c>
      <c r="L108">
        <v>2.31</v>
      </c>
      <c r="M108" s="1">
        <f>IF(ISNUMBER(Main_M[[#This Row],[EPS]]),IF(Main_M[[#This Row],[EPS]]&lt;&gt;0,Main_M[[#This Row],[Current Price]]/Main_M[[#This Row],[EPS]],""),"")</f>
        <v>11.813233724653148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0.27508692364389969</v>
      </c>
      <c r="P108" s="1">
        <f>(Main_M[[#This Row],[P/B]]-VLOOKUP(Main_M[[#This Row],[Industry]], Mean_PB_M, 2, FALSE))/(VLOOKUP(Main_M[[#This Row],[Industry]], Mean_PB_M, 3, FALSE))</f>
        <v>-1.0149395225666415</v>
      </c>
      <c r="Q108" s="1">
        <f>(Main_M[[#This Row],[ROE]]-VLOOKUP(Main_M[[#This Row],[Industry]], Mean_ROE_M, 2, FALSE))/(VLOOKUP(Main_M[[#This Row],[Industry]], Mean_ROE_M, 3, FALSE))</f>
        <v>-5.8268653941686711E-2</v>
      </c>
      <c r="R108" s="1">
        <f>(Main_M[[#This Row],[ROA]]-VLOOKUP(Main_M[[#This Row],[Industry]], Mean_ROA_M, 2, FALSE))/(VLOOKUP(Main_M[[#This Row],[Industry]], Mean_ROA_M, 3, FALSE))</f>
        <v>-0.17118342021672725</v>
      </c>
      <c r="S108" s="1">
        <f>(Main_M[[#This Row],[A/E]]-VLOOKUP(Main_M[[#This Row],[Industry]], Mean_AE_M, 2, FALSE))/(VLOOKUP(Main_M[[#This Row],[Industry]], Mean_AE_M, 3, FALSE))</f>
        <v>0.44831362402657249</v>
      </c>
      <c r="T108" s="1">
        <f>(Main_M[[#This Row],[P/E]]-VLOOKUP(Main_M[[#This Row],[Industry]], Mean_PE_M, 2, FALSE))/(VLOOKUP(Main_M[[#This Row],[Industry]], Mean_PE_M, 3, FALSE))</f>
        <v>-1.0699899174568082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s="67" t="s">
        <v>156</v>
      </c>
      <c r="B109" s="67" t="s">
        <v>592</v>
      </c>
      <c r="C109" s="2">
        <v>5735</v>
      </c>
      <c r="D109">
        <f>RTD("tos.rtd", , "LAST", Main_M[[#This Row],[Symbol]])</f>
        <v>40.78</v>
      </c>
      <c r="E109">
        <v>3.74</v>
      </c>
      <c r="F109">
        <v>20.53</v>
      </c>
      <c r="G109">
        <v>3.24</v>
      </c>
      <c r="H109" s="1">
        <f>IF(ISNUMBER(Main_M[[#This Row],[Free CF]]),IF(Main_M[[#This Row],[Free CF]]&lt;&gt;0,Main_M[[#This Row],[Current Price]]/Main_M[[#This Row],[Free CF]],""),"")</f>
        <v>10.903743315508022</v>
      </c>
      <c r="I109" s="1">
        <f>IF(ISNUMBER(Main_M[[#This Row],[BVPS]]),IF(Main_M[[#This Row],[BVPS]]&lt;&gt;0,Main_M[[#This Row],[Current Price]]/Main_M[[#This Row],[BVPS]],""),"")</f>
        <v>1.9863614223088164</v>
      </c>
      <c r="J109">
        <v>16.170000000000002</v>
      </c>
      <c r="K109">
        <v>6.96</v>
      </c>
      <c r="L109">
        <v>2.19</v>
      </c>
      <c r="M109" s="1">
        <f>IF(ISNUMBER(Main_M[[#This Row],[EPS]]),IF(Main_M[[#This Row],[EPS]]&lt;&gt;0,Main_M[[#This Row],[Current Price]]/Main_M[[#This Row],[EPS]],""),"")</f>
        <v>12.586419753086419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-1.2586946035849926</v>
      </c>
      <c r="P109" s="1">
        <f>(Main_M[[#This Row],[P/B]]-VLOOKUP(Main_M[[#This Row],[Industry]], Mean_PB_M, 2, FALSE))/(VLOOKUP(Main_M[[#This Row],[Industry]], Mean_PB_M, 3, FALSE))</f>
        <v>-0.81554106466247445</v>
      </c>
      <c r="Q109" s="1">
        <f>(Main_M[[#This Row],[ROE]]-VLOOKUP(Main_M[[#This Row],[Industry]], Mean_ROE_M, 2, FALSE))/(VLOOKUP(Main_M[[#This Row],[Industry]], Mean_ROE_M, 3, FALSE))</f>
        <v>-3.4082902193111634E-3</v>
      </c>
      <c r="R109" s="1">
        <f>(Main_M[[#This Row],[ROA]]-VLOOKUP(Main_M[[#This Row],[Industry]], Mean_ROA_M, 2, FALSE))/(VLOOKUP(Main_M[[#This Row],[Industry]], Mean_ROA_M, 3, FALSE))</f>
        <v>8.4705259715982494E-3</v>
      </c>
      <c r="S109" s="1">
        <f>(Main_M[[#This Row],[A/E]]-VLOOKUP(Main_M[[#This Row],[Industry]], Mean_AE_M, 2, FALSE))/(VLOOKUP(Main_M[[#This Row],[Industry]], Mean_AE_M, 3, FALSE))</f>
        <v>0.23636465693173894</v>
      </c>
      <c r="T109" s="1">
        <f>(Main_M[[#This Row],[P/E]]-VLOOKUP(Main_M[[#This Row],[Industry]], Mean_PE_M, 2, FALSE))/(VLOOKUP(Main_M[[#This Row],[Industry]], Mean_PE_M, 3, FALSE))</f>
        <v>-0.99814394760532243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s="67" t="s">
        <v>156</v>
      </c>
      <c r="B110" s="67" t="s">
        <v>301</v>
      </c>
      <c r="C110" s="2">
        <v>5735</v>
      </c>
      <c r="D110">
        <f>RTD("tos.rtd", , "LAST", Main_M[[#This Row],[Symbol]])</f>
        <v>100.46</v>
      </c>
      <c r="E110">
        <v>3.26</v>
      </c>
      <c r="F110">
        <v>19.72</v>
      </c>
      <c r="G110">
        <v>3.41</v>
      </c>
      <c r="H110" s="1">
        <f>IF(ISNUMBER(Main_M[[#This Row],[Free CF]]),IF(Main_M[[#This Row],[Free CF]]&lt;&gt;0,Main_M[[#This Row],[Current Price]]/Main_M[[#This Row],[Free CF]],""),"")</f>
        <v>30.815950920245399</v>
      </c>
      <c r="I110" s="1">
        <f>IF(ISNUMBER(Main_M[[#This Row],[BVPS]]),IF(Main_M[[#This Row],[BVPS]]&lt;&gt;0,Main_M[[#This Row],[Current Price]]/Main_M[[#This Row],[BVPS]],""),"")</f>
        <v>5.0943204868154162</v>
      </c>
      <c r="J110">
        <v>18.78</v>
      </c>
      <c r="K110">
        <v>10.41</v>
      </c>
      <c r="L110">
        <v>1.56</v>
      </c>
      <c r="M110" s="1">
        <f>IF(ISNUMBER(Main_M[[#This Row],[EPS]]),IF(Main_M[[#This Row],[EPS]]&lt;&gt;0,Main_M[[#This Row],[Current Price]]/Main_M[[#This Row],[EPS]],""),"")</f>
        <v>29.460410557184748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0.91869203317485593</v>
      </c>
      <c r="P110" s="1">
        <f>(Main_M[[#This Row],[P/B]]-VLOOKUP(Main_M[[#This Row],[Industry]], Mean_PB_M, 2, FALSE))/(VLOOKUP(Main_M[[#This Row],[Industry]], Mean_PB_M, 3, FALSE))</f>
        <v>1.2463799957575656</v>
      </c>
      <c r="Q110" s="1">
        <f>(Main_M[[#This Row],[ROE]]-VLOOKUP(Main_M[[#This Row],[Industry]], Mean_ROE_M, 2, FALSE))/(VLOOKUP(Main_M[[#This Row],[Industry]], Mean_ROE_M, 3, FALSE))</f>
        <v>0.15055466603380704</v>
      </c>
      <c r="R110" s="1">
        <f>(Main_M[[#This Row],[ROA]]-VLOOKUP(Main_M[[#This Row],[Industry]], Mean_ROA_M, 2, FALSE))/(VLOOKUP(Main_M[[#This Row],[Industry]], Mean_ROA_M, 3, FALSE))</f>
        <v>1.0958496739535679</v>
      </c>
      <c r="S110" s="1">
        <f>(Main_M[[#This Row],[A/E]]-VLOOKUP(Main_M[[#This Row],[Industry]], Mean_AE_M, 2, FALSE))/(VLOOKUP(Main_M[[#This Row],[Industry]], Mean_AE_M, 3, FALSE))</f>
        <v>-0.87636742031613613</v>
      </c>
      <c r="T110" s="1">
        <f>(Main_M[[#This Row],[P/E]]-VLOOKUP(Main_M[[#This Row],[Industry]], Mean_PE_M, 2, FALSE))/(VLOOKUP(Main_M[[#This Row],[Industry]], Mean_PE_M, 3, FALSE))</f>
        <v>0.56982053959845003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s="67" t="s">
        <v>156</v>
      </c>
      <c r="B111" s="67" t="s">
        <v>304</v>
      </c>
      <c r="C111" s="2">
        <v>2953</v>
      </c>
      <c r="D111">
        <f>RTD("tos.rtd", , "LAST", Main_M[[#This Row],[Symbol]])</f>
        <v>47.63</v>
      </c>
      <c r="E111">
        <v>3.01</v>
      </c>
      <c r="F111">
        <v>28.15</v>
      </c>
      <c r="G111">
        <v>3.67</v>
      </c>
      <c r="H111" s="1">
        <f>IF(ISNUMBER(Main_M[[#This Row],[Free CF]]),IF(Main_M[[#This Row],[Free CF]]&lt;&gt;0,Main_M[[#This Row],[Current Price]]/Main_M[[#This Row],[Free CF]],""),"")</f>
        <v>15.823920265780734</v>
      </c>
      <c r="I111" s="1">
        <f>IF(ISNUMBER(Main_M[[#This Row],[BVPS]]),IF(Main_M[[#This Row],[BVPS]]&lt;&gt;0,Main_M[[#This Row],[Current Price]]/Main_M[[#This Row],[BVPS]],""),"")</f>
        <v>1.6920071047957372</v>
      </c>
      <c r="J111">
        <v>13.82</v>
      </c>
      <c r="K111">
        <v>5.64</v>
      </c>
      <c r="L111">
        <v>3.17</v>
      </c>
      <c r="M111" s="1">
        <f>IF(ISNUMBER(Main_M[[#This Row],[EPS]]),IF(Main_M[[#This Row],[EPS]]&lt;&gt;0,Main_M[[#This Row],[Current Price]]/Main_M[[#This Row],[EPS]],""),"")</f>
        <v>12.978201634877385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-0.72067653172294377</v>
      </c>
      <c r="P111" s="1">
        <f>(Main_M[[#This Row],[P/B]]-VLOOKUP(Main_M[[#This Row],[Industry]], Mean_PB_M, 2, FALSE))/(VLOOKUP(Main_M[[#This Row],[Industry]], Mean_PB_M, 3, FALSE))</f>
        <v>-1.0108252862074383</v>
      </c>
      <c r="Q111" s="1">
        <f>(Main_M[[#This Row],[ROE]]-VLOOKUP(Main_M[[#This Row],[Industry]], Mean_ROE_M, 2, FALSE))/(VLOOKUP(Main_M[[#This Row],[Industry]], Mean_ROE_M, 3, FALSE))</f>
        <v>-0.14203394048552881</v>
      </c>
      <c r="R111" s="1">
        <f>(Main_M[[#This Row],[ROA]]-VLOOKUP(Main_M[[#This Row],[Industry]], Mean_ROA_M, 2, FALSE))/(VLOOKUP(Main_M[[#This Row],[Industry]], Mean_ROA_M, 3, FALSE))</f>
        <v>-0.4075701915171554</v>
      </c>
      <c r="S111" s="1">
        <f>(Main_M[[#This Row],[A/E]]-VLOOKUP(Main_M[[#This Row],[Industry]], Mean_AE_M, 2, FALSE))/(VLOOKUP(Main_M[[#This Row],[Industry]], Mean_AE_M, 3, FALSE))</f>
        <v>1.9672812215395448</v>
      </c>
      <c r="T111" s="1">
        <f>(Main_M[[#This Row],[P/E]]-VLOOKUP(Main_M[[#This Row],[Industry]], Mean_PE_M, 2, FALSE))/(VLOOKUP(Main_M[[#This Row],[Industry]], Mean_PE_M, 3, FALSE))</f>
        <v>-0.9617388028763767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s="67" t="s">
        <v>156</v>
      </c>
      <c r="B112" s="67" t="s">
        <v>547</v>
      </c>
      <c r="C112" s="2">
        <v>2941</v>
      </c>
      <c r="D112">
        <f>RTD("tos.rtd", , "LAST", Main_M[[#This Row],[Symbol]])</f>
        <v>60.79</v>
      </c>
      <c r="E112">
        <v>2.91</v>
      </c>
      <c r="F112">
        <v>18.78</v>
      </c>
      <c r="G112">
        <v>1.21</v>
      </c>
      <c r="H112" s="1">
        <f>IF(ISNUMBER(Main_M[[#This Row],[Free CF]]),IF(Main_M[[#This Row],[Free CF]]&lt;&gt;0,Main_M[[#This Row],[Current Price]]/Main_M[[#This Row],[Free CF]],""),"")</f>
        <v>20.890034364261169</v>
      </c>
      <c r="I112" s="1">
        <f>IF(ISNUMBER(Main_M[[#This Row],[BVPS]]),IF(Main_M[[#This Row],[BVPS]]&lt;&gt;0,Main_M[[#This Row],[Current Price]]/Main_M[[#This Row],[BVPS]],""),"")</f>
        <v>3.2369542066027686</v>
      </c>
      <c r="J112">
        <v>6.43</v>
      </c>
      <c r="K112">
        <v>1.28</v>
      </c>
      <c r="L112">
        <v>1.79</v>
      </c>
      <c r="M112" s="1">
        <f>IF(ISNUMBER(Main_M[[#This Row],[EPS]]),IF(Main_M[[#This Row],[EPS]]&lt;&gt;0,Main_M[[#This Row],[Current Price]]/Main_M[[#This Row],[EPS]],""),"")</f>
        <v>50.239669421487605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-0.16670032992261843</v>
      </c>
      <c r="P112" s="1">
        <f>(Main_M[[#This Row],[P/B]]-VLOOKUP(Main_M[[#This Row],[Industry]], Mean_PB_M, 2, FALSE))/(VLOOKUP(Main_M[[#This Row],[Industry]], Mean_PB_M, 3, FALSE))</f>
        <v>1.4142836066251047E-2</v>
      </c>
      <c r="Q112" s="1">
        <f>(Main_M[[#This Row],[ROE]]-VLOOKUP(Main_M[[#This Row],[Industry]], Mean_ROE_M, 2, FALSE))/(VLOOKUP(Main_M[[#This Row],[Industry]], Mean_ROE_M, 3, FALSE))</f>
        <v>-0.57796736834397477</v>
      </c>
      <c r="R112" s="1">
        <f>(Main_M[[#This Row],[ROA]]-VLOOKUP(Main_M[[#This Row],[Industry]], Mean_ROA_M, 2, FALSE))/(VLOOKUP(Main_M[[#This Row],[Industry]], Mean_ROA_M, 3, FALSE))</f>
        <v>-1.7817652886769775</v>
      </c>
      <c r="S112" s="1">
        <f>(Main_M[[#This Row],[A/E]]-VLOOKUP(Main_M[[#This Row],[Industry]], Mean_AE_M, 2, FALSE))/(VLOOKUP(Main_M[[#This Row],[Industry]], Mean_AE_M, 3, FALSE))</f>
        <v>-0.47013190005103883</v>
      </c>
      <c r="T112" s="1">
        <f>(Main_M[[#This Row],[P/E]]-VLOOKUP(Main_M[[#This Row],[Industry]], Mean_PE_M, 2, FALSE))/(VLOOKUP(Main_M[[#This Row],[Industry]], Mean_PE_M, 3, FALSE))</f>
        <v>2.5006702329459074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s="67" t="s">
        <v>156</v>
      </c>
      <c r="B113" s="67" t="s">
        <v>311</v>
      </c>
      <c r="C113" s="2">
        <v>8312</v>
      </c>
      <c r="D113">
        <f>RTD("tos.rtd", , "LAST", Main_M[[#This Row],[Symbol]])</f>
        <v>70.55</v>
      </c>
      <c r="E113">
        <v>2.88</v>
      </c>
      <c r="F113">
        <v>12.92</v>
      </c>
      <c r="G113">
        <v>3.42</v>
      </c>
      <c r="H113" s="1">
        <f>IF(ISNUMBER(Main_M[[#This Row],[Free CF]]),IF(Main_M[[#This Row],[Free CF]]&lt;&gt;0,Main_M[[#This Row],[Current Price]]/Main_M[[#This Row],[Free CF]],""),"")</f>
        <v>24.496527777777779</v>
      </c>
      <c r="I113" s="1">
        <f>IF(ISNUMBER(Main_M[[#This Row],[BVPS]]),IF(Main_M[[#This Row],[BVPS]]&lt;&gt;0,Main_M[[#This Row],[Current Price]]/Main_M[[#This Row],[BVPS]],""),"")</f>
        <v>5.4605263157894735</v>
      </c>
      <c r="J113">
        <v>28.64</v>
      </c>
      <c r="K113">
        <v>12.11</v>
      </c>
      <c r="L113">
        <v>1.92</v>
      </c>
      <c r="M113" s="1">
        <f>IF(ISNUMBER(Main_M[[#This Row],[EPS]]),IF(Main_M[[#This Row],[EPS]]&lt;&gt;0,Main_M[[#This Row],[Current Price]]/Main_M[[#This Row],[EPS]],""),"")</f>
        <v>20.628654970760234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0.22766732232530248</v>
      </c>
      <c r="P113" s="1">
        <f>(Main_M[[#This Row],[P/B]]-VLOOKUP(Main_M[[#This Row],[Industry]], Mean_PB_M, 2, FALSE))/(VLOOKUP(Main_M[[#This Row],[Industry]], Mean_PB_M, 3, FALSE))</f>
        <v>1.489332845373061</v>
      </c>
      <c r="Q113" s="1">
        <f>(Main_M[[#This Row],[ROE]]-VLOOKUP(Main_M[[#This Row],[Industry]], Mean_ROE_M, 2, FALSE))/(VLOOKUP(Main_M[[#This Row],[Industry]], Mean_ROE_M, 3, FALSE))</f>
        <v>0.73219250076780917</v>
      </c>
      <c r="R113" s="1">
        <f>(Main_M[[#This Row],[ROA]]-VLOOKUP(Main_M[[#This Row],[Industry]], Mean_ROA_M, 2, FALSE))/(VLOOKUP(Main_M[[#This Row],[Industry]], Mean_ROA_M, 3, FALSE))</f>
        <v>1.6316596889012047</v>
      </c>
      <c r="S113" s="1">
        <f>(Main_M[[#This Row],[A/E]]-VLOOKUP(Main_M[[#This Row],[Industry]], Mean_AE_M, 2, FALSE))/(VLOOKUP(Main_M[[#This Row],[Industry]], Mean_AE_M, 3, FALSE))</f>
        <v>-0.24052051903163621</v>
      </c>
      <c r="T113" s="1">
        <f>(Main_M[[#This Row],[P/E]]-VLOOKUP(Main_M[[#This Row],[Industry]], Mean_PE_M, 2, FALSE))/(VLOOKUP(Main_M[[#This Row],[Industry]], Mean_PE_M, 3, FALSE))</f>
        <v>-0.25084359847929594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s="67" t="s">
        <v>156</v>
      </c>
      <c r="B114" s="67" t="s">
        <v>596</v>
      </c>
      <c r="C114" s="2">
        <v>9744</v>
      </c>
      <c r="D114">
        <f>RTD("tos.rtd", , "LAST", Main_M[[#This Row],[Symbol]])</f>
        <v>13.07</v>
      </c>
      <c r="E114">
        <v>2.23</v>
      </c>
      <c r="F114">
        <v>6.88</v>
      </c>
      <c r="G114">
        <v>1.23</v>
      </c>
      <c r="H114" s="1">
        <f>IF(ISNUMBER(Main_M[[#This Row],[Free CF]]),IF(Main_M[[#This Row],[Free CF]]&lt;&gt;0,Main_M[[#This Row],[Current Price]]/Main_M[[#This Row],[Free CF]],""),"")</f>
        <v>5.8609865470852016</v>
      </c>
      <c r="I114" s="1">
        <f>IF(ISNUMBER(Main_M[[#This Row],[BVPS]]),IF(Main_M[[#This Row],[BVPS]]&lt;&gt;0,Main_M[[#This Row],[Current Price]]/Main_M[[#This Row],[BVPS]],""),"")</f>
        <v>1.8997093023255816</v>
      </c>
      <c r="J114">
        <v>19.329999999999998</v>
      </c>
      <c r="K114">
        <v>8.7100000000000009</v>
      </c>
      <c r="L114">
        <v>1.73</v>
      </c>
      <c r="M114" s="1">
        <f>IF(ISNUMBER(Main_M[[#This Row],[EPS]]),IF(Main_M[[#This Row],[EPS]]&lt;&gt;0,Main_M[[#This Row],[Current Price]]/Main_M[[#This Row],[EPS]],""),"")</f>
        <v>10.626016260162602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4" s="1">
        <f>(Main_M[[#This Row],[P/FCF]]-VLOOKUP(Main_M[[#This Row],[Industry]], Mean_PFCF_M, 2, FALSE))/(VLOOKUP(Main_M[[#This Row],[Industry]], Mean_PFCF_M, 3, FALSE))</f>
        <v>-1.8101166969033564</v>
      </c>
      <c r="P114" s="1">
        <f>(Main_M[[#This Row],[P/B]]-VLOOKUP(Main_M[[#This Row],[Industry]], Mean_PB_M, 2, FALSE))/(VLOOKUP(Main_M[[#This Row],[Industry]], Mean_PB_M, 3, FALSE))</f>
        <v>-0.87302889748624446</v>
      </c>
      <c r="Q114" s="1">
        <f>(Main_M[[#This Row],[ROE]]-VLOOKUP(Main_M[[#This Row],[Industry]], Mean_ROE_M, 2, FALSE))/(VLOOKUP(Main_M[[#This Row],[Industry]], Mean_ROE_M, 3, FALSE))</f>
        <v>0.1829989671599429</v>
      </c>
      <c r="R114" s="1">
        <f>(Main_M[[#This Row],[ROA]]-VLOOKUP(Main_M[[#This Row],[Industry]], Mean_ROA_M, 2, FALSE))/(VLOOKUP(Main_M[[#This Row],[Industry]], Mean_ROA_M, 3, FALSE))</f>
        <v>0.56003965900593089</v>
      </c>
      <c r="S114" s="1">
        <f>(Main_M[[#This Row],[A/E]]-VLOOKUP(Main_M[[#This Row],[Industry]], Mean_AE_M, 2, FALSE))/(VLOOKUP(Main_M[[#This Row],[Industry]], Mean_AE_M, 3, FALSE))</f>
        <v>-0.57610638359845556</v>
      </c>
      <c r="T114" s="1">
        <f>(Main_M[[#This Row],[P/E]]-VLOOKUP(Main_M[[#This Row],[Industry]], Mean_PE_M, 2, FALSE))/(VLOOKUP(Main_M[[#This Row],[Industry]], Mean_PE_M, 3, FALSE))</f>
        <v>-1.1803085044775596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s="67" t="s">
        <v>156</v>
      </c>
      <c r="B115" s="67" t="s">
        <v>598</v>
      </c>
      <c r="C115" s="2">
        <v>4158</v>
      </c>
      <c r="D115">
        <f>RTD("tos.rtd", , "LAST", Main_M[[#This Row],[Symbol]])</f>
        <v>75.91</v>
      </c>
      <c r="E115">
        <v>2.02</v>
      </c>
      <c r="F115">
        <v>19.98</v>
      </c>
      <c r="G115">
        <v>1.2</v>
      </c>
      <c r="H115" s="1">
        <f>IF(ISNUMBER(Main_M[[#This Row],[Free CF]]),IF(Main_M[[#This Row],[Free CF]]&lt;&gt;0,Main_M[[#This Row],[Current Price]]/Main_M[[#This Row],[Free CF]],""),"")</f>
        <v>37.579207920792079</v>
      </c>
      <c r="I115" s="1">
        <f>IF(ISNUMBER(Main_M[[#This Row],[BVPS]]),IF(Main_M[[#This Row],[BVPS]]&lt;&gt;0,Main_M[[#This Row],[Current Price]]/Main_M[[#This Row],[BVPS]],""),"")</f>
        <v>3.7992992992992991</v>
      </c>
      <c r="J115">
        <v>6.16</v>
      </c>
      <c r="K115">
        <v>3.53</v>
      </c>
      <c r="L115">
        <v>1.63</v>
      </c>
      <c r="M115" s="1">
        <f>IF(ISNUMBER(Main_M[[#This Row],[EPS]]),IF(Main_M[[#This Row],[EPS]]&lt;&gt;0,Main_M[[#This Row],[Current Price]]/Main_M[[#This Row],[EPS]],""),"")</f>
        <v>63.258333333333333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1.6582496807387188</v>
      </c>
      <c r="P115" s="1">
        <f>(Main_M[[#This Row],[P/B]]-VLOOKUP(Main_M[[#This Row],[Industry]], Mean_PB_M, 2, FALSE))/(VLOOKUP(Main_M[[#This Row],[Industry]], Mean_PB_M, 3, FALSE))</f>
        <v>0.38722084828869091</v>
      </c>
      <c r="Q115" s="1">
        <f>(Main_M[[#This Row],[ROE]]-VLOOKUP(Main_M[[#This Row],[Industry]], Mean_ROE_M, 2, FALSE))/(VLOOKUP(Main_M[[#This Row],[Industry]], Mean_ROE_M, 3, FALSE))</f>
        <v>-0.59389457071498697</v>
      </c>
      <c r="R115" s="1">
        <f>(Main_M[[#This Row],[ROA]]-VLOOKUP(Main_M[[#This Row],[Industry]], Mean_ROA_M, 2, FALSE))/(VLOOKUP(Main_M[[#This Row],[Industry]], Mean_ROA_M, 3, FALSE))</f>
        <v>-1.0726049747756932</v>
      </c>
      <c r="S115" s="1">
        <f>(Main_M[[#This Row],[A/E]]-VLOOKUP(Main_M[[#This Row],[Industry]], Mean_AE_M, 2, FALSE))/(VLOOKUP(Main_M[[#This Row],[Industry]], Mean_AE_M, 3, FALSE))</f>
        <v>-0.75273052284415021</v>
      </c>
      <c r="T115" s="1">
        <f>(Main_M[[#This Row],[P/E]]-VLOOKUP(Main_M[[#This Row],[Industry]], Mean_PE_M, 2, FALSE))/(VLOOKUP(Main_M[[#This Row],[Industry]], Mean_PE_M, 3, FALSE))</f>
        <v>3.7103901457751607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6" spans="1:26" x14ac:dyDescent="0.25">
      <c r="A116" s="67" t="s">
        <v>156</v>
      </c>
      <c r="B116" s="67" t="s">
        <v>316</v>
      </c>
      <c r="C116" s="2">
        <v>6525</v>
      </c>
      <c r="D116">
        <f>RTD("tos.rtd", , "LAST", Main_M[[#This Row],[Symbol]])</f>
        <v>48.17</v>
      </c>
      <c r="E116">
        <v>1.78</v>
      </c>
      <c r="F116">
        <v>15.85</v>
      </c>
      <c r="G116">
        <v>2.14</v>
      </c>
      <c r="H116" s="1">
        <f>IF(ISNUMBER(Main_M[[#This Row],[Free CF]]),IF(Main_M[[#This Row],[Free CF]]&lt;&gt;0,Main_M[[#This Row],[Current Price]]/Main_M[[#This Row],[Free CF]],""),"")</f>
        <v>27.061797752808989</v>
      </c>
      <c r="I116" s="1">
        <f>IF(ISNUMBER(Main_M[[#This Row],[BVPS]]),IF(Main_M[[#This Row],[BVPS]]&lt;&gt;0,Main_M[[#This Row],[Current Price]]/Main_M[[#This Row],[BVPS]],""),"")</f>
        <v>3.0391167192429025</v>
      </c>
      <c r="J116">
        <v>14.68</v>
      </c>
      <c r="K116">
        <v>6.21</v>
      </c>
      <c r="L116">
        <v>2.64</v>
      </c>
      <c r="M116" s="1">
        <f>IF(ISNUMBER(Main_M[[#This Row],[EPS]]),IF(Main_M[[#This Row],[EPS]]&lt;&gt;0,Main_M[[#This Row],[Current Price]]/Main_M[[#This Row],[EPS]],""),"")</f>
        <v>22.509345794392523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0.50817788520158258</v>
      </c>
      <c r="P116" s="1">
        <f>(Main_M[[#This Row],[P/B]]-VLOOKUP(Main_M[[#This Row],[Industry]], Mean_PB_M, 2, FALSE))/(VLOOKUP(Main_M[[#This Row],[Industry]], Mean_PB_M, 3, FALSE))</f>
        <v>-0.11710898329857414</v>
      </c>
      <c r="Q116" s="1">
        <f>(Main_M[[#This Row],[ROE]]-VLOOKUP(Main_M[[#This Row],[Industry]], Mean_ROE_M, 2, FALSE))/(VLOOKUP(Main_M[[#This Row],[Industry]], Mean_ROE_M, 3, FALSE))</f>
        <v>-9.1302851451934328E-2</v>
      </c>
      <c r="R116" s="1">
        <f>(Main_M[[#This Row],[ROA]]-VLOOKUP(Main_M[[#This Row],[Industry]], Mean_ROA_M, 2, FALSE))/(VLOOKUP(Main_M[[#This Row],[Industry]], Mean_ROA_M, 3, FALSE))</f>
        <v>-0.2279162453288299</v>
      </c>
      <c r="S116" s="1">
        <f>(Main_M[[#This Row],[A/E]]-VLOOKUP(Main_M[[#This Row],[Industry]], Mean_AE_M, 2, FALSE))/(VLOOKUP(Main_M[[#This Row],[Industry]], Mean_AE_M, 3, FALSE))</f>
        <v>1.0311732835373644</v>
      </c>
      <c r="T116" s="1">
        <f>(Main_M[[#This Row],[P/E]]-VLOOKUP(Main_M[[#This Row],[Industry]], Mean_PE_M, 2, FALSE))/(VLOOKUP(Main_M[[#This Row],[Industry]], Mean_PE_M, 3, FALSE))</f>
        <v>-7.6086099965712001E-2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s="67" t="s">
        <v>156</v>
      </c>
      <c r="B117" s="67" t="s">
        <v>601</v>
      </c>
      <c r="C117" s="2">
        <v>6749</v>
      </c>
      <c r="D117">
        <f>RTD("tos.rtd", , "LAST", Main_M[[#This Row],[Symbol]])</f>
        <v>27.75</v>
      </c>
      <c r="E117">
        <v>1.36</v>
      </c>
      <c r="F117">
        <v>5.32</v>
      </c>
      <c r="G117">
        <v>1.2</v>
      </c>
      <c r="H117" s="1">
        <f>IF(ISNUMBER(Main_M[[#This Row],[Free CF]]),IF(Main_M[[#This Row],[Free CF]]&lt;&gt;0,Main_M[[#This Row],[Current Price]]/Main_M[[#This Row],[Free CF]],""),"")</f>
        <v>20.40441176470588</v>
      </c>
      <c r="I117" s="1">
        <f>IF(ISNUMBER(Main_M[[#This Row],[BVPS]]),IF(Main_M[[#This Row],[BVPS]]&lt;&gt;0,Main_M[[#This Row],[Current Price]]/Main_M[[#This Row],[BVPS]],""),"")</f>
        <v>5.216165413533834</v>
      </c>
      <c r="J117">
        <v>23.5</v>
      </c>
      <c r="K117">
        <v>10.32</v>
      </c>
      <c r="L117">
        <v>2.2999999999999998</v>
      </c>
      <c r="M117" s="1">
        <f>IF(ISNUMBER(Main_M[[#This Row],[EPS]]),IF(Main_M[[#This Row],[EPS]]&lt;&gt;0,Main_M[[#This Row],[Current Price]]/Main_M[[#This Row],[EPS]],""),"")</f>
        <v>23.125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-0.21980283767915154</v>
      </c>
      <c r="P117" s="1">
        <f>(Main_M[[#This Row],[P/B]]-VLOOKUP(Main_M[[#This Row],[Industry]], Mean_PB_M, 2, FALSE))/(VLOOKUP(Main_M[[#This Row],[Industry]], Mean_PB_M, 3, FALSE))</f>
        <v>1.3272158804303023</v>
      </c>
      <c r="Q117" s="1">
        <f>(Main_M[[#This Row],[ROE]]-VLOOKUP(Main_M[[#This Row],[Industry]], Mean_ROE_M, 2, FALSE))/(VLOOKUP(Main_M[[#This Row],[Industry]], Mean_ROE_M, 3, FALSE))</f>
        <v>0.42898575933446526</v>
      </c>
      <c r="R117" s="1">
        <f>(Main_M[[#This Row],[ROA]]-VLOOKUP(Main_M[[#This Row],[Industry]], Mean_ROA_M, 2, FALSE))/(VLOOKUP(Main_M[[#This Row],[Industry]], Mean_ROA_M, 3, FALSE))</f>
        <v>1.0674832613975165</v>
      </c>
      <c r="S117" s="1">
        <f>(Main_M[[#This Row],[A/E]]-VLOOKUP(Main_M[[#This Row],[Industry]], Mean_AE_M, 2, FALSE))/(VLOOKUP(Main_M[[#This Row],[Industry]], Mean_AE_M, 3, FALSE))</f>
        <v>0.43065121010200264</v>
      </c>
      <c r="T117" s="1">
        <f>(Main_M[[#This Row],[P/E]]-VLOOKUP(Main_M[[#This Row],[Industry]], Mean_PE_M, 2, FALSE))/(VLOOKUP(Main_M[[#This Row],[Industry]], Mean_PE_M, 3, FALSE))</f>
        <v>-1.8878297614906094E-2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s="67" t="s">
        <v>156</v>
      </c>
      <c r="B118" s="67" t="s">
        <v>312</v>
      </c>
      <c r="C118" s="2">
        <v>2319</v>
      </c>
      <c r="D118">
        <f>RTD("tos.rtd", , "LAST", Main_M[[#This Row],[Symbol]])</f>
        <v>43.45</v>
      </c>
      <c r="E118">
        <v>1.31</v>
      </c>
      <c r="F118">
        <v>7.48</v>
      </c>
      <c r="G118">
        <v>1.62</v>
      </c>
      <c r="H118" s="1">
        <f>IF(ISNUMBER(Main_M[[#This Row],[Free CF]]),IF(Main_M[[#This Row],[Free CF]]&lt;&gt;0,Main_M[[#This Row],[Current Price]]/Main_M[[#This Row],[Free CF]],""),"")</f>
        <v>33.167938931297712</v>
      </c>
      <c r="I118" s="1">
        <f>IF(ISNUMBER(Main_M[[#This Row],[BVPS]]),IF(Main_M[[#This Row],[BVPS]]&lt;&gt;0,Main_M[[#This Row],[Current Price]]/Main_M[[#This Row],[BVPS]],""),"")</f>
        <v>5.8088235294117645</v>
      </c>
      <c r="J118">
        <v>23.87</v>
      </c>
      <c r="K118">
        <v>10.93</v>
      </c>
      <c r="L118">
        <v>1.91</v>
      </c>
      <c r="M118" s="1">
        <f>IF(ISNUMBER(Main_M[[#This Row],[EPS]]),IF(Main_M[[#This Row],[EPS]]&lt;&gt;0,Main_M[[#This Row],[Current Price]]/Main_M[[#This Row],[EPS]],""),"")</f>
        <v>26.820987654320987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1.1758803553710488</v>
      </c>
      <c r="P118" s="1">
        <f>(Main_M[[#This Row],[P/B]]-VLOOKUP(Main_M[[#This Row],[Industry]], Mean_PB_M, 2, FALSE))/(VLOOKUP(Main_M[[#This Row],[Industry]], Mean_PB_M, 3, FALSE))</f>
        <v>1.7204045374860426</v>
      </c>
      <c r="Q118" s="1">
        <f>(Main_M[[#This Row],[ROE]]-VLOOKUP(Main_M[[#This Row],[Industry]], Mean_ROE_M, 2, FALSE))/(VLOOKUP(Main_M[[#This Row],[Industry]], Mean_ROE_M, 3, FALSE))</f>
        <v>0.45081192554659316</v>
      </c>
      <c r="R118" s="1">
        <f>(Main_M[[#This Row],[ROA]]-VLOOKUP(Main_M[[#This Row],[Industry]], Mean_ROA_M, 2, FALSE))/(VLOOKUP(Main_M[[#This Row],[Industry]], Mean_ROA_M, 3, FALSE))</f>
        <v>1.2597445020551978</v>
      </c>
      <c r="S118" s="1">
        <f>(Main_M[[#This Row],[A/E]]-VLOOKUP(Main_M[[#This Row],[Industry]], Mean_AE_M, 2, FALSE))/(VLOOKUP(Main_M[[#This Row],[Industry]], Mean_AE_M, 3, FALSE))</f>
        <v>-0.25818293295620565</v>
      </c>
      <c r="T118" s="1">
        <f>(Main_M[[#This Row],[P/E]]-VLOOKUP(Main_M[[#This Row],[Industry]], Mean_PE_M, 2, FALSE))/(VLOOKUP(Main_M[[#This Row],[Industry]], Mean_PE_M, 3, FALSE))</f>
        <v>0.32456016068455895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s="67" t="s">
        <v>156</v>
      </c>
      <c r="B119" s="67" t="s">
        <v>325</v>
      </c>
      <c r="C119" s="2">
        <v>3843</v>
      </c>
      <c r="D119">
        <f>RTD("tos.rtd", , "LAST", Main_M[[#This Row],[Symbol]])</f>
        <v>24.59</v>
      </c>
      <c r="E119">
        <v>1.23</v>
      </c>
      <c r="F119">
        <v>5.58</v>
      </c>
      <c r="G119">
        <v>0.92</v>
      </c>
      <c r="H119" s="1">
        <f>IF(ISNUMBER(Main_M[[#This Row],[Free CF]]),IF(Main_M[[#This Row],[Free CF]]&lt;&gt;0,Main_M[[#This Row],[Current Price]]/Main_M[[#This Row],[Free CF]],""),"")</f>
        <v>19.991869918699187</v>
      </c>
      <c r="I119" s="1">
        <f>IF(ISNUMBER(Main_M[[#This Row],[BVPS]]),IF(Main_M[[#This Row],[BVPS]]&lt;&gt;0,Main_M[[#This Row],[Current Price]]/Main_M[[#This Row],[BVPS]],""),"")</f>
        <v>4.4068100358422937</v>
      </c>
      <c r="J119">
        <v>17.68</v>
      </c>
      <c r="K119">
        <v>9.4</v>
      </c>
      <c r="L119">
        <v>1.91</v>
      </c>
      <c r="M119" s="1">
        <f>IF(ISNUMBER(Main_M[[#This Row],[EPS]]),IF(Main_M[[#This Row],[EPS]]&lt;&gt;0,Main_M[[#This Row],[Current Price]]/Main_M[[#This Row],[EPS]],""),"")</f>
        <v>26.728260869565215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-0.26491401371899476</v>
      </c>
      <c r="P119" s="1">
        <f>(Main_M[[#This Row],[P/B]]-VLOOKUP(Main_M[[#This Row],[Industry]], Mean_PB_M, 2, FALSE))/(VLOOKUP(Main_M[[#This Row],[Industry]], Mean_PB_M, 3, FALSE))</f>
        <v>0.79026321664374266</v>
      </c>
      <c r="Q119" s="1">
        <f>(Main_M[[#This Row],[ROE]]-VLOOKUP(Main_M[[#This Row],[Industry]], Mean_ROE_M, 2, FALSE))/(VLOOKUP(Main_M[[#This Row],[Industry]], Mean_ROE_M, 3, FALSE))</f>
        <v>8.5666063781534907E-2</v>
      </c>
      <c r="R119" s="1">
        <f>(Main_M[[#This Row],[ROA]]-VLOOKUP(Main_M[[#This Row],[Industry]], Mean_ROA_M, 2, FALSE))/(VLOOKUP(Main_M[[#This Row],[Industry]], Mean_ROA_M, 3, FALSE))</f>
        <v>0.77751548860232467</v>
      </c>
      <c r="S119" s="1">
        <f>(Main_M[[#This Row],[A/E]]-VLOOKUP(Main_M[[#This Row],[Industry]], Mean_AE_M, 2, FALSE))/(VLOOKUP(Main_M[[#This Row],[Industry]], Mean_AE_M, 3, FALSE))</f>
        <v>-0.25818293295620565</v>
      </c>
      <c r="T119" s="1">
        <f>(Main_M[[#This Row],[P/E]]-VLOOKUP(Main_M[[#This Row],[Industry]], Mean_PE_M, 2, FALSE))/(VLOOKUP(Main_M[[#This Row],[Industry]], Mean_PE_M, 3, FALSE))</f>
        <v>0.31594380506379344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s="67" t="s">
        <v>156</v>
      </c>
      <c r="B120" s="67" t="s">
        <v>317</v>
      </c>
      <c r="C120" s="2">
        <v>5452</v>
      </c>
      <c r="D120">
        <f>RTD("tos.rtd", , "LAST", Main_M[[#This Row],[Symbol]])</f>
        <v>21.96</v>
      </c>
      <c r="E120">
        <v>1.1399999999999999</v>
      </c>
      <c r="F120">
        <v>12.08</v>
      </c>
      <c r="G120">
        <v>0.83</v>
      </c>
      <c r="H120" s="1">
        <f>IF(ISNUMBER(Main_M[[#This Row],[Free CF]]),IF(Main_M[[#This Row],[Free CF]]&lt;&gt;0,Main_M[[#This Row],[Current Price]]/Main_M[[#This Row],[Free CF]],""),"")</f>
        <v>19.263157894736846</v>
      </c>
      <c r="I120" s="1">
        <f>IF(ISNUMBER(Main_M[[#This Row],[BVPS]]),IF(Main_M[[#This Row],[BVPS]]&lt;&gt;0,Main_M[[#This Row],[Current Price]]/Main_M[[#This Row],[BVPS]],""),"")</f>
        <v>1.8178807947019868</v>
      </c>
      <c r="J120">
        <v>7.02</v>
      </c>
      <c r="K120">
        <v>4.54</v>
      </c>
      <c r="L120">
        <v>2.2200000000000002</v>
      </c>
      <c r="M120" s="1">
        <f>IF(ISNUMBER(Main_M[[#This Row],[EPS]]),IF(Main_M[[#This Row],[EPS]]&lt;&gt;0,Main_M[[#This Row],[Current Price]]/Main_M[[#This Row],[EPS]],""),"")</f>
        <v>26.457831325301207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-0.34459818809674336</v>
      </c>
      <c r="P120" s="1">
        <f>(Main_M[[#This Row],[P/B]]-VLOOKUP(Main_M[[#This Row],[Industry]], Mean_PB_M, 2, FALSE))/(VLOOKUP(Main_M[[#This Row],[Industry]], Mean_PB_M, 3, FALSE))</f>
        <v>-0.92731658909025771</v>
      </c>
      <c r="Q120" s="1">
        <f>(Main_M[[#This Row],[ROE]]-VLOOKUP(Main_M[[#This Row],[Industry]], Mean_ROE_M, 2, FALSE))/(VLOOKUP(Main_M[[#This Row],[Industry]], Mean_ROE_M, 3, FALSE))</f>
        <v>-0.5431634816813925</v>
      </c>
      <c r="R120" s="1">
        <f>(Main_M[[#This Row],[ROA]]-VLOOKUP(Main_M[[#This Row],[Industry]], Mean_ROA_M, 2, FALSE))/(VLOOKUP(Main_M[[#This Row],[Industry]], Mean_ROA_M, 3, FALSE))</f>
        <v>-0.75427078942444992</v>
      </c>
      <c r="S120" s="1">
        <f>(Main_M[[#This Row],[A/E]]-VLOOKUP(Main_M[[#This Row],[Industry]], Mean_AE_M, 2, FALSE))/(VLOOKUP(Main_M[[#This Row],[Industry]], Mean_AE_M, 3, FALSE))</f>
        <v>0.2893518987054477</v>
      </c>
      <c r="T120" s="1">
        <f>(Main_M[[#This Row],[P/E]]-VLOOKUP(Main_M[[#This Row],[Industry]], Mean_PE_M, 2, FALSE))/(VLOOKUP(Main_M[[#This Row],[Industry]], Mean_PE_M, 3, FALSE))</f>
        <v>0.29081495874525215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s="67" t="s">
        <v>156</v>
      </c>
      <c r="B121" s="67" t="s">
        <v>300</v>
      </c>
      <c r="C121" s="2">
        <v>2978</v>
      </c>
      <c r="D121">
        <f>RTD("tos.rtd", , "LAST", Main_M[[#This Row],[Symbol]])</f>
        <v>36.58</v>
      </c>
      <c r="E121">
        <v>1.1100000000000001</v>
      </c>
      <c r="F121">
        <v>3.21</v>
      </c>
      <c r="G121">
        <v>2.2200000000000002</v>
      </c>
      <c r="H121" s="1">
        <f>IF(ISNUMBER(Main_M[[#This Row],[Free CF]]),IF(Main_M[[#This Row],[Free CF]]&lt;&gt;0,Main_M[[#This Row],[Current Price]]/Main_M[[#This Row],[Free CF]],""),"")</f>
        <v>32.95495495495495</v>
      </c>
      <c r="I121" s="1">
        <f>IF(ISNUMBER(Main_M[[#This Row],[BVPS]]),IF(Main_M[[#This Row],[BVPS]]&lt;&gt;0,Main_M[[#This Row],[Current Price]]/Main_M[[#This Row],[BVPS]],""),"")</f>
        <v>11.395638629283489</v>
      </c>
      <c r="J121">
        <v>95.48</v>
      </c>
      <c r="K121">
        <v>14.36</v>
      </c>
      <c r="L121">
        <v>4.63</v>
      </c>
      <c r="M121" s="1">
        <f>IF(ISNUMBER(Main_M[[#This Row],[EPS]]),IF(Main_M[[#This Row],[EPS]]&lt;&gt;0,Main_M[[#This Row],[Current Price]]/Main_M[[#This Row],[EPS]],""),"")</f>
        <v>16.477477477477475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1.1525906994404642</v>
      </c>
      <c r="P121" s="1">
        <f>(Main_M[[#This Row],[P/B]]-VLOOKUP(Main_M[[#This Row],[Industry]], Mean_PB_M, 2, FALSE))/(VLOOKUP(Main_M[[#This Row],[Industry]], Mean_PB_M, 3, FALSE))</f>
        <v>5.4268792612536716</v>
      </c>
      <c r="Q121" s="1">
        <f>(Main_M[[#This Row],[ROE]]-VLOOKUP(Main_M[[#This Row],[Industry]], Mean_ROE_M, 2, FALSE))/(VLOOKUP(Main_M[[#This Row],[Industry]], Mean_ROE_M, 3, FALSE))</f>
        <v>4.6750599321695043</v>
      </c>
      <c r="R121" s="1">
        <f>(Main_M[[#This Row],[ROA]]-VLOOKUP(Main_M[[#This Row],[Industry]], Mean_ROA_M, 2, FALSE))/(VLOOKUP(Main_M[[#This Row],[Industry]], Mean_ROA_M, 3, FALSE))</f>
        <v>2.3408200028024893</v>
      </c>
      <c r="S121" s="1">
        <f>(Main_M[[#This Row],[A/E]]-VLOOKUP(Main_M[[#This Row],[Industry]], Mean_AE_M, 2, FALSE))/(VLOOKUP(Main_M[[#This Row],[Industry]], Mean_AE_M, 3, FALSE))</f>
        <v>4.5459936545266837</v>
      </c>
      <c r="T121" s="1">
        <f>(Main_M[[#This Row],[P/E]]-VLOOKUP(Main_M[[#This Row],[Industry]], Mean_PE_M, 2, FALSE))/(VLOOKUP(Main_M[[#This Row],[Industry]], Mean_PE_M, 3, FALSE))</f>
        <v>-0.63657919387656681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s="67" t="s">
        <v>156</v>
      </c>
      <c r="B122" s="67" t="s">
        <v>602</v>
      </c>
      <c r="C122" s="2">
        <v>3592</v>
      </c>
      <c r="D122">
        <f>RTD("tos.rtd", , "LAST", Main_M[[#This Row],[Symbol]])</f>
        <v>6.45</v>
      </c>
      <c r="E122">
        <v>1.08</v>
      </c>
      <c r="F122">
        <v>8.52</v>
      </c>
      <c r="G122">
        <v>0.88</v>
      </c>
      <c r="H122" s="1">
        <f>IF(ISNUMBER(Main_M[[#This Row],[Free CF]]),IF(Main_M[[#This Row],[Free CF]]&lt;&gt;0,Main_M[[#This Row],[Current Price]]/Main_M[[#This Row],[Free CF]],""),"")</f>
        <v>5.9722222222222223</v>
      </c>
      <c r="I122" s="1">
        <f>IF(ISNUMBER(Main_M[[#This Row],[BVPS]]),IF(Main_M[[#This Row],[BVPS]]&lt;&gt;0,Main_M[[#This Row],[Current Price]]/Main_M[[#This Row],[BVPS]],""),"")</f>
        <v>0.75704225352112686</v>
      </c>
      <c r="J122">
        <v>10.48</v>
      </c>
      <c r="K122">
        <v>7.13</v>
      </c>
      <c r="L122">
        <v>1.2</v>
      </c>
      <c r="M122" s="1">
        <f>IF(ISNUMBER(Main_M[[#This Row],[EPS]]),IF(Main_M[[#This Row],[EPS]]&lt;&gt;0,Main_M[[#This Row],[Current Price]]/Main_M[[#This Row],[EPS]],""),"")</f>
        <v>7.329545454545455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2" s="1">
        <f>(Main_M[[#This Row],[P/FCF]]-VLOOKUP(Main_M[[#This Row],[Industry]], Mean_PFCF_M, 2, FALSE))/(VLOOKUP(Main_M[[#This Row],[Industry]], Mean_PFCF_M, 3, FALSE))</f>
        <v>-1.7979531499284502</v>
      </c>
      <c r="P122" s="1">
        <f>(Main_M[[#This Row],[P/B]]-VLOOKUP(Main_M[[#This Row],[Industry]], Mean_PB_M, 2, FALSE))/(VLOOKUP(Main_M[[#This Row],[Industry]], Mean_PB_M, 3, FALSE))</f>
        <v>-1.6311113574146401</v>
      </c>
      <c r="Q122" s="1">
        <f>(Main_M[[#This Row],[ROE]]-VLOOKUP(Main_M[[#This Row],[Industry]], Mean_ROE_M, 2, FALSE))/(VLOOKUP(Main_M[[#This Row],[Industry]], Mean_ROE_M, 3, FALSE))</f>
        <v>-0.33905933277879124</v>
      </c>
      <c r="R122" s="1">
        <f>(Main_M[[#This Row],[ROA]]-VLOOKUP(Main_M[[#This Row],[Industry]], Mean_ROA_M, 2, FALSE))/(VLOOKUP(Main_M[[#This Row],[Industry]], Mean_ROA_M, 3, FALSE))</f>
        <v>6.2051527466361944E-2</v>
      </c>
      <c r="S122" s="1">
        <f>(Main_M[[#This Row],[A/E]]-VLOOKUP(Main_M[[#This Row],[Industry]], Mean_AE_M, 2, FALSE))/(VLOOKUP(Main_M[[#This Row],[Industry]], Mean_AE_M, 3, FALSE))</f>
        <v>-1.5122143216006363</v>
      </c>
      <c r="T122" s="1">
        <f>(Main_M[[#This Row],[P/E]]-VLOOKUP(Main_M[[#This Row],[Industry]], Mean_PE_M, 2, FALSE))/(VLOOKUP(Main_M[[#This Row],[Industry]], Mean_PE_M, 3, FALSE))</f>
        <v>-1.4866230696755163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s="67" t="s">
        <v>156</v>
      </c>
      <c r="B123" s="67" t="s">
        <v>603</v>
      </c>
      <c r="C123" s="2">
        <v>6042</v>
      </c>
      <c r="D123">
        <f>RTD("tos.rtd", , "LAST", Main_M[[#This Row],[Symbol]])</f>
        <v>32.799999999999997</v>
      </c>
      <c r="E123">
        <v>0.9</v>
      </c>
      <c r="F123">
        <v>14</v>
      </c>
      <c r="G123">
        <v>2.0099999999999998</v>
      </c>
      <c r="H123" s="1">
        <f>IF(ISNUMBER(Main_M[[#This Row],[Free CF]]),IF(Main_M[[#This Row],[Free CF]]&lt;&gt;0,Main_M[[#This Row],[Current Price]]/Main_M[[#This Row],[Free CF]],""),"")</f>
        <v>36.444444444444443</v>
      </c>
      <c r="I123" s="1">
        <f>IF(ISNUMBER(Main_M[[#This Row],[BVPS]]),IF(Main_M[[#This Row],[BVPS]]&lt;&gt;0,Main_M[[#This Row],[Current Price]]/Main_M[[#This Row],[BVPS]],""),"")</f>
        <v>2.3428571428571425</v>
      </c>
      <c r="J123">
        <v>11.88</v>
      </c>
      <c r="K123">
        <v>4.6100000000000003</v>
      </c>
      <c r="L123">
        <v>2.84</v>
      </c>
      <c r="M123" s="1">
        <f>IF(ISNUMBER(Main_M[[#This Row],[EPS]]),IF(Main_M[[#This Row],[EPS]]&lt;&gt;0,Main_M[[#This Row],[Current Price]]/Main_M[[#This Row],[EPS]],""),"")</f>
        <v>16.318407960199004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>
        <f>(Main_M[[#This Row],[P/FCF]]-VLOOKUP(Main_M[[#This Row],[Industry]], Mean_PFCF_M, 2, FALSE))/(VLOOKUP(Main_M[[#This Row],[Industry]], Mean_PFCF_M, 3, FALSE))</f>
        <v>1.5341640505399532</v>
      </c>
      <c r="P123" s="1">
        <f>(Main_M[[#This Row],[P/B]]-VLOOKUP(Main_M[[#This Row],[Industry]], Mean_PB_M, 2, FALSE))/(VLOOKUP(Main_M[[#This Row],[Industry]], Mean_PB_M, 3, FALSE))</f>
        <v>-0.57903021658124154</v>
      </c>
      <c r="Q123" s="1">
        <f>(Main_M[[#This Row],[ROE]]-VLOOKUP(Main_M[[#This Row],[Industry]], Mean_ROE_M, 2, FALSE))/(VLOOKUP(Main_M[[#This Row],[Industry]], Mean_ROE_M, 3, FALSE))</f>
        <v>-0.25647383900317222</v>
      </c>
      <c r="R123" s="1">
        <f>(Main_M[[#This Row],[ROA]]-VLOOKUP(Main_M[[#This Row],[Industry]], Mean_ROA_M, 2, FALSE))/(VLOOKUP(Main_M[[#This Row],[Industry]], Mean_ROA_M, 3, FALSE))</f>
        <v>-0.7322080241030765</v>
      </c>
      <c r="S123" s="1">
        <f>(Main_M[[#This Row],[A/E]]-VLOOKUP(Main_M[[#This Row],[Industry]], Mean_AE_M, 2, FALSE))/(VLOOKUP(Main_M[[#This Row],[Industry]], Mean_AE_M, 3, FALSE))</f>
        <v>1.384421562028753</v>
      </c>
      <c r="T123" s="1">
        <f>(Main_M[[#This Row],[P/E]]-VLOOKUP(Main_M[[#This Row],[Industry]], Mean_PE_M, 2, FALSE))/(VLOOKUP(Main_M[[#This Row],[Industry]], Mean_PE_M, 3, FALSE))</f>
        <v>-0.65136024697686323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s="67" t="s">
        <v>156</v>
      </c>
      <c r="B124" s="67" t="s">
        <v>604</v>
      </c>
      <c r="C124" s="2">
        <v>2326</v>
      </c>
      <c r="D124">
        <f>RTD("tos.rtd", , "LAST", Main_M[[#This Row],[Symbol]])</f>
        <v>7.16</v>
      </c>
      <c r="E124">
        <v>0.41</v>
      </c>
      <c r="F124">
        <v>14.74</v>
      </c>
      <c r="G124">
        <v>0.6</v>
      </c>
      <c r="H124" s="1">
        <f>IF(ISNUMBER(Main_M[[#This Row],[Free CF]]),IF(Main_M[[#This Row],[Free CF]]&lt;&gt;0,Main_M[[#This Row],[Current Price]]/Main_M[[#This Row],[Free CF]],""),"")</f>
        <v>17.463414634146343</v>
      </c>
      <c r="I124" s="1">
        <f>IF(ISNUMBER(Main_M[[#This Row],[BVPS]]),IF(Main_M[[#This Row],[BVPS]]&lt;&gt;0,Main_M[[#This Row],[Current Price]]/Main_M[[#This Row],[BVPS]],""),"")</f>
        <v>0.48575305291723203</v>
      </c>
      <c r="J124">
        <v>4.42</v>
      </c>
      <c r="K124">
        <v>2.58</v>
      </c>
      <c r="L124">
        <v>1.67</v>
      </c>
      <c r="M124" s="1">
        <f>IF(ISNUMBER(Main_M[[#This Row],[EPS]]),IF(Main_M[[#This Row],[EPS]]&lt;&gt;0,Main_M[[#This Row],[Current Price]]/Main_M[[#This Row],[EPS]],""),"")</f>
        <v>11.933333333333334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-0.54139891471612833</v>
      </c>
      <c r="P124" s="1">
        <f>(Main_M[[#This Row],[P/B]]-VLOOKUP(Main_M[[#This Row],[Industry]], Mean_PB_M, 2, FALSE))/(VLOOKUP(Main_M[[#This Row],[Industry]], Mean_PB_M, 3, FALSE))</f>
        <v>-1.8110934307237334</v>
      </c>
      <c r="Q124" s="1">
        <f>(Main_M[[#This Row],[ROE]]-VLOOKUP(Main_M[[#This Row],[Industry]], Mean_ROE_M, 2, FALSE))/(VLOOKUP(Main_M[[#This Row],[Industry]], Mean_ROE_M, 3, FALSE))</f>
        <v>-0.69653654155039912</v>
      </c>
      <c r="R124" s="1">
        <f>(Main_M[[#This Row],[ROA]]-VLOOKUP(Main_M[[#This Row],[Industry]], Mean_ROA_M, 2, FALSE))/(VLOOKUP(Main_M[[#This Row],[Industry]], Mean_ROA_M, 3, FALSE))</f>
        <v>-1.3720282184229022</v>
      </c>
      <c r="S124" s="1">
        <f>(Main_M[[#This Row],[A/E]]-VLOOKUP(Main_M[[#This Row],[Industry]], Mean_AE_M, 2, FALSE))/(VLOOKUP(Main_M[[#This Row],[Industry]], Mean_AE_M, 3, FALSE))</f>
        <v>-0.68208086714587235</v>
      </c>
      <c r="T124" s="1">
        <f>(Main_M[[#This Row],[P/E]]-VLOOKUP(Main_M[[#This Row],[Industry]], Mean_PE_M, 2, FALSE))/(VLOOKUP(Main_M[[#This Row],[Industry]], Mean_PE_M, 3, FALSE))</f>
        <v>-1.0588300250802007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s="67" t="s">
        <v>156</v>
      </c>
      <c r="B125" s="67" t="s">
        <v>305</v>
      </c>
      <c r="C125" s="2">
        <v>2101</v>
      </c>
      <c r="D125">
        <f>RTD("tos.rtd", , "LAST", Main_M[[#This Row],[Symbol]])</f>
        <v>26.34</v>
      </c>
      <c r="E125">
        <v>0.31</v>
      </c>
      <c r="F125">
        <v>12.92</v>
      </c>
      <c r="G125">
        <v>1.77</v>
      </c>
      <c r="H125" s="1">
        <f>IF(ISNUMBER(Main_M[[#This Row],[Free CF]]),IF(Main_M[[#This Row],[Free CF]]&lt;&gt;0,Main_M[[#This Row],[Current Price]]/Main_M[[#This Row],[Free CF]],""),"")</f>
        <v>84.967741935483872</v>
      </c>
      <c r="I125" s="1">
        <f>IF(ISNUMBER(Main_M[[#This Row],[BVPS]]),IF(Main_M[[#This Row],[BVPS]]&lt;&gt;0,Main_M[[#This Row],[Current Price]]/Main_M[[#This Row],[BVPS]],""),"")</f>
        <v>2.0386996904024768</v>
      </c>
      <c r="J125">
        <v>13.04</v>
      </c>
      <c r="K125">
        <v>2.9</v>
      </c>
      <c r="L125">
        <v>8.23</v>
      </c>
      <c r="M125" s="1">
        <f>IF(ISNUMBER(Main_M[[#This Row],[EPS]]),IF(Main_M[[#This Row],[EPS]]&lt;&gt;0,Main_M[[#This Row],[Current Price]]/Main_M[[#This Row],[EPS]],""),"")</f>
        <v>14.881355932203389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6.8401543066567818</v>
      </c>
      <c r="P125" s="1">
        <f>(Main_M[[#This Row],[P/B]]-VLOOKUP(Main_M[[#This Row],[Industry]], Mean_PB_M, 2, FALSE))/(VLOOKUP(Main_M[[#This Row],[Industry]], Mean_PB_M, 3, FALSE))</f>
        <v>-0.78081815647469854</v>
      </c>
      <c r="Q125" s="1">
        <f>(Main_M[[#This Row],[ROE]]-VLOOKUP(Main_M[[#This Row],[Industry]], Mean_ROE_M, 2, FALSE))/(VLOOKUP(Main_M[[#This Row],[Industry]], Mean_ROE_M, 3, FALSE))</f>
        <v>-0.1880458584462309</v>
      </c>
      <c r="R125" s="1">
        <f>(Main_M[[#This Row],[ROA]]-VLOOKUP(Main_M[[#This Row],[Industry]], Mean_ROA_M, 2, FALSE))/(VLOOKUP(Main_M[[#This Row],[Industry]], Mean_ROA_M, 3, FALSE))</f>
        <v>-1.271169862668053</v>
      </c>
      <c r="S125" s="1">
        <f>(Main_M[[#This Row],[A/E]]-VLOOKUP(Main_M[[#This Row],[Industry]], Mean_AE_M, 2, FALSE))/(VLOOKUP(Main_M[[#This Row],[Industry]], Mean_AE_M, 3, FALSE))</f>
        <v>10.904462667371686</v>
      </c>
      <c r="T125" s="1">
        <f>(Main_M[[#This Row],[P/E]]-VLOOKUP(Main_M[[#This Row],[Industry]], Mean_PE_M, 2, FALSE))/(VLOOKUP(Main_M[[#This Row],[Industry]], Mean_PE_M, 3, FALSE))</f>
        <v>-0.78489395410760432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6" spans="1:26" x14ac:dyDescent="0.25">
      <c r="A126" s="67" t="s">
        <v>156</v>
      </c>
      <c r="B126" s="67" t="s">
        <v>310</v>
      </c>
      <c r="C126" s="2">
        <v>2828</v>
      </c>
      <c r="D126">
        <f>RTD("tos.rtd", , "LAST", Main_M[[#This Row],[Symbol]])</f>
        <v>30.52</v>
      </c>
      <c r="E126">
        <v>-0.36</v>
      </c>
      <c r="F126">
        <v>12.24</v>
      </c>
      <c r="G126">
        <v>-0.2</v>
      </c>
      <c r="H126" s="1">
        <f>IF(ISNUMBER(Main_M[[#This Row],[Free CF]]),IF(Main_M[[#This Row],[Free CF]]&lt;&gt;0,Main_M[[#This Row],[Current Price]]/Main_M[[#This Row],[Free CF]],""),"")</f>
        <v>-84.777777777777786</v>
      </c>
      <c r="I126" s="1">
        <f>IF(ISNUMBER(Main_M[[#This Row],[BVPS]]),IF(Main_M[[#This Row],[BVPS]]&lt;&gt;0,Main_M[[#This Row],[Current Price]]/Main_M[[#This Row],[BVPS]],""),"")</f>
        <v>2.4934640522875817</v>
      </c>
      <c r="J126">
        <v>-1.65</v>
      </c>
      <c r="K126">
        <v>0.94</v>
      </c>
      <c r="L126">
        <v>2.71</v>
      </c>
      <c r="M126" s="1">
        <f>IF(ISNUMBER(Main_M[[#This Row],[EPS]]),IF(Main_M[[#This Row],[EPS]]&lt;&gt;0,Main_M[[#This Row],[Current Price]]/Main_M[[#This Row],[EPS]],""),"")</f>
        <v>-152.6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>
        <f>(Main_M[[#This Row],[P/FCF]]-VLOOKUP(Main_M[[#This Row],[Industry]], Mean_PFCF_M, 2, FALSE))/(VLOOKUP(Main_M[[#This Row],[Industry]], Mean_PFCF_M, 3, FALSE))</f>
        <v>-11.72140519544374</v>
      </c>
      <c r="P126" s="1">
        <f>(Main_M[[#This Row],[P/B]]-VLOOKUP(Main_M[[#This Row],[Industry]], Mean_PB_M, 2, FALSE))/(VLOOKUP(Main_M[[#This Row],[Industry]], Mean_PB_M, 3, FALSE))</f>
        <v>-0.4791126977355758</v>
      </c>
      <c r="Q126" s="1">
        <f>(Main_M[[#This Row],[ROE]]-VLOOKUP(Main_M[[#This Row],[Industry]], Mean_ROE_M, 2, FALSE))/(VLOOKUP(Main_M[[#This Row],[Industry]], Mean_ROE_M, 3, FALSE))</f>
        <v>-1.0546036467061184</v>
      </c>
      <c r="R126" s="1">
        <f>(Main_M[[#This Row],[ROA]]-VLOOKUP(Main_M[[#This Row],[Industry]], Mean_ROA_M, 2, FALSE))/(VLOOKUP(Main_M[[#This Row],[Industry]], Mean_ROA_M, 3, FALSE))</f>
        <v>-1.888927291666505</v>
      </c>
      <c r="S126" s="1">
        <f>(Main_M[[#This Row],[A/E]]-VLOOKUP(Main_M[[#This Row],[Industry]], Mean_AE_M, 2, FALSE))/(VLOOKUP(Main_M[[#This Row],[Industry]], Mean_AE_M, 3, FALSE))</f>
        <v>1.1548101810093503</v>
      </c>
      <c r="T126" s="1">
        <f>(Main_M[[#This Row],[P/E]]-VLOOKUP(Main_M[[#This Row],[Industry]], Mean_PE_M, 2, FALSE))/(VLOOKUP(Main_M[[#This Row],[Industry]], Mean_PE_M, 3, FALSE))</f>
        <v>-16.347591683363728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7" spans="1:26" x14ac:dyDescent="0.25">
      <c r="A127" s="67" t="s">
        <v>247</v>
      </c>
      <c r="B127" s="67" t="s">
        <v>390</v>
      </c>
      <c r="C127" s="2">
        <v>2102</v>
      </c>
      <c r="D127">
        <f>RTD("tos.rtd", , "LAST", Main_M[[#This Row],[Symbol]])</f>
        <v>17.38</v>
      </c>
      <c r="E127">
        <v>33.340000000000003</v>
      </c>
      <c r="F127">
        <v>32.86</v>
      </c>
      <c r="G127">
        <v>19.52</v>
      </c>
      <c r="H127" s="1">
        <f>IF(ISNUMBER(Main_M[[#This Row],[Free CF]]),IF(Main_M[[#This Row],[Free CF]]&lt;&gt;0,Main_M[[#This Row],[Current Price]]/Main_M[[#This Row],[Free CF]],""),"")</f>
        <v>0.5212957408518295</v>
      </c>
      <c r="I127" s="1">
        <f>IF(ISNUMBER(Main_M[[#This Row],[BVPS]]),IF(Main_M[[#This Row],[BVPS]]&lt;&gt;0,Main_M[[#This Row],[Current Price]]/Main_M[[#This Row],[BVPS]],""),"")</f>
        <v>0.52891052951917228</v>
      </c>
      <c r="J127">
        <v>72.44</v>
      </c>
      <c r="K127">
        <v>17.059999999999999</v>
      </c>
      <c r="L127">
        <v>2.9</v>
      </c>
      <c r="M127" s="1">
        <f>IF(ISNUMBER(Main_M[[#This Row],[EPS]]),IF(Main_M[[#This Row],[EPS]]&lt;&gt;0,Main_M[[#This Row],[Current Price]]/Main_M[[#This Row],[EPS]],""),"")</f>
        <v>0.89036885245901631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-1.1279498591373316</v>
      </c>
      <c r="P127" s="1">
        <f>(Main_M[[#This Row],[P/B]]-VLOOKUP(Main_M[[#This Row],[Industry]], Mean_PB_M, 2, FALSE))/(VLOOKUP(Main_M[[#This Row],[Industry]], Mean_PB_M, 3, FALSE))</f>
        <v>-1.3259943589777519</v>
      </c>
      <c r="Q127" s="1">
        <f>(Main_M[[#This Row],[ROE]]-VLOOKUP(Main_M[[#This Row],[Industry]], Mean_ROE_M, 2, FALSE))/(VLOOKUP(Main_M[[#This Row],[Industry]], Mean_ROE_M, 3, FALSE))</f>
        <v>1.3935503277074937</v>
      </c>
      <c r="R127" s="1">
        <f>(Main_M[[#This Row],[ROA]]-VLOOKUP(Main_M[[#This Row],[Industry]], Mean_ROA_M, 2, FALSE))/(VLOOKUP(Main_M[[#This Row],[Industry]], Mean_ROA_M, 3, FALSE))</f>
        <v>1.3373860376861846</v>
      </c>
      <c r="S127" s="1">
        <f>(Main_M[[#This Row],[A/E]]-VLOOKUP(Main_M[[#This Row],[Industry]], Mean_AE_M, 2, FALSE))/(VLOOKUP(Main_M[[#This Row],[Industry]], Mean_AE_M, 3, FALSE))</f>
        <v>1.4108907421888452</v>
      </c>
      <c r="T127" s="1">
        <f>(Main_M[[#This Row],[P/E]]-VLOOKUP(Main_M[[#This Row],[Industry]], Mean_PE_M, 2, FALSE))/(VLOOKUP(Main_M[[#This Row],[Industry]], Mean_PE_M, 3, FALSE))</f>
        <v>-1.0470830560602888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8" spans="1:26" x14ac:dyDescent="0.25">
      <c r="A128" s="67" t="s">
        <v>247</v>
      </c>
      <c r="B128" s="67" t="s">
        <v>389</v>
      </c>
      <c r="C128" s="2">
        <v>3684</v>
      </c>
      <c r="D128">
        <f>RTD("tos.rtd", , "LAST", Main_M[[#This Row],[Symbol]])</f>
        <v>114.49</v>
      </c>
      <c r="E128">
        <v>14.28</v>
      </c>
      <c r="F128">
        <v>80.66</v>
      </c>
      <c r="G128">
        <v>15.15</v>
      </c>
      <c r="H128" s="1">
        <f>IF(ISNUMBER(Main_M[[#This Row],[Free CF]]),IF(Main_M[[#This Row],[Free CF]]&lt;&gt;0,Main_M[[#This Row],[Current Price]]/Main_M[[#This Row],[Free CF]],""),"")</f>
        <v>8.0175070028011213</v>
      </c>
      <c r="I128" s="1">
        <f>IF(ISNUMBER(Main_M[[#This Row],[BVPS]]),IF(Main_M[[#This Row],[BVPS]]&lt;&gt;0,Main_M[[#This Row],[Current Price]]/Main_M[[#This Row],[BVPS]],""),"")</f>
        <v>1.4194148276717085</v>
      </c>
      <c r="J128">
        <v>20.48</v>
      </c>
      <c r="K128">
        <v>8.58</v>
      </c>
      <c r="L128">
        <v>1.72</v>
      </c>
      <c r="M128" s="1">
        <f>IF(ISNUMBER(Main_M[[#This Row],[EPS]]),IF(Main_M[[#This Row],[EPS]]&lt;&gt;0,Main_M[[#This Row],[Current Price]]/Main_M[[#This Row],[EPS]],""),"")</f>
        <v>7.557095709570957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-0.17480571206595008</v>
      </c>
      <c r="P128" s="1">
        <f>(Main_M[[#This Row],[P/B]]-VLOOKUP(Main_M[[#This Row],[Industry]], Mean_PB_M, 2, FALSE))/(VLOOKUP(Main_M[[#This Row],[Industry]], Mean_PB_M, 3, FALSE))</f>
        <v>0.23719884697759794</v>
      </c>
      <c r="Q128" s="1">
        <f>(Main_M[[#This Row],[ROE]]-VLOOKUP(Main_M[[#This Row],[Industry]], Mean_ROE_M, 2, FALSE))/(VLOOKUP(Main_M[[#This Row],[Industry]], Mean_ROE_M, 3, FALSE))</f>
        <v>-0.48817719380189756</v>
      </c>
      <c r="R128" s="1">
        <f>(Main_M[[#This Row],[ROA]]-VLOOKUP(Main_M[[#This Row],[Industry]], Mean_ROA_M, 2, FALSE))/(VLOOKUP(Main_M[[#This Row],[Industry]], Mean_ROA_M, 3, FALSE))</f>
        <v>-0.2705109754866194</v>
      </c>
      <c r="S128" s="1">
        <f>(Main_M[[#This Row],[A/E]]-VLOOKUP(Main_M[[#This Row],[Industry]], Mean_AE_M, 2, FALSE))/(VLOOKUP(Main_M[[#This Row],[Industry]], Mean_AE_M, 3, FALSE))</f>
        <v>-0.78935297029948559</v>
      </c>
      <c r="T128" s="1">
        <f>(Main_M[[#This Row],[P/E]]-VLOOKUP(Main_M[[#This Row],[Industry]], Mean_PE_M, 2, FALSE))/(VLOOKUP(Main_M[[#This Row],[Industry]], Mean_PE_M, 3, FALSE))</f>
        <v>-0.29969161348177559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s="67" t="s">
        <v>247</v>
      </c>
      <c r="B129" s="67" t="s">
        <v>388</v>
      </c>
      <c r="C129" s="2">
        <v>6207</v>
      </c>
      <c r="D129">
        <f>RTD("tos.rtd", , "LAST", Main_M[[#This Row],[Symbol]])</f>
        <v>112.33</v>
      </c>
      <c r="E129">
        <v>5.72</v>
      </c>
      <c r="F129">
        <v>58.98</v>
      </c>
      <c r="G129">
        <v>5.05</v>
      </c>
      <c r="H129" s="1">
        <f>IF(ISNUMBER(Main_M[[#This Row],[Free CF]]),IF(Main_M[[#This Row],[Free CF]]&lt;&gt;0,Main_M[[#This Row],[Current Price]]/Main_M[[#This Row],[Free CF]],""),"")</f>
        <v>19.63811188811189</v>
      </c>
      <c r="I129" s="1">
        <f>IF(ISNUMBER(Main_M[[#This Row],[BVPS]]),IF(Main_M[[#This Row],[BVPS]]&lt;&gt;0,Main_M[[#This Row],[Current Price]]/Main_M[[#This Row],[BVPS]],""),"")</f>
        <v>1.9045439131909123</v>
      </c>
      <c r="J129">
        <v>8.9600000000000009</v>
      </c>
      <c r="K129">
        <v>4.38</v>
      </c>
      <c r="L129">
        <v>1.81</v>
      </c>
      <c r="M129" s="1">
        <f>IF(ISNUMBER(Main_M[[#This Row],[EPS]]),IF(Main_M[[#This Row],[EPS]]&lt;&gt;0,Main_M[[#This Row],[Current Price]]/Main_M[[#This Row],[EPS]],""),"")</f>
        <v>22.243564356435645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1.3027555712032817</v>
      </c>
      <c r="P129" s="1">
        <f>(Main_M[[#This Row],[P/B]]-VLOOKUP(Main_M[[#This Row],[Industry]], Mean_PB_M, 2, FALSE))/(VLOOKUP(Main_M[[#This Row],[Industry]], Mean_PB_M, 3, FALSE))</f>
        <v>1.0887955120001536</v>
      </c>
      <c r="Q129" s="1">
        <f>(Main_M[[#This Row],[ROE]]-VLOOKUP(Main_M[[#This Row],[Industry]], Mean_ROE_M, 2, FALSE))/(VLOOKUP(Main_M[[#This Row],[Industry]], Mean_ROE_M, 3, FALSE))</f>
        <v>-0.90537313390559626</v>
      </c>
      <c r="R129" s="1">
        <f>(Main_M[[#This Row],[ROA]]-VLOOKUP(Main_M[[#This Row],[Industry]], Mean_ROA_M, 2, FALSE))/(VLOOKUP(Main_M[[#This Row],[Industry]], Mean_ROA_M, 3, FALSE))</f>
        <v>-1.0668750621995648</v>
      </c>
      <c r="S129" s="1">
        <f>(Main_M[[#This Row],[A/E]]-VLOOKUP(Main_M[[#This Row],[Industry]], Mean_AE_M, 2, FALSE))/(VLOOKUP(Main_M[[#This Row],[Industry]], Mean_AE_M, 3, FALSE))</f>
        <v>-0.62153777188935844</v>
      </c>
      <c r="T129" s="1">
        <f>(Main_M[[#This Row],[P/E]]-VLOOKUP(Main_M[[#This Row],[Industry]], Mean_PE_M, 2, FALSE))/(VLOOKUP(Main_M[[#This Row],[Industry]], Mean_PE_M, 3, FALSE))</f>
        <v>1.3467746695420642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0" spans="1:26" x14ac:dyDescent="0.25">
      <c r="A130" s="67" t="s">
        <v>228</v>
      </c>
      <c r="B130" s="67" t="s">
        <v>387</v>
      </c>
      <c r="C130" s="2">
        <v>4105</v>
      </c>
      <c r="D130">
        <f>RTD("tos.rtd", , "LAST", Main_M[[#This Row],[Symbol]])</f>
        <v>102.95</v>
      </c>
      <c r="E130">
        <v>8.36</v>
      </c>
      <c r="F130">
        <v>61</v>
      </c>
      <c r="G130">
        <v>8.74</v>
      </c>
      <c r="H130" s="1">
        <f>IF(ISNUMBER(Main_M[[#This Row],[Free CF]]),IF(Main_M[[#This Row],[Free CF]]&lt;&gt;0,Main_M[[#This Row],[Current Price]]/Main_M[[#This Row],[Free CF]],""),"")</f>
        <v>12.314593301435409</v>
      </c>
      <c r="I130" s="1">
        <f>IF(ISNUMBER(Main_M[[#This Row],[BVPS]]),IF(Main_M[[#This Row],[BVPS]]&lt;&gt;0,Main_M[[#This Row],[Current Price]]/Main_M[[#This Row],[BVPS]],""),"")</f>
        <v>1.687704918032787</v>
      </c>
      <c r="J130">
        <v>15.66</v>
      </c>
      <c r="K130">
        <v>4.7</v>
      </c>
      <c r="L130">
        <v>2.88</v>
      </c>
      <c r="M130" s="1">
        <f>IF(ISNUMBER(Main_M[[#This Row],[EPS]]),IF(Main_M[[#This Row],[EPS]]&lt;&gt;0,Main_M[[#This Row],[Current Price]]/Main_M[[#This Row],[EPS]],""),"")</f>
        <v>11.779176201372998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0" s="1">
        <f>(Main_M[[#This Row],[P/FCF]]-VLOOKUP(Main_M[[#This Row],[Industry]], Mean_PFCF_M, 2, FALSE))/(VLOOKUP(Main_M[[#This Row],[Industry]], Mean_PFCF_M, 3, FALSE))</f>
        <v>0.45324755584468435</v>
      </c>
      <c r="P130" s="1">
        <f>(Main_M[[#This Row],[P/B]]-VLOOKUP(Main_M[[#This Row],[Industry]], Mean_PB_M, 2, FALSE))/(VLOOKUP(Main_M[[#This Row],[Industry]], Mean_PB_M, 3, FALSE))</f>
        <v>-0.63743043933432098</v>
      </c>
      <c r="Q130" s="1">
        <f>(Main_M[[#This Row],[ROE]]-VLOOKUP(Main_M[[#This Row],[Industry]], Mean_ROE_M, 2, FALSE))/(VLOOKUP(Main_M[[#This Row],[Industry]], Mean_ROE_M, 3, FALSE))</f>
        <v>-0.2741354514282211</v>
      </c>
      <c r="R130" s="1">
        <f>(Main_M[[#This Row],[ROA]]-VLOOKUP(Main_M[[#This Row],[Industry]], Mean_ROA_M, 2, FALSE))/(VLOOKUP(Main_M[[#This Row],[Industry]], Mean_ROA_M, 3, FALSE))</f>
        <v>-0.11261226763344698</v>
      </c>
      <c r="S130" s="1">
        <f>(Main_M[[#This Row],[A/E]]-VLOOKUP(Main_M[[#This Row],[Industry]], Mean_AE_M, 2, FALSE))/(VLOOKUP(Main_M[[#This Row],[Industry]], Mean_AE_M, 3, FALSE))</f>
        <v>0</v>
      </c>
      <c r="T130" s="1">
        <f>(Main_M[[#This Row],[P/E]]-VLOOKUP(Main_M[[#This Row],[Industry]], Mean_PE_M, 2, FALSE))/(VLOOKUP(Main_M[[#This Row],[Industry]], Mean_PE_M, 3, FALSE))</f>
        <v>-0.16813046462195103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s="67" t="s">
        <v>228</v>
      </c>
      <c r="B131" s="67" t="s">
        <v>383</v>
      </c>
      <c r="C131" s="2">
        <v>4437</v>
      </c>
      <c r="D131">
        <f>RTD("tos.rtd", , "LAST", Main_M[[#This Row],[Symbol]])</f>
        <v>107.69</v>
      </c>
      <c r="E131">
        <v>8.2899999999999991</v>
      </c>
      <c r="F131">
        <v>60.06</v>
      </c>
      <c r="G131">
        <v>14.63</v>
      </c>
      <c r="H131" s="1">
        <f>IF(ISNUMBER(Main_M[[#This Row],[Free CF]]),IF(Main_M[[#This Row],[Free CF]]&lt;&gt;0,Main_M[[#This Row],[Current Price]]/Main_M[[#This Row],[Free CF]],""),"")</f>
        <v>12.990349819059109</v>
      </c>
      <c r="I131" s="1">
        <f>IF(ISNUMBER(Main_M[[#This Row],[BVPS]]),IF(Main_M[[#This Row],[BVPS]]&lt;&gt;0,Main_M[[#This Row],[Current Price]]/Main_M[[#This Row],[BVPS]],""),"")</f>
        <v>1.7930402930402929</v>
      </c>
      <c r="J131">
        <v>26.06</v>
      </c>
      <c r="K131">
        <v>8.94</v>
      </c>
      <c r="L131">
        <v>2.3199999999999998</v>
      </c>
      <c r="M131" s="1">
        <f>IF(ISNUMBER(Main_M[[#This Row],[EPS]]),IF(Main_M[[#This Row],[EPS]]&lt;&gt;0,Main_M[[#This Row],[Current Price]]/Main_M[[#This Row],[EPS]],""),"")</f>
        <v>7.3609022556390968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0.49298002221873721</v>
      </c>
      <c r="P131" s="1">
        <f>(Main_M[[#This Row],[P/B]]-VLOOKUP(Main_M[[#This Row],[Industry]], Mean_PB_M, 2, FALSE))/(VLOOKUP(Main_M[[#This Row],[Industry]], Mean_PB_M, 3, FALSE))</f>
        <v>-0.45811668145344286</v>
      </c>
      <c r="Q131" s="1">
        <f>(Main_M[[#This Row],[ROE]]-VLOOKUP(Main_M[[#This Row],[Industry]], Mean_ROE_M, 2, FALSE))/(VLOOKUP(Main_M[[#This Row],[Industry]], Mean_ROE_M, 3, FALSE))</f>
        <v>-6.3635695458529748E-2</v>
      </c>
      <c r="R131" s="1">
        <f>(Main_M[[#This Row],[ROA]]-VLOOKUP(Main_M[[#This Row],[Industry]], Mean_ROA_M, 2, FALSE))/(VLOOKUP(Main_M[[#This Row],[Industry]], Mean_ROA_M, 3, FALSE))</f>
        <v>1.8935894750800584</v>
      </c>
      <c r="S131" s="1">
        <f>(Main_M[[#This Row],[A/E]]-VLOOKUP(Main_M[[#This Row],[Industry]], Mean_AE_M, 2, FALSE))/(VLOOKUP(Main_M[[#This Row],[Industry]], Mean_AE_M, 3, FALSE))</f>
        <v>-0.48525332704693674</v>
      </c>
      <c r="T131" s="1">
        <f>(Main_M[[#This Row],[P/E]]-VLOOKUP(Main_M[[#This Row],[Industry]], Mean_PE_M, 2, FALSE))/(VLOOKUP(Main_M[[#This Row],[Industry]], Mean_PE_M, 3, FALSE))</f>
        <v>-0.83441345726215344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2" spans="1:26" x14ac:dyDescent="0.25">
      <c r="A132" s="67" t="s">
        <v>228</v>
      </c>
      <c r="B132" s="67" t="s">
        <v>229</v>
      </c>
      <c r="C132" s="2">
        <v>7525</v>
      </c>
      <c r="D132">
        <f>RTD("tos.rtd", , "LAST", Main_M[[#This Row],[Symbol]])</f>
        <v>11.76</v>
      </c>
      <c r="E132">
        <v>2.4</v>
      </c>
      <c r="F132">
        <v>-6.84</v>
      </c>
      <c r="G132">
        <v>1.02</v>
      </c>
      <c r="H132" s="1">
        <f>IF(ISNUMBER(Main_M[[#This Row],[Free CF]]),IF(Main_M[[#This Row],[Free CF]]&lt;&gt;0,Main_M[[#This Row],[Current Price]]/Main_M[[#This Row],[Free CF]],""),"")</f>
        <v>4.9000000000000004</v>
      </c>
      <c r="I132" s="1">
        <f>IF(ISNUMBER(Main_M[[#This Row],[BVPS]]),IF(Main_M[[#This Row],[BVPS]]&lt;&gt;0,Main_M[[#This Row],[Current Price]]/Main_M[[#This Row],[BVPS]],""),"")</f>
        <v>-1.7192982456140351</v>
      </c>
      <c r="J132">
        <v>-13.69</v>
      </c>
      <c r="K132">
        <v>3.03</v>
      </c>
      <c r="L132">
        <v>-13.89</v>
      </c>
      <c r="M132" s="1">
        <f>IF(ISNUMBER(Main_M[[#This Row],[EPS]]),IF(Main_M[[#This Row],[EPS]]&lt;&gt;0,Main_M[[#This Row],[Current Price]]/Main_M[[#This Row],[EPS]],""),"")</f>
        <v>11.529411764705882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1.7291599307969151E-2</v>
      </c>
      <c r="P132" s="1">
        <f>(Main_M[[#This Row],[P/B]]-VLOOKUP(Main_M[[#This Row],[Industry]], Mean_PB_M, 2, FALSE))/(VLOOKUP(Main_M[[#This Row],[Industry]], Mean_PB_M, 3, FALSE))</f>
        <v>-6.4372155575058692</v>
      </c>
      <c r="Q132" s="1">
        <f>(Main_M[[#This Row],[ROE]]-VLOOKUP(Main_M[[#This Row],[Industry]], Mean_ROE_M, 2, FALSE))/(VLOOKUP(Main_M[[#This Row],[Industry]], Mean_ROE_M, 3, FALSE))</f>
        <v>-0.86819005120807136</v>
      </c>
      <c r="R132" s="1">
        <f>(Main_M[[#This Row],[ROA]]-VLOOKUP(Main_M[[#This Row],[Industry]], Mean_ROA_M, 2, FALSE))/(VLOOKUP(Main_M[[#This Row],[Industry]], Mean_ROA_M, 3, FALSE))</f>
        <v>-0.90279078422107795</v>
      </c>
      <c r="S132" s="1">
        <f>(Main_M[[#This Row],[A/E]]-VLOOKUP(Main_M[[#This Row],[Industry]], Mean_AE_M, 2, FALSE))/(VLOOKUP(Main_M[[#This Row],[Industry]], Mean_AE_M, 3, FALSE))</f>
        <v>-14.531604097459157</v>
      </c>
      <c r="T132" s="1">
        <f>(Main_M[[#This Row],[P/E]]-VLOOKUP(Main_M[[#This Row],[Industry]], Mean_PE_M, 2, FALSE))/(VLOOKUP(Main_M[[#This Row],[Industry]], Mean_PE_M, 3, FALSE))</f>
        <v>-0.2057953533005587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s="67" t="s">
        <v>228</v>
      </c>
      <c r="B133" s="67" t="s">
        <v>597</v>
      </c>
      <c r="C133" s="2">
        <v>4518</v>
      </c>
      <c r="D133">
        <f>RTD("tos.rtd", , "LAST", Main_M[[#This Row],[Symbol]])</f>
        <v>13.61</v>
      </c>
      <c r="E133">
        <v>2.12</v>
      </c>
      <c r="F133">
        <v>4.29</v>
      </c>
      <c r="G133">
        <v>3.19</v>
      </c>
      <c r="H133" s="1">
        <f>IF(ISNUMBER(Main_M[[#This Row],[Free CF]]),IF(Main_M[[#This Row],[Free CF]]&lt;&gt;0,Main_M[[#This Row],[Current Price]]/Main_M[[#This Row],[Free CF]],""),"")</f>
        <v>6.4198113207547163</v>
      </c>
      <c r="I133" s="1">
        <f>IF(ISNUMBER(Main_M[[#This Row],[BVPS]]),IF(Main_M[[#This Row],[BVPS]]&lt;&gt;0,Main_M[[#This Row],[Current Price]]/Main_M[[#This Row],[BVPS]],""),"")</f>
        <v>3.1724941724941722</v>
      </c>
      <c r="J133">
        <v>125.99</v>
      </c>
      <c r="K133">
        <v>2.4</v>
      </c>
      <c r="L133">
        <v>16.04</v>
      </c>
      <c r="M133" s="1">
        <f>IF(ISNUMBER(Main_M[[#This Row],[EPS]]),IF(Main_M[[#This Row],[EPS]]&lt;&gt;0,Main_M[[#This Row],[Current Price]]/Main_M[[#This Row],[EPS]],""),"")</f>
        <v>4.2664576802507836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0.10665196894101188</v>
      </c>
      <c r="P133" s="1">
        <f>(Main_M[[#This Row],[P/B]]-VLOOKUP(Main_M[[#This Row],[Industry]], Mean_PB_M, 2, FALSE))/(VLOOKUP(Main_M[[#This Row],[Industry]], Mean_PB_M, 3, FALSE))</f>
        <v>1.8901453238852681</v>
      </c>
      <c r="Q133" s="1">
        <f>(Main_M[[#This Row],[ROE]]-VLOOKUP(Main_M[[#This Row],[Industry]], Mean_ROE_M, 2, FALSE))/(VLOOKUP(Main_M[[#This Row],[Industry]], Mean_ROE_M, 3, FALSE))</f>
        <v>1.9589835943540914</v>
      </c>
      <c r="R133" s="1">
        <f>(Main_M[[#This Row],[ROA]]-VLOOKUP(Main_M[[#This Row],[Industry]], Mean_ROA_M, 2, FALSE))/(VLOOKUP(Main_M[[#This Row],[Industry]], Mean_ROA_M, 3, FALSE))</f>
        <v>-1.2008820808978486</v>
      </c>
      <c r="S133" s="1">
        <f>(Main_M[[#This Row],[A/E]]-VLOOKUP(Main_M[[#This Row],[Industry]], Mean_AE_M, 2, FALSE))/(VLOOKUP(Main_M[[#This Row],[Industry]], Mean_AE_M, 3, FALSE))</f>
        <v>11.403453185603013</v>
      </c>
      <c r="T133" s="1">
        <f>(Main_M[[#This Row],[P/E]]-VLOOKUP(Main_M[[#This Row],[Industry]], Mean_PE_M, 2, FALSE))/(VLOOKUP(Main_M[[#This Row],[Industry]], Mean_PE_M, 3, FALSE))</f>
        <v>-1.3010607990911338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4" spans="1:26" x14ac:dyDescent="0.25">
      <c r="A134" s="67" t="s">
        <v>228</v>
      </c>
      <c r="B134" s="67" t="s">
        <v>382</v>
      </c>
      <c r="C134" s="2">
        <v>6183</v>
      </c>
      <c r="D134">
        <f>RTD("tos.rtd", , "LAST", Main_M[[#This Row],[Symbol]])</f>
        <v>51.73</v>
      </c>
      <c r="E134">
        <v>1.59</v>
      </c>
      <c r="F134">
        <v>33.67</v>
      </c>
      <c r="G134">
        <v>2.83</v>
      </c>
      <c r="H134" s="1">
        <f>IF(ISNUMBER(Main_M[[#This Row],[Free CF]]),IF(Main_M[[#This Row],[Free CF]]&lt;&gt;0,Main_M[[#This Row],[Current Price]]/Main_M[[#This Row],[Free CF]],""),"")</f>
        <v>32.534591194968549</v>
      </c>
      <c r="I134" s="1">
        <f>IF(ISNUMBER(Main_M[[#This Row],[BVPS]]),IF(Main_M[[#This Row],[BVPS]]&lt;&gt;0,Main_M[[#This Row],[Current Price]]/Main_M[[#This Row],[BVPS]],""),"")</f>
        <v>1.5363825363825363</v>
      </c>
      <c r="J134">
        <v>8.9</v>
      </c>
      <c r="K134">
        <v>3.34</v>
      </c>
      <c r="L134">
        <v>4.79</v>
      </c>
      <c r="M134" s="1">
        <f>IF(ISNUMBER(Main_M[[#This Row],[EPS]]),IF(Main_M[[#This Row],[EPS]]&lt;&gt;0,Main_M[[#This Row],[Current Price]]/Main_M[[#This Row],[EPS]],""),"")</f>
        <v>18.279151943462896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4" s="1">
        <f>(Main_M[[#This Row],[P/FCF]]-VLOOKUP(Main_M[[#This Row],[Industry]], Mean_PFCF_M, 2, FALSE))/(VLOOKUP(Main_M[[#This Row],[Industry]], Mean_PFCF_M, 3, FALSE))</f>
        <v>1.6421230833991201</v>
      </c>
      <c r="P134" s="1">
        <f>(Main_M[[#This Row],[P/B]]-VLOOKUP(Main_M[[#This Row],[Industry]], Mean_PB_M, 2, FALSE))/(VLOOKUP(Main_M[[#This Row],[Industry]], Mean_PB_M, 3, FALSE))</f>
        <v>-0.89502846756802101</v>
      </c>
      <c r="Q134" s="1">
        <f>(Main_M[[#This Row],[ROE]]-VLOOKUP(Main_M[[#This Row],[Industry]], Mean_ROE_M, 2, FALSE))/(VLOOKUP(Main_M[[#This Row],[Industry]], Mean_ROE_M, 3, FALSE))</f>
        <v>-0.41096029280852048</v>
      </c>
      <c r="R134" s="1">
        <f>(Main_M[[#This Row],[ROA]]-VLOOKUP(Main_M[[#This Row],[Industry]], Mean_ROA_M, 2, FALSE))/(VLOOKUP(Main_M[[#This Row],[Industry]], Mean_ROA_M, 3, FALSE))</f>
        <v>-0.75611093982457156</v>
      </c>
      <c r="S134" s="1">
        <f>(Main_M[[#This Row],[A/E]]-VLOOKUP(Main_M[[#This Row],[Industry]], Mean_AE_M, 2, FALSE))/(VLOOKUP(Main_M[[#This Row],[Industry]], Mean_AE_M, 3, FALSE))</f>
        <v>1.6550604547493735</v>
      </c>
      <c r="T134" s="1">
        <f>(Main_M[[#This Row],[P/E]]-VLOOKUP(Main_M[[#This Row],[Industry]], Mean_PE_M, 2, FALSE))/(VLOOKUP(Main_M[[#This Row],[Industry]], Mean_PE_M, 3, FALSE))</f>
        <v>0.81207658969844443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s="67" t="s">
        <v>228</v>
      </c>
      <c r="B135" s="67" t="s">
        <v>385</v>
      </c>
      <c r="C135" s="2">
        <v>6581</v>
      </c>
      <c r="D135">
        <f>RTD("tos.rtd", , "LAST", Main_M[[#This Row],[Symbol]])</f>
        <v>9.23</v>
      </c>
      <c r="E135">
        <v>-0.68</v>
      </c>
      <c r="F135">
        <v>1.0900000000000001</v>
      </c>
      <c r="G135">
        <v>-0.83</v>
      </c>
      <c r="H135" s="1">
        <f>IF(ISNUMBER(Main_M[[#This Row],[Free CF]]),IF(Main_M[[#This Row],[Free CF]]&lt;&gt;0,Main_M[[#This Row],[Current Price]]/Main_M[[#This Row],[Free CF]],""),"")</f>
        <v>-13.573529411764705</v>
      </c>
      <c r="I135" s="1">
        <f>IF(ISNUMBER(Main_M[[#This Row],[BVPS]]),IF(Main_M[[#This Row],[BVPS]]&lt;&gt;0,Main_M[[#This Row],[Current Price]]/Main_M[[#This Row],[BVPS]],""),"")</f>
        <v>8.4678899082568808</v>
      </c>
      <c r="J135">
        <v>-64.959999999999994</v>
      </c>
      <c r="K135">
        <v>-34.14</v>
      </c>
      <c r="L135">
        <v>1.26</v>
      </c>
      <c r="M135" s="1">
        <f>IF(ISNUMBER(Main_M[[#This Row],[EPS]]),IF(Main_M[[#This Row],[EPS]]&lt;&gt;0,Main_M[[#This Row],[Current Price]]/Main_M[[#This Row],[EPS]],""),"")</f>
        <v>-11.120481927710845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-1.0688967940265512</v>
      </c>
      <c r="P135" s="1">
        <f>(Main_M[[#This Row],[P/B]]-VLOOKUP(Main_M[[#This Row],[Industry]], Mean_PB_M, 2, FALSE))/(VLOOKUP(Main_M[[#This Row],[Industry]], Mean_PB_M, 3, FALSE))</f>
        <v>10.9045653017733</v>
      </c>
      <c r="Q135" s="1">
        <f>(Main_M[[#This Row],[ROE]]-VLOOKUP(Main_M[[#This Row],[Industry]], Mean_ROE_M, 2, FALSE))/(VLOOKUP(Main_M[[#This Row],[Industry]], Mean_ROE_M, 3, FALSE))</f>
        <v>-1.9059133674163478</v>
      </c>
      <c r="R135" s="1">
        <f>(Main_M[[#This Row],[ROA]]-VLOOKUP(Main_M[[#This Row],[Industry]], Mean_ROA_M, 2, FALSE))/(VLOOKUP(Main_M[[#This Row],[Industry]], Mean_ROA_M, 3, FALSE))</f>
        <v>-18.490177288150562</v>
      </c>
      <c r="S135" s="1">
        <f>(Main_M[[#This Row],[A/E]]-VLOOKUP(Main_M[[#This Row],[Industry]], Mean_AE_M, 2, FALSE))/(VLOOKUP(Main_M[[#This Row],[Industry]], Mean_AE_M, 3, FALSE))</f>
        <v>-1.4037685532429238</v>
      </c>
      <c r="T135" s="1">
        <f>(Main_M[[#This Row],[P/E]]-VLOOKUP(Main_M[[#This Row],[Industry]], Mean_PE_M, 2, FALSE))/(VLOOKUP(Main_M[[#This Row],[Industry]], Mean_PE_M, 3, FALSE))</f>
        <v>-3.6214366507210878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6" spans="1:26" x14ac:dyDescent="0.25">
      <c r="A136" s="67" t="s">
        <v>228</v>
      </c>
      <c r="B136" s="67" t="s">
        <v>608</v>
      </c>
      <c r="C136" s="2">
        <v>2162</v>
      </c>
      <c r="D136">
        <f>RTD("tos.rtd", , "LAST", Main_M[[#This Row],[Symbol]])</f>
        <v>42.02</v>
      </c>
      <c r="E136">
        <v>-1.8</v>
      </c>
      <c r="F136">
        <v>19.809999999999999</v>
      </c>
      <c r="G136">
        <v>1.74</v>
      </c>
      <c r="H136" s="1">
        <f>IF(ISNUMBER(Main_M[[#This Row],[Free CF]]),IF(Main_M[[#This Row],[Free CF]]&lt;&gt;0,Main_M[[#This Row],[Current Price]]/Main_M[[#This Row],[Free CF]],""),"")</f>
        <v>-23.344444444444445</v>
      </c>
      <c r="I136" s="1">
        <f>IF(ISNUMBER(Main_M[[#This Row],[BVPS]]),IF(Main_M[[#This Row],[BVPS]]&lt;&gt;0,Main_M[[#This Row],[Current Price]]/Main_M[[#This Row],[BVPS]],""),"")</f>
        <v>2.1211509338717822</v>
      </c>
      <c r="J136">
        <v>9.16</v>
      </c>
      <c r="K136">
        <v>4.68</v>
      </c>
      <c r="L136">
        <v>3.15</v>
      </c>
      <c r="M136" s="1">
        <f>IF(ISNUMBER(Main_M[[#This Row],[EPS]]),IF(Main_M[[#This Row],[EPS]]&lt;&gt;0,Main_M[[#This Row],[Current Price]]/Main_M[[#This Row],[EPS]],""),"")</f>
        <v>24.149425287356323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6" s="1">
        <f>(Main_M[[#This Row],[P/FCF]]-VLOOKUP(Main_M[[#This Row],[Industry]], Mean_PFCF_M, 2, FALSE))/(VLOOKUP(Main_M[[#This Row],[Industry]], Mean_PFCF_M, 3, FALSE))</f>
        <v>-1.6433974356849714</v>
      </c>
      <c r="P136" s="1">
        <f>(Main_M[[#This Row],[P/B]]-VLOOKUP(Main_M[[#This Row],[Industry]], Mean_PB_M, 2, FALSE))/(VLOOKUP(Main_M[[#This Row],[Industry]], Mean_PB_M, 3, FALSE))</f>
        <v>0.10043026447051707</v>
      </c>
      <c r="Q136" s="1">
        <f>(Main_M[[#This Row],[ROE]]-VLOOKUP(Main_M[[#This Row],[Industry]], Mean_ROE_M, 2, FALSE))/(VLOOKUP(Main_M[[#This Row],[Industry]], Mean_ROE_M, 3, FALSE))</f>
        <v>-0.40569779890927821</v>
      </c>
      <c r="R136" s="1">
        <f>(Main_M[[#This Row],[ROA]]-VLOOKUP(Main_M[[#This Row],[Industry]], Mean_ROA_M, 2, FALSE))/(VLOOKUP(Main_M[[#This Row],[Industry]], Mean_ROA_M, 3, FALSE))</f>
        <v>-0.12207548340096373</v>
      </c>
      <c r="S136" s="1">
        <f>(Main_M[[#This Row],[A/E]]-VLOOKUP(Main_M[[#This Row],[Industry]], Mean_AE_M, 2, FALSE))/(VLOOKUP(Main_M[[#This Row],[Industry]], Mean_AE_M, 3, FALSE))</f>
        <v>0.23396142554048735</v>
      </c>
      <c r="T136" s="1">
        <f>(Main_M[[#This Row],[P/E]]-VLOOKUP(Main_M[[#This Row],[Industry]], Mean_PE_M, 2, FALSE))/(VLOOKUP(Main_M[[#This Row],[Industry]], Mean_PE_M, 3, FALSE))</f>
        <v>1.6973234845773533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s="67" t="s">
        <v>203</v>
      </c>
      <c r="B137" s="67" t="s">
        <v>210</v>
      </c>
      <c r="C137" s="2">
        <v>9412</v>
      </c>
      <c r="D137">
        <f>RTD("tos.rtd", , "LAST", Main_M[[#This Row],[Symbol]])</f>
        <v>441.05</v>
      </c>
      <c r="E137">
        <v>21.86</v>
      </c>
      <c r="F137">
        <v>168.46</v>
      </c>
      <c r="G137">
        <v>21.19</v>
      </c>
      <c r="H137" s="1">
        <f>IF(ISNUMBER(Main_M[[#This Row],[Free CF]]),IF(Main_M[[#This Row],[Free CF]]&lt;&gt;0,Main_M[[#This Row],[Current Price]]/Main_M[[#This Row],[Free CF]],""),"")</f>
        <v>20.176120768526992</v>
      </c>
      <c r="I137" s="1">
        <f>IF(ISNUMBER(Main_M[[#This Row],[BVPS]]),IF(Main_M[[#This Row],[BVPS]]&lt;&gt;0,Main_M[[#This Row],[Current Price]]/Main_M[[#This Row],[BVPS]],""),"")</f>
        <v>2.6181289326843169</v>
      </c>
      <c r="J137">
        <v>13.48</v>
      </c>
      <c r="K137">
        <v>6.32</v>
      </c>
      <c r="L137">
        <v>2.3199999999999998</v>
      </c>
      <c r="M137" s="1">
        <f>IF(ISNUMBER(Main_M[[#This Row],[EPS]]),IF(Main_M[[#This Row],[EPS]]&lt;&gt;0,Main_M[[#This Row],[Current Price]]/Main_M[[#This Row],[EPS]],""),"")</f>
        <v>20.814063237376121</v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>
        <f>(Main_M[[#This Row],[P/FCF]]-VLOOKUP(Main_M[[#This Row],[Industry]], Mean_PFCF_M, 2, FALSE))/(VLOOKUP(Main_M[[#This Row],[Industry]], Mean_PFCF_M, 3, FALSE))</f>
        <v>0.16405480387625268</v>
      </c>
      <c r="P137" s="1">
        <f>(Main_M[[#This Row],[P/B]]-VLOOKUP(Main_M[[#This Row],[Industry]], Mean_PB_M, 2, FALSE))/(VLOOKUP(Main_M[[#This Row],[Industry]], Mean_PB_M, 3, FALSE))</f>
        <v>-6.5550016998637287E-2</v>
      </c>
      <c r="Q137" s="1">
        <f>(Main_M[[#This Row],[ROE]]-VLOOKUP(Main_M[[#This Row],[Industry]], Mean_ROE_M, 2, FALSE))/(VLOOKUP(Main_M[[#This Row],[Industry]], Mean_ROE_M, 3, FALSE))</f>
        <v>-0.21879506546624741</v>
      </c>
      <c r="R137" s="1">
        <f>(Main_M[[#This Row],[ROA]]-VLOOKUP(Main_M[[#This Row],[Industry]], Mean_ROA_M, 2, FALSE))/(VLOOKUP(Main_M[[#This Row],[Industry]], Mean_ROA_M, 3, FALSE))</f>
        <v>0.2038977860872262</v>
      </c>
      <c r="S137" s="1">
        <f>(Main_M[[#This Row],[A/E]]-VLOOKUP(Main_M[[#This Row],[Industry]], Mean_AE_M, 2, FALSE))/(VLOOKUP(Main_M[[#This Row],[Industry]], Mean_AE_M, 3, FALSE))</f>
        <v>-4.4300617047310337E-2</v>
      </c>
      <c r="T137" s="1">
        <f>(Main_M[[#This Row],[P/E]]-VLOOKUP(Main_M[[#This Row],[Industry]], Mean_PE_M, 2, FALSE))/(VLOOKUP(Main_M[[#This Row],[Industry]], Mean_PE_M, 3, FALSE))</f>
        <v>4.2464958489510582E-3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8" spans="1:26" x14ac:dyDescent="0.25">
      <c r="A138" s="67" t="s">
        <v>203</v>
      </c>
      <c r="B138" s="67" t="s">
        <v>370</v>
      </c>
      <c r="C138" s="2">
        <v>2464</v>
      </c>
      <c r="D138">
        <f>RTD("tos.rtd", , "LAST", Main_M[[#This Row],[Symbol]])</f>
        <v>140.02000000000001</v>
      </c>
      <c r="E138">
        <v>10.84</v>
      </c>
      <c r="F138">
        <v>30.19</v>
      </c>
      <c r="G138">
        <v>6.67</v>
      </c>
      <c r="H138" s="1">
        <f>IF(ISNUMBER(Main_M[[#This Row],[Free CF]]),IF(Main_M[[#This Row],[Free CF]]&lt;&gt;0,Main_M[[#This Row],[Current Price]]/Main_M[[#This Row],[Free CF]],""),"")</f>
        <v>12.916974169741698</v>
      </c>
      <c r="I138" s="1">
        <f>IF(ISNUMBER(Main_M[[#This Row],[BVPS]]),IF(Main_M[[#This Row],[BVPS]]&lt;&gt;0,Main_M[[#This Row],[Current Price]]/Main_M[[#This Row],[BVPS]],""),"")</f>
        <v>4.6379595892679699</v>
      </c>
      <c r="J138">
        <v>24.88</v>
      </c>
      <c r="K138">
        <v>9.5399999999999991</v>
      </c>
      <c r="L138">
        <v>2.76</v>
      </c>
      <c r="M138" s="1">
        <f>IF(ISNUMBER(Main_M[[#This Row],[EPS]]),IF(Main_M[[#This Row],[EPS]]&lt;&gt;0,Main_M[[#This Row],[Current Price]]/Main_M[[#This Row],[EPS]],""),"")</f>
        <v>20.992503748125937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-0.60183386716445264</v>
      </c>
      <c r="P138" s="1">
        <f>(Main_M[[#This Row],[P/B]]-VLOOKUP(Main_M[[#This Row],[Industry]], Mean_PB_M, 2, FALSE))/(VLOOKUP(Main_M[[#This Row],[Industry]], Mean_PB_M, 3, FALSE))</f>
        <v>1.2076142274931279</v>
      </c>
      <c r="Q138" s="1">
        <f>(Main_M[[#This Row],[ROE]]-VLOOKUP(Main_M[[#This Row],[Industry]], Mean_ROE_M, 2, FALSE))/(VLOOKUP(Main_M[[#This Row],[Industry]], Mean_ROE_M, 3, FALSE))</f>
        <v>0.13827385538055215</v>
      </c>
      <c r="R138" s="1">
        <f>(Main_M[[#This Row],[ROA]]-VLOOKUP(Main_M[[#This Row],[Industry]], Mean_ROA_M, 2, FALSE))/(VLOOKUP(Main_M[[#This Row],[Industry]], Mean_ROA_M, 3, FALSE))</f>
        <v>1.0783273592737328</v>
      </c>
      <c r="S138" s="1">
        <f>(Main_M[[#This Row],[A/E]]-VLOOKUP(Main_M[[#This Row],[Industry]], Mean_AE_M, 2, FALSE))/(VLOOKUP(Main_M[[#This Row],[Industry]], Mean_AE_M, 3, FALSE))</f>
        <v>0.76481253959036266</v>
      </c>
      <c r="T138" s="1">
        <f>(Main_M[[#This Row],[P/E]]-VLOOKUP(Main_M[[#This Row],[Industry]], Mean_PE_M, 2, FALSE))/(VLOOKUP(Main_M[[#This Row],[Industry]], Mean_PE_M, 3, FALSE))</f>
        <v>1.918781192113404E-2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9" spans="1:26" x14ac:dyDescent="0.25">
      <c r="A139" s="67" t="s">
        <v>203</v>
      </c>
      <c r="B139" s="67" t="s">
        <v>373</v>
      </c>
      <c r="C139" s="2">
        <v>5450</v>
      </c>
      <c r="D139">
        <f>RTD("tos.rtd", , "LAST", Main_M[[#This Row],[Symbol]])</f>
        <v>103.52</v>
      </c>
      <c r="E139">
        <v>9.14</v>
      </c>
      <c r="F139">
        <v>32.85</v>
      </c>
      <c r="G139">
        <v>7.17</v>
      </c>
      <c r="H139" s="1">
        <f>IF(ISNUMBER(Main_M[[#This Row],[Free CF]]),IF(Main_M[[#This Row],[Free CF]]&lt;&gt;0,Main_M[[#This Row],[Current Price]]/Main_M[[#This Row],[Free CF]],""),"")</f>
        <v>11.326039387308533</v>
      </c>
      <c r="I139" s="1">
        <f>IF(ISNUMBER(Main_M[[#This Row],[BVPS]]),IF(Main_M[[#This Row],[BVPS]]&lt;&gt;0,Main_M[[#This Row],[Current Price]]/Main_M[[#This Row],[BVPS]],""),"")</f>
        <v>3.1512937595129373</v>
      </c>
      <c r="J139">
        <v>21.54</v>
      </c>
      <c r="K139">
        <v>6.58</v>
      </c>
      <c r="L139">
        <v>3.33</v>
      </c>
      <c r="M139" s="1">
        <f>IF(ISNUMBER(Main_M[[#This Row],[EPS]]),IF(Main_M[[#This Row],[EPS]]&lt;&gt;0,Main_M[[#This Row],[Current Price]]/Main_M[[#This Row],[EPS]],""),"")</f>
        <v>14.437935843793584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-0.76968816100583393</v>
      </c>
      <c r="P139" s="1">
        <f>(Main_M[[#This Row],[P/B]]-VLOOKUP(Main_M[[#This Row],[Industry]], Mean_PB_M, 2, FALSE))/(VLOOKUP(Main_M[[#This Row],[Industry]], Mean_PB_M, 3, FALSE))</f>
        <v>0.27052092623923707</v>
      </c>
      <c r="Q139" s="1">
        <f>(Main_M[[#This Row],[ROE]]-VLOOKUP(Main_M[[#This Row],[Industry]], Mean_ROE_M, 2, FALSE))/(VLOOKUP(Main_M[[#This Row],[Industry]], Mean_ROE_M, 3, FALSE))</f>
        <v>3.365892593947227E-2</v>
      </c>
      <c r="R139" s="1">
        <f>(Main_M[[#This Row],[ROA]]-VLOOKUP(Main_M[[#This Row],[Industry]], Mean_ROA_M, 2, FALSE))/(VLOOKUP(Main_M[[#This Row],[Industry]], Mean_ROA_M, 3, FALSE))</f>
        <v>0.27450390069234781</v>
      </c>
      <c r="S139" s="1">
        <f>(Main_M[[#This Row],[A/E]]-VLOOKUP(Main_M[[#This Row],[Industry]], Mean_AE_M, 2, FALSE))/(VLOOKUP(Main_M[[#This Row],[Industry]], Mean_AE_M, 3, FALSE))</f>
        <v>1.8129818561437123</v>
      </c>
      <c r="T139" s="1">
        <f>(Main_M[[#This Row],[P/E]]-VLOOKUP(Main_M[[#This Row],[Industry]], Mean_PE_M, 2, FALSE))/(VLOOKUP(Main_M[[#This Row],[Industry]], Mean_PE_M, 3, FALSE))</f>
        <v>-0.5296442350377808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0" spans="1:26" x14ac:dyDescent="0.25">
      <c r="A140" s="67" t="s">
        <v>203</v>
      </c>
      <c r="B140" s="67" t="s">
        <v>374</v>
      </c>
      <c r="C140" s="2">
        <v>3575</v>
      </c>
      <c r="D140">
        <f>RTD("tos.rtd", , "LAST", Main_M[[#This Row],[Symbol]])</f>
        <v>55.83</v>
      </c>
      <c r="E140">
        <v>7.47</v>
      </c>
      <c r="F140">
        <v>63.21</v>
      </c>
      <c r="G140">
        <v>4</v>
      </c>
      <c r="H140" s="1">
        <f>IF(ISNUMBER(Main_M[[#This Row],[Free CF]]),IF(Main_M[[#This Row],[Free CF]]&lt;&gt;0,Main_M[[#This Row],[Current Price]]/Main_M[[#This Row],[Free CF]],""),"")</f>
        <v>7.4738955823293169</v>
      </c>
      <c r="I140" s="1">
        <f>IF(ISNUMBER(Main_M[[#This Row],[BVPS]]),IF(Main_M[[#This Row],[BVPS]]&lt;&gt;0,Main_M[[#This Row],[Current Price]]/Main_M[[#This Row],[BVPS]],""),"")</f>
        <v>0.88324632178452778</v>
      </c>
      <c r="J140">
        <v>6.62</v>
      </c>
      <c r="K140">
        <v>3.92</v>
      </c>
      <c r="L140">
        <v>2.95</v>
      </c>
      <c r="M140" s="1">
        <f>IF(ISNUMBER(Main_M[[#This Row],[EPS]]),IF(Main_M[[#This Row],[EPS]]&lt;&gt;0,Main_M[[#This Row],[Current Price]]/Main_M[[#This Row],[EPS]],""),"")</f>
        <v>13.9575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-1.1761151781908716</v>
      </c>
      <c r="P140" s="1">
        <f>(Main_M[[#This Row],[P/B]]-VLOOKUP(Main_M[[#This Row],[Industry]], Mean_PB_M, 2, FALSE))/(VLOOKUP(Main_M[[#This Row],[Industry]], Mean_PB_M, 3, FALSE))</f>
        <v>-1.1591023409959793</v>
      </c>
      <c r="Q140" s="1">
        <f>(Main_M[[#This Row],[ROE]]-VLOOKUP(Main_M[[#This Row],[Industry]], Mean_ROE_M, 2, FALSE))/(VLOOKUP(Main_M[[#This Row],[Industry]], Mean_ROE_M, 3, FALSE))</f>
        <v>-0.43366285467756716</v>
      </c>
      <c r="R140" s="1">
        <f>(Main_M[[#This Row],[ROA]]-VLOOKUP(Main_M[[#This Row],[Industry]], Mean_ROA_M, 2, FALSE))/(VLOOKUP(Main_M[[#This Row],[Industry]], Mean_ROA_M, 3, FALSE))</f>
        <v>-0.44785096411389713</v>
      </c>
      <c r="S140" s="1">
        <f>(Main_M[[#This Row],[A/E]]-VLOOKUP(Main_M[[#This Row],[Industry]], Mean_AE_M, 2, FALSE))/(VLOOKUP(Main_M[[#This Row],[Industry]], Mean_AE_M, 3, FALSE))</f>
        <v>1.114202311774813</v>
      </c>
      <c r="T140" s="1">
        <f>(Main_M[[#This Row],[P/E]]-VLOOKUP(Main_M[[#This Row],[Industry]], Mean_PE_M, 2, FALSE))/(VLOOKUP(Main_M[[#This Row],[Industry]], Mean_PE_M, 3, FALSE))</f>
        <v>-0.56987245319498125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1" spans="1:26" x14ac:dyDescent="0.25">
      <c r="A141" s="67" t="s">
        <v>203</v>
      </c>
      <c r="B141" s="67" t="s">
        <v>358</v>
      </c>
      <c r="C141" s="2">
        <v>3512</v>
      </c>
      <c r="D141">
        <f>RTD("tos.rtd", , "LAST", Main_M[[#This Row],[Symbol]])</f>
        <v>69.790000000000006</v>
      </c>
      <c r="E141">
        <v>6.13</v>
      </c>
      <c r="F141">
        <v>34.76</v>
      </c>
      <c r="G141">
        <v>4.63</v>
      </c>
      <c r="H141" s="1">
        <f>IF(ISNUMBER(Main_M[[#This Row],[Free CF]]),IF(Main_M[[#This Row],[Free CF]]&lt;&gt;0,Main_M[[#This Row],[Current Price]]/Main_M[[#This Row],[Free CF]],""),"")</f>
        <v>11.38499184339315</v>
      </c>
      <c r="I141" s="1">
        <f>IF(ISNUMBER(Main_M[[#This Row],[BVPS]]),IF(Main_M[[#This Row],[BVPS]]&lt;&gt;0,Main_M[[#This Row],[Current Price]]/Main_M[[#This Row],[BVPS]],""),"")</f>
        <v>2.0077675489067897</v>
      </c>
      <c r="J141">
        <v>14.36</v>
      </c>
      <c r="K141">
        <v>5.45</v>
      </c>
      <c r="L141">
        <v>2.04</v>
      </c>
      <c r="M141" s="1">
        <f>IF(ISNUMBER(Main_M[[#This Row],[EPS]]),IF(Main_M[[#This Row],[EPS]]&lt;&gt;0,Main_M[[#This Row],[Current Price]]/Main_M[[#This Row],[EPS]],""),"")</f>
        <v>15.07343412526998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41" s="1">
        <f>(Main_M[[#This Row],[P/FCF]]-VLOOKUP(Main_M[[#This Row],[Industry]], Mean_PFCF_M, 2, FALSE))/(VLOOKUP(Main_M[[#This Row],[Industry]], Mean_PFCF_M, 3, FALSE))</f>
        <v>-0.7634682813504502</v>
      </c>
      <c r="P141" s="1">
        <f>(Main_M[[#This Row],[P/B]]-VLOOKUP(Main_M[[#This Row],[Industry]], Mean_PB_M, 2, FALSE))/(VLOOKUP(Main_M[[#This Row],[Industry]], Mean_PB_M, 3, FALSE))</f>
        <v>-0.4502804336358599</v>
      </c>
      <c r="Q141" s="1">
        <f>(Main_M[[#This Row],[ROE]]-VLOOKUP(Main_M[[#This Row],[Industry]], Mean_ROE_M, 2, FALSE))/(VLOOKUP(Main_M[[#This Row],[Industry]], Mean_ROE_M, 3, FALSE))</f>
        <v>-0.19123185052368746</v>
      </c>
      <c r="R141" s="1">
        <f>(Main_M[[#This Row],[ROA]]-VLOOKUP(Main_M[[#This Row],[Industry]], Mean_ROA_M, 2, FALSE))/(VLOOKUP(Main_M[[#This Row],[Industry]], Mean_ROA_M, 3, FALSE))</f>
        <v>-3.2361135860681005E-2</v>
      </c>
      <c r="S141" s="1">
        <f>(Main_M[[#This Row],[A/E]]-VLOOKUP(Main_M[[#This Row],[Industry]], Mean_AE_M, 2, FALSE))/(VLOOKUP(Main_M[[#This Row],[Industry]], Mean_AE_M, 3, FALSE))</f>
        <v>-0.55919080763492013</v>
      </c>
      <c r="T141" s="1">
        <f>(Main_M[[#This Row],[P/E]]-VLOOKUP(Main_M[[#This Row],[Industry]], Mean_PE_M, 2, FALSE))/(VLOOKUP(Main_M[[#This Row],[Industry]], Mean_PE_M, 3, FALSE))</f>
        <v>-0.47643221133885322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2" spans="1:26" x14ac:dyDescent="0.25">
      <c r="A142" s="67" t="s">
        <v>203</v>
      </c>
      <c r="B142" s="67" t="s">
        <v>214</v>
      </c>
      <c r="C142" s="2">
        <v>6930</v>
      </c>
      <c r="D142">
        <f>RTD("tos.rtd", , "LAST", Main_M[[#This Row],[Symbol]])</f>
        <v>69.52</v>
      </c>
      <c r="E142">
        <v>4.9000000000000004</v>
      </c>
      <c r="F142">
        <v>22.97</v>
      </c>
      <c r="G142">
        <v>2.35</v>
      </c>
      <c r="H142" s="1">
        <f>IF(ISNUMBER(Main_M[[#This Row],[Free CF]]),IF(Main_M[[#This Row],[Free CF]]&lt;&gt;0,Main_M[[#This Row],[Current Price]]/Main_M[[#This Row],[Free CF]],""),"")</f>
        <v>14.187755102040814</v>
      </c>
      <c r="I142" s="1">
        <f>IF(ISNUMBER(Main_M[[#This Row],[BVPS]]),IF(Main_M[[#This Row],[BVPS]]&lt;&gt;0,Main_M[[#This Row],[Current Price]]/Main_M[[#This Row],[BVPS]],""),"")</f>
        <v>3.0265563778841966</v>
      </c>
      <c r="J142">
        <v>13.26</v>
      </c>
      <c r="K142">
        <v>5.5</v>
      </c>
      <c r="L142">
        <v>2.2200000000000002</v>
      </c>
      <c r="M142" s="1">
        <f>IF(ISNUMBER(Main_M[[#This Row],[EPS]]),IF(Main_M[[#This Row],[EPS]]&lt;&gt;0,Main_M[[#This Row],[Current Price]]/Main_M[[#This Row],[EPS]],""),"")</f>
        <v>29.582978723404253</v>
      </c>
      <c r="N1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2" s="1">
        <f>(Main_M[[#This Row],[P/FCF]]-VLOOKUP(Main_M[[#This Row],[Industry]], Mean_PFCF_M, 2, FALSE))/(VLOOKUP(Main_M[[#This Row],[Industry]], Mean_PFCF_M, 3, FALSE))</f>
        <v>-0.46775795256792124</v>
      </c>
      <c r="P142" s="1">
        <f>(Main_M[[#This Row],[P/B]]-VLOOKUP(Main_M[[#This Row],[Industry]], Mean_PB_M, 2, FALSE))/(VLOOKUP(Main_M[[#This Row],[Industry]], Mean_PB_M, 3, FALSE))</f>
        <v>0.19189494156889331</v>
      </c>
      <c r="Q142" s="1">
        <f>(Main_M[[#This Row],[ROE]]-VLOOKUP(Main_M[[#This Row],[Industry]], Mean_ROE_M, 2, FALSE))/(VLOOKUP(Main_M[[#This Row],[Industry]], Mean_ROE_M, 3, FALSE))</f>
        <v>-0.22568586920188743</v>
      </c>
      <c r="R142" s="1">
        <f>(Main_M[[#This Row],[ROA]]-VLOOKUP(Main_M[[#This Row],[Industry]], Mean_ROA_M, 2, FALSE))/(VLOOKUP(Main_M[[#This Row],[Industry]], Mean_ROA_M, 3, FALSE))</f>
        <v>-1.8783036898157655E-2</v>
      </c>
      <c r="S142" s="1">
        <f>(Main_M[[#This Row],[A/E]]-VLOOKUP(Main_M[[#This Row],[Industry]], Mean_AE_M, 2, FALSE))/(VLOOKUP(Main_M[[#This Row],[Industry]], Mean_AE_M, 3, FALSE))</f>
        <v>-0.22818997082859901</v>
      </c>
      <c r="T142" s="1">
        <f>(Main_M[[#This Row],[P/E]]-VLOOKUP(Main_M[[#This Row],[Industry]], Mean_PE_M, 2, FALSE))/(VLOOKUP(Main_M[[#This Row],[Industry]], Mean_PE_M, 3, FALSE))</f>
        <v>0.73849197259891897</v>
      </c>
      <c r="U1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3" spans="1:26" x14ac:dyDescent="0.25">
      <c r="A143" s="67" t="s">
        <v>203</v>
      </c>
      <c r="B143" s="67" t="s">
        <v>369</v>
      </c>
      <c r="C143" s="2">
        <v>5629</v>
      </c>
      <c r="D143">
        <f>RTD("tos.rtd", , "LAST", Main_M[[#This Row],[Symbol]])</f>
        <v>160.05000000000001</v>
      </c>
      <c r="E143">
        <v>4.43</v>
      </c>
      <c r="F143">
        <v>62.77</v>
      </c>
      <c r="G143">
        <v>7.32</v>
      </c>
      <c r="H143" s="1">
        <f>IF(ISNUMBER(Main_M[[#This Row],[Free CF]]),IF(Main_M[[#This Row],[Free CF]]&lt;&gt;0,Main_M[[#This Row],[Current Price]]/Main_M[[#This Row],[Free CF]],""),"")</f>
        <v>36.128668171557564</v>
      </c>
      <c r="I143" s="1">
        <f>IF(ISNUMBER(Main_M[[#This Row],[BVPS]]),IF(Main_M[[#This Row],[BVPS]]&lt;&gt;0,Main_M[[#This Row],[Current Price]]/Main_M[[#This Row],[BVPS]],""),"")</f>
        <v>2.5497849291062611</v>
      </c>
      <c r="J143">
        <v>12.46</v>
      </c>
      <c r="K143">
        <v>6.73</v>
      </c>
      <c r="L143">
        <v>1.56</v>
      </c>
      <c r="M143" s="1">
        <f>IF(ISNUMBER(Main_M[[#This Row],[EPS]]),IF(Main_M[[#This Row],[EPS]]&lt;&gt;0,Main_M[[#This Row],[Current Price]]/Main_M[[#This Row],[EPS]],""),"")</f>
        <v>21.864754098360656</v>
      </c>
      <c r="N1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3" s="1">
        <f>(Main_M[[#This Row],[P/FCF]]-VLOOKUP(Main_M[[#This Row],[Industry]], Mean_PFCF_M, 2, FALSE))/(VLOOKUP(Main_M[[#This Row],[Industry]], Mean_PFCF_M, 3, FALSE))</f>
        <v>1.847155587688142</v>
      </c>
      <c r="P143" s="1">
        <f>(Main_M[[#This Row],[P/B]]-VLOOKUP(Main_M[[#This Row],[Industry]], Mean_PB_M, 2, FALSE))/(VLOOKUP(Main_M[[#This Row],[Industry]], Mean_PB_M, 3, FALSE))</f>
        <v>-0.10862944120550232</v>
      </c>
      <c r="Q143" s="1">
        <f>(Main_M[[#This Row],[ROE]]-VLOOKUP(Main_M[[#This Row],[Industry]], Mean_ROE_M, 2, FALSE))/(VLOOKUP(Main_M[[#This Row],[Industry]], Mean_ROE_M, 3, FALSE))</f>
        <v>-0.25074333733148735</v>
      </c>
      <c r="R143" s="1">
        <f>(Main_M[[#This Row],[ROA]]-VLOOKUP(Main_M[[#This Row],[Industry]], Mean_ROA_M, 2, FALSE))/(VLOOKUP(Main_M[[#This Row],[Industry]], Mean_ROA_M, 3, FALSE))</f>
        <v>0.31523819757991811</v>
      </c>
      <c r="S143" s="1">
        <f>(Main_M[[#This Row],[A/E]]-VLOOKUP(Main_M[[#This Row],[Industry]], Mean_AE_M, 2, FALSE))/(VLOOKUP(Main_M[[#This Row],[Industry]], Mean_AE_M, 3, FALSE))</f>
        <v>-1.4418597057851088</v>
      </c>
      <c r="T143" s="1">
        <f>(Main_M[[#This Row],[P/E]]-VLOOKUP(Main_M[[#This Row],[Industry]], Mean_PE_M, 2, FALSE))/(VLOOKUP(Main_M[[#This Row],[Industry]], Mean_PE_M, 3, FALSE))</f>
        <v>9.2223739257173018E-2</v>
      </c>
      <c r="U1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4" spans="1:26" x14ac:dyDescent="0.25">
      <c r="A144" s="67" t="s">
        <v>203</v>
      </c>
      <c r="B144" s="67" t="s">
        <v>362</v>
      </c>
      <c r="C144" s="2">
        <v>4027</v>
      </c>
      <c r="D144">
        <f>RTD("tos.rtd", , "LAST", Main_M[[#This Row],[Symbol]])</f>
        <v>82.64</v>
      </c>
      <c r="E144">
        <v>4.18</v>
      </c>
      <c r="F144">
        <v>1.3</v>
      </c>
      <c r="G144">
        <v>3.32</v>
      </c>
      <c r="H144" s="1">
        <f>IF(ISNUMBER(Main_M[[#This Row],[Free CF]]),IF(Main_M[[#This Row],[Free CF]]&lt;&gt;0,Main_M[[#This Row],[Current Price]]/Main_M[[#This Row],[Free CF]],""),"")</f>
        <v>19.770334928229666</v>
      </c>
      <c r="I144" s="1">
        <f>IF(ISNUMBER(Main_M[[#This Row],[BVPS]]),IF(Main_M[[#This Row],[BVPS]]&lt;&gt;0,Main_M[[#This Row],[Current Price]]/Main_M[[#This Row],[BVPS]],""),"")</f>
        <v>63.569230769230771</v>
      </c>
      <c r="J144">
        <v>162.13999999999999</v>
      </c>
      <c r="K144">
        <v>3.83</v>
      </c>
      <c r="L144">
        <v>59.92</v>
      </c>
      <c r="M144" s="1">
        <f>IF(ISNUMBER(Main_M[[#This Row],[EPS]]),IF(Main_M[[#This Row],[EPS]]&lt;&gt;0,Main_M[[#This Row],[Current Price]]/Main_M[[#This Row],[EPS]],""),"")</f>
        <v>24.891566265060241</v>
      </c>
      <c r="N1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4" s="1">
        <f>(Main_M[[#This Row],[P/FCF]]-VLOOKUP(Main_M[[#This Row],[Industry]], Mean_PFCF_M, 2, FALSE))/(VLOOKUP(Main_M[[#This Row],[Industry]], Mean_PFCF_M, 3, FALSE))</f>
        <v>0.12124167512576557</v>
      </c>
      <c r="P144" s="1">
        <f>(Main_M[[#This Row],[P/B]]-VLOOKUP(Main_M[[#This Row],[Industry]], Mean_PB_M, 2, FALSE))/(VLOOKUP(Main_M[[#This Row],[Industry]], Mean_PB_M, 3, FALSE))</f>
        <v>38.353890379020228</v>
      </c>
      <c r="Q144" s="1">
        <f>(Main_M[[#This Row],[ROE]]-VLOOKUP(Main_M[[#This Row],[Industry]], Mean_ROE_M, 2, FALSE))/(VLOOKUP(Main_M[[#This Row],[Industry]], Mean_ROE_M, 3, FALSE))</f>
        <v>4.4375089497166673</v>
      </c>
      <c r="R144" s="1">
        <f>(Main_M[[#This Row],[ROA]]-VLOOKUP(Main_M[[#This Row],[Industry]], Mean_ROA_M, 2, FALSE))/(VLOOKUP(Main_M[[#This Row],[Industry]], Mean_ROA_M, 3, FALSE))</f>
        <v>-0.47229154224643921</v>
      </c>
      <c r="S144" s="1">
        <f>(Main_M[[#This Row],[A/E]]-VLOOKUP(Main_M[[#This Row],[Industry]], Mean_AE_M, 2, FALSE))/(VLOOKUP(Main_M[[#This Row],[Industry]], Mean_AE_M, 3, FALSE))</f>
        <v>105.87596716097535</v>
      </c>
      <c r="T144" s="1">
        <f>(Main_M[[#This Row],[P/E]]-VLOOKUP(Main_M[[#This Row],[Industry]], Mean_PE_M, 2, FALSE))/(VLOOKUP(Main_M[[#This Row],[Industry]], Mean_PE_M, 3, FALSE))</f>
        <v>0.34566706938300412</v>
      </c>
      <c r="U1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5" spans="1:26" x14ac:dyDescent="0.25">
      <c r="A145" s="67" t="s">
        <v>203</v>
      </c>
      <c r="B145" s="67" t="s">
        <v>377</v>
      </c>
      <c r="C145" s="2">
        <v>4086</v>
      </c>
      <c r="D145">
        <f>RTD("tos.rtd", , "LAST", Main_M[[#This Row],[Symbol]])</f>
        <v>71.14</v>
      </c>
      <c r="E145">
        <v>3.68</v>
      </c>
      <c r="F145">
        <v>29.59</v>
      </c>
      <c r="G145">
        <v>5</v>
      </c>
      <c r="H145" s="1">
        <f>IF(ISNUMBER(Main_M[[#This Row],[Free CF]]),IF(Main_M[[#This Row],[Free CF]]&lt;&gt;0,Main_M[[#This Row],[Current Price]]/Main_M[[#This Row],[Free CF]],""),"")</f>
        <v>19.331521739130434</v>
      </c>
      <c r="I145" s="1">
        <f>IF(ISNUMBER(Main_M[[#This Row],[BVPS]]),IF(Main_M[[#This Row],[BVPS]]&lt;&gt;0,Main_M[[#This Row],[Current Price]]/Main_M[[#This Row],[BVPS]],""),"")</f>
        <v>2.4041906049340995</v>
      </c>
      <c r="J145">
        <v>17.36</v>
      </c>
      <c r="K145">
        <v>7.54</v>
      </c>
      <c r="L145">
        <v>2.52</v>
      </c>
      <c r="M145" s="1">
        <f>IF(ISNUMBER(Main_M[[#This Row],[EPS]]),IF(Main_M[[#This Row],[EPS]]&lt;&gt;0,Main_M[[#This Row],[Current Price]]/Main_M[[#This Row],[EPS]],""),"")</f>
        <v>14.228</v>
      </c>
      <c r="N1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5" s="1">
        <f>(Main_M[[#This Row],[P/FCF]]-VLOOKUP(Main_M[[#This Row],[Industry]], Mean_PFCF_M, 2, FALSE))/(VLOOKUP(Main_M[[#This Row],[Industry]], Mean_PFCF_M, 3, FALSE))</f>
        <v>7.4943939481387958E-2</v>
      </c>
      <c r="P145" s="1">
        <f>(Main_M[[#This Row],[P/B]]-VLOOKUP(Main_M[[#This Row],[Industry]], Mean_PB_M, 2, FALSE))/(VLOOKUP(Main_M[[#This Row],[Industry]], Mean_PB_M, 3, FALSE))</f>
        <v>-0.20040222776695935</v>
      </c>
      <c r="Q145" s="1">
        <f>(Main_M[[#This Row],[ROE]]-VLOOKUP(Main_M[[#This Row],[Industry]], Mean_ROE_M, 2, FALSE))/(VLOOKUP(Main_M[[#This Row],[Industry]], Mean_ROE_M, 3, FALSE))</f>
        <v>-9.7266345037687579E-2</v>
      </c>
      <c r="R145" s="1">
        <f>(Main_M[[#This Row],[ROA]]-VLOOKUP(Main_M[[#This Row],[Industry]], Mean_ROA_M, 2, FALSE))/(VLOOKUP(Main_M[[#This Row],[Industry]], Mean_ROA_M, 3, FALSE))</f>
        <v>0.53520340077279704</v>
      </c>
      <c r="S145" s="1">
        <f>(Main_M[[#This Row],[A/E]]-VLOOKUP(Main_M[[#This Row],[Industry]], Mean_AE_M, 2, FALSE))/(VLOOKUP(Main_M[[#This Row],[Industry]], Mean_AE_M, 3, FALSE))</f>
        <v>0.32347809051526866</v>
      </c>
      <c r="T145" s="1">
        <f>(Main_M[[#This Row],[P/E]]-VLOOKUP(Main_M[[#This Row],[Industry]], Mean_PE_M, 2, FALSE))/(VLOOKUP(Main_M[[#This Row],[Industry]], Mean_PE_M, 3, FALSE))</f>
        <v>-0.54722274220422928</v>
      </c>
      <c r="U1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6" spans="1:26" x14ac:dyDescent="0.25">
      <c r="A146" s="67" t="s">
        <v>203</v>
      </c>
      <c r="B146" s="67" t="s">
        <v>379</v>
      </c>
      <c r="C146" s="2">
        <v>2529</v>
      </c>
      <c r="D146">
        <f>RTD("tos.rtd", , "LAST", Main_M[[#This Row],[Symbol]])</f>
        <v>59.61</v>
      </c>
      <c r="E146">
        <v>3.48</v>
      </c>
      <c r="F146">
        <v>19.22</v>
      </c>
      <c r="G146">
        <v>3.71</v>
      </c>
      <c r="H146" s="1">
        <f>IF(ISNUMBER(Main_M[[#This Row],[Free CF]]),IF(Main_M[[#This Row],[Free CF]]&lt;&gt;0,Main_M[[#This Row],[Current Price]]/Main_M[[#This Row],[Free CF]],""),"")</f>
        <v>17.129310344827587</v>
      </c>
      <c r="I146" s="1">
        <f>IF(ISNUMBER(Main_M[[#This Row],[BVPS]]),IF(Main_M[[#This Row],[BVPS]]&lt;&gt;0,Main_M[[#This Row],[Current Price]]/Main_M[[#This Row],[BVPS]],""),"")</f>
        <v>3.1014568158168574</v>
      </c>
      <c r="J146">
        <v>20.94</v>
      </c>
      <c r="K146">
        <v>7.38</v>
      </c>
      <c r="L146">
        <v>1.85</v>
      </c>
      <c r="M146" s="1">
        <f>IF(ISNUMBER(Main_M[[#This Row],[EPS]]),IF(Main_M[[#This Row],[EPS]]&lt;&gt;0,Main_M[[#This Row],[Current Price]]/Main_M[[#This Row],[EPS]],""),"")</f>
        <v>16.067385444743934</v>
      </c>
      <c r="N1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6" s="1">
        <f>(Main_M[[#This Row],[P/FCF]]-VLOOKUP(Main_M[[#This Row],[Industry]], Mean_PFCF_M, 2, FALSE))/(VLOOKUP(Main_M[[#This Row],[Industry]], Mean_PFCF_M, 3, FALSE))</f>
        <v>-0.1574041382410733</v>
      </c>
      <c r="P146" s="1">
        <f>(Main_M[[#This Row],[P/B]]-VLOOKUP(Main_M[[#This Row],[Industry]], Mean_PB_M, 2, FALSE))/(VLOOKUP(Main_M[[#This Row],[Industry]], Mean_PB_M, 3, FALSE))</f>
        <v>0.2391070972819527</v>
      </c>
      <c r="Q146" s="1">
        <f>(Main_M[[#This Row],[ROE]]-VLOOKUP(Main_M[[#This Row],[Industry]], Mean_ROE_M, 2, FALSE))/(VLOOKUP(Main_M[[#This Row],[Industry]], Mean_ROE_M, 3, FALSE))</f>
        <v>1.4865824842272356E-2</v>
      </c>
      <c r="R146" s="1">
        <f>(Main_M[[#This Row],[ROA]]-VLOOKUP(Main_M[[#This Row],[Industry]], Mean_ROA_M, 2, FALSE))/(VLOOKUP(Main_M[[#This Row],[Industry]], Mean_ROA_M, 3, FALSE))</f>
        <v>0.49175348409272218</v>
      </c>
      <c r="S146" s="1">
        <f>(Main_M[[#This Row],[A/E]]-VLOOKUP(Main_M[[#This Row],[Industry]], Mean_AE_M, 2, FALSE))/(VLOOKUP(Main_M[[#This Row],[Industry]], Mean_AE_M, 3, FALSE))</f>
        <v>-0.90858057981936979</v>
      </c>
      <c r="T146" s="1">
        <f>(Main_M[[#This Row],[P/E]]-VLOOKUP(Main_M[[#This Row],[Industry]], Mean_PE_M, 2, FALSE))/(VLOOKUP(Main_M[[#This Row],[Industry]], Mean_PE_M, 3, FALSE))</f>
        <v>-0.39320592621884726</v>
      </c>
      <c r="U1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7" spans="1:26" x14ac:dyDescent="0.25">
      <c r="A147" s="67" t="s">
        <v>203</v>
      </c>
      <c r="B147" s="67" t="s">
        <v>376</v>
      </c>
      <c r="C147" s="2">
        <v>7528</v>
      </c>
      <c r="D147">
        <f>RTD("tos.rtd", , "LAST", Main_M[[#This Row],[Symbol]])</f>
        <v>43.2</v>
      </c>
      <c r="E147">
        <v>3.38</v>
      </c>
      <c r="F147">
        <v>14.04</v>
      </c>
      <c r="G147">
        <v>2.94</v>
      </c>
      <c r="H147" s="1">
        <f>IF(ISNUMBER(Main_M[[#This Row],[Free CF]]),IF(Main_M[[#This Row],[Free CF]]&lt;&gt;0,Main_M[[#This Row],[Current Price]]/Main_M[[#This Row],[Free CF]],""),"")</f>
        <v>12.781065088757398</v>
      </c>
      <c r="I147" s="1">
        <f>IF(ISNUMBER(Main_M[[#This Row],[BVPS]]),IF(Main_M[[#This Row],[BVPS]]&lt;&gt;0,Main_M[[#This Row],[Current Price]]/Main_M[[#This Row],[BVPS]],""),"")</f>
        <v>3.0769230769230771</v>
      </c>
      <c r="J147">
        <v>22.21</v>
      </c>
      <c r="K147">
        <v>9.3800000000000008</v>
      </c>
      <c r="L147">
        <v>2</v>
      </c>
      <c r="M147" s="1">
        <f>IF(ISNUMBER(Main_M[[#This Row],[EPS]]),IF(Main_M[[#This Row],[EPS]]&lt;&gt;0,Main_M[[#This Row],[Current Price]]/Main_M[[#This Row],[EPS]],""),"")</f>
        <v>14.69387755102041</v>
      </c>
      <c r="N1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7" s="1">
        <f>(Main_M[[#This Row],[P/FCF]]-VLOOKUP(Main_M[[#This Row],[Industry]], Mean_PFCF_M, 2, FALSE))/(VLOOKUP(Main_M[[#This Row],[Industry]], Mean_PFCF_M, 3, FALSE))</f>
        <v>-0.61617318708324964</v>
      </c>
      <c r="P147" s="1">
        <f>(Main_M[[#This Row],[P/B]]-VLOOKUP(Main_M[[#This Row],[Industry]], Mean_PB_M, 2, FALSE))/(VLOOKUP(Main_M[[#This Row],[Industry]], Mean_PB_M, 3, FALSE))</f>
        <v>0.22364269236194331</v>
      </c>
      <c r="Q147" s="1">
        <f>(Main_M[[#This Row],[ROE]]-VLOOKUP(Main_M[[#This Row],[Industry]], Mean_ROE_M, 2, FALSE))/(VLOOKUP(Main_M[[#This Row],[Industry]], Mean_ROE_M, 3, FALSE))</f>
        <v>5.4644555498012296E-2</v>
      </c>
      <c r="R147" s="1">
        <f>(Main_M[[#This Row],[ROA]]-VLOOKUP(Main_M[[#This Row],[Industry]], Mean_ROA_M, 2, FALSE))/(VLOOKUP(Main_M[[#This Row],[Industry]], Mean_ROA_M, 3, FALSE))</f>
        <v>1.0348774425936584</v>
      </c>
      <c r="S147" s="1">
        <f>(Main_M[[#This Row],[A/E]]-VLOOKUP(Main_M[[#This Row],[Industry]], Mean_AE_M, 2, FALSE))/(VLOOKUP(Main_M[[#This Row],[Industry]], Mean_AE_M, 3, FALSE))</f>
        <v>-0.63274654914743589</v>
      </c>
      <c r="T147" s="1">
        <f>(Main_M[[#This Row],[P/E]]-VLOOKUP(Main_M[[#This Row],[Industry]], Mean_PE_M, 2, FALSE))/(VLOOKUP(Main_M[[#This Row],[Industry]], Mean_PE_M, 3, FALSE))</f>
        <v>-0.50821353005010139</v>
      </c>
      <c r="U1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8" spans="1:26" x14ac:dyDescent="0.25">
      <c r="A148" s="67" t="s">
        <v>203</v>
      </c>
      <c r="B148" s="67" t="s">
        <v>372</v>
      </c>
      <c r="C148" s="2">
        <v>6771</v>
      </c>
      <c r="D148">
        <f>RTD("tos.rtd", , "LAST", Main_M[[#This Row],[Symbol]])</f>
        <v>52.85</v>
      </c>
      <c r="E148">
        <v>3.06</v>
      </c>
      <c r="F148">
        <v>10.92</v>
      </c>
      <c r="G148">
        <v>2.98</v>
      </c>
      <c r="H148" s="1">
        <f>IF(ISNUMBER(Main_M[[#This Row],[Free CF]]),IF(Main_M[[#This Row],[Free CF]]&lt;&gt;0,Main_M[[#This Row],[Current Price]]/Main_M[[#This Row],[Free CF]],""),"")</f>
        <v>17.27124183006536</v>
      </c>
      <c r="I148" s="1">
        <f>IF(ISNUMBER(Main_M[[#This Row],[BVPS]]),IF(Main_M[[#This Row],[BVPS]]&lt;&gt;0,Main_M[[#This Row],[Current Price]]/Main_M[[#This Row],[BVPS]],""),"")</f>
        <v>4.8397435897435903</v>
      </c>
      <c r="J148">
        <v>28.22</v>
      </c>
      <c r="K148">
        <v>5.72</v>
      </c>
      <c r="L148">
        <v>4.83</v>
      </c>
      <c r="M148" s="1">
        <f>IF(ISNUMBER(Main_M[[#This Row],[EPS]]),IF(Main_M[[#This Row],[EPS]]&lt;&gt;0,Main_M[[#This Row],[Current Price]]/Main_M[[#This Row],[EPS]],""),"")</f>
        <v>17.734899328859061</v>
      </c>
      <c r="N1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8" s="1">
        <f>(Main_M[[#This Row],[P/FCF]]-VLOOKUP(Main_M[[#This Row],[Industry]], Mean_PFCF_M, 2, FALSE))/(VLOOKUP(Main_M[[#This Row],[Industry]], Mean_PFCF_M, 3, FALSE))</f>
        <v>-0.14242941426652492</v>
      </c>
      <c r="P148" s="1">
        <f>(Main_M[[#This Row],[P/B]]-VLOOKUP(Main_M[[#This Row],[Industry]], Mean_PB_M, 2, FALSE))/(VLOOKUP(Main_M[[#This Row],[Industry]], Mean_PB_M, 3, FALSE))</f>
        <v>1.3348051747533292</v>
      </c>
      <c r="Q148" s="1">
        <f>(Main_M[[#This Row],[ROE]]-VLOOKUP(Main_M[[#This Row],[Industry]], Mean_ROE_M, 2, FALSE))/(VLOOKUP(Main_M[[#This Row],[Industry]], Mean_ROE_M, 3, FALSE))</f>
        <v>0.24288878482163204</v>
      </c>
      <c r="R148" s="1">
        <f>(Main_M[[#This Row],[ROA]]-VLOOKUP(Main_M[[#This Row],[Industry]], Mean_ROA_M, 2, FALSE))/(VLOOKUP(Main_M[[#This Row],[Industry]], Mean_ROA_M, 3, FALSE))</f>
        <v>4.0960598536945239E-2</v>
      </c>
      <c r="S148" s="1">
        <f>(Main_M[[#This Row],[A/E]]-VLOOKUP(Main_M[[#This Row],[Industry]], Mean_AE_M, 2, FALSE))/(VLOOKUP(Main_M[[#This Row],[Industry]], Mean_AE_M, 3, FALSE))</f>
        <v>4.5713221628630523</v>
      </c>
      <c r="T148" s="1">
        <f>(Main_M[[#This Row],[P/E]]-VLOOKUP(Main_M[[#This Row],[Industry]], Mean_PE_M, 2, FALSE))/(VLOOKUP(Main_M[[#This Row],[Industry]], Mean_PE_M, 3, FALSE))</f>
        <v>-0.25358038999602334</v>
      </c>
      <c r="U1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9" spans="1:26" x14ac:dyDescent="0.25">
      <c r="A149" s="67" t="s">
        <v>203</v>
      </c>
      <c r="B149" s="67" t="s">
        <v>361</v>
      </c>
      <c r="C149" s="2">
        <v>4678</v>
      </c>
      <c r="D149">
        <f>RTD("tos.rtd", , "LAST", Main_M[[#This Row],[Symbol]])</f>
        <v>44.5</v>
      </c>
      <c r="E149">
        <v>3.04</v>
      </c>
      <c r="F149">
        <v>13.08</v>
      </c>
      <c r="G149">
        <v>2.0099999999999998</v>
      </c>
      <c r="H149" s="1">
        <f>IF(ISNUMBER(Main_M[[#This Row],[Free CF]]),IF(Main_M[[#This Row],[Free CF]]&lt;&gt;0,Main_M[[#This Row],[Current Price]]/Main_M[[#This Row],[Free CF]],""),"")</f>
        <v>14.638157894736842</v>
      </c>
      <c r="I149" s="1">
        <f>IF(ISNUMBER(Main_M[[#This Row],[BVPS]]),IF(Main_M[[#This Row],[BVPS]]&lt;&gt;0,Main_M[[#This Row],[Current Price]]/Main_M[[#This Row],[BVPS]],""),"")</f>
        <v>3.4021406727828745</v>
      </c>
      <c r="J149">
        <v>14.49</v>
      </c>
      <c r="K149">
        <v>5.36</v>
      </c>
      <c r="L149">
        <v>2.0499999999999998</v>
      </c>
      <c r="M149" s="1">
        <f>IF(ISNUMBER(Main_M[[#This Row],[EPS]]),IF(Main_M[[#This Row],[EPS]]&lt;&gt;0,Main_M[[#This Row],[Current Price]]/Main_M[[#This Row],[EPS]],""),"")</f>
        <v>22.139303482587067</v>
      </c>
      <c r="N1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9" s="1">
        <f>(Main_M[[#This Row],[P/FCF]]-VLOOKUP(Main_M[[#This Row],[Industry]], Mean_PFCF_M, 2, FALSE))/(VLOOKUP(Main_M[[#This Row],[Industry]], Mean_PFCF_M, 3, FALSE))</f>
        <v>-0.42023743598423535</v>
      </c>
      <c r="P149" s="1">
        <f>(Main_M[[#This Row],[P/B]]-VLOOKUP(Main_M[[#This Row],[Industry]], Mean_PB_M, 2, FALSE))/(VLOOKUP(Main_M[[#This Row],[Industry]], Mean_PB_M, 3, FALSE))</f>
        <v>0.42863780587735134</v>
      </c>
      <c r="Q149" s="1">
        <f>(Main_M[[#This Row],[ROE]]-VLOOKUP(Main_M[[#This Row],[Industry]], Mean_ROE_M, 2, FALSE))/(VLOOKUP(Main_M[[#This Row],[Industry]], Mean_ROE_M, 3, FALSE))</f>
        <v>-0.18716001195262746</v>
      </c>
      <c r="R149" s="1">
        <f>(Main_M[[#This Row],[ROA]]-VLOOKUP(Main_M[[#This Row],[Industry]], Mean_ROA_M, 2, FALSE))/(VLOOKUP(Main_M[[#This Row],[Industry]], Mean_ROA_M, 3, FALSE))</f>
        <v>-5.6801713993223091E-2</v>
      </c>
      <c r="S149" s="1">
        <f>(Main_M[[#This Row],[A/E]]-VLOOKUP(Main_M[[#This Row],[Industry]], Mean_AE_M, 2, FALSE))/(VLOOKUP(Main_M[[#This Row],[Industry]], Mean_AE_M, 3, FALSE))</f>
        <v>-0.54080187225679155</v>
      </c>
      <c r="T149" s="1">
        <f>(Main_M[[#This Row],[P/E]]-VLOOKUP(Main_M[[#This Row],[Industry]], Mean_PE_M, 2, FALSE))/(VLOOKUP(Main_M[[#This Row],[Industry]], Mean_PE_M, 3, FALSE))</f>
        <v>0.1152125163566818</v>
      </c>
      <c r="U1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0" spans="1:26" x14ac:dyDescent="0.25">
      <c r="A150" s="67" t="s">
        <v>203</v>
      </c>
      <c r="B150" s="67" t="s">
        <v>368</v>
      </c>
      <c r="C150" s="2">
        <v>3874</v>
      </c>
      <c r="D150">
        <f>RTD("tos.rtd", , "LAST", Main_M[[#This Row],[Symbol]])</f>
        <v>77.39</v>
      </c>
      <c r="E150">
        <v>2.62</v>
      </c>
      <c r="F150">
        <v>8.68</v>
      </c>
      <c r="G150">
        <v>2.04</v>
      </c>
      <c r="H150" s="1">
        <f>IF(ISNUMBER(Main_M[[#This Row],[Free CF]]),IF(Main_M[[#This Row],[Free CF]]&lt;&gt;0,Main_M[[#This Row],[Current Price]]/Main_M[[#This Row],[Free CF]],""),"")</f>
        <v>29.538167938931295</v>
      </c>
      <c r="I150" s="1">
        <f>IF(ISNUMBER(Main_M[[#This Row],[BVPS]]),IF(Main_M[[#This Row],[BVPS]]&lt;&gt;0,Main_M[[#This Row],[Current Price]]/Main_M[[#This Row],[BVPS]],""),"")</f>
        <v>8.9158986175115214</v>
      </c>
      <c r="J150">
        <v>25.87</v>
      </c>
      <c r="K150">
        <v>11.96</v>
      </c>
      <c r="L150">
        <v>1.73</v>
      </c>
      <c r="M150" s="1">
        <f>IF(ISNUMBER(Main_M[[#This Row],[EPS]]),IF(Main_M[[#This Row],[EPS]]&lt;&gt;0,Main_M[[#This Row],[Current Price]]/Main_M[[#This Row],[EPS]],""),"")</f>
        <v>37.936274509803923</v>
      </c>
      <c r="N1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0" s="1">
        <f>(Main_M[[#This Row],[P/FCF]]-VLOOKUP(Main_M[[#This Row],[Industry]], Mean_PFCF_M, 2, FALSE))/(VLOOKUP(Main_M[[#This Row],[Industry]], Mean_PFCF_M, 3, FALSE))</f>
        <v>1.1518135945254433</v>
      </c>
      <c r="P150" s="1">
        <f>(Main_M[[#This Row],[P/B]]-VLOOKUP(Main_M[[#This Row],[Industry]], Mean_PB_M, 2, FALSE))/(VLOOKUP(Main_M[[#This Row],[Industry]], Mean_PB_M, 3, FALSE))</f>
        <v>3.9041368261191898</v>
      </c>
      <c r="Q150" s="1">
        <f>(Main_M[[#This Row],[ROE]]-VLOOKUP(Main_M[[#This Row],[Industry]], Mean_ROE_M, 2, FALSE))/(VLOOKUP(Main_M[[#This Row],[Industry]], Mean_ROE_M, 3, FALSE))</f>
        <v>0.16928247219093218</v>
      </c>
      <c r="R150" s="1">
        <f>(Main_M[[#This Row],[ROA]]-VLOOKUP(Main_M[[#This Row],[Industry]], Mean_ROA_M, 2, FALSE))/(VLOOKUP(Main_M[[#This Row],[Industry]], Mean_ROA_M, 3, FALSE))</f>
        <v>1.735507349059866</v>
      </c>
      <c r="S150" s="1">
        <f>(Main_M[[#This Row],[A/E]]-VLOOKUP(Main_M[[#This Row],[Industry]], Mean_AE_M, 2, FALSE))/(VLOOKUP(Main_M[[#This Row],[Industry]], Mean_AE_M, 3, FALSE))</f>
        <v>-1.1292478043569172</v>
      </c>
      <c r="T150" s="1">
        <f>(Main_M[[#This Row],[P/E]]-VLOOKUP(Main_M[[#This Row],[Industry]], Mean_PE_M, 2, FALSE))/(VLOOKUP(Main_M[[#This Row],[Industry]], Mean_PE_M, 3, FALSE))</f>
        <v>1.4379364656939968</v>
      </c>
      <c r="U1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1" spans="1:26" x14ac:dyDescent="0.25">
      <c r="A151" s="67" t="s">
        <v>203</v>
      </c>
      <c r="B151" s="67" t="s">
        <v>364</v>
      </c>
      <c r="C151" s="2">
        <v>5027</v>
      </c>
      <c r="D151">
        <f>RTD("tos.rtd", , "LAST", Main_M[[#This Row],[Symbol]])</f>
        <v>23.13</v>
      </c>
      <c r="E151">
        <v>1.64</v>
      </c>
      <c r="F151">
        <v>18.190000000000001</v>
      </c>
      <c r="G151">
        <v>0.1</v>
      </c>
      <c r="H151" s="1">
        <f>IF(ISNUMBER(Main_M[[#This Row],[Free CF]]),IF(Main_M[[#This Row],[Free CF]]&lt;&gt;0,Main_M[[#This Row],[Current Price]]/Main_M[[#This Row],[Free CF]],""),"")</f>
        <v>14.103658536585366</v>
      </c>
      <c r="I151" s="1">
        <f>IF(ISNUMBER(Main_M[[#This Row],[BVPS]]),IF(Main_M[[#This Row],[BVPS]]&lt;&gt;0,Main_M[[#This Row],[Current Price]]/Main_M[[#This Row],[BVPS]],""),"")</f>
        <v>1.2715777899945024</v>
      </c>
      <c r="J151">
        <v>0.86</v>
      </c>
      <c r="K151">
        <v>2.4500000000000002</v>
      </c>
      <c r="L151">
        <v>2.71</v>
      </c>
      <c r="M151" s="1">
        <f>IF(ISNUMBER(Main_M[[#This Row],[EPS]]),IF(Main_M[[#This Row],[EPS]]&lt;&gt;0,Main_M[[#This Row],[Current Price]]/Main_M[[#This Row],[EPS]],""),"")</f>
        <v>231.29999999999998</v>
      </c>
      <c r="N1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1" s="1">
        <f>(Main_M[[#This Row],[P/FCF]]-VLOOKUP(Main_M[[#This Row],[Industry]], Mean_PFCF_M, 2, FALSE))/(VLOOKUP(Main_M[[#This Row],[Industry]], Mean_PFCF_M, 3, FALSE))</f>
        <v>-0.47663070446502975</v>
      </c>
      <c r="P151" s="1">
        <f>(Main_M[[#This Row],[P/B]]-VLOOKUP(Main_M[[#This Row],[Industry]], Mean_PB_M, 2, FALSE))/(VLOOKUP(Main_M[[#This Row],[Industry]], Mean_PB_M, 3, FALSE))</f>
        <v>-0.91432452324952707</v>
      </c>
      <c r="Q151" s="1">
        <f>(Main_M[[#This Row],[ROE]]-VLOOKUP(Main_M[[#This Row],[Industry]], Mean_ROE_M, 2, FALSE))/(VLOOKUP(Main_M[[#This Row],[Industry]], Mean_ROE_M, 3, FALSE))</f>
        <v>-0.61407662521068695</v>
      </c>
      <c r="R151" s="1">
        <f>(Main_M[[#This Row],[ROA]]-VLOOKUP(Main_M[[#This Row],[Industry]], Mean_ROA_M, 2, FALSE))/(VLOOKUP(Main_M[[#This Row],[Industry]], Mean_ROA_M, 3, FALSE))</f>
        <v>-0.84704707361208509</v>
      </c>
      <c r="S151" s="1">
        <f>(Main_M[[#This Row],[A/E]]-VLOOKUP(Main_M[[#This Row],[Industry]], Mean_AE_M, 2, FALSE))/(VLOOKUP(Main_M[[#This Row],[Industry]], Mean_AE_M, 3, FALSE))</f>
        <v>0.67286786269971832</v>
      </c>
      <c r="T151" s="1">
        <f>(Main_M[[#This Row],[P/E]]-VLOOKUP(Main_M[[#This Row],[Industry]], Mean_PE_M, 2, FALSE))/(VLOOKUP(Main_M[[#This Row],[Industry]], Mean_PE_M, 3, FALSE))</f>
        <v>17.628814463653462</v>
      </c>
      <c r="U1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2" spans="1:26" x14ac:dyDescent="0.25">
      <c r="A152" s="67" t="s">
        <v>203</v>
      </c>
      <c r="B152" s="67" t="s">
        <v>365</v>
      </c>
      <c r="C152" s="2">
        <v>3930</v>
      </c>
      <c r="D152">
        <f>RTD("tos.rtd", , "LAST", Main_M[[#This Row],[Symbol]])</f>
        <v>72.58</v>
      </c>
      <c r="E152">
        <v>1.54</v>
      </c>
      <c r="F152">
        <v>36.020000000000003</v>
      </c>
      <c r="G152">
        <v>1.55</v>
      </c>
      <c r="H152" s="1">
        <f>IF(ISNUMBER(Main_M[[#This Row],[Free CF]]),IF(Main_M[[#This Row],[Free CF]]&lt;&gt;0,Main_M[[#This Row],[Current Price]]/Main_M[[#This Row],[Free CF]],""),"")</f>
        <v>47.129870129870127</v>
      </c>
      <c r="I152" s="1">
        <f>IF(ISNUMBER(Main_M[[#This Row],[BVPS]]),IF(Main_M[[#This Row],[BVPS]]&lt;&gt;0,Main_M[[#This Row],[Current Price]]/Main_M[[#This Row],[BVPS]],""),"")</f>
        <v>2.0149916712937257</v>
      </c>
      <c r="J152">
        <v>6.25</v>
      </c>
      <c r="K152">
        <v>4.17</v>
      </c>
      <c r="L152">
        <v>2.39</v>
      </c>
      <c r="M152" s="1">
        <f>IF(ISNUMBER(Main_M[[#This Row],[EPS]]),IF(Main_M[[#This Row],[EPS]]&lt;&gt;0,Main_M[[#This Row],[Current Price]]/Main_M[[#This Row],[EPS]],""),"")</f>
        <v>46.825806451612898</v>
      </c>
      <c r="N1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2" s="1">
        <f>(Main_M[[#This Row],[P/FCF]]-VLOOKUP(Main_M[[#This Row],[Industry]], Mean_PFCF_M, 2, FALSE))/(VLOOKUP(Main_M[[#This Row],[Industry]], Mean_PFCF_M, 3, FALSE))</f>
        <v>3.0078562062859704</v>
      </c>
      <c r="P152" s="1">
        <f>(Main_M[[#This Row],[P/B]]-VLOOKUP(Main_M[[#This Row],[Industry]], Mean_PB_M, 2, FALSE))/(VLOOKUP(Main_M[[#This Row],[Industry]], Mean_PB_M, 3, FALSE))</f>
        <v>-0.44572683688214187</v>
      </c>
      <c r="Q152" s="1">
        <f>(Main_M[[#This Row],[ROE]]-VLOOKUP(Main_M[[#This Row],[Industry]], Mean_ROE_M, 2, FALSE))/(VLOOKUP(Main_M[[#This Row],[Industry]], Mean_ROE_M, 3, FALSE))</f>
        <v>-0.44525193368750715</v>
      </c>
      <c r="R152" s="1">
        <f>(Main_M[[#This Row],[ROA]]-VLOOKUP(Main_M[[#This Row],[Industry]], Mean_ROA_M, 2, FALSE))/(VLOOKUP(Main_M[[#This Row],[Industry]], Mean_ROA_M, 3, FALSE))</f>
        <v>-0.37996046930128013</v>
      </c>
      <c r="S152" s="1">
        <f>(Main_M[[#This Row],[A/E]]-VLOOKUP(Main_M[[#This Row],[Industry]], Mean_AE_M, 2, FALSE))/(VLOOKUP(Main_M[[#This Row],[Industry]], Mean_AE_M, 3, FALSE))</f>
        <v>8.4421930599592715E-2</v>
      </c>
      <c r="T152" s="1">
        <f>(Main_M[[#This Row],[P/E]]-VLOOKUP(Main_M[[#This Row],[Industry]], Mean_PE_M, 2, FALSE))/(VLOOKUP(Main_M[[#This Row],[Industry]], Mean_PE_M, 3, FALSE))</f>
        <v>2.182281490925166</v>
      </c>
      <c r="U1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3" spans="1:26" x14ac:dyDescent="0.25">
      <c r="A153" s="67" t="s">
        <v>203</v>
      </c>
      <c r="B153" s="67" t="s">
        <v>375</v>
      </c>
      <c r="C153" s="2">
        <v>7482</v>
      </c>
      <c r="D153">
        <f>RTD("tos.rtd", , "LAST", Main_M[[#This Row],[Symbol]])</f>
        <v>47.66</v>
      </c>
      <c r="E153">
        <v>1.52</v>
      </c>
      <c r="F153">
        <v>6.22</v>
      </c>
      <c r="G153">
        <v>1.32</v>
      </c>
      <c r="H153" s="1">
        <f>IF(ISNUMBER(Main_M[[#This Row],[Free CF]]),IF(Main_M[[#This Row],[Free CF]]&lt;&gt;0,Main_M[[#This Row],[Current Price]]/Main_M[[#This Row],[Free CF]],""),"")</f>
        <v>31.355263157894733</v>
      </c>
      <c r="I153" s="1">
        <f>IF(ISNUMBER(Main_M[[#This Row],[BVPS]]),IF(Main_M[[#This Row],[BVPS]]&lt;&gt;0,Main_M[[#This Row],[Current Price]]/Main_M[[#This Row],[BVPS]],""),"")</f>
        <v>7.662379421221865</v>
      </c>
      <c r="J153">
        <v>23.81</v>
      </c>
      <c r="K153">
        <v>11.26</v>
      </c>
      <c r="L153">
        <v>1.66</v>
      </c>
      <c r="M153" s="1">
        <f>IF(ISNUMBER(Main_M[[#This Row],[EPS]]),IF(Main_M[[#This Row],[EPS]]&lt;&gt;0,Main_M[[#This Row],[Current Price]]/Main_M[[#This Row],[EPS]],""),"")</f>
        <v>36.106060606060602</v>
      </c>
      <c r="N1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3" s="1">
        <f>(Main_M[[#This Row],[P/FCF]]-VLOOKUP(Main_M[[#This Row],[Industry]], Mean_PFCF_M, 2, FALSE))/(VLOOKUP(Main_M[[#This Row],[Industry]], Mean_PFCF_M, 3, FALSE))</f>
        <v>1.3435293318325263</v>
      </c>
      <c r="P153" s="1">
        <f>(Main_M[[#This Row],[P/B]]-VLOOKUP(Main_M[[#This Row],[Industry]], Mean_PB_M, 2, FALSE))/(VLOOKUP(Main_M[[#This Row],[Industry]], Mean_PB_M, 3, FALSE))</f>
        <v>3.1140033486922181</v>
      </c>
      <c r="Q153" s="1">
        <f>(Main_M[[#This Row],[ROE]]-VLOOKUP(Main_M[[#This Row],[Industry]], Mean_ROE_M, 2, FALSE))/(VLOOKUP(Main_M[[#This Row],[Industry]], Mean_ROE_M, 3, FALSE))</f>
        <v>0.10475949175721218</v>
      </c>
      <c r="R153" s="1">
        <f>(Main_M[[#This Row],[ROA]]-VLOOKUP(Main_M[[#This Row],[Industry]], Mean_ROA_M, 2, FALSE))/(VLOOKUP(Main_M[[#This Row],[Industry]], Mean_ROA_M, 3, FALSE))</f>
        <v>1.5454139635845381</v>
      </c>
      <c r="S153" s="1">
        <f>(Main_M[[#This Row],[A/E]]-VLOOKUP(Main_M[[#This Row],[Industry]], Mean_AE_M, 2, FALSE))/(VLOOKUP(Main_M[[#This Row],[Industry]], Mean_AE_M, 3, FALSE))</f>
        <v>-1.2579703520038199</v>
      </c>
      <c r="T153" s="1">
        <f>(Main_M[[#This Row],[P/E]]-VLOOKUP(Main_M[[#This Row],[Industry]], Mean_PE_M, 2, FALSE))/(VLOOKUP(Main_M[[#This Row],[Industry]], Mean_PE_M, 3, FALSE))</f>
        <v>1.2846876081300702</v>
      </c>
      <c r="U1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4" spans="1:26" x14ac:dyDescent="0.25">
      <c r="A154" s="67" t="s">
        <v>203</v>
      </c>
      <c r="B154" s="67" t="s">
        <v>600</v>
      </c>
      <c r="C154" s="2">
        <v>2834</v>
      </c>
      <c r="D154">
        <f>RTD("tos.rtd", , "LAST", Main_M[[#This Row],[Symbol]])</f>
        <v>5.5532000000000004</v>
      </c>
      <c r="E154">
        <v>1.49</v>
      </c>
      <c r="F154">
        <v>5.15</v>
      </c>
      <c r="G154">
        <v>1.1100000000000001</v>
      </c>
      <c r="H154" s="1">
        <f>IF(ISNUMBER(Main_M[[#This Row],[Free CF]]),IF(Main_M[[#This Row],[Free CF]]&lt;&gt;0,Main_M[[#This Row],[Current Price]]/Main_M[[#This Row],[Free CF]],""),"")</f>
        <v>3.7269798657718125</v>
      </c>
      <c r="I154" s="1">
        <f>IF(ISNUMBER(Main_M[[#This Row],[BVPS]]),IF(Main_M[[#This Row],[BVPS]]&lt;&gt;0,Main_M[[#This Row],[Current Price]]/Main_M[[#This Row],[BVPS]],""),"")</f>
        <v>1.0782912621359224</v>
      </c>
      <c r="J154">
        <v>21.75</v>
      </c>
      <c r="K154">
        <v>11.6</v>
      </c>
      <c r="L154">
        <v>1.88</v>
      </c>
      <c r="M154" s="1">
        <f>IF(ISNUMBER(Main_M[[#This Row],[EPS]]),IF(Main_M[[#This Row],[EPS]]&lt;&gt;0,Main_M[[#This Row],[Current Price]]/Main_M[[#This Row],[EPS]],""),"")</f>
        <v>5.0028828828828829</v>
      </c>
      <c r="N1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54" s="1">
        <f>(Main_M[[#This Row],[P/FCF]]-VLOOKUP(Main_M[[#This Row],[Industry]], Mean_PFCF_M, 2, FALSE))/(VLOOKUP(Main_M[[#This Row],[Industry]], Mean_PFCF_M, 3, FALSE))</f>
        <v>-1.5714399260249987</v>
      </c>
      <c r="P154" s="1">
        <f>(Main_M[[#This Row],[P/B]]-VLOOKUP(Main_M[[#This Row],[Industry]], Mean_PB_M, 2, FALSE))/(VLOOKUP(Main_M[[#This Row],[Industry]], Mean_PB_M, 3, FALSE))</f>
        <v>-1.0361592401399693</v>
      </c>
      <c r="Q154" s="1">
        <f>(Main_M[[#This Row],[ROE]]-VLOOKUP(Main_M[[#This Row],[Industry]], Mean_ROE_M, 2, FALSE))/(VLOOKUP(Main_M[[#This Row],[Industry]], Mean_ROE_M, 3, FALSE))</f>
        <v>4.0236511323492284E-2</v>
      </c>
      <c r="R154" s="1">
        <f>(Main_M[[#This Row],[ROA]]-VLOOKUP(Main_M[[#This Row],[Industry]], Mean_ROA_M, 2, FALSE))/(VLOOKUP(Main_M[[#This Row],[Industry]], Mean_ROA_M, 3, FALSE))</f>
        <v>1.6377450365296971</v>
      </c>
      <c r="S154" s="1">
        <f>(Main_M[[#This Row],[A/E]]-VLOOKUP(Main_M[[#This Row],[Industry]], Mean_AE_M, 2, FALSE))/(VLOOKUP(Main_M[[#This Row],[Industry]], Mean_AE_M, 3, FALSE))</f>
        <v>-0.85341377368498328</v>
      </c>
      <c r="T154" s="1">
        <f>(Main_M[[#This Row],[P/E]]-VLOOKUP(Main_M[[#This Row],[Industry]], Mean_PE_M, 2, FALSE))/(VLOOKUP(Main_M[[#This Row],[Industry]], Mean_PE_M, 3, FALSE))</f>
        <v>-1.3196672396480056</v>
      </c>
      <c r="U1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5" spans="1:26" x14ac:dyDescent="0.25">
      <c r="A155" s="67" t="s">
        <v>203</v>
      </c>
      <c r="B155" s="67" t="s">
        <v>205</v>
      </c>
      <c r="C155" s="2">
        <v>9446</v>
      </c>
      <c r="D155">
        <f>RTD("tos.rtd", , "LAST", Main_M[[#This Row],[Symbol]])</f>
        <v>59.16</v>
      </c>
      <c r="E155">
        <v>1.32</v>
      </c>
      <c r="F155">
        <v>16.2</v>
      </c>
      <c r="G155">
        <v>0.16</v>
      </c>
      <c r="H155" s="1">
        <f>IF(ISNUMBER(Main_M[[#This Row],[Free CF]]),IF(Main_M[[#This Row],[Free CF]]&lt;&gt;0,Main_M[[#This Row],[Current Price]]/Main_M[[#This Row],[Free CF]],""),"")</f>
        <v>44.818181818181813</v>
      </c>
      <c r="I155" s="1">
        <f>IF(ISNUMBER(Main_M[[#This Row],[BVPS]]),IF(Main_M[[#This Row],[BVPS]]&lt;&gt;0,Main_M[[#This Row],[Current Price]]/Main_M[[#This Row],[BVPS]],""),"")</f>
        <v>3.6518518518518519</v>
      </c>
      <c r="J155">
        <v>1.03</v>
      </c>
      <c r="K155">
        <v>0.55000000000000004</v>
      </c>
      <c r="L155">
        <v>3.66</v>
      </c>
      <c r="M155" s="1">
        <f>IF(ISNUMBER(Main_M[[#This Row],[EPS]]),IF(Main_M[[#This Row],[EPS]]&lt;&gt;0,Main_M[[#This Row],[Current Price]]/Main_M[[#This Row],[EPS]],""),"")</f>
        <v>369.74999999999994</v>
      </c>
      <c r="N1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5" s="1">
        <f>(Main_M[[#This Row],[P/FCF]]-VLOOKUP(Main_M[[#This Row],[Industry]], Mean_PFCF_M, 2, FALSE))/(VLOOKUP(Main_M[[#This Row],[Industry]], Mean_PFCF_M, 3, FALSE))</f>
        <v>2.7639575792496243</v>
      </c>
      <c r="P155" s="1">
        <f>(Main_M[[#This Row],[P/B]]-VLOOKUP(Main_M[[#This Row],[Industry]], Mean_PB_M, 2, FALSE))/(VLOOKUP(Main_M[[#This Row],[Industry]], Mean_PB_M, 3, FALSE))</f>
        <v>0.58603879570995399</v>
      </c>
      <c r="Q155" s="1">
        <f>(Main_M[[#This Row],[ROE]]-VLOOKUP(Main_M[[#This Row],[Industry]], Mean_ROE_M, 2, FALSE))/(VLOOKUP(Main_M[[#This Row],[Industry]], Mean_ROE_M, 3, FALSE))</f>
        <v>-0.60875191323314692</v>
      </c>
      <c r="R155" s="1">
        <f>(Main_M[[#This Row],[ROA]]-VLOOKUP(Main_M[[#This Row],[Industry]], Mean_ROA_M, 2, FALSE))/(VLOOKUP(Main_M[[#This Row],[Industry]], Mean_ROA_M, 3, FALSE))</f>
        <v>-1.3630148341879744</v>
      </c>
      <c r="S155" s="1">
        <f>(Main_M[[#This Row],[A/E]]-VLOOKUP(Main_M[[#This Row],[Industry]], Mean_AE_M, 2, FALSE))/(VLOOKUP(Main_M[[#This Row],[Industry]], Mean_AE_M, 3, FALSE))</f>
        <v>2.4198167236219672</v>
      </c>
      <c r="T155" s="1">
        <f>(Main_M[[#This Row],[P/E]]-VLOOKUP(Main_M[[#This Row],[Industry]], Mean_PE_M, 2, FALSE))/(VLOOKUP(Main_M[[#This Row],[Industry]], Mean_PE_M, 3, FALSE))</f>
        <v>29.221614784058662</v>
      </c>
      <c r="U1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6" spans="1:26" x14ac:dyDescent="0.25">
      <c r="A156" s="67" t="s">
        <v>203</v>
      </c>
      <c r="B156" s="67" t="s">
        <v>363</v>
      </c>
      <c r="C156" s="2">
        <v>2038</v>
      </c>
      <c r="D156">
        <f>RTD("tos.rtd", , "LAST", Main_M[[#This Row],[Symbol]])</f>
        <v>15.48</v>
      </c>
      <c r="E156">
        <v>1.18</v>
      </c>
      <c r="F156">
        <v>4.43</v>
      </c>
      <c r="G156">
        <v>1.66</v>
      </c>
      <c r="H156" s="1">
        <f>IF(ISNUMBER(Main_M[[#This Row],[Free CF]]),IF(Main_M[[#This Row],[Free CF]]&lt;&gt;0,Main_M[[#This Row],[Current Price]]/Main_M[[#This Row],[Free CF]],""),"")</f>
        <v>13.118644067796611</v>
      </c>
      <c r="I156" s="1">
        <f>IF(ISNUMBER(Main_M[[#This Row],[BVPS]]),IF(Main_M[[#This Row],[BVPS]]&lt;&gt;0,Main_M[[#This Row],[Current Price]]/Main_M[[#This Row],[BVPS]],""),"")</f>
        <v>3.4943566591422126</v>
      </c>
      <c r="J156">
        <v>49.8</v>
      </c>
      <c r="K156">
        <v>6.12</v>
      </c>
      <c r="L156">
        <v>2.09</v>
      </c>
      <c r="M156" s="1">
        <f>IF(ISNUMBER(Main_M[[#This Row],[EPS]]),IF(Main_M[[#This Row],[EPS]]&lt;&gt;0,Main_M[[#This Row],[Current Price]]/Main_M[[#This Row],[EPS]],""),"")</f>
        <v>9.3253012048192776</v>
      </c>
      <c r="N1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6" s="1">
        <f>(Main_M[[#This Row],[P/FCF]]-VLOOKUP(Main_M[[#This Row],[Industry]], Mean_PFCF_M, 2, FALSE))/(VLOOKUP(Main_M[[#This Row],[Industry]], Mean_PFCF_M, 3, FALSE))</f>
        <v>-0.58055633982590327</v>
      </c>
      <c r="P156" s="1">
        <f>(Main_M[[#This Row],[P/B]]-VLOOKUP(Main_M[[#This Row],[Industry]], Mean_PB_M, 2, FALSE))/(VLOOKUP(Main_M[[#This Row],[Industry]], Mean_PB_M, 3, FALSE))</f>
        <v>0.48676450883661365</v>
      </c>
      <c r="Q156" s="1">
        <f>(Main_M[[#This Row],[ROE]]-VLOOKUP(Main_M[[#This Row],[Industry]], Mean_ROE_M, 2, FALSE))/(VLOOKUP(Main_M[[#This Row],[Industry]], Mean_ROE_M, 3, FALSE))</f>
        <v>0.91881398761759125</v>
      </c>
      <c r="R156" s="1">
        <f>(Main_M[[#This Row],[ROA]]-VLOOKUP(Main_M[[#This Row],[Industry]], Mean_ROA_M, 2, FALSE))/(VLOOKUP(Main_M[[#This Row],[Industry]], Mean_ROA_M, 3, FALSE))</f>
        <v>0.14958539023713255</v>
      </c>
      <c r="S156" s="1">
        <f>(Main_M[[#This Row],[A/E]]-VLOOKUP(Main_M[[#This Row],[Industry]], Mean_AE_M, 2, FALSE))/(VLOOKUP(Main_M[[#This Row],[Industry]], Mean_AE_M, 3, FALSE))</f>
        <v>-0.46724613074427579</v>
      </c>
      <c r="T156" s="1">
        <f>(Main_M[[#This Row],[P/E]]-VLOOKUP(Main_M[[#This Row],[Industry]], Mean_PE_M, 2, FALSE))/(VLOOKUP(Main_M[[#This Row],[Industry]], Mean_PE_M, 3, FALSE))</f>
        <v>-0.95773923309351261</v>
      </c>
      <c r="U1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7" spans="1:26" x14ac:dyDescent="0.25">
      <c r="A157" s="67" t="s">
        <v>203</v>
      </c>
      <c r="B157" s="67" t="s">
        <v>378</v>
      </c>
      <c r="C157" s="2">
        <v>3770</v>
      </c>
      <c r="D157">
        <f>RTD("tos.rtd", , "LAST", Main_M[[#This Row],[Symbol]])</f>
        <v>24.14</v>
      </c>
      <c r="E157">
        <v>1.07</v>
      </c>
      <c r="F157">
        <v>1.88</v>
      </c>
      <c r="G157">
        <v>0.21</v>
      </c>
      <c r="H157" s="1">
        <f>IF(ISNUMBER(Main_M[[#This Row],[Free CF]]),IF(Main_M[[#This Row],[Free CF]]&lt;&gt;0,Main_M[[#This Row],[Current Price]]/Main_M[[#This Row],[Free CF]],""),"")</f>
        <v>22.5607476635514</v>
      </c>
      <c r="I157" s="1">
        <f>IF(ISNUMBER(Main_M[[#This Row],[BVPS]]),IF(Main_M[[#This Row],[BVPS]]&lt;&gt;0,Main_M[[#This Row],[Current Price]]/Main_M[[#This Row],[BVPS]],""),"")</f>
        <v>12.840425531914894</v>
      </c>
      <c r="J157">
        <v>9.25</v>
      </c>
      <c r="K157">
        <v>8.65</v>
      </c>
      <c r="L157">
        <v>5.48</v>
      </c>
      <c r="M157" s="1">
        <f>IF(ISNUMBER(Main_M[[#This Row],[EPS]]),IF(Main_M[[#This Row],[EPS]]&lt;&gt;0,Main_M[[#This Row],[Current Price]]/Main_M[[#This Row],[EPS]],""),"")</f>
        <v>114.95238095238096</v>
      </c>
      <c r="N1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7" s="1">
        <f>(Main_M[[#This Row],[P/FCF]]-VLOOKUP(Main_M[[#This Row],[Industry]], Mean_PFCF_M, 2, FALSE))/(VLOOKUP(Main_M[[#This Row],[Industry]], Mean_PFCF_M, 3, FALSE))</f>
        <v>0.4156489408322111</v>
      </c>
      <c r="P157" s="1">
        <f>(Main_M[[#This Row],[P/B]]-VLOOKUP(Main_M[[#This Row],[Industry]], Mean_PB_M, 2, FALSE))/(VLOOKUP(Main_M[[#This Row],[Industry]], Mean_PB_M, 3, FALSE))</f>
        <v>6.3778923994775898</v>
      </c>
      <c r="Q157" s="1">
        <f>(Main_M[[#This Row],[ROE]]-VLOOKUP(Main_M[[#This Row],[Industry]], Mean_ROE_M, 2, FALSE))/(VLOOKUP(Main_M[[#This Row],[Industry]], Mean_ROE_M, 3, FALSE))</f>
        <v>-0.35128642820150729</v>
      </c>
      <c r="R157" s="1">
        <f>(Main_M[[#This Row],[ROA]]-VLOOKUP(Main_M[[#This Row],[Industry]], Mean_ROA_M, 2, FALSE))/(VLOOKUP(Main_M[[#This Row],[Industry]], Mean_ROA_M, 3, FALSE))</f>
        <v>0.83663719774081668</v>
      </c>
      <c r="S157" s="1">
        <f>(Main_M[[#This Row],[A/E]]-VLOOKUP(Main_M[[#This Row],[Industry]], Mean_AE_M, 2, FALSE))/(VLOOKUP(Main_M[[#This Row],[Industry]], Mean_AE_M, 3, FALSE))</f>
        <v>5.7666029624414339</v>
      </c>
      <c r="T157" s="1">
        <f>(Main_M[[#This Row],[P/E]]-VLOOKUP(Main_M[[#This Row],[Industry]], Mean_PE_M, 2, FALSE))/(VLOOKUP(Main_M[[#This Row],[Industry]], Mean_PE_M, 3, FALSE))</f>
        <v>7.8867074548154719</v>
      </c>
      <c r="U1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8" spans="1:26" x14ac:dyDescent="0.25">
      <c r="A158" s="67" t="s">
        <v>203</v>
      </c>
      <c r="B158" s="67" t="s">
        <v>367</v>
      </c>
      <c r="C158" s="2">
        <v>4022</v>
      </c>
      <c r="D158">
        <f>RTD("tos.rtd", , "LAST", Main_M[[#This Row],[Symbol]])</f>
        <v>9.02</v>
      </c>
      <c r="E158">
        <v>0.49</v>
      </c>
      <c r="F158">
        <v>7.38</v>
      </c>
      <c r="G158">
        <v>-0.06</v>
      </c>
      <c r="H158" s="1">
        <f>IF(ISNUMBER(Main_M[[#This Row],[Free CF]]),IF(Main_M[[#This Row],[Free CF]]&lt;&gt;0,Main_M[[#This Row],[Current Price]]/Main_M[[#This Row],[Free CF]],""),"")</f>
        <v>18.408163265306122</v>
      </c>
      <c r="I158" s="1">
        <f>IF(ISNUMBER(Main_M[[#This Row],[BVPS]]),IF(Main_M[[#This Row],[BVPS]]&lt;&gt;0,Main_M[[#This Row],[Current Price]]/Main_M[[#This Row],[BVPS]],""),"")</f>
        <v>1.2222222222222221</v>
      </c>
      <c r="J158">
        <v>-0.52</v>
      </c>
      <c r="K158">
        <v>1.77</v>
      </c>
      <c r="L158">
        <v>2.66</v>
      </c>
      <c r="M158" s="1">
        <f>IF(ISNUMBER(Main_M[[#This Row],[EPS]]),IF(Main_M[[#This Row],[EPS]]&lt;&gt;0,Main_M[[#This Row],[Current Price]]/Main_M[[#This Row],[EPS]],""),"")</f>
        <v>-150.33333333333334</v>
      </c>
      <c r="N1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8" s="1">
        <f>(Main_M[[#This Row],[P/FCF]]-VLOOKUP(Main_M[[#This Row],[Industry]], Mean_PFCF_M, 2, FALSE))/(VLOOKUP(Main_M[[#This Row],[Industry]], Mean_PFCF_M, 3, FALSE))</f>
        <v>-2.2476574733025795E-2</v>
      </c>
      <c r="P158" s="1">
        <f>(Main_M[[#This Row],[P/B]]-VLOOKUP(Main_M[[#This Row],[Industry]], Mean_PB_M, 2, FALSE))/(VLOOKUP(Main_M[[#This Row],[Industry]], Mean_PB_M, 3, FALSE))</f>
        <v>-0.94543492547529651</v>
      </c>
      <c r="Q158" s="1">
        <f>(Main_M[[#This Row],[ROE]]-VLOOKUP(Main_M[[#This Row],[Industry]], Mean_ROE_M, 2, FALSE))/(VLOOKUP(Main_M[[#This Row],[Industry]], Mean_ROE_M, 3, FALSE))</f>
        <v>-0.6573007577342469</v>
      </c>
      <c r="R158" s="1">
        <f>(Main_M[[#This Row],[ROA]]-VLOOKUP(Main_M[[#This Row],[Industry]], Mean_ROA_M, 2, FALSE))/(VLOOKUP(Main_M[[#This Row],[Industry]], Mean_ROA_M, 3, FALSE))</f>
        <v>-1.0317092195024034</v>
      </c>
      <c r="S158" s="1">
        <f>(Main_M[[#This Row],[A/E]]-VLOOKUP(Main_M[[#This Row],[Industry]], Mean_AE_M, 2, FALSE))/(VLOOKUP(Main_M[[#This Row],[Industry]], Mean_AE_M, 3, FALSE))</f>
        <v>0.58092318580907398</v>
      </c>
      <c r="T158" s="1">
        <f>(Main_M[[#This Row],[P/E]]-VLOOKUP(Main_M[[#This Row],[Industry]], Mean_PE_M, 2, FALSE))/(VLOOKUP(Main_M[[#This Row],[Industry]], Mean_PE_M, 3, FALSE))</f>
        <v>-14.326397013009387</v>
      </c>
      <c r="U1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9" spans="1:26" x14ac:dyDescent="0.25">
      <c r="A159" s="67" t="s">
        <v>203</v>
      </c>
      <c r="B159" s="67" t="s">
        <v>366</v>
      </c>
      <c r="C159" s="2">
        <v>2883</v>
      </c>
      <c r="D159">
        <f>RTD("tos.rtd", , "LAST", Main_M[[#This Row],[Symbol]])</f>
        <v>4.34</v>
      </c>
      <c r="E159">
        <v>0.48</v>
      </c>
      <c r="F159">
        <v>7.36</v>
      </c>
      <c r="G159">
        <v>-0.97</v>
      </c>
      <c r="H159" s="1">
        <f>IF(ISNUMBER(Main_M[[#This Row],[Free CF]]),IF(Main_M[[#This Row],[Free CF]]&lt;&gt;0,Main_M[[#This Row],[Current Price]]/Main_M[[#This Row],[Free CF]],""),"")</f>
        <v>9.0416666666666661</v>
      </c>
      <c r="I159" s="1">
        <f>IF(ISNUMBER(Main_M[[#This Row],[BVPS]]),IF(Main_M[[#This Row],[BVPS]]&lt;&gt;0,Main_M[[#This Row],[Current Price]]/Main_M[[#This Row],[BVPS]],""),"")</f>
        <v>0.58967391304347827</v>
      </c>
      <c r="J159">
        <v>-12.2</v>
      </c>
      <c r="K159">
        <v>1.2</v>
      </c>
      <c r="L159">
        <v>2.29</v>
      </c>
      <c r="M159" s="1">
        <f>IF(ISNUMBER(Main_M[[#This Row],[EPS]]),IF(Main_M[[#This Row],[EPS]]&lt;&gt;0,Main_M[[#This Row],[Current Price]]/Main_M[[#This Row],[EPS]],""),"")</f>
        <v>-4.4742268041237114</v>
      </c>
      <c r="N1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9" s="1">
        <f>(Main_M[[#This Row],[P/FCF]]-VLOOKUP(Main_M[[#This Row],[Industry]], Mean_PFCF_M, 2, FALSE))/(VLOOKUP(Main_M[[#This Row],[Industry]], Mean_PFCF_M, 3, FALSE))</f>
        <v>-1.0107048099142337</v>
      </c>
      <c r="P159" s="1">
        <f>(Main_M[[#This Row],[P/B]]-VLOOKUP(Main_M[[#This Row],[Industry]], Mean_PB_M, 2, FALSE))/(VLOOKUP(Main_M[[#This Row],[Industry]], Mean_PB_M, 3, FALSE))</f>
        <v>-1.3441504749868824</v>
      </c>
      <c r="Q159" s="1">
        <f>(Main_M[[#This Row],[ROE]]-VLOOKUP(Main_M[[#This Row],[Industry]], Mean_ROE_M, 2, FALSE))/(VLOOKUP(Main_M[[#This Row],[Industry]], Mean_ROE_M, 3, FALSE))</f>
        <v>-1.0231397924264065</v>
      </c>
      <c r="R159" s="1">
        <f>(Main_M[[#This Row],[ROA]]-VLOOKUP(Main_M[[#This Row],[Industry]], Mean_ROA_M, 2, FALSE))/(VLOOKUP(Main_M[[#This Row],[Industry]], Mean_ROA_M, 3, FALSE))</f>
        <v>-1.1864995476751701</v>
      </c>
      <c r="S159" s="1">
        <f>(Main_M[[#This Row],[A/E]]-VLOOKUP(Main_M[[#This Row],[Industry]], Mean_AE_M, 2, FALSE))/(VLOOKUP(Main_M[[#This Row],[Industry]], Mean_AE_M, 3, FALSE))</f>
        <v>-9.9467423181696782E-2</v>
      </c>
      <c r="T159" s="1">
        <f>(Main_M[[#This Row],[P/E]]-VLOOKUP(Main_M[[#This Row],[Industry]], Mean_PE_M, 2, FALSE))/(VLOOKUP(Main_M[[#This Row],[Industry]], Mean_PE_M, 3, FALSE))</f>
        <v>-2.1132117699191886</v>
      </c>
      <c r="U1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0" spans="1:26" x14ac:dyDescent="0.25">
      <c r="A160" s="67" t="s">
        <v>203</v>
      </c>
      <c r="B160" s="67" t="s">
        <v>356</v>
      </c>
      <c r="C160" s="2">
        <v>2882</v>
      </c>
      <c r="D160">
        <f>RTD("tos.rtd", , "LAST", Main_M[[#This Row],[Symbol]])</f>
        <v>5.42</v>
      </c>
      <c r="E160">
        <v>0.2</v>
      </c>
      <c r="F160">
        <v>7.95</v>
      </c>
      <c r="G160">
        <v>-7.0000000000000007E-2</v>
      </c>
      <c r="H160" s="1">
        <f>IF(ISNUMBER(Main_M[[#This Row],[Free CF]]),IF(Main_M[[#This Row],[Free CF]]&lt;&gt;0,Main_M[[#This Row],[Current Price]]/Main_M[[#This Row],[Free CF]],""),"")</f>
        <v>27.099999999999998</v>
      </c>
      <c r="I160" s="1">
        <f>IF(ISNUMBER(Main_M[[#This Row],[BVPS]]),IF(Main_M[[#This Row],[BVPS]]&lt;&gt;0,Main_M[[#This Row],[Current Price]]/Main_M[[#This Row],[BVPS]],""),"")</f>
        <v>0.68176100628930814</v>
      </c>
      <c r="J160">
        <v>-0.82</v>
      </c>
      <c r="K160">
        <v>-0.39</v>
      </c>
      <c r="L160">
        <v>1.87</v>
      </c>
      <c r="M160" s="1">
        <f>IF(ISNUMBER(Main_M[[#This Row],[EPS]]),IF(Main_M[[#This Row],[EPS]]&lt;&gt;0,Main_M[[#This Row],[Current Price]]/Main_M[[#This Row],[EPS]],""),"")</f>
        <v>-77.428571428571416</v>
      </c>
      <c r="N1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0" s="1">
        <f>(Main_M[[#This Row],[P/FCF]]-VLOOKUP(Main_M[[#This Row],[Industry]], Mean_PFCF_M, 2, FALSE))/(VLOOKUP(Main_M[[#This Row],[Industry]], Mean_PFCF_M, 3, FALSE))</f>
        <v>0.89457051820644162</v>
      </c>
      <c r="P160" s="1">
        <f>(Main_M[[#This Row],[P/B]]-VLOOKUP(Main_M[[#This Row],[Industry]], Mean_PB_M, 2, FALSE))/(VLOOKUP(Main_M[[#This Row],[Industry]], Mean_PB_M, 3, FALSE))</f>
        <v>-1.2861050175037918</v>
      </c>
      <c r="Q160" s="1">
        <f>(Main_M[[#This Row],[ROE]]-VLOOKUP(Main_M[[#This Row],[Industry]], Mean_ROE_M, 2, FALSE))/(VLOOKUP(Main_M[[#This Row],[Industry]], Mean_ROE_M, 3, FALSE))</f>
        <v>-0.6666973082828469</v>
      </c>
      <c r="R160" s="1">
        <f>(Main_M[[#This Row],[ROA]]-VLOOKUP(Main_M[[#This Row],[Industry]], Mean_ROA_M, 2, FALSE))/(VLOOKUP(Main_M[[#This Row],[Industry]], Mean_ROA_M, 3, FALSE))</f>
        <v>-1.6182830946834141</v>
      </c>
      <c r="S160" s="1">
        <f>(Main_M[[#This Row],[A/E]]-VLOOKUP(Main_M[[#This Row],[Industry]], Mean_AE_M, 2, FALSE))/(VLOOKUP(Main_M[[#This Row],[Industry]], Mean_AE_M, 3, FALSE))</f>
        <v>-0.87180270906311186</v>
      </c>
      <c r="T160" s="1">
        <f>(Main_M[[#This Row],[P/E]]-VLOOKUP(Main_M[[#This Row],[Industry]], Mean_PE_M, 2, FALSE))/(VLOOKUP(Main_M[[#This Row],[Industry]], Mean_PE_M, 3, FALSE))</f>
        <v>-8.2218802403940803</v>
      </c>
      <c r="U1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1" spans="1:26" x14ac:dyDescent="0.25">
      <c r="A161" s="67" t="s">
        <v>203</v>
      </c>
      <c r="B161" s="67" t="s">
        <v>360</v>
      </c>
      <c r="C161" s="2">
        <v>2435</v>
      </c>
      <c r="D161">
        <f>RTD("tos.rtd", , "LAST", Main_M[[#This Row],[Symbol]])</f>
        <v>62.81</v>
      </c>
      <c r="E161">
        <v>0.18</v>
      </c>
      <c r="F161">
        <v>3.16</v>
      </c>
      <c r="G161">
        <v>1.65</v>
      </c>
      <c r="H161" s="1">
        <f>IF(ISNUMBER(Main_M[[#This Row],[Free CF]]),IF(Main_M[[#This Row],[Free CF]]&lt;&gt;0,Main_M[[#This Row],[Current Price]]/Main_M[[#This Row],[Free CF]],""),"")</f>
        <v>348.94444444444446</v>
      </c>
      <c r="I161" s="1">
        <f>IF(ISNUMBER(Main_M[[#This Row],[BVPS]]),IF(Main_M[[#This Row],[BVPS]]&lt;&gt;0,Main_M[[#This Row],[Current Price]]/Main_M[[#This Row],[BVPS]],""),"")</f>
        <v>19.876582278481013</v>
      </c>
      <c r="J161">
        <v>48.65</v>
      </c>
      <c r="K161">
        <v>2.25</v>
      </c>
      <c r="L161">
        <v>18.010000000000002</v>
      </c>
      <c r="M161" s="1">
        <f>IF(ISNUMBER(Main_M[[#This Row],[EPS]]),IF(Main_M[[#This Row],[EPS]]&lt;&gt;0,Main_M[[#This Row],[Current Price]]/Main_M[[#This Row],[EPS]],""),"")</f>
        <v>38.06666666666667</v>
      </c>
      <c r="N1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1" s="1">
        <f>(Main_M[[#This Row],[P/FCF]]-VLOOKUP(Main_M[[#This Row],[Industry]], Mean_PFCF_M, 2, FALSE))/(VLOOKUP(Main_M[[#This Row],[Industry]], Mean_PFCF_M, 3, FALSE))</f>
        <v>34.85131880575819</v>
      </c>
      <c r="P161" s="1">
        <f>(Main_M[[#This Row],[P/B]]-VLOOKUP(Main_M[[#This Row],[Industry]], Mean_PB_M, 2, FALSE))/(VLOOKUP(Main_M[[#This Row],[Industry]], Mean_PB_M, 3, FALSE))</f>
        <v>10.81300836287196</v>
      </c>
      <c r="Q161" s="1">
        <f>(Main_M[[#This Row],[ROE]]-VLOOKUP(Main_M[[#This Row],[Industry]], Mean_ROE_M, 2, FALSE))/(VLOOKUP(Main_M[[#This Row],[Industry]], Mean_ROE_M, 3, FALSE))</f>
        <v>0.88279387718129132</v>
      </c>
      <c r="R161" s="1">
        <f>(Main_M[[#This Row],[ROA]]-VLOOKUP(Main_M[[#This Row],[Industry]], Mean_ROA_M, 2, FALSE))/(VLOOKUP(Main_M[[#This Row],[Industry]], Mean_ROA_M, 3, FALSE))</f>
        <v>-0.90135946946217871</v>
      </c>
      <c r="S161" s="1">
        <f>(Main_M[[#This Row],[A/E]]-VLOOKUP(Main_M[[#This Row],[Industry]], Mean_AE_M, 2, FALSE))/(VLOOKUP(Main_M[[#This Row],[Industry]], Mean_AE_M, 3, FALSE))</f>
        <v>28.807938991236988</v>
      </c>
      <c r="T161" s="1">
        <f>(Main_M[[#This Row],[P/E]]-VLOOKUP(Main_M[[#This Row],[Industry]], Mean_PE_M, 2, FALSE))/(VLOOKUP(Main_M[[#This Row],[Industry]], Mean_PE_M, 3, FALSE))</f>
        <v>1.4488545605864256</v>
      </c>
      <c r="U1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2" spans="1:26" x14ac:dyDescent="0.25">
      <c r="A162" s="67" t="s">
        <v>203</v>
      </c>
      <c r="B162" s="67" t="s">
        <v>357</v>
      </c>
      <c r="C162" s="2">
        <v>2973</v>
      </c>
      <c r="D162">
        <f>RTD("tos.rtd", , "LAST", Main_M[[#This Row],[Symbol]])</f>
        <v>18.55</v>
      </c>
      <c r="E162">
        <v>-0.18</v>
      </c>
      <c r="F162">
        <v>7.36</v>
      </c>
      <c r="G162">
        <v>-0.95</v>
      </c>
      <c r="H162" s="1">
        <f>IF(ISNUMBER(Main_M[[#This Row],[Free CF]]),IF(Main_M[[#This Row],[Free CF]]&lt;&gt;0,Main_M[[#This Row],[Current Price]]/Main_M[[#This Row],[Free CF]],""),"")</f>
        <v>-103.05555555555556</v>
      </c>
      <c r="I162" s="1">
        <f>IF(ISNUMBER(Main_M[[#This Row],[BVPS]]),IF(Main_M[[#This Row],[BVPS]]&lt;&gt;0,Main_M[[#This Row],[Current Price]]/Main_M[[#This Row],[BVPS]],""),"")</f>
        <v>2.5203804347826089</v>
      </c>
      <c r="J162">
        <v>-13.59</v>
      </c>
      <c r="K162">
        <v>-1.23</v>
      </c>
      <c r="L162">
        <v>3.03</v>
      </c>
      <c r="M162" s="1">
        <f>IF(ISNUMBER(Main_M[[#This Row],[EPS]]),IF(Main_M[[#This Row],[EPS]]&lt;&gt;0,Main_M[[#This Row],[Current Price]]/Main_M[[#This Row],[EPS]],""),"")</f>
        <v>-19.526315789473685</v>
      </c>
      <c r="N1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2" s="1">
        <f>(Main_M[[#This Row],[P/FCF]]-VLOOKUP(Main_M[[#This Row],[Industry]], Mean_PFCF_M, 2, FALSE))/(VLOOKUP(Main_M[[#This Row],[Industry]], Mean_PFCF_M, 3, FALSE))</f>
        <v>-12.837713864876525</v>
      </c>
      <c r="P162" s="1">
        <f>(Main_M[[#This Row],[P/B]]-VLOOKUP(Main_M[[#This Row],[Industry]], Mean_PB_M, 2, FALSE))/(VLOOKUP(Main_M[[#This Row],[Industry]], Mean_PB_M, 3, FALSE))</f>
        <v>-0.12716403997407219</v>
      </c>
      <c r="Q162" s="1">
        <f>(Main_M[[#This Row],[ROE]]-VLOOKUP(Main_M[[#This Row],[Industry]], Mean_ROE_M, 2, FALSE))/(VLOOKUP(Main_M[[#This Row],[Industry]], Mean_ROE_M, 3, FALSE))</f>
        <v>-1.0666771433015865</v>
      </c>
      <c r="R162" s="1">
        <f>(Main_M[[#This Row],[ROA]]-VLOOKUP(Main_M[[#This Row],[Industry]], Mean_ROA_M, 2, FALSE))/(VLOOKUP(Main_M[[#This Row],[Industry]], Mean_ROA_M, 3, FALSE))</f>
        <v>-1.8463951572538075</v>
      </c>
      <c r="S162" s="1">
        <f>(Main_M[[#This Row],[A/E]]-VLOOKUP(Main_M[[#This Row],[Industry]], Mean_AE_M, 2, FALSE))/(VLOOKUP(Main_M[[#This Row],[Industry]], Mean_AE_M, 3, FALSE))</f>
        <v>1.2613137947998438</v>
      </c>
      <c r="T162" s="1">
        <f>(Main_M[[#This Row],[P/E]]-VLOOKUP(Main_M[[#This Row],[Industry]], Mean_PE_M, 2, FALSE))/(VLOOKUP(Main_M[[#This Row],[Industry]], Mean_PE_M, 3, FALSE))</f>
        <v>-3.3735646916391797</v>
      </c>
      <c r="U1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63" spans="1:26" x14ac:dyDescent="0.25">
      <c r="A163" s="67" t="s">
        <v>180</v>
      </c>
      <c r="B163" s="67" t="s">
        <v>337</v>
      </c>
      <c r="C163" s="2">
        <v>2766</v>
      </c>
      <c r="D163">
        <f>RTD("tos.rtd", , "LAST", Main_M[[#This Row],[Symbol]])</f>
        <v>116.12</v>
      </c>
      <c r="E163">
        <v>11.95</v>
      </c>
      <c r="F163">
        <v>46.18</v>
      </c>
      <c r="G163">
        <v>9.65</v>
      </c>
      <c r="H163" s="1">
        <f>IF(ISNUMBER(Main_M[[#This Row],[Free CF]]),IF(Main_M[[#This Row],[Free CF]]&lt;&gt;0,Main_M[[#This Row],[Current Price]]/Main_M[[#This Row],[Free CF]],""),"")</f>
        <v>9.7171548117154813</v>
      </c>
      <c r="I163" s="1">
        <f>IF(ISNUMBER(Main_M[[#This Row],[BVPS]]),IF(Main_M[[#This Row],[BVPS]]&lt;&gt;0,Main_M[[#This Row],[Current Price]]/Main_M[[#This Row],[BVPS]],""),"")</f>
        <v>2.5145084452143784</v>
      </c>
      <c r="J163">
        <v>22.8</v>
      </c>
      <c r="K163">
        <v>6.6</v>
      </c>
      <c r="L163">
        <v>1.97</v>
      </c>
      <c r="M163" s="1">
        <f>IF(ISNUMBER(Main_M[[#This Row],[EPS]]),IF(Main_M[[#This Row],[EPS]]&lt;&gt;0,Main_M[[#This Row],[Current Price]]/Main_M[[#This Row],[EPS]],""),"")</f>
        <v>12.033160621761658</v>
      </c>
      <c r="N1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63" s="1">
        <f>(Main_M[[#This Row],[P/FCF]]-VLOOKUP(Main_M[[#This Row],[Industry]], Mean_PFCF_M, 2, FALSE))/(VLOOKUP(Main_M[[#This Row],[Industry]], Mean_PFCF_M, 3, FALSE))</f>
        <v>-0.34035814111353851</v>
      </c>
      <c r="P163" s="1">
        <f>(Main_M[[#This Row],[P/B]]-VLOOKUP(Main_M[[#This Row],[Industry]], Mean_PB_M, 2, FALSE))/(VLOOKUP(Main_M[[#This Row],[Industry]], Mean_PB_M, 3, FALSE))</f>
        <v>-4.8907971317603653E-2</v>
      </c>
      <c r="Q163" s="1">
        <f>(Main_M[[#This Row],[ROE]]-VLOOKUP(Main_M[[#This Row],[Industry]], Mean_ROE_M, 2, FALSE))/(VLOOKUP(Main_M[[#This Row],[Industry]], Mean_ROE_M, 3, FALSE))</f>
        <v>2.3015687459948619</v>
      </c>
      <c r="R163" s="1">
        <f>(Main_M[[#This Row],[ROA]]-VLOOKUP(Main_M[[#This Row],[Industry]], Mean_ROA_M, 2, FALSE))/(VLOOKUP(Main_M[[#This Row],[Industry]], Mean_ROA_M, 3, FALSE))</f>
        <v>0.22773243649279262</v>
      </c>
      <c r="S163" s="1">
        <f>(Main_M[[#This Row],[A/E]]-VLOOKUP(Main_M[[#This Row],[Industry]], Mean_AE_M, 2, FALSE))/(VLOOKUP(Main_M[[#This Row],[Industry]], Mean_AE_M, 3, FALSE))</f>
        <v>-0.49295239295040361</v>
      </c>
      <c r="T163" s="1">
        <f>(Main_M[[#This Row],[P/E]]-VLOOKUP(Main_M[[#This Row],[Industry]], Mean_PE_M, 2, FALSE))/(VLOOKUP(Main_M[[#This Row],[Industry]], Mean_PE_M, 3, FALSE))</f>
        <v>-0.84819681585101636</v>
      </c>
      <c r="U1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4" spans="1:26" x14ac:dyDescent="0.25">
      <c r="A164" s="67" t="s">
        <v>180</v>
      </c>
      <c r="B164" s="67" t="s">
        <v>182</v>
      </c>
      <c r="C164" s="2">
        <v>8627</v>
      </c>
      <c r="D164">
        <f>RTD("tos.rtd", , "LAST", Main_M[[#This Row],[Symbol]])</f>
        <v>233.17</v>
      </c>
      <c r="E164">
        <v>11.42</v>
      </c>
      <c r="F164">
        <v>47.85</v>
      </c>
      <c r="G164">
        <v>9.98</v>
      </c>
      <c r="H164" s="1">
        <f>IF(ISNUMBER(Main_M[[#This Row],[Free CF]]),IF(Main_M[[#This Row],[Free CF]]&lt;&gt;0,Main_M[[#This Row],[Current Price]]/Main_M[[#This Row],[Free CF]],""),"")</f>
        <v>20.417688266199647</v>
      </c>
      <c r="I164" s="1">
        <f>IF(ISNUMBER(Main_M[[#This Row],[BVPS]]),IF(Main_M[[#This Row],[BVPS]]&lt;&gt;0,Main_M[[#This Row],[Current Price]]/Main_M[[#This Row],[BVPS]],""),"")</f>
        <v>4.8729362591431551</v>
      </c>
      <c r="J164">
        <v>22.23</v>
      </c>
      <c r="K164">
        <v>10.56</v>
      </c>
      <c r="L164">
        <v>1.7</v>
      </c>
      <c r="M164" s="1">
        <f>IF(ISNUMBER(Main_M[[#This Row],[EPS]]),IF(Main_M[[#This Row],[EPS]]&lt;&gt;0,Main_M[[#This Row],[Current Price]]/Main_M[[#This Row],[EPS]],""),"")</f>
        <v>23.363727454909817</v>
      </c>
      <c r="N1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4" s="1">
        <f>(Main_M[[#This Row],[P/FCF]]-VLOOKUP(Main_M[[#This Row],[Industry]], Mean_PFCF_M, 2, FALSE))/(VLOOKUP(Main_M[[#This Row],[Industry]], Mean_PFCF_M, 3, FALSE))</f>
        <v>0.62268281421558058</v>
      </c>
      <c r="P164" s="1">
        <f>(Main_M[[#This Row],[P/B]]-VLOOKUP(Main_M[[#This Row],[Industry]], Mean_PB_M, 2, FALSE))/(VLOOKUP(Main_M[[#This Row],[Industry]], Mean_PB_M, 3, FALSE))</f>
        <v>1.8760764977685027</v>
      </c>
      <c r="Q164" s="1">
        <f>(Main_M[[#This Row],[ROE]]-VLOOKUP(Main_M[[#This Row],[Industry]], Mean_ROE_M, 2, FALSE))/(VLOOKUP(Main_M[[#This Row],[Industry]], Mean_ROE_M, 3, FALSE))</f>
        <v>2.1524107623803994</v>
      </c>
      <c r="R164" s="1">
        <f>(Main_M[[#This Row],[ROA]]-VLOOKUP(Main_M[[#This Row],[Industry]], Mean_ROA_M, 2, FALSE))/(VLOOKUP(Main_M[[#This Row],[Industry]], Mean_ROA_M, 3, FALSE))</f>
        <v>2.0823760324032476</v>
      </c>
      <c r="S164" s="1">
        <f>(Main_M[[#This Row],[A/E]]-VLOOKUP(Main_M[[#This Row],[Industry]], Mean_AE_M, 2, FALSE))/(VLOOKUP(Main_M[[#This Row],[Industry]], Mean_AE_M, 3, FALSE))</f>
        <v>-0.79775501759912648</v>
      </c>
      <c r="T164" s="1">
        <f>(Main_M[[#This Row],[P/E]]-VLOOKUP(Main_M[[#This Row],[Industry]], Mean_PE_M, 2, FALSE))/(VLOOKUP(Main_M[[#This Row],[Industry]], Mean_PE_M, 3, FALSE))</f>
        <v>0.68977290657911627</v>
      </c>
      <c r="U1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5" spans="1:26" x14ac:dyDescent="0.25">
      <c r="A165" s="67" t="s">
        <v>180</v>
      </c>
      <c r="B165" s="67" t="s">
        <v>336</v>
      </c>
      <c r="C165" s="2">
        <v>3534</v>
      </c>
      <c r="D165">
        <f>RTD("tos.rtd", , "LAST", Main_M[[#This Row],[Symbol]])</f>
        <v>121.42</v>
      </c>
      <c r="E165">
        <v>9.1</v>
      </c>
      <c r="F165">
        <v>47.65</v>
      </c>
      <c r="G165">
        <v>4.4800000000000004</v>
      </c>
      <c r="H165" s="1">
        <f>IF(ISNUMBER(Main_M[[#This Row],[Free CF]]),IF(Main_M[[#This Row],[Free CF]]&lt;&gt;0,Main_M[[#This Row],[Current Price]]/Main_M[[#This Row],[Free CF]],""),"")</f>
        <v>13.342857142857143</v>
      </c>
      <c r="I165" s="1">
        <f>IF(ISNUMBER(Main_M[[#This Row],[BVPS]]),IF(Main_M[[#This Row],[BVPS]]&lt;&gt;0,Main_M[[#This Row],[Current Price]]/Main_M[[#This Row],[BVPS]],""),"")</f>
        <v>2.5481636935991605</v>
      </c>
      <c r="J165">
        <v>9.6</v>
      </c>
      <c r="K165">
        <v>6.09</v>
      </c>
      <c r="L165">
        <v>5.67</v>
      </c>
      <c r="M165" s="1">
        <f>IF(ISNUMBER(Main_M[[#This Row],[EPS]]),IF(Main_M[[#This Row],[EPS]]&lt;&gt;0,Main_M[[#This Row],[Current Price]]/Main_M[[#This Row],[EPS]],""),"")</f>
        <v>27.102678571428569</v>
      </c>
      <c r="N1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5" s="1">
        <f>(Main_M[[#This Row],[P/FCF]]-VLOOKUP(Main_M[[#This Row],[Industry]], Mean_PFCF_M, 2, FALSE))/(VLOOKUP(Main_M[[#This Row],[Industry]], Mean_PFCF_M, 3, FALSE))</f>
        <v>-1.4047321977839408E-2</v>
      </c>
      <c r="P165" s="1">
        <f>(Main_M[[#This Row],[P/B]]-VLOOKUP(Main_M[[#This Row],[Industry]], Mean_PB_M, 2, FALSE))/(VLOOKUP(Main_M[[#This Row],[Industry]], Mean_PB_M, 3, FALSE))</f>
        <v>-2.1438048320037931E-2</v>
      </c>
      <c r="Q165" s="1">
        <f>(Main_M[[#This Row],[ROE]]-VLOOKUP(Main_M[[#This Row],[Industry]], Mean_ROE_M, 2, FALSE))/(VLOOKUP(Main_M[[#This Row],[Industry]], Mean_ROE_M, 3, FALSE))</f>
        <v>-1.152616137708486</v>
      </c>
      <c r="R165" s="1">
        <f>(Main_M[[#This Row],[ROA]]-VLOOKUP(Main_M[[#This Row],[Industry]], Mean_ROA_M, 2, FALSE))/(VLOOKUP(Main_M[[#This Row],[Industry]], Mean_ROA_M, 3, FALSE))</f>
        <v>-1.1123178132038579E-2</v>
      </c>
      <c r="S165" s="1">
        <f>(Main_M[[#This Row],[A/E]]-VLOOKUP(Main_M[[#This Row],[Industry]], Mean_AE_M, 2, FALSE))/(VLOOKUP(Main_M[[#This Row],[Industry]], Mean_AE_M, 3, FALSE))</f>
        <v>3.6839724633469086</v>
      </c>
      <c r="T165" s="1">
        <f>(Main_M[[#This Row],[P/E]]-VLOOKUP(Main_M[[#This Row],[Industry]], Mean_PE_M, 2, FALSE))/(VLOOKUP(Main_M[[#This Row],[Industry]], Mean_PE_M, 3, FALSE))</f>
        <v>1.1972844631968405</v>
      </c>
      <c r="U1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6" spans="1:26" x14ac:dyDescent="0.25">
      <c r="A166" s="67" t="s">
        <v>180</v>
      </c>
      <c r="B166" s="67" t="s">
        <v>334</v>
      </c>
      <c r="C166" s="2">
        <v>2907</v>
      </c>
      <c r="D166">
        <f>RTD("tos.rtd", , "LAST", Main_M[[#This Row],[Symbol]])</f>
        <v>79.17</v>
      </c>
      <c r="E166">
        <v>8.64</v>
      </c>
      <c r="F166">
        <v>36.21</v>
      </c>
      <c r="G166">
        <v>3.66</v>
      </c>
      <c r="H166" s="1">
        <f>IF(ISNUMBER(Main_M[[#This Row],[Free CF]]),IF(Main_M[[#This Row],[Free CF]]&lt;&gt;0,Main_M[[#This Row],[Current Price]]/Main_M[[#This Row],[Free CF]],""),"")</f>
        <v>9.1631944444444446</v>
      </c>
      <c r="I166" s="1">
        <f>IF(ISNUMBER(Main_M[[#This Row],[BVPS]]),IF(Main_M[[#This Row],[BVPS]]&lt;&gt;0,Main_M[[#This Row],[Current Price]]/Main_M[[#This Row],[BVPS]],""),"")</f>
        <v>2.1864125932062968</v>
      </c>
      <c r="J166">
        <v>10.36</v>
      </c>
      <c r="K166">
        <v>6.05</v>
      </c>
      <c r="L166">
        <v>2.72</v>
      </c>
      <c r="M166" s="1">
        <f>IF(ISNUMBER(Main_M[[#This Row],[EPS]]),IF(Main_M[[#This Row],[EPS]]&lt;&gt;0,Main_M[[#This Row],[Current Price]]/Main_M[[#This Row],[EPS]],""),"")</f>
        <v>21.631147540983605</v>
      </c>
      <c r="N1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6" s="1">
        <f>(Main_M[[#This Row],[P/FCF]]-VLOOKUP(Main_M[[#This Row],[Industry]], Mean_PFCF_M, 2, FALSE))/(VLOOKUP(Main_M[[#This Row],[Industry]], Mean_PFCF_M, 3, FALSE))</f>
        <v>-0.39021420890496306</v>
      </c>
      <c r="P166" s="1">
        <f>(Main_M[[#This Row],[P/B]]-VLOOKUP(Main_M[[#This Row],[Industry]], Mean_PB_M, 2, FALSE))/(VLOOKUP(Main_M[[#This Row],[Industry]], Mean_PB_M, 3, FALSE))</f>
        <v>-0.31670477042124762</v>
      </c>
      <c r="Q166" s="1">
        <f>(Main_M[[#This Row],[ROE]]-VLOOKUP(Main_M[[#This Row],[Industry]], Mean_ROE_M, 2, FALSE))/(VLOOKUP(Main_M[[#This Row],[Industry]], Mean_ROE_M, 3, FALSE))</f>
        <v>-0.9537388262225357</v>
      </c>
      <c r="R166" s="1">
        <f>(Main_M[[#This Row],[ROA]]-VLOOKUP(Main_M[[#This Row],[Industry]], Mean_ROA_M, 2, FALSE))/(VLOOKUP(Main_M[[#This Row],[Industry]], Mean_ROA_M, 3, FALSE))</f>
        <v>-2.9856951828103797E-2</v>
      </c>
      <c r="S166" s="1">
        <f>(Main_M[[#This Row],[A/E]]-VLOOKUP(Main_M[[#This Row],[Industry]], Mean_AE_M, 2, FALSE))/(VLOOKUP(Main_M[[#This Row],[Industry]], Mean_AE_M, 3, FALSE))</f>
        <v>0.35372156440715991</v>
      </c>
      <c r="T166" s="1">
        <f>(Main_M[[#This Row],[P/E]]-VLOOKUP(Main_M[[#This Row],[Industry]], Mean_PE_M, 2, FALSE))/(VLOOKUP(Main_M[[#This Row],[Industry]], Mean_PE_M, 3, FALSE))</f>
        <v>0.45459884260258754</v>
      </c>
      <c r="U1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7" spans="1:26" x14ac:dyDescent="0.25">
      <c r="A167" s="67" t="s">
        <v>180</v>
      </c>
      <c r="B167" s="67" t="s">
        <v>589</v>
      </c>
      <c r="C167" s="2">
        <v>4960</v>
      </c>
      <c r="D167">
        <f>RTD("tos.rtd", , "LAST", Main_M[[#This Row],[Symbol]])</f>
        <v>38.735999999999997</v>
      </c>
      <c r="E167">
        <v>6</v>
      </c>
      <c r="F167">
        <v>13.83</v>
      </c>
      <c r="G167">
        <v>2.4700000000000002</v>
      </c>
      <c r="H167" s="1">
        <f>IF(ISNUMBER(Main_M[[#This Row],[Free CF]]),IF(Main_M[[#This Row],[Free CF]]&lt;&gt;0,Main_M[[#This Row],[Current Price]]/Main_M[[#This Row],[Free CF]],""),"")</f>
        <v>6.4559999999999995</v>
      </c>
      <c r="I167" s="1">
        <f>IF(ISNUMBER(Main_M[[#This Row],[BVPS]]),IF(Main_M[[#This Row],[BVPS]]&lt;&gt;0,Main_M[[#This Row],[Current Price]]/Main_M[[#This Row],[BVPS]],""),"")</f>
        <v>2.800867678958785</v>
      </c>
      <c r="J167">
        <v>18.13</v>
      </c>
      <c r="K167">
        <v>6.54</v>
      </c>
      <c r="L167">
        <v>3.03</v>
      </c>
      <c r="M167" s="1">
        <f>IF(ISNUMBER(Main_M[[#This Row],[EPS]]),IF(Main_M[[#This Row],[EPS]]&lt;&gt;0,Main_M[[#This Row],[Current Price]]/Main_M[[#This Row],[EPS]],""),"")</f>
        <v>15.682591093117406</v>
      </c>
      <c r="N1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7" s="1">
        <f>(Main_M[[#This Row],[P/FCF]]-VLOOKUP(Main_M[[#This Row],[Industry]], Mean_PFCF_M, 2, FALSE))/(VLOOKUP(Main_M[[#This Row],[Industry]], Mean_PFCF_M, 3, FALSE))</f>
        <v>-0.63385992387134305</v>
      </c>
      <c r="P167" s="1">
        <f>(Main_M[[#This Row],[P/B]]-VLOOKUP(Main_M[[#This Row],[Industry]], Mean_PB_M, 2, FALSE))/(VLOOKUP(Main_M[[#This Row],[Industry]], Mean_PB_M, 3, FALSE))</f>
        <v>0.18482276840730857</v>
      </c>
      <c r="Q167" s="1">
        <f>(Main_M[[#This Row],[ROE]]-VLOOKUP(Main_M[[#This Row],[Industry]], Mean_ROE_M, 2, FALSE))/(VLOOKUP(Main_M[[#This Row],[Industry]], Mean_ROE_M, 3, FALSE))</f>
        <v>1.0795200030482983</v>
      </c>
      <c r="R167" s="1">
        <f>(Main_M[[#This Row],[ROA]]-VLOOKUP(Main_M[[#This Row],[Industry]], Mean_ROA_M, 2, FALSE))/(VLOOKUP(Main_M[[#This Row],[Industry]], Mean_ROA_M, 3, FALSE))</f>
        <v>0.19963177594869499</v>
      </c>
      <c r="S167" s="1">
        <f>(Main_M[[#This Row],[A/E]]-VLOOKUP(Main_M[[#This Row],[Industry]], Mean_AE_M, 2, FALSE))/(VLOOKUP(Main_M[[#This Row],[Industry]], Mean_AE_M, 3, FALSE))</f>
        <v>0.70368013344828562</v>
      </c>
      <c r="T167" s="1">
        <f>(Main_M[[#This Row],[P/E]]-VLOOKUP(Main_M[[#This Row],[Industry]], Mean_PE_M, 2, FALSE))/(VLOOKUP(Main_M[[#This Row],[Industry]], Mean_PE_M, 3, FALSE))</f>
        <v>-0.35283646436014626</v>
      </c>
      <c r="U1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8" spans="1:26" x14ac:dyDescent="0.25">
      <c r="A168" s="67" t="s">
        <v>180</v>
      </c>
      <c r="B168" s="67" t="s">
        <v>335</v>
      </c>
      <c r="C168" s="2">
        <v>3470</v>
      </c>
      <c r="D168">
        <f>RTD("tos.rtd", , "LAST", Main_M[[#This Row],[Symbol]])</f>
        <v>94.64</v>
      </c>
      <c r="E168">
        <v>5.89</v>
      </c>
      <c r="F168">
        <v>16.649999999999999</v>
      </c>
      <c r="G168">
        <v>2.4900000000000002</v>
      </c>
      <c r="H168" s="1">
        <f>IF(ISNUMBER(Main_M[[#This Row],[Free CF]]),IF(Main_M[[#This Row],[Free CF]]&lt;&gt;0,Main_M[[#This Row],[Current Price]]/Main_M[[#This Row],[Free CF]],""),"")</f>
        <v>16.067911714770798</v>
      </c>
      <c r="I168" s="1">
        <f>IF(ISNUMBER(Main_M[[#This Row],[BVPS]]),IF(Main_M[[#This Row],[BVPS]]&lt;&gt;0,Main_M[[#This Row],[Current Price]]/Main_M[[#This Row],[BVPS]],""),"")</f>
        <v>5.6840840840840849</v>
      </c>
      <c r="J168">
        <v>15.74</v>
      </c>
      <c r="K168">
        <v>4.16</v>
      </c>
      <c r="L168">
        <v>4.43</v>
      </c>
      <c r="M168" s="1">
        <f>IF(ISNUMBER(Main_M[[#This Row],[EPS]]),IF(Main_M[[#This Row],[EPS]]&lt;&gt;0,Main_M[[#This Row],[Current Price]]/Main_M[[#This Row],[EPS]],""),"")</f>
        <v>38.008032128514053</v>
      </c>
      <c r="N1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8" s="1">
        <f>(Main_M[[#This Row],[P/FCF]]-VLOOKUP(Main_M[[#This Row],[Industry]], Mean_PFCF_M, 2, FALSE))/(VLOOKUP(Main_M[[#This Row],[Industry]], Mean_PFCF_M, 3, FALSE))</f>
        <v>0.2312057926843977</v>
      </c>
      <c r="P168" s="1">
        <f>(Main_M[[#This Row],[P/B]]-VLOOKUP(Main_M[[#This Row],[Industry]], Mean_PB_M, 2, FALSE))/(VLOOKUP(Main_M[[#This Row],[Industry]], Mean_PB_M, 3, FALSE))</f>
        <v>2.5381476266461496</v>
      </c>
      <c r="Q168" s="1">
        <f>(Main_M[[#This Row],[ROE]]-VLOOKUP(Main_M[[#This Row],[Industry]], Mean_ROE_M, 2, FALSE))/(VLOOKUP(Main_M[[#This Row],[Industry]], Mean_ROE_M, 3, FALSE))</f>
        <v>0.45410319455958653</v>
      </c>
      <c r="R168" s="1">
        <f>(Main_M[[#This Row],[ROA]]-VLOOKUP(Main_M[[#This Row],[Industry]], Mean_ROA_M, 2, FALSE))/(VLOOKUP(Main_M[[#This Row],[Industry]], Mean_ROA_M, 3, FALSE))</f>
        <v>-0.91502775896718436</v>
      </c>
      <c r="S168" s="1">
        <f>(Main_M[[#This Row],[A/E]]-VLOOKUP(Main_M[[#This Row],[Industry]], Mean_AE_M, 2, FALSE))/(VLOOKUP(Main_M[[#This Row],[Industry]], Mean_AE_M, 3, FALSE))</f>
        <v>2.2841381871824038</v>
      </c>
      <c r="T168" s="1">
        <f>(Main_M[[#This Row],[P/E]]-VLOOKUP(Main_M[[#This Row],[Industry]], Mean_PE_M, 2, FALSE))/(VLOOKUP(Main_M[[#This Row],[Industry]], Mean_PE_M, 3, FALSE))</f>
        <v>2.6775372899244112</v>
      </c>
      <c r="U1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9" spans="1:26" x14ac:dyDescent="0.25">
      <c r="A169" s="67" t="s">
        <v>180</v>
      </c>
      <c r="B169" s="67" t="s">
        <v>339</v>
      </c>
      <c r="C169" s="2">
        <v>3864</v>
      </c>
      <c r="D169">
        <f>RTD("tos.rtd", , "LAST", Main_M[[#This Row],[Symbol]])</f>
        <v>51.31</v>
      </c>
      <c r="E169">
        <v>5.87</v>
      </c>
      <c r="F169">
        <v>27.32</v>
      </c>
      <c r="G169">
        <v>3.57</v>
      </c>
      <c r="H169" s="1">
        <f>IF(ISNUMBER(Main_M[[#This Row],[Free CF]]),IF(Main_M[[#This Row],[Free CF]]&lt;&gt;0,Main_M[[#This Row],[Current Price]]/Main_M[[#This Row],[Free CF]],""),"")</f>
        <v>8.7410562180579223</v>
      </c>
      <c r="I169" s="1">
        <f>IF(ISNUMBER(Main_M[[#This Row],[BVPS]]),IF(Main_M[[#This Row],[BVPS]]&lt;&gt;0,Main_M[[#This Row],[Current Price]]/Main_M[[#This Row],[BVPS]],""),"")</f>
        <v>1.8781112737920937</v>
      </c>
      <c r="J169">
        <v>14.2</v>
      </c>
      <c r="K169">
        <v>6.02</v>
      </c>
      <c r="L169">
        <v>2.16</v>
      </c>
      <c r="M169" s="1">
        <f>IF(ISNUMBER(Main_M[[#This Row],[EPS]]),IF(Main_M[[#This Row],[EPS]]&lt;&gt;0,Main_M[[#This Row],[Current Price]]/Main_M[[#This Row],[EPS]],""),"")</f>
        <v>14.372549019607844</v>
      </c>
      <c r="N1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69" s="1">
        <f>(Main_M[[#This Row],[P/FCF]]-VLOOKUP(Main_M[[#This Row],[Industry]], Mean_PFCF_M, 2, FALSE))/(VLOOKUP(Main_M[[#This Row],[Industry]], Mean_PFCF_M, 3, FALSE))</f>
        <v>-0.42820637093589931</v>
      </c>
      <c r="P169" s="1">
        <f>(Main_M[[#This Row],[P/B]]-VLOOKUP(Main_M[[#This Row],[Industry]], Mean_PB_M, 2, FALSE))/(VLOOKUP(Main_M[[#This Row],[Industry]], Mean_PB_M, 3, FALSE))</f>
        <v>-0.56834497249402482</v>
      </c>
      <c r="Q169" s="1">
        <f>(Main_M[[#This Row],[ROE]]-VLOOKUP(Main_M[[#This Row],[Industry]], Mean_ROE_M, 2, FALSE))/(VLOOKUP(Main_M[[#This Row],[Industry]], Mean_ROE_M, 3, FALSE))</f>
        <v>5.1114958127529052E-2</v>
      </c>
      <c r="R169" s="1">
        <f>(Main_M[[#This Row],[ROA]]-VLOOKUP(Main_M[[#This Row],[Industry]], Mean_ROA_M, 2, FALSE))/(VLOOKUP(Main_M[[#This Row],[Industry]], Mean_ROA_M, 3, FALSE))</f>
        <v>-4.3907282100152815E-2</v>
      </c>
      <c r="S169" s="1">
        <f>(Main_M[[#This Row],[A/E]]-VLOOKUP(Main_M[[#This Row],[Industry]], Mean_AE_M, 2, FALSE))/(VLOOKUP(Main_M[[#This Row],[Industry]], Mean_AE_M, 3, FALSE))</f>
        <v>-0.2784616570864874</v>
      </c>
      <c r="T169" s="1">
        <f>(Main_M[[#This Row],[P/E]]-VLOOKUP(Main_M[[#This Row],[Industry]], Mean_PE_M, 2, FALSE))/(VLOOKUP(Main_M[[#This Row],[Industry]], Mean_PE_M, 3, FALSE))</f>
        <v>-0.53065678648850445</v>
      </c>
      <c r="U1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0" spans="1:26" x14ac:dyDescent="0.25">
      <c r="A170" s="67" t="s">
        <v>180</v>
      </c>
      <c r="B170" s="67" t="s">
        <v>340</v>
      </c>
      <c r="C170" s="2">
        <v>4063</v>
      </c>
      <c r="D170">
        <f>RTD("tos.rtd", , "LAST", Main_M[[#This Row],[Symbol]])</f>
        <v>51.53</v>
      </c>
      <c r="E170">
        <v>5.87</v>
      </c>
      <c r="F170">
        <v>27.32</v>
      </c>
      <c r="G170">
        <v>3.57</v>
      </c>
      <c r="H170" s="1">
        <f>IF(ISNUMBER(Main_M[[#This Row],[Free CF]]),IF(Main_M[[#This Row],[Free CF]]&lt;&gt;0,Main_M[[#This Row],[Current Price]]/Main_M[[#This Row],[Free CF]],""),"")</f>
        <v>8.7785349233390111</v>
      </c>
      <c r="I170" s="1">
        <f>IF(ISNUMBER(Main_M[[#This Row],[BVPS]]),IF(Main_M[[#This Row],[BVPS]]&lt;&gt;0,Main_M[[#This Row],[Current Price]]/Main_M[[#This Row],[BVPS]],""),"")</f>
        <v>1.8861639824304539</v>
      </c>
      <c r="J170">
        <v>14.2</v>
      </c>
      <c r="K170">
        <v>6.02</v>
      </c>
      <c r="L170">
        <v>2.16</v>
      </c>
      <c r="M170" s="1">
        <f>IF(ISNUMBER(Main_M[[#This Row],[EPS]]),IF(Main_M[[#This Row],[EPS]]&lt;&gt;0,Main_M[[#This Row],[Current Price]]/Main_M[[#This Row],[EPS]],""),"")</f>
        <v>14.434173669467787</v>
      </c>
      <c r="N1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70" s="1">
        <f>(Main_M[[#This Row],[P/FCF]]-VLOOKUP(Main_M[[#This Row],[Industry]], Mean_PFCF_M, 2, FALSE))/(VLOOKUP(Main_M[[#This Row],[Industry]], Mean_PFCF_M, 3, FALSE))</f>
        <v>-0.42483331217280812</v>
      </c>
      <c r="P170" s="1">
        <f>(Main_M[[#This Row],[P/B]]-VLOOKUP(Main_M[[#This Row],[Industry]], Mean_PB_M, 2, FALSE))/(VLOOKUP(Main_M[[#This Row],[Industry]], Mean_PB_M, 3, FALSE))</f>
        <v>-0.56177222985107922</v>
      </c>
      <c r="Q170" s="1">
        <f>(Main_M[[#This Row],[ROE]]-VLOOKUP(Main_M[[#This Row],[Industry]], Mean_ROE_M, 2, FALSE))/(VLOOKUP(Main_M[[#This Row],[Industry]], Mean_ROE_M, 3, FALSE))</f>
        <v>5.1114958127529052E-2</v>
      </c>
      <c r="R170" s="1">
        <f>(Main_M[[#This Row],[ROA]]-VLOOKUP(Main_M[[#This Row],[Industry]], Mean_ROA_M, 2, FALSE))/(VLOOKUP(Main_M[[#This Row],[Industry]], Mean_ROA_M, 3, FALSE))</f>
        <v>-4.3907282100152815E-2</v>
      </c>
      <c r="S170" s="1">
        <f>(Main_M[[#This Row],[A/E]]-VLOOKUP(Main_M[[#This Row],[Industry]], Mean_AE_M, 2, FALSE))/(VLOOKUP(Main_M[[#This Row],[Industry]], Mean_AE_M, 3, FALSE))</f>
        <v>-0.2784616570864874</v>
      </c>
      <c r="T170" s="1">
        <f>(Main_M[[#This Row],[P/E]]-VLOOKUP(Main_M[[#This Row],[Industry]], Mean_PE_M, 2, FALSE))/(VLOOKUP(Main_M[[#This Row],[Industry]], Mean_PE_M, 3, FALSE))</f>
        <v>-0.52229208178876452</v>
      </c>
      <c r="U1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1" spans="1:26" x14ac:dyDescent="0.25">
      <c r="A171" s="67" t="s">
        <v>180</v>
      </c>
      <c r="B171" s="67" t="s">
        <v>338</v>
      </c>
      <c r="C171" s="2">
        <v>4525</v>
      </c>
      <c r="D171">
        <f>RTD("tos.rtd", , "LAST", Main_M[[#This Row],[Symbol]])</f>
        <v>81.680000000000007</v>
      </c>
      <c r="E171">
        <v>5.39</v>
      </c>
      <c r="F171">
        <v>24.32</v>
      </c>
      <c r="G171">
        <v>3.8</v>
      </c>
      <c r="H171" s="1">
        <f>IF(ISNUMBER(Main_M[[#This Row],[Free CF]]),IF(Main_M[[#This Row],[Free CF]]&lt;&gt;0,Main_M[[#This Row],[Current Price]]/Main_M[[#This Row],[Free CF]],""),"")</f>
        <v>15.153988868274585</v>
      </c>
      <c r="I171" s="1">
        <f>IF(ISNUMBER(Main_M[[#This Row],[BVPS]]),IF(Main_M[[#This Row],[BVPS]]&lt;&gt;0,Main_M[[#This Row],[Current Price]]/Main_M[[#This Row],[BVPS]],""),"")</f>
        <v>3.3585526315789478</v>
      </c>
      <c r="J171">
        <v>15.18</v>
      </c>
      <c r="K171">
        <v>8.67</v>
      </c>
      <c r="L171">
        <v>1.82</v>
      </c>
      <c r="M171" s="1">
        <f>IF(ISNUMBER(Main_M[[#This Row],[EPS]]),IF(Main_M[[#This Row],[EPS]]&lt;&gt;0,Main_M[[#This Row],[Current Price]]/Main_M[[#This Row],[EPS]],""),"")</f>
        <v>21.494736842105265</v>
      </c>
      <c r="N1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1" s="1">
        <f>(Main_M[[#This Row],[P/FCF]]-VLOOKUP(Main_M[[#This Row],[Industry]], Mean_PFCF_M, 2, FALSE))/(VLOOKUP(Main_M[[#This Row],[Industry]], Mean_PFCF_M, 3, FALSE))</f>
        <v>0.14895333910994649</v>
      </c>
      <c r="P171" s="1">
        <f>(Main_M[[#This Row],[P/B]]-VLOOKUP(Main_M[[#This Row],[Industry]], Mean_PB_M, 2, FALSE))/(VLOOKUP(Main_M[[#This Row],[Industry]], Mean_PB_M, 3, FALSE))</f>
        <v>0.64001366553656658</v>
      </c>
      <c r="Q171" s="1">
        <f>(Main_M[[#This Row],[ROE]]-VLOOKUP(Main_M[[#This Row],[Industry]], Mean_ROE_M, 2, FALSE))/(VLOOKUP(Main_M[[#This Row],[Industry]], Mean_ROE_M, 3, FALSE))</f>
        <v>0.30756201767520197</v>
      </c>
      <c r="R171" s="1">
        <f>(Main_M[[#This Row],[ROA]]-VLOOKUP(Main_M[[#This Row],[Industry]], Mean_ROA_M, 2, FALSE))/(VLOOKUP(Main_M[[#This Row],[Industry]], Mean_ROA_M, 3, FALSE))</f>
        <v>1.197205225264167</v>
      </c>
      <c r="S171" s="1">
        <f>(Main_M[[#This Row],[A/E]]-VLOOKUP(Main_M[[#This Row],[Industry]], Mean_AE_M, 2, FALSE))/(VLOOKUP(Main_M[[#This Row],[Industry]], Mean_AE_M, 3, FALSE))</f>
        <v>-0.66228718442191614</v>
      </c>
      <c r="T171" s="1">
        <f>(Main_M[[#This Row],[P/E]]-VLOOKUP(Main_M[[#This Row],[Industry]], Mean_PE_M, 2, FALSE))/(VLOOKUP(Main_M[[#This Row],[Industry]], Mean_PE_M, 3, FALSE))</f>
        <v>0.4360829529935476</v>
      </c>
      <c r="U1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2" spans="1:26" x14ac:dyDescent="0.25">
      <c r="A172" s="67" t="s">
        <v>180</v>
      </c>
      <c r="B172" s="67" t="s">
        <v>188</v>
      </c>
      <c r="C172" s="2">
        <v>8194</v>
      </c>
      <c r="D172">
        <f>RTD("tos.rtd", , "LAST", Main_M[[#This Row],[Symbol]])</f>
        <v>176.51</v>
      </c>
      <c r="E172">
        <v>4.68</v>
      </c>
      <c r="F172">
        <v>103.18</v>
      </c>
      <c r="G172">
        <v>13.26</v>
      </c>
      <c r="H172" s="1">
        <f>IF(ISNUMBER(Main_M[[#This Row],[Free CF]]),IF(Main_M[[#This Row],[Free CF]]&lt;&gt;0,Main_M[[#This Row],[Current Price]]/Main_M[[#This Row],[Free CF]],""),"")</f>
        <v>37.715811965811966</v>
      </c>
      <c r="I172" s="1">
        <f>IF(ISNUMBER(Main_M[[#This Row],[BVPS]]),IF(Main_M[[#This Row],[BVPS]]&lt;&gt;0,Main_M[[#This Row],[Current Price]]/Main_M[[#This Row],[BVPS]],""),"")</f>
        <v>1.7106997480131807</v>
      </c>
      <c r="J172">
        <v>14.42</v>
      </c>
      <c r="K172">
        <v>5.0199999999999996</v>
      </c>
      <c r="L172">
        <v>3.08</v>
      </c>
      <c r="M172" s="1">
        <f>IF(ISNUMBER(Main_M[[#This Row],[EPS]]),IF(Main_M[[#This Row],[EPS]]&lt;&gt;0,Main_M[[#This Row],[Current Price]]/Main_M[[#This Row],[EPS]],""),"")</f>
        <v>13.311463046757163</v>
      </c>
      <c r="N1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2" s="1">
        <f>(Main_M[[#This Row],[P/FCF]]-VLOOKUP(Main_M[[#This Row],[Industry]], Mean_PFCF_M, 2, FALSE))/(VLOOKUP(Main_M[[#This Row],[Industry]], Mean_PFCF_M, 3, FALSE))</f>
        <v>2.1795025413755273</v>
      </c>
      <c r="P172" s="1">
        <f>(Main_M[[#This Row],[P/B]]-VLOOKUP(Main_M[[#This Row],[Industry]], Mean_PB_M, 2, FALSE))/(VLOOKUP(Main_M[[#This Row],[Industry]], Mean_PB_M, 3, FALSE))</f>
        <v>-0.70498879307955842</v>
      </c>
      <c r="Q172" s="1">
        <f>(Main_M[[#This Row],[ROE]]-VLOOKUP(Main_M[[#This Row],[Industry]], Mean_ROE_M, 2, FALSE))/(VLOOKUP(Main_M[[#This Row],[Industry]], Mean_ROE_M, 3, FALSE))</f>
        <v>0.10868470618925169</v>
      </c>
      <c r="R172" s="1">
        <f>(Main_M[[#This Row],[ROA]]-VLOOKUP(Main_M[[#This Row],[Industry]], Mean_ROA_M, 2, FALSE))/(VLOOKUP(Main_M[[#This Row],[Industry]], Mean_ROA_M, 3, FALSE))</f>
        <v>-0.51225162450178285</v>
      </c>
      <c r="S172" s="1">
        <f>(Main_M[[#This Row],[A/E]]-VLOOKUP(Main_M[[#This Row],[Industry]], Mean_AE_M, 2, FALSE))/(VLOOKUP(Main_M[[#This Row],[Industry]], Mean_AE_M, 3, FALSE))</f>
        <v>0.7601250639387902</v>
      </c>
      <c r="T172" s="1">
        <f>(Main_M[[#This Row],[P/E]]-VLOOKUP(Main_M[[#This Row],[Industry]], Mean_PE_M, 2, FALSE))/(VLOOKUP(Main_M[[#This Row],[Industry]], Mean_PE_M, 3, FALSE))</f>
        <v>-0.67468471758595028</v>
      </c>
      <c r="U1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3" spans="1:26" x14ac:dyDescent="0.25">
      <c r="A173" s="67" t="s">
        <v>180</v>
      </c>
      <c r="B173" s="67" t="s">
        <v>591</v>
      </c>
      <c r="C173" s="2">
        <v>7949</v>
      </c>
      <c r="D173">
        <f>RTD("tos.rtd", , "LAST", Main_M[[#This Row],[Symbol]])</f>
        <v>67.569999999999993</v>
      </c>
      <c r="E173">
        <v>4.58</v>
      </c>
      <c r="F173">
        <v>38.82</v>
      </c>
      <c r="G173">
        <v>5.03</v>
      </c>
      <c r="H173" s="1">
        <f>IF(ISNUMBER(Main_M[[#This Row],[Free CF]]),IF(Main_M[[#This Row],[Free CF]]&lt;&gt;0,Main_M[[#This Row],[Current Price]]/Main_M[[#This Row],[Free CF]],""),"")</f>
        <v>14.753275109170303</v>
      </c>
      <c r="I173" s="1">
        <f>IF(ISNUMBER(Main_M[[#This Row],[BVPS]]),IF(Main_M[[#This Row],[BVPS]]&lt;&gt;0,Main_M[[#This Row],[Current Price]]/Main_M[[#This Row],[BVPS]],""),"")</f>
        <v>1.7405976300875836</v>
      </c>
      <c r="J173">
        <v>14.12</v>
      </c>
      <c r="K173">
        <v>6.02</v>
      </c>
      <c r="L173">
        <v>2.2000000000000002</v>
      </c>
      <c r="M173" s="1">
        <f>IF(ISNUMBER(Main_M[[#This Row],[EPS]]),IF(Main_M[[#This Row],[EPS]]&lt;&gt;0,Main_M[[#This Row],[Current Price]]/Main_M[[#This Row],[EPS]],""),"")</f>
        <v>13.433399602385684</v>
      </c>
      <c r="N1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3" s="1">
        <f>(Main_M[[#This Row],[P/FCF]]-VLOOKUP(Main_M[[#This Row],[Industry]], Mean_PFCF_M, 2, FALSE))/(VLOOKUP(Main_M[[#This Row],[Industry]], Mean_PFCF_M, 3, FALSE))</f>
        <v>0.1128893650078336</v>
      </c>
      <c r="P173" s="1">
        <f>(Main_M[[#This Row],[P/B]]-VLOOKUP(Main_M[[#This Row],[Industry]], Mean_PB_M, 2, FALSE))/(VLOOKUP(Main_M[[#This Row],[Industry]], Mean_PB_M, 3, FALSE))</f>
        <v>-0.6805856893203982</v>
      </c>
      <c r="Q173" s="1">
        <f>(Main_M[[#This Row],[ROE]]-VLOOKUP(Main_M[[#This Row],[Industry]], Mean_ROE_M, 2, FALSE))/(VLOOKUP(Main_M[[#This Row],[Industry]], Mean_ROE_M, 3, FALSE))</f>
        <v>3.0180504286902686E-2</v>
      </c>
      <c r="R173" s="1">
        <f>(Main_M[[#This Row],[ROA]]-VLOOKUP(Main_M[[#This Row],[Industry]], Mean_ROA_M, 2, FALSE))/(VLOOKUP(Main_M[[#This Row],[Industry]], Mean_ROA_M, 3, FALSE))</f>
        <v>-4.3907282100152815E-2</v>
      </c>
      <c r="S173" s="1">
        <f>(Main_M[[#This Row],[A/E]]-VLOOKUP(Main_M[[#This Row],[Industry]], Mean_AE_M, 2, FALSE))/(VLOOKUP(Main_M[[#This Row],[Industry]], Mean_AE_M, 3, FALSE))</f>
        <v>-0.23330571269408398</v>
      </c>
      <c r="T173" s="1">
        <f>(Main_M[[#This Row],[P/E]]-VLOOKUP(Main_M[[#This Row],[Industry]], Mean_PE_M, 2, FALSE))/(VLOOKUP(Main_M[[#This Row],[Industry]], Mean_PE_M, 3, FALSE))</f>
        <v>-0.65813349527062526</v>
      </c>
      <c r="U1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4" spans="1:26" x14ac:dyDescent="0.25">
      <c r="A174" s="67" t="s">
        <v>180</v>
      </c>
      <c r="B174" s="67" t="s">
        <v>341</v>
      </c>
      <c r="C174" s="2">
        <v>5234</v>
      </c>
      <c r="D174">
        <f>RTD("tos.rtd", , "LAST", Main_M[[#This Row],[Symbol]])</f>
        <v>124.29</v>
      </c>
      <c r="E174">
        <v>4.4800000000000004</v>
      </c>
      <c r="F174">
        <v>34.51</v>
      </c>
      <c r="G174">
        <v>2.54</v>
      </c>
      <c r="H174" s="1">
        <f>IF(ISNUMBER(Main_M[[#This Row],[Free CF]]),IF(Main_M[[#This Row],[Free CF]]&lt;&gt;0,Main_M[[#This Row],[Current Price]]/Main_M[[#This Row],[Free CF]],""),"")</f>
        <v>27.743303571428569</v>
      </c>
      <c r="I174" s="1">
        <f>IF(ISNUMBER(Main_M[[#This Row],[BVPS]]),IF(Main_M[[#This Row],[BVPS]]&lt;&gt;0,Main_M[[#This Row],[Current Price]]/Main_M[[#This Row],[BVPS]],""),"")</f>
        <v>3.6015647638365693</v>
      </c>
      <c r="J174">
        <v>7.63</v>
      </c>
      <c r="K174">
        <v>3.99</v>
      </c>
      <c r="L174">
        <v>2.1</v>
      </c>
      <c r="M174" s="1">
        <f>IF(ISNUMBER(Main_M[[#This Row],[EPS]]),IF(Main_M[[#This Row],[EPS]]&lt;&gt;0,Main_M[[#This Row],[Current Price]]/Main_M[[#This Row],[EPS]],""),"")</f>
        <v>48.933070866141733</v>
      </c>
      <c r="N1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4" s="1">
        <f>(Main_M[[#This Row],[P/FCF]]-VLOOKUP(Main_M[[#This Row],[Industry]], Mean_PFCF_M, 2, FALSE))/(VLOOKUP(Main_M[[#This Row],[Industry]], Mean_PFCF_M, 3, FALSE))</f>
        <v>1.2819833614200626</v>
      </c>
      <c r="P174" s="1">
        <f>(Main_M[[#This Row],[P/B]]-VLOOKUP(Main_M[[#This Row],[Industry]], Mean_PB_M, 2, FALSE))/(VLOOKUP(Main_M[[#This Row],[Industry]], Mean_PB_M, 3, FALSE))</f>
        <v>0.83836384510646678</v>
      </c>
      <c r="Q174" s="1">
        <f>(Main_M[[#This Row],[ROE]]-VLOOKUP(Main_M[[#This Row],[Industry]], Mean_ROE_M, 2, FALSE))/(VLOOKUP(Main_M[[#This Row],[Industry]], Mean_ROE_M, 3, FALSE))</f>
        <v>-1.6681270635339098</v>
      </c>
      <c r="R174" s="1">
        <f>(Main_M[[#This Row],[ROA]]-VLOOKUP(Main_M[[#This Row],[Industry]], Mean_ROA_M, 2, FALSE))/(VLOOKUP(Main_M[[#This Row],[Industry]], Mean_ROA_M, 3, FALSE))</f>
        <v>-0.99464629717546138</v>
      </c>
      <c r="S174" s="1">
        <f>(Main_M[[#This Row],[A/E]]-VLOOKUP(Main_M[[#This Row],[Industry]], Mean_AE_M, 2, FALSE))/(VLOOKUP(Main_M[[#This Row],[Industry]], Mean_AE_M, 3, FALSE))</f>
        <v>-0.34619557367509252</v>
      </c>
      <c r="T174" s="1">
        <f>(Main_M[[#This Row],[P/E]]-VLOOKUP(Main_M[[#This Row],[Industry]], Mean_PE_M, 2, FALSE))/(VLOOKUP(Main_M[[#This Row],[Industry]], Mean_PE_M, 3, FALSE))</f>
        <v>4.1604621110985347</v>
      </c>
      <c r="U1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5" spans="1:26" x14ac:dyDescent="0.25">
      <c r="A175" s="67" t="s">
        <v>180</v>
      </c>
      <c r="B175" s="67" t="s">
        <v>332</v>
      </c>
      <c r="C175" s="2">
        <v>3269</v>
      </c>
      <c r="D175">
        <f>RTD("tos.rtd", , "LAST", Main_M[[#This Row],[Symbol]])</f>
        <v>88.65</v>
      </c>
      <c r="E175">
        <v>3.46</v>
      </c>
      <c r="F175">
        <v>56.26</v>
      </c>
      <c r="G175">
        <v>8.0399999999999991</v>
      </c>
      <c r="H175" s="1">
        <f>IF(ISNUMBER(Main_M[[#This Row],[Free CF]]),IF(Main_M[[#This Row],[Free CF]]&lt;&gt;0,Main_M[[#This Row],[Current Price]]/Main_M[[#This Row],[Free CF]],""),"")</f>
        <v>25.621387283236995</v>
      </c>
      <c r="I175" s="1">
        <f>IF(ISNUMBER(Main_M[[#This Row],[BVPS]]),IF(Main_M[[#This Row],[BVPS]]&lt;&gt;0,Main_M[[#This Row],[Current Price]]/Main_M[[#This Row],[BVPS]],""),"")</f>
        <v>1.5757198720227517</v>
      </c>
      <c r="J175">
        <v>14.26</v>
      </c>
      <c r="K175">
        <v>7.29</v>
      </c>
      <c r="L175">
        <v>1.64</v>
      </c>
      <c r="M175" s="1">
        <f>IF(ISNUMBER(Main_M[[#This Row],[EPS]]),IF(Main_M[[#This Row],[EPS]]&lt;&gt;0,Main_M[[#This Row],[Current Price]]/Main_M[[#This Row],[EPS]],""),"")</f>
        <v>11.026119402985076</v>
      </c>
      <c r="N1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5" s="1">
        <f>(Main_M[[#This Row],[P/FCF]]-VLOOKUP(Main_M[[#This Row],[Industry]], Mean_PFCF_M, 2, FALSE))/(VLOOKUP(Main_M[[#This Row],[Industry]], Mean_PFCF_M, 3, FALSE))</f>
        <v>1.0910122946035679</v>
      </c>
      <c r="P175" s="1">
        <f>(Main_M[[#This Row],[P/B]]-VLOOKUP(Main_M[[#This Row],[Industry]], Mean_PB_M, 2, FALSE))/(VLOOKUP(Main_M[[#This Row],[Industry]], Mean_PB_M, 3, FALSE))</f>
        <v>-0.81516141035712564</v>
      </c>
      <c r="Q175" s="1">
        <f>(Main_M[[#This Row],[ROE]]-VLOOKUP(Main_M[[#This Row],[Industry]], Mean_ROE_M, 2, FALSE))/(VLOOKUP(Main_M[[#This Row],[Industry]], Mean_ROE_M, 3, FALSE))</f>
        <v>6.6815798507998944E-2</v>
      </c>
      <c r="R175" s="1">
        <f>(Main_M[[#This Row],[ROA]]-VLOOKUP(Main_M[[#This Row],[Industry]], Mean_ROA_M, 2, FALSE))/(VLOOKUP(Main_M[[#This Row],[Industry]], Mean_ROA_M, 3, FALSE))</f>
        <v>0.55089003274991755</v>
      </c>
      <c r="S175" s="1">
        <f>(Main_M[[#This Row],[A/E]]-VLOOKUP(Main_M[[#This Row],[Industry]], Mean_AE_M, 2, FALSE))/(VLOOKUP(Main_M[[#This Row],[Industry]], Mean_AE_M, 3, FALSE))</f>
        <v>-0.86548893418773154</v>
      </c>
      <c r="T175" s="1">
        <f>(Main_M[[#This Row],[P/E]]-VLOOKUP(Main_M[[#This Row],[Industry]], Mean_PE_M, 2, FALSE))/(VLOOKUP(Main_M[[#This Row],[Industry]], Mean_PE_M, 3, FALSE))</f>
        <v>-0.98488890959397291</v>
      </c>
      <c r="U1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6" spans="1:26" x14ac:dyDescent="0.25">
      <c r="A176" s="67" t="s">
        <v>180</v>
      </c>
      <c r="B176" s="67" t="s">
        <v>599</v>
      </c>
      <c r="C176" s="2">
        <v>8486</v>
      </c>
      <c r="D176">
        <f>RTD("tos.rtd", , "LAST", Main_M[[#This Row],[Symbol]])</f>
        <v>252.64</v>
      </c>
      <c r="E176">
        <v>1.93</v>
      </c>
      <c r="F176">
        <v>9.1</v>
      </c>
      <c r="G176">
        <v>1.61</v>
      </c>
      <c r="H176" s="1">
        <f>IF(ISNUMBER(Main_M[[#This Row],[Free CF]]),IF(Main_M[[#This Row],[Free CF]]&lt;&gt;0,Main_M[[#This Row],[Current Price]]/Main_M[[#This Row],[Free CF]],""),"")</f>
        <v>130.90155440414509</v>
      </c>
      <c r="I176" s="1">
        <f>IF(ISNUMBER(Main_M[[#This Row],[BVPS]]),IF(Main_M[[#This Row],[BVPS]]&lt;&gt;0,Main_M[[#This Row],[Current Price]]/Main_M[[#This Row],[BVPS]],""),"")</f>
        <v>27.762637362637363</v>
      </c>
      <c r="J176">
        <v>18.37</v>
      </c>
      <c r="K176">
        <v>9.48</v>
      </c>
      <c r="L176">
        <v>1.86</v>
      </c>
      <c r="M176" s="1">
        <f>IF(ISNUMBER(Main_M[[#This Row],[EPS]]),IF(Main_M[[#This Row],[EPS]]&lt;&gt;0,Main_M[[#This Row],[Current Price]]/Main_M[[#This Row],[EPS]],""),"")</f>
        <v>156.91925465838509</v>
      </c>
      <c r="N1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6" s="1">
        <f>(Main_M[[#This Row],[P/FCF]]-VLOOKUP(Main_M[[#This Row],[Industry]], Mean_PFCF_M, 2, FALSE))/(VLOOKUP(Main_M[[#This Row],[Industry]], Mean_PFCF_M, 3, FALSE))</f>
        <v>10.566157917258531</v>
      </c>
      <c r="P176" s="1">
        <f>(Main_M[[#This Row],[P/B]]-VLOOKUP(Main_M[[#This Row],[Industry]], Mean_PB_M, 2, FALSE))/(VLOOKUP(Main_M[[#This Row],[Industry]], Mean_PB_M, 3, FALSE))</f>
        <v>20.558996901784784</v>
      </c>
      <c r="Q176" s="1">
        <f>(Main_M[[#This Row],[ROE]]-VLOOKUP(Main_M[[#This Row],[Industry]], Mean_ROE_M, 2, FALSE))/(VLOOKUP(Main_M[[#This Row],[Industry]], Mean_ROE_M, 3, FALSE))</f>
        <v>1.142323364570178</v>
      </c>
      <c r="R176" s="1">
        <f>(Main_M[[#This Row],[ROA]]-VLOOKUP(Main_M[[#This Row],[Industry]], Mean_ROA_M, 2, FALSE))/(VLOOKUP(Main_M[[#This Row],[Industry]], Mean_ROA_M, 3, FALSE))</f>
        <v>1.5765641426094874</v>
      </c>
      <c r="S176" s="1">
        <f>(Main_M[[#This Row],[A/E]]-VLOOKUP(Main_M[[#This Row],[Industry]], Mean_AE_M, 2, FALSE))/(VLOOKUP(Main_M[[#This Row],[Industry]], Mean_AE_M, 3, FALSE))</f>
        <v>-0.61713124002951281</v>
      </c>
      <c r="T176" s="1">
        <f>(Main_M[[#This Row],[P/E]]-VLOOKUP(Main_M[[#This Row],[Industry]], Mean_PE_M, 2, FALSE))/(VLOOKUP(Main_M[[#This Row],[Industry]], Mean_PE_M, 3, FALSE))</f>
        <v>18.818111949707816</v>
      </c>
      <c r="U1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7" spans="1:26" x14ac:dyDescent="0.25">
      <c r="A177" s="67" t="s">
        <v>180</v>
      </c>
      <c r="B177" s="67" t="s">
        <v>548</v>
      </c>
      <c r="C177" s="2">
        <v>9831</v>
      </c>
      <c r="D177">
        <f>RTD("tos.rtd", , "LAST", Main_M[[#This Row],[Symbol]])</f>
        <v>20.13</v>
      </c>
      <c r="E177">
        <v>0.21</v>
      </c>
      <c r="F177">
        <v>11.14</v>
      </c>
      <c r="G177">
        <v>-0.12</v>
      </c>
      <c r="H177" s="1">
        <f>IF(ISNUMBER(Main_M[[#This Row],[Free CF]]),IF(Main_M[[#This Row],[Free CF]]&lt;&gt;0,Main_M[[#This Row],[Current Price]]/Main_M[[#This Row],[Free CF]],""),"")</f>
        <v>95.857142857142861</v>
      </c>
      <c r="I177" s="1">
        <f>IF(ISNUMBER(Main_M[[#This Row],[BVPS]]),IF(Main_M[[#This Row],[BVPS]]&lt;&gt;0,Main_M[[#This Row],[Current Price]]/Main_M[[#This Row],[BVPS]],""),"")</f>
        <v>1.8070017953321362</v>
      </c>
      <c r="J177">
        <v>1.44</v>
      </c>
      <c r="K177">
        <v>-2.62</v>
      </c>
      <c r="L177">
        <v>1.1200000000000001</v>
      </c>
      <c r="M177" s="1">
        <f>IF(ISNUMBER(Main_M[[#This Row],[EPS]]),IF(Main_M[[#This Row],[EPS]]&lt;&gt;0,Main_M[[#This Row],[Current Price]]/Main_M[[#This Row],[EPS]],""),"")</f>
        <v>-167.75</v>
      </c>
      <c r="N1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7" s="1">
        <f>(Main_M[[#This Row],[P/FCF]]-VLOOKUP(Main_M[[#This Row],[Industry]], Mean_PFCF_M, 2, FALSE))/(VLOOKUP(Main_M[[#This Row],[Industry]], Mean_PFCF_M, 3, FALSE))</f>
        <v>7.4121839851431286</v>
      </c>
      <c r="P177" s="1">
        <f>(Main_M[[#This Row],[P/B]]-VLOOKUP(Main_M[[#This Row],[Industry]], Mean_PB_M, 2, FALSE))/(VLOOKUP(Main_M[[#This Row],[Industry]], Mean_PB_M, 3, FALSE))</f>
        <v>-0.6263856048304467</v>
      </c>
      <c r="Q177" s="1">
        <f>(Main_M[[#This Row],[ROE]]-VLOOKUP(Main_M[[#This Row],[Industry]], Mean_ROE_M, 2, FALSE))/(VLOOKUP(Main_M[[#This Row],[Industry]], Mean_ROE_M, 3, FALSE))</f>
        <v>-3.2879304294523739</v>
      </c>
      <c r="R177" s="1">
        <f>(Main_M[[#This Row],[ROA]]-VLOOKUP(Main_M[[#This Row],[Industry]], Mean_ROA_M, 2, FALSE))/(VLOOKUP(Main_M[[#This Row],[Industry]], Mean_ROA_M, 3, FALSE))</f>
        <v>-4.0904024004502366</v>
      </c>
      <c r="S177" s="1">
        <f>(Main_M[[#This Row],[A/E]]-VLOOKUP(Main_M[[#This Row],[Industry]], Mean_AE_M, 2, FALSE))/(VLOOKUP(Main_M[[#This Row],[Industry]], Mean_AE_M, 3, FALSE))</f>
        <v>-1.4525162112889751</v>
      </c>
      <c r="T177" s="1">
        <f>(Main_M[[#This Row],[P/E]]-VLOOKUP(Main_M[[#This Row],[Industry]], Mean_PE_M, 2, FALSE))/(VLOOKUP(Main_M[[#This Row],[Industry]], Mean_PE_M, 3, FALSE))</f>
        <v>-25.251305831557502</v>
      </c>
      <c r="U1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8" spans="1:26" x14ac:dyDescent="0.25">
      <c r="A178" s="67" t="s">
        <v>180</v>
      </c>
      <c r="B178" s="67" t="s">
        <v>331</v>
      </c>
      <c r="C178" s="2">
        <v>6438</v>
      </c>
      <c r="D178">
        <f>RTD("tos.rtd", , "LAST", Main_M[[#This Row],[Symbol]])</f>
        <v>58.04</v>
      </c>
      <c r="E178">
        <v>-10.69</v>
      </c>
      <c r="F178">
        <v>70.38</v>
      </c>
      <c r="G178">
        <v>5.72</v>
      </c>
      <c r="H178" s="1">
        <f>IF(ISNUMBER(Main_M[[#This Row],[Free CF]]),IF(Main_M[[#This Row],[Free CF]]&lt;&gt;0,Main_M[[#This Row],[Current Price]]/Main_M[[#This Row],[Free CF]],""),"")</f>
        <v>-5.4293732460243218</v>
      </c>
      <c r="I178" s="1">
        <f>IF(ISNUMBER(Main_M[[#This Row],[BVPS]]),IF(Main_M[[#This Row],[BVPS]]&lt;&gt;0,Main_M[[#This Row],[Current Price]]/Main_M[[#This Row],[BVPS]],""),"")</f>
        <v>0.82466609832338733</v>
      </c>
      <c r="J178">
        <v>9.2200000000000006</v>
      </c>
      <c r="K178">
        <v>2.77</v>
      </c>
      <c r="L178">
        <v>4.1100000000000003</v>
      </c>
      <c r="M178" s="1">
        <f>IF(ISNUMBER(Main_M[[#This Row],[EPS]]),IF(Main_M[[#This Row],[EPS]]&lt;&gt;0,Main_M[[#This Row],[Current Price]]/Main_M[[#This Row],[EPS]],""),"")</f>
        <v>10.146853146853147</v>
      </c>
      <c r="N1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8" s="1">
        <f>(Main_M[[#This Row],[P/FCF]]-VLOOKUP(Main_M[[#This Row],[Industry]], Mean_PFCF_M, 2, FALSE))/(VLOOKUP(Main_M[[#This Row],[Industry]], Mean_PFCF_M, 3, FALSE))</f>
        <v>-1.7035356791952807</v>
      </c>
      <c r="P178" s="1">
        <f>(Main_M[[#This Row],[P/B]]-VLOOKUP(Main_M[[#This Row],[Industry]], Mean_PB_M, 2, FALSE))/(VLOOKUP(Main_M[[#This Row],[Industry]], Mean_PB_M, 3, FALSE))</f>
        <v>-1.4281828652777082</v>
      </c>
      <c r="Q178" s="1">
        <f>(Main_M[[#This Row],[ROE]]-VLOOKUP(Main_M[[#This Row],[Industry]], Mean_ROE_M, 2, FALSE))/(VLOOKUP(Main_M[[#This Row],[Industry]], Mean_ROE_M, 3, FALSE))</f>
        <v>-1.252054793451461</v>
      </c>
      <c r="R178" s="1">
        <f>(Main_M[[#This Row],[ROA]]-VLOOKUP(Main_M[[#This Row],[Industry]], Mean_ROA_M, 2, FALSE))/(VLOOKUP(Main_M[[#This Row],[Industry]], Mean_ROA_M, 3, FALSE))</f>
        <v>-1.56602639490545</v>
      </c>
      <c r="S178" s="1">
        <f>(Main_M[[#This Row],[A/E]]-VLOOKUP(Main_M[[#This Row],[Industry]], Mean_AE_M, 2, FALSE))/(VLOOKUP(Main_M[[#This Row],[Industry]], Mean_AE_M, 3, FALSE))</f>
        <v>1.9228906320431773</v>
      </c>
      <c r="T178" s="1">
        <f>(Main_M[[#This Row],[P/E]]-VLOOKUP(Main_M[[#This Row],[Industry]], Mean_PE_M, 2, FALSE))/(VLOOKUP(Main_M[[#This Row],[Industry]], Mean_PE_M, 3, FALSE))</f>
        <v>-1.104237296995848</v>
      </c>
      <c r="U1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9" spans="1:26" x14ac:dyDescent="0.25">
      <c r="A179" s="67" t="s">
        <v>180</v>
      </c>
      <c r="B179" s="67" t="s">
        <v>333</v>
      </c>
      <c r="C179" s="2">
        <v>5681</v>
      </c>
      <c r="D179">
        <f>RTD("tos.rtd", , "LAST", Main_M[[#This Row],[Symbol]])</f>
        <v>157.27000000000001</v>
      </c>
      <c r="E179">
        <v>-27.31</v>
      </c>
      <c r="F179">
        <v>71.459999999999994</v>
      </c>
      <c r="G179">
        <v>7.9</v>
      </c>
      <c r="H179" s="1">
        <f>IF(ISNUMBER(Main_M[[#This Row],[Free CF]]),IF(Main_M[[#This Row],[Free CF]]&lt;&gt;0,Main_M[[#This Row],[Current Price]]/Main_M[[#This Row],[Free CF]],""),"")</f>
        <v>-5.7586964481874778</v>
      </c>
      <c r="I179" s="1">
        <f>IF(ISNUMBER(Main_M[[#This Row],[BVPS]]),IF(Main_M[[#This Row],[BVPS]]&lt;&gt;0,Main_M[[#This Row],[Current Price]]/Main_M[[#This Row],[BVPS]],""),"")</f>
        <v>2.2008116428771345</v>
      </c>
      <c r="J179">
        <v>11.84</v>
      </c>
      <c r="K179">
        <v>2.54</v>
      </c>
      <c r="L179">
        <v>5.09</v>
      </c>
      <c r="M179" s="1">
        <f>IF(ISNUMBER(Main_M[[#This Row],[EPS]]),IF(Main_M[[#This Row],[EPS]]&lt;&gt;0,Main_M[[#This Row],[Current Price]]/Main_M[[#This Row],[EPS]],""),"")</f>
        <v>19.907594936708861</v>
      </c>
      <c r="N1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9" s="1">
        <f>(Main_M[[#This Row],[P/FCF]]-VLOOKUP(Main_M[[#This Row],[Industry]], Mean_PFCF_M, 2, FALSE))/(VLOOKUP(Main_M[[#This Row],[Industry]], Mean_PFCF_M, 3, FALSE))</f>
        <v>-1.7331745502452418</v>
      </c>
      <c r="P179" s="1">
        <f>(Main_M[[#This Row],[P/B]]-VLOOKUP(Main_M[[#This Row],[Industry]], Mean_PB_M, 2, FALSE))/(VLOOKUP(Main_M[[#This Row],[Industry]], Mean_PB_M, 3, FALSE))</f>
        <v>-0.30495204819576294</v>
      </c>
      <c r="Q179" s="1">
        <f>(Main_M[[#This Row],[ROE]]-VLOOKUP(Main_M[[#This Row],[Industry]], Mean_ROE_M, 2, FALSE))/(VLOOKUP(Main_M[[#This Row],[Industry]], Mean_ROE_M, 3, FALSE))</f>
        <v>-0.56645143017094812</v>
      </c>
      <c r="R179" s="1">
        <f>(Main_M[[#This Row],[ROA]]-VLOOKUP(Main_M[[#This Row],[Industry]], Mean_ROA_M, 2, FALSE))/(VLOOKUP(Main_M[[#This Row],[Industry]], Mean_ROA_M, 3, FALSE))</f>
        <v>-1.6737455936578249</v>
      </c>
      <c r="S179" s="1">
        <f>(Main_M[[#This Row],[A/E]]-VLOOKUP(Main_M[[#This Row],[Industry]], Mean_AE_M, 2, FALSE))/(VLOOKUP(Main_M[[#This Row],[Industry]], Mean_AE_M, 3, FALSE))</f>
        <v>3.0292112696570594</v>
      </c>
      <c r="T179" s="1">
        <f>(Main_M[[#This Row],[P/E]]-VLOOKUP(Main_M[[#This Row],[Industry]], Mean_PE_M, 2, FALSE))/(VLOOKUP(Main_M[[#This Row],[Industry]], Mean_PE_M, 3, FALSE))</f>
        <v>0.22065011263832923</v>
      </c>
      <c r="U1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0" spans="1:26" x14ac:dyDescent="0.25">
      <c r="A180" s="67" t="s">
        <v>248</v>
      </c>
      <c r="B180" s="67" t="s">
        <v>593</v>
      </c>
      <c r="C180" s="2">
        <v>8435</v>
      </c>
      <c r="D180">
        <f>RTD("tos.rtd", , "LAST", Main_M[[#This Row],[Symbol]])</f>
        <v>10.99</v>
      </c>
      <c r="E180">
        <v>3.66</v>
      </c>
      <c r="F180">
        <v>103.22</v>
      </c>
      <c r="G180">
        <v>11.57</v>
      </c>
      <c r="H180" s="1">
        <f>IF(ISNUMBER(Main_M[[#This Row],[Free CF]]),IF(Main_M[[#This Row],[Free CF]]&lt;&gt;0,Main_M[[#This Row],[Current Price]]/Main_M[[#This Row],[Free CF]],""),"")</f>
        <v>3.0027322404371586</v>
      </c>
      <c r="I180" s="1">
        <f>IF(ISNUMBER(Main_M[[#This Row],[BVPS]]),IF(Main_M[[#This Row],[BVPS]]&lt;&gt;0,Main_M[[#This Row],[Current Price]]/Main_M[[#This Row],[BVPS]],""),"")</f>
        <v>0.1064716140282891</v>
      </c>
      <c r="J180">
        <v>11.32</v>
      </c>
      <c r="K180">
        <v>5.35</v>
      </c>
      <c r="L180">
        <v>1.75</v>
      </c>
      <c r="M180" s="1">
        <f>IF(ISNUMBER(Main_M[[#This Row],[EPS]]),IF(Main_M[[#This Row],[EPS]]&lt;&gt;0,Main_M[[#This Row],[Current Price]]/Main_M[[#This Row],[EPS]],""),"")</f>
        <v>0.94987035436473644</v>
      </c>
      <c r="N1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80" s="1">
        <f>(Main_M[[#This Row],[P/FCF]]-VLOOKUP(Main_M[[#This Row],[Industry]], Mean_PFCF_M, 2, FALSE))/(VLOOKUP(Main_M[[#This Row],[Industry]], Mean_PFCF_M, 3, FALSE))</f>
        <v>-1.0241492346538366</v>
      </c>
      <c r="P180" s="1">
        <f>(Main_M[[#This Row],[P/B]]-VLOOKUP(Main_M[[#This Row],[Industry]], Mean_PB_M, 2, FALSE))/(VLOOKUP(Main_M[[#This Row],[Industry]], Mean_PB_M, 3, FALSE))</f>
        <v>-0.93063933134158305</v>
      </c>
      <c r="Q180" s="1">
        <f>(Main_M[[#This Row],[ROE]]-VLOOKUP(Main_M[[#This Row],[Industry]], Mean_ROE_M, 2, FALSE))/(VLOOKUP(Main_M[[#This Row],[Industry]], Mean_ROE_M, 3, FALSE))</f>
        <v>-0.87011147149503809</v>
      </c>
      <c r="R180" s="1">
        <f>(Main_M[[#This Row],[ROA]]-VLOOKUP(Main_M[[#This Row],[Industry]], Mean_ROA_M, 2, FALSE))/(VLOOKUP(Main_M[[#This Row],[Industry]], Mean_ROA_M, 3, FALSE))</f>
        <v>-1.0233644391218222</v>
      </c>
      <c r="S180" s="1">
        <f>(Main_M[[#This Row],[A/E]]-VLOOKUP(Main_M[[#This Row],[Industry]], Mean_AE_M, 2, FALSE))/(VLOOKUP(Main_M[[#This Row],[Industry]], Mean_AE_M, 3, FALSE))</f>
        <v>-0.71464147119537291</v>
      </c>
      <c r="T180" s="1">
        <f>(Main_M[[#This Row],[P/E]]-VLOOKUP(Main_M[[#This Row],[Industry]], Mean_PE_M, 2, FALSE))/(VLOOKUP(Main_M[[#This Row],[Industry]], Mean_PE_M, 3, FALSE))</f>
        <v>-1.120474651297986</v>
      </c>
      <c r="U1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1" spans="1:26" x14ac:dyDescent="0.25">
      <c r="A181" s="67" t="s">
        <v>248</v>
      </c>
      <c r="B181" s="67" t="s">
        <v>401</v>
      </c>
      <c r="C181" s="2">
        <v>3318</v>
      </c>
      <c r="D181">
        <f>RTD("tos.rtd", , "LAST", Main_M[[#This Row],[Symbol]])</f>
        <v>20.170000000000002</v>
      </c>
      <c r="E181">
        <v>1.9</v>
      </c>
      <c r="F181">
        <v>8.93</v>
      </c>
      <c r="G181">
        <v>1.05</v>
      </c>
      <c r="H181" s="1">
        <f>IF(ISNUMBER(Main_M[[#This Row],[Free CF]]),IF(Main_M[[#This Row],[Free CF]]&lt;&gt;0,Main_M[[#This Row],[Current Price]]/Main_M[[#This Row],[Free CF]],""),"")</f>
        <v>10.615789473684211</v>
      </c>
      <c r="I181" s="1">
        <f>IF(ISNUMBER(Main_M[[#This Row],[BVPS]]),IF(Main_M[[#This Row],[BVPS]]&lt;&gt;0,Main_M[[#This Row],[Current Price]]/Main_M[[#This Row],[BVPS]],""),"")</f>
        <v>2.2586786114221726</v>
      </c>
      <c r="J181">
        <v>12.16</v>
      </c>
      <c r="K181">
        <v>6.17</v>
      </c>
      <c r="L181">
        <v>2.98</v>
      </c>
      <c r="M181" s="1">
        <f>IF(ISNUMBER(Main_M[[#This Row],[EPS]]),IF(Main_M[[#This Row],[EPS]]&lt;&gt;0,Main_M[[#This Row],[Current Price]]/Main_M[[#This Row],[EPS]],""),"")</f>
        <v>19.209523809523809</v>
      </c>
      <c r="N1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1" s="1">
        <f>(Main_M[[#This Row],[P/FCF]]-VLOOKUP(Main_M[[#This Row],[Industry]], Mean_PFCF_M, 2, FALSE))/(VLOOKUP(Main_M[[#This Row],[Industry]], Mean_PFCF_M, 3, FALSE))</f>
        <v>-0.94924871017452572</v>
      </c>
      <c r="P181" s="1">
        <f>(Main_M[[#This Row],[P/B]]-VLOOKUP(Main_M[[#This Row],[Industry]], Mean_PB_M, 2, FALSE))/(VLOOKUP(Main_M[[#This Row],[Industry]], Mean_PB_M, 3, FALSE))</f>
        <v>-0.85498311747180822</v>
      </c>
      <c r="Q181" s="1">
        <f>(Main_M[[#This Row],[ROE]]-VLOOKUP(Main_M[[#This Row],[Industry]], Mean_ROE_M, 2, FALSE))/(VLOOKUP(Main_M[[#This Row],[Industry]], Mean_ROE_M, 3, FALSE))</f>
        <v>-0.80879489128901194</v>
      </c>
      <c r="R181" s="1">
        <f>(Main_M[[#This Row],[ROA]]-VLOOKUP(Main_M[[#This Row],[Industry]], Mean_ROA_M, 2, FALSE))/(VLOOKUP(Main_M[[#This Row],[Industry]], Mean_ROA_M, 3, FALSE))</f>
        <v>-0.87899302577474347</v>
      </c>
      <c r="S181" s="1">
        <f>(Main_M[[#This Row],[A/E]]-VLOOKUP(Main_M[[#This Row],[Industry]], Mean_AE_M, 2, FALSE))/(VLOOKUP(Main_M[[#This Row],[Industry]], Mean_AE_M, 3, FALSE))</f>
        <v>1.4034525277692262</v>
      </c>
      <c r="T181" s="1">
        <f>(Main_M[[#This Row],[P/E]]-VLOOKUP(Main_M[[#This Row],[Industry]], Mean_PE_M, 2, FALSE))/(VLOOKUP(Main_M[[#This Row],[Industry]], Mean_PE_M, 3, FALSE))</f>
        <v>-0.86130264030649062</v>
      </c>
      <c r="U1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2" spans="1:26" x14ac:dyDescent="0.25">
      <c r="A182" s="67" t="s">
        <v>248</v>
      </c>
      <c r="B182" s="67" t="s">
        <v>400</v>
      </c>
      <c r="C182" s="2">
        <v>9661</v>
      </c>
      <c r="D182">
        <f>RTD("tos.rtd", , "LAST", Main_M[[#This Row],[Symbol]])</f>
        <v>318.89999999999998</v>
      </c>
      <c r="E182">
        <v>1.73</v>
      </c>
      <c r="F182">
        <v>9.41</v>
      </c>
      <c r="G182">
        <v>2.2799999999999998</v>
      </c>
      <c r="H182" s="1">
        <f>IF(ISNUMBER(Main_M[[#This Row],[Free CF]]),IF(Main_M[[#This Row],[Free CF]]&lt;&gt;0,Main_M[[#This Row],[Current Price]]/Main_M[[#This Row],[Free CF]],""),"")</f>
        <v>184.33526011560693</v>
      </c>
      <c r="I182" s="1">
        <f>IF(ISNUMBER(Main_M[[#This Row],[BVPS]]),IF(Main_M[[#This Row],[BVPS]]&lt;&gt;0,Main_M[[#This Row],[Current Price]]/Main_M[[#This Row],[BVPS]],""),"")</f>
        <v>33.889479277364501</v>
      </c>
      <c r="J182">
        <v>24.22</v>
      </c>
      <c r="K182">
        <v>14.12</v>
      </c>
      <c r="L182">
        <v>1.5</v>
      </c>
      <c r="M182" s="1">
        <f>IF(ISNUMBER(Main_M[[#This Row],[EPS]]),IF(Main_M[[#This Row],[EPS]]&lt;&gt;0,Main_M[[#This Row],[Current Price]]/Main_M[[#This Row],[EPS]],""),"")</f>
        <v>139.86842105263159</v>
      </c>
      <c r="N1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2" s="1">
        <f>(Main_M[[#This Row],[P/FCF]]-VLOOKUP(Main_M[[#This Row],[Industry]], Mean_PFCF_M, 2, FALSE))/(VLOOKUP(Main_M[[#This Row],[Industry]], Mean_PFCF_M, 3, FALSE))</f>
        <v>0.75987799998927297</v>
      </c>
      <c r="P182" s="1">
        <f>(Main_M[[#This Row],[P/B]]-VLOOKUP(Main_M[[#This Row],[Industry]], Mean_PB_M, 2, FALSE))/(VLOOKUP(Main_M[[#This Row],[Industry]], Mean_PB_M, 3, FALSE))</f>
        <v>0.25692973429037191</v>
      </c>
      <c r="Q182" s="1">
        <f>(Main_M[[#This Row],[ROE]]-VLOOKUP(Main_M[[#This Row],[Industry]], Mean_ROE_M, 2, FALSE))/(VLOOKUP(Main_M[[#This Row],[Industry]], Mean_ROE_M, 3, FALSE))</f>
        <v>7.1536010240364198E-2</v>
      </c>
      <c r="R182" s="1">
        <f>(Main_M[[#This Row],[ROA]]-VLOOKUP(Main_M[[#This Row],[Industry]], Mean_ROA_M, 2, FALSE))/(VLOOKUP(Main_M[[#This Row],[Industry]], Mean_ROA_M, 3, FALSE))</f>
        <v>0.52070543289510296</v>
      </c>
      <c r="S182" s="1">
        <f>(Main_M[[#This Row],[A/E]]-VLOOKUP(Main_M[[#This Row],[Industry]], Mean_AE_M, 2, FALSE))/(VLOOKUP(Main_M[[#This Row],[Industry]], Mean_AE_M, 3, FALSE))</f>
        <v>-1.1451483815540313</v>
      </c>
      <c r="T182" s="1">
        <f>(Main_M[[#This Row],[P/E]]-VLOOKUP(Main_M[[#This Row],[Industry]], Mean_PE_M, 2, FALSE))/(VLOOKUP(Main_M[[#This Row],[Industry]], Mean_PE_M, 3, FALSE))</f>
        <v>0.85129333635357196</v>
      </c>
      <c r="U1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3" spans="1:26" x14ac:dyDescent="0.25">
      <c r="A183" s="67" t="s">
        <v>248</v>
      </c>
      <c r="B183" s="67" t="s">
        <v>402</v>
      </c>
      <c r="C183" s="2">
        <v>4791</v>
      </c>
      <c r="D183">
        <f>RTD("tos.rtd", , "LAST", Main_M[[#This Row],[Symbol]])</f>
        <v>103.7</v>
      </c>
      <c r="E183">
        <v>0.45</v>
      </c>
      <c r="F183">
        <v>1.48</v>
      </c>
      <c r="G183">
        <v>0.65</v>
      </c>
      <c r="H183" s="1">
        <f>IF(ISNUMBER(Main_M[[#This Row],[Free CF]]),IF(Main_M[[#This Row],[Free CF]]&lt;&gt;0,Main_M[[#This Row],[Current Price]]/Main_M[[#This Row],[Free CF]],""),"")</f>
        <v>230.44444444444446</v>
      </c>
      <c r="I183" s="1">
        <f>IF(ISNUMBER(Main_M[[#This Row],[BVPS]]),IF(Main_M[[#This Row],[BVPS]]&lt;&gt;0,Main_M[[#This Row],[Current Price]]/Main_M[[#This Row],[BVPS]],""),"")</f>
        <v>70.067567567567565</v>
      </c>
      <c r="J183">
        <v>45.26</v>
      </c>
      <c r="K183">
        <v>19.010000000000002</v>
      </c>
      <c r="L183">
        <v>2.4300000000000002</v>
      </c>
      <c r="M183" s="1">
        <f>IF(ISNUMBER(Main_M[[#This Row],[EPS]]),IF(Main_M[[#This Row],[EPS]]&lt;&gt;0,Main_M[[#This Row],[Current Price]]/Main_M[[#This Row],[EPS]],""),"")</f>
        <v>159.53846153846155</v>
      </c>
      <c r="N1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3" s="1">
        <f>(Main_M[[#This Row],[P/FCF]]-VLOOKUP(Main_M[[#This Row],[Industry]], Mean_PFCF_M, 2, FALSE))/(VLOOKUP(Main_M[[#This Row],[Industry]], Mean_PFCF_M, 3, FALSE))</f>
        <v>1.2135199448390888</v>
      </c>
      <c r="P183" s="1">
        <f>(Main_M[[#This Row],[P/B]]-VLOOKUP(Main_M[[#This Row],[Industry]], Mean_PB_M, 2, FALSE))/(VLOOKUP(Main_M[[#This Row],[Industry]], Mean_PB_M, 3, FALSE))</f>
        <v>1.5286927145230194</v>
      </c>
      <c r="Q183" s="1">
        <f>(Main_M[[#This Row],[ROE]]-VLOOKUP(Main_M[[#This Row],[Industry]], Mean_ROE_M, 2, FALSE))/(VLOOKUP(Main_M[[#This Row],[Industry]], Mean_ROE_M, 3, FALSE))</f>
        <v>1.6073703525436871</v>
      </c>
      <c r="R183" s="1">
        <f>(Main_M[[#This Row],[ROA]]-VLOOKUP(Main_M[[#This Row],[Industry]], Mean_ROA_M, 2, FALSE))/(VLOOKUP(Main_M[[#This Row],[Industry]], Mean_ROA_M, 3, FALSE))</f>
        <v>1.3816520320014618</v>
      </c>
      <c r="S183" s="1">
        <f>(Main_M[[#This Row],[A/E]]-VLOOKUP(Main_M[[#This Row],[Industry]], Mean_AE_M, 2, FALSE))/(VLOOKUP(Main_M[[#This Row],[Industry]], Mean_AE_M, 3, FALSE))</f>
        <v>0.45633732498017809</v>
      </c>
      <c r="T183" s="1">
        <f>(Main_M[[#This Row],[P/E]]-VLOOKUP(Main_M[[#This Row],[Industry]], Mean_PE_M, 2, FALSE))/(VLOOKUP(Main_M[[#This Row],[Industry]], Mean_PE_M, 3, FALSE))</f>
        <v>1.1304839552509045</v>
      </c>
      <c r="U1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201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414</v>
      </c>
      <c r="C2" s="2">
        <v>1435</v>
      </c>
      <c r="D2">
        <f>RTD("tos.rtd", , "LAST", Main_S[[#This Row],[Symbol]])</f>
        <v>44.93</v>
      </c>
      <c r="E2">
        <v>6.63</v>
      </c>
      <c r="F2">
        <v>32.69</v>
      </c>
      <c r="G2">
        <v>1.29</v>
      </c>
      <c r="H2" s="1">
        <f>IF(ISNUMBER(Main_S[[#This Row],[Free CF]]),IF(Main_S[[#This Row],[Free CF]]&lt;&gt;0,Main_S[[#This Row],[Current Price]]/Main_S[[#This Row],[Free CF]],""),"")</f>
        <v>6.7767722473604826</v>
      </c>
      <c r="I2" s="1">
        <f>IF(ISNUMBER(Main_S[[#This Row],[BVPS]]),IF(Main_S[[#This Row],[BVPS]]&lt;&gt;0,Main_S[[#This Row],[Current Price]]/Main_S[[#This Row],[BVPS]],""),"")</f>
        <v>1.3744264301009483</v>
      </c>
      <c r="J2">
        <v>4.0999999999999996</v>
      </c>
      <c r="K2">
        <v>3.27</v>
      </c>
      <c r="L2">
        <v>3</v>
      </c>
      <c r="M2" s="1">
        <f>IF(ISNUMBER(Main_S[[#This Row],[EPS]]),IF(Main_S[[#This Row],[EPS]]&lt;&gt;0,Main_S[[#This Row],[Current Price]]/Main_S[[#This Row],[EPS]],""),"")</f>
        <v>34.829457364341081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7.9340123485013486E-2</v>
      </c>
      <c r="P2" s="1">
        <f>(Main_S[[#This Row],[P/B]]-VLOOKUP(Main_S[[#This Row],[Industry]], Mean_PB_S, 2, FALSE))/(VLOOKUP(Main_S[[#This Row],[Industry]], Mean_PB_S, 3, FALSE))</f>
        <v>-0.12695576527222704</v>
      </c>
      <c r="Q2" s="1">
        <f>(Main_S[[#This Row],[ROE]]-VLOOKUP(Main_S[[#This Row],[Industry]], Mean_ROE_S, 2, FALSE))/(VLOOKUP(Main_S[[#This Row],[Industry]], Mean_ROE_S, 3, FALSE))</f>
        <v>-0.50494440108484628</v>
      </c>
      <c r="R2" s="1">
        <f>(Main_S[[#This Row],[ROA]]-VLOOKUP(Main_S[[#This Row],[Industry]], Mean_ROA_S, 2, FALSE))/(VLOOKUP(Main_S[[#This Row],[Industry]], Mean_ROA_S, 3, FALSE))</f>
        <v>0.58279385006569862</v>
      </c>
      <c r="S2" s="1">
        <f>(Main_S[[#This Row],[A/E]]-VLOOKUP(Main_S[[#This Row],[Industry]], Mean_AE_S, 2, FALSE))/(VLOOKUP(Main_S[[#This Row],[Industry]], Mean_AE_S, 3, FALSE))</f>
        <v>3.6233060485246305</v>
      </c>
      <c r="T2" s="1">
        <f>(Main_S[[#This Row],[P/E]]-VLOOKUP(Main_S[[#This Row],[Industry]], Mean_PE_S, 2, FALSE))/(VLOOKUP(Main_S[[#This Row],[Industry]], Mean_PE_S, 3, FALSE))</f>
        <v>0.79702698970205688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7" t="s">
        <v>105</v>
      </c>
      <c r="B3" s="67" t="s">
        <v>408</v>
      </c>
      <c r="C3" s="2">
        <v>1047</v>
      </c>
      <c r="D3">
        <f>RTD("tos.rtd", , "LAST", Main_S[[#This Row],[Symbol]])</f>
        <v>73.900000000000006</v>
      </c>
      <c r="E3">
        <v>1.53</v>
      </c>
      <c r="F3">
        <v>46.61</v>
      </c>
      <c r="G3">
        <v>2.33</v>
      </c>
      <c r="H3" s="1">
        <f>IF(ISNUMBER(Main_S[[#This Row],[Free CF]]),IF(Main_S[[#This Row],[Free CF]]&lt;&gt;0,Main_S[[#This Row],[Current Price]]/Main_S[[#This Row],[Free CF]],""),"")</f>
        <v>48.300653594771248</v>
      </c>
      <c r="I3" s="1">
        <f>IF(ISNUMBER(Main_S[[#This Row],[BVPS]]),IF(Main_S[[#This Row],[BVPS]]&lt;&gt;0,Main_S[[#This Row],[Current Price]]/Main_S[[#This Row],[BVPS]],""),"")</f>
        <v>1.5854966745333621</v>
      </c>
      <c r="J3">
        <v>5.25</v>
      </c>
      <c r="K3">
        <v>3.65</v>
      </c>
      <c r="L3">
        <v>1.63</v>
      </c>
      <c r="M3" s="1">
        <f>IF(ISNUMBER(Main_S[[#This Row],[EPS]]),IF(Main_S[[#This Row],[EPS]]&lt;&gt;0,Main_S[[#This Row],[Current Price]]/Main_S[[#This Row],[EPS]],""),"")</f>
        <v>31.716738197424895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1.9494450467513706</v>
      </c>
      <c r="P3" s="1">
        <f>(Main_S[[#This Row],[P/B]]-VLOOKUP(Main_S[[#This Row],[Industry]], Mean_PB_S, 2, FALSE))/(VLOOKUP(Main_S[[#This Row],[Industry]], Mean_PB_S, 3, FALSE))</f>
        <v>-3.4307740975825965E-2</v>
      </c>
      <c r="Q3" s="1">
        <f>(Main_S[[#This Row],[ROE]]-VLOOKUP(Main_S[[#This Row],[Industry]], Mean_ROE_S, 2, FALSE))/(VLOOKUP(Main_S[[#This Row],[Industry]], Mean_ROE_S, 3, FALSE))</f>
        <v>-0.36834452782030308</v>
      </c>
      <c r="R3" s="1">
        <f>(Main_S[[#This Row],[ROA]]-VLOOKUP(Main_S[[#This Row],[Industry]], Mean_ROA_S, 2, FALSE))/(VLOOKUP(Main_S[[#This Row],[Industry]], Mean_ROA_S, 3, FALSE))</f>
        <v>0.60129936477448631</v>
      </c>
      <c r="S3" s="1">
        <f>(Main_S[[#This Row],[A/E]]-VLOOKUP(Main_S[[#This Row],[Industry]], Mean_AE_S, 2, FALSE))/(VLOOKUP(Main_S[[#This Row],[Industry]], Mean_AE_S, 3, FALSE))</f>
        <v>0.17373739913008934</v>
      </c>
      <c r="T3" s="1">
        <f>(Main_S[[#This Row],[P/E]]-VLOOKUP(Main_S[[#This Row],[Industry]], Mean_PE_S, 2, FALSE))/(VLOOKUP(Main_S[[#This Row],[Industry]], Mean_PE_S, 3, FALSE))</f>
        <v>0.68412748673436108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7" t="s">
        <v>105</v>
      </c>
      <c r="B4" s="67" t="s">
        <v>405</v>
      </c>
      <c r="C4" s="2">
        <v>1105</v>
      </c>
      <c r="D4">
        <f>RTD("tos.rtd", , "LAST", Main_S[[#This Row],[Symbol]])</f>
        <v>33.200000000000003</v>
      </c>
      <c r="E4">
        <v>1.1399999999999999</v>
      </c>
      <c r="F4">
        <v>7.53</v>
      </c>
      <c r="G4">
        <v>-0.1</v>
      </c>
      <c r="H4" s="1">
        <f>IF(ISNUMBER(Main_S[[#This Row],[Free CF]]),IF(Main_S[[#This Row],[Free CF]]&lt;&gt;0,Main_S[[#This Row],[Current Price]]/Main_S[[#This Row],[Free CF]],""),"")</f>
        <v>29.122807017543863</v>
      </c>
      <c r="I4" s="1">
        <f>IF(ISNUMBER(Main_S[[#This Row],[BVPS]]),IF(Main_S[[#This Row],[BVPS]]&lt;&gt;0,Main_S[[#This Row],[Current Price]]/Main_S[[#This Row],[BVPS]],""),"")</f>
        <v>4.4090305444887123</v>
      </c>
      <c r="J4">
        <v>-1.35</v>
      </c>
      <c r="K4">
        <v>3.5</v>
      </c>
      <c r="L4">
        <v>2.48</v>
      </c>
      <c r="M4" s="1">
        <f>IF(ISNUMBER(Main_S[[#This Row],[EPS]]),IF(Main_S[[#This Row],[EPS]]&lt;&gt;0,Main_S[[#This Row],[Current Price]]/Main_S[[#This Row],[EPS]],""),"")</f>
        <v>-332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1.0857351974321874</v>
      </c>
      <c r="P4" s="1">
        <f>(Main_S[[#This Row],[P/B]]-VLOOKUP(Main_S[[#This Row],[Industry]], Mean_PB_S, 2, FALSE))/(VLOOKUP(Main_S[[#This Row],[Industry]], Mean_PB_S, 3, FALSE))</f>
        <v>1.2050656026652258</v>
      </c>
      <c r="Q4" s="1">
        <f>(Main_S[[#This Row],[ROE]]-VLOOKUP(Main_S[[#This Row],[Industry]], Mean_ROE_S, 2, FALSE))/(VLOOKUP(Main_S[[#This Row],[Industry]], Mean_ROE_S, 3, FALSE))</f>
        <v>-1.1523090178602902</v>
      </c>
      <c r="R4" s="1">
        <f>(Main_S[[#This Row],[ROA]]-VLOOKUP(Main_S[[#This Row],[Industry]], Mean_ROA_S, 2, FALSE))/(VLOOKUP(Main_S[[#This Row],[Industry]], Mean_ROA_S, 3, FALSE))</f>
        <v>0.59399455633680698</v>
      </c>
      <c r="S4" s="1">
        <f>(Main_S[[#This Row],[A/E]]-VLOOKUP(Main_S[[#This Row],[Industry]], Mean_AE_S, 2, FALSE))/(VLOOKUP(Main_S[[#This Row],[Industry]], Mean_AE_S, 3, FALSE))</f>
        <v>2.3139807217471406</v>
      </c>
      <c r="T4" s="1">
        <f>(Main_S[[#This Row],[P/E]]-VLOOKUP(Main_S[[#This Row],[Industry]], Mean_PE_S, 2, FALSE))/(VLOOKUP(Main_S[[#This Row],[Industry]], Mean_PE_S, 3, FALSE))</f>
        <v>-12.508016346852445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" spans="1:26" x14ac:dyDescent="0.25">
      <c r="A5" s="67" t="s">
        <v>105</v>
      </c>
      <c r="B5" s="67" t="s">
        <v>407</v>
      </c>
      <c r="C5" s="2">
        <v>1332</v>
      </c>
      <c r="D5">
        <f>RTD("tos.rtd", , "LAST", Main_S[[#This Row],[Symbol]])</f>
        <v>35.04</v>
      </c>
      <c r="E5">
        <v>1.02</v>
      </c>
      <c r="F5">
        <v>7.81</v>
      </c>
      <c r="G5">
        <v>0.95</v>
      </c>
      <c r="H5" s="1">
        <f>IF(ISNUMBER(Main_S[[#This Row],[Free CF]]),IF(Main_S[[#This Row],[Free CF]]&lt;&gt;0,Main_S[[#This Row],[Current Price]]/Main_S[[#This Row],[Free CF]],""),"")</f>
        <v>34.352941176470587</v>
      </c>
      <c r="I5" s="1">
        <f>IF(ISNUMBER(Main_S[[#This Row],[BVPS]]),IF(Main_S[[#This Row],[BVPS]]&lt;&gt;0,Main_S[[#This Row],[Current Price]]/Main_S[[#This Row],[BVPS]],""),"")</f>
        <v>4.4865556978233032</v>
      </c>
      <c r="J5">
        <v>13.07</v>
      </c>
      <c r="K5">
        <v>7.47</v>
      </c>
      <c r="L5">
        <v>2.0699999999999998</v>
      </c>
      <c r="M5" s="1">
        <f>IF(ISNUMBER(Main_S[[#This Row],[EPS]]),IF(Main_S[[#This Row],[EPS]]&lt;&gt;0,Main_S[[#This Row],[Current Price]]/Main_S[[#This Row],[EPS]],""),"")</f>
        <v>36.88421052631579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1.3212839785810457</v>
      </c>
      <c r="P5" s="1">
        <f>(Main_S[[#This Row],[P/B]]-VLOOKUP(Main_S[[#This Row],[Industry]], Mean_PB_S, 2, FALSE))/(VLOOKUP(Main_S[[#This Row],[Industry]], Mean_PB_S, 3, FALSE))</f>
        <v>1.2390948061137739</v>
      </c>
      <c r="Q5" s="1">
        <f>(Main_S[[#This Row],[ROE]]-VLOOKUP(Main_S[[#This Row],[Industry]], Mean_ROE_S, 2, FALSE))/(VLOOKUP(Main_S[[#This Row],[Industry]], Mean_ROE_S, 3, FALSE))</f>
        <v>0.56053461037859065</v>
      </c>
      <c r="R5" s="1">
        <f>(Main_S[[#This Row],[ROA]]-VLOOKUP(Main_S[[#This Row],[Industry]], Mean_ROA_S, 2, FALSE))/(VLOOKUP(Main_S[[#This Row],[Industry]], Mean_ROA_S, 3, FALSE))</f>
        <v>0.78732848632072072</v>
      </c>
      <c r="S5" s="1">
        <f>(Main_S[[#This Row],[A/E]]-VLOOKUP(Main_S[[#This Row],[Industry]], Mean_AE_S, 2, FALSE))/(VLOOKUP(Main_S[[#This Row],[Industry]], Mean_AE_S, 3, FALSE))</f>
        <v>1.2816280602495038</v>
      </c>
      <c r="T5" s="1">
        <f>(Main_S[[#This Row],[P/E]]-VLOOKUP(Main_S[[#This Row],[Industry]], Mean_PE_S, 2, FALSE))/(VLOOKUP(Main_S[[#This Row],[Industry]], Mean_PE_S, 3, FALSE))</f>
        <v>0.87155366501985387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7" t="s">
        <v>105</v>
      </c>
      <c r="B6" s="67" t="s">
        <v>624</v>
      </c>
      <c r="C6" s="2">
        <v>715</v>
      </c>
      <c r="D6">
        <f>RTD("tos.rtd", , "LAST", Main_S[[#This Row],[Symbol]])</f>
        <v>12.71</v>
      </c>
      <c r="E6">
        <v>0.73</v>
      </c>
      <c r="F6">
        <v>9.92</v>
      </c>
      <c r="G6">
        <v>0.49</v>
      </c>
      <c r="H6" s="1">
        <f>IF(ISNUMBER(Main_S[[#This Row],[Free CF]]),IF(Main_S[[#This Row],[Free CF]]&lt;&gt;0,Main_S[[#This Row],[Current Price]]/Main_S[[#This Row],[Free CF]],""),"")</f>
        <v>17.410958904109592</v>
      </c>
      <c r="I6" s="1">
        <f>IF(ISNUMBER(Main_S[[#This Row],[BVPS]]),IF(Main_S[[#This Row],[BVPS]]&lt;&gt;0,Main_S[[#This Row],[Current Price]]/Main_S[[#This Row],[BVPS]],""),"")</f>
        <v>1.28125</v>
      </c>
      <c r="J6">
        <v>5.0999999999999996</v>
      </c>
      <c r="K6">
        <v>3.37</v>
      </c>
      <c r="L6">
        <v>1.44</v>
      </c>
      <c r="M6" s="1">
        <f>IF(ISNUMBER(Main_S[[#This Row],[EPS]]),IF(Main_S[[#This Row],[EPS]]&lt;&gt;0,Main_S[[#This Row],[Current Price]]/Main_S[[#This Row],[EPS]],""),"")</f>
        <v>25.938775510204085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0.55827042037451591</v>
      </c>
      <c r="P6" s="1">
        <f>(Main_S[[#This Row],[P/B]]-VLOOKUP(Main_S[[#This Row],[Industry]], Mean_PB_S, 2, FALSE))/(VLOOKUP(Main_S[[#This Row],[Industry]], Mean_PB_S, 3, FALSE))</f>
        <v>-0.16785500326315478</v>
      </c>
      <c r="Q6" s="1">
        <f>(Main_S[[#This Row],[ROE]]-VLOOKUP(Main_S[[#This Row],[Industry]], Mean_ROE_S, 2, FALSE))/(VLOOKUP(Main_S[[#This Row],[Industry]], Mean_ROE_S, 3, FALSE))</f>
        <v>-0.38616190259393923</v>
      </c>
      <c r="R6" s="1">
        <f>(Main_S[[#This Row],[ROA]]-VLOOKUP(Main_S[[#This Row],[Industry]], Mean_ROA_S, 2, FALSE))/(VLOOKUP(Main_S[[#This Row],[Industry]], Mean_ROA_S, 3, FALSE))</f>
        <v>0.58766372235748476</v>
      </c>
      <c r="S6" s="1">
        <f>(Main_S[[#This Row],[A/E]]-VLOOKUP(Main_S[[#This Row],[Industry]], Mean_AE_S, 2, FALSE))/(VLOOKUP(Main_S[[#This Row],[Industry]], Mean_AE_S, 3, FALSE))</f>
        <v>-0.30466993180783958</v>
      </c>
      <c r="T6" s="1">
        <f>(Main_S[[#This Row],[P/E]]-VLOOKUP(Main_S[[#This Row],[Industry]], Mean_PE_S, 2, FALSE))/(VLOOKUP(Main_S[[#This Row],[Industry]], Mean_PE_S, 3, FALSE))</f>
        <v>0.4745585919601521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7" t="s">
        <v>105</v>
      </c>
      <c r="B7" s="67" t="s">
        <v>411</v>
      </c>
      <c r="C7" s="2">
        <v>272</v>
      </c>
      <c r="D7">
        <f>RTD("tos.rtd", , "LAST", Main_S[[#This Row],[Symbol]])</f>
        <v>14.11</v>
      </c>
      <c r="E7">
        <v>0.43</v>
      </c>
      <c r="F7">
        <v>5.37</v>
      </c>
      <c r="G7">
        <v>0.28999999999999998</v>
      </c>
      <c r="H7" s="1">
        <f>IF(ISNUMBER(Main_S[[#This Row],[Free CF]]),IF(Main_S[[#This Row],[Free CF]]&lt;&gt;0,Main_S[[#This Row],[Current Price]]/Main_S[[#This Row],[Free CF]],""),"")</f>
        <v>32.813953488372093</v>
      </c>
      <c r="I7" s="1">
        <f>IF(ISNUMBER(Main_S[[#This Row],[BVPS]]),IF(Main_S[[#This Row],[BVPS]]&lt;&gt;0,Main_S[[#This Row],[Current Price]]/Main_S[[#This Row],[BVPS]],""),"")</f>
        <v>2.62756052141527</v>
      </c>
      <c r="J7">
        <v>5.35</v>
      </c>
      <c r="K7">
        <v>4.62</v>
      </c>
      <c r="L7">
        <v>1.1399999999999999</v>
      </c>
      <c r="M7" s="1">
        <f>IF(ISNUMBER(Main_S[[#This Row],[EPS]]),IF(Main_S[[#This Row],[EPS]]&lt;&gt;0,Main_S[[#This Row],[Current Price]]/Main_S[[#This Row],[EPS]],""),"")</f>
        <v>48.655172413793103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1.2519728169321656</v>
      </c>
      <c r="P7" s="1">
        <f>(Main_S[[#This Row],[P/B]]-VLOOKUP(Main_S[[#This Row],[Industry]], Mean_PB_S, 2, FALSE))/(VLOOKUP(Main_S[[#This Row],[Industry]], Mean_PB_S, 3, FALSE))</f>
        <v>0.42309996641530589</v>
      </c>
      <c r="Q7" s="1">
        <f>(Main_S[[#This Row],[ROE]]-VLOOKUP(Main_S[[#This Row],[Industry]], Mean_ROE_S, 2, FALSE))/(VLOOKUP(Main_S[[#This Row],[Industry]], Mean_ROE_S, 3, FALSE))</f>
        <v>-0.35646627797121244</v>
      </c>
      <c r="R7" s="1">
        <f>(Main_S[[#This Row],[ROA]]-VLOOKUP(Main_S[[#This Row],[Industry]], Mean_ROA_S, 2, FALSE))/(VLOOKUP(Main_S[[#This Row],[Industry]], Mean_ROA_S, 3, FALSE))</f>
        <v>0.64853712600481284</v>
      </c>
      <c r="S7" s="1">
        <f>(Main_S[[#This Row],[A/E]]-VLOOKUP(Main_S[[#This Row],[Industry]], Mean_AE_S, 2, FALSE))/(VLOOKUP(Main_S[[#This Row],[Industry]], Mean_AE_S, 3, FALSE))</f>
        <v>-1.0600499280256224</v>
      </c>
      <c r="T7" s="1">
        <f>(Main_S[[#This Row],[P/E]]-VLOOKUP(Main_S[[#This Row],[Industry]], Mean_PE_S, 2, FALSE))/(VLOOKUP(Main_S[[#This Row],[Industry]], Mean_PE_S, 3, FALSE))</f>
        <v>1.2984909103301896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7" t="s">
        <v>105</v>
      </c>
      <c r="B8" s="67" t="s">
        <v>406</v>
      </c>
      <c r="C8" s="2">
        <v>604</v>
      </c>
      <c r="D8">
        <f>RTD("tos.rtd", , "LAST", Main_S[[#This Row],[Symbol]])</f>
        <v>29.61</v>
      </c>
      <c r="E8">
        <v>-0.04</v>
      </c>
      <c r="F8">
        <v>2.5099999999999998</v>
      </c>
      <c r="G8">
        <v>0.61</v>
      </c>
      <c r="H8" s="1">
        <f>IF(ISNUMBER(Main_S[[#This Row],[Free CF]]),IF(Main_S[[#This Row],[Free CF]]&lt;&gt;0,Main_S[[#This Row],[Current Price]]/Main_S[[#This Row],[Free CF]],""),"")</f>
        <v>-740.25</v>
      </c>
      <c r="I8" s="1">
        <f>IF(ISNUMBER(Main_S[[#This Row],[BVPS]]),IF(Main_S[[#This Row],[BVPS]]&lt;&gt;0,Main_S[[#This Row],[Current Price]]/Main_S[[#This Row],[BVPS]],""),"")</f>
        <v>11.796812749003985</v>
      </c>
      <c r="J8">
        <v>28.88</v>
      </c>
      <c r="K8">
        <v>8.6199999999999992</v>
      </c>
      <c r="L8">
        <v>1.25</v>
      </c>
      <c r="M8" s="1">
        <f>IF(ISNUMBER(Main_S[[#This Row],[EPS]]),IF(Main_S[[#This Row],[EPS]]&lt;&gt;0,Main_S[[#This Row],[Current Price]]/Main_S[[#This Row],[EPS]],""),"")</f>
        <v>48.540983606557376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-33.56439450005292</v>
      </c>
      <c r="P8" s="1">
        <f>(Main_S[[#This Row],[P/B]]-VLOOKUP(Main_S[[#This Row],[Industry]], Mean_PB_S, 2, FALSE))/(VLOOKUP(Main_S[[#This Row],[Industry]], Mean_PB_S, 3, FALSE))</f>
        <v>4.4478885170036833</v>
      </c>
      <c r="Q8" s="1">
        <f>(Main_S[[#This Row],[ROE]]-VLOOKUP(Main_S[[#This Row],[Industry]], Mean_ROE_S, 2, FALSE))/(VLOOKUP(Main_S[[#This Row],[Industry]], Mean_ROE_S, 3, FALSE))</f>
        <v>2.4384859115198321</v>
      </c>
      <c r="R8" s="1">
        <f>(Main_S[[#This Row],[ROA]]-VLOOKUP(Main_S[[#This Row],[Industry]], Mean_ROA_S, 2, FALSE))/(VLOOKUP(Main_S[[#This Row],[Industry]], Mean_ROA_S, 3, FALSE))</f>
        <v>0.84333201767626242</v>
      </c>
      <c r="S8" s="1">
        <f>(Main_S[[#This Row],[A/E]]-VLOOKUP(Main_S[[#This Row],[Industry]], Mean_AE_S, 2, FALSE))/(VLOOKUP(Main_S[[#This Row],[Industry]], Mean_AE_S, 3, FALSE))</f>
        <v>-0.7830772627457685</v>
      </c>
      <c r="T8" s="1">
        <f>(Main_S[[#This Row],[P/E]]-VLOOKUP(Main_S[[#This Row],[Industry]], Mean_PE_S, 2, FALSE))/(VLOOKUP(Main_S[[#This Row],[Industry]], Mean_PE_S, 3, FALSE))</f>
        <v>1.2943492390485623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7" t="s">
        <v>105</v>
      </c>
      <c r="B9" s="67" t="s">
        <v>551</v>
      </c>
      <c r="C9" s="2">
        <v>384</v>
      </c>
      <c r="D9">
        <f>RTD("tos.rtd", , "LAST", Main_S[[#This Row],[Symbol]])</f>
        <v>3.51</v>
      </c>
      <c r="E9">
        <v>-0.38</v>
      </c>
      <c r="F9">
        <v>-0.85</v>
      </c>
      <c r="G9">
        <v>-1.45</v>
      </c>
      <c r="H9" s="1">
        <f>IF(ISNUMBER(Main_S[[#This Row],[Free CF]]),IF(Main_S[[#This Row],[Free CF]]&lt;&gt;0,Main_S[[#This Row],[Current Price]]/Main_S[[#This Row],[Free CF]],""),"")</f>
        <v>-9.2368421052631575</v>
      </c>
      <c r="I9" s="1">
        <f>IF(ISNUMBER(Main_S[[#This Row],[BVPS]]),IF(Main_S[[#This Row],[BVPS]]&lt;&gt;0,Main_S[[#This Row],[Current Price]]/Main_S[[#This Row],[BVPS]],""),"")</f>
        <v>-4.1294117647058819</v>
      </c>
      <c r="J9">
        <v>850.97</v>
      </c>
      <c r="K9">
        <v>-42.68</v>
      </c>
      <c r="L9">
        <v>-0.74</v>
      </c>
      <c r="M9" s="1">
        <f>IF(ISNUMBER(Main_S[[#This Row],[EPS]]),IF(Main_S[[#This Row],[EPS]]&lt;&gt;0,Main_S[[#This Row],[Current Price]]/Main_S[[#This Row],[EPS]],""),"")</f>
        <v>-2.4206896551724135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-0.64186266556971516</v>
      </c>
      <c r="P9" s="1">
        <f>(Main_S[[#This Row],[P/B]]-VLOOKUP(Main_S[[#This Row],[Industry]], Mean_PB_S, 2, FALSE))/(VLOOKUP(Main_S[[#This Row],[Industry]], Mean_PB_S, 3, FALSE))</f>
        <v>-2.5428326984095437</v>
      </c>
      <c r="Q9" s="1">
        <f>(Main_S[[#This Row],[ROE]]-VLOOKUP(Main_S[[#This Row],[Industry]], Mean_ROE_S, 2, FALSE))/(VLOOKUP(Main_S[[#This Row],[Industry]], Mean_ROE_S, 3, FALSE))</f>
        <v>100.08839009590967</v>
      </c>
      <c r="R9" s="1">
        <f>(Main_S[[#This Row],[ROA]]-VLOOKUP(Main_S[[#This Row],[Industry]], Mean_ROA_S, 2, FALSE))/(VLOOKUP(Main_S[[#This Row],[Industry]], Mean_ROA_S, 3, FALSE))</f>
        <v>-1.6549124680100784</v>
      </c>
      <c r="S9" s="1">
        <f>(Main_S[[#This Row],[A/E]]-VLOOKUP(Main_S[[#This Row],[Industry]], Mean_AE_S, 2, FALSE))/(VLOOKUP(Main_S[[#This Row],[Industry]], Mean_AE_S, 3, FALSE))</f>
        <v>-5.793764570990394</v>
      </c>
      <c r="T9" s="1">
        <f>(Main_S[[#This Row],[P/E]]-VLOOKUP(Main_S[[#This Row],[Industry]], Mean_PE_S, 2, FALSE))/(VLOOKUP(Main_S[[#This Row],[Industry]], Mean_PE_S, 3, FALSE))</f>
        <v>-0.554049949289243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7" t="s">
        <v>105</v>
      </c>
      <c r="B10" s="67" t="s">
        <v>409</v>
      </c>
      <c r="C10" s="2">
        <v>1607</v>
      </c>
      <c r="D10">
        <f>RTD("tos.rtd", , "LAST", Main_S[[#This Row],[Symbol]])</f>
        <v>5.65</v>
      </c>
      <c r="E10">
        <v>-0.44</v>
      </c>
      <c r="F10">
        <v>0.26</v>
      </c>
      <c r="G10">
        <v>-0.55000000000000004</v>
      </c>
      <c r="H10" s="1">
        <f>IF(ISNUMBER(Main_S[[#This Row],[Free CF]]),IF(Main_S[[#This Row],[Free CF]]&lt;&gt;0,Main_S[[#This Row],[Current Price]]/Main_S[[#This Row],[Free CF]],""),"")</f>
        <v>-12.840909090909092</v>
      </c>
      <c r="I10" s="1">
        <f>IF(ISNUMBER(Main_S[[#This Row],[BVPS]]),IF(Main_S[[#This Row],[BVPS]]&lt;&gt;0,Main_S[[#This Row],[Current Price]]/Main_S[[#This Row],[BVPS]],""),"")</f>
        <v>21.73076923076923</v>
      </c>
      <c r="J10">
        <v>-148.97999999999999</v>
      </c>
      <c r="K10">
        <v>-41.09</v>
      </c>
      <c r="L10">
        <v>4</v>
      </c>
      <c r="M10" s="1">
        <f>IF(ISNUMBER(Main_S[[#This Row],[EPS]]),IF(Main_S[[#This Row],[EPS]]&lt;&gt;0,Main_S[[#This Row],[Current Price]]/Main_S[[#This Row],[EPS]],""),"")</f>
        <v>-10.272727272727273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-0.80417849913180262</v>
      </c>
      <c r="P10" s="1">
        <f>(Main_S[[#This Row],[P/B]]-VLOOKUP(Main_S[[#This Row],[Industry]], Mean_PB_S, 2, FALSE))/(VLOOKUP(Main_S[[#This Row],[Industry]], Mean_PB_S, 3, FALSE))</f>
        <v>8.808339436823811</v>
      </c>
      <c r="Q10" s="1">
        <f>(Main_S[[#This Row],[ROE]]-VLOOKUP(Main_S[[#This Row],[Industry]], Mean_ROE_S, 2, FALSE))/(VLOOKUP(Main_S[[#This Row],[Industry]], Mean_ROE_S, 3, FALSE))</f>
        <v>-18.688169270072908</v>
      </c>
      <c r="R10" s="1">
        <f>(Main_S[[#This Row],[ROA]]-VLOOKUP(Main_S[[#This Row],[Industry]], Mean_ROA_S, 2, FALSE))/(VLOOKUP(Main_S[[#This Row],[Industry]], Mean_ROA_S, 3, FALSE))</f>
        <v>-1.5774814985706773</v>
      </c>
      <c r="S10" s="1">
        <f>(Main_S[[#This Row],[A/E]]-VLOOKUP(Main_S[[#This Row],[Industry]], Mean_AE_S, 2, FALSE))/(VLOOKUP(Main_S[[#This Row],[Industry]], Mean_AE_S, 3, FALSE))</f>
        <v>6.1412393692505738</v>
      </c>
      <c r="T10" s="1">
        <f>(Main_S[[#This Row],[P/E]]-VLOOKUP(Main_S[[#This Row],[Industry]], Mean_PE_S, 2, FALSE))/(VLOOKUP(Main_S[[#This Row],[Industry]], Mean_PE_S, 3, FALSE))</f>
        <v>-0.83884632723677677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7" t="s">
        <v>105</v>
      </c>
      <c r="B11" s="67" t="s">
        <v>549</v>
      </c>
      <c r="C11" s="2">
        <v>330</v>
      </c>
      <c r="D11">
        <f>RTD("tos.rtd", , "LAST", Main_S[[#This Row],[Symbol]])</f>
        <v>9.06</v>
      </c>
      <c r="E11">
        <v>-0.46</v>
      </c>
      <c r="F11">
        <v>0.93</v>
      </c>
      <c r="G11">
        <v>-0.92</v>
      </c>
      <c r="H11" s="1">
        <f>IF(ISNUMBER(Main_S[[#This Row],[Free CF]]),IF(Main_S[[#This Row],[Free CF]]&lt;&gt;0,Main_S[[#This Row],[Current Price]]/Main_S[[#This Row],[Free CF]],""),"")</f>
        <v>-19.695652173913043</v>
      </c>
      <c r="I11" s="1">
        <f>IF(ISNUMBER(Main_S[[#This Row],[BVPS]]),IF(Main_S[[#This Row],[BVPS]]&lt;&gt;0,Main_S[[#This Row],[Current Price]]/Main_S[[#This Row],[BVPS]],""),"")</f>
        <v>9.741935483870968</v>
      </c>
      <c r="J11">
        <v>-168.27</v>
      </c>
      <c r="K11">
        <v>-42.68</v>
      </c>
      <c r="L11">
        <v>1.3</v>
      </c>
      <c r="M11" s="1">
        <f>IF(ISNUMBER(Main_S[[#This Row],[EPS]]),IF(Main_S[[#This Row],[EPS]]&lt;&gt;0,Main_S[[#This Row],[Current Price]]/Main_S[[#This Row],[EPS]],""),"")</f>
        <v>-9.8478260869565215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-1.1128945529130092</v>
      </c>
      <c r="P11" s="1">
        <f>(Main_S[[#This Row],[P/B]]-VLOOKUP(Main_S[[#This Row],[Industry]], Mean_PB_S, 2, FALSE))/(VLOOKUP(Main_S[[#This Row],[Industry]], Mean_PB_S, 3, FALSE))</f>
        <v>3.5459124033259113</v>
      </c>
      <c r="Q11" s="1">
        <f>(Main_S[[#This Row],[ROE]]-VLOOKUP(Main_S[[#This Row],[Industry]], Mean_ROE_S, 2, FALSE))/(VLOOKUP(Main_S[[#This Row],[Industry]], Mean_ROE_S, 3, FALSE))</f>
        <v>-20.979483665962508</v>
      </c>
      <c r="R11" s="1">
        <f>(Main_S[[#This Row],[ROA]]-VLOOKUP(Main_S[[#This Row],[Industry]], Mean_ROA_S, 2, FALSE))/(VLOOKUP(Main_S[[#This Row],[Industry]], Mean_ROA_S, 3, FALSE))</f>
        <v>-1.6549124680100784</v>
      </c>
      <c r="S11" s="1">
        <f>(Main_S[[#This Row],[A/E]]-VLOOKUP(Main_S[[#This Row],[Industry]], Mean_AE_S, 2, FALSE))/(VLOOKUP(Main_S[[#This Row],[Industry]], Mean_AE_S, 3, FALSE))</f>
        <v>-0.65718059670947127</v>
      </c>
      <c r="T11" s="1">
        <f>(Main_S[[#This Row],[P/E]]-VLOOKUP(Main_S[[#This Row],[Industry]], Mean_PE_S, 2, FALSE))/(VLOOKUP(Main_S[[#This Row],[Industry]], Mean_PE_S, 3, FALSE))</f>
        <v>-0.82343500031921602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7" t="s">
        <v>105</v>
      </c>
      <c r="B12" s="67" t="s">
        <v>404</v>
      </c>
      <c r="C12" s="2">
        <v>276</v>
      </c>
      <c r="D12">
        <f>RTD("tos.rtd", , "LAST", Main_S[[#This Row],[Symbol]])</f>
        <v>5.92</v>
      </c>
      <c r="E12">
        <v>-0.78</v>
      </c>
      <c r="F12">
        <v>8.67</v>
      </c>
      <c r="G12">
        <v>-0.11</v>
      </c>
      <c r="H12" s="1">
        <f>IF(ISNUMBER(Main_S[[#This Row],[Free CF]]),IF(Main_S[[#This Row],[Free CF]]&lt;&gt;0,Main_S[[#This Row],[Current Price]]/Main_S[[#This Row],[Free CF]],""),"")</f>
        <v>-7.5897435897435894</v>
      </c>
      <c r="I12" s="1">
        <f>IF(ISNUMBER(Main_S[[#This Row],[BVPS]]),IF(Main_S[[#This Row],[BVPS]]&lt;&gt;0,Main_S[[#This Row],[Current Price]]/Main_S[[#This Row],[BVPS]],""),"")</f>
        <v>0.68281430219146477</v>
      </c>
      <c r="J12">
        <v>-1.33</v>
      </c>
      <c r="K12">
        <v>-0.16</v>
      </c>
      <c r="L12">
        <v>1.59</v>
      </c>
      <c r="M12" s="1">
        <f>IF(ISNUMBER(Main_S[[#This Row],[EPS]]),IF(Main_S[[#This Row],[EPS]]&lt;&gt;0,Main_S[[#This Row],[Current Price]]/Main_S[[#This Row],[EPS]],""),"")</f>
        <v>-53.81818181818182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-0.56768253252273715</v>
      </c>
      <c r="P12" s="1">
        <f>(Main_S[[#This Row],[P/B]]-VLOOKUP(Main_S[[#This Row],[Industry]], Mean_PB_S, 2, FALSE))/(VLOOKUP(Main_S[[#This Row],[Industry]], Mean_PB_S, 3, FALSE))</f>
        <v>-0.43053478183399191</v>
      </c>
      <c r="Q12" s="1">
        <f>(Main_S[[#This Row],[ROE]]-VLOOKUP(Main_S[[#This Row],[Industry]], Mean_ROE_S, 2, FALSE))/(VLOOKUP(Main_S[[#This Row],[Industry]], Mean_ROE_S, 3, FALSE))</f>
        <v>-1.149933367890472</v>
      </c>
      <c r="R12" s="1">
        <f>(Main_S[[#This Row],[ROA]]-VLOOKUP(Main_S[[#This Row],[Industry]], Mean_ROA_S, 2, FALSE))/(VLOOKUP(Main_S[[#This Row],[Industry]], Mean_ROA_S, 3, FALSE))</f>
        <v>0.41575723045743057</v>
      </c>
      <c r="S12" s="1">
        <f>(Main_S[[#This Row],[A/E]]-VLOOKUP(Main_S[[#This Row],[Industry]], Mean_AE_S, 2, FALSE))/(VLOOKUP(Main_S[[#This Row],[Industry]], Mean_AE_S, 3, FALSE))</f>
        <v>7.3020066301052108E-2</v>
      </c>
      <c r="T12" s="1">
        <f>(Main_S[[#This Row],[P/E]]-VLOOKUP(Main_S[[#This Row],[Industry]], Mean_PE_S, 2, FALSE))/(VLOOKUP(Main_S[[#This Row],[Industry]], Mean_PE_S, 3, FALSE))</f>
        <v>-2.4182564542206433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7" t="s">
        <v>105</v>
      </c>
      <c r="B13" s="67" t="s">
        <v>412</v>
      </c>
      <c r="C13" s="2">
        <v>1103</v>
      </c>
      <c r="D13">
        <f>RTD("tos.rtd", , "LAST", Main_S[[#This Row],[Symbol]])</f>
        <v>19.96</v>
      </c>
      <c r="E13">
        <v>-1.1499999999999999</v>
      </c>
      <c r="F13">
        <v>-0.88</v>
      </c>
      <c r="G13">
        <v>-2.23</v>
      </c>
      <c r="H13" s="1">
        <f>IF(ISNUMBER(Main_S[[#This Row],[Free CF]]),IF(Main_S[[#This Row],[Free CF]]&lt;&gt;0,Main_S[[#This Row],[Current Price]]/Main_S[[#This Row],[Free CF]],""),"")</f>
        <v>-17.356521739130436</v>
      </c>
      <c r="I13" s="1">
        <f>IF(ISNUMBER(Main_S[[#This Row],[BVPS]]),IF(Main_S[[#This Row],[BVPS]]&lt;&gt;0,Main_S[[#This Row],[Current Price]]/Main_S[[#This Row],[BVPS]],""),"")</f>
        <v>-22.681818181818183</v>
      </c>
      <c r="J13">
        <v>-192.86</v>
      </c>
      <c r="K13">
        <v>-8.7200000000000006</v>
      </c>
      <c r="L13">
        <v>-4.6100000000000003</v>
      </c>
      <c r="M13" s="1">
        <f>IF(ISNUMBER(Main_S[[#This Row],[EPS]]),IF(Main_S[[#This Row],[EPS]]&lt;&gt;0,Main_S[[#This Row],[Current Price]]/Main_S[[#This Row],[EPS]],""),"")</f>
        <v>-8.9506726457399104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-1.0075474803296343</v>
      </c>
      <c r="P13" s="1">
        <f>(Main_S[[#This Row],[P/B]]-VLOOKUP(Main_S[[#This Row],[Industry]], Mean_PB_S, 2, FALSE))/(VLOOKUP(Main_S[[#This Row],[Industry]], Mean_PB_S, 3, FALSE))</f>
        <v>-10.686300789382994</v>
      </c>
      <c r="Q13" s="1">
        <f>(Main_S[[#This Row],[ROE]]-VLOOKUP(Main_S[[#This Row],[Industry]], Mean_ROE_S, 2, FALSE))/(VLOOKUP(Main_S[[#This Row],[Industry]], Mean_ROE_S, 3, FALSE))</f>
        <v>-23.900345303853914</v>
      </c>
      <c r="R13" s="1">
        <f>(Main_S[[#This Row],[ROA]]-VLOOKUP(Main_S[[#This Row],[Industry]], Mean_ROA_S, 2, FALSE))/(VLOOKUP(Main_S[[#This Row],[Industry]], Mean_ROA_S, 3, FALSE))</f>
        <v>-1.1038377194715124E-3</v>
      </c>
      <c r="S13" s="1">
        <f>(Main_S[[#This Row],[A/E]]-VLOOKUP(Main_S[[#This Row],[Industry]], Mean_AE_S, 2, FALSE))/(VLOOKUP(Main_S[[#This Row],[Industry]], Mean_AE_S, 3, FALSE))</f>
        <v>-15.538166522199791</v>
      </c>
      <c r="T13" s="1">
        <f>(Main_S[[#This Row],[P/E]]-VLOOKUP(Main_S[[#This Row],[Industry]], Mean_PE_S, 2, FALSE))/(VLOOKUP(Main_S[[#This Row],[Industry]], Mean_PE_S, 3, FALSE))</f>
        <v>-0.79089490525517558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7" t="s">
        <v>105</v>
      </c>
      <c r="B14" s="67" t="s">
        <v>552</v>
      </c>
      <c r="C14" s="2">
        <v>285</v>
      </c>
      <c r="D14">
        <f>RTD("tos.rtd", , "LAST", Main_S[[#This Row],[Symbol]])</f>
        <v>26.51</v>
      </c>
      <c r="E14">
        <v>-1.36</v>
      </c>
      <c r="F14">
        <v>10.65</v>
      </c>
      <c r="G14">
        <v>1.1399999999999999</v>
      </c>
      <c r="H14" s="1">
        <f>IF(ISNUMBER(Main_S[[#This Row],[Free CF]]),IF(Main_S[[#This Row],[Free CF]]&lt;&gt;0,Main_S[[#This Row],[Current Price]]/Main_S[[#This Row],[Free CF]],""),"")</f>
        <v>-19.492647058823529</v>
      </c>
      <c r="I14" s="1">
        <f>IF(ISNUMBER(Main_S[[#This Row],[BVPS]]),IF(Main_S[[#This Row],[BVPS]]&lt;&gt;0,Main_S[[#This Row],[Current Price]]/Main_S[[#This Row],[BVPS]],""),"")</f>
        <v>2.4892018779342724</v>
      </c>
      <c r="J14">
        <v>12.3</v>
      </c>
      <c r="K14">
        <v>5.61</v>
      </c>
      <c r="L14">
        <v>1.47</v>
      </c>
      <c r="M14" s="1">
        <f>IF(ISNUMBER(Main_S[[#This Row],[EPS]]),IF(Main_S[[#This Row],[EPS]]&lt;&gt;0,Main_S[[#This Row],[Current Price]]/Main_S[[#This Row],[EPS]],""),"")</f>
        <v>23.254385964912284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-1.1037518414694214</v>
      </c>
      <c r="P14" s="1">
        <f>(Main_S[[#This Row],[P/B]]-VLOOKUP(Main_S[[#This Row],[Industry]], Mean_PB_S, 2, FALSE))/(VLOOKUP(Main_S[[#This Row],[Industry]], Mean_PB_S, 3, FALSE))</f>
        <v>0.36236826547226186</v>
      </c>
      <c r="Q14" s="1">
        <f>(Main_S[[#This Row],[ROE]]-VLOOKUP(Main_S[[#This Row],[Industry]], Mean_ROE_S, 2, FALSE))/(VLOOKUP(Main_S[[#This Row],[Industry]], Mean_ROE_S, 3, FALSE))</f>
        <v>0.46907208654059224</v>
      </c>
      <c r="R14" s="1">
        <f>(Main_S[[#This Row],[ROA]]-VLOOKUP(Main_S[[#This Row],[Industry]], Mean_ROA_S, 2, FALSE))/(VLOOKUP(Main_S[[#This Row],[Industry]], Mean_ROA_S, 3, FALSE))</f>
        <v>0.6967488616934967</v>
      </c>
      <c r="S14" s="1">
        <f>(Main_S[[#This Row],[A/E]]-VLOOKUP(Main_S[[#This Row],[Industry]], Mean_AE_S, 2, FALSE))/(VLOOKUP(Main_S[[#This Row],[Industry]], Mean_AE_S, 3, FALSE))</f>
        <v>-0.22913193218606123</v>
      </c>
      <c r="T14" s="1">
        <f>(Main_S[[#This Row],[P/E]]-VLOOKUP(Main_S[[#This Row],[Industry]], Mean_PE_S, 2, FALSE))/(VLOOKUP(Main_S[[#This Row],[Industry]], Mean_PE_S, 3, FALSE))</f>
        <v>0.37719476657677348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7" t="s">
        <v>105</v>
      </c>
      <c r="B15" s="67" t="s">
        <v>550</v>
      </c>
      <c r="C15" s="2">
        <v>450</v>
      </c>
      <c r="D15">
        <f>RTD("tos.rtd", , "LAST", Main_S[[#This Row],[Symbol]])</f>
        <v>6.2</v>
      </c>
      <c r="E15">
        <v>-1.76</v>
      </c>
      <c r="F15">
        <v>-0.65</v>
      </c>
      <c r="G15">
        <v>-13.16</v>
      </c>
      <c r="H15" s="1">
        <f>IF(ISNUMBER(Main_S[[#This Row],[Free CF]]),IF(Main_S[[#This Row],[Free CF]]&lt;&gt;0,Main_S[[#This Row],[Current Price]]/Main_S[[#This Row],[Free CF]],""),"")</f>
        <v>-3.5227272727272729</v>
      </c>
      <c r="I15" s="1">
        <f>IF(ISNUMBER(Main_S[[#This Row],[BVPS]]),IF(Main_S[[#This Row],[BVPS]]&lt;&gt;0,Main_S[[#This Row],[Current Price]]/Main_S[[#This Row],[BVPS]],""),"")</f>
        <v>-9.5384615384615383</v>
      </c>
      <c r="J15">
        <v>879.14</v>
      </c>
      <c r="K15">
        <v>-42.12</v>
      </c>
      <c r="L15">
        <v>-2.68</v>
      </c>
      <c r="M15" s="1">
        <f>IF(ISNUMBER(Main_S[[#This Row],[EPS]]),IF(Main_S[[#This Row],[EPS]]&lt;&gt;0,Main_S[[#This Row],[Current Price]]/Main_S[[#This Row],[EPS]],""),"")</f>
        <v>-0.47112462006079026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-0.38451691816643191</v>
      </c>
      <c r="P15" s="1">
        <f>(Main_S[[#This Row],[P/B]]-VLOOKUP(Main_S[[#This Row],[Industry]], Mean_PB_S, 2, FALSE))/(VLOOKUP(Main_S[[#This Row],[Industry]], Mean_PB_S, 3, FALSE))</f>
        <v>-4.9171028197473952</v>
      </c>
      <c r="Q15" s="1">
        <f>(Main_S[[#This Row],[ROE]]-VLOOKUP(Main_S[[#This Row],[Industry]], Mean_ROE_S, 2, FALSE))/(VLOOKUP(Main_S[[#This Row],[Industry]], Mean_ROE_S, 3, FALSE))</f>
        <v>103.43449307839852</v>
      </c>
      <c r="R15" s="1">
        <f>(Main_S[[#This Row],[ROA]]-VLOOKUP(Main_S[[#This Row],[Industry]], Mean_ROA_S, 2, FALSE))/(VLOOKUP(Main_S[[#This Row],[Industry]], Mean_ROA_S, 3, FALSE))</f>
        <v>-1.6276411831760753</v>
      </c>
      <c r="S15" s="1">
        <f>(Main_S[[#This Row],[A/E]]-VLOOKUP(Main_S[[#This Row],[Industry]], Mean_AE_S, 2, FALSE))/(VLOOKUP(Main_S[[#This Row],[Industry]], Mean_AE_S, 3, FALSE))</f>
        <v>-10.678555213198722</v>
      </c>
      <c r="T15" s="1">
        <f>(Main_S[[#This Row],[P/E]]-VLOOKUP(Main_S[[#This Row],[Industry]], Mean_PE_S, 2, FALSE))/(VLOOKUP(Main_S[[#This Row],[Industry]], Mean_PE_S, 3, FALSE))</f>
        <v>-0.48333848716740896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7" t="s">
        <v>105</v>
      </c>
      <c r="B16" s="67" t="s">
        <v>410</v>
      </c>
      <c r="C16" s="2">
        <v>612</v>
      </c>
      <c r="D16">
        <f>RTD("tos.rtd", , "LAST", Main_S[[#This Row],[Symbol]])</f>
        <v>94.94</v>
      </c>
      <c r="E16">
        <v>-10.75</v>
      </c>
      <c r="F16">
        <v>51.89</v>
      </c>
      <c r="G16">
        <v>5.96</v>
      </c>
      <c r="H16" s="1">
        <f>IF(ISNUMBER(Main_S[[#This Row],[Free CF]]),IF(Main_S[[#This Row],[Free CF]]&lt;&gt;0,Main_S[[#This Row],[Current Price]]/Main_S[[#This Row],[Free CF]],""),"")</f>
        <v>-8.8316279069767436</v>
      </c>
      <c r="I16" s="1">
        <f>IF(ISNUMBER(Main_S[[#This Row],[BVPS]]),IF(Main_S[[#This Row],[BVPS]]&lt;&gt;0,Main_S[[#This Row],[Current Price]]/Main_S[[#This Row],[BVPS]],""),"")</f>
        <v>1.8296396222778954</v>
      </c>
      <c r="J16">
        <v>12.14</v>
      </c>
      <c r="K16">
        <v>6.88</v>
      </c>
      <c r="L16">
        <v>1.24</v>
      </c>
      <c r="M16" s="1">
        <f>IF(ISNUMBER(Main_S[[#This Row],[EPS]]),IF(Main_S[[#This Row],[EPS]]&lt;&gt;0,Main_S[[#This Row],[Current Price]]/Main_S[[#This Row],[EPS]],""),"")</f>
        <v>15.929530201342281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-0.62361309345354521</v>
      </c>
      <c r="P16" s="1">
        <f>(Main_S[[#This Row],[P/B]]-VLOOKUP(Main_S[[#This Row],[Industry]], Mean_PB_S, 2, FALSE))/(VLOOKUP(Main_S[[#This Row],[Industry]], Mean_PB_S, 3, FALSE))</f>
        <v>7.2857349088175913E-2</v>
      </c>
      <c r="Q16" s="1">
        <f>(Main_S[[#This Row],[ROE]]-VLOOKUP(Main_S[[#This Row],[Industry]], Mean_ROE_S, 2, FALSE))/(VLOOKUP(Main_S[[#This Row],[Industry]], Mean_ROE_S, 3, FALSE))</f>
        <v>0.45006688678204704</v>
      </c>
      <c r="R16" s="1">
        <f>(Main_S[[#This Row],[ROA]]-VLOOKUP(Main_S[[#This Row],[Industry]], Mean_ROA_S, 2, FALSE))/(VLOOKUP(Main_S[[#This Row],[Industry]], Mean_ROA_S, 3, FALSE))</f>
        <v>0.75859623979918189</v>
      </c>
      <c r="S16" s="1">
        <f>(Main_S[[#This Row],[A/E]]-VLOOKUP(Main_S[[#This Row],[Industry]], Mean_AE_S, 2, FALSE))/(VLOOKUP(Main_S[[#This Row],[Industry]], Mean_AE_S, 3, FALSE))</f>
        <v>-0.8082565959530279</v>
      </c>
      <c r="T16" s="1">
        <f>(Main_S[[#This Row],[P/E]]-VLOOKUP(Main_S[[#This Row],[Industry]], Mean_PE_S, 2, FALSE))/(VLOOKUP(Main_S[[#This Row],[Industry]], Mean_PE_S, 3, FALSE))</f>
        <v>0.1115194741165132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7" t="s">
        <v>222</v>
      </c>
      <c r="B17" s="67" t="s">
        <v>521</v>
      </c>
      <c r="C17" s="2">
        <v>280</v>
      </c>
      <c r="D17">
        <f>RTD("tos.rtd", , "LAST", Main_S[[#This Row],[Symbol]])</f>
        <v>5.95</v>
      </c>
      <c r="E17">
        <v>0.12</v>
      </c>
      <c r="F17">
        <v>4.7300000000000004</v>
      </c>
      <c r="G17">
        <v>0.35</v>
      </c>
      <c r="H17" s="1">
        <f>IF(ISNUMBER(Main_S[[#This Row],[Free CF]]),IF(Main_S[[#This Row],[Free CF]]&lt;&gt;0,Main_S[[#This Row],[Current Price]]/Main_S[[#This Row],[Free CF]],""),"")</f>
        <v>49.583333333333336</v>
      </c>
      <c r="I17" s="1">
        <f>IF(ISNUMBER(Main_S[[#This Row],[BVPS]]),IF(Main_S[[#This Row],[BVPS]]&lt;&gt;0,Main_S[[#This Row],[Current Price]]/Main_S[[#This Row],[BVPS]],""),"")</f>
        <v>1.2579281183932347</v>
      </c>
      <c r="J17">
        <v>8.18</v>
      </c>
      <c r="K17">
        <v>3.4</v>
      </c>
      <c r="L17">
        <v>1.9</v>
      </c>
      <c r="M17" s="1">
        <f>IF(ISNUMBER(Main_S[[#This Row],[EPS]]),IF(Main_S[[#This Row],[EPS]]&lt;&gt;0,Main_S[[#This Row],[Current Price]]/Main_S[[#This Row],[EPS]],""),"")</f>
        <v>17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1.3387714720262516</v>
      </c>
      <c r="P17" s="1">
        <f>(Main_S[[#This Row],[P/B]]-VLOOKUP(Main_S[[#This Row],[Industry]], Mean_PB_S, 2, FALSE))/(VLOOKUP(Main_S[[#This Row],[Industry]], Mean_PB_S, 3, FALSE))</f>
        <v>-1.0254642543118753</v>
      </c>
      <c r="Q17" s="1">
        <f>(Main_S[[#This Row],[ROE]]-VLOOKUP(Main_S[[#This Row],[Industry]], Mean_ROE_S, 2, FALSE))/(VLOOKUP(Main_S[[#This Row],[Industry]], Mean_ROE_S, 3, FALSE))</f>
        <v>0.65343304412319025</v>
      </c>
      <c r="R17" s="1">
        <f>(Main_S[[#This Row],[ROA]]-VLOOKUP(Main_S[[#This Row],[Industry]], Mean_ROA_S, 2, FALSE))/(VLOOKUP(Main_S[[#This Row],[Industry]], Mean_ROA_S, 3, FALSE))</f>
        <v>0.20554173946599305</v>
      </c>
      <c r="S17" s="1">
        <f>(Main_S[[#This Row],[A/E]]-VLOOKUP(Main_S[[#This Row],[Industry]], Mean_AE_S, 2, FALSE))/(VLOOKUP(Main_S[[#This Row],[Industry]], Mean_AE_S, 3, FALSE))</f>
        <v>-0.74998389483795103</v>
      </c>
      <c r="T17" s="1">
        <f>(Main_S[[#This Row],[P/E]]-VLOOKUP(Main_S[[#This Row],[Industry]], Mean_PE_S, 2, FALSE))/(VLOOKUP(Main_S[[#This Row],[Industry]], Mean_PE_S, 3, FALSE))</f>
        <v>0.94279842684676674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7" t="s">
        <v>222</v>
      </c>
      <c r="B18" s="67" t="s">
        <v>520</v>
      </c>
      <c r="C18" s="2">
        <v>511</v>
      </c>
      <c r="D18">
        <f>RTD("tos.rtd", , "LAST", Main_S[[#This Row],[Symbol]])</f>
        <v>19.53</v>
      </c>
      <c r="E18">
        <v>-1.4</v>
      </c>
      <c r="F18">
        <v>5.08</v>
      </c>
      <c r="G18">
        <v>-28.54</v>
      </c>
      <c r="H18" s="1">
        <f>IF(ISNUMBER(Main_S[[#This Row],[Free CF]]),IF(Main_S[[#This Row],[Free CF]]&lt;&gt;0,Main_S[[#This Row],[Current Price]]/Main_S[[#This Row],[Free CF]],""),"")</f>
        <v>-13.950000000000001</v>
      </c>
      <c r="I18" s="1">
        <f>IF(ISNUMBER(Main_S[[#This Row],[BVPS]]),IF(Main_S[[#This Row],[BVPS]]&lt;&gt;0,Main_S[[#This Row],[Current Price]]/Main_S[[#This Row],[BVPS]],""),"")</f>
        <v>3.8444881889763782</v>
      </c>
      <c r="J18">
        <v>-140.72</v>
      </c>
      <c r="K18">
        <v>1.28</v>
      </c>
      <c r="L18">
        <v>18.13</v>
      </c>
      <c r="M18" s="1">
        <f>IF(ISNUMBER(Main_S[[#This Row],[EPS]]),IF(Main_S[[#This Row],[EPS]]&lt;&gt;0,Main_S[[#This Row],[Current Price]]/Main_S[[#This Row],[EPS]],""),"")</f>
        <v>-0.68430273300630695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-0.2747109214296547</v>
      </c>
      <c r="P18" s="1">
        <f>(Main_S[[#This Row],[P/B]]-VLOOKUP(Main_S[[#This Row],[Industry]], Mean_PB_S, 2, FALSE))/(VLOOKUP(Main_S[[#This Row],[Industry]], Mean_PB_S, 3, FALSE))</f>
        <v>1.3561284144055568</v>
      </c>
      <c r="Q18" s="1">
        <f>(Main_S[[#This Row],[ROE]]-VLOOKUP(Main_S[[#This Row],[Industry]], Mean_ROE_S, 2, FALSE))/(VLOOKUP(Main_S[[#This Row],[Industry]], Mean_ROE_S, 3, FALSE))</f>
        <v>-1.4128882132025149</v>
      </c>
      <c r="R18" s="1">
        <f>(Main_S[[#This Row],[ROA]]-VLOOKUP(Main_S[[#This Row],[Industry]], Mean_ROA_S, 2, FALSE))/(VLOOKUP(Main_S[[#This Row],[Industry]], Mean_ROA_S, 3, FALSE))</f>
        <v>-1.3145111244918162</v>
      </c>
      <c r="S18" s="1">
        <f>(Main_S[[#This Row],[A/E]]-VLOOKUP(Main_S[[#This Row],[Industry]], Mean_AE_S, 2, FALSE))/(VLOOKUP(Main_S[[#This Row],[Industry]], Mean_AE_S, 3, FALSE))</f>
        <v>1.41332865490493</v>
      </c>
      <c r="T18" s="1">
        <f>(Main_S[[#This Row],[P/E]]-VLOOKUP(Main_S[[#This Row],[Industry]], Mean_PE_S, 2, FALSE))/(VLOOKUP(Main_S[[#This Row],[Industry]], Mean_PE_S, 3, FALSE))</f>
        <v>-1.3842783646539538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7" t="s">
        <v>222</v>
      </c>
      <c r="B19" s="67" t="s">
        <v>634</v>
      </c>
      <c r="C19" s="2">
        <v>1055</v>
      </c>
      <c r="D19">
        <f>RTD("tos.rtd", , "LAST", Main_S[[#This Row],[Symbol]])</f>
        <v>70.7</v>
      </c>
      <c r="E19">
        <v>-1.57</v>
      </c>
      <c r="F19">
        <v>35.130000000000003</v>
      </c>
      <c r="G19">
        <v>5.36</v>
      </c>
      <c r="H19" s="1">
        <f>IF(ISNUMBER(Main_S[[#This Row],[Free CF]]),IF(Main_S[[#This Row],[Free CF]]&lt;&gt;0,Main_S[[#This Row],[Current Price]]/Main_S[[#This Row],[Free CF]],""),"")</f>
        <v>-45.031847133757964</v>
      </c>
      <c r="I19" s="1">
        <f>IF(ISNUMBER(Main_S[[#This Row],[BVPS]]),IF(Main_S[[#This Row],[BVPS]]&lt;&gt;0,Main_S[[#This Row],[Current Price]]/Main_S[[#This Row],[BVPS]],""),"")</f>
        <v>2.0125249074864788</v>
      </c>
      <c r="J19">
        <v>15.82</v>
      </c>
      <c r="K19">
        <v>4.66</v>
      </c>
      <c r="L19">
        <v>2.5499999999999998</v>
      </c>
      <c r="M19" s="1">
        <f>IF(ISNUMBER(Main_S[[#This Row],[EPS]]),IF(Main_S[[#This Row],[EPS]]&lt;&gt;0,Main_S[[#This Row],[Current Price]]/Main_S[[#This Row],[EPS]],""),"")</f>
        <v>13.190298507462686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-1.064060550596597</v>
      </c>
      <c r="P19" s="1">
        <f>(Main_S[[#This Row],[P/B]]-VLOOKUP(Main_S[[#This Row],[Industry]], Mean_PB_S, 2, FALSE))/(VLOOKUP(Main_S[[#This Row],[Industry]], Mean_PB_S, 3, FALSE))</f>
        <v>-0.3306641600936821</v>
      </c>
      <c r="Q19" s="1">
        <f>(Main_S[[#This Row],[ROE]]-VLOOKUP(Main_S[[#This Row],[Industry]], Mean_ROE_S, 2, FALSE))/(VLOOKUP(Main_S[[#This Row],[Industry]], Mean_ROE_S, 3, FALSE))</f>
        <v>0.75945516907932453</v>
      </c>
      <c r="R19" s="1">
        <f>(Main_S[[#This Row],[ROA]]-VLOOKUP(Main_S[[#This Row],[Industry]], Mean_ROA_S, 2, FALSE))/(VLOOKUP(Main_S[[#This Row],[Industry]], Mean_ROA_S, 3, FALSE))</f>
        <v>1.1089693850258233</v>
      </c>
      <c r="S19" s="1">
        <f>(Main_S[[#This Row],[A/E]]-VLOOKUP(Main_S[[#This Row],[Industry]], Mean_AE_S, 2, FALSE))/(VLOOKUP(Main_S[[#This Row],[Industry]], Mean_AE_S, 3, FALSE))</f>
        <v>-0.66334476006697907</v>
      </c>
      <c r="T19" s="1">
        <f>(Main_S[[#This Row],[P/E]]-VLOOKUP(Main_S[[#This Row],[Industry]], Mean_PE_S, 2, FALSE))/(VLOOKUP(Main_S[[#This Row],[Industry]], Mean_PE_S, 3, FALSE))</f>
        <v>0.44147993780718658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7" t="s">
        <v>122</v>
      </c>
      <c r="B20" s="67" t="s">
        <v>415</v>
      </c>
      <c r="C20" s="2">
        <v>836</v>
      </c>
      <c r="D20">
        <f>RTD("tos.rtd", , "LAST", Main_S[[#This Row],[Symbol]])</f>
        <v>55.96</v>
      </c>
      <c r="E20">
        <v>4.29</v>
      </c>
      <c r="F20">
        <v>61.43</v>
      </c>
      <c r="G20">
        <v>6.5</v>
      </c>
      <c r="H20" s="1">
        <f>IF(ISNUMBER(Main_S[[#This Row],[Free CF]]),IF(Main_S[[#This Row],[Free CF]]&lt;&gt;0,Main_S[[#This Row],[Current Price]]/Main_S[[#This Row],[Free CF]],""),"")</f>
        <v>13.044289044289044</v>
      </c>
      <c r="I20" s="1">
        <f>IF(ISNUMBER(Main_S[[#This Row],[BVPS]]),IF(Main_S[[#This Row],[BVPS]]&lt;&gt;0,Main_S[[#This Row],[Current Price]]/Main_S[[#This Row],[BVPS]],""),"")</f>
        <v>0.9109555591730425</v>
      </c>
      <c r="J20">
        <v>10.89</v>
      </c>
      <c r="K20">
        <v>5.72</v>
      </c>
      <c r="L20">
        <v>1.71</v>
      </c>
      <c r="M20" s="1">
        <f>IF(ISNUMBER(Main_S[[#This Row],[EPS]]),IF(Main_S[[#This Row],[EPS]]&lt;&gt;0,Main_S[[#This Row],[Current Price]]/Main_S[[#This Row],[EPS]],""),"")</f>
        <v>8.6092307692307699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0.17489966263681089</v>
      </c>
      <c r="P20" s="1">
        <f>(Main_S[[#This Row],[P/B]]-VLOOKUP(Main_S[[#This Row],[Industry]], Mean_PB_S, 2, FALSE))/(VLOOKUP(Main_S[[#This Row],[Industry]], Mean_PB_S, 3, FALSE))</f>
        <v>-0.92552222648915128</v>
      </c>
      <c r="Q20" s="1">
        <f>(Main_S[[#This Row],[ROE]]-VLOOKUP(Main_S[[#This Row],[Industry]], Mean_ROE_S, 2, FALSE))/(VLOOKUP(Main_S[[#This Row],[Industry]], Mean_ROE_S, 3, FALSE))</f>
        <v>0.24447128944442539</v>
      </c>
      <c r="R20" s="1">
        <f>(Main_S[[#This Row],[ROA]]-VLOOKUP(Main_S[[#This Row],[Industry]], Mean_ROA_S, 2, FALSE))/(VLOOKUP(Main_S[[#This Row],[Industry]], Mean_ROA_S, 3, FALSE))</f>
        <v>0.27712178638472346</v>
      </c>
      <c r="S20" s="1">
        <f>(Main_S[[#This Row],[A/E]]-VLOOKUP(Main_S[[#This Row],[Industry]], Mean_AE_S, 2, FALSE))/(VLOOKUP(Main_S[[#This Row],[Industry]], Mean_AE_S, 3, FALSE))</f>
        <v>-0.55382854952365557</v>
      </c>
      <c r="T20" s="1">
        <f>(Main_S[[#This Row],[P/E]]-VLOOKUP(Main_S[[#This Row],[Industry]], Mean_PE_S, 2, FALSE))/(VLOOKUP(Main_S[[#This Row],[Industry]], Mean_PE_S, 3, FALSE))</f>
        <v>-0.59782910700036751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7" t="s">
        <v>122</v>
      </c>
      <c r="B21" s="67" t="s">
        <v>416</v>
      </c>
      <c r="C21" s="2">
        <v>834</v>
      </c>
      <c r="D21">
        <f>RTD("tos.rtd", , "LAST", Main_S[[#This Row],[Symbol]])</f>
        <v>39.86</v>
      </c>
      <c r="E21">
        <v>4.12</v>
      </c>
      <c r="F21">
        <v>22.78</v>
      </c>
      <c r="G21">
        <v>3.89</v>
      </c>
      <c r="H21" s="1">
        <f>IF(ISNUMBER(Main_S[[#This Row],[Free CF]]),IF(Main_S[[#This Row],[Free CF]]&lt;&gt;0,Main_S[[#This Row],[Current Price]]/Main_S[[#This Row],[Free CF]],""),"")</f>
        <v>9.6747572815533971</v>
      </c>
      <c r="I21" s="1">
        <f>IF(ISNUMBER(Main_S[[#This Row],[BVPS]]),IF(Main_S[[#This Row],[BVPS]]&lt;&gt;0,Main_S[[#This Row],[Current Price]]/Main_S[[#This Row],[BVPS]],""),"")</f>
        <v>1.7497805092186127</v>
      </c>
      <c r="J21">
        <v>17.739999999999998</v>
      </c>
      <c r="K21">
        <v>8.52</v>
      </c>
      <c r="L21">
        <v>2.41</v>
      </c>
      <c r="M21" s="1">
        <f>IF(ISNUMBER(Main_S[[#This Row],[EPS]]),IF(Main_S[[#This Row],[EPS]]&lt;&gt;0,Main_S[[#This Row],[Current Price]]/Main_S[[#This Row],[EPS]],""),"")</f>
        <v>10.246786632390744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-0.29661102825574343</v>
      </c>
      <c r="P21" s="1">
        <f>(Main_S[[#This Row],[P/B]]-VLOOKUP(Main_S[[#This Row],[Industry]], Mean_PB_S, 2, FALSE))/(VLOOKUP(Main_S[[#This Row],[Industry]], Mean_PB_S, 3, FALSE))</f>
        <v>0.57695534780753732</v>
      </c>
      <c r="Q21" s="1">
        <f>(Main_S[[#This Row],[ROE]]-VLOOKUP(Main_S[[#This Row],[Industry]], Mean_ROE_S, 2, FALSE))/(VLOOKUP(Main_S[[#This Row],[Industry]], Mean_ROE_S, 3, FALSE))</f>
        <v>1.6740320612566426</v>
      </c>
      <c r="R21" s="1">
        <f>(Main_S[[#This Row],[ROA]]-VLOOKUP(Main_S[[#This Row],[Industry]], Mean_ROA_S, 2, FALSE))/(VLOOKUP(Main_S[[#This Row],[Industry]], Mean_ROA_S, 3, FALSE))</f>
        <v>1.3680757433298565</v>
      </c>
      <c r="S21" s="1">
        <f>(Main_S[[#This Row],[A/E]]-VLOOKUP(Main_S[[#This Row],[Industry]], Mean_AE_S, 2, FALSE))/(VLOOKUP(Main_S[[#This Row],[Industry]], Mean_AE_S, 3, FALSE))</f>
        <v>0.97936912994861136</v>
      </c>
      <c r="T21" s="1">
        <f>(Main_S[[#This Row],[P/E]]-VLOOKUP(Main_S[[#This Row],[Industry]], Mean_PE_S, 2, FALSE))/(VLOOKUP(Main_S[[#This Row],[Industry]], Mean_PE_S, 3, FALSE))</f>
        <v>-0.43034086637968549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7" t="s">
        <v>122</v>
      </c>
      <c r="B22" s="67" t="s">
        <v>270</v>
      </c>
      <c r="C22" s="2">
        <v>1728</v>
      </c>
      <c r="D22">
        <f>RTD("tos.rtd", , "LAST", Main_S[[#This Row],[Symbol]])</f>
        <v>60.44</v>
      </c>
      <c r="E22">
        <v>3.54</v>
      </c>
      <c r="F22">
        <v>34.229999999999997</v>
      </c>
      <c r="G22">
        <v>4.34</v>
      </c>
      <c r="H22" s="1">
        <f>IF(ISNUMBER(Main_S[[#This Row],[Free CF]]),IF(Main_S[[#This Row],[Free CF]]&lt;&gt;0,Main_S[[#This Row],[Current Price]]/Main_S[[#This Row],[Free CF]],""),"")</f>
        <v>17.073446327683616</v>
      </c>
      <c r="I22" s="1">
        <f>IF(ISNUMBER(Main_S[[#This Row],[BVPS]]),IF(Main_S[[#This Row],[BVPS]]&lt;&gt;0,Main_S[[#This Row],[Current Price]]/Main_S[[#This Row],[BVPS]],""),"")</f>
        <v>1.7657026000584284</v>
      </c>
      <c r="J22">
        <v>13.7</v>
      </c>
      <c r="K22">
        <v>7.4</v>
      </c>
      <c r="L22">
        <v>1.43</v>
      </c>
      <c r="M22" s="1">
        <f>IF(ISNUMBER(Main_S[[#This Row],[EPS]]),IF(Main_S[[#This Row],[EPS]]&lt;&gt;0,Main_S[[#This Row],[Current Price]]/Main_S[[#This Row],[EPS]],""),"")</f>
        <v>13.926267281105991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0.73871412357121213</v>
      </c>
      <c r="P22" s="1">
        <f>(Main_S[[#This Row],[P/B]]-VLOOKUP(Main_S[[#This Row],[Industry]], Mean_PB_S, 2, FALSE))/(VLOOKUP(Main_S[[#This Row],[Industry]], Mean_PB_S, 3, FALSE))</f>
        <v>0.60547450954853965</v>
      </c>
      <c r="Q22" s="1">
        <f>(Main_S[[#This Row],[ROE]]-VLOOKUP(Main_S[[#This Row],[Industry]], Mean_ROE_S, 2, FALSE))/(VLOOKUP(Main_S[[#This Row],[Industry]], Mean_ROE_S, 3, FALSE))</f>
        <v>0.83090424839221078</v>
      </c>
      <c r="R22" s="1">
        <f>(Main_S[[#This Row],[ROA]]-VLOOKUP(Main_S[[#This Row],[Industry]], Mean_ROA_S, 2, FALSE))/(VLOOKUP(Main_S[[#This Row],[Industry]], Mean_ROA_S, 3, FALSE))</f>
        <v>0.93169416055180354</v>
      </c>
      <c r="S22" s="1">
        <f>(Main_S[[#This Row],[A/E]]-VLOOKUP(Main_S[[#This Row],[Industry]], Mean_AE_S, 2, FALSE))/(VLOOKUP(Main_S[[#This Row],[Industry]], Mean_AE_S, 3, FALSE))</f>
        <v>-1.1671076213125622</v>
      </c>
      <c r="T22" s="1">
        <f>(Main_S[[#This Row],[P/E]]-VLOOKUP(Main_S[[#This Row],[Industry]], Mean_PE_S, 2, FALSE))/(VLOOKUP(Main_S[[#This Row],[Industry]], Mean_PE_S, 3, FALSE))</f>
        <v>-5.4005772038565908E-2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7" t="s">
        <v>122</v>
      </c>
      <c r="B23" s="67" t="s">
        <v>417</v>
      </c>
      <c r="C23" s="2">
        <v>680</v>
      </c>
      <c r="D23">
        <f>RTD("tos.rtd", , "LAST", Main_S[[#This Row],[Symbol]])</f>
        <v>36.31</v>
      </c>
      <c r="E23">
        <v>2.1</v>
      </c>
      <c r="F23">
        <v>17.59</v>
      </c>
      <c r="G23">
        <v>1.1599999999999999</v>
      </c>
      <c r="H23" s="1">
        <f>IF(ISNUMBER(Main_S[[#This Row],[Free CF]]),IF(Main_S[[#This Row],[Free CF]]&lt;&gt;0,Main_S[[#This Row],[Current Price]]/Main_S[[#This Row],[Free CF]],""),"")</f>
        <v>17.290476190476191</v>
      </c>
      <c r="I23" s="1">
        <f>IF(ISNUMBER(Main_S[[#This Row],[BVPS]]),IF(Main_S[[#This Row],[BVPS]]&lt;&gt;0,Main_S[[#This Row],[Current Price]]/Main_S[[#This Row],[BVPS]],""),"")</f>
        <v>2.0642410460488914</v>
      </c>
      <c r="J23">
        <v>6.61</v>
      </c>
      <c r="K23">
        <v>4.22</v>
      </c>
      <c r="L23">
        <v>1.24</v>
      </c>
      <c r="M23" s="1">
        <f>IF(ISNUMBER(Main_S[[#This Row],[EPS]]),IF(Main_S[[#This Row],[EPS]]&lt;&gt;0,Main_S[[#This Row],[Current Price]]/Main_S[[#This Row],[EPS]],""),"")</f>
        <v>31.301724137931039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0.76908389235670127</v>
      </c>
      <c r="P23" s="1">
        <f>(Main_S[[#This Row],[P/B]]-VLOOKUP(Main_S[[#This Row],[Industry]], Mean_PB_S, 2, FALSE))/(VLOOKUP(Main_S[[#This Row],[Industry]], Mean_PB_S, 3, FALSE))</f>
        <v>1.1402074358184198</v>
      </c>
      <c r="Q23" s="1">
        <f>(Main_S[[#This Row],[ROE]]-VLOOKUP(Main_S[[#This Row],[Industry]], Mean_ROE_S, 2, FALSE))/(VLOOKUP(Main_S[[#This Row],[Industry]], Mean_ROE_S, 3, FALSE))</f>
        <v>-0.64874332418423042</v>
      </c>
      <c r="R23" s="1">
        <f>(Main_S[[#This Row],[ROA]]-VLOOKUP(Main_S[[#This Row],[Industry]], Mean_ROA_S, 2, FALSE))/(VLOOKUP(Main_S[[#This Row],[Industry]], Mean_ROA_S, 3, FALSE))</f>
        <v>-0.30731783340731217</v>
      </c>
      <c r="S23" s="1">
        <f>(Main_S[[#This Row],[A/E]]-VLOOKUP(Main_S[[#This Row],[Industry]], Mean_AE_S, 2, FALSE))/(VLOOKUP(Main_S[[#This Row],[Industry]], Mean_AE_S, 3, FALSE))</f>
        <v>-1.5832612771693202</v>
      </c>
      <c r="T23" s="1">
        <f>(Main_S[[#This Row],[P/E]]-VLOOKUP(Main_S[[#This Row],[Industry]], Mean_PE_S, 2, FALSE))/(VLOOKUP(Main_S[[#This Row],[Industry]], Mean_PE_S, 3, FALSE))</f>
        <v>1.7231456304879047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7" t="s">
        <v>122</v>
      </c>
      <c r="B24" s="67" t="s">
        <v>268</v>
      </c>
      <c r="C24" s="2">
        <v>1293</v>
      </c>
      <c r="D24">
        <f>RTD("tos.rtd", , "LAST", Main_S[[#This Row],[Symbol]])</f>
        <v>10.6</v>
      </c>
      <c r="E24">
        <v>1.24</v>
      </c>
      <c r="F24">
        <v>10.27</v>
      </c>
      <c r="G24">
        <v>0.77</v>
      </c>
      <c r="H24" s="1">
        <f>IF(ISNUMBER(Main_S[[#This Row],[Free CF]]),IF(Main_S[[#This Row],[Free CF]]&lt;&gt;0,Main_S[[#This Row],[Current Price]]/Main_S[[#This Row],[Free CF]],""),"")</f>
        <v>8.5483870967741939</v>
      </c>
      <c r="I24" s="1">
        <f>IF(ISNUMBER(Main_S[[#This Row],[BVPS]]),IF(Main_S[[#This Row],[BVPS]]&lt;&gt;0,Main_S[[#This Row],[Current Price]]/Main_S[[#This Row],[BVPS]],""),"")</f>
        <v>1.0321324245374879</v>
      </c>
      <c r="J24">
        <v>8.02</v>
      </c>
      <c r="K24">
        <v>5.92</v>
      </c>
      <c r="L24">
        <v>2.2599999999999998</v>
      </c>
      <c r="M24" s="1">
        <f>IF(ISNUMBER(Main_S[[#This Row],[EPS]]),IF(Main_S[[#This Row],[EPS]]&lt;&gt;0,Main_S[[#This Row],[Current Price]]/Main_S[[#This Row],[EPS]],""),"")</f>
        <v>13.766233766233766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-0.45422805679944578</v>
      </c>
      <c r="P24" s="1">
        <f>(Main_S[[#This Row],[P/B]]-VLOOKUP(Main_S[[#This Row],[Industry]], Mean_PB_S, 2, FALSE))/(VLOOKUP(Main_S[[#This Row],[Industry]], Mean_PB_S, 3, FALSE))</f>
        <v>-0.70847393444233342</v>
      </c>
      <c r="Q24" s="1">
        <f>(Main_S[[#This Row],[ROE]]-VLOOKUP(Main_S[[#This Row],[Industry]], Mean_ROE_S, 2, FALSE))/(VLOOKUP(Main_S[[#This Row],[Industry]], Mean_ROE_S, 3, FALSE))</f>
        <v>-0.35448336969441641</v>
      </c>
      <c r="R24" s="1">
        <f>(Main_S[[#This Row],[ROA]]-VLOOKUP(Main_S[[#This Row],[Industry]], Mean_ROA_S, 2, FALSE))/(VLOOKUP(Main_S[[#This Row],[Industry]], Mean_ROA_S, 3, FALSE))</f>
        <v>0.35504706902366162</v>
      </c>
      <c r="S24" s="1">
        <f>(Main_S[[#This Row],[A/E]]-VLOOKUP(Main_S[[#This Row],[Industry]], Mean_AE_S, 2, FALSE))/(VLOOKUP(Main_S[[#This Row],[Industry]], Mean_AE_S, 3, FALSE))</f>
        <v>0.65082677006169631</v>
      </c>
      <c r="T24" s="1">
        <f>(Main_S[[#This Row],[P/E]]-VLOOKUP(Main_S[[#This Row],[Industry]], Mean_PE_S, 2, FALSE))/(VLOOKUP(Main_S[[#This Row],[Industry]], Mean_PE_S, 3, FALSE))</f>
        <v>-7.0373904845082727E-2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7" t="s">
        <v>122</v>
      </c>
      <c r="B25" s="67" t="s">
        <v>418</v>
      </c>
      <c r="C25" s="2">
        <v>1143</v>
      </c>
      <c r="D25">
        <f>RTD("tos.rtd", , "LAST", Main_S[[#This Row],[Symbol]])</f>
        <v>8.49</v>
      </c>
      <c r="E25">
        <v>1.06</v>
      </c>
      <c r="F25">
        <v>3.76</v>
      </c>
      <c r="G25">
        <v>0.35</v>
      </c>
      <c r="H25" s="1">
        <f>IF(ISNUMBER(Main_S[[#This Row],[Free CF]]),IF(Main_S[[#This Row],[Free CF]]&lt;&gt;0,Main_S[[#This Row],[Current Price]]/Main_S[[#This Row],[Free CF]],""),"")</f>
        <v>8.0094339622641506</v>
      </c>
      <c r="I25" s="1">
        <f>IF(ISNUMBER(Main_S[[#This Row],[BVPS]]),IF(Main_S[[#This Row],[BVPS]]&lt;&gt;0,Main_S[[#This Row],[Current Price]]/Main_S[[#This Row],[BVPS]],""),"")</f>
        <v>2.2579787234042556</v>
      </c>
      <c r="J25">
        <v>9.51</v>
      </c>
      <c r="K25">
        <v>6.04</v>
      </c>
      <c r="L25">
        <v>2.41</v>
      </c>
      <c r="M25" s="1">
        <f>IF(ISNUMBER(Main_S[[#This Row],[EPS]]),IF(Main_S[[#This Row],[EPS]]&lt;&gt;0,Main_S[[#This Row],[Current Price]]/Main_S[[#This Row],[EPS]],""),"")</f>
        <v>24.25714285714286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-0.5296457061066665</v>
      </c>
      <c r="P25" s="1">
        <f>(Main_S[[#This Row],[P/B]]-VLOOKUP(Main_S[[#This Row],[Industry]], Mean_PB_S, 2, FALSE))/(VLOOKUP(Main_S[[#This Row],[Industry]], Mean_PB_S, 3, FALSE))</f>
        <v>1.4872244332348039</v>
      </c>
      <c r="Q25" s="1">
        <f>(Main_S[[#This Row],[ROE]]-VLOOKUP(Main_S[[#This Row],[Industry]], Mean_ROE_S, 2, FALSE))/(VLOOKUP(Main_S[[#This Row],[Industry]], Mean_ROE_S, 3, FALSE))</f>
        <v>-4.352781494986098E-2</v>
      </c>
      <c r="R25" s="1">
        <f>(Main_S[[#This Row],[ROA]]-VLOOKUP(Main_S[[#This Row],[Industry]], Mean_ROA_S, 2, FALSE))/(VLOOKUP(Main_S[[#This Row],[Industry]], Mean_ROA_S, 3, FALSE))</f>
        <v>0.40180223860702452</v>
      </c>
      <c r="S25" s="1">
        <f>(Main_S[[#This Row],[A/E]]-VLOOKUP(Main_S[[#This Row],[Industry]], Mean_AE_S, 2, FALSE))/(VLOOKUP(Main_S[[#This Row],[Industry]], Mean_AE_S, 3, FALSE))</f>
        <v>0.97936912994861136</v>
      </c>
      <c r="T25" s="1">
        <f>(Main_S[[#This Row],[P/E]]-VLOOKUP(Main_S[[#This Row],[Industry]], Mean_PE_S, 2, FALSE))/(VLOOKUP(Main_S[[#This Row],[Industry]], Mean_PE_S, 3, FALSE))</f>
        <v>1.0026300430979316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7" t="s">
        <v>122</v>
      </c>
      <c r="B26" s="67" t="s">
        <v>420</v>
      </c>
      <c r="C26" s="2">
        <v>790</v>
      </c>
      <c r="D26">
        <f>RTD("tos.rtd", , "LAST", Main_S[[#This Row],[Symbol]])</f>
        <v>19.02</v>
      </c>
      <c r="E26">
        <v>0.83</v>
      </c>
      <c r="F26">
        <v>20.69</v>
      </c>
      <c r="G26">
        <v>0.28999999999999998</v>
      </c>
      <c r="H26" s="1">
        <f>IF(ISNUMBER(Main_S[[#This Row],[Free CF]]),IF(Main_S[[#This Row],[Free CF]]&lt;&gt;0,Main_S[[#This Row],[Current Price]]/Main_S[[#This Row],[Free CF]],""),"")</f>
        <v>22.91566265060241</v>
      </c>
      <c r="I26" s="1">
        <f>IF(ISNUMBER(Main_S[[#This Row],[BVPS]]),IF(Main_S[[#This Row],[BVPS]]&lt;&gt;0,Main_S[[#This Row],[Current Price]]/Main_S[[#This Row],[BVPS]],""),"")</f>
        <v>0.91928467858869012</v>
      </c>
      <c r="J26">
        <v>1.56</v>
      </c>
      <c r="K26">
        <v>1.98</v>
      </c>
      <c r="L26">
        <v>2.2799999999999998</v>
      </c>
      <c r="M26" s="1">
        <f>IF(ISNUMBER(Main_S[[#This Row],[EPS]]),IF(Main_S[[#This Row],[EPS]]&lt;&gt;0,Main_S[[#This Row],[Current Price]]/Main_S[[#This Row],[EPS]],""),"")</f>
        <v>65.58620689655173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1.5562364527053782</v>
      </c>
      <c r="P26" s="1">
        <f>(Main_S[[#This Row],[P/B]]-VLOOKUP(Main_S[[#This Row],[Industry]], Mean_PB_S, 2, FALSE))/(VLOOKUP(Main_S[[#This Row],[Industry]], Mean_PB_S, 3, FALSE))</f>
        <v>-0.91060336274413534</v>
      </c>
      <c r="Q26" s="1">
        <f>(Main_S[[#This Row],[ROE]]-VLOOKUP(Main_S[[#This Row],[Industry]], Mean_ROE_S, 2, FALSE))/(VLOOKUP(Main_S[[#This Row],[Industry]], Mean_ROE_S, 3, FALSE))</f>
        <v>-1.7026530902647705</v>
      </c>
      <c r="R26" s="1">
        <f>(Main_S[[#This Row],[ROA]]-VLOOKUP(Main_S[[#This Row],[Industry]], Mean_ROA_S, 2, FALSE))/(VLOOKUP(Main_S[[#This Row],[Industry]], Mean_ROA_S, 3, FALSE))</f>
        <v>-1.1800809989634187</v>
      </c>
      <c r="S26" s="1">
        <f>(Main_S[[#This Row],[A/E]]-VLOOKUP(Main_S[[#This Row],[Industry]], Mean_AE_S, 2, FALSE))/(VLOOKUP(Main_S[[#This Row],[Industry]], Mean_AE_S, 3, FALSE))</f>
        <v>0.69463241804661835</v>
      </c>
      <c r="T26" s="1">
        <f>(Main_S[[#This Row],[P/E]]-VLOOKUP(Main_S[[#This Row],[Industry]], Mean_PE_S, 2, FALSE))/(VLOOKUP(Main_S[[#This Row],[Industry]], Mean_PE_S, 3, FALSE))</f>
        <v>5.2297421546215803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" spans="1:26" x14ac:dyDescent="0.25">
      <c r="A27" s="67" t="s">
        <v>122</v>
      </c>
      <c r="B27" s="67" t="s">
        <v>419</v>
      </c>
      <c r="C27" s="2">
        <v>311</v>
      </c>
      <c r="D27">
        <f>RTD("tos.rtd", , "LAST", Main_S[[#This Row],[Symbol]])</f>
        <v>3.83</v>
      </c>
      <c r="E27">
        <v>-1.74</v>
      </c>
      <c r="F27">
        <v>5.31</v>
      </c>
      <c r="G27">
        <v>-4.13</v>
      </c>
      <c r="H27" s="1">
        <f>IF(ISNUMBER(Main_S[[#This Row],[Free CF]]),IF(Main_S[[#This Row],[Free CF]]&lt;&gt;0,Main_S[[#This Row],[Current Price]]/Main_S[[#This Row],[Free CF]],""),"")</f>
        <v>-2.2011494252873565</v>
      </c>
      <c r="I27" s="1">
        <f>IF(ISNUMBER(Main_S[[#This Row],[BVPS]]),IF(Main_S[[#This Row],[BVPS]]&lt;&gt;0,Main_S[[#This Row],[Current Price]]/Main_S[[#This Row],[BVPS]],""),"")</f>
        <v>0.72128060263653493</v>
      </c>
      <c r="J27">
        <v>-55.39</v>
      </c>
      <c r="K27">
        <v>0.27</v>
      </c>
      <c r="L27">
        <v>5.35</v>
      </c>
      <c r="M27" s="1">
        <f>IF(ISNUMBER(Main_S[[#This Row],[EPS]]),IF(Main_S[[#This Row],[EPS]]&lt;&gt;0,Main_S[[#This Row],[Current Price]]/Main_S[[#This Row],[EPS]],""),"")</f>
        <v>-0.92736077481840196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-1.9584493401082483</v>
      </c>
      <c r="P27" s="1">
        <f>(Main_S[[#This Row],[P/B]]-VLOOKUP(Main_S[[#This Row],[Industry]], Mean_PB_S, 2, FALSE))/(VLOOKUP(Main_S[[#This Row],[Industry]], Mean_PB_S, 3, FALSE))</f>
        <v>-1.2652622027336822</v>
      </c>
      <c r="Q27" s="1">
        <f>(Main_S[[#This Row],[ROE]]-VLOOKUP(Main_S[[#This Row],[Industry]], Mean_ROE_S, 2, FALSE))/(VLOOKUP(Main_S[[#This Row],[Industry]], Mean_ROE_S, 3, FALSE))</f>
        <v>-13.587833521608681</v>
      </c>
      <c r="R27" s="1">
        <f>(Main_S[[#This Row],[ROA]]-VLOOKUP(Main_S[[#This Row],[Industry]], Mean_ROA_S, 2, FALSE))/(VLOOKUP(Main_S[[#This Row],[Industry]], Mean_ROA_S, 3, FALSE))</f>
        <v>-1.846342165526339</v>
      </c>
      <c r="S27" s="1">
        <f>(Main_S[[#This Row],[A/E]]-VLOOKUP(Main_S[[#This Row],[Industry]], Mean_AE_S, 2, FALSE))/(VLOOKUP(Main_S[[#This Row],[Industry]], Mean_AE_S, 3, FALSE))</f>
        <v>7.4187993837321304</v>
      </c>
      <c r="T27" s="1">
        <f>(Main_S[[#This Row],[P/E]]-VLOOKUP(Main_S[[#This Row],[Industry]], Mean_PE_S, 2, FALSE))/(VLOOKUP(Main_S[[#This Row],[Industry]], Mean_PE_S, 3, FALSE))</f>
        <v>-1.5732260233221351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7" t="s">
        <v>190</v>
      </c>
      <c r="B28" s="67" t="s">
        <v>498</v>
      </c>
      <c r="C28" s="2">
        <v>293</v>
      </c>
      <c r="D28">
        <f>RTD("tos.rtd", , "LAST", Main_S[[#This Row],[Symbol]])</f>
        <v>23.24</v>
      </c>
      <c r="E28">
        <v>3.09</v>
      </c>
      <c r="F28">
        <v>16.3</v>
      </c>
      <c r="G28">
        <v>-1.55</v>
      </c>
      <c r="H28" s="1">
        <f>IF(ISNUMBER(Main_S[[#This Row],[Free CF]]),IF(Main_S[[#This Row],[Free CF]]&lt;&gt;0,Main_S[[#This Row],[Current Price]]/Main_S[[#This Row],[Free CF]],""),"")</f>
        <v>7.5210355987055015</v>
      </c>
      <c r="I28" s="1">
        <f>IF(ISNUMBER(Main_S[[#This Row],[BVPS]]),IF(Main_S[[#This Row],[BVPS]]&lt;&gt;0,Main_S[[#This Row],[Current Price]]/Main_S[[#This Row],[BVPS]],""),"")</f>
        <v>1.4257668711656439</v>
      </c>
      <c r="J28">
        <v>-8.86</v>
      </c>
      <c r="K28">
        <v>0.2</v>
      </c>
      <c r="L28">
        <v>1.92</v>
      </c>
      <c r="M28" s="1">
        <f>IF(ISNUMBER(Main_S[[#This Row],[EPS]]),IF(Main_S[[#This Row],[EPS]]&lt;&gt;0,Main_S[[#This Row],[Current Price]]/Main_S[[#This Row],[EPS]],""),"")</f>
        <v>-14.993548387096773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-0.36544270862110795</v>
      </c>
      <c r="P28" s="1">
        <f>(Main_S[[#This Row],[P/B]]-VLOOKUP(Main_S[[#This Row],[Industry]], Mean_PB_S, 2, FALSE))/(VLOOKUP(Main_S[[#This Row],[Industry]], Mean_PB_S, 3, FALSE))</f>
        <v>-0.14391241539557109</v>
      </c>
      <c r="Q28" s="1">
        <f>(Main_S[[#This Row],[ROE]]-VLOOKUP(Main_S[[#This Row],[Industry]], Mean_ROE_S, 2, FALSE))/(VLOOKUP(Main_S[[#This Row],[Industry]], Mean_ROE_S, 3, FALSE))</f>
        <v>-0.74177300401988777</v>
      </c>
      <c r="R28" s="1">
        <f>(Main_S[[#This Row],[ROA]]-VLOOKUP(Main_S[[#This Row],[Industry]], Mean_ROA_S, 2, FALSE))/(VLOOKUP(Main_S[[#This Row],[Industry]], Mean_ROA_S, 3, FALSE))</f>
        <v>-1.4091682108468131</v>
      </c>
      <c r="S28" s="1">
        <f>(Main_S[[#This Row],[A/E]]-VLOOKUP(Main_S[[#This Row],[Industry]], Mean_AE_S, 2, FALSE))/(VLOOKUP(Main_S[[#This Row],[Industry]], Mean_AE_S, 3, FALSE))</f>
        <v>-0.53051866413070081</v>
      </c>
      <c r="T28" s="1">
        <f>(Main_S[[#This Row],[P/E]]-VLOOKUP(Main_S[[#This Row],[Industry]], Mean_PE_S, 2, FALSE))/(VLOOKUP(Main_S[[#This Row],[Industry]], Mean_PE_S, 3, FALSE))</f>
        <v>-1.2759476385126178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7" t="s">
        <v>190</v>
      </c>
      <c r="B29" s="67" t="s">
        <v>484</v>
      </c>
      <c r="C29" s="2">
        <v>638</v>
      </c>
      <c r="D29">
        <f>RTD("tos.rtd", , "LAST", Main_S[[#This Row],[Symbol]])</f>
        <v>15.35</v>
      </c>
      <c r="E29">
        <v>2.66</v>
      </c>
      <c r="F29">
        <v>13.91</v>
      </c>
      <c r="G29">
        <v>1.24</v>
      </c>
      <c r="H29" s="1">
        <f>IF(ISNUMBER(Main_S[[#This Row],[Free CF]]),IF(Main_S[[#This Row],[Free CF]]&lt;&gt;0,Main_S[[#This Row],[Current Price]]/Main_S[[#This Row],[Free CF]],""),"")</f>
        <v>5.7706766917293226</v>
      </c>
      <c r="I29" s="1">
        <f>IF(ISNUMBER(Main_S[[#This Row],[BVPS]]),IF(Main_S[[#This Row],[BVPS]]&lt;&gt;0,Main_S[[#This Row],[Current Price]]/Main_S[[#This Row],[BVPS]],""),"")</f>
        <v>1.1035226455787204</v>
      </c>
      <c r="J29">
        <v>9.1300000000000008</v>
      </c>
      <c r="K29">
        <v>5.24</v>
      </c>
      <c r="L29">
        <v>4.1399999999999997</v>
      </c>
      <c r="M29" s="1">
        <f>IF(ISNUMBER(Main_S[[#This Row],[EPS]]),IF(Main_S[[#This Row],[EPS]]&lt;&gt;0,Main_S[[#This Row],[Current Price]]/Main_S[[#This Row],[EPS]],""),"")</f>
        <v>12.379032258064516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-0.60107440965187942</v>
      </c>
      <c r="P29" s="1">
        <f>(Main_S[[#This Row],[P/B]]-VLOOKUP(Main_S[[#This Row],[Industry]], Mean_PB_S, 2, FALSE))/(VLOOKUP(Main_S[[#This Row],[Industry]], Mean_PB_S, 3, FALSE))</f>
        <v>-0.82946313829909635</v>
      </c>
      <c r="Q29" s="1">
        <f>(Main_S[[#This Row],[ROE]]-VLOOKUP(Main_S[[#This Row],[Industry]], Mean_ROE_S, 2, FALSE))/(VLOOKUP(Main_S[[#This Row],[Industry]], Mean_ROE_S, 3, FALSE))</f>
        <v>0.58760083917424</v>
      </c>
      <c r="R29" s="1">
        <f>(Main_S[[#This Row],[ROA]]-VLOOKUP(Main_S[[#This Row],[Industry]], Mean_ROA_S, 2, FALSE))/(VLOOKUP(Main_S[[#This Row],[Industry]], Mean_ROA_S, 3, FALSE))</f>
        <v>0.66998776012716765</v>
      </c>
      <c r="S29" s="1">
        <f>(Main_S[[#This Row],[A/E]]-VLOOKUP(Main_S[[#This Row],[Industry]], Mean_AE_S, 2, FALSE))/(VLOOKUP(Main_S[[#This Row],[Industry]], Mean_AE_S, 3, FALSE))</f>
        <v>2.1239626232990672</v>
      </c>
      <c r="T29" s="1">
        <f>(Main_S[[#This Row],[P/E]]-VLOOKUP(Main_S[[#This Row],[Industry]], Mean_PE_S, 2, FALSE))/(VLOOKUP(Main_S[[#This Row],[Industry]], Mean_PE_S, 3, FALSE))</f>
        <v>0.17305092619463489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7" t="s">
        <v>190</v>
      </c>
      <c r="B30" s="67" t="s">
        <v>485</v>
      </c>
      <c r="C30" s="2">
        <v>486</v>
      </c>
      <c r="D30">
        <f>RTD("tos.rtd", , "LAST", Main_S[[#This Row],[Symbol]])</f>
        <v>18.649999999999999</v>
      </c>
      <c r="E30">
        <v>2.2999999999999998</v>
      </c>
      <c r="F30">
        <v>11.62</v>
      </c>
      <c r="G30">
        <v>1.54</v>
      </c>
      <c r="H30" s="1">
        <f>IF(ISNUMBER(Main_S[[#This Row],[Free CF]]),IF(Main_S[[#This Row],[Free CF]]&lt;&gt;0,Main_S[[#This Row],[Current Price]]/Main_S[[#This Row],[Free CF]],""),"")</f>
        <v>8.1086956521739122</v>
      </c>
      <c r="I30" s="1">
        <f>IF(ISNUMBER(Main_S[[#This Row],[BVPS]]),IF(Main_S[[#This Row],[BVPS]]&lt;&gt;0,Main_S[[#This Row],[Current Price]]/Main_S[[#This Row],[BVPS]],""),"")</f>
        <v>1.6049913941480207</v>
      </c>
      <c r="J30">
        <v>12.34</v>
      </c>
      <c r="K30">
        <v>8.4499999999999993</v>
      </c>
      <c r="L30">
        <v>1.1599999999999999</v>
      </c>
      <c r="M30" s="1">
        <f>IF(ISNUMBER(Main_S[[#This Row],[EPS]]),IF(Main_S[[#This Row],[EPS]]&lt;&gt;0,Main_S[[#This Row],[Current Price]]/Main_S[[#This Row],[EPS]],""),"")</f>
        <v>12.110389610389609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-0.28633245444711636</v>
      </c>
      <c r="P30" s="1">
        <f>(Main_S[[#This Row],[P/B]]-VLOOKUP(Main_S[[#This Row],[Industry]], Mean_PB_S, 2, FALSE))/(VLOOKUP(Main_S[[#This Row],[Industry]], Mean_PB_S, 3, FALSE))</f>
        <v>0.23737448297730626</v>
      </c>
      <c r="Q30" s="1">
        <f>(Main_S[[#This Row],[ROE]]-VLOOKUP(Main_S[[#This Row],[Industry]], Mean_ROE_S, 2, FALSE))/(VLOOKUP(Main_S[[#This Row],[Industry]], Mean_ROE_S, 3, FALSE))</f>
        <v>0.8248042875707462</v>
      </c>
      <c r="R30" s="1">
        <f>(Main_S[[#This Row],[ROA]]-VLOOKUP(Main_S[[#This Row],[Industry]], Mean_ROA_S, 2, FALSE))/(VLOOKUP(Main_S[[#This Row],[Industry]], Mean_ROA_S, 3, FALSE))</f>
        <v>1.9942120987832146</v>
      </c>
      <c r="S30" s="1">
        <f>(Main_S[[#This Row],[A/E]]-VLOOKUP(Main_S[[#This Row],[Industry]], Mean_AE_S, 2, FALSE))/(VLOOKUP(Main_S[[#This Row],[Industry]], Mean_AE_S, 3, FALSE))</f>
        <v>-1.4392600057733242</v>
      </c>
      <c r="T30" s="1">
        <f>(Main_S[[#This Row],[P/E]]-VLOOKUP(Main_S[[#This Row],[Industry]], Mean_PE_S, 2, FALSE))/(VLOOKUP(Main_S[[#This Row],[Industry]], Mean_PE_S, 3, FALSE))</f>
        <v>0.15883002331572027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7" t="s">
        <v>190</v>
      </c>
      <c r="B31" s="67" t="s">
        <v>614</v>
      </c>
      <c r="C31" s="2">
        <v>338</v>
      </c>
      <c r="D31">
        <f>RTD("tos.rtd", , "LAST", Main_S[[#This Row],[Symbol]])</f>
        <v>30.93</v>
      </c>
      <c r="E31">
        <v>2.2400000000000002</v>
      </c>
      <c r="F31">
        <v>19.13</v>
      </c>
      <c r="G31">
        <v>-0.01</v>
      </c>
      <c r="H31" s="1">
        <f>IF(ISNUMBER(Main_S[[#This Row],[Free CF]]),IF(Main_S[[#This Row],[Free CF]]&lt;&gt;0,Main_S[[#This Row],[Current Price]]/Main_S[[#This Row],[Free CF]],""),"")</f>
        <v>13.808035714285714</v>
      </c>
      <c r="I31" s="1">
        <f>IF(ISNUMBER(Main_S[[#This Row],[BVPS]]),IF(Main_S[[#This Row],[BVPS]]&lt;&gt;0,Main_S[[#This Row],[Current Price]]/Main_S[[#This Row],[BVPS]],""),"")</f>
        <v>1.616832200731835</v>
      </c>
      <c r="J31">
        <v>0.01</v>
      </c>
      <c r="K31">
        <v>2.2000000000000002</v>
      </c>
      <c r="L31">
        <v>2.41</v>
      </c>
      <c r="M31" s="1">
        <f>IF(ISNUMBER(Main_S[[#This Row],[EPS]]),IF(Main_S[[#This Row],[EPS]]&lt;&gt;0,Main_S[[#This Row],[Current Price]]/Main_S[[#This Row],[EPS]],""),"")</f>
        <v>-3093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0.48090744603033625</v>
      </c>
      <c r="P31" s="1">
        <f>(Main_S[[#This Row],[P/B]]-VLOOKUP(Main_S[[#This Row],[Industry]], Mean_PB_S, 2, FALSE))/(VLOOKUP(Main_S[[#This Row],[Industry]], Mean_PB_S, 3, FALSE))</f>
        <v>0.26256492199451387</v>
      </c>
      <c r="Q31" s="1">
        <f>(Main_S[[#This Row],[ROE]]-VLOOKUP(Main_S[[#This Row],[Industry]], Mean_ROE_S, 2, FALSE))/(VLOOKUP(Main_S[[#This Row],[Industry]], Mean_ROE_S, 3, FALSE))</f>
        <v>-8.6322976830787546E-2</v>
      </c>
      <c r="R31" s="1">
        <f>(Main_S[[#This Row],[ROA]]-VLOOKUP(Main_S[[#This Row],[Industry]], Mean_ROA_S, 2, FALSE))/(VLOOKUP(Main_S[[#This Row],[Industry]], Mean_ROA_S, 3, FALSE))</f>
        <v>-0.58410631760316989</v>
      </c>
      <c r="S31" s="1">
        <f>(Main_S[[#This Row],[A/E]]-VLOOKUP(Main_S[[#This Row],[Industry]], Mean_AE_S, 2, FALSE))/(VLOOKUP(Main_S[[#This Row],[Industry]], Mean_AE_S, 3, FALSE))</f>
        <v>5.5380358770464433E-2</v>
      </c>
      <c r="T31" s="1">
        <f>(Main_S[[#This Row],[P/E]]-VLOOKUP(Main_S[[#This Row],[Industry]], Mean_PE_S, 2, FALSE))/(VLOOKUP(Main_S[[#This Row],[Industry]], Mean_PE_S, 3, FALSE))</f>
        <v>-164.21370598740143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s="67" t="s">
        <v>190</v>
      </c>
      <c r="B32" s="67" t="s">
        <v>352</v>
      </c>
      <c r="C32" s="2">
        <v>812</v>
      </c>
      <c r="D32">
        <f>RTD("tos.rtd", , "LAST", Main_S[[#This Row],[Symbol]])</f>
        <v>6.38</v>
      </c>
      <c r="E32">
        <v>2.11</v>
      </c>
      <c r="F32">
        <v>6.65</v>
      </c>
      <c r="G32">
        <v>-0.19</v>
      </c>
      <c r="H32" s="1">
        <f>IF(ISNUMBER(Main_S[[#This Row],[Free CF]]),IF(Main_S[[#This Row],[Free CF]]&lt;&gt;0,Main_S[[#This Row],[Current Price]]/Main_S[[#This Row],[Free CF]],""),"")</f>
        <v>3.0236966824644549</v>
      </c>
      <c r="I32" s="1">
        <f>IF(ISNUMBER(Main_S[[#This Row],[BVPS]]),IF(Main_S[[#This Row],[BVPS]]&lt;&gt;0,Main_S[[#This Row],[Current Price]]/Main_S[[#This Row],[BVPS]],""),"")</f>
        <v>0.95939849624060147</v>
      </c>
      <c r="J32">
        <v>-2.73</v>
      </c>
      <c r="K32">
        <v>2.21</v>
      </c>
      <c r="L32">
        <v>3.31</v>
      </c>
      <c r="M32" s="1">
        <f>IF(ISNUMBER(Main_S[[#This Row],[EPS]]),IF(Main_S[[#This Row],[EPS]]&lt;&gt;0,Main_S[[#This Row],[Current Price]]/Main_S[[#This Row],[EPS]],""),"")</f>
        <v>-33.578947368421055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-0.97087032390743155</v>
      </c>
      <c r="P32" s="1">
        <f>(Main_S[[#This Row],[P/B]]-VLOOKUP(Main_S[[#This Row],[Industry]], Mean_PB_S, 2, FALSE))/(VLOOKUP(Main_S[[#This Row],[Industry]], Mean_PB_S, 3, FALSE))</f>
        <v>-1.1360765914545234</v>
      </c>
      <c r="Q32" s="1">
        <f>(Main_S[[#This Row],[ROE]]-VLOOKUP(Main_S[[#This Row],[Industry]], Mean_ROE_S, 2, FALSE))/(VLOOKUP(Main_S[[#This Row],[Industry]], Mean_ROE_S, 3, FALSE))</f>
        <v>-0.28879570225335061</v>
      </c>
      <c r="R32" s="1">
        <f>(Main_S[[#This Row],[ROA]]-VLOOKUP(Main_S[[#This Row],[Industry]], Mean_ROA_S, 2, FALSE))/(VLOOKUP(Main_S[[#This Row],[Industry]], Mean_ROA_S, 3, FALSE))</f>
        <v>-0.57998100813695175</v>
      </c>
      <c r="S32" s="1">
        <f>(Main_S[[#This Row],[A/E]]-VLOOKUP(Main_S[[#This Row],[Industry]], Mean_AE_S, 2, FALSE))/(VLOOKUP(Main_S[[#This Row],[Industry]], Mean_AE_S, 3, FALSE))</f>
        <v>1.131521421241992</v>
      </c>
      <c r="T32" s="1">
        <f>(Main_S[[#This Row],[P/E]]-VLOOKUP(Main_S[[#This Row],[Industry]], Mean_PE_S, 2, FALSE))/(VLOOKUP(Main_S[[#This Row],[Industry]], Mean_PE_S, 3, FALSE))</f>
        <v>-2.2597867875338498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7" t="s">
        <v>190</v>
      </c>
      <c r="B33" s="67" t="s">
        <v>497</v>
      </c>
      <c r="C33" s="2">
        <v>1177</v>
      </c>
      <c r="D33">
        <f>RTD("tos.rtd", , "LAST", Main_S[[#This Row],[Symbol]])</f>
        <v>20.85</v>
      </c>
      <c r="E33">
        <v>1.89</v>
      </c>
      <c r="F33">
        <v>8.75</v>
      </c>
      <c r="G33">
        <v>1.46</v>
      </c>
      <c r="H33" s="1">
        <f>IF(ISNUMBER(Main_S[[#This Row],[Free CF]]),IF(Main_S[[#This Row],[Free CF]]&lt;&gt;0,Main_S[[#This Row],[Current Price]]/Main_S[[#This Row],[Free CF]],""),"")</f>
        <v>11.031746031746033</v>
      </c>
      <c r="I33" s="1">
        <f>IF(ISNUMBER(Main_S[[#This Row],[BVPS]]),IF(Main_S[[#This Row],[BVPS]]&lt;&gt;0,Main_S[[#This Row],[Current Price]]/Main_S[[#This Row],[BVPS]],""),"")</f>
        <v>2.382857142857143</v>
      </c>
      <c r="J33">
        <v>18.22</v>
      </c>
      <c r="K33">
        <v>6.65</v>
      </c>
      <c r="L33">
        <v>2.3199999999999998</v>
      </c>
      <c r="M33" s="1">
        <f>IF(ISNUMBER(Main_S[[#This Row],[EPS]]),IF(Main_S[[#This Row],[EPS]]&lt;&gt;0,Main_S[[#This Row],[Current Price]]/Main_S[[#This Row],[EPS]],""),"")</f>
        <v>14.28082191780822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0.10716589060206537</v>
      </c>
      <c r="P33" s="1">
        <f>(Main_S[[#This Row],[P/B]]-VLOOKUP(Main_S[[#This Row],[Industry]], Mean_PB_S, 2, FALSE))/(VLOOKUP(Main_S[[#This Row],[Industry]], Mean_PB_S, 3, FALSE))</f>
        <v>1.8922262506952823</v>
      </c>
      <c r="Q33" s="1">
        <f>(Main_S[[#This Row],[ROE]]-VLOOKUP(Main_S[[#This Row],[Industry]], Mean_ROE_S, 2, FALSE))/(VLOOKUP(Main_S[[#This Row],[Industry]], Mean_ROE_S, 3, FALSE))</f>
        <v>1.259307800521356</v>
      </c>
      <c r="R33" s="1">
        <f>(Main_S[[#This Row],[ROA]]-VLOOKUP(Main_S[[#This Row],[Industry]], Mean_ROA_S, 2, FALSE))/(VLOOKUP(Main_S[[#This Row],[Industry]], Mean_ROA_S, 3, FALSE))</f>
        <v>1.2516563948639361</v>
      </c>
      <c r="S33" s="1">
        <f>(Main_S[[#This Row],[A/E]]-VLOOKUP(Main_S[[#This Row],[Industry]], Mean_AE_S, 2, FALSE))/(VLOOKUP(Main_S[[#This Row],[Industry]], Mean_AE_S, 3, FALSE))</f>
        <v>-5.2233747476688693E-2</v>
      </c>
      <c r="T33" s="1">
        <f>(Main_S[[#This Row],[P/E]]-VLOOKUP(Main_S[[#This Row],[Industry]], Mean_PE_S, 2, FALSE))/(VLOOKUP(Main_S[[#This Row],[Industry]], Mean_PE_S, 3, FALSE))</f>
        <v>0.27372431622192306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7" t="s">
        <v>190</v>
      </c>
      <c r="B34" s="67" t="s">
        <v>493</v>
      </c>
      <c r="C34" s="2">
        <v>1143</v>
      </c>
      <c r="D34">
        <f>RTD("tos.rtd", , "LAST", Main_S[[#This Row],[Symbol]])</f>
        <v>17.440000000000001</v>
      </c>
      <c r="E34">
        <v>1.82</v>
      </c>
      <c r="F34">
        <v>18.510000000000002</v>
      </c>
      <c r="G34">
        <v>0.43</v>
      </c>
      <c r="H34" s="1">
        <f>IF(ISNUMBER(Main_S[[#This Row],[Free CF]]),IF(Main_S[[#This Row],[Free CF]]&lt;&gt;0,Main_S[[#This Row],[Current Price]]/Main_S[[#This Row],[Free CF]],""),"")</f>
        <v>9.5824175824175821</v>
      </c>
      <c r="I34" s="1">
        <f>IF(ISNUMBER(Main_S[[#This Row],[BVPS]]),IF(Main_S[[#This Row],[BVPS]]&lt;&gt;0,Main_S[[#This Row],[Current Price]]/Main_S[[#This Row],[BVPS]],""),"")</f>
        <v>0.94219340896812531</v>
      </c>
      <c r="J34">
        <v>2.41</v>
      </c>
      <c r="K34">
        <v>1.48</v>
      </c>
      <c r="L34">
        <v>3.11</v>
      </c>
      <c r="M34" s="1">
        <f>IF(ISNUMBER(Main_S[[#This Row],[EPS]]),IF(Main_S[[#This Row],[EPS]]&lt;&gt;0,Main_S[[#This Row],[Current Price]]/Main_S[[#This Row],[EPS]],""),"")</f>
        <v>40.558139534883722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-8.7941367975846868E-2</v>
      </c>
      <c r="P34" s="1">
        <f>(Main_S[[#This Row],[P/B]]-VLOOKUP(Main_S[[#This Row],[Industry]], Mean_PB_S, 2, FALSE))/(VLOOKUP(Main_S[[#This Row],[Industry]], Mean_PB_S, 3, FALSE))</f>
        <v>-1.1726791403311754</v>
      </c>
      <c r="Q34" s="1">
        <f>(Main_S[[#This Row],[ROE]]-VLOOKUP(Main_S[[#This Row],[Industry]], Mean_ROE_S, 2, FALSE))/(VLOOKUP(Main_S[[#This Row],[Industry]], Mean_ROE_S, 3, FALSE))</f>
        <v>9.1025395802114425E-2</v>
      </c>
      <c r="R34" s="1">
        <f>(Main_S[[#This Row],[ROA]]-VLOOKUP(Main_S[[#This Row],[Industry]], Mean_ROA_S, 2, FALSE))/(VLOOKUP(Main_S[[#This Row],[Industry]], Mean_ROA_S, 3, FALSE))</f>
        <v>-0.88112859917088149</v>
      </c>
      <c r="S34" s="1">
        <f>(Main_S[[#This Row],[A/E]]-VLOOKUP(Main_S[[#This Row],[Industry]], Mean_AE_S, 2, FALSE))/(VLOOKUP(Main_S[[#This Row],[Industry]], Mean_AE_S, 3, FALSE))</f>
        <v>0.89237896291498564</v>
      </c>
      <c r="T34" s="1">
        <f>(Main_S[[#This Row],[P/E]]-VLOOKUP(Main_S[[#This Row],[Industry]], Mean_PE_S, 2, FALSE))/(VLOOKUP(Main_S[[#This Row],[Industry]], Mean_PE_S, 3, FALSE))</f>
        <v>1.6647438917996371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7" t="s">
        <v>190</v>
      </c>
      <c r="B35" s="67" t="s">
        <v>616</v>
      </c>
      <c r="C35" s="2">
        <v>265</v>
      </c>
      <c r="D35">
        <f>RTD("tos.rtd", , "LAST", Main_S[[#This Row],[Symbol]])</f>
        <v>25.89</v>
      </c>
      <c r="E35">
        <v>1.58</v>
      </c>
      <c r="F35">
        <v>13.69</v>
      </c>
      <c r="G35">
        <v>0.64</v>
      </c>
      <c r="H35" s="1">
        <f>IF(ISNUMBER(Main_S[[#This Row],[Free CF]]),IF(Main_S[[#This Row],[Free CF]]&lt;&gt;0,Main_S[[#This Row],[Current Price]]/Main_S[[#This Row],[Free CF]],""),"")</f>
        <v>16.38607594936709</v>
      </c>
      <c r="I35" s="1">
        <f>IF(ISNUMBER(Main_S[[#This Row],[BVPS]]),IF(Main_S[[#This Row],[BVPS]]&lt;&gt;0,Main_S[[#This Row],[Current Price]]/Main_S[[#This Row],[BVPS]],""),"")</f>
        <v>1.8911614317019723</v>
      </c>
      <c r="J35">
        <v>9.69</v>
      </c>
      <c r="K35">
        <v>5.33</v>
      </c>
      <c r="L35">
        <v>2.29</v>
      </c>
      <c r="M35" s="1">
        <f>IF(ISNUMBER(Main_S[[#This Row],[EPS]]),IF(Main_S[[#This Row],[EPS]]&lt;&gt;0,Main_S[[#This Row],[Current Price]]/Main_S[[#This Row],[EPS]],""),"")</f>
        <v>40.453125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0.82796084376316004</v>
      </c>
      <c r="P35" s="1">
        <f>(Main_S[[#This Row],[P/B]]-VLOOKUP(Main_S[[#This Row],[Industry]], Mean_PB_S, 2, FALSE))/(VLOOKUP(Main_S[[#This Row],[Industry]], Mean_PB_S, 3, FALSE))</f>
        <v>0.8461800426769972</v>
      </c>
      <c r="Q35" s="1">
        <f>(Main_S[[#This Row],[ROE]]-VLOOKUP(Main_S[[#This Row],[Industry]], Mean_ROE_S, 2, FALSE))/(VLOOKUP(Main_S[[#This Row],[Industry]], Mean_ROE_S, 3, FALSE))</f>
        <v>0.62898212612191706</v>
      </c>
      <c r="R35" s="1">
        <f>(Main_S[[#This Row],[ROA]]-VLOOKUP(Main_S[[#This Row],[Industry]], Mean_ROA_S, 2, FALSE))/(VLOOKUP(Main_S[[#This Row],[Industry]], Mean_ROA_S, 3, FALSE))</f>
        <v>0.70711554532313148</v>
      </c>
      <c r="S35" s="1">
        <f>(Main_S[[#This Row],[A/E]]-VLOOKUP(Main_S[[#This Row],[Industry]], Mean_AE_S, 2, FALSE))/(VLOOKUP(Main_S[[#This Row],[Industry]], Mean_AE_S, 3, FALSE))</f>
        <v>-8.8105116225739383E-2</v>
      </c>
      <c r="T35" s="1">
        <f>(Main_S[[#This Row],[P/E]]-VLOOKUP(Main_S[[#This Row],[Industry]], Mean_PE_S, 2, FALSE))/(VLOOKUP(Main_S[[#This Row],[Industry]], Mean_PE_S, 3, FALSE))</f>
        <v>1.6591848284328146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7" t="s">
        <v>190</v>
      </c>
      <c r="B36" s="67" t="s">
        <v>492</v>
      </c>
      <c r="C36" s="2">
        <v>316</v>
      </c>
      <c r="D36">
        <f>RTD("tos.rtd", , "LAST", Main_S[[#This Row],[Symbol]])</f>
        <v>23.95</v>
      </c>
      <c r="E36">
        <v>1.56</v>
      </c>
      <c r="F36">
        <v>11.98</v>
      </c>
      <c r="G36">
        <v>1.46</v>
      </c>
      <c r="H36" s="1">
        <f>IF(ISNUMBER(Main_S[[#This Row],[Free CF]]),IF(Main_S[[#This Row],[Free CF]]&lt;&gt;0,Main_S[[#This Row],[Current Price]]/Main_S[[#This Row],[Free CF]],""),"")</f>
        <v>15.352564102564102</v>
      </c>
      <c r="I36" s="1">
        <f>IF(ISNUMBER(Main_S[[#This Row],[BVPS]]),IF(Main_S[[#This Row],[BVPS]]&lt;&gt;0,Main_S[[#This Row],[Current Price]]/Main_S[[#This Row],[BVPS]],""),"")</f>
        <v>1.9991652754590983</v>
      </c>
      <c r="J36">
        <v>11.35</v>
      </c>
      <c r="K36">
        <v>6.97</v>
      </c>
      <c r="L36">
        <v>1.1000000000000001</v>
      </c>
      <c r="M36" s="1">
        <f>IF(ISNUMBER(Main_S[[#This Row],[EPS]]),IF(Main_S[[#This Row],[EPS]]&lt;&gt;0,Main_S[[#This Row],[Current Price]]/Main_S[[#This Row],[EPS]],""),"")</f>
        <v>16.404109589041095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0.68883043255032628</v>
      </c>
      <c r="P36" s="1">
        <f>(Main_S[[#This Row],[P/B]]-VLOOKUP(Main_S[[#This Row],[Industry]], Mean_PB_S, 2, FALSE))/(VLOOKUP(Main_S[[#This Row],[Industry]], Mean_PB_S, 3, FALSE))</f>
        <v>1.0759502209608736</v>
      </c>
      <c r="Q36" s="1">
        <f>(Main_S[[#This Row],[ROE]]-VLOOKUP(Main_S[[#This Row],[Industry]], Mean_ROE_S, 2, FALSE))/(VLOOKUP(Main_S[[#This Row],[Industry]], Mean_ROE_S, 3, FALSE))</f>
        <v>0.7516480838596743</v>
      </c>
      <c r="R36" s="1">
        <f>(Main_S[[#This Row],[ROA]]-VLOOKUP(Main_S[[#This Row],[Industry]], Mean_ROA_S, 2, FALSE))/(VLOOKUP(Main_S[[#This Row],[Industry]], Mean_ROA_S, 3, FALSE))</f>
        <v>1.3836662977829188</v>
      </c>
      <c r="S36" s="1">
        <f>(Main_S[[#This Row],[A/E]]-VLOOKUP(Main_S[[#This Row],[Industry]], Mean_AE_S, 2, FALSE))/(VLOOKUP(Main_S[[#This Row],[Industry]], Mean_AE_S, 3, FALSE))</f>
        <v>-1.5110027432714259</v>
      </c>
      <c r="T36" s="1">
        <f>(Main_S[[#This Row],[P/E]]-VLOOKUP(Main_S[[#This Row],[Industry]], Mean_PE_S, 2, FALSE))/(VLOOKUP(Main_S[[#This Row],[Industry]], Mean_PE_S, 3, FALSE))</f>
        <v>0.38612295440516303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7" t="s">
        <v>190</v>
      </c>
      <c r="B37" s="67" t="s">
        <v>500</v>
      </c>
      <c r="C37" s="2">
        <v>730</v>
      </c>
      <c r="D37">
        <f>RTD("tos.rtd", , "LAST", Main_S[[#This Row],[Symbol]])</f>
        <v>24.78</v>
      </c>
      <c r="E37">
        <v>1.48</v>
      </c>
      <c r="F37">
        <v>6.29</v>
      </c>
      <c r="G37">
        <v>0.79</v>
      </c>
      <c r="H37" s="1">
        <f>IF(ISNUMBER(Main_S[[#This Row],[Free CF]]),IF(Main_S[[#This Row],[Free CF]]&lt;&gt;0,Main_S[[#This Row],[Current Price]]/Main_S[[#This Row],[Free CF]],""),"")</f>
        <v>16.743243243243246</v>
      </c>
      <c r="I37" s="1">
        <f>IF(ISNUMBER(Main_S[[#This Row],[BVPS]]),IF(Main_S[[#This Row],[BVPS]]&lt;&gt;0,Main_S[[#This Row],[Current Price]]/Main_S[[#This Row],[BVPS]],""),"")</f>
        <v>3.9395866454689985</v>
      </c>
      <c r="J37">
        <v>14.01</v>
      </c>
      <c r="K37">
        <v>5.82</v>
      </c>
      <c r="L37">
        <v>1.83</v>
      </c>
      <c r="M37" s="1">
        <f>IF(ISNUMBER(Main_S[[#This Row],[EPS]]),IF(Main_S[[#This Row],[EPS]]&lt;&gt;0,Main_S[[#This Row],[Current Price]]/Main_S[[#This Row],[EPS]],""),"")</f>
        <v>31.367088607594937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0.87604237531258722</v>
      </c>
      <c r="P37" s="1">
        <f>(Main_S[[#This Row],[P/B]]-VLOOKUP(Main_S[[#This Row],[Industry]], Mean_PB_S, 2, FALSE))/(VLOOKUP(Main_S[[#This Row],[Industry]], Mean_PB_S, 3, FALSE))</f>
        <v>5.2040529682633432</v>
      </c>
      <c r="Q37" s="1">
        <f>(Main_S[[#This Row],[ROE]]-VLOOKUP(Main_S[[#This Row],[Industry]], Mean_ROE_S, 2, FALSE))/(VLOOKUP(Main_S[[#This Row],[Industry]], Mean_ROE_S, 3, FALSE))</f>
        <v>0.94820919686114058</v>
      </c>
      <c r="R37" s="1">
        <f>(Main_S[[#This Row],[ROA]]-VLOOKUP(Main_S[[#This Row],[Industry]], Mean_ROA_S, 2, FALSE))/(VLOOKUP(Main_S[[#This Row],[Industry]], Mean_ROA_S, 3, FALSE))</f>
        <v>0.90925570916782417</v>
      </c>
      <c r="S37" s="1">
        <f>(Main_S[[#This Row],[A/E]]-VLOOKUP(Main_S[[#This Row],[Industry]], Mean_AE_S, 2, FALSE))/(VLOOKUP(Main_S[[#This Row],[Industry]], Mean_AE_S, 3, FALSE))</f>
        <v>-0.63813277037785343</v>
      </c>
      <c r="T37" s="1">
        <f>(Main_S[[#This Row],[P/E]]-VLOOKUP(Main_S[[#This Row],[Industry]], Mean_PE_S, 2, FALSE))/(VLOOKUP(Main_S[[#This Row],[Industry]], Mean_PE_S, 3, FALSE))</f>
        <v>1.1782051991408968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7" t="s">
        <v>190</v>
      </c>
      <c r="B38" s="67" t="s">
        <v>491</v>
      </c>
      <c r="C38" s="2">
        <v>323</v>
      </c>
      <c r="D38">
        <f>RTD("tos.rtd", , "LAST", Main_S[[#This Row],[Symbol]])</f>
        <v>3.81</v>
      </c>
      <c r="E38">
        <v>1.1499999999999999</v>
      </c>
      <c r="F38">
        <v>6.73</v>
      </c>
      <c r="G38">
        <v>-1.1399999999999999</v>
      </c>
      <c r="H38" s="1">
        <f>IF(ISNUMBER(Main_S[[#This Row],[Free CF]]),IF(Main_S[[#This Row],[Free CF]]&lt;&gt;0,Main_S[[#This Row],[Current Price]]/Main_S[[#This Row],[Free CF]],""),"")</f>
        <v>3.31304347826087</v>
      </c>
      <c r="I38" s="1">
        <f>IF(ISNUMBER(Main_S[[#This Row],[BVPS]]),IF(Main_S[[#This Row],[BVPS]]&lt;&gt;0,Main_S[[#This Row],[Current Price]]/Main_S[[#This Row],[BVPS]],""),"")</f>
        <v>0.56612184249628528</v>
      </c>
      <c r="J38">
        <v>-15.9</v>
      </c>
      <c r="K38">
        <v>3.35</v>
      </c>
      <c r="L38">
        <v>3.74</v>
      </c>
      <c r="M38" s="1">
        <f>IF(ISNUMBER(Main_S[[#This Row],[EPS]]),IF(Main_S[[#This Row],[EPS]]&lt;&gt;0,Main_S[[#This Row],[Current Price]]/Main_S[[#This Row],[EPS]],""),"")</f>
        <v>-3.3421052631578951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-0.93191872523268027</v>
      </c>
      <c r="P38" s="1">
        <f>(Main_S[[#This Row],[P/B]]-VLOOKUP(Main_S[[#This Row],[Industry]], Mean_PB_S, 2, FALSE))/(VLOOKUP(Main_S[[#This Row],[Industry]], Mean_PB_S, 3, FALSE))</f>
        <v>-1.9727435442430048</v>
      </c>
      <c r="Q38" s="1">
        <f>(Main_S[[#This Row],[ROE]]-VLOOKUP(Main_S[[#This Row],[Industry]], Mean_ROE_S, 2, FALSE))/(VLOOKUP(Main_S[[#This Row],[Industry]], Mean_ROE_S, 3, FALSE))</f>
        <v>-1.2619948970764001</v>
      </c>
      <c r="R38" s="1">
        <f>(Main_S[[#This Row],[ROA]]-VLOOKUP(Main_S[[#This Row],[Industry]], Mean_ROA_S, 2, FALSE))/(VLOOKUP(Main_S[[#This Row],[Industry]], Mean_ROA_S, 3, FALSE))</f>
        <v>-0.10969572898807517</v>
      </c>
      <c r="S38" s="1">
        <f>(Main_S[[#This Row],[A/E]]-VLOOKUP(Main_S[[#This Row],[Industry]], Mean_AE_S, 2, FALSE))/(VLOOKUP(Main_S[[#This Row],[Industry]], Mean_AE_S, 3, FALSE))</f>
        <v>1.6456777066450554</v>
      </c>
      <c r="T38" s="1">
        <f>(Main_S[[#This Row],[P/E]]-VLOOKUP(Main_S[[#This Row],[Industry]], Mean_PE_S, 2, FALSE))/(VLOOKUP(Main_S[[#This Row],[Industry]], Mean_PE_S, 3, FALSE))</f>
        <v>-0.65916529773832722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7" t="s">
        <v>190</v>
      </c>
      <c r="B39" s="67" t="s">
        <v>499</v>
      </c>
      <c r="C39" s="2">
        <v>1028</v>
      </c>
      <c r="D39">
        <f>RTD("tos.rtd", , "LAST", Main_S[[#This Row],[Symbol]])</f>
        <v>14.63</v>
      </c>
      <c r="E39">
        <v>1.06</v>
      </c>
      <c r="F39">
        <v>7.05</v>
      </c>
      <c r="G39">
        <v>0.55000000000000004</v>
      </c>
      <c r="H39" s="1">
        <f>IF(ISNUMBER(Main_S[[#This Row],[Free CF]]),IF(Main_S[[#This Row],[Free CF]]&lt;&gt;0,Main_S[[#This Row],[Current Price]]/Main_S[[#This Row],[Free CF]],""),"")</f>
        <v>13.80188679245283</v>
      </c>
      <c r="I39" s="1">
        <f>IF(ISNUMBER(Main_S[[#This Row],[BVPS]]),IF(Main_S[[#This Row],[BVPS]]&lt;&gt;0,Main_S[[#This Row],[Current Price]]/Main_S[[#This Row],[BVPS]],""),"")</f>
        <v>2.075177304964539</v>
      </c>
      <c r="J39">
        <v>8.3699999999999992</v>
      </c>
      <c r="K39">
        <v>3.87</v>
      </c>
      <c r="L39">
        <v>1.6</v>
      </c>
      <c r="M39" s="1">
        <f>IF(ISNUMBER(Main_S[[#This Row],[EPS]]),IF(Main_S[[#This Row],[EPS]]&lt;&gt;0,Main_S[[#This Row],[Current Price]]/Main_S[[#This Row],[EPS]],""),"")</f>
        <v>26.599999999999998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0.48007968384669897</v>
      </c>
      <c r="P39" s="1">
        <f>(Main_S[[#This Row],[P/B]]-VLOOKUP(Main_S[[#This Row],[Industry]], Mean_PB_S, 2, FALSE))/(VLOOKUP(Main_S[[#This Row],[Industry]], Mean_PB_S, 3, FALSE))</f>
        <v>1.2376601838994106</v>
      </c>
      <c r="Q39" s="1">
        <f>(Main_S[[#This Row],[ROE]]-VLOOKUP(Main_S[[#This Row],[Industry]], Mean_ROE_S, 2, FALSE))/(VLOOKUP(Main_S[[#This Row],[Industry]], Mean_ROE_S, 3, FALSE))</f>
        <v>0.5314405211738209</v>
      </c>
      <c r="R39" s="1">
        <f>(Main_S[[#This Row],[ROA]]-VLOOKUP(Main_S[[#This Row],[Industry]], Mean_ROA_S, 2, FALSE))/(VLOOKUP(Main_S[[#This Row],[Industry]], Mean_ROA_S, 3, FALSE))</f>
        <v>0.10482036325527204</v>
      </c>
      <c r="S39" s="1">
        <f>(Main_S[[#This Row],[A/E]]-VLOOKUP(Main_S[[#This Row],[Industry]], Mean_AE_S, 2, FALSE))/(VLOOKUP(Main_S[[#This Row],[Industry]], Mean_AE_S, 3, FALSE))</f>
        <v>-0.91314659745391047</v>
      </c>
      <c r="T39" s="1">
        <f>(Main_S[[#This Row],[P/E]]-VLOOKUP(Main_S[[#This Row],[Industry]], Mean_PE_S, 2, FALSE))/(VLOOKUP(Main_S[[#This Row],[Industry]], Mean_PE_S, 3, FALSE))</f>
        <v>0.92585396343603765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7" t="s">
        <v>190</v>
      </c>
      <c r="B40" s="67" t="s">
        <v>496</v>
      </c>
      <c r="C40" s="2">
        <v>1182</v>
      </c>
      <c r="D40">
        <f>RTD("tos.rtd", , "LAST", Main_S[[#This Row],[Symbol]])</f>
        <v>10.57</v>
      </c>
      <c r="E40">
        <v>0.89</v>
      </c>
      <c r="F40">
        <v>8.3699999999999992</v>
      </c>
      <c r="G40">
        <v>1.02</v>
      </c>
      <c r="H40" s="1">
        <f>IF(ISNUMBER(Main_S[[#This Row],[Free CF]]),IF(Main_S[[#This Row],[Free CF]]&lt;&gt;0,Main_S[[#This Row],[Current Price]]/Main_S[[#This Row],[Free CF]],""),"")</f>
        <v>11.876404494382022</v>
      </c>
      <c r="I40" s="1">
        <f>IF(ISNUMBER(Main_S[[#This Row],[BVPS]]),IF(Main_S[[#This Row],[BVPS]]&lt;&gt;0,Main_S[[#This Row],[Current Price]]/Main_S[[#This Row],[BVPS]],""),"")</f>
        <v>1.2628434886499404</v>
      </c>
      <c r="J40">
        <v>13.13</v>
      </c>
      <c r="K40">
        <v>3.07</v>
      </c>
      <c r="L40">
        <v>2.4500000000000002</v>
      </c>
      <c r="M40" s="1">
        <f>IF(ISNUMBER(Main_S[[#This Row],[EPS]]),IF(Main_S[[#This Row],[EPS]]&lt;&gt;0,Main_S[[#This Row],[Current Price]]/Main_S[[#This Row],[EPS]],""),"")</f>
        <v>10.362745098039216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0.22087303349013993</v>
      </c>
      <c r="P40" s="1">
        <f>(Main_S[[#This Row],[P/B]]-VLOOKUP(Main_S[[#This Row],[Industry]], Mean_PB_S, 2, FALSE))/(VLOOKUP(Main_S[[#This Row],[Industry]], Mean_PB_S, 3, FALSE))</f>
        <v>-0.49051984477028221</v>
      </c>
      <c r="Q40" s="1">
        <f>(Main_S[[#This Row],[ROE]]-VLOOKUP(Main_S[[#This Row],[Industry]], Mean_ROE_S, 2, FALSE))/(VLOOKUP(Main_S[[#This Row],[Industry]], Mean_ROE_S, 3, FALSE))</f>
        <v>0.88318146022907662</v>
      </c>
      <c r="R40" s="1">
        <f>(Main_S[[#This Row],[ROA]]-VLOOKUP(Main_S[[#This Row],[Industry]], Mean_ROA_S, 2, FALSE))/(VLOOKUP(Main_S[[#This Row],[Industry]], Mean_ROA_S, 3, FALSE))</f>
        <v>-0.22520439404218531</v>
      </c>
      <c r="S40" s="1">
        <f>(Main_S[[#This Row],[A/E]]-VLOOKUP(Main_S[[#This Row],[Industry]], Mean_AE_S, 2, FALSE))/(VLOOKUP(Main_S[[#This Row],[Industry]], Mean_AE_S, 3, FALSE))</f>
        <v>0.10320885043586571</v>
      </c>
      <c r="T40" s="1">
        <f>(Main_S[[#This Row],[P/E]]-VLOOKUP(Main_S[[#This Row],[Industry]], Mean_PE_S, 2, FALSE))/(VLOOKUP(Main_S[[#This Row],[Industry]], Mean_PE_S, 3, FALSE))</f>
        <v>6.6316481284677917E-2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7" t="s">
        <v>190</v>
      </c>
      <c r="B41" s="67" t="s">
        <v>495</v>
      </c>
      <c r="C41" s="2">
        <v>1867</v>
      </c>
      <c r="D41">
        <f>RTD("tos.rtd", , "LAST", Main_S[[#This Row],[Symbol]])</f>
        <v>10.53</v>
      </c>
      <c r="E41">
        <v>0.83</v>
      </c>
      <c r="F41">
        <v>-2.94</v>
      </c>
      <c r="G41">
        <v>0.57999999999999996</v>
      </c>
      <c r="H41" s="1">
        <f>IF(ISNUMBER(Main_S[[#This Row],[Free CF]]),IF(Main_S[[#This Row],[Free CF]]&lt;&gt;0,Main_S[[#This Row],[Current Price]]/Main_S[[#This Row],[Free CF]],""),"")</f>
        <v>12.686746987951807</v>
      </c>
      <c r="I41" s="1">
        <f>IF(ISNUMBER(Main_S[[#This Row],[BVPS]]),IF(Main_S[[#This Row],[BVPS]]&lt;&gt;0,Main_S[[#This Row],[Current Price]]/Main_S[[#This Row],[BVPS]],""),"")</f>
        <v>-3.5816326530612241</v>
      </c>
      <c r="J41">
        <v>-22.8</v>
      </c>
      <c r="K41">
        <v>4.09</v>
      </c>
      <c r="L41">
        <v>-6.1</v>
      </c>
      <c r="M41" s="1">
        <f>IF(ISNUMBER(Main_S[[#This Row],[EPS]]),IF(Main_S[[#This Row],[EPS]]&lt;&gt;0,Main_S[[#This Row],[Current Price]]/Main_S[[#This Row],[EPS]],""),"")</f>
        <v>18.155172413793103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0.32996059228528241</v>
      </c>
      <c r="P41" s="1">
        <f>(Main_S[[#This Row],[P/B]]-VLOOKUP(Main_S[[#This Row],[Industry]], Mean_PB_S, 2, FALSE))/(VLOOKUP(Main_S[[#This Row],[Industry]], Mean_PB_S, 3, FALSE))</f>
        <v>-10.796784029923579</v>
      </c>
      <c r="Q41" s="1">
        <f>(Main_S[[#This Row],[ROE]]-VLOOKUP(Main_S[[#This Row],[Industry]], Mean_ROE_S, 2, FALSE))/(VLOOKUP(Main_S[[#This Row],[Industry]], Mean_ROE_S, 3, FALSE))</f>
        <v>-1.7718714683959935</v>
      </c>
      <c r="R41" s="1">
        <f>(Main_S[[#This Row],[ROA]]-VLOOKUP(Main_S[[#This Row],[Industry]], Mean_ROA_S, 2, FALSE))/(VLOOKUP(Main_S[[#This Row],[Industry]], Mean_ROA_S, 3, FALSE))</f>
        <v>0.19557717151207268</v>
      </c>
      <c r="S41" s="1">
        <f>(Main_S[[#This Row],[A/E]]-VLOOKUP(Main_S[[#This Row],[Industry]], Mean_AE_S, 2, FALSE))/(VLOOKUP(Main_S[[#This Row],[Industry]], Mean_AE_S, 3, FALSE))</f>
        <v>-10.120131243043646</v>
      </c>
      <c r="T41" s="1">
        <f>(Main_S[[#This Row],[P/E]]-VLOOKUP(Main_S[[#This Row],[Industry]], Mean_PE_S, 2, FALSE))/(VLOOKUP(Main_S[[#This Row],[Industry]], Mean_PE_S, 3, FALSE))</f>
        <v>0.47881744867552367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7" t="s">
        <v>190</v>
      </c>
      <c r="B42" s="67" t="s">
        <v>487</v>
      </c>
      <c r="C42" s="2">
        <v>1485</v>
      </c>
      <c r="D42">
        <f>RTD("tos.rtd", , "LAST", Main_S[[#This Row],[Symbol]])</f>
        <v>16.940000000000001</v>
      </c>
      <c r="E42">
        <v>0.67</v>
      </c>
      <c r="F42">
        <v>13.21</v>
      </c>
      <c r="G42">
        <v>-0.02</v>
      </c>
      <c r="H42" s="1">
        <f>IF(ISNUMBER(Main_S[[#This Row],[Free CF]]),IF(Main_S[[#This Row],[Free CF]]&lt;&gt;0,Main_S[[#This Row],[Current Price]]/Main_S[[#This Row],[Free CF]],""),"")</f>
        <v>25.28358208955224</v>
      </c>
      <c r="I42" s="1">
        <f>IF(ISNUMBER(Main_S[[#This Row],[BVPS]]),IF(Main_S[[#This Row],[BVPS]]&lt;&gt;0,Main_S[[#This Row],[Current Price]]/Main_S[[#This Row],[BVPS]],""),"")</f>
        <v>1.2823618470855414</v>
      </c>
      <c r="J42">
        <v>2.56</v>
      </c>
      <c r="K42">
        <v>3.12</v>
      </c>
      <c r="L42">
        <v>2.64</v>
      </c>
      <c r="M42" s="1">
        <f>IF(ISNUMBER(Main_S[[#This Row],[EPS]]),IF(Main_S[[#This Row],[EPS]]&lt;&gt;0,Main_S[[#This Row],[Current Price]]/Main_S[[#This Row],[EPS]],""),"")</f>
        <v>-847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2.0257349107774587</v>
      </c>
      <c r="P42" s="1">
        <f>(Main_S[[#This Row],[P/B]]-VLOOKUP(Main_S[[#This Row],[Industry]], Mean_PB_S, 2, FALSE))/(VLOOKUP(Main_S[[#This Row],[Industry]], Mean_PB_S, 3, FALSE))</f>
        <v>-0.44899598282661207</v>
      </c>
      <c r="Q42" s="1">
        <f>(Main_S[[#This Row],[ROE]]-VLOOKUP(Main_S[[#This Row],[Industry]], Mean_ROE_S, 2, FALSE))/(VLOOKUP(Main_S[[#This Row],[Industry]], Mean_ROE_S, 3, FALSE))</f>
        <v>0.1021096690916708</v>
      </c>
      <c r="R42" s="1">
        <f>(Main_S[[#This Row],[ROA]]-VLOOKUP(Main_S[[#This Row],[Industry]], Mean_ROA_S, 2, FALSE))/(VLOOKUP(Main_S[[#This Row],[Industry]], Mean_ROA_S, 3, FALSE))</f>
        <v>-0.20457784671109414</v>
      </c>
      <c r="S42" s="1">
        <f>(Main_S[[#This Row],[A/E]]-VLOOKUP(Main_S[[#This Row],[Industry]], Mean_AE_S, 2, FALSE))/(VLOOKUP(Main_S[[#This Row],[Industry]], Mean_AE_S, 3, FALSE))</f>
        <v>0.33039418584652147</v>
      </c>
      <c r="T42" s="1">
        <f>(Main_S[[#This Row],[P/E]]-VLOOKUP(Main_S[[#This Row],[Industry]], Mean_PE_S, 2, FALSE))/(VLOOKUP(Main_S[[#This Row],[Industry]], Mean_PE_S, 3, FALSE))</f>
        <v>-45.31915166967449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3" spans="1:26" x14ac:dyDescent="0.25">
      <c r="A43" s="67" t="s">
        <v>190</v>
      </c>
      <c r="B43" s="67" t="s">
        <v>486</v>
      </c>
      <c r="C43" s="2">
        <v>295</v>
      </c>
      <c r="D43">
        <f>RTD("tos.rtd", , "LAST", Main_S[[#This Row],[Symbol]])</f>
        <v>5.52</v>
      </c>
      <c r="E43">
        <v>0.53</v>
      </c>
      <c r="F43">
        <v>1.69</v>
      </c>
      <c r="G43">
        <v>-0.36</v>
      </c>
      <c r="H43" s="1">
        <f>IF(ISNUMBER(Main_S[[#This Row],[Free CF]]),IF(Main_S[[#This Row],[Free CF]]&lt;&gt;0,Main_S[[#This Row],[Current Price]]/Main_S[[#This Row],[Free CF]],""),"")</f>
        <v>10.415094339622641</v>
      </c>
      <c r="I43" s="1">
        <f>IF(ISNUMBER(Main_S[[#This Row],[BVPS]]),IF(Main_S[[#This Row],[BVPS]]&lt;&gt;0,Main_S[[#This Row],[Current Price]]/Main_S[[#This Row],[BVPS]],""),"")</f>
        <v>3.2662721893491122</v>
      </c>
      <c r="J43">
        <v>-19.25</v>
      </c>
      <c r="K43">
        <v>5.87</v>
      </c>
      <c r="L43">
        <v>14.26</v>
      </c>
      <c r="M43" s="1">
        <f>IF(ISNUMBER(Main_S[[#This Row],[EPS]]),IF(Main_S[[#This Row],[EPS]]&lt;&gt;0,Main_S[[#This Row],[Current Price]]/Main_S[[#This Row],[EPS]],""),"")</f>
        <v>-15.333333333333332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2.4152808782431468E-2</v>
      </c>
      <c r="P43" s="1">
        <f>(Main_S[[#This Row],[P/B]]-VLOOKUP(Main_S[[#This Row],[Industry]], Mean_PB_S, 2, FALSE))/(VLOOKUP(Main_S[[#This Row],[Industry]], Mean_PB_S, 3, FALSE))</f>
        <v>3.7716263319329109</v>
      </c>
      <c r="Q43" s="1">
        <f>(Main_S[[#This Row],[ROE]]-VLOOKUP(Main_S[[#This Row],[Industry]], Mean_ROE_S, 2, FALSE))/(VLOOKUP(Main_S[[#This Row],[Industry]], Mean_ROE_S, 3, FALSE))</f>
        <v>-1.5095436672098259</v>
      </c>
      <c r="R43" s="1">
        <f>(Main_S[[#This Row],[ROA]]-VLOOKUP(Main_S[[#This Row],[Industry]], Mean_ROA_S, 2, FALSE))/(VLOOKUP(Main_S[[#This Row],[Industry]], Mean_ROA_S, 3, FALSE))</f>
        <v>0.92988225649891521</v>
      </c>
      <c r="S43" s="1">
        <f>(Main_S[[#This Row],[A/E]]-VLOOKUP(Main_S[[#This Row],[Industry]], Mean_AE_S, 2, FALSE))/(VLOOKUP(Main_S[[#This Row],[Industry]], Mean_AE_S, 3, FALSE))</f>
        <v>14.224571014645578</v>
      </c>
      <c r="T43" s="1">
        <f>(Main_S[[#This Row],[P/E]]-VLOOKUP(Main_S[[#This Row],[Industry]], Mean_PE_S, 2, FALSE))/(VLOOKUP(Main_S[[#This Row],[Industry]], Mean_PE_S, 3, FALSE))</f>
        <v>-1.2939345395574391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7" t="s">
        <v>190</v>
      </c>
      <c r="B44" s="67" t="s">
        <v>489</v>
      </c>
      <c r="C44" s="2">
        <v>668</v>
      </c>
      <c r="D44">
        <f>RTD("tos.rtd", , "LAST", Main_S[[#This Row],[Symbol]])</f>
        <v>22.12</v>
      </c>
      <c r="E44">
        <v>0.48</v>
      </c>
      <c r="F44">
        <v>12.65</v>
      </c>
      <c r="G44">
        <v>-2.33</v>
      </c>
      <c r="H44" s="1">
        <f>IF(ISNUMBER(Main_S[[#This Row],[Free CF]]),IF(Main_S[[#This Row],[Free CF]]&lt;&gt;0,Main_S[[#This Row],[Current Price]]/Main_S[[#This Row],[Free CF]],""),"")</f>
        <v>46.083333333333336</v>
      </c>
      <c r="I44" s="1">
        <f>IF(ISNUMBER(Main_S[[#This Row],[BVPS]]),IF(Main_S[[#This Row],[BVPS]]&lt;&gt;0,Main_S[[#This Row],[Current Price]]/Main_S[[#This Row],[BVPS]],""),"")</f>
        <v>1.748616600790514</v>
      </c>
      <c r="J44">
        <v>-14.32</v>
      </c>
      <c r="K44">
        <v>-1.98</v>
      </c>
      <c r="L44">
        <v>2.23</v>
      </c>
      <c r="M44" s="1">
        <f>IF(ISNUMBER(Main_S[[#This Row],[EPS]]),IF(Main_S[[#This Row],[EPS]]&lt;&gt;0,Main_S[[#This Row],[Current Price]]/Main_S[[#This Row],[EPS]],""),"")</f>
        <v>-9.4935622317596575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4.8257782316389344</v>
      </c>
      <c r="P44" s="1">
        <f>(Main_S[[#This Row],[P/B]]-VLOOKUP(Main_S[[#This Row],[Industry]], Mean_PB_S, 2, FALSE))/(VLOOKUP(Main_S[[#This Row],[Industry]], Mean_PB_S, 3, FALSE))</f>
        <v>0.54292647250200221</v>
      </c>
      <c r="Q44" s="1">
        <f>(Main_S[[#This Row],[ROE]]-VLOOKUP(Main_S[[#This Row],[Industry]], Mean_ROE_S, 2, FALSE))/(VLOOKUP(Main_S[[#This Row],[Industry]], Mean_ROE_S, 3, FALSE))</f>
        <v>-1.1452405517597397</v>
      </c>
      <c r="R44" s="1">
        <f>(Main_S[[#This Row],[ROA]]-VLOOKUP(Main_S[[#This Row],[Industry]], Mean_ROA_S, 2, FALSE))/(VLOOKUP(Main_S[[#This Row],[Industry]], Mean_ROA_S, 3, FALSE))</f>
        <v>-2.3084856744823843</v>
      </c>
      <c r="S44" s="1">
        <f>(Main_S[[#This Row],[A/E]]-VLOOKUP(Main_S[[#This Row],[Industry]], Mean_AE_S, 2, FALSE))/(VLOOKUP(Main_S[[#This Row],[Industry]], Mean_AE_S, 3, FALSE))</f>
        <v>-0.15984785372384128</v>
      </c>
      <c r="T44" s="1">
        <f>(Main_S[[#This Row],[P/E]]-VLOOKUP(Main_S[[#This Row],[Industry]], Mean_PE_S, 2, FALSE))/(VLOOKUP(Main_S[[#This Row],[Industry]], Mean_PE_S, 3, FALSE))</f>
        <v>-0.98479964087571903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7" t="s">
        <v>190</v>
      </c>
      <c r="B45" s="67" t="s">
        <v>561</v>
      </c>
      <c r="C45" s="2">
        <v>431</v>
      </c>
      <c r="D45">
        <f>RTD("tos.rtd", , "LAST", Main_S[[#This Row],[Symbol]])</f>
        <v>6.85</v>
      </c>
      <c r="E45">
        <v>0.18</v>
      </c>
      <c r="F45">
        <v>3.68</v>
      </c>
      <c r="G45">
        <v>0.34</v>
      </c>
      <c r="H45" s="1">
        <f>IF(ISNUMBER(Main_S[[#This Row],[Free CF]]),IF(Main_S[[#This Row],[Free CF]]&lt;&gt;0,Main_S[[#This Row],[Current Price]]/Main_S[[#This Row],[Free CF]],""),"")</f>
        <v>38.055555555555557</v>
      </c>
      <c r="I45" s="1">
        <f>IF(ISNUMBER(Main_S[[#This Row],[BVPS]]),IF(Main_S[[#This Row],[BVPS]]&lt;&gt;0,Main_S[[#This Row],[Current Price]]/Main_S[[#This Row],[BVPS]],""),"")</f>
        <v>1.8614130434782608</v>
      </c>
      <c r="J45">
        <v>10.14</v>
      </c>
      <c r="K45">
        <v>5.69</v>
      </c>
      <c r="L45">
        <v>2.33</v>
      </c>
      <c r="M45" s="1">
        <f>IF(ISNUMBER(Main_S[[#This Row],[EPS]]),IF(Main_S[[#This Row],[EPS]]&lt;&gt;0,Main_S[[#This Row],[Current Price]]/Main_S[[#This Row],[EPS]],""),"")</f>
        <v>20.147058823529409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3.7450861942883642</v>
      </c>
      <c r="P45" s="1">
        <f>(Main_S[[#This Row],[P/B]]-VLOOKUP(Main_S[[#This Row],[Industry]], Mean_PB_S, 2, FALSE))/(VLOOKUP(Main_S[[#This Row],[Industry]], Mean_PB_S, 3, FALSE))</f>
        <v>0.78289255004672509</v>
      </c>
      <c r="Q45" s="1">
        <f>(Main_S[[#This Row],[ROE]]-VLOOKUP(Main_S[[#This Row],[Industry]], Mean_ROE_S, 2, FALSE))/(VLOOKUP(Main_S[[#This Row],[Industry]], Mean_ROE_S, 3, FALSE))</f>
        <v>0.66223494599058619</v>
      </c>
      <c r="R45" s="1">
        <f>(Main_S[[#This Row],[ROA]]-VLOOKUP(Main_S[[#This Row],[Industry]], Mean_ROA_S, 2, FALSE))/(VLOOKUP(Main_S[[#This Row],[Industry]], Mean_ROA_S, 3, FALSE))</f>
        <v>0.85562668610698744</v>
      </c>
      <c r="S45" s="1">
        <f>(Main_S[[#This Row],[A/E]]-VLOOKUP(Main_S[[#This Row],[Industry]], Mean_AE_S, 2, FALSE))/(VLOOKUP(Main_S[[#This Row],[Industry]], Mean_AE_S, 3, FALSE))</f>
        <v>-4.0276624560338106E-2</v>
      </c>
      <c r="T45" s="1">
        <f>(Main_S[[#This Row],[P/E]]-VLOOKUP(Main_S[[#This Row],[Industry]], Mean_PE_S, 2, FALSE))/(VLOOKUP(Main_S[[#This Row],[Industry]], Mean_PE_S, 3, FALSE))</f>
        <v>0.58426021222723123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7" t="s">
        <v>190</v>
      </c>
      <c r="B46" s="67" t="s">
        <v>488</v>
      </c>
      <c r="C46" s="2">
        <v>948</v>
      </c>
      <c r="D46">
        <f>RTD("tos.rtd", , "LAST", Main_S[[#This Row],[Symbol]])</f>
        <v>27.2</v>
      </c>
      <c r="E46">
        <v>-0.16</v>
      </c>
      <c r="F46">
        <v>8.11</v>
      </c>
      <c r="G46">
        <v>1.3</v>
      </c>
      <c r="H46" s="1">
        <f>IF(ISNUMBER(Main_S[[#This Row],[Free CF]]),IF(Main_S[[#This Row],[Free CF]]&lt;&gt;0,Main_S[[#This Row],[Current Price]]/Main_S[[#This Row],[Free CF]],""),"")</f>
        <v>-170</v>
      </c>
      <c r="I46" s="1">
        <f>IF(ISNUMBER(Main_S[[#This Row],[BVPS]]),IF(Main_S[[#This Row],[BVPS]]&lt;&gt;0,Main_S[[#This Row],[Current Price]]/Main_S[[#This Row],[BVPS]],""),"")</f>
        <v>3.3538840937114673</v>
      </c>
      <c r="J46">
        <v>18.54</v>
      </c>
      <c r="K46">
        <v>3.09</v>
      </c>
      <c r="L46">
        <v>3.35</v>
      </c>
      <c r="M46" s="1">
        <f>IF(ISNUMBER(Main_S[[#This Row],[EPS]]),IF(Main_S[[#This Row],[EPS]]&lt;&gt;0,Main_S[[#This Row],[Current Price]]/Main_S[[#This Row],[EPS]],""),"")</f>
        <v>20.923076923076923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-24.263160725281779</v>
      </c>
      <c r="P46" s="1">
        <f>(Main_S[[#This Row],[P/B]]-VLOOKUP(Main_S[[#This Row],[Industry]], Mean_PB_S, 2, FALSE))/(VLOOKUP(Main_S[[#This Row],[Industry]], Mean_PB_S, 3, FALSE))</f>
        <v>3.958014169484295</v>
      </c>
      <c r="Q46" s="1">
        <f>(Main_S[[#This Row],[ROE]]-VLOOKUP(Main_S[[#This Row],[Industry]], Mean_ROE_S, 2, FALSE))/(VLOOKUP(Main_S[[#This Row],[Industry]], Mean_ROE_S, 3, FALSE))</f>
        <v>1.2829542502057429</v>
      </c>
      <c r="R46" s="1">
        <f>(Main_S[[#This Row],[ROA]]-VLOOKUP(Main_S[[#This Row],[Industry]], Mean_ROA_S, 2, FALSE))/(VLOOKUP(Main_S[[#This Row],[Industry]], Mean_ROA_S, 3, FALSE))</f>
        <v>-0.21695377510974886</v>
      </c>
      <c r="S46" s="1">
        <f>(Main_S[[#This Row],[A/E]]-VLOOKUP(Main_S[[#This Row],[Industry]], Mean_AE_S, 2, FALSE))/(VLOOKUP(Main_S[[#This Row],[Industry]], Mean_AE_S, 3, FALSE))</f>
        <v>1.1793499129073932</v>
      </c>
      <c r="T46" s="1">
        <f>(Main_S[[#This Row],[P/E]]-VLOOKUP(Main_S[[#This Row],[Industry]], Mean_PE_S, 2, FALSE))/(VLOOKUP(Main_S[[#This Row],[Industry]], Mean_PE_S, 3, FALSE))</f>
        <v>0.62533960941698685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7" t="s">
        <v>190</v>
      </c>
      <c r="B47" s="67" t="s">
        <v>490</v>
      </c>
      <c r="C47" s="2">
        <v>656</v>
      </c>
      <c r="D47">
        <f>RTD("tos.rtd", , "LAST", Main_S[[#This Row],[Symbol]])</f>
        <v>8.5</v>
      </c>
      <c r="E47">
        <v>-0.61</v>
      </c>
      <c r="F47">
        <v>5.08</v>
      </c>
      <c r="G47">
        <v>-1.49</v>
      </c>
      <c r="H47" s="1">
        <f>IF(ISNUMBER(Main_S[[#This Row],[Free CF]]),IF(Main_S[[#This Row],[Free CF]]&lt;&gt;0,Main_S[[#This Row],[Current Price]]/Main_S[[#This Row],[Free CF]],""),"")</f>
        <v>-13.934426229508198</v>
      </c>
      <c r="I47" s="1">
        <f>IF(ISNUMBER(Main_S[[#This Row],[BVPS]]),IF(Main_S[[#This Row],[BVPS]]&lt;&gt;0,Main_S[[#This Row],[Current Price]]/Main_S[[#This Row],[BVPS]],""),"")</f>
        <v>1.6732283464566928</v>
      </c>
      <c r="J47">
        <v>-22.93</v>
      </c>
      <c r="K47">
        <v>1.37</v>
      </c>
      <c r="L47">
        <v>6.58</v>
      </c>
      <c r="M47" s="1">
        <f>IF(ISNUMBER(Main_S[[#This Row],[EPS]]),IF(Main_S[[#This Row],[EPS]]&lt;&gt;0,Main_S[[#This Row],[Current Price]]/Main_S[[#This Row],[EPS]],""),"")</f>
        <v>-5.7046979865771812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-3.2537571833459089</v>
      </c>
      <c r="P47" s="1">
        <f>(Main_S[[#This Row],[P/B]]-VLOOKUP(Main_S[[#This Row],[Industry]], Mean_PB_S, 2, FALSE))/(VLOOKUP(Main_S[[#This Row],[Industry]], Mean_PB_S, 3, FALSE))</f>
        <v>0.38254354504115051</v>
      </c>
      <c r="Q47" s="1">
        <f>(Main_S[[#This Row],[ROE]]-VLOOKUP(Main_S[[#This Row],[Industry]], Mean_ROE_S, 2, FALSE))/(VLOOKUP(Main_S[[#This Row],[Industry]], Mean_ROE_S, 3, FALSE))</f>
        <v>-1.7814778385802756</v>
      </c>
      <c r="R47" s="1">
        <f>(Main_S[[#This Row],[ROA]]-VLOOKUP(Main_S[[#This Row],[Industry]], Mean_ROA_S, 2, FALSE))/(VLOOKUP(Main_S[[#This Row],[Industry]], Mean_ROA_S, 3, FALSE))</f>
        <v>-0.92650700329928182</v>
      </c>
      <c r="S47" s="1">
        <f>(Main_S[[#This Row],[A/E]]-VLOOKUP(Main_S[[#This Row],[Industry]], Mean_AE_S, 2, FALSE))/(VLOOKUP(Main_S[[#This Row],[Industry]], Mean_AE_S, 3, FALSE))</f>
        <v>5.0415006148885428</v>
      </c>
      <c r="T47" s="1">
        <f>(Main_S[[#This Row],[P/E]]-VLOOKUP(Main_S[[#This Row],[Industry]], Mean_PE_S, 2, FALSE))/(VLOOKUP(Main_S[[#This Row],[Industry]], Mean_PE_S, 3, FALSE))</f>
        <v>-0.78423181994903091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s="67" t="s">
        <v>190</v>
      </c>
      <c r="B48" s="67" t="s">
        <v>494</v>
      </c>
      <c r="C48" s="2">
        <v>356</v>
      </c>
      <c r="D48">
        <f>RTD("tos.rtd", , "LAST", Main_S[[#This Row],[Symbol]])</f>
        <v>6.74</v>
      </c>
      <c r="E48">
        <v>-0.63</v>
      </c>
      <c r="F48">
        <v>8.14</v>
      </c>
      <c r="G48">
        <v>1.25</v>
      </c>
      <c r="H48" s="1">
        <f>IF(ISNUMBER(Main_S[[#This Row],[Free CF]]),IF(Main_S[[#This Row],[Free CF]]&lt;&gt;0,Main_S[[#This Row],[Current Price]]/Main_S[[#This Row],[Free CF]],""),"")</f>
        <v>-10.698412698412699</v>
      </c>
      <c r="I48" s="1">
        <f>IF(ISNUMBER(Main_S[[#This Row],[BVPS]]),IF(Main_S[[#This Row],[BVPS]]&lt;&gt;0,Main_S[[#This Row],[Current Price]]/Main_S[[#This Row],[BVPS]],""),"")</f>
        <v>0.82800982800982803</v>
      </c>
      <c r="J48">
        <v>15.68</v>
      </c>
      <c r="K48">
        <v>2.35</v>
      </c>
      <c r="L48">
        <v>1.31</v>
      </c>
      <c r="M48" s="1">
        <f>IF(ISNUMBER(Main_S[[#This Row],[EPS]]),IF(Main_S[[#This Row],[EPS]]&lt;&gt;0,Main_S[[#This Row],[Current Price]]/Main_S[[#This Row],[EPS]],""),"")</f>
        <v>5.3920000000000003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-2.8181280276044212</v>
      </c>
      <c r="P48" s="1">
        <f>(Main_S[[#This Row],[P/B]]-VLOOKUP(Main_S[[#This Row],[Industry]], Mean_PB_S, 2, FALSE))/(VLOOKUP(Main_S[[#This Row],[Industry]], Mean_PB_S, 3, FALSE))</f>
        <v>-1.4155962518080378</v>
      </c>
      <c r="Q48" s="1">
        <f>(Main_S[[#This Row],[ROE]]-VLOOKUP(Main_S[[#This Row],[Industry]], Mean_ROE_S, 2, FALSE))/(VLOOKUP(Main_S[[#This Row],[Industry]], Mean_ROE_S, 3, FALSE))</f>
        <v>1.0716141061515347</v>
      </c>
      <c r="R48" s="1">
        <f>(Main_S[[#This Row],[ROA]]-VLOOKUP(Main_S[[#This Row],[Industry]], Mean_ROA_S, 2, FALSE))/(VLOOKUP(Main_S[[#This Row],[Industry]], Mean_ROA_S, 3, FALSE))</f>
        <v>-0.52222667560989677</v>
      </c>
      <c r="S48" s="1">
        <f>(Main_S[[#This Row],[A/E]]-VLOOKUP(Main_S[[#This Row],[Industry]], Mean_AE_S, 2, FALSE))/(VLOOKUP(Main_S[[#This Row],[Industry]], Mean_AE_S, 3, FALSE))</f>
        <v>-1.2599031620280694</v>
      </c>
      <c r="T48" s="1">
        <f>(Main_S[[#This Row],[P/E]]-VLOOKUP(Main_S[[#This Row],[Industry]], Mean_PE_S, 2, FALSE))/(VLOOKUP(Main_S[[#This Row],[Industry]], Mean_PE_S, 3, FALSE))</f>
        <v>-0.19681554144835789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7" t="s">
        <v>190</v>
      </c>
      <c r="B49" s="67" t="s">
        <v>562</v>
      </c>
      <c r="C49" s="2">
        <v>788</v>
      </c>
      <c r="D49">
        <f>RTD("tos.rtd", , "LAST", Main_S[[#This Row],[Symbol]])</f>
        <v>29.21</v>
      </c>
      <c r="E49">
        <v>-1.07</v>
      </c>
      <c r="F49">
        <v>17.62</v>
      </c>
      <c r="G49">
        <v>-6.51</v>
      </c>
      <c r="H49" s="1">
        <f>IF(ISNUMBER(Main_S[[#This Row],[Free CF]]),IF(Main_S[[#This Row],[Free CF]]&lt;&gt;0,Main_S[[#This Row],[Current Price]]/Main_S[[#This Row],[Free CF]],""),"")</f>
        <v>-27.299065420560748</v>
      </c>
      <c r="I49" s="1">
        <f>IF(ISNUMBER(Main_S[[#This Row],[BVPS]]),IF(Main_S[[#This Row],[BVPS]]&lt;&gt;0,Main_S[[#This Row],[Current Price]]/Main_S[[#This Row],[BVPS]],""),"")</f>
        <v>1.6577752553916003</v>
      </c>
      <c r="J49">
        <v>-12.87</v>
      </c>
      <c r="K49">
        <v>1.1100000000000001</v>
      </c>
      <c r="L49">
        <v>1.67</v>
      </c>
      <c r="M49" s="1">
        <f>IF(ISNUMBER(Main_S[[#This Row],[EPS]]),IF(Main_S[[#This Row],[EPS]]&lt;&gt;0,Main_S[[#This Row],[Current Price]]/Main_S[[#This Row],[EPS]],""),"")</f>
        <v>-4.4869431643625193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-5.0528925799203686</v>
      </c>
      <c r="P49" s="1">
        <f>(Main_S[[#This Row],[P/B]]-VLOOKUP(Main_S[[#This Row],[Industry]], Mean_PB_S, 2, FALSE))/(VLOOKUP(Main_S[[#This Row],[Industry]], Mean_PB_S, 3, FALSE))</f>
        <v>0.34966823833403143</v>
      </c>
      <c r="Q49" s="1">
        <f>(Main_S[[#This Row],[ROE]]-VLOOKUP(Main_S[[#This Row],[Industry]], Mean_ROE_S, 2, FALSE))/(VLOOKUP(Main_S[[#This Row],[Industry]], Mean_ROE_S, 3, FALSE))</f>
        <v>-1.0380925766273612</v>
      </c>
      <c r="R49" s="1">
        <f>(Main_S[[#This Row],[ROA]]-VLOOKUP(Main_S[[#This Row],[Industry]], Mean_ROA_S, 2, FALSE))/(VLOOKUP(Main_S[[#This Row],[Industry]], Mean_ROA_S, 3, FALSE))</f>
        <v>-1.0337650494209556</v>
      </c>
      <c r="S49" s="1">
        <f>(Main_S[[#This Row],[A/E]]-VLOOKUP(Main_S[[#This Row],[Industry]], Mean_AE_S, 2, FALSE))/(VLOOKUP(Main_S[[#This Row],[Industry]], Mean_AE_S, 3, FALSE))</f>
        <v>-0.82944673703945848</v>
      </c>
      <c r="T49" s="1">
        <f>(Main_S[[#This Row],[P/E]]-VLOOKUP(Main_S[[#This Row],[Industry]], Mean_PE_S, 2, FALSE))/(VLOOKUP(Main_S[[#This Row],[Industry]], Mean_PE_S, 3, FALSE))</f>
        <v>-0.71976858893590756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7" t="s">
        <v>135</v>
      </c>
      <c r="B50" s="67" t="s">
        <v>431</v>
      </c>
      <c r="C50" s="2">
        <v>1944</v>
      </c>
      <c r="D50">
        <f>RTD("tos.rtd", , "LAST", Main_S[[#This Row],[Symbol]])</f>
        <v>40.56</v>
      </c>
      <c r="E50">
        <v>7.08</v>
      </c>
      <c r="F50">
        <v>22.01</v>
      </c>
      <c r="G50">
        <v>-2.89</v>
      </c>
      <c r="H50" s="1">
        <f>IF(ISNUMBER(Main_S[[#This Row],[Free CF]]),IF(Main_S[[#This Row],[Free CF]]&lt;&gt;0,Main_S[[#This Row],[Current Price]]/Main_S[[#This Row],[Free CF]],""),"")</f>
        <v>5.7288135593220337</v>
      </c>
      <c r="I50" s="1">
        <f>IF(ISNUMBER(Main_S[[#This Row],[BVPS]]),IF(Main_S[[#This Row],[BVPS]]&lt;&gt;0,Main_S[[#This Row],[Current Price]]/Main_S[[#This Row],[BVPS]],""),"")</f>
        <v>1.8427987278509768</v>
      </c>
      <c r="J50">
        <v>-8.6</v>
      </c>
      <c r="K50">
        <v>-1.21</v>
      </c>
      <c r="L50">
        <v>3.84</v>
      </c>
      <c r="M50" s="1">
        <f>IF(ISNUMBER(Main_S[[#This Row],[EPS]]),IF(Main_S[[#This Row],[EPS]]&lt;&gt;0,Main_S[[#This Row],[Current Price]]/Main_S[[#This Row],[EPS]],""),"")</f>
        <v>-14.034602076124568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-0.23461885042087316</v>
      </c>
      <c r="P50" s="1">
        <f>(Main_S[[#This Row],[P/B]]-VLOOKUP(Main_S[[#This Row],[Industry]], Mean_PB_S, 2, FALSE))/(VLOOKUP(Main_S[[#This Row],[Industry]], Mean_PB_S, 3, FALSE))</f>
        <v>-0.37598247934874446</v>
      </c>
      <c r="Q50" s="1">
        <f>(Main_S[[#This Row],[ROE]]-VLOOKUP(Main_S[[#This Row],[Industry]], Mean_ROE_S, 2, FALSE))/(VLOOKUP(Main_S[[#This Row],[Industry]], Mean_ROE_S, 3, FALSE))</f>
        <v>-1.2434647877032983</v>
      </c>
      <c r="R50" s="1">
        <f>(Main_S[[#This Row],[ROA]]-VLOOKUP(Main_S[[#This Row],[Industry]], Mean_ROA_S, 2, FALSE))/(VLOOKUP(Main_S[[#This Row],[Industry]], Mean_ROA_S, 3, FALSE))</f>
        <v>-1.0992343038211958</v>
      </c>
      <c r="S50" s="1">
        <f>(Main_S[[#This Row],[A/E]]-VLOOKUP(Main_S[[#This Row],[Industry]], Mean_AE_S, 2, FALSE))/(VLOOKUP(Main_S[[#This Row],[Industry]], Mean_AE_S, 3, FALSE))</f>
        <v>0.92516320290425913</v>
      </c>
      <c r="T50" s="1">
        <f>(Main_S[[#This Row],[P/E]]-VLOOKUP(Main_S[[#This Row],[Industry]], Mean_PE_S, 2, FALSE))/(VLOOKUP(Main_S[[#This Row],[Industry]], Mean_PE_S, 3, FALSE))</f>
        <v>-1.2012453203478091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7" t="s">
        <v>135</v>
      </c>
      <c r="B51" s="67" t="s">
        <v>429</v>
      </c>
      <c r="C51" s="2">
        <v>382</v>
      </c>
      <c r="D51">
        <f>RTD("tos.rtd", , "LAST", Main_S[[#This Row],[Symbol]])</f>
        <v>39.5</v>
      </c>
      <c r="E51">
        <v>6.66</v>
      </c>
      <c r="F51">
        <v>37.840000000000003</v>
      </c>
      <c r="G51">
        <v>3.27</v>
      </c>
      <c r="H51" s="1">
        <f>IF(ISNUMBER(Main_S[[#This Row],[Free CF]]),IF(Main_S[[#This Row],[Free CF]]&lt;&gt;0,Main_S[[#This Row],[Current Price]]/Main_S[[#This Row],[Free CF]],""),"")</f>
        <v>5.9309309309309306</v>
      </c>
      <c r="I51" s="1">
        <f>IF(ISNUMBER(Main_S[[#This Row],[BVPS]]),IF(Main_S[[#This Row],[BVPS]]&lt;&gt;0,Main_S[[#This Row],[Current Price]]/Main_S[[#This Row],[BVPS]],""),"")</f>
        <v>1.0438689217758985</v>
      </c>
      <c r="J51">
        <v>9.1300000000000008</v>
      </c>
      <c r="K51">
        <v>4.6900000000000004</v>
      </c>
      <c r="L51">
        <v>1.54</v>
      </c>
      <c r="M51" s="1">
        <f>IF(ISNUMBER(Main_S[[#This Row],[EPS]]),IF(Main_S[[#This Row],[EPS]]&lt;&gt;0,Main_S[[#This Row],[Current Price]]/Main_S[[#This Row],[EPS]],""),"")</f>
        <v>12.079510703363914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-0.22290411733054644</v>
      </c>
      <c r="P51" s="1">
        <f>(Main_S[[#This Row],[P/B]]-VLOOKUP(Main_S[[#This Row],[Industry]], Mean_PB_S, 2, FALSE))/(VLOOKUP(Main_S[[#This Row],[Industry]], Mean_PB_S, 3, FALSE))</f>
        <v>-1.109629438248015</v>
      </c>
      <c r="Q51" s="1">
        <f>(Main_S[[#This Row],[ROE]]-VLOOKUP(Main_S[[#This Row],[Industry]], Mean_ROE_S, 2, FALSE))/(VLOOKUP(Main_S[[#This Row],[Industry]], Mean_ROE_S, 3, FALSE))</f>
        <v>0.26274656113387107</v>
      </c>
      <c r="R51" s="1">
        <f>(Main_S[[#This Row],[ROA]]-VLOOKUP(Main_S[[#This Row],[Industry]], Mean_ROA_S, 2, FALSE))/(VLOOKUP(Main_S[[#This Row],[Industry]], Mean_ROA_S, 3, FALSE))</f>
        <v>0.50127254433023694</v>
      </c>
      <c r="S51" s="1">
        <f>(Main_S[[#This Row],[A/E]]-VLOOKUP(Main_S[[#This Row],[Industry]], Mean_AE_S, 2, FALSE))/(VLOOKUP(Main_S[[#This Row],[Industry]], Mean_AE_S, 3, FALSE))</f>
        <v>-1.758643565881068</v>
      </c>
      <c r="T51" s="1">
        <f>(Main_S[[#This Row],[P/E]]-VLOOKUP(Main_S[[#This Row],[Industry]], Mean_PE_S, 2, FALSE))/(VLOOKUP(Main_S[[#This Row],[Industry]], Mean_PE_S, 3, FALSE))</f>
        <v>-0.15301508584280776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7" t="s">
        <v>135</v>
      </c>
      <c r="B52" s="67" t="s">
        <v>428</v>
      </c>
      <c r="C52" s="2">
        <v>337</v>
      </c>
      <c r="D52">
        <f>RTD("tos.rtd", , "LAST", Main_S[[#This Row],[Symbol]])</f>
        <v>12.5</v>
      </c>
      <c r="E52">
        <v>4.2300000000000004</v>
      </c>
      <c r="F52">
        <v>5.46</v>
      </c>
      <c r="G52">
        <v>-0.82</v>
      </c>
      <c r="H52" s="1">
        <f>IF(ISNUMBER(Main_S[[#This Row],[Free CF]]),IF(Main_S[[#This Row],[Free CF]]&lt;&gt;0,Main_S[[#This Row],[Current Price]]/Main_S[[#This Row],[Free CF]],""),"")</f>
        <v>2.9550827423167845</v>
      </c>
      <c r="I52" s="1">
        <f>IF(ISNUMBER(Main_S[[#This Row],[BVPS]]),IF(Main_S[[#This Row],[BVPS]]&lt;&gt;0,Main_S[[#This Row],[Current Price]]/Main_S[[#This Row],[BVPS]],""),"")</f>
        <v>2.2893772893772892</v>
      </c>
      <c r="J52">
        <v>-14.26</v>
      </c>
      <c r="K52">
        <v>-3.19</v>
      </c>
      <c r="L52">
        <v>4.07</v>
      </c>
      <c r="M52" s="1">
        <f>IF(ISNUMBER(Main_S[[#This Row],[EPS]]),IF(Main_S[[#This Row],[EPS]]&lt;&gt;0,Main_S[[#This Row],[Current Price]]/Main_S[[#This Row],[EPS]],""),"")</f>
        <v>-15.24390243902439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-0.39538442899027143</v>
      </c>
      <c r="P52" s="1">
        <f>(Main_S[[#This Row],[P/B]]-VLOOKUP(Main_S[[#This Row],[Industry]], Mean_PB_S, 2, FALSE))/(VLOOKUP(Main_S[[#This Row],[Industry]], Mean_PB_S, 3, FALSE))</f>
        <v>3.4104866350561355E-2</v>
      </c>
      <c r="Q52" s="1">
        <f>(Main_S[[#This Row],[ROE]]-VLOOKUP(Main_S[[#This Row],[Industry]], Mean_ROE_S, 2, FALSE))/(VLOOKUP(Main_S[[#This Row],[Industry]], Mean_ROE_S, 3, FALSE))</f>
        <v>-1.7242970626281926</v>
      </c>
      <c r="R52" s="1">
        <f>(Main_S[[#This Row],[ROA]]-VLOOKUP(Main_S[[#This Row],[Industry]], Mean_ROA_S, 2, FALSE))/(VLOOKUP(Main_S[[#This Row],[Industry]], Mean_ROA_S, 3, FALSE))</f>
        <v>-1.6363535511669307</v>
      </c>
      <c r="S52" s="1">
        <f>(Main_S[[#This Row],[A/E]]-VLOOKUP(Main_S[[#This Row],[Industry]], Mean_AE_S, 2, FALSE))/(VLOOKUP(Main_S[[#This Row],[Industry]], Mean_AE_S, 3, FALSE))</f>
        <v>1.1935438797827924</v>
      </c>
      <c r="T52" s="1">
        <f>(Main_S[[#This Row],[P/E]]-VLOOKUP(Main_S[[#This Row],[Industry]], Mean_PE_S, 2, FALSE))/(VLOOKUP(Main_S[[#This Row],[Industry]], Mean_PE_S, 3, FALSE))</f>
        <v>-1.2497870883065172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7" t="s">
        <v>135</v>
      </c>
      <c r="B53" s="67" t="s">
        <v>427</v>
      </c>
      <c r="C53" s="2">
        <v>1491</v>
      </c>
      <c r="D53">
        <f>RTD("tos.rtd", , "LAST", Main_S[[#This Row],[Symbol]])</f>
        <v>137.46</v>
      </c>
      <c r="E53">
        <v>3.16</v>
      </c>
      <c r="F53">
        <v>13.86</v>
      </c>
      <c r="G53">
        <v>2.78</v>
      </c>
      <c r="H53" s="1">
        <f>IF(ISNUMBER(Main_S[[#This Row],[Free CF]]),IF(Main_S[[#This Row],[Free CF]]&lt;&gt;0,Main_S[[#This Row],[Current Price]]/Main_S[[#This Row],[Free CF]],""),"")</f>
        <v>43.5</v>
      </c>
      <c r="I53" s="1">
        <f>IF(ISNUMBER(Main_S[[#This Row],[BVPS]]),IF(Main_S[[#This Row],[BVPS]]&lt;&gt;0,Main_S[[#This Row],[Current Price]]/Main_S[[#This Row],[BVPS]],""),"")</f>
        <v>9.9177489177489182</v>
      </c>
      <c r="J53">
        <v>23.38</v>
      </c>
      <c r="K53">
        <v>8.7100000000000009</v>
      </c>
      <c r="L53">
        <v>2.09</v>
      </c>
      <c r="M53" s="1">
        <f>IF(ISNUMBER(Main_S[[#This Row],[EPS]]),IF(Main_S[[#This Row],[EPS]]&lt;&gt;0,Main_S[[#This Row],[Current Price]]/Main_S[[#This Row],[EPS]],""),"")</f>
        <v>49.446043165467636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1.9546010277879189</v>
      </c>
      <c r="P53" s="1">
        <f>(Main_S[[#This Row],[P/B]]-VLOOKUP(Main_S[[#This Row],[Industry]], Mean_PB_S, 2, FALSE))/(VLOOKUP(Main_S[[#This Row],[Industry]], Mean_PB_S, 3, FALSE))</f>
        <v>7.0391403575191012</v>
      </c>
      <c r="Q53" s="1">
        <f>(Main_S[[#This Row],[ROE]]-VLOOKUP(Main_S[[#This Row],[Industry]], Mean_ROE_S, 2, FALSE))/(VLOOKUP(Main_S[[#This Row],[Industry]], Mean_ROE_S, 3, FALSE))</f>
        <v>1.4733225183211049</v>
      </c>
      <c r="R53" s="1">
        <f>(Main_S[[#This Row],[ROA]]-VLOOKUP(Main_S[[#This Row],[Industry]], Mean_ROA_S, 2, FALSE))/(VLOOKUP(Main_S[[#This Row],[Industry]], Mean_ROA_S, 3, FALSE))</f>
        <v>1.5917873798503657</v>
      </c>
      <c r="S53" s="1">
        <f>(Main_S[[#This Row],[A/E]]-VLOOKUP(Main_S[[#This Row],[Industry]], Mean_AE_S, 2, FALSE))/(VLOOKUP(Main_S[[#This Row],[Industry]], Mean_AE_S, 3, FALSE))</f>
        <v>-1.1168636863889247</v>
      </c>
      <c r="T53" s="1">
        <f>(Main_S[[#This Row],[P/E]]-VLOOKUP(Main_S[[#This Row],[Industry]], Mean_PE_S, 2, FALSE))/(VLOOKUP(Main_S[[#This Row],[Industry]], Mean_PE_S, 3, FALSE))</f>
        <v>1.3468914748792205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7" t="s">
        <v>135</v>
      </c>
      <c r="B54" s="67" t="s">
        <v>424</v>
      </c>
      <c r="C54" s="2">
        <v>432</v>
      </c>
      <c r="D54">
        <f>RTD("tos.rtd", , "LAST", Main_S[[#This Row],[Symbol]])</f>
        <v>27.22</v>
      </c>
      <c r="E54">
        <v>1.8</v>
      </c>
      <c r="F54">
        <v>14.08</v>
      </c>
      <c r="G54">
        <v>0.15</v>
      </c>
      <c r="H54" s="1">
        <f>IF(ISNUMBER(Main_S[[#This Row],[Free CF]]),IF(Main_S[[#This Row],[Free CF]]&lt;&gt;0,Main_S[[#This Row],[Current Price]]/Main_S[[#This Row],[Free CF]],""),"")</f>
        <v>15.122222222222222</v>
      </c>
      <c r="I54" s="1">
        <f>IF(ISNUMBER(Main_S[[#This Row],[BVPS]]),IF(Main_S[[#This Row],[BVPS]]&lt;&gt;0,Main_S[[#This Row],[Current Price]]/Main_S[[#This Row],[BVPS]],""),"")</f>
        <v>1.9332386363636362</v>
      </c>
      <c r="J54">
        <v>1.38</v>
      </c>
      <c r="K54">
        <v>0.17</v>
      </c>
      <c r="L54">
        <v>2.17</v>
      </c>
      <c r="M54" s="1">
        <f>IF(ISNUMBER(Main_S[[#This Row],[EPS]]),IF(Main_S[[#This Row],[EPS]]&lt;&gt;0,Main_S[[#This Row],[Current Price]]/Main_S[[#This Row],[EPS]],""),"")</f>
        <v>181.46666666666667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0.3098235912074086</v>
      </c>
      <c r="P54" s="1">
        <f>(Main_S[[#This Row],[P/B]]-VLOOKUP(Main_S[[#This Row],[Industry]], Mean_PB_S, 2, FALSE))/(VLOOKUP(Main_S[[#This Row],[Industry]], Mean_PB_S, 3, FALSE))</f>
        <v>-0.29293267529974437</v>
      </c>
      <c r="Q54" s="1">
        <f>(Main_S[[#This Row],[ROE]]-VLOOKUP(Main_S[[#This Row],[Industry]], Mean_ROE_S, 2, FALSE))/(VLOOKUP(Main_S[[#This Row],[Industry]], Mean_ROE_S, 3, FALSE))</f>
        <v>-0.39563685417848443</v>
      </c>
      <c r="R54" s="1">
        <f>(Main_S[[#This Row],[ROA]]-VLOOKUP(Main_S[[#This Row],[Industry]], Mean_ROA_S, 2, FALSE))/(VLOOKUP(Main_S[[#This Row],[Industry]], Mean_ROA_S, 3, FALSE))</f>
        <v>-0.72487846476204709</v>
      </c>
      <c r="S54" s="1">
        <f>(Main_S[[#This Row],[A/E]]-VLOOKUP(Main_S[[#This Row],[Industry]], Mean_AE_S, 2, FALSE))/(VLOOKUP(Main_S[[#This Row],[Industry]], Mean_AE_S, 3, FALSE))</f>
        <v>-1.0235138857355219</v>
      </c>
      <c r="T54" s="1">
        <f>(Main_S[[#This Row],[P/E]]-VLOOKUP(Main_S[[#This Row],[Industry]], Mean_PE_S, 2, FALSE))/(VLOOKUP(Main_S[[#This Row],[Industry]], Mean_PE_S, 3, FALSE))</f>
        <v>6.6462485811584049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s="67" t="s">
        <v>135</v>
      </c>
      <c r="B55" s="67" t="s">
        <v>619</v>
      </c>
      <c r="C55" s="2">
        <v>1114</v>
      </c>
      <c r="D55">
        <f>RTD("tos.rtd", , "LAST", Main_S[[#This Row],[Symbol]])</f>
        <v>33</v>
      </c>
      <c r="E55">
        <v>1.27</v>
      </c>
      <c r="F55">
        <v>7.54</v>
      </c>
      <c r="G55">
        <v>1.39</v>
      </c>
      <c r="H55" s="1">
        <f>IF(ISNUMBER(Main_S[[#This Row],[Free CF]]),IF(Main_S[[#This Row],[Free CF]]&lt;&gt;0,Main_S[[#This Row],[Current Price]]/Main_S[[#This Row],[Free CF]],""),"")</f>
        <v>25.984251968503937</v>
      </c>
      <c r="I55" s="1">
        <f>IF(ISNUMBER(Main_S[[#This Row],[BVPS]]),IF(Main_S[[#This Row],[BVPS]]&lt;&gt;0,Main_S[[#This Row],[Current Price]]/Main_S[[#This Row],[BVPS]],""),"")</f>
        <v>4.3766578249336874</v>
      </c>
      <c r="J55">
        <v>19.89</v>
      </c>
      <c r="K55">
        <v>9.1</v>
      </c>
      <c r="L55">
        <v>2.61</v>
      </c>
      <c r="M55" s="1">
        <f>IF(ISNUMBER(Main_S[[#This Row],[EPS]]),IF(Main_S[[#This Row],[EPS]]&lt;&gt;0,Main_S[[#This Row],[Current Price]]/Main_S[[#This Row],[EPS]],""),"")</f>
        <v>23.741007194244606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0.93938738517512343</v>
      </c>
      <c r="P55" s="1">
        <f>(Main_S[[#This Row],[P/B]]-VLOOKUP(Main_S[[#This Row],[Industry]], Mean_PB_S, 2, FALSE))/(VLOOKUP(Main_S[[#This Row],[Industry]], Mean_PB_S, 3, FALSE))</f>
        <v>1.9508277193926571</v>
      </c>
      <c r="Q55" s="1">
        <f>(Main_S[[#This Row],[ROE]]-VLOOKUP(Main_S[[#This Row],[Industry]], Mean_ROE_S, 2, FALSE))/(VLOOKUP(Main_S[[#This Row],[Industry]], Mean_ROE_S, 3, FALSE))</f>
        <v>1.1768375996836704</v>
      </c>
      <c r="R55" s="1">
        <f>(Main_S[[#This Row],[ROA]]-VLOOKUP(Main_S[[#This Row],[Industry]], Mean_ROA_S, 2, FALSE))/(VLOOKUP(Main_S[[#This Row],[Industry]], Mean_ROA_S, 3, FALSE))</f>
        <v>1.6975835952366465</v>
      </c>
      <c r="S55" s="1">
        <f>(Main_S[[#This Row],[A/E]]-VLOOKUP(Main_S[[#This Row],[Industry]], Mean_AE_S, 2, FALSE))/(VLOOKUP(Main_S[[#This Row],[Industry]], Mean_AE_S, 3, FALSE))</f>
        <v>-0.51008998214180723</v>
      </c>
      <c r="T55" s="1">
        <f>(Main_S[[#This Row],[P/E]]-VLOOKUP(Main_S[[#This Row],[Industry]], Mean_PE_S, 2, FALSE))/(VLOOKUP(Main_S[[#This Row],[Industry]], Mean_PE_S, 3, FALSE))</f>
        <v>0.31508173615286406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s="67" t="s">
        <v>135</v>
      </c>
      <c r="B56" s="67" t="s">
        <v>425</v>
      </c>
      <c r="C56" s="2">
        <v>1851</v>
      </c>
      <c r="D56">
        <f>RTD("tos.rtd", , "LAST", Main_S[[#This Row],[Symbol]])</f>
        <v>22.64</v>
      </c>
      <c r="E56">
        <v>1.19</v>
      </c>
      <c r="F56">
        <v>6.06</v>
      </c>
      <c r="G56">
        <v>0</v>
      </c>
      <c r="H56" s="1">
        <f>IF(ISNUMBER(Main_S[[#This Row],[Free CF]]),IF(Main_S[[#This Row],[Free CF]]&lt;&gt;0,Main_S[[#This Row],[Current Price]]/Main_S[[#This Row],[Free CF]],""),"")</f>
        <v>19.025210084033613</v>
      </c>
      <c r="I56" s="1">
        <f>IF(ISNUMBER(Main_S[[#This Row],[BVPS]]),IF(Main_S[[#This Row],[BVPS]]&lt;&gt;0,Main_S[[#This Row],[Current Price]]/Main_S[[#This Row],[BVPS]],""),"")</f>
        <v>3.7359735973597363</v>
      </c>
      <c r="J56">
        <v>0.13</v>
      </c>
      <c r="K56">
        <v>2.97</v>
      </c>
      <c r="L56">
        <v>3.71</v>
      </c>
      <c r="M56" s="1" t="str">
        <f>IF(ISNUMBER(Main_S[[#This Row],[EPS]]),IF(Main_S[[#This Row],[EPS]]&lt;&gt;0,Main_S[[#This Row],[Current Price]]/Main_S[[#This Row],[EPS]],""),"")</f>
        <v/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0.53604096526063838</v>
      </c>
      <c r="P56" s="1">
        <f>(Main_S[[#This Row],[P/B]]-VLOOKUP(Main_S[[#This Row],[Industry]], Mean_PB_S, 2, FALSE))/(VLOOKUP(Main_S[[#This Row],[Industry]], Mean_PB_S, 3, FALSE))</f>
        <v>1.3624956386514031</v>
      </c>
      <c r="Q56" s="1">
        <f>(Main_S[[#This Row],[ROE]]-VLOOKUP(Main_S[[#This Row],[Industry]], Mean_ROE_S, 2, FALSE))/(VLOOKUP(Main_S[[#This Row],[Industry]], Mean_ROE_S, 3, FALSE))</f>
        <v>-0.50182772761596117</v>
      </c>
      <c r="R56" s="1">
        <f>(Main_S[[#This Row],[ROA]]-VLOOKUP(Main_S[[#This Row],[Industry]], Mean_ROA_S, 2, FALSE))/(VLOOKUP(Main_S[[#This Row],[Industry]], Mean_ROA_S, 3, FALSE))</f>
        <v>3.4684107242022637E-2</v>
      </c>
      <c r="S56" s="1">
        <f>(Main_S[[#This Row],[A/E]]-VLOOKUP(Main_S[[#This Row],[Industry]], Mean_AE_S, 2, FALSE))/(VLOOKUP(Main_S[[#This Row],[Industry]], Mean_AE_S, 3, FALSE))</f>
        <v>0.77346977684247986</v>
      </c>
      <c r="T56" s="1" t="e">
        <f>(Main_S[[#This Row],[P/E]]-VLOOKUP(Main_S[[#This Row],[Industry]], Mean_PE_S, 2, FALSE))/(VLOOKUP(Main_S[[#This Row],[Industry]], Mean_PE_S, 3, FALSE))</f>
        <v>#VALUE!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s="67" t="s">
        <v>135</v>
      </c>
      <c r="B57" s="67" t="s">
        <v>623</v>
      </c>
      <c r="C57" s="2">
        <v>1092</v>
      </c>
      <c r="D57">
        <f>RTD("tos.rtd", , "LAST", Main_S[[#This Row],[Symbol]])</f>
        <v>20.222000000000001</v>
      </c>
      <c r="E57">
        <v>0.79</v>
      </c>
      <c r="F57">
        <v>5.37</v>
      </c>
      <c r="G57">
        <v>1.26</v>
      </c>
      <c r="H57" s="1">
        <f>IF(ISNUMBER(Main_S[[#This Row],[Free CF]]),IF(Main_S[[#This Row],[Free CF]]&lt;&gt;0,Main_S[[#This Row],[Current Price]]/Main_S[[#This Row],[Free CF]],""),"")</f>
        <v>25.597468354430379</v>
      </c>
      <c r="I57" s="1">
        <f>IF(ISNUMBER(Main_S[[#This Row],[BVPS]]),IF(Main_S[[#This Row],[BVPS]]&lt;&gt;0,Main_S[[#This Row],[Current Price]]/Main_S[[#This Row],[BVPS]],""),"")</f>
        <v>3.7657355679702049</v>
      </c>
      <c r="J57">
        <v>26.31</v>
      </c>
      <c r="K57">
        <v>5.72</v>
      </c>
      <c r="L57">
        <v>3.97</v>
      </c>
      <c r="M57" s="1">
        <f>IF(ISNUMBER(Main_S[[#This Row],[EPS]]),IF(Main_S[[#This Row],[EPS]]&lt;&gt;0,Main_S[[#This Row],[Current Price]]/Main_S[[#This Row],[EPS]],""),"")</f>
        <v>16.049206349206351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0.91696938732310607</v>
      </c>
      <c r="P57" s="1">
        <f>(Main_S[[#This Row],[P/B]]-VLOOKUP(Main_S[[#This Row],[Industry]], Mean_PB_S, 2, FALSE))/(VLOOKUP(Main_S[[#This Row],[Industry]], Mean_PB_S, 3, FALSE))</f>
        <v>1.3898256732341507</v>
      </c>
      <c r="Q57" s="1">
        <f>(Main_S[[#This Row],[ROE]]-VLOOKUP(Main_S[[#This Row],[Industry]], Mean_ROE_S, 2, FALSE))/(VLOOKUP(Main_S[[#This Row],[Industry]], Mean_ROE_S, 3, FALSE))</f>
        <v>1.7222339256585504</v>
      </c>
      <c r="R57" s="1">
        <f>(Main_S[[#This Row],[ROA]]-VLOOKUP(Main_S[[#This Row],[Industry]], Mean_ROA_S, 2, FALSE))/(VLOOKUP(Main_S[[#This Row],[Industry]], Mean_ROA_S, 3, FALSE))</f>
        <v>0.78068306188887671</v>
      </c>
      <c r="S57" s="1">
        <f>(Main_S[[#This Row],[A/E]]-VLOOKUP(Main_S[[#This Row],[Industry]], Mean_AE_S, 2, FALSE))/(VLOOKUP(Main_S[[#This Row],[Industry]], Mean_AE_S, 3, FALSE))</f>
        <v>1.0768566289660388</v>
      </c>
      <c r="T57" s="1">
        <f>(Main_S[[#This Row],[P/E]]-VLOOKUP(Main_S[[#This Row],[Industry]], Mean_PE_S, 2, FALSE))/(VLOOKUP(Main_S[[#This Row],[Industry]], Mean_PE_S, 3, FALSE))</f>
        <v>6.3299791376617244E-3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7" t="s">
        <v>135</v>
      </c>
      <c r="B58" s="67" t="s">
        <v>423</v>
      </c>
      <c r="C58" s="2">
        <v>373</v>
      </c>
      <c r="D58">
        <f>RTD("tos.rtd", , "LAST", Main_S[[#This Row],[Symbol]])</f>
        <v>5.875</v>
      </c>
      <c r="E58">
        <v>0.76</v>
      </c>
      <c r="F58">
        <v>4.91</v>
      </c>
      <c r="G58">
        <v>0.28000000000000003</v>
      </c>
      <c r="H58" s="1">
        <f>IF(ISNUMBER(Main_S[[#This Row],[Free CF]]),IF(Main_S[[#This Row],[Free CF]]&lt;&gt;0,Main_S[[#This Row],[Current Price]]/Main_S[[#This Row],[Free CF]],""),"")</f>
        <v>7.7302631578947372</v>
      </c>
      <c r="I58" s="1">
        <f>IF(ISNUMBER(Main_S[[#This Row],[BVPS]]),IF(Main_S[[#This Row],[BVPS]]&lt;&gt;0,Main_S[[#This Row],[Current Price]]/Main_S[[#This Row],[BVPS]],""),"")</f>
        <v>1.1965376782077393</v>
      </c>
      <c r="J58">
        <v>5.62</v>
      </c>
      <c r="K58">
        <v>3.51</v>
      </c>
      <c r="L58">
        <v>3.5</v>
      </c>
      <c r="M58" s="1">
        <f>IF(ISNUMBER(Main_S[[#This Row],[EPS]]),IF(Main_S[[#This Row],[EPS]]&lt;&gt;0,Main_S[[#This Row],[Current Price]]/Main_S[[#This Row],[EPS]],""),"")</f>
        <v>20.982142857142854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-0.11861473036735115</v>
      </c>
      <c r="P58" s="1">
        <f>(Main_S[[#This Row],[P/B]]-VLOOKUP(Main_S[[#This Row],[Industry]], Mean_PB_S, 2, FALSE))/(VLOOKUP(Main_S[[#This Row],[Industry]], Mean_PB_S, 3, FALSE))</f>
        <v>-0.96943568402397007</v>
      </c>
      <c r="Q58" s="1">
        <f>(Main_S[[#This Row],[ROE]]-VLOOKUP(Main_S[[#This Row],[Industry]], Mean_ROE_S, 2, FALSE))/(VLOOKUP(Main_S[[#This Row],[Industry]], Mean_ROE_S, 3, FALSE))</f>
        <v>-3.5437411478563503E-2</v>
      </c>
      <c r="R58" s="1">
        <f>(Main_S[[#This Row],[ROA]]-VLOOKUP(Main_S[[#This Row],[Industry]], Mean_ROA_S, 2, FALSE))/(VLOOKUP(Main_S[[#This Row],[Industry]], Mean_ROA_S, 3, FALSE))</f>
        <v>0.18117117469995025</v>
      </c>
      <c r="S58" s="1">
        <f>(Main_S[[#This Row],[A/E]]-VLOOKUP(Main_S[[#This Row],[Industry]], Mean_AE_S, 2, FALSE))/(VLOOKUP(Main_S[[#This Row],[Industry]], Mean_AE_S, 3, FALSE))</f>
        <v>0.52842655012729789</v>
      </c>
      <c r="T58" s="1">
        <f>(Main_S[[#This Row],[P/E]]-VLOOKUP(Main_S[[#This Row],[Industry]], Mean_PE_S, 2, FALSE))/(VLOOKUP(Main_S[[#This Row],[Industry]], Mean_PE_S, 3, FALSE))</f>
        <v>0.20433989186860649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s="67" t="s">
        <v>135</v>
      </c>
      <c r="B59" s="67" t="s">
        <v>430</v>
      </c>
      <c r="C59" s="2">
        <v>326</v>
      </c>
      <c r="D59">
        <f>RTD("tos.rtd", , "LAST", Main_S[[#This Row],[Symbol]])</f>
        <v>8.9</v>
      </c>
      <c r="E59">
        <v>0.3</v>
      </c>
      <c r="F59">
        <v>3.81</v>
      </c>
      <c r="G59">
        <v>0.08</v>
      </c>
      <c r="H59" s="1">
        <f>IF(ISNUMBER(Main_S[[#This Row],[Free CF]]),IF(Main_S[[#This Row],[Free CF]]&lt;&gt;0,Main_S[[#This Row],[Current Price]]/Main_S[[#This Row],[Free CF]],""),"")</f>
        <v>29.666666666666668</v>
      </c>
      <c r="I59" s="1">
        <f>IF(ISNUMBER(Main_S[[#This Row],[BVPS]]),IF(Main_S[[#This Row],[BVPS]]&lt;&gt;0,Main_S[[#This Row],[Current Price]]/Main_S[[#This Row],[BVPS]],""),"")</f>
        <v>2.3359580052493438</v>
      </c>
      <c r="J59">
        <v>2.25</v>
      </c>
      <c r="K59">
        <v>2.0099999999999998</v>
      </c>
      <c r="L59">
        <v>2.76</v>
      </c>
      <c r="M59" s="1">
        <f>IF(ISNUMBER(Main_S[[#This Row],[EPS]]),IF(Main_S[[#This Row],[EPS]]&lt;&gt;0,Main_S[[#This Row],[Current Price]]/Main_S[[#This Row],[EPS]],""),"")</f>
        <v>111.25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1.1528203274971063</v>
      </c>
      <c r="P59" s="1">
        <f>(Main_S[[#This Row],[P/B]]-VLOOKUP(Main_S[[#This Row],[Industry]], Mean_PB_S, 2, FALSE))/(VLOOKUP(Main_S[[#This Row],[Industry]], Mean_PB_S, 3, FALSE))</f>
        <v>7.6879338254132318E-2</v>
      </c>
      <c r="Q59" s="1">
        <f>(Main_S[[#This Row],[ROE]]-VLOOKUP(Main_S[[#This Row],[Industry]], Mean_ROE_S, 2, FALSE))/(VLOOKUP(Main_S[[#This Row],[Industry]], Mean_ROE_S, 3, FALSE))</f>
        <v>-0.32172800626600068</v>
      </c>
      <c r="R59" s="1">
        <f>(Main_S[[#This Row],[ROA]]-VLOOKUP(Main_S[[#This Row],[Industry]], Mean_ROA_S, 2, FALSE))/(VLOOKUP(Main_S[[#This Row],[Industry]], Mean_ROA_S, 3, FALSE))</f>
        <v>-0.22573734601651566</v>
      </c>
      <c r="S59" s="1">
        <f>(Main_S[[#This Row],[A/E]]-VLOOKUP(Main_S[[#This Row],[Industry]], Mean_AE_S, 2, FALSE))/(VLOOKUP(Main_S[[#This Row],[Industry]], Mean_AE_S, 3, FALSE))</f>
        <v>-0.33505910591667726</v>
      </c>
      <c r="T59" s="1">
        <f>(Main_S[[#This Row],[P/E]]-VLOOKUP(Main_S[[#This Row],[Industry]], Mean_PE_S, 2, FALSE))/(VLOOKUP(Main_S[[#This Row],[Industry]], Mean_PE_S, 3, FALSE))</f>
        <v>3.827725371594429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s="67" t="s">
        <v>135</v>
      </c>
      <c r="B60" s="67" t="s">
        <v>426</v>
      </c>
      <c r="C60" s="2">
        <v>759</v>
      </c>
      <c r="D60">
        <f>RTD("tos.rtd", , "LAST", Main_S[[#This Row],[Symbol]])</f>
        <v>11.48</v>
      </c>
      <c r="E60">
        <v>-0.62</v>
      </c>
      <c r="F60">
        <v>7.1</v>
      </c>
      <c r="G60">
        <v>1.02</v>
      </c>
      <c r="H60" s="1">
        <f>IF(ISNUMBER(Main_S[[#This Row],[Free CF]]),IF(Main_S[[#This Row],[Free CF]]&lt;&gt;0,Main_S[[#This Row],[Current Price]]/Main_S[[#This Row],[Free CF]],""),"")</f>
        <v>-18.516129032258064</v>
      </c>
      <c r="I60" s="1">
        <f>IF(ISNUMBER(Main_S[[#This Row],[BVPS]]),IF(Main_S[[#This Row],[BVPS]]&lt;&gt;0,Main_S[[#This Row],[Current Price]]/Main_S[[#This Row],[BVPS]],""),"")</f>
        <v>1.6169014084507043</v>
      </c>
      <c r="J60">
        <v>15.67</v>
      </c>
      <c r="K60">
        <v>5.82</v>
      </c>
      <c r="L60">
        <v>2.57</v>
      </c>
      <c r="M60" s="1">
        <f>IF(ISNUMBER(Main_S[[#This Row],[EPS]]),IF(Main_S[[#This Row],[EPS]]&lt;&gt;0,Main_S[[#This Row],[Current Price]]/Main_S[[#This Row],[EPS]],""),"")</f>
        <v>11.254901960784315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-1.6398569503910636</v>
      </c>
      <c r="P60" s="1">
        <f>(Main_S[[#This Row],[P/B]]-VLOOKUP(Main_S[[#This Row],[Industry]], Mean_PB_S, 2, FALSE))/(VLOOKUP(Main_S[[#This Row],[Industry]], Mean_PB_S, 3, FALSE))</f>
        <v>-0.58342108051408004</v>
      </c>
      <c r="Q60" s="1">
        <f>(Main_S[[#This Row],[ROE]]-VLOOKUP(Main_S[[#This Row],[Industry]], Mean_ROE_S, 2, FALSE))/(VLOOKUP(Main_S[[#This Row],[Industry]], Mean_ROE_S, 3, FALSE))</f>
        <v>0.81833721095874901</v>
      </c>
      <c r="R60" s="1">
        <f>(Main_S[[#This Row],[ROA]]-VLOOKUP(Main_S[[#This Row],[Industry]], Mean_ROA_S, 2, FALSE))/(VLOOKUP(Main_S[[#This Row],[Industry]], Mean_ROA_S, 3, FALSE))</f>
        <v>0.80781029660330794</v>
      </c>
      <c r="S60" s="1">
        <f>(Main_S[[#This Row],[A/E]]-VLOOKUP(Main_S[[#This Row],[Industry]], Mean_AE_S, 2, FALSE))/(VLOOKUP(Main_S[[#This Row],[Industry]], Mean_AE_S, 3, FALSE))</f>
        <v>-0.55676488246850864</v>
      </c>
      <c r="T60" s="1">
        <f>(Main_S[[#This Row],[P/E]]-VLOOKUP(Main_S[[#This Row],[Industry]], Mean_PE_S, 2, FALSE))/(VLOOKUP(Main_S[[#This Row],[Industry]], Mean_PE_S, 3, FALSE))</f>
        <v>-0.18611518856917803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7" t="s">
        <v>135</v>
      </c>
      <c r="B61" s="67" t="s">
        <v>633</v>
      </c>
      <c r="C61" s="2">
        <v>856</v>
      </c>
      <c r="D61">
        <f>RTD("tos.rtd", , "LAST", Main_S[[#This Row],[Symbol]])</f>
        <v>14.252000000000001</v>
      </c>
      <c r="E61">
        <v>-0.85</v>
      </c>
      <c r="F61">
        <v>10.11</v>
      </c>
      <c r="G61">
        <v>-1.02</v>
      </c>
      <c r="H61" s="1">
        <f>IF(ISNUMBER(Main_S[[#This Row],[Free CF]]),IF(Main_S[[#This Row],[Free CF]]&lt;&gt;0,Main_S[[#This Row],[Current Price]]/Main_S[[#This Row],[Free CF]],""),"")</f>
        <v>-16.767058823529414</v>
      </c>
      <c r="I61" s="1">
        <f>IF(ISNUMBER(Main_S[[#This Row],[BVPS]]),IF(Main_S[[#This Row],[BVPS]]&lt;&gt;0,Main_S[[#This Row],[Current Price]]/Main_S[[#This Row],[BVPS]],""),"")</f>
        <v>1.4096933728981209</v>
      </c>
      <c r="J61">
        <v>-9.26</v>
      </c>
      <c r="K61">
        <v>-2.89</v>
      </c>
      <c r="L61">
        <v>3.7</v>
      </c>
      <c r="M61" s="1">
        <f>IF(ISNUMBER(Main_S[[#This Row],[EPS]]),IF(Main_S[[#This Row],[EPS]]&lt;&gt;0,Main_S[[#This Row],[Current Price]]/Main_S[[#This Row],[EPS]],""),"")</f>
        <v>-13.972549019607843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-1.5384807525492141</v>
      </c>
      <c r="P61" s="1">
        <f>(Main_S[[#This Row],[P/B]]-VLOOKUP(Main_S[[#This Row],[Industry]], Mean_PB_S, 2, FALSE))/(VLOOKUP(Main_S[[#This Row],[Industry]], Mean_PB_S, 3, FALSE))</f>
        <v>-0.77369755284832054</v>
      </c>
      <c r="Q61" s="1">
        <f>(Main_S[[#This Row],[ROE]]-VLOOKUP(Main_S[[#This Row],[Industry]], Mean_ROE_S, 2, FALSE))/(VLOOKUP(Main_S[[#This Row],[Industry]], Mean_ROE_S, 3, FALSE))</f>
        <v>-1.2995335688782859</v>
      </c>
      <c r="R61" s="1">
        <f>(Main_S[[#This Row],[ROA]]-VLOOKUP(Main_S[[#This Row],[Industry]], Mean_ROA_S, 2, FALSE))/(VLOOKUP(Main_S[[#This Row],[Industry]], Mean_ROA_S, 3, FALSE))</f>
        <v>-1.5549718470236378</v>
      </c>
      <c r="S61" s="1">
        <f>(Main_S[[#This Row],[A/E]]-VLOOKUP(Main_S[[#This Row],[Industry]], Mean_AE_S, 2, FALSE))/(VLOOKUP(Main_S[[#This Row],[Industry]], Mean_AE_S, 3, FALSE))</f>
        <v>0.76180105176080481</v>
      </c>
      <c r="T61" s="1">
        <f>(Main_S[[#This Row],[P/E]]-VLOOKUP(Main_S[[#This Row],[Industry]], Mean_PE_S, 2, FALSE))/(VLOOKUP(Main_S[[#This Row],[Industry]], Mean_PE_S, 3, FALSE))</f>
        <v>-1.1987544874968701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s="67" t="s">
        <v>135</v>
      </c>
      <c r="B62" s="67" t="s">
        <v>276</v>
      </c>
      <c r="C62" s="2">
        <v>1761</v>
      </c>
      <c r="D62">
        <f>RTD("tos.rtd", , "LAST", Main_S[[#This Row],[Symbol]])</f>
        <v>21.39</v>
      </c>
      <c r="E62">
        <v>-3.13</v>
      </c>
      <c r="F62">
        <v>7.37</v>
      </c>
      <c r="G62">
        <v>0.31</v>
      </c>
      <c r="H62" s="1">
        <f>IF(ISNUMBER(Main_S[[#This Row],[Free CF]]),IF(Main_S[[#This Row],[Free CF]]&lt;&gt;0,Main_S[[#This Row],[Current Price]]/Main_S[[#This Row],[Free CF]],""),"")</f>
        <v>-6.8338658146964857</v>
      </c>
      <c r="I62" s="1">
        <f>IF(ISNUMBER(Main_S[[#This Row],[BVPS]]),IF(Main_S[[#This Row],[BVPS]]&lt;&gt;0,Main_S[[#This Row],[Current Price]]/Main_S[[#This Row],[BVPS]],""),"")</f>
        <v>2.9023066485753053</v>
      </c>
      <c r="J62">
        <v>7.49</v>
      </c>
      <c r="K62">
        <v>2.99</v>
      </c>
      <c r="L62">
        <v>2.0099999999999998</v>
      </c>
      <c r="M62" s="1">
        <f>IF(ISNUMBER(Main_S[[#This Row],[EPS]]),IF(Main_S[[#This Row],[EPS]]&lt;&gt;0,Main_S[[#This Row],[Current Price]]/Main_S[[#This Row],[EPS]],""),"")</f>
        <v>69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-0.96275238290493448</v>
      </c>
      <c r="P62" s="1">
        <f>(Main_S[[#This Row],[P/B]]-VLOOKUP(Main_S[[#This Row],[Industry]], Mean_PB_S, 2, FALSE))/(VLOOKUP(Main_S[[#This Row],[Industry]], Mean_PB_S, 3, FALSE))</f>
        <v>0.59695000866015457</v>
      </c>
      <c r="Q62" s="1">
        <f>(Main_S[[#This Row],[ROE]]-VLOOKUP(Main_S[[#This Row],[Industry]], Mean_ROE_S, 2, FALSE))/(VLOOKUP(Main_S[[#This Row],[Industry]], Mean_ROE_S, 3, FALSE))</f>
        <v>0.12342413518390162</v>
      </c>
      <c r="R62" s="1">
        <f>(Main_S[[#This Row],[ROA]]-VLOOKUP(Main_S[[#This Row],[Industry]], Mean_ROA_S, 2, FALSE))/(VLOOKUP(Main_S[[#This Row],[Industry]], Mean_ROA_S, 3, FALSE))</f>
        <v>4.0109554184908858E-2</v>
      </c>
      <c r="S62" s="1">
        <f>(Main_S[[#This Row],[A/E]]-VLOOKUP(Main_S[[#This Row],[Industry]], Mean_AE_S, 2, FALSE))/(VLOOKUP(Main_S[[#This Row],[Industry]], Mean_AE_S, 3, FALSE))</f>
        <v>-1.2102134870423276</v>
      </c>
      <c r="T62" s="1">
        <f>(Main_S[[#This Row],[P/E]]-VLOOKUP(Main_S[[#This Row],[Industry]], Mean_PE_S, 2, FALSE))/(VLOOKUP(Main_S[[#This Row],[Industry]], Mean_PE_S, 3, FALSE))</f>
        <v>2.1317946010640045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7" t="s">
        <v>135</v>
      </c>
      <c r="B63" s="67" t="s">
        <v>422</v>
      </c>
      <c r="C63" s="2">
        <v>725</v>
      </c>
      <c r="D63">
        <f>RTD("tos.rtd", , "LAST", Main_S[[#This Row],[Symbol]])</f>
        <v>15.97</v>
      </c>
      <c r="E63">
        <v>-7.1</v>
      </c>
      <c r="F63">
        <v>19.239999999999998</v>
      </c>
      <c r="G63">
        <v>1.03</v>
      </c>
      <c r="H63" s="1">
        <f>IF(ISNUMBER(Main_S[[#This Row],[Free CF]]),IF(Main_S[[#This Row],[Free CF]]&lt;&gt;0,Main_S[[#This Row],[Current Price]]/Main_S[[#This Row],[Free CF]],""),"")</f>
        <v>-2.2492957746478877</v>
      </c>
      <c r="I63" s="1">
        <f>IF(ISNUMBER(Main_S[[#This Row],[BVPS]]),IF(Main_S[[#This Row],[BVPS]]&lt;&gt;0,Main_S[[#This Row],[Current Price]]/Main_S[[#This Row],[BVPS]],""),"")</f>
        <v>0.83004158004158013</v>
      </c>
      <c r="J63">
        <v>5.39</v>
      </c>
      <c r="K63">
        <v>1.39</v>
      </c>
      <c r="L63">
        <v>4.12</v>
      </c>
      <c r="M63" s="1">
        <f>IF(ISNUMBER(Main_S[[#This Row],[EPS]]),IF(Main_S[[#This Row],[EPS]]&lt;&gt;0,Main_S[[#This Row],[Current Price]]/Main_S[[#This Row],[EPS]],""),"")</f>
        <v>15.504854368932039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-0.69703047129704698</v>
      </c>
      <c r="P63" s="1">
        <f>(Main_S[[#This Row],[P/B]]-VLOOKUP(Main_S[[#This Row],[Industry]], Mean_PB_S, 2, FALSE))/(VLOOKUP(Main_S[[#This Row],[Industry]], Mean_PB_S, 3, FALSE))</f>
        <v>-1.3059843342601882</v>
      </c>
      <c r="Q63" s="1">
        <f>(Main_S[[#This Row],[ROE]]-VLOOKUP(Main_S[[#This Row],[Industry]], Mean_ROE_S, 2, FALSE))/(VLOOKUP(Main_S[[#This Row],[Industry]], Mean_ROE_S, 3, FALSE))</f>
        <v>-5.4976532191059253E-2</v>
      </c>
      <c r="R63" s="1">
        <f>(Main_S[[#This Row],[ROA]]-VLOOKUP(Main_S[[#This Row],[Industry]], Mean_ROA_S, 2, FALSE))/(VLOOKUP(Main_S[[#This Row],[Industry]], Mean_ROA_S, 3, FALSE))</f>
        <v>-0.39392620124598821</v>
      </c>
      <c r="S63" s="1">
        <f>(Main_S[[#This Row],[A/E]]-VLOOKUP(Main_S[[#This Row],[Industry]], Mean_AE_S, 2, FALSE))/(VLOOKUP(Main_S[[#This Row],[Industry]], Mean_AE_S, 3, FALSE))</f>
        <v>1.2518875051911689</v>
      </c>
      <c r="T63" s="1">
        <f>(Main_S[[#This Row],[P/E]]-VLOOKUP(Main_S[[#This Row],[Industry]], Mean_PE_S, 2, FALSE))/(VLOOKUP(Main_S[[#This Row],[Industry]], Mean_PE_S, 3, FALSE))</f>
        <v>-1.5520512539175595E-2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7" t="s">
        <v>142</v>
      </c>
      <c r="B64" s="67" t="s">
        <v>439</v>
      </c>
      <c r="C64" s="2">
        <v>705</v>
      </c>
      <c r="D64">
        <f>RTD("tos.rtd", , "LAST", Main_S[[#This Row],[Symbol]])</f>
        <v>150.87</v>
      </c>
      <c r="E64">
        <v>9.3000000000000007</v>
      </c>
      <c r="F64">
        <v>88.21</v>
      </c>
      <c r="G64">
        <v>7.89</v>
      </c>
      <c r="H64" s="1">
        <f>IF(ISNUMBER(Main_S[[#This Row],[Free CF]]),IF(Main_S[[#This Row],[Free CF]]&lt;&gt;0,Main_S[[#This Row],[Current Price]]/Main_S[[#This Row],[Free CF]],""),"")</f>
        <v>16.22258064516129</v>
      </c>
      <c r="I64" s="1">
        <f>IF(ISNUMBER(Main_S[[#This Row],[BVPS]]),IF(Main_S[[#This Row],[BVPS]]&lt;&gt;0,Main_S[[#This Row],[Current Price]]/Main_S[[#This Row],[BVPS]],""),"")</f>
        <v>1.7103503004194538</v>
      </c>
      <c r="J64">
        <v>9.1999999999999993</v>
      </c>
      <c r="K64">
        <v>5.58</v>
      </c>
      <c r="L64">
        <v>1.36</v>
      </c>
      <c r="M64" s="1">
        <f>IF(ISNUMBER(Main_S[[#This Row],[EPS]]),IF(Main_S[[#This Row],[EPS]]&lt;&gt;0,Main_S[[#This Row],[Current Price]]/Main_S[[#This Row],[EPS]],""),"")</f>
        <v>19.121673003802282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0.72769736108547378</v>
      </c>
      <c r="P64" s="1">
        <f>(Main_S[[#This Row],[P/B]]-VLOOKUP(Main_S[[#This Row],[Industry]], Mean_PB_S, 2, FALSE))/(VLOOKUP(Main_S[[#This Row],[Industry]], Mean_PB_S, 3, FALSE))</f>
        <v>-0.2163311779841211</v>
      </c>
      <c r="Q64" s="1">
        <f>(Main_S[[#This Row],[ROE]]-VLOOKUP(Main_S[[#This Row],[Industry]], Mean_ROE_S, 2, FALSE))/(VLOOKUP(Main_S[[#This Row],[Industry]], Mean_ROE_S, 3, FALSE))</f>
        <v>0.88313333584465414</v>
      </c>
      <c r="R64" s="1">
        <f>(Main_S[[#This Row],[ROA]]-VLOOKUP(Main_S[[#This Row],[Industry]], Mean_ROA_S, 2, FALSE))/(VLOOKUP(Main_S[[#This Row],[Industry]], Mean_ROA_S, 3, FALSE))</f>
        <v>0.74856402491103224</v>
      </c>
      <c r="S64" s="1">
        <f>(Main_S[[#This Row],[A/E]]-VLOOKUP(Main_S[[#This Row],[Industry]], Mean_AE_S, 2, FALSE))/(VLOOKUP(Main_S[[#This Row],[Industry]], Mean_AE_S, 3, FALSE))</f>
        <v>-0.25997203947904823</v>
      </c>
      <c r="T64" s="1">
        <f>(Main_S[[#This Row],[P/E]]-VLOOKUP(Main_S[[#This Row],[Industry]], Mean_PE_S, 2, FALSE))/(VLOOKUP(Main_S[[#This Row],[Industry]], Mean_PE_S, 3, FALSE))</f>
        <v>0.94665861544067875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7" t="s">
        <v>142</v>
      </c>
      <c r="B65" s="67" t="s">
        <v>432</v>
      </c>
      <c r="C65" s="2">
        <v>515</v>
      </c>
      <c r="D65">
        <f>RTD("tos.rtd", , "LAST", Main_S[[#This Row],[Symbol]])</f>
        <v>33.36</v>
      </c>
      <c r="E65">
        <v>2.34</v>
      </c>
      <c r="F65">
        <v>16.07</v>
      </c>
      <c r="G65">
        <v>0.57999999999999996</v>
      </c>
      <c r="H65" s="1">
        <f>IF(ISNUMBER(Main_S[[#This Row],[Free CF]]),IF(Main_S[[#This Row],[Free CF]]&lt;&gt;0,Main_S[[#This Row],[Current Price]]/Main_S[[#This Row],[Free CF]],""),"")</f>
        <v>14.256410256410257</v>
      </c>
      <c r="I65" s="1">
        <f>IF(ISNUMBER(Main_S[[#This Row],[BVPS]]),IF(Main_S[[#This Row],[BVPS]]&lt;&gt;0,Main_S[[#This Row],[Current Price]]/Main_S[[#This Row],[BVPS]],""),"")</f>
        <v>2.0759178593652767</v>
      </c>
      <c r="J65">
        <v>3.64</v>
      </c>
      <c r="K65">
        <v>2.91</v>
      </c>
      <c r="L65">
        <v>2.15</v>
      </c>
      <c r="M65" s="1">
        <f>IF(ISNUMBER(Main_S[[#This Row],[EPS]]),IF(Main_S[[#This Row],[EPS]]&lt;&gt;0,Main_S[[#This Row],[Current Price]]/Main_S[[#This Row],[EPS]],""),"")</f>
        <v>57.517241379310349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0.59969950830647489</v>
      </c>
      <c r="P65" s="1">
        <f>(Main_S[[#This Row],[P/B]]-VLOOKUP(Main_S[[#This Row],[Industry]], Mean_PB_S, 2, FALSE))/(VLOOKUP(Main_S[[#This Row],[Industry]], Mean_PB_S, 3, FALSE))</f>
        <v>-7.9115197983422231E-2</v>
      </c>
      <c r="Q65" s="1">
        <f>(Main_S[[#This Row],[ROE]]-VLOOKUP(Main_S[[#This Row],[Industry]], Mean_ROE_S, 2, FALSE))/(VLOOKUP(Main_S[[#This Row],[Industry]], Mean_ROE_S, 3, FALSE))</f>
        <v>0.74716265137292914</v>
      </c>
      <c r="R65" s="1">
        <f>(Main_S[[#This Row],[ROA]]-VLOOKUP(Main_S[[#This Row],[Industry]], Mean_ROA_S, 2, FALSE))/(VLOOKUP(Main_S[[#This Row],[Industry]], Mean_ROA_S, 3, FALSE))</f>
        <v>0.56380377982250129</v>
      </c>
      <c r="S65" s="1">
        <f>(Main_S[[#This Row],[A/E]]-VLOOKUP(Main_S[[#This Row],[Industry]], Mean_AE_S, 2, FALSE))/(VLOOKUP(Main_S[[#This Row],[Industry]], Mean_AE_S, 3, FALSE))</f>
        <v>2.1657513210144326</v>
      </c>
      <c r="T65" s="1">
        <f>(Main_S[[#This Row],[P/E]]-VLOOKUP(Main_S[[#This Row],[Industry]], Mean_PE_S, 2, FALSE))/(VLOOKUP(Main_S[[#This Row],[Industry]], Mean_PE_S, 3, FALSE))</f>
        <v>3.3332191380013154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6" spans="1:26" x14ac:dyDescent="0.25">
      <c r="A66" s="67" t="s">
        <v>142</v>
      </c>
      <c r="B66" s="67" t="s">
        <v>556</v>
      </c>
      <c r="C66" s="2">
        <v>975</v>
      </c>
      <c r="D66">
        <f>RTD("tos.rtd", , "LAST", Main_S[[#This Row],[Symbol]])</f>
        <v>47.9</v>
      </c>
      <c r="E66">
        <v>2.11</v>
      </c>
      <c r="F66">
        <v>3.67</v>
      </c>
      <c r="G66">
        <v>3.53</v>
      </c>
      <c r="H66" s="1">
        <f>IF(ISNUMBER(Main_S[[#This Row],[Free CF]]),IF(Main_S[[#This Row],[Free CF]]&lt;&gt;0,Main_S[[#This Row],[Current Price]]/Main_S[[#This Row],[Free CF]],""),"")</f>
        <v>22.70142180094787</v>
      </c>
      <c r="I66" s="1">
        <f>IF(ISNUMBER(Main_S[[#This Row],[BVPS]]),IF(Main_S[[#This Row],[BVPS]]&lt;&gt;0,Main_S[[#This Row],[Current Price]]/Main_S[[#This Row],[BVPS]],""),"")</f>
        <v>13.051771117166213</v>
      </c>
      <c r="J66">
        <v>185.56</v>
      </c>
      <c r="K66">
        <v>17.23</v>
      </c>
      <c r="L66">
        <v>4.42</v>
      </c>
      <c r="M66" s="1">
        <f>IF(ISNUMBER(Main_S[[#This Row],[EPS]]),IF(Main_S[[#This Row],[EPS]]&lt;&gt;0,Main_S[[#This Row],[Current Price]]/Main_S[[#This Row],[EPS]],""),"")</f>
        <v>13.569405099150142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1.1494704491054135</v>
      </c>
      <c r="P66" s="1">
        <f>(Main_S[[#This Row],[P/B]]-VLOOKUP(Main_S[[#This Row],[Industry]], Mean_PB_S, 2, FALSE))/(VLOOKUP(Main_S[[#This Row],[Industry]], Mean_PB_S, 3, FALSE))</f>
        <v>4.0406772295941495</v>
      </c>
      <c r="Q66" s="1">
        <f>(Main_S[[#This Row],[ROE]]-VLOOKUP(Main_S[[#This Row],[Industry]], Mean_ROE_S, 2, FALSE))/(VLOOKUP(Main_S[[#This Row],[Industry]], Mean_ROE_S, 3, FALSE))</f>
        <v>5.1960451907787242</v>
      </c>
      <c r="R66" s="1">
        <f>(Main_S[[#This Row],[ROA]]-VLOOKUP(Main_S[[#This Row],[Industry]], Mean_ROA_S, 2, FALSE))/(VLOOKUP(Main_S[[#This Row],[Industry]], Mean_ROA_S, 3, FALSE))</f>
        <v>1.5547276411212891</v>
      </c>
      <c r="S66" s="1">
        <f>(Main_S[[#This Row],[A/E]]-VLOOKUP(Main_S[[#This Row],[Industry]], Mean_AE_S, 2, FALSE))/(VLOOKUP(Main_S[[#This Row],[Industry]], Mean_AE_S, 3, FALSE))</f>
        <v>9.1358678125589936</v>
      </c>
      <c r="T66" s="1">
        <f>(Main_S[[#This Row],[P/E]]-VLOOKUP(Main_S[[#This Row],[Industry]], Mean_PE_S, 2, FALSE))/(VLOOKUP(Main_S[[#This Row],[Industry]], Mean_PE_S, 3, FALSE))</f>
        <v>0.60154526115118323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7" t="s">
        <v>142</v>
      </c>
      <c r="B67" s="67" t="s">
        <v>441</v>
      </c>
      <c r="C67" s="2">
        <v>858</v>
      </c>
      <c r="D67">
        <f>RTD("tos.rtd", , "LAST", Main_S[[#This Row],[Symbol]])</f>
        <v>27.86</v>
      </c>
      <c r="E67">
        <v>1.57</v>
      </c>
      <c r="F67">
        <v>14.9</v>
      </c>
      <c r="G67">
        <v>1.57</v>
      </c>
      <c r="H67" s="1">
        <f>IF(ISNUMBER(Main_S[[#This Row],[Free CF]]),IF(Main_S[[#This Row],[Free CF]]&lt;&gt;0,Main_S[[#This Row],[Current Price]]/Main_S[[#This Row],[Free CF]],""),"")</f>
        <v>17.745222929936304</v>
      </c>
      <c r="I67" s="1">
        <f>IF(ISNUMBER(Main_S[[#This Row],[BVPS]]),IF(Main_S[[#This Row],[BVPS]]&lt;&gt;0,Main_S[[#This Row],[Current Price]]/Main_S[[#This Row],[BVPS]],""),"")</f>
        <v>1.8697986577181207</v>
      </c>
      <c r="J67">
        <v>11.03</v>
      </c>
      <c r="K67">
        <v>6.72</v>
      </c>
      <c r="L67">
        <v>1.53</v>
      </c>
      <c r="M67" s="1">
        <f>IF(ISNUMBER(Main_S[[#This Row],[EPS]]),IF(Main_S[[#This Row],[EPS]]&lt;&gt;0,Main_S[[#This Row],[Current Price]]/Main_S[[#This Row],[EPS]],""),"")</f>
        <v>17.745222929936304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0.82682149809656635</v>
      </c>
      <c r="P67" s="1">
        <f>(Main_S[[#This Row],[P/B]]-VLOOKUP(Main_S[[#This Row],[Industry]], Mean_PB_S, 2, FALSE))/(VLOOKUP(Main_S[[#This Row],[Industry]], Mean_PB_S, 3, FALSE))</f>
        <v>-0.15648215125612139</v>
      </c>
      <c r="Q67" s="1">
        <f>(Main_S[[#This Row],[ROE]]-VLOOKUP(Main_S[[#This Row],[Industry]], Mean_ROE_S, 2, FALSE))/(VLOOKUP(Main_S[[#This Row],[Industry]], Mean_ROE_S, 3, FALSE))</f>
        <v>0.92788627695675063</v>
      </c>
      <c r="R67" s="1">
        <f>(Main_S[[#This Row],[ROA]]-VLOOKUP(Main_S[[#This Row],[Industry]], Mean_ROA_S, 2, FALSE))/(VLOOKUP(Main_S[[#This Row],[Industry]], Mean_ROA_S, 3, FALSE))</f>
        <v>0.82745042169040506</v>
      </c>
      <c r="S67" s="1">
        <f>(Main_S[[#This Row],[A/E]]-VLOOKUP(Main_S[[#This Row],[Industry]], Mean_AE_S, 2, FALSE))/(VLOOKUP(Main_S[[#This Row],[Industry]], Mean_AE_S, 3, FALSE))</f>
        <v>0.26201906341195391</v>
      </c>
      <c r="T67" s="1">
        <f>(Main_S[[#This Row],[P/E]]-VLOOKUP(Main_S[[#This Row],[Industry]], Mean_PE_S, 2, FALSE))/(VLOOKUP(Main_S[[#This Row],[Industry]], Mean_PE_S, 3, FALSE))</f>
        <v>0.86110235083646325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s="67" t="s">
        <v>142</v>
      </c>
      <c r="B68" s="67" t="s">
        <v>438</v>
      </c>
      <c r="C68" s="2">
        <v>488</v>
      </c>
      <c r="D68">
        <f>RTD("tos.rtd", , "LAST", Main_S[[#This Row],[Symbol]])</f>
        <v>16.350000000000001</v>
      </c>
      <c r="E68">
        <v>1.23</v>
      </c>
      <c r="F68">
        <v>7.66</v>
      </c>
      <c r="G68">
        <v>0.72</v>
      </c>
      <c r="H68" s="1">
        <f>IF(ISNUMBER(Main_S[[#This Row],[Free CF]]),IF(Main_S[[#This Row],[Free CF]]&lt;&gt;0,Main_S[[#This Row],[Current Price]]/Main_S[[#This Row],[Free CF]],""),"")</f>
        <v>13.29268292682927</v>
      </c>
      <c r="I68" s="1">
        <f>IF(ISNUMBER(Main_S[[#This Row],[BVPS]]),IF(Main_S[[#This Row],[BVPS]]&lt;&gt;0,Main_S[[#This Row],[Current Price]]/Main_S[[#This Row],[BVPS]],""),"")</f>
        <v>2.1344647519582245</v>
      </c>
      <c r="J68">
        <v>10.42</v>
      </c>
      <c r="K68">
        <v>6.39</v>
      </c>
      <c r="L68">
        <v>1.73</v>
      </c>
      <c r="M68" s="1">
        <f>IF(ISNUMBER(Main_S[[#This Row],[EPS]]),IF(Main_S[[#This Row],[EPS]]&lt;&gt;0,Main_S[[#This Row],[Current Price]]/Main_S[[#This Row],[EPS]],""),"")</f>
        <v>22.708333333333336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0.53696078049501428</v>
      </c>
      <c r="P68" s="1">
        <f>(Main_S[[#This Row],[P/B]]-VLOOKUP(Main_S[[#This Row],[Industry]], Mean_PB_S, 2, FALSE))/(VLOOKUP(Main_S[[#This Row],[Industry]], Mean_PB_S, 3, FALSE))</f>
        <v>-5.7139590338413551E-2</v>
      </c>
      <c r="Q68" s="1">
        <f>(Main_S[[#This Row],[ROE]]-VLOOKUP(Main_S[[#This Row],[Industry]], Mean_ROE_S, 2, FALSE))/(VLOOKUP(Main_S[[#This Row],[Industry]], Mean_ROE_S, 3, FALSE))</f>
        <v>0.91296862991938521</v>
      </c>
      <c r="R68" s="1">
        <f>(Main_S[[#This Row],[ROA]]-VLOOKUP(Main_S[[#This Row],[Industry]], Mean_ROA_S, 2, FALSE))/(VLOOKUP(Main_S[[#This Row],[Industry]], Mean_ROA_S, 3, FALSE))</f>
        <v>0.80461488578058649</v>
      </c>
      <c r="S68" s="1">
        <f>(Main_S[[#This Row],[A/E]]-VLOOKUP(Main_S[[#This Row],[Industry]], Mean_AE_S, 2, FALSE))/(VLOOKUP(Main_S[[#This Row],[Industry]], Mean_AE_S, 3, FALSE))</f>
        <v>0.87612624328372124</v>
      </c>
      <c r="T68" s="1">
        <f>(Main_S[[#This Row],[P/E]]-VLOOKUP(Main_S[[#This Row],[Industry]], Mean_PE_S, 2, FALSE))/(VLOOKUP(Main_S[[#This Row],[Industry]], Mean_PE_S, 3, FALSE))</f>
        <v>1.1695953321622179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7" t="s">
        <v>142</v>
      </c>
      <c r="B69" s="67" t="s">
        <v>296</v>
      </c>
      <c r="C69" s="2">
        <v>1973</v>
      </c>
      <c r="D69">
        <f>RTD("tos.rtd", , "LAST", Main_S[[#This Row],[Symbol]])</f>
        <v>45.84</v>
      </c>
      <c r="E69">
        <v>1.05</v>
      </c>
      <c r="F69">
        <v>12.82</v>
      </c>
      <c r="G69">
        <v>0.51</v>
      </c>
      <c r="H69" s="1">
        <f>IF(ISNUMBER(Main_S[[#This Row],[Free CF]]),IF(Main_S[[#This Row],[Free CF]]&lt;&gt;0,Main_S[[#This Row],[Current Price]]/Main_S[[#This Row],[Free CF]],""),"")</f>
        <v>43.657142857142858</v>
      </c>
      <c r="I69" s="1">
        <f>IF(ISNUMBER(Main_S[[#This Row],[BVPS]]),IF(Main_S[[#This Row],[BVPS]]&lt;&gt;0,Main_S[[#This Row],[Current Price]]/Main_S[[#This Row],[BVPS]],""),"")</f>
        <v>3.5756630265210609</v>
      </c>
      <c r="J69">
        <v>4.16</v>
      </c>
      <c r="K69">
        <v>1.8</v>
      </c>
      <c r="L69">
        <v>1.1499999999999999</v>
      </c>
      <c r="M69" s="1">
        <f>IF(ISNUMBER(Main_S[[#This Row],[EPS]]),IF(Main_S[[#This Row],[EPS]]&lt;&gt;0,Main_S[[#This Row],[Current Price]]/Main_S[[#This Row],[EPS]],""),"")</f>
        <v>89.882352941176478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2.5136896001895037</v>
      </c>
      <c r="P69" s="1">
        <f>(Main_S[[#This Row],[P/B]]-VLOOKUP(Main_S[[#This Row],[Industry]], Mean_PB_S, 2, FALSE))/(VLOOKUP(Main_S[[#This Row],[Industry]], Mean_PB_S, 3, FALSE))</f>
        <v>0.48381495767924365</v>
      </c>
      <c r="Q69" s="1">
        <f>(Main_S[[#This Row],[ROE]]-VLOOKUP(Main_S[[#This Row],[Industry]], Mean_ROE_S, 2, FALSE))/(VLOOKUP(Main_S[[#This Row],[Industry]], Mean_ROE_S, 3, FALSE))</f>
        <v>0.75987933409330632</v>
      </c>
      <c r="R69" s="1">
        <f>(Main_S[[#This Row],[ROA]]-VLOOKUP(Main_S[[#This Row],[Industry]], Mean_ROA_S, 2, FALSE))/(VLOOKUP(Main_S[[#This Row],[Industry]], Mean_ROA_S, 3, FALSE))</f>
        <v>0.48699334085311202</v>
      </c>
      <c r="S69" s="1">
        <f>(Main_S[[#This Row],[A/E]]-VLOOKUP(Main_S[[#This Row],[Industry]], Mean_AE_S, 2, FALSE))/(VLOOKUP(Main_S[[#This Row],[Industry]], Mean_AE_S, 3, FALSE))</f>
        <v>-0.90478457834440462</v>
      </c>
      <c r="T69" s="1">
        <f>(Main_S[[#This Row],[P/E]]-VLOOKUP(Main_S[[#This Row],[Industry]], Mean_PE_S, 2, FALSE))/(VLOOKUP(Main_S[[#This Row],[Industry]], Mean_PE_S, 3, FALSE))</f>
        <v>5.3449434288465989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0" spans="1:26" x14ac:dyDescent="0.25">
      <c r="A70" s="67" t="s">
        <v>142</v>
      </c>
      <c r="B70" s="67" t="s">
        <v>622</v>
      </c>
      <c r="C70" s="2">
        <v>869</v>
      </c>
      <c r="D70">
        <f>RTD("tos.rtd", , "LAST", Main_S[[#This Row],[Symbol]])</f>
        <v>81.017499999999998</v>
      </c>
      <c r="E70">
        <v>0.84</v>
      </c>
      <c r="F70">
        <v>19.29</v>
      </c>
      <c r="G70">
        <v>5.26</v>
      </c>
      <c r="H70" s="1">
        <f>IF(ISNUMBER(Main_S[[#This Row],[Free CF]]),IF(Main_S[[#This Row],[Free CF]]&lt;&gt;0,Main_S[[#This Row],[Current Price]]/Main_S[[#This Row],[Free CF]],""),"")</f>
        <v>96.449404761904759</v>
      </c>
      <c r="I70" s="1">
        <f>IF(ISNUMBER(Main_S[[#This Row],[BVPS]]),IF(Main_S[[#This Row],[BVPS]]&lt;&gt;0,Main_S[[#This Row],[Current Price]]/Main_S[[#This Row],[BVPS]],""),"")</f>
        <v>4.199974079834111</v>
      </c>
      <c r="J70">
        <v>31.67</v>
      </c>
      <c r="K70">
        <v>16.899999999999999</v>
      </c>
      <c r="L70">
        <v>1.55</v>
      </c>
      <c r="M70" s="1">
        <f>IF(ISNUMBER(Main_S[[#This Row],[EPS]]),IF(Main_S[[#This Row],[EPS]]&lt;&gt;0,Main_S[[#This Row],[Current Price]]/Main_S[[#This Row],[EPS]],""),"")</f>
        <v>15.402566539923955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5.9504701588919895</v>
      </c>
      <c r="P70" s="1">
        <f>(Main_S[[#This Row],[P/B]]-VLOOKUP(Main_S[[#This Row],[Industry]], Mean_PB_S, 2, FALSE))/(VLOOKUP(Main_S[[#This Row],[Industry]], Mean_PB_S, 3, FALSE))</f>
        <v>0.71815044754779167</v>
      </c>
      <c r="Q70" s="1">
        <f>(Main_S[[#This Row],[ROE]]-VLOOKUP(Main_S[[#This Row],[Industry]], Mean_ROE_S, 2, FALSE))/(VLOOKUP(Main_S[[#This Row],[Industry]], Mean_ROE_S, 3, FALSE))</f>
        <v>1.4326407603194133</v>
      </c>
      <c r="R70" s="1">
        <f>(Main_S[[#This Row],[ROA]]-VLOOKUP(Main_S[[#This Row],[Industry]], Mean_ROA_S, 2, FALSE))/(VLOOKUP(Main_S[[#This Row],[Industry]], Mean_ROA_S, 3, FALSE))</f>
        <v>1.5318921052114707</v>
      </c>
      <c r="S70" s="1">
        <f>(Main_S[[#This Row],[A/E]]-VLOOKUP(Main_S[[#This Row],[Industry]], Mean_AE_S, 2, FALSE))/(VLOOKUP(Main_S[[#This Row],[Industry]], Mean_AE_S, 3, FALSE))</f>
        <v>0.3234297813991307</v>
      </c>
      <c r="T70" s="1">
        <f>(Main_S[[#This Row],[P/E]]-VLOOKUP(Main_S[[#This Row],[Industry]], Mean_PE_S, 2, FALSE))/(VLOOKUP(Main_S[[#This Row],[Industry]], Mean_PE_S, 3, FALSE))</f>
        <v>0.71548941958228673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7" t="s">
        <v>142</v>
      </c>
      <c r="B71" s="67" t="s">
        <v>433</v>
      </c>
      <c r="C71" s="2">
        <v>1116</v>
      </c>
      <c r="D71">
        <f>RTD("tos.rtd", , "LAST", Main_S[[#This Row],[Symbol]])</f>
        <v>33.090000000000003</v>
      </c>
      <c r="E71">
        <v>0.7</v>
      </c>
      <c r="F71">
        <v>4.99</v>
      </c>
      <c r="G71">
        <v>0.16</v>
      </c>
      <c r="H71" s="1">
        <f>IF(ISNUMBER(Main_S[[#This Row],[Free CF]]),IF(Main_S[[#This Row],[Free CF]]&lt;&gt;0,Main_S[[#This Row],[Current Price]]/Main_S[[#This Row],[Free CF]],""),"")</f>
        <v>47.271428571428579</v>
      </c>
      <c r="I71" s="1">
        <f>IF(ISNUMBER(Main_S[[#This Row],[BVPS]]),IF(Main_S[[#This Row],[BVPS]]&lt;&gt;0,Main_S[[#This Row],[Current Price]]/Main_S[[#This Row],[BVPS]],""),"")</f>
        <v>6.6312625250501007</v>
      </c>
      <c r="J71">
        <v>3.53</v>
      </c>
      <c r="K71">
        <v>1.7</v>
      </c>
      <c r="L71">
        <v>1.58</v>
      </c>
      <c r="M71" s="1">
        <f>IF(ISNUMBER(Main_S[[#This Row],[EPS]]),IF(Main_S[[#This Row],[EPS]]&lt;&gt;0,Main_S[[#This Row],[Current Price]]/Main_S[[#This Row],[EPS]],""),"")</f>
        <v>206.81250000000003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2.7489798951736795</v>
      </c>
      <c r="P71" s="1">
        <f>(Main_S[[#This Row],[P/B]]-VLOOKUP(Main_S[[#This Row],[Industry]], Mean_PB_S, 2, FALSE))/(VLOOKUP(Main_S[[#This Row],[Industry]], Mean_PB_S, 3, FALSE))</f>
        <v>1.6307358739918509</v>
      </c>
      <c r="Q71" s="1">
        <f>(Main_S[[#This Row],[ROE]]-VLOOKUP(Main_S[[#This Row],[Industry]], Mean_ROE_S, 2, FALSE))/(VLOOKUP(Main_S[[#This Row],[Industry]], Mean_ROE_S, 3, FALSE))</f>
        <v>0.74447258387438786</v>
      </c>
      <c r="R71" s="1">
        <f>(Main_S[[#This Row],[ROA]]-VLOOKUP(Main_S[[#This Row],[Industry]], Mean_ROA_S, 2, FALSE))/(VLOOKUP(Main_S[[#This Row],[Industry]], Mean_ROA_S, 3, FALSE))</f>
        <v>0.48007348148650036</v>
      </c>
      <c r="S71" s="1">
        <f>(Main_S[[#This Row],[A/E]]-VLOOKUP(Main_S[[#This Row],[Industry]], Mean_AE_S, 2, FALSE))/(VLOOKUP(Main_S[[#This Row],[Industry]], Mean_AE_S, 3, FALSE))</f>
        <v>0.41554585837989588</v>
      </c>
      <c r="T71" s="1">
        <f>(Main_S[[#This Row],[P/E]]-VLOOKUP(Main_S[[#This Row],[Industry]], Mean_PE_S, 2, FALSE))/(VLOOKUP(Main_S[[#This Row],[Industry]], Mean_PE_S, 3, FALSE))</f>
        <v>12.612992442695983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2" spans="1:26" x14ac:dyDescent="0.25">
      <c r="A72" s="67" t="s">
        <v>142</v>
      </c>
      <c r="B72" s="67" t="s">
        <v>434</v>
      </c>
      <c r="C72" s="2">
        <v>1007</v>
      </c>
      <c r="D72">
        <f>RTD("tos.rtd", , "LAST", Main_S[[#This Row],[Symbol]])</f>
        <v>7.49</v>
      </c>
      <c r="E72">
        <v>0.56999999999999995</v>
      </c>
      <c r="F72">
        <v>-0.64</v>
      </c>
      <c r="G72">
        <v>-1.86</v>
      </c>
      <c r="H72" s="1">
        <f>IF(ISNUMBER(Main_S[[#This Row],[Free CF]]),IF(Main_S[[#This Row],[Free CF]]&lt;&gt;0,Main_S[[#This Row],[Current Price]]/Main_S[[#This Row],[Free CF]],""),"")</f>
        <v>13.140350877192985</v>
      </c>
      <c r="I72" s="1">
        <f>IF(ISNUMBER(Main_S[[#This Row],[BVPS]]),IF(Main_S[[#This Row],[BVPS]]&lt;&gt;0,Main_S[[#This Row],[Current Price]]/Main_S[[#This Row],[BVPS]],""),"")</f>
        <v>-11.703125</v>
      </c>
      <c r="J72">
        <v>-49.11</v>
      </c>
      <c r="K72">
        <v>4.93</v>
      </c>
      <c r="L72">
        <v>-14.58</v>
      </c>
      <c r="M72" s="1">
        <f>IF(ISNUMBER(Main_S[[#This Row],[EPS]]),IF(Main_S[[#This Row],[EPS]]&lt;&gt;0,Main_S[[#This Row],[Current Price]]/Main_S[[#This Row],[EPS]],""),"")</f>
        <v>-4.0268817204301071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0.52704395163093287</v>
      </c>
      <c r="P72" s="1">
        <f>(Main_S[[#This Row],[P/B]]-VLOOKUP(Main_S[[#This Row],[Industry]], Mean_PB_S, 2, FALSE))/(VLOOKUP(Main_S[[#This Row],[Industry]], Mean_PB_S, 3, FALSE))</f>
        <v>-5.2510863511995662</v>
      </c>
      <c r="Q72" s="1">
        <f>(Main_S[[#This Row],[ROE]]-VLOOKUP(Main_S[[#This Row],[Industry]], Mean_ROE_S, 2, FALSE))/(VLOOKUP(Main_S[[#This Row],[Industry]], Mean_ROE_S, 3, FALSE))</f>
        <v>-0.54284698997302328</v>
      </c>
      <c r="R72" s="1">
        <f>(Main_S[[#This Row],[ROA]]-VLOOKUP(Main_S[[#This Row],[Industry]], Mean_ROA_S, 2, FALSE))/(VLOOKUP(Main_S[[#This Row],[Industry]], Mean_ROA_S, 3, FALSE))</f>
        <v>0.70358493902805652</v>
      </c>
      <c r="S72" s="1">
        <f>(Main_S[[#This Row],[A/E]]-VLOOKUP(Main_S[[#This Row],[Industry]], Mean_AE_S, 2, FALSE))/(VLOOKUP(Main_S[[#This Row],[Industry]], Mean_AE_S, 3, FALSE))</f>
        <v>-49.204314275258923</v>
      </c>
      <c r="T72" s="1">
        <f>(Main_S[[#This Row],[P/E]]-VLOOKUP(Main_S[[#This Row],[Industry]], Mean_PE_S, 2, FALSE))/(VLOOKUP(Main_S[[#This Row],[Industry]], Mean_PE_S, 3, FALSE))</f>
        <v>-0.49219042877421942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7" t="s">
        <v>142</v>
      </c>
      <c r="B73" s="67" t="s">
        <v>440</v>
      </c>
      <c r="C73" s="2">
        <v>789</v>
      </c>
      <c r="D73">
        <f>RTD("tos.rtd", , "LAST", Main_S[[#This Row],[Symbol]])</f>
        <v>5.0999999999999996</v>
      </c>
      <c r="E73">
        <v>0.44</v>
      </c>
      <c r="F73">
        <v>3.34</v>
      </c>
      <c r="G73">
        <v>0.11</v>
      </c>
      <c r="H73" s="1">
        <f>IF(ISNUMBER(Main_S[[#This Row],[Free CF]]),IF(Main_S[[#This Row],[Free CF]]&lt;&gt;0,Main_S[[#This Row],[Current Price]]/Main_S[[#This Row],[Free CF]],""),"")</f>
        <v>11.59090909090909</v>
      </c>
      <c r="I73" s="1">
        <f>IF(ISNUMBER(Main_S[[#This Row],[BVPS]]),IF(Main_S[[#This Row],[BVPS]]&lt;&gt;0,Main_S[[#This Row],[Current Price]]/Main_S[[#This Row],[BVPS]],""),"")</f>
        <v>1.5269461077844311</v>
      </c>
      <c r="J73">
        <v>3.43</v>
      </c>
      <c r="K73">
        <v>3.97</v>
      </c>
      <c r="L73">
        <v>1.41</v>
      </c>
      <c r="M73" s="1">
        <f>IF(ISNUMBER(Main_S[[#This Row],[EPS]]),IF(Main_S[[#This Row],[EPS]]&lt;&gt;0,Main_S[[#This Row],[Current Price]]/Main_S[[#This Row],[EPS]],""),"")</f>
        <v>46.36363636363636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0.42617516488433943</v>
      </c>
      <c r="P73" s="1">
        <f>(Main_S[[#This Row],[P/B]]-VLOOKUP(Main_S[[#This Row],[Industry]], Mean_PB_S, 2, FALSE))/(VLOOKUP(Main_S[[#This Row],[Industry]], Mean_PB_S, 3, FALSE))</f>
        <v>-0.28517204039877864</v>
      </c>
      <c r="Q73" s="1">
        <f>(Main_S[[#This Row],[ROE]]-VLOOKUP(Main_S[[#This Row],[Industry]], Mean_ROE_S, 2, FALSE))/(VLOOKUP(Main_S[[#This Row],[Industry]], Mean_ROE_S, 3, FALSE))</f>
        <v>0.74202706796662299</v>
      </c>
      <c r="R73" s="1">
        <f>(Main_S[[#This Row],[ROA]]-VLOOKUP(Main_S[[#This Row],[Industry]], Mean_ROA_S, 2, FALSE))/(VLOOKUP(Main_S[[#This Row],[Industry]], Mean_ROA_S, 3, FALSE))</f>
        <v>0.63715428910858485</v>
      </c>
      <c r="S73" s="1">
        <f>(Main_S[[#This Row],[A/E]]-VLOOKUP(Main_S[[#This Row],[Industry]], Mean_AE_S, 2, FALSE))/(VLOOKUP(Main_S[[#This Row],[Industry]], Mean_AE_S, 3, FALSE))</f>
        <v>-0.10644524451110692</v>
      </c>
      <c r="T73" s="1">
        <f>(Main_S[[#This Row],[P/E]]-VLOOKUP(Main_S[[#This Row],[Industry]], Mean_PE_S, 2, FALSE))/(VLOOKUP(Main_S[[#This Row],[Industry]], Mean_PE_S, 3, FALSE))</f>
        <v>2.6399424255872459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7" t="s">
        <v>142</v>
      </c>
      <c r="B74" s="67" t="s">
        <v>626</v>
      </c>
      <c r="C74" s="2">
        <v>440</v>
      </c>
      <c r="D74">
        <f>RTD("tos.rtd", , "LAST", Main_S[[#This Row],[Symbol]])</f>
        <v>4.3499999999999996</v>
      </c>
      <c r="E74">
        <v>-0.01</v>
      </c>
      <c r="F74">
        <v>0.01</v>
      </c>
      <c r="G74">
        <v>0</v>
      </c>
      <c r="H74" s="1">
        <f>IF(ISNUMBER(Main_S[[#This Row],[Free CF]]),IF(Main_S[[#This Row],[Free CF]]&lt;&gt;0,Main_S[[#This Row],[Current Price]]/Main_S[[#This Row],[Free CF]],""),"")</f>
        <v>-434.99999999999994</v>
      </c>
      <c r="I74" s="1">
        <f>IF(ISNUMBER(Main_S[[#This Row],[BVPS]]),IF(Main_S[[#This Row],[BVPS]]&lt;&gt;0,Main_S[[#This Row],[Current Price]]/Main_S[[#This Row],[BVPS]],""),"")</f>
        <v>434.99999999999994</v>
      </c>
      <c r="J74">
        <v>223.37</v>
      </c>
      <c r="K74">
        <v>-39.659999999999997</v>
      </c>
      <c r="L74">
        <v>1.17</v>
      </c>
      <c r="M74" s="1" t="str">
        <f>IF(ISNUMBER(Main_S[[#This Row],[EPS]]),IF(Main_S[[#This Row],[EPS]]&lt;&gt;0,Main_S[[#This Row],[Current Price]]/Main_S[[#This Row],[EPS]],""),"")</f>
        <v/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-28.646929465975624</v>
      </c>
      <c r="P74" s="1">
        <f>(Main_S[[#This Row],[P/B]]-VLOOKUP(Main_S[[#This Row],[Industry]], Mean_PB_S, 2, FALSE))/(VLOOKUP(Main_S[[#This Row],[Industry]], Mean_PB_S, 3, FALSE))</f>
        <v>162.41917203552333</v>
      </c>
      <c r="Q74" s="1">
        <f>(Main_S[[#This Row],[ROE]]-VLOOKUP(Main_S[[#This Row],[Industry]], Mean_ROE_S, 2, FALSE))/(VLOOKUP(Main_S[[#This Row],[Industry]], Mean_ROE_S, 3, FALSE))</f>
        <v>6.1206947555046094</v>
      </c>
      <c r="R74" s="1">
        <f>(Main_S[[#This Row],[ROA]]-VLOOKUP(Main_S[[#This Row],[Industry]], Mean_ROA_S, 2, FALSE))/(VLOOKUP(Main_S[[#This Row],[Industry]], Mean_ROA_S, 3, FALSE))</f>
        <v>-2.3819803525440766</v>
      </c>
      <c r="S74" s="1">
        <f>(Main_S[[#This Row],[A/E]]-VLOOKUP(Main_S[[#This Row],[Industry]], Mean_AE_S, 2, FALSE))/(VLOOKUP(Main_S[[#This Row],[Industry]], Mean_AE_S, 3, FALSE))</f>
        <v>-0.84337386035722783</v>
      </c>
      <c r="T74" s="1" t="e">
        <f>(Main_S[[#This Row],[P/E]]-VLOOKUP(Main_S[[#This Row],[Industry]], Mean_PE_S, 2, FALSE))/(VLOOKUP(Main_S[[#This Row],[Industry]], Mean_PE_S, 3, FALSE))</f>
        <v>#VALUE!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5" spans="1:26" x14ac:dyDescent="0.25">
      <c r="A75" s="67" t="s">
        <v>142</v>
      </c>
      <c r="B75" s="67" t="s">
        <v>555</v>
      </c>
      <c r="C75" s="2">
        <v>333</v>
      </c>
      <c r="D75">
        <f>RTD("tos.rtd", , "LAST", Main_S[[#This Row],[Symbol]])</f>
        <v>1.05</v>
      </c>
      <c r="E75">
        <v>-0.27</v>
      </c>
      <c r="F75">
        <v>0.74</v>
      </c>
      <c r="G75">
        <v>-0.3</v>
      </c>
      <c r="H75" s="1">
        <f>IF(ISNUMBER(Main_S[[#This Row],[Free CF]]),IF(Main_S[[#This Row],[Free CF]]&lt;&gt;0,Main_S[[#This Row],[Current Price]]/Main_S[[#This Row],[Free CF]],""),"")</f>
        <v>-3.8888888888888888</v>
      </c>
      <c r="I75" s="1">
        <f>IF(ISNUMBER(Main_S[[#This Row],[BVPS]]),IF(Main_S[[#This Row],[BVPS]]&lt;&gt;0,Main_S[[#This Row],[Current Price]]/Main_S[[#This Row],[BVPS]],""),"")</f>
        <v>1.4189189189189191</v>
      </c>
      <c r="J75">
        <v>-31.45</v>
      </c>
      <c r="K75">
        <v>-20.100000000000001</v>
      </c>
      <c r="L75">
        <v>1.1299999999999999</v>
      </c>
      <c r="M75" s="1">
        <f>IF(ISNUMBER(Main_S[[#This Row],[EPS]]),IF(Main_S[[#This Row],[EPS]]&lt;&gt;0,Main_S[[#This Row],[Current Price]]/Main_S[[#This Row],[EPS]],""),"")</f>
        <v>-3.5000000000000004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-0.58156094700240968</v>
      </c>
      <c r="P75" s="1">
        <f>(Main_S[[#This Row],[P/B]]-VLOOKUP(Main_S[[#This Row],[Industry]], Mean_PB_S, 2, FALSE))/(VLOOKUP(Main_S[[#This Row],[Industry]], Mean_PB_S, 3, FALSE))</f>
        <v>-0.32572010388025019</v>
      </c>
      <c r="Q75" s="1">
        <f>(Main_S[[#This Row],[ROE]]-VLOOKUP(Main_S[[#This Row],[Industry]], Mean_ROE_S, 2, FALSE))/(VLOOKUP(Main_S[[#This Row],[Industry]], Mean_ROE_S, 3, FALSE))</f>
        <v>-0.11096888066175277</v>
      </c>
      <c r="R75" s="1">
        <f>(Main_S[[#This Row],[ROA]]-VLOOKUP(Main_S[[#This Row],[Industry]], Mean_ROA_S, 2, FALSE))/(VLOOKUP(Main_S[[#This Row],[Industry]], Mean_ROA_S, 3, FALSE))</f>
        <v>-1.0284558604348388</v>
      </c>
      <c r="S75" s="1">
        <f>(Main_S[[#This Row],[A/E]]-VLOOKUP(Main_S[[#This Row],[Industry]], Mean_AE_S, 2, FALSE))/(VLOOKUP(Main_S[[#This Row],[Industry]], Mean_AE_S, 3, FALSE))</f>
        <v>-0.96619529633158141</v>
      </c>
      <c r="T75" s="1">
        <f>(Main_S[[#This Row],[P/E]]-VLOOKUP(Main_S[[#This Row],[Industry]], Mean_PE_S, 2, FALSE))/(VLOOKUP(Main_S[[#This Row],[Industry]], Mean_PE_S, 3, FALSE))</f>
        <v>-0.45944094316328571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7" t="s">
        <v>142</v>
      </c>
      <c r="B76" s="67" t="s">
        <v>554</v>
      </c>
      <c r="C76" s="2">
        <v>324</v>
      </c>
      <c r="D76">
        <f>RTD("tos.rtd", , "LAST", Main_S[[#This Row],[Symbol]])</f>
        <v>3.15</v>
      </c>
      <c r="E76">
        <v>-0.35</v>
      </c>
      <c r="F76">
        <v>0.57999999999999996</v>
      </c>
      <c r="G76">
        <v>-0.41</v>
      </c>
      <c r="H76" s="1">
        <f>IF(ISNUMBER(Main_S[[#This Row],[Free CF]]),IF(Main_S[[#This Row],[Free CF]]&lt;&gt;0,Main_S[[#This Row],[Current Price]]/Main_S[[#This Row],[Free CF]],""),"")</f>
        <v>-9</v>
      </c>
      <c r="I76" s="1">
        <f>IF(ISNUMBER(Main_S[[#This Row],[BVPS]]),IF(Main_S[[#This Row],[BVPS]]&lt;&gt;0,Main_S[[#This Row],[Current Price]]/Main_S[[#This Row],[BVPS]],""),"")</f>
        <v>5.431034482758621</v>
      </c>
      <c r="J76">
        <v>-67.760000000000005</v>
      </c>
      <c r="K76">
        <v>-24.51</v>
      </c>
      <c r="L76">
        <v>1.68</v>
      </c>
      <c r="M76" s="1">
        <f>IF(ISNUMBER(Main_S[[#This Row],[EPS]]),IF(Main_S[[#This Row],[EPS]]&lt;&gt;0,Main_S[[#This Row],[Current Price]]/Main_S[[#This Row],[EPS]],""),"")</f>
        <v>-7.6829268292682933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-0.91429469748508174</v>
      </c>
      <c r="P76" s="1">
        <f>(Main_S[[#This Row],[P/B]]-VLOOKUP(Main_S[[#This Row],[Industry]], Mean_PB_S, 2, FALSE))/(VLOOKUP(Main_S[[#This Row],[Industry]], Mean_PB_S, 3, FALSE))</f>
        <v>1.1802296323486945</v>
      </c>
      <c r="Q76" s="1">
        <f>(Main_S[[#This Row],[ROE]]-VLOOKUP(Main_S[[#This Row],[Industry]], Mean_ROE_S, 2, FALSE))/(VLOOKUP(Main_S[[#This Row],[Industry]], Mean_ROE_S, 3, FALSE))</f>
        <v>-0.99893570677116594</v>
      </c>
      <c r="R76" s="1">
        <f>(Main_S[[#This Row],[ROA]]-VLOOKUP(Main_S[[#This Row],[Industry]], Mean_ROA_S, 2, FALSE))/(VLOOKUP(Main_S[[#This Row],[Industry]], Mean_ROA_S, 3, FALSE))</f>
        <v>-1.3336216585024125</v>
      </c>
      <c r="S76" s="1">
        <f>(Main_S[[#This Row],[A/E]]-VLOOKUP(Main_S[[#This Row],[Industry]], Mean_AE_S, 2, FALSE))/(VLOOKUP(Main_S[[#This Row],[Industry]], Mean_AE_S, 3, FALSE))</f>
        <v>0.72259944831577927</v>
      </c>
      <c r="T76" s="1">
        <f>(Main_S[[#This Row],[P/E]]-VLOOKUP(Main_S[[#This Row],[Industry]], Mean_PE_S, 2, FALSE))/(VLOOKUP(Main_S[[#This Row],[Industry]], Mean_PE_S, 3, FALSE))</f>
        <v>-0.71943990819643067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7" t="s">
        <v>142</v>
      </c>
      <c r="B77" s="67" t="s">
        <v>553</v>
      </c>
      <c r="C77" s="2">
        <v>686</v>
      </c>
      <c r="D77">
        <f>RTD("tos.rtd", , "LAST", Main_S[[#This Row],[Symbol]])</f>
        <v>10.5</v>
      </c>
      <c r="E77">
        <v>-0.36</v>
      </c>
      <c r="F77">
        <v>-0.85</v>
      </c>
      <c r="G77">
        <v>-1.98</v>
      </c>
      <c r="H77" s="1">
        <f>IF(ISNUMBER(Main_S[[#This Row],[Free CF]]),IF(Main_S[[#This Row],[Free CF]]&lt;&gt;0,Main_S[[#This Row],[Current Price]]/Main_S[[#This Row],[Free CF]],""),"")</f>
        <v>-29.166666666666668</v>
      </c>
      <c r="I77" s="1">
        <f>IF(ISNUMBER(Main_S[[#This Row],[BVPS]]),IF(Main_S[[#This Row],[BVPS]]&lt;&gt;0,Main_S[[#This Row],[Current Price]]/Main_S[[#This Row],[BVPS]],""),"")</f>
        <v>-12.352941176470589</v>
      </c>
      <c r="J77">
        <v>2203.8000000000002</v>
      </c>
      <c r="K77">
        <v>-3.94</v>
      </c>
      <c r="L77">
        <v>-3.39</v>
      </c>
      <c r="M77" s="1">
        <f>IF(ISNUMBER(Main_S[[#This Row],[EPS]]),IF(Main_S[[#This Row],[EPS]]&lt;&gt;0,Main_S[[#This Row],[Current Price]]/Main_S[[#This Row],[EPS]],""),"")</f>
        <v>-5.3030303030303028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-2.2271463434112775</v>
      </c>
      <c r="P77" s="1">
        <f>(Main_S[[#This Row],[P/B]]-VLOOKUP(Main_S[[#This Row],[Industry]], Mean_PB_S, 2, FALSE))/(VLOOKUP(Main_S[[#This Row],[Industry]], Mean_PB_S, 3, FALSE))</f>
        <v>-5.4949952027722873</v>
      </c>
      <c r="Q77" s="1">
        <f>(Main_S[[#This Row],[ROE]]-VLOOKUP(Main_S[[#This Row],[Industry]], Mean_ROE_S, 2, FALSE))/(VLOOKUP(Main_S[[#This Row],[Industry]], Mean_ROE_S, 3, FALSE))</f>
        <v>54.552425447651807</v>
      </c>
      <c r="R77" s="1">
        <f>(Main_S[[#This Row],[ROA]]-VLOOKUP(Main_S[[#This Row],[Industry]], Mean_ROA_S, 2, FALSE))/(VLOOKUP(Main_S[[#This Row],[Industry]], Mean_ROA_S, 3, FALSE))</f>
        <v>8.9793413209603476E-2</v>
      </c>
      <c r="S77" s="1">
        <f>(Main_S[[#This Row],[A/E]]-VLOOKUP(Main_S[[#This Row],[Industry]], Mean_AE_S, 2, FALSE))/(VLOOKUP(Main_S[[#This Row],[Industry]], Mean_AE_S, 3, FALSE))</f>
        <v>-14.845017561433528</v>
      </c>
      <c r="T77" s="1">
        <f>(Main_S[[#This Row],[P/E]]-VLOOKUP(Main_S[[#This Row],[Industry]], Mean_PE_S, 2, FALSE))/(VLOOKUP(Main_S[[#This Row],[Industry]], Mean_PE_S, 3, FALSE))</f>
        <v>-0.57151223483187075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7" t="s">
        <v>142</v>
      </c>
      <c r="B78" s="67" t="s">
        <v>436</v>
      </c>
      <c r="C78" s="2">
        <v>321</v>
      </c>
      <c r="D78">
        <f>RTD("tos.rtd", , "LAST", Main_S[[#This Row],[Symbol]])</f>
        <v>0.78400000000000003</v>
      </c>
      <c r="E78">
        <v>-0.37</v>
      </c>
      <c r="F78">
        <v>0.3</v>
      </c>
      <c r="G78">
        <v>-0.64</v>
      </c>
      <c r="H78" s="1">
        <f>IF(ISNUMBER(Main_S[[#This Row],[Free CF]]),IF(Main_S[[#This Row],[Free CF]]&lt;&gt;0,Main_S[[#This Row],[Current Price]]/Main_S[[#This Row],[Free CF]],""),"")</f>
        <v>-2.118918918918919</v>
      </c>
      <c r="I78" s="1">
        <f>IF(ISNUMBER(Main_S[[#This Row],[BVPS]]),IF(Main_S[[#This Row],[BVPS]]&lt;&gt;0,Main_S[[#This Row],[Current Price]]/Main_S[[#This Row],[BVPS]],""),"")</f>
        <v>2.6133333333333337</v>
      </c>
      <c r="J78">
        <v>-119.13</v>
      </c>
      <c r="K78">
        <v>-15.19</v>
      </c>
      <c r="L78">
        <v>6.53</v>
      </c>
      <c r="M78" s="1">
        <f>IF(ISNUMBER(Main_S[[#This Row],[EPS]]),IF(Main_S[[#This Row],[EPS]]&lt;&gt;0,Main_S[[#This Row],[Current Price]]/Main_S[[#This Row],[EPS]],""),"")</f>
        <v>-1.2250000000000001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-0.46633575749918588</v>
      </c>
      <c r="P78" s="1">
        <f>(Main_S[[#This Row],[P/B]]-VLOOKUP(Main_S[[#This Row],[Industry]], Mean_PB_S, 2, FALSE))/(VLOOKUP(Main_S[[#This Row],[Industry]], Mean_PB_S, 3, FALSE))</f>
        <v>0.12260398941032452</v>
      </c>
      <c r="Q78" s="1">
        <f>(Main_S[[#This Row],[ROE]]-VLOOKUP(Main_S[[#This Row],[Industry]], Mean_ROE_S, 2, FALSE))/(VLOOKUP(Main_S[[#This Row],[Industry]], Mean_ROE_S, 3, FALSE))</f>
        <v>-2.2551972285899633</v>
      </c>
      <c r="R78" s="1">
        <f>(Main_S[[#This Row],[ROA]]-VLOOKUP(Main_S[[#This Row],[Industry]], Mean_ROA_S, 2, FALSE))/(VLOOKUP(Main_S[[#This Row],[Industry]], Mean_ROA_S, 3, FALSE))</f>
        <v>-0.68869076553420683</v>
      </c>
      <c r="S78" s="1">
        <f>(Main_S[[#This Row],[A/E]]-VLOOKUP(Main_S[[#This Row],[Industry]], Mean_AE_S, 2, FALSE))/(VLOOKUP(Main_S[[#This Row],[Industry]], Mean_AE_S, 3, FALSE))</f>
        <v>15.614698560206142</v>
      </c>
      <c r="T78" s="1">
        <f>(Main_S[[#This Row],[P/E]]-VLOOKUP(Main_S[[#This Row],[Industry]], Mean_PE_S, 2, FALSE))/(VLOOKUP(Main_S[[#This Row],[Industry]], Mean_PE_S, 3, FALSE))</f>
        <v>-0.31803334279321815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7" t="s">
        <v>142</v>
      </c>
      <c r="B79" s="67" t="s">
        <v>448</v>
      </c>
      <c r="C79" s="2">
        <v>270</v>
      </c>
      <c r="D79">
        <f>RTD("tos.rtd", , "LAST", Main_S[[#This Row],[Symbol]])</f>
        <v>1.61</v>
      </c>
      <c r="E79">
        <v>-0.4</v>
      </c>
      <c r="F79">
        <v>1.3</v>
      </c>
      <c r="G79">
        <v>-0.31</v>
      </c>
      <c r="H79" s="1">
        <f>IF(ISNUMBER(Main_S[[#This Row],[Free CF]]),IF(Main_S[[#This Row],[Free CF]]&lt;&gt;0,Main_S[[#This Row],[Current Price]]/Main_S[[#This Row],[Free CF]],""),"")</f>
        <v>-4.0250000000000004</v>
      </c>
      <c r="I79" s="1">
        <f>IF(ISNUMBER(Main_S[[#This Row],[BVPS]]),IF(Main_S[[#This Row],[BVPS]]&lt;&gt;0,Main_S[[#This Row],[Current Price]]/Main_S[[#This Row],[BVPS]],""),"")</f>
        <v>1.2384615384615385</v>
      </c>
      <c r="J79">
        <v>-21.13</v>
      </c>
      <c r="K79">
        <v>-15.09</v>
      </c>
      <c r="L79">
        <v>1.06</v>
      </c>
      <c r="M79" s="1">
        <f>IF(ISNUMBER(Main_S[[#This Row],[EPS]]),IF(Main_S[[#This Row],[EPS]]&lt;&gt;0,Main_S[[#This Row],[Current Price]]/Main_S[[#This Row],[EPS]],""),"")</f>
        <v>-5.1935483870967749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-0.59042179144461138</v>
      </c>
      <c r="P79" s="1">
        <f>(Main_S[[#This Row],[P/B]]-VLOOKUP(Main_S[[#This Row],[Industry]], Mean_PB_S, 2, FALSE))/(VLOOKUP(Main_S[[#This Row],[Industry]], Mean_PB_S, 3, FALSE))</f>
        <v>-0.39345487875803992</v>
      </c>
      <c r="Q79" s="1">
        <f>(Main_S[[#This Row],[ROE]]-VLOOKUP(Main_S[[#This Row],[Industry]], Mean_ROE_S, 2, FALSE))/(VLOOKUP(Main_S[[#This Row],[Industry]], Mean_ROE_S, 3, FALSE))</f>
        <v>0.1414083610195786</v>
      </c>
      <c r="R79" s="1">
        <f>(Main_S[[#This Row],[ROA]]-VLOOKUP(Main_S[[#This Row],[Industry]], Mean_ROA_S, 2, FALSE))/(VLOOKUP(Main_S[[#This Row],[Industry]], Mean_ROA_S, 3, FALSE))</f>
        <v>-0.68177090616759517</v>
      </c>
      <c r="S79" s="1">
        <f>(Main_S[[#This Row],[A/E]]-VLOOKUP(Main_S[[#This Row],[Industry]], Mean_AE_S, 2, FALSE))/(VLOOKUP(Main_S[[#This Row],[Industry]], Mean_AE_S, 3, FALSE))</f>
        <v>-1.1811328092866995</v>
      </c>
      <c r="T79" s="1">
        <f>(Main_S[[#This Row],[P/E]]-VLOOKUP(Main_S[[#This Row],[Industry]], Mean_PE_S, 2, FALSE))/(VLOOKUP(Main_S[[#This Row],[Industry]], Mean_PE_S, 3, FALSE))</f>
        <v>-0.56470714691271562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7" t="s">
        <v>142</v>
      </c>
      <c r="B80" s="67" t="s">
        <v>631</v>
      </c>
      <c r="C80" s="2">
        <v>257</v>
      </c>
      <c r="D80">
        <f>RTD("tos.rtd", , "LAST", Main_S[[#This Row],[Symbol]])</f>
        <v>1.3</v>
      </c>
      <c r="E80">
        <v>-0.41</v>
      </c>
      <c r="F80">
        <v>-0.41</v>
      </c>
      <c r="G80">
        <v>-0.54</v>
      </c>
      <c r="H80" s="1">
        <f>IF(ISNUMBER(Main_S[[#This Row],[Free CF]]),IF(Main_S[[#This Row],[Free CF]]&lt;&gt;0,Main_S[[#This Row],[Current Price]]/Main_S[[#This Row],[Free CF]],""),"")</f>
        <v>-3.1707317073170733</v>
      </c>
      <c r="I80" s="1">
        <f>IF(ISNUMBER(Main_S[[#This Row],[BVPS]]),IF(Main_S[[#This Row],[BVPS]]&lt;&gt;0,Main_S[[#This Row],[Current Price]]/Main_S[[#This Row],[BVPS]],""),"")</f>
        <v>-3.1707317073170733</v>
      </c>
      <c r="J80">
        <v>412.41</v>
      </c>
      <c r="K80">
        <v>-4.21</v>
      </c>
      <c r="L80">
        <v>-11.46</v>
      </c>
      <c r="M80" s="1">
        <f>IF(ISNUMBER(Main_S[[#This Row],[EPS]]),IF(Main_S[[#This Row],[EPS]]&lt;&gt;0,Main_S[[#This Row],[Current Price]]/Main_S[[#This Row],[EPS]],""),"")</f>
        <v>-2.4074074074074074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-0.5348088558688423</v>
      </c>
      <c r="P80" s="1">
        <f>(Main_S[[#This Row],[P/B]]-VLOOKUP(Main_S[[#This Row],[Industry]], Mean_PB_S, 2, FALSE))/(VLOOKUP(Main_S[[#This Row],[Industry]], Mean_PB_S, 3, FALSE))</f>
        <v>-2.0484479366120527</v>
      </c>
      <c r="Q80" s="1">
        <f>(Main_S[[#This Row],[ROE]]-VLOOKUP(Main_S[[#This Row],[Industry]], Mean_ROE_S, 2, FALSE))/(VLOOKUP(Main_S[[#This Row],[Industry]], Mean_ROE_S, 3, FALSE))</f>
        <v>10.743698027543262</v>
      </c>
      <c r="R80" s="1">
        <f>(Main_S[[#This Row],[ROA]]-VLOOKUP(Main_S[[#This Row],[Industry]], Mean_ROA_S, 2, FALSE))/(VLOOKUP(Main_S[[#This Row],[Industry]], Mean_ROA_S, 3, FALSE))</f>
        <v>7.110979291975203E-2</v>
      </c>
      <c r="S80" s="1">
        <f>(Main_S[[#This Row],[A/E]]-VLOOKUP(Main_S[[#This Row],[Industry]], Mean_AE_S, 2, FALSE))/(VLOOKUP(Main_S[[#This Row],[Industry]], Mean_AE_S, 3, FALSE))</f>
        <v>-39.624242269259348</v>
      </c>
      <c r="T80" s="1">
        <f>(Main_S[[#This Row],[P/E]]-VLOOKUP(Main_S[[#This Row],[Industry]], Mean_PE_S, 2, FALSE))/(VLOOKUP(Main_S[[#This Row],[Industry]], Mean_PE_S, 3, FALSE))</f>
        <v>-0.39152846109707501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7" t="s">
        <v>142</v>
      </c>
      <c r="B81" s="67" t="s">
        <v>435</v>
      </c>
      <c r="C81" s="2">
        <v>387</v>
      </c>
      <c r="D81">
        <f>RTD("tos.rtd", , "LAST", Main_S[[#This Row],[Symbol]])</f>
        <v>1.64</v>
      </c>
      <c r="E81">
        <v>-0.45</v>
      </c>
      <c r="F81">
        <v>2.1800000000000002</v>
      </c>
      <c r="G81">
        <v>-1.01</v>
      </c>
      <c r="H81" s="1">
        <f>IF(ISNUMBER(Main_S[[#This Row],[Free CF]]),IF(Main_S[[#This Row],[Free CF]]&lt;&gt;0,Main_S[[#This Row],[Current Price]]/Main_S[[#This Row],[Free CF]],""),"")</f>
        <v>-3.6444444444444439</v>
      </c>
      <c r="I81" s="1">
        <f>IF(ISNUMBER(Main_S[[#This Row],[BVPS]]),IF(Main_S[[#This Row],[BVPS]]&lt;&gt;0,Main_S[[#This Row],[Current Price]]/Main_S[[#This Row],[BVPS]],""),"")</f>
        <v>0.75229357798165131</v>
      </c>
      <c r="J81">
        <v>-37.81</v>
      </c>
      <c r="K81">
        <v>-10.56</v>
      </c>
      <c r="L81">
        <v>1.1599999999999999</v>
      </c>
      <c r="M81" s="1">
        <f>IF(ISNUMBER(Main_S[[#This Row],[EPS]]),IF(Main_S[[#This Row],[EPS]]&lt;&gt;0,Main_S[[#This Row],[Current Price]]/Main_S[[#This Row],[EPS]],""),"")</f>
        <v>-1.6237623762376237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-0.56564759371845585</v>
      </c>
      <c r="P81" s="1">
        <f>(Main_S[[#This Row],[P/B]]-VLOOKUP(Main_S[[#This Row],[Industry]], Mean_PB_S, 2, FALSE))/(VLOOKUP(Main_S[[#This Row],[Industry]], Mean_PB_S, 3, FALSE))</f>
        <v>-0.57593828438232064</v>
      </c>
      <c r="Q81" s="1">
        <f>(Main_S[[#This Row],[ROE]]-VLOOKUP(Main_S[[#This Row],[Industry]], Mean_ROE_S, 2, FALSE))/(VLOOKUP(Main_S[[#This Row],[Industry]], Mean_ROE_S, 3, FALSE))</f>
        <v>-0.26650369239559663</v>
      </c>
      <c r="R81" s="1">
        <f>(Main_S[[#This Row],[ROA]]-VLOOKUP(Main_S[[#This Row],[Industry]], Mean_ROA_S, 2, FALSE))/(VLOOKUP(Main_S[[#This Row],[Industry]], Mean_ROA_S, 3, FALSE))</f>
        <v>-0.36830127686008762</v>
      </c>
      <c r="S81" s="1">
        <f>(Main_S[[#This Row],[A/E]]-VLOOKUP(Main_S[[#This Row],[Industry]], Mean_AE_S, 2, FALSE))/(VLOOKUP(Main_S[[#This Row],[Industry]], Mean_AE_S, 3, FALSE))</f>
        <v>-0.87407921935081623</v>
      </c>
      <c r="T81" s="1">
        <f>(Main_S[[#This Row],[P/E]]-VLOOKUP(Main_S[[#This Row],[Industry]], Mean_PE_S, 2, FALSE))/(VLOOKUP(Main_S[[#This Row],[Industry]], Mean_PE_S, 3, FALSE))</f>
        <v>-0.34281929037195591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7" t="s">
        <v>142</v>
      </c>
      <c r="B82" s="67" t="s">
        <v>442</v>
      </c>
      <c r="C82" s="2">
        <v>1247</v>
      </c>
      <c r="D82">
        <f>RTD("tos.rtd", , "LAST", Main_S[[#This Row],[Symbol]])</f>
        <v>31.15</v>
      </c>
      <c r="E82">
        <v>-0.78</v>
      </c>
      <c r="F82">
        <v>3.54</v>
      </c>
      <c r="G82">
        <v>-0.98</v>
      </c>
      <c r="H82" s="1">
        <f>IF(ISNUMBER(Main_S[[#This Row],[Free CF]]),IF(Main_S[[#This Row],[Free CF]]&lt;&gt;0,Main_S[[#This Row],[Current Price]]/Main_S[[#This Row],[Free CF]],""),"")</f>
        <v>-39.935897435897431</v>
      </c>
      <c r="I82" s="1">
        <f>IF(ISNUMBER(Main_S[[#This Row],[BVPS]]),IF(Main_S[[#This Row],[BVPS]]&lt;&gt;0,Main_S[[#This Row],[Current Price]]/Main_S[[#This Row],[BVPS]],""),"")</f>
        <v>8.7994350282485865</v>
      </c>
      <c r="J82">
        <v>-45.55</v>
      </c>
      <c r="K82">
        <v>-28.2</v>
      </c>
      <c r="L82">
        <v>1.05</v>
      </c>
      <c r="M82" s="1">
        <f>IF(ISNUMBER(Main_S[[#This Row],[EPS]]),IF(Main_S[[#This Row],[EPS]]&lt;&gt;0,Main_S[[#This Row],[Current Price]]/Main_S[[#This Row],[EPS]],""),"")</f>
        <v>-31.785714285714285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-2.9282241454316233</v>
      </c>
      <c r="P82" s="1">
        <f>(Main_S[[#This Row],[P/B]]-VLOOKUP(Main_S[[#This Row],[Industry]], Mean_PB_S, 2, FALSE))/(VLOOKUP(Main_S[[#This Row],[Industry]], Mean_PB_S, 3, FALSE))</f>
        <v>2.4445605899892549</v>
      </c>
      <c r="Q82" s="1">
        <f>(Main_S[[#This Row],[ROE]]-VLOOKUP(Main_S[[#This Row],[Industry]], Mean_ROE_S, 2, FALSE))/(VLOOKUP(Main_S[[#This Row],[Industry]], Mean_ROE_S, 3, FALSE))</f>
        <v>-0.455786623656595</v>
      </c>
      <c r="R82" s="1">
        <f>(Main_S[[#This Row],[ROA]]-VLOOKUP(Main_S[[#This Row],[Industry]], Mean_ROA_S, 2, FALSE))/(VLOOKUP(Main_S[[#This Row],[Industry]], Mean_ROA_S, 3, FALSE))</f>
        <v>-1.5889644691303821</v>
      </c>
      <c r="S82" s="1">
        <f>(Main_S[[#This Row],[A/E]]-VLOOKUP(Main_S[[#This Row],[Industry]], Mean_AE_S, 2, FALSE))/(VLOOKUP(Main_S[[#This Row],[Industry]], Mean_AE_S, 3, FALSE))</f>
        <v>-1.2118381682802879</v>
      </c>
      <c r="T82" s="1">
        <f>(Main_S[[#This Row],[P/E]]-VLOOKUP(Main_S[[#This Row],[Industry]], Mean_PE_S, 2, FALSE))/(VLOOKUP(Main_S[[#This Row],[Industry]], Mean_PE_S, 3, FALSE))</f>
        <v>-2.2176013747660095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s="67" t="s">
        <v>142</v>
      </c>
      <c r="B83" s="67" t="s">
        <v>437</v>
      </c>
      <c r="C83" s="2">
        <v>947</v>
      </c>
      <c r="D83">
        <f>RTD("tos.rtd", , "LAST", Main_S[[#This Row],[Symbol]])</f>
        <v>4.18</v>
      </c>
      <c r="E83">
        <v>-0.81</v>
      </c>
      <c r="F83">
        <v>-4.1500000000000004</v>
      </c>
      <c r="G83">
        <v>-4.6100000000000003</v>
      </c>
      <c r="H83" s="1">
        <f>IF(ISNUMBER(Main_S[[#This Row],[Free CF]]),IF(Main_S[[#This Row],[Free CF]]&lt;&gt;0,Main_S[[#This Row],[Current Price]]/Main_S[[#This Row],[Free CF]],""),"")</f>
        <v>-5.1604938271604928</v>
      </c>
      <c r="I83" s="1">
        <f>IF(ISNUMBER(Main_S[[#This Row],[BVPS]]),IF(Main_S[[#This Row],[BVPS]]&lt;&gt;0,Main_S[[#This Row],[Current Price]]/Main_S[[#This Row],[BVPS]],""),"")</f>
        <v>-1.0072289156626504</v>
      </c>
      <c r="J83">
        <v>215.56</v>
      </c>
      <c r="K83">
        <v>-52.92</v>
      </c>
      <c r="L83">
        <v>-0.28000000000000003</v>
      </c>
      <c r="M83" s="1">
        <f>IF(ISNUMBER(Main_S[[#This Row],[EPS]]),IF(Main_S[[#This Row],[EPS]]&lt;&gt;0,Main_S[[#This Row],[Current Price]]/Main_S[[#This Row],[EPS]],""),"")</f>
        <v>-0.90672451193058556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-0.66434253226742224</v>
      </c>
      <c r="P83" s="1">
        <f>(Main_S[[#This Row],[P/B]]-VLOOKUP(Main_S[[#This Row],[Industry]], Mean_PB_S, 2, FALSE))/(VLOOKUP(Main_S[[#This Row],[Industry]], Mean_PB_S, 3, FALSE))</f>
        <v>-1.236375999355976</v>
      </c>
      <c r="Q83" s="1">
        <f>(Main_S[[#This Row],[ROE]]-VLOOKUP(Main_S[[#This Row],[Industry]], Mean_ROE_S, 2, FALSE))/(VLOOKUP(Main_S[[#This Row],[Industry]], Mean_ROE_S, 3, FALSE))</f>
        <v>5.9296999631081757</v>
      </c>
      <c r="R83" s="1">
        <f>(Main_S[[#This Row],[ROA]]-VLOOKUP(Main_S[[#This Row],[Industry]], Mean_ROA_S, 2, FALSE))/(VLOOKUP(Main_S[[#This Row],[Industry]], Mean_ROA_S, 3, FALSE))</f>
        <v>-3.2995537045567813</v>
      </c>
      <c r="S83" s="1">
        <f>(Main_S[[#This Row],[A/E]]-VLOOKUP(Main_S[[#This Row],[Industry]], Mean_AE_S, 2, FALSE))/(VLOOKUP(Main_S[[#This Row],[Industry]], Mean_AE_S, 3, FALSE))</f>
        <v>-5.2956509144275419</v>
      </c>
      <c r="T83" s="1">
        <f>(Main_S[[#This Row],[P/E]]-VLOOKUP(Main_S[[#This Row],[Industry]], Mean_PE_S, 2, FALSE))/(VLOOKUP(Main_S[[#This Row],[Industry]], Mean_PE_S, 3, FALSE))</f>
        <v>-0.29825023377145643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7" t="s">
        <v>142</v>
      </c>
      <c r="B84" s="67" t="s">
        <v>292</v>
      </c>
      <c r="C84" s="2">
        <v>952</v>
      </c>
      <c r="D84">
        <f>RTD("tos.rtd", , "LAST", Main_S[[#This Row],[Symbol]])</f>
        <v>1.22</v>
      </c>
      <c r="E84">
        <v>-1.1000000000000001</v>
      </c>
      <c r="F84">
        <v>1.9</v>
      </c>
      <c r="G84">
        <v>-2.33</v>
      </c>
      <c r="H84" s="1">
        <f>IF(ISNUMBER(Main_S[[#This Row],[Free CF]]),IF(Main_S[[#This Row],[Free CF]]&lt;&gt;0,Main_S[[#This Row],[Current Price]]/Main_S[[#This Row],[Free CF]],""),"")</f>
        <v>-1.1090909090909089</v>
      </c>
      <c r="I84" s="1">
        <f>IF(ISNUMBER(Main_S[[#This Row],[BVPS]]),IF(Main_S[[#This Row],[BVPS]]&lt;&gt;0,Main_S[[#This Row],[Current Price]]/Main_S[[#This Row],[BVPS]],""),"")</f>
        <v>0.64210526315789473</v>
      </c>
      <c r="J84">
        <v>-82.52</v>
      </c>
      <c r="K84">
        <v>-15.13</v>
      </c>
      <c r="L84">
        <v>1.96</v>
      </c>
      <c r="M84" s="1">
        <f>IF(ISNUMBER(Main_S[[#This Row],[EPS]]),IF(Main_S[[#This Row],[EPS]]&lt;&gt;0,Main_S[[#This Row],[Current Price]]/Main_S[[#This Row],[EPS]],""),"")</f>
        <v>-0.5236051502145922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-0.40059587164108279</v>
      </c>
      <c r="P84" s="1">
        <f>(Main_S[[#This Row],[P/B]]-VLOOKUP(Main_S[[#This Row],[Industry]], Mean_PB_S, 2, FALSE))/(VLOOKUP(Main_S[[#This Row],[Industry]], Mean_PB_S, 3, FALSE))</f>
        <v>-0.61729752765534862</v>
      </c>
      <c r="Q84" s="1">
        <f>(Main_S[[#This Row],[ROE]]-VLOOKUP(Main_S[[#This Row],[Industry]], Mean_ROE_S, 2, FALSE))/(VLOOKUP(Main_S[[#This Row],[Industry]], Mean_ROE_S, 3, FALSE))</f>
        <v>-1.3598938547572559</v>
      </c>
      <c r="R84" s="1">
        <f>(Main_S[[#This Row],[ROA]]-VLOOKUP(Main_S[[#This Row],[Industry]], Mean_ROA_S, 2, FALSE))/(VLOOKUP(Main_S[[#This Row],[Industry]], Mean_ROA_S, 3, FALSE))</f>
        <v>-0.68453884991423986</v>
      </c>
      <c r="S84" s="1">
        <f>(Main_S[[#This Row],[A/E]]-VLOOKUP(Main_S[[#This Row],[Industry]], Mean_AE_S, 2, FALSE))/(VLOOKUP(Main_S[[#This Row],[Industry]], Mean_AE_S, 3, FALSE))</f>
        <v>1.5823495001362538</v>
      </c>
      <c r="T84" s="1">
        <f>(Main_S[[#This Row],[P/E]]-VLOOKUP(Main_S[[#This Row],[Industry]], Mean_PE_S, 2, FALSE))/(VLOOKUP(Main_S[[#This Row],[Industry]], Mean_PE_S, 3, FALSE))</f>
        <v>-0.27443661197120567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7" t="s">
        <v>142</v>
      </c>
      <c r="B85" s="67" t="s">
        <v>294</v>
      </c>
      <c r="C85" s="2">
        <v>1711</v>
      </c>
      <c r="D85">
        <f>RTD("tos.rtd", , "LAST", Main_S[[#This Row],[Symbol]])</f>
        <v>8.27</v>
      </c>
      <c r="E85">
        <v>-15.83</v>
      </c>
      <c r="F85">
        <v>11.51</v>
      </c>
      <c r="G85">
        <v>-12.1</v>
      </c>
      <c r="H85" s="1">
        <f>IF(ISNUMBER(Main_S[[#This Row],[Free CF]]),IF(Main_S[[#This Row],[Free CF]]&lt;&gt;0,Main_S[[#This Row],[Current Price]]/Main_S[[#This Row],[Free CF]],""),"")</f>
        <v>-0.52242577384712563</v>
      </c>
      <c r="I85" s="1">
        <f>IF(ISNUMBER(Main_S[[#This Row],[BVPS]]),IF(Main_S[[#This Row],[BVPS]]&lt;&gt;0,Main_S[[#This Row],[Current Price]]/Main_S[[#This Row],[BVPS]],""),"")</f>
        <v>0.71850564726324928</v>
      </c>
      <c r="J85">
        <v>-80.13</v>
      </c>
      <c r="K85">
        <v>-1.53</v>
      </c>
      <c r="L85">
        <v>7.79</v>
      </c>
      <c r="M85" s="1">
        <f>IF(ISNUMBER(Main_S[[#This Row],[EPS]]),IF(Main_S[[#This Row],[EPS]]&lt;&gt;0,Main_S[[#This Row],[Current Price]]/Main_S[[#This Row],[EPS]],""),"")</f>
        <v>-0.6834710743801653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-0.36240392345534822</v>
      </c>
      <c r="P85" s="1">
        <f>(Main_S[[#This Row],[P/B]]-VLOOKUP(Main_S[[#This Row],[Industry]], Mean_PB_S, 2, FALSE))/(VLOOKUP(Main_S[[#This Row],[Industry]], Mean_PB_S, 3, FALSE))</f>
        <v>-0.58862060236231506</v>
      </c>
      <c r="Q85" s="1">
        <f>(Main_S[[#This Row],[ROE]]-VLOOKUP(Main_S[[#This Row],[Industry]], Mean_ROE_S, 2, FALSE))/(VLOOKUP(Main_S[[#This Row],[Industry]], Mean_ROE_S, 3, FALSE))</f>
        <v>-1.3014460245616764</v>
      </c>
      <c r="R85" s="1">
        <f>(Main_S[[#This Row],[ROA]]-VLOOKUP(Main_S[[#This Row],[Industry]], Mean_ROA_S, 2, FALSE))/(VLOOKUP(Main_S[[#This Row],[Industry]], Mean_ROA_S, 3, FALSE))</f>
        <v>0.25656202394494415</v>
      </c>
      <c r="S85" s="1">
        <f>(Main_S[[#This Row],[A/E]]-VLOOKUP(Main_S[[#This Row],[Industry]], Mean_AE_S, 2, FALSE))/(VLOOKUP(Main_S[[#This Row],[Industry]], Mean_AE_S, 3, FALSE))</f>
        <v>19.483573793398275</v>
      </c>
      <c r="T85" s="1">
        <f>(Main_S[[#This Row],[P/E]]-VLOOKUP(Main_S[[#This Row],[Industry]], Mean_PE_S, 2, FALSE))/(VLOOKUP(Main_S[[#This Row],[Industry]], Mean_PE_S, 3, FALSE))</f>
        <v>-0.28437342811063282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s="67" t="s">
        <v>233</v>
      </c>
      <c r="B86" s="67" t="s">
        <v>391</v>
      </c>
      <c r="C86" s="2">
        <v>1444</v>
      </c>
      <c r="D86">
        <f>RTD("tos.rtd", , "LAST", Main_S[[#This Row],[Symbol]])</f>
        <v>67.27</v>
      </c>
      <c r="E86">
        <v>2.48</v>
      </c>
      <c r="F86">
        <v>56.22</v>
      </c>
      <c r="G86">
        <v>7.55</v>
      </c>
      <c r="H86" s="1">
        <f>IF(ISNUMBER(Main_S[[#This Row],[Free CF]]),IF(Main_S[[#This Row],[Free CF]]&lt;&gt;0,Main_S[[#This Row],[Current Price]]/Main_S[[#This Row],[Free CF]],""),"")</f>
        <v>27.125</v>
      </c>
      <c r="I86" s="1">
        <f>IF(ISNUMBER(Main_S[[#This Row],[BVPS]]),IF(Main_S[[#This Row],[BVPS]]&lt;&gt;0,Main_S[[#This Row],[Current Price]]/Main_S[[#This Row],[BVPS]],""),"")</f>
        <v>1.196549270722163</v>
      </c>
      <c r="J86">
        <v>14.25</v>
      </c>
      <c r="K86">
        <v>3.47</v>
      </c>
      <c r="L86">
        <v>1.86</v>
      </c>
      <c r="M86" s="1">
        <f>IF(ISNUMBER(Main_S[[#This Row],[EPS]]),IF(Main_S[[#This Row],[EPS]]&lt;&gt;0,Main_S[[#This Row],[Current Price]]/Main_S[[#This Row],[EPS]],""),"")</f>
        <v>8.9099337748344372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2.15150355759322</v>
      </c>
      <c r="P86" s="1">
        <f>(Main_S[[#This Row],[P/B]]-VLOOKUP(Main_S[[#This Row],[Industry]], Mean_PB_S, 2, FALSE))/(VLOOKUP(Main_S[[#This Row],[Industry]], Mean_PB_S, 3, FALSE))</f>
        <v>-4.3154569661374841E-2</v>
      </c>
      <c r="Q86" s="1">
        <f>(Main_S[[#This Row],[ROE]]-VLOOKUP(Main_S[[#This Row],[Industry]], Mean_ROE_S, 2, FALSE))/(VLOOKUP(Main_S[[#This Row],[Industry]], Mean_ROE_S, 3, FALSE))</f>
        <v>1.0834961407911881</v>
      </c>
      <c r="R86" s="1">
        <f>(Main_S[[#This Row],[ROA]]-VLOOKUP(Main_S[[#This Row],[Industry]], Mean_ROA_S, 2, FALSE))/(VLOOKUP(Main_S[[#This Row],[Industry]], Mean_ROA_S, 3, FALSE))</f>
        <v>0.52679192684740828</v>
      </c>
      <c r="S86" s="1">
        <f>(Main_S[[#This Row],[A/E]]-VLOOKUP(Main_S[[#This Row],[Industry]], Mean_AE_S, 2, FALSE))/(VLOOKUP(Main_S[[#This Row],[Industry]], Mean_AE_S, 3, FALSE))</f>
        <v>-0.51877409487930415</v>
      </c>
      <c r="T86" s="1">
        <f>(Main_S[[#This Row],[P/E]]-VLOOKUP(Main_S[[#This Row],[Industry]], Mean_PE_S, 2, FALSE))/(VLOOKUP(Main_S[[#This Row],[Industry]], Mean_PE_S, 3, FALSE))</f>
        <v>0.57598486786261915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7" t="s">
        <v>233</v>
      </c>
      <c r="B87" s="67" t="s">
        <v>615</v>
      </c>
      <c r="C87" s="2">
        <v>891</v>
      </c>
      <c r="D87">
        <f>RTD("tos.rtd", , "LAST", Main_S[[#This Row],[Symbol]])</f>
        <v>10.31</v>
      </c>
      <c r="E87">
        <v>1.83</v>
      </c>
      <c r="F87">
        <v>8.0399999999999991</v>
      </c>
      <c r="G87">
        <v>0.83</v>
      </c>
      <c r="H87" s="1">
        <f>IF(ISNUMBER(Main_S[[#This Row],[Free CF]]),IF(Main_S[[#This Row],[Free CF]]&lt;&gt;0,Main_S[[#This Row],[Current Price]]/Main_S[[#This Row],[Free CF]],""),"")</f>
        <v>5.6338797814207648</v>
      </c>
      <c r="I87" s="1">
        <f>IF(ISNUMBER(Main_S[[#This Row],[BVPS]]),IF(Main_S[[#This Row],[BVPS]]&lt;&gt;0,Main_S[[#This Row],[Current Price]]/Main_S[[#This Row],[BVPS]],""),"")</f>
        <v>1.2823383084577116</v>
      </c>
      <c r="J87">
        <v>10.81</v>
      </c>
      <c r="K87">
        <v>5.79</v>
      </c>
      <c r="L87">
        <v>2.2999999999999998</v>
      </c>
      <c r="M87" s="1">
        <f>IF(ISNUMBER(Main_S[[#This Row],[EPS]]),IF(Main_S[[#This Row],[EPS]]&lt;&gt;0,Main_S[[#This Row],[Current Price]]/Main_S[[#This Row],[EPS]],""),"")</f>
        <v>12.421686746987953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0.52246823432015765</v>
      </c>
      <c r="P87" s="1">
        <f>(Main_S[[#This Row],[P/B]]-VLOOKUP(Main_S[[#This Row],[Industry]], Mean_PB_S, 2, FALSE))/(VLOOKUP(Main_S[[#This Row],[Industry]], Mean_PB_S, 3, FALSE))</f>
        <v>0.36874802883559066</v>
      </c>
      <c r="Q87" s="1">
        <f>(Main_S[[#This Row],[ROE]]-VLOOKUP(Main_S[[#This Row],[Industry]], Mean_ROE_S, 2, FALSE))/(VLOOKUP(Main_S[[#This Row],[Industry]], Mean_ROE_S, 3, FALSE))</f>
        <v>0.79513509446697939</v>
      </c>
      <c r="R87" s="1">
        <f>(Main_S[[#This Row],[ROA]]-VLOOKUP(Main_S[[#This Row],[Industry]], Mean_ROA_S, 2, FALSE))/(VLOOKUP(Main_S[[#This Row],[Industry]], Mean_ROA_S, 3, FALSE))</f>
        <v>1.2801765455168523</v>
      </c>
      <c r="S87" s="1">
        <f>(Main_S[[#This Row],[A/E]]-VLOOKUP(Main_S[[#This Row],[Industry]], Mean_AE_S, 2, FALSE))/(VLOOKUP(Main_S[[#This Row],[Industry]], Mean_AE_S, 3, FALSE))</f>
        <v>0.42738383982284683</v>
      </c>
      <c r="T87" s="1">
        <f>(Main_S[[#This Row],[P/E]]-VLOOKUP(Main_S[[#This Row],[Industry]], Mean_PE_S, 2, FALSE))/(VLOOKUP(Main_S[[#This Row],[Industry]], Mean_PE_S, 3, FALSE))</f>
        <v>0.84451578482389489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7" t="s">
        <v>233</v>
      </c>
      <c r="B88" s="67" t="s">
        <v>535</v>
      </c>
      <c r="C88" s="2">
        <v>703</v>
      </c>
      <c r="D88">
        <f>RTD("tos.rtd", , "LAST", Main_S[[#This Row],[Symbol]])</f>
        <v>8.7899999999999991</v>
      </c>
      <c r="E88">
        <v>0.14000000000000001</v>
      </c>
      <c r="F88">
        <v>10.28</v>
      </c>
      <c r="G88">
        <v>-0.37</v>
      </c>
      <c r="H88" s="1">
        <f>IF(ISNUMBER(Main_S[[#This Row],[Free CF]]),IF(Main_S[[#This Row],[Free CF]]&lt;&gt;0,Main_S[[#This Row],[Current Price]]/Main_S[[#This Row],[Free CF]],""),"")</f>
        <v>62.78571428571427</v>
      </c>
      <c r="I88" s="1">
        <f>IF(ISNUMBER(Main_S[[#This Row],[BVPS]]),IF(Main_S[[#This Row],[BVPS]]&lt;&gt;0,Main_S[[#This Row],[Current Price]]/Main_S[[#This Row],[BVPS]],""),"")</f>
        <v>0.85505836575875482</v>
      </c>
      <c r="J88">
        <v>-3.44</v>
      </c>
      <c r="K88">
        <v>-1.35</v>
      </c>
      <c r="L88">
        <v>1.66</v>
      </c>
      <c r="M88" s="1">
        <f>IF(ISNUMBER(Main_S[[#This Row],[EPS]]),IF(Main_S[[#This Row],[EPS]]&lt;&gt;0,Main_S[[#This Row],[Current Price]]/Main_S[[#This Row],[EPS]],""),"")</f>
        <v>-23.756756756756754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4.8545996565278582</v>
      </c>
      <c r="P88" s="1">
        <f>(Main_S[[#This Row],[P/B]]-VLOOKUP(Main_S[[#This Row],[Industry]], Mean_PB_S, 2, FALSE))/(VLOOKUP(Main_S[[#This Row],[Industry]], Mean_PB_S, 3, FALSE))</f>
        <v>-1.6827695464735244</v>
      </c>
      <c r="Q88" s="1">
        <f>(Main_S[[#This Row],[ROE]]-VLOOKUP(Main_S[[#This Row],[Industry]], Mean_ROE_S, 2, FALSE))/(VLOOKUP(Main_S[[#This Row],[Industry]], Mean_ROE_S, 3, FALSE))</f>
        <v>-0.39938377475394266</v>
      </c>
      <c r="R88" s="1">
        <f>(Main_S[[#This Row],[ROA]]-VLOOKUP(Main_S[[#This Row],[Industry]], Mean_ROA_S, 2, FALSE))/(VLOOKUP(Main_S[[#This Row],[Industry]], Mean_ROA_S, 3, FALSE))</f>
        <v>-1.0384295653882474</v>
      </c>
      <c r="S88" s="1">
        <f>(Main_S[[#This Row],[A/E]]-VLOOKUP(Main_S[[#This Row],[Industry]], Mean_AE_S, 2, FALSE))/(VLOOKUP(Main_S[[#This Row],[Industry]], Mean_AE_S, 3, FALSE))</f>
        <v>-0.94884588338028253</v>
      </c>
      <c r="T88" s="1">
        <f>(Main_S[[#This Row],[P/E]]-VLOOKUP(Main_S[[#This Row],[Industry]], Mean_PE_S, 2, FALSE))/(VLOOKUP(Main_S[[#This Row],[Industry]], Mean_PE_S, 3, FALSE))</f>
        <v>-1.9219175848714447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7" t="s">
        <v>233</v>
      </c>
      <c r="B89" s="67" t="s">
        <v>534</v>
      </c>
      <c r="C89" s="2">
        <v>603</v>
      </c>
      <c r="D89">
        <f>RTD("tos.rtd", , "LAST", Main_S[[#This Row],[Symbol]])</f>
        <v>22.89</v>
      </c>
      <c r="E89">
        <v>-0.45</v>
      </c>
      <c r="F89">
        <v>16.71</v>
      </c>
      <c r="G89">
        <v>1.38</v>
      </c>
      <c r="H89" s="1">
        <f>IF(ISNUMBER(Main_S[[#This Row],[Free CF]]),IF(Main_S[[#This Row],[Free CF]]&lt;&gt;0,Main_S[[#This Row],[Current Price]]/Main_S[[#This Row],[Free CF]],""),"")</f>
        <v>-50.866666666666667</v>
      </c>
      <c r="I89" s="1">
        <f>IF(ISNUMBER(Main_S[[#This Row],[BVPS]]),IF(Main_S[[#This Row],[BVPS]]&lt;&gt;0,Main_S[[#This Row],[Current Price]]/Main_S[[#This Row],[BVPS]],""),"")</f>
        <v>1.3698384201077198</v>
      </c>
      <c r="J89">
        <v>8.9499999999999993</v>
      </c>
      <c r="K89">
        <v>3.8</v>
      </c>
      <c r="L89">
        <v>2.21</v>
      </c>
      <c r="M89" s="1">
        <f>IF(ISNUMBER(Main_S[[#This Row],[EPS]]),IF(Main_S[[#This Row],[EPS]]&lt;&gt;0,Main_S[[#This Row],[Current Price]]/Main_S[[#This Row],[EPS]],""),"")</f>
        <v>16.586956521739133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-3.7602952983408486</v>
      </c>
      <c r="P89" s="1">
        <f>(Main_S[[#This Row],[P/B]]-VLOOKUP(Main_S[[#This Row],[Industry]], Mean_PB_S, 2, FALSE))/(VLOOKUP(Main_S[[#This Row],[Industry]], Mean_PB_S, 3, FALSE))</f>
        <v>0.78886608014785531</v>
      </c>
      <c r="Q89" s="1">
        <f>(Main_S[[#This Row],[ROE]]-VLOOKUP(Main_S[[#This Row],[Industry]], Mean_ROE_S, 2, FALSE))/(VLOOKUP(Main_S[[#This Row],[Industry]], Mean_ROE_S, 3, FALSE))</f>
        <v>0.63921894732656426</v>
      </c>
      <c r="R89" s="1">
        <f>(Main_S[[#This Row],[ROA]]-VLOOKUP(Main_S[[#This Row],[Industry]], Mean_ROA_S, 2, FALSE))/(VLOOKUP(Main_S[[#This Row],[Industry]], Mean_ROA_S, 3, FALSE))</f>
        <v>0.63395439415814803</v>
      </c>
      <c r="S89" s="1">
        <f>(Main_S[[#This Row],[A/E]]-VLOOKUP(Main_S[[#This Row],[Industry]], Mean_AE_S, 2, FALSE))/(VLOOKUP(Main_S[[#This Row],[Industry]], Mean_AE_S, 3, FALSE))</f>
        <v>0.23385153499740705</v>
      </c>
      <c r="T89" s="1">
        <f>(Main_S[[#This Row],[P/E]]-VLOOKUP(Main_S[[#This Row],[Industry]], Mean_PE_S, 2, FALSE))/(VLOOKUP(Main_S[[#This Row],[Industry]], Mean_PE_S, 3, FALSE))</f>
        <v>1.1630187435667816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s="67" t="s">
        <v>233</v>
      </c>
      <c r="B90" s="67" t="s">
        <v>536</v>
      </c>
      <c r="C90" s="2">
        <v>1063</v>
      </c>
      <c r="D90">
        <f>RTD("tos.rtd", , "LAST", Main_S[[#This Row],[Symbol]])</f>
        <v>13.16</v>
      </c>
      <c r="E90">
        <v>-1.18</v>
      </c>
      <c r="F90">
        <v>9.42</v>
      </c>
      <c r="G90">
        <v>0.26</v>
      </c>
      <c r="H90" s="1">
        <f>IF(ISNUMBER(Main_S[[#This Row],[Free CF]]),IF(Main_S[[#This Row],[Free CF]]&lt;&gt;0,Main_S[[#This Row],[Current Price]]/Main_S[[#This Row],[Free CF]],""),"")</f>
        <v>-11.152542372881356</v>
      </c>
      <c r="I90" s="1">
        <f>IF(ISNUMBER(Main_S[[#This Row],[BVPS]]),IF(Main_S[[#This Row],[BVPS]]&lt;&gt;0,Main_S[[#This Row],[Current Price]]/Main_S[[#This Row],[BVPS]],""),"")</f>
        <v>1.397027600849257</v>
      </c>
      <c r="J90">
        <v>2.82</v>
      </c>
      <c r="K90">
        <v>1.35</v>
      </c>
      <c r="L90">
        <v>1.28</v>
      </c>
      <c r="M90" s="1">
        <f>IF(ISNUMBER(Main_S[[#This Row],[EPS]]),IF(Main_S[[#This Row],[EPS]]&lt;&gt;0,Main_S[[#This Row],[Current Price]]/Main_S[[#This Row],[EPS]],""),"")</f>
        <v>50.615384615384613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-0.74994913446321132</v>
      </c>
      <c r="P90" s="1">
        <f>(Main_S[[#This Row],[P/B]]-VLOOKUP(Main_S[[#This Row],[Industry]], Mean_PB_S, 2, FALSE))/(VLOOKUP(Main_S[[#This Row],[Industry]], Mean_PB_S, 3, FALSE))</f>
        <v>0.91941066362908663</v>
      </c>
      <c r="Q90" s="1">
        <f>(Main_S[[#This Row],[ROE]]-VLOOKUP(Main_S[[#This Row],[Industry]], Mean_ROE_S, 2, FALSE))/(VLOOKUP(Main_S[[#This Row],[Industry]], Mean_ROE_S, 3, FALSE))</f>
        <v>0.12536626884766944</v>
      </c>
      <c r="R90" s="1">
        <f>(Main_S[[#This Row],[ROA]]-VLOOKUP(Main_S[[#This Row],[Industry]], Mean_ROA_S, 2, FALSE))/(VLOOKUP(Main_S[[#This Row],[Industry]], Mean_ROA_S, 3, FALSE))</f>
        <v>-0.161645741936739</v>
      </c>
      <c r="S90" s="1">
        <f>(Main_S[[#This Row],[A/E]]-VLOOKUP(Main_S[[#This Row],[Industry]], Mean_AE_S, 2, FALSE))/(VLOOKUP(Main_S[[#This Row],[Industry]], Mean_AE_S, 3, FALSE))</f>
        <v>-1.7659822815321404</v>
      </c>
      <c r="T90" s="1">
        <f>(Main_S[[#This Row],[P/E]]-VLOOKUP(Main_S[[#This Row],[Industry]], Mean_PE_S, 2, FALSE))/(VLOOKUP(Main_S[[#This Row],[Industry]], Mean_PE_S, 3, FALSE))</f>
        <v>3.7650482915432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1" spans="1:26" x14ac:dyDescent="0.25">
      <c r="A91" s="67" t="s">
        <v>233</v>
      </c>
      <c r="B91" s="67" t="s">
        <v>397</v>
      </c>
      <c r="C91" s="2">
        <v>1602</v>
      </c>
      <c r="D91">
        <f>RTD("tos.rtd", , "LAST", Main_S[[#This Row],[Symbol]])</f>
        <v>27.35</v>
      </c>
      <c r="E91">
        <v>-1.75</v>
      </c>
      <c r="F91">
        <v>23.19</v>
      </c>
      <c r="G91">
        <v>0.28999999999999998</v>
      </c>
      <c r="H91" s="1">
        <f>IF(ISNUMBER(Main_S[[#This Row],[Free CF]]),IF(Main_S[[#This Row],[Free CF]]&lt;&gt;0,Main_S[[#This Row],[Current Price]]/Main_S[[#This Row],[Free CF]],""),"")</f>
        <v>-15.62857142857143</v>
      </c>
      <c r="I91" s="1">
        <f>IF(ISNUMBER(Main_S[[#This Row],[BVPS]]),IF(Main_S[[#This Row],[BVPS]]&lt;&gt;0,Main_S[[#This Row],[Current Price]]/Main_S[[#This Row],[BVPS]],""),"")</f>
        <v>1.1793876670978871</v>
      </c>
      <c r="J91">
        <v>1.1299999999999999</v>
      </c>
      <c r="K91">
        <v>0.65</v>
      </c>
      <c r="L91">
        <v>2.08</v>
      </c>
      <c r="M91" s="1">
        <f>IF(ISNUMBER(Main_S[[#This Row],[EPS]]),IF(Main_S[[#This Row],[EPS]]&lt;&gt;0,Main_S[[#This Row],[Current Price]]/Main_S[[#This Row],[EPS]],""),"")</f>
        <v>94.310344827586221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-1.0892338886107429</v>
      </c>
      <c r="P91" s="1">
        <f>(Main_S[[#This Row],[P/B]]-VLOOKUP(Main_S[[#This Row],[Industry]], Mean_PB_S, 2, FALSE))/(VLOOKUP(Main_S[[#This Row],[Industry]], Mean_PB_S, 3, FALSE))</f>
        <v>-0.12555331562941613</v>
      </c>
      <c r="Q91" s="1">
        <f>(Main_S[[#This Row],[ROE]]-VLOOKUP(Main_S[[#This Row],[Industry]], Mean_ROE_S, 2, FALSE))/(VLOOKUP(Main_S[[#This Row],[Industry]], Mean_ROE_S, 3, FALSE))</f>
        <v>-1.6299477747653963E-2</v>
      </c>
      <c r="R91" s="1">
        <f>(Main_S[[#This Row],[ROA]]-VLOOKUP(Main_S[[#This Row],[Industry]], Mean_ROA_S, 2, FALSE))/(VLOOKUP(Main_S[[#This Row],[Industry]], Mean_ROA_S, 3, FALSE))</f>
        <v>-0.38896006653527826</v>
      </c>
      <c r="S91" s="1">
        <f>(Main_S[[#This Row],[A/E]]-VLOOKUP(Main_S[[#This Row],[Industry]], Mean_AE_S, 2, FALSE))/(VLOOKUP(Main_S[[#This Row],[Industry]], Mean_AE_S, 3, FALSE))</f>
        <v>-4.5695127528228414E-2</v>
      </c>
      <c r="T91" s="1">
        <f>(Main_S[[#This Row],[P/E]]-VLOOKUP(Main_S[[#This Row],[Industry]], Mean_PE_S, 2, FALSE))/(VLOOKUP(Main_S[[#This Row],[Industry]], Mean_PE_S, 3, FALSE))</f>
        <v>7.1062422267116077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2" spans="1:26" x14ac:dyDescent="0.25">
      <c r="A92" s="67" t="s">
        <v>233</v>
      </c>
      <c r="B92" s="67" t="s">
        <v>533</v>
      </c>
      <c r="C92" s="2">
        <v>701</v>
      </c>
      <c r="D92">
        <f>RTD("tos.rtd", , "LAST", Main_S[[#This Row],[Symbol]])</f>
        <v>6.44</v>
      </c>
      <c r="E92">
        <v>-2.44</v>
      </c>
      <c r="F92">
        <v>4.1500000000000004</v>
      </c>
      <c r="G92">
        <v>-1.17</v>
      </c>
      <c r="H92" s="1">
        <f>IF(ISNUMBER(Main_S[[#This Row],[Free CF]]),IF(Main_S[[#This Row],[Free CF]]&lt;&gt;0,Main_S[[#This Row],[Current Price]]/Main_S[[#This Row],[Free CF]],""),"")</f>
        <v>-2.639344262295082</v>
      </c>
      <c r="I92" s="1">
        <f>IF(ISNUMBER(Main_S[[#This Row],[BVPS]]),IF(Main_S[[#This Row],[BVPS]]&lt;&gt;0,Main_S[[#This Row],[Current Price]]/Main_S[[#This Row],[BVPS]],""),"")</f>
        <v>1.5518072289156626</v>
      </c>
      <c r="J92">
        <v>-22.4</v>
      </c>
      <c r="K92">
        <v>0.18</v>
      </c>
      <c r="L92">
        <v>8.6999999999999993</v>
      </c>
      <c r="M92" s="1">
        <f>IF(ISNUMBER(Main_S[[#This Row],[EPS]]),IF(Main_S[[#This Row],[EPS]]&lt;&gt;0,Main_S[[#This Row],[Current Price]]/Main_S[[#This Row],[EPS]],""),"")</f>
        <v>-5.5042735042735051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-0.1046453859793475</v>
      </c>
      <c r="P92" s="1">
        <f>(Main_S[[#This Row],[P/B]]-VLOOKUP(Main_S[[#This Row],[Industry]], Mean_PB_S, 2, FALSE))/(VLOOKUP(Main_S[[#This Row],[Industry]], Mean_PB_S, 3, FALSE))</f>
        <v>1.662560752239165</v>
      </c>
      <c r="Q92" s="1">
        <f>(Main_S[[#This Row],[ROE]]-VLOOKUP(Main_S[[#This Row],[Industry]], Mean_ROE_S, 2, FALSE))/(VLOOKUP(Main_S[[#This Row],[Industry]], Mean_ROE_S, 3, FALSE))</f>
        <v>-1.9887225649594642</v>
      </c>
      <c r="R92" s="1">
        <f>(Main_S[[#This Row],[ROA]]-VLOOKUP(Main_S[[#This Row],[Industry]], Mean_ROA_S, 2, FALSE))/(VLOOKUP(Main_S[[#This Row],[Industry]], Mean_ROA_S, 3, FALSE))</f>
        <v>-0.54158539876572598</v>
      </c>
      <c r="S92" s="1">
        <f>(Main_S[[#This Row],[A/E]]-VLOOKUP(Main_S[[#This Row],[Industry]], Mean_AE_S, 2, FALSE))/(VLOOKUP(Main_S[[#This Row],[Industry]], Mean_AE_S, 3, FALSE))</f>
        <v>14.189681071854141</v>
      </c>
      <c r="T92" s="1">
        <f>(Main_S[[#This Row],[P/E]]-VLOOKUP(Main_S[[#This Row],[Industry]], Mean_PE_S, 2, FALSE))/(VLOOKUP(Main_S[[#This Row],[Industry]], Mean_PE_S, 3, FALSE))</f>
        <v>-0.52621688967021274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s="67" t="s">
        <v>233</v>
      </c>
      <c r="B93" s="67" t="s">
        <v>538</v>
      </c>
      <c r="C93" s="2">
        <v>634</v>
      </c>
      <c r="D93">
        <f>RTD("tos.rtd", , "LAST", Main_S[[#This Row],[Symbol]])</f>
        <v>24.69</v>
      </c>
      <c r="E93">
        <v>-2.88</v>
      </c>
      <c r="F93">
        <v>24.55</v>
      </c>
      <c r="G93">
        <v>3.17</v>
      </c>
      <c r="H93" s="1">
        <f>IF(ISNUMBER(Main_S[[#This Row],[Free CF]]),IF(Main_S[[#This Row],[Free CF]]&lt;&gt;0,Main_S[[#This Row],[Current Price]]/Main_S[[#This Row],[Free CF]],""),"")</f>
        <v>-8.5729166666666679</v>
      </c>
      <c r="I93" s="1">
        <f>IF(ISNUMBER(Main_S[[#This Row],[BVPS]]),IF(Main_S[[#This Row],[BVPS]]&lt;&gt;0,Main_S[[#This Row],[Current Price]]/Main_S[[#This Row],[BVPS]],""),"")</f>
        <v>1.0057026476578412</v>
      </c>
      <c r="J93">
        <v>13.57</v>
      </c>
      <c r="K93">
        <v>6.28</v>
      </c>
      <c r="L93">
        <v>2.78</v>
      </c>
      <c r="M93" s="1">
        <f>IF(ISNUMBER(Main_S[[#This Row],[EPS]]),IF(Main_S[[#This Row],[EPS]]&lt;&gt;0,Main_S[[#This Row],[Current Price]]/Main_S[[#This Row],[EPS]],""),"")</f>
        <v>7.7886435331230288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-0.55441249637702983</v>
      </c>
      <c r="P93" s="1">
        <f>(Main_S[[#This Row],[P/B]]-VLOOKUP(Main_S[[#This Row],[Industry]], Mean_PB_S, 2, FALSE))/(VLOOKUP(Main_S[[#This Row],[Industry]], Mean_PB_S, 3, FALSE))</f>
        <v>-0.9594746733660835</v>
      </c>
      <c r="Q93" s="1">
        <f>(Main_S[[#This Row],[ROE]]-VLOOKUP(Main_S[[#This Row],[Industry]], Mean_ROE_S, 2, FALSE))/(VLOOKUP(Main_S[[#This Row],[Industry]], Mean_ROE_S, 3, FALSE))</f>
        <v>1.0264945386108211</v>
      </c>
      <c r="R93" s="1">
        <f>(Main_S[[#This Row],[ROA]]-VLOOKUP(Main_S[[#This Row],[Industry]], Mean_ROA_S, 2, FALSE))/(VLOOKUP(Main_S[[#This Row],[Industry]], Mean_ROA_S, 3, FALSE))</f>
        <v>1.43929657273583</v>
      </c>
      <c r="S93" s="1">
        <f>(Main_S[[#This Row],[A/E]]-VLOOKUP(Main_S[[#This Row],[Industry]], Mean_AE_S, 2, FALSE))/(VLOOKUP(Main_S[[#This Row],[Industry]], Mean_AE_S, 3, FALSE))</f>
        <v>1.459556132225194</v>
      </c>
      <c r="T93" s="1">
        <f>(Main_S[[#This Row],[P/E]]-VLOOKUP(Main_S[[#This Row],[Industry]], Mean_PE_S, 2, FALSE))/(VLOOKUP(Main_S[[#This Row],[Industry]], Mean_PE_S, 3, FALSE))</f>
        <v>0.49024390055253797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s="67" t="s">
        <v>233</v>
      </c>
      <c r="B94" s="67" t="s">
        <v>537</v>
      </c>
      <c r="C94" s="2">
        <v>274</v>
      </c>
      <c r="D94">
        <f>RTD("tos.rtd", , "LAST", Main_S[[#This Row],[Symbol]])</f>
        <v>12.52</v>
      </c>
      <c r="E94">
        <v>-3.5</v>
      </c>
      <c r="F94">
        <v>12.37</v>
      </c>
      <c r="G94">
        <v>-1.84</v>
      </c>
      <c r="H94" s="1">
        <f>IF(ISNUMBER(Main_S[[#This Row],[Free CF]]),IF(Main_S[[#This Row],[Free CF]]&lt;&gt;0,Main_S[[#This Row],[Current Price]]/Main_S[[#This Row],[Free CF]],""),"")</f>
        <v>-3.577142857142857</v>
      </c>
      <c r="I94" s="1">
        <f>IF(ISNUMBER(Main_S[[#This Row],[BVPS]]),IF(Main_S[[#This Row],[BVPS]]&lt;&gt;0,Main_S[[#This Row],[Current Price]]/Main_S[[#This Row],[BVPS]],""),"")</f>
        <v>1.0121261115602265</v>
      </c>
      <c r="J94">
        <v>-13.77</v>
      </c>
      <c r="K94">
        <v>-3.54</v>
      </c>
      <c r="L94">
        <v>2.64</v>
      </c>
      <c r="M94" s="1">
        <f>IF(ISNUMBER(Main_S[[#This Row],[EPS]]),IF(Main_S[[#This Row],[EPS]]&lt;&gt;0,Main_S[[#This Row],[Current Price]]/Main_S[[#This Row],[EPS]],""),"")</f>
        <v>-6.8043478260869561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-0.17573088648304644</v>
      </c>
      <c r="P94" s="1">
        <f>(Main_S[[#This Row],[P/B]]-VLOOKUP(Main_S[[#This Row],[Industry]], Mean_PB_S, 2, FALSE))/(VLOOKUP(Main_S[[#This Row],[Industry]], Mean_PB_S, 3, FALSE))</f>
        <v>-0.9286334197213002</v>
      </c>
      <c r="Q94" s="1">
        <f>(Main_S[[#This Row],[ROE]]-VLOOKUP(Main_S[[#This Row],[Industry]], Mean_ROE_S, 2, FALSE))/(VLOOKUP(Main_S[[#This Row],[Industry]], Mean_ROE_S, 3, FALSE))</f>
        <v>-1.265305172582162</v>
      </c>
      <c r="R94" s="1">
        <f>(Main_S[[#This Row],[ROA]]-VLOOKUP(Main_S[[#This Row],[Industry]], Mean_ROA_S, 2, FALSE))/(VLOOKUP(Main_S[[#This Row],[Industry]], Mean_ROA_S, 3, FALSE))</f>
        <v>-1.7495986666322485</v>
      </c>
      <c r="S94" s="1">
        <f>(Main_S[[#This Row],[A/E]]-VLOOKUP(Main_S[[#This Row],[Industry]], Mean_AE_S, 2, FALSE))/(VLOOKUP(Main_S[[#This Row],[Industry]], Mean_AE_S, 3, FALSE))</f>
        <v>1.1585058802745101</v>
      </c>
      <c r="T94" s="1">
        <f>(Main_S[[#This Row],[P/E]]-VLOOKUP(Main_S[[#This Row],[Industry]], Mean_PE_S, 2, FALSE))/(VLOOKUP(Main_S[[#This Row],[Industry]], Mean_PE_S, 3, FALSE))</f>
        <v>-0.62562882226417571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7" t="s">
        <v>153</v>
      </c>
      <c r="B95" s="67" t="s">
        <v>610</v>
      </c>
      <c r="C95" s="2">
        <v>766</v>
      </c>
      <c r="D95">
        <f>RTD("tos.rtd", , "LAST", Main_S[[#This Row],[Symbol]])</f>
        <v>39.671500000000002</v>
      </c>
      <c r="E95">
        <v>14.44</v>
      </c>
      <c r="F95">
        <v>59.36</v>
      </c>
      <c r="G95">
        <v>11.38</v>
      </c>
      <c r="H95" s="1">
        <f>IF(ISNUMBER(Main_S[[#This Row],[Free CF]]),IF(Main_S[[#This Row],[Free CF]]&lt;&gt;0,Main_S[[#This Row],[Current Price]]/Main_S[[#This Row],[Free CF]],""),"")</f>
        <v>2.7473337950138506</v>
      </c>
      <c r="I95" s="1">
        <f>IF(ISNUMBER(Main_S[[#This Row],[BVPS]]),IF(Main_S[[#This Row],[BVPS]]&lt;&gt;0,Main_S[[#This Row],[Current Price]]/Main_S[[#This Row],[BVPS]],""),"")</f>
        <v>0.66832041778975748</v>
      </c>
      <c r="J95">
        <v>24.9</v>
      </c>
      <c r="K95">
        <v>3.82</v>
      </c>
      <c r="L95">
        <v>3.16</v>
      </c>
      <c r="M95" s="1">
        <f>IF(ISNUMBER(Main_S[[#This Row],[EPS]]),IF(Main_S[[#This Row],[EPS]]&lt;&gt;0,Main_S[[#This Row],[Current Price]]/Main_S[[#This Row],[EPS]],""),"")</f>
        <v>3.4860720562390157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 t="e">
        <f>(Main_S[[#This Row],[P/FCF]]-VLOOKUP(Main_S[[#This Row],[Industry]], Mean_PFCF_S, 2, FALSE))/(VLOOKUP(Main_S[[#This Row],[Industry]], Mean_PFCF_S, 3, FALSE))</f>
        <v>#DIV/0!</v>
      </c>
      <c r="P95" s="1" t="e">
        <f>(Main_S[[#This Row],[P/B]]-VLOOKUP(Main_S[[#This Row],[Industry]], Mean_PB_S, 2, FALSE))/(VLOOKUP(Main_S[[#This Row],[Industry]], Mean_PB_S, 3, FALSE))</f>
        <v>#DIV/0!</v>
      </c>
      <c r="Q95" s="1" t="e">
        <f>(Main_S[[#This Row],[ROE]]-VLOOKUP(Main_S[[#This Row],[Industry]], Mean_ROE_S, 2, FALSE))/(VLOOKUP(Main_S[[#This Row],[Industry]], Mean_ROE_S, 3, FALSE))</f>
        <v>#DIV/0!</v>
      </c>
      <c r="R95" s="1" t="e">
        <f>(Main_S[[#This Row],[ROA]]-VLOOKUP(Main_S[[#This Row],[Industry]], Mean_ROA_S, 2, FALSE))/(VLOOKUP(Main_S[[#This Row],[Industry]], Mean_ROA_S, 3, FALSE))</f>
        <v>#DIV/0!</v>
      </c>
      <c r="S95" s="1" t="e">
        <f>(Main_S[[#This Row],[A/E]]-VLOOKUP(Main_S[[#This Row],[Industry]], Mean_AE_S, 2, FALSE))/(VLOOKUP(Main_S[[#This Row],[Industry]], Mean_AE_S, 3, FALSE))</f>
        <v>#DIV/0!</v>
      </c>
      <c r="T95" s="1" t="e">
        <f>(Main_S[[#This Row],[P/E]]-VLOOKUP(Main_S[[#This Row],[Industry]], Mean_PE_S, 2, FALSE))/(VLOOKUP(Main_S[[#This Row],[Industry]], Mean_PE_S, 3, FALSE))</f>
        <v>#DIV/0!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7" t="s">
        <v>156</v>
      </c>
      <c r="B96" s="67" t="s">
        <v>455</v>
      </c>
      <c r="C96" s="2">
        <v>1515</v>
      </c>
      <c r="D96">
        <f>RTD("tos.rtd", , "LAST", Main_S[[#This Row],[Symbol]])</f>
        <v>137.22</v>
      </c>
      <c r="E96">
        <v>8.11</v>
      </c>
      <c r="F96">
        <v>47.53</v>
      </c>
      <c r="G96">
        <v>7.03</v>
      </c>
      <c r="H96" s="1">
        <f>IF(ISNUMBER(Main_S[[#This Row],[Free CF]]),IF(Main_S[[#This Row],[Free CF]]&lt;&gt;0,Main_S[[#This Row],[Current Price]]/Main_S[[#This Row],[Free CF]],""),"")</f>
        <v>16.919852034525277</v>
      </c>
      <c r="I96" s="1">
        <f>IF(ISNUMBER(Main_S[[#This Row],[BVPS]]),IF(Main_S[[#This Row],[BVPS]]&lt;&gt;0,Main_S[[#This Row],[Current Price]]/Main_S[[#This Row],[BVPS]],""),"")</f>
        <v>2.8870187250157793</v>
      </c>
      <c r="J96">
        <v>15.38</v>
      </c>
      <c r="K96">
        <v>6.81</v>
      </c>
      <c r="L96">
        <v>1.58</v>
      </c>
      <c r="M96" s="1">
        <f>IF(ISNUMBER(Main_S[[#This Row],[EPS]]),IF(Main_S[[#This Row],[EPS]]&lt;&gt;0,Main_S[[#This Row],[Current Price]]/Main_S[[#This Row],[EPS]],""),"")</f>
        <v>19.519203413940254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0.36072458922276879</v>
      </c>
      <c r="P96" s="1">
        <f>(Main_S[[#This Row],[P/B]]-VLOOKUP(Main_S[[#This Row],[Industry]], Mean_PB_S, 2, FALSE))/(VLOOKUP(Main_S[[#This Row],[Industry]], Mean_PB_S, 3, FALSE))</f>
        <v>0.93416860430346216</v>
      </c>
      <c r="Q96" s="1">
        <f>(Main_S[[#This Row],[ROE]]-VLOOKUP(Main_S[[#This Row],[Industry]], Mean_ROE_S, 2, FALSE))/(VLOOKUP(Main_S[[#This Row],[Industry]], Mean_ROE_S, 3, FALSE))</f>
        <v>0.894535104962914</v>
      </c>
      <c r="R96" s="1">
        <f>(Main_S[[#This Row],[ROA]]-VLOOKUP(Main_S[[#This Row],[Industry]], Mean_ROA_S, 2, FALSE))/(VLOOKUP(Main_S[[#This Row],[Industry]], Mean_ROA_S, 3, FALSE))</f>
        <v>1.2006828111374279</v>
      </c>
      <c r="S96" s="1">
        <f>(Main_S[[#This Row],[A/E]]-VLOOKUP(Main_S[[#This Row],[Industry]], Mean_AE_S, 2, FALSE))/(VLOOKUP(Main_S[[#This Row],[Industry]], Mean_AE_S, 3, FALSE))</f>
        <v>-0.72881324821507054</v>
      </c>
      <c r="T96" s="1">
        <f>(Main_S[[#This Row],[P/E]]-VLOOKUP(Main_S[[#This Row],[Industry]], Mean_PE_S, 2, FALSE))/(VLOOKUP(Main_S[[#This Row],[Industry]], Mean_PE_S, 3, FALSE))</f>
        <v>0.16738228967228541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7" t="s">
        <v>156</v>
      </c>
      <c r="B97" s="67" t="s">
        <v>309</v>
      </c>
      <c r="C97" s="2">
        <v>1995</v>
      </c>
      <c r="D97">
        <f>RTD("tos.rtd", , "LAST", Main_S[[#This Row],[Symbol]])</f>
        <v>68.16</v>
      </c>
      <c r="E97">
        <v>4.53</v>
      </c>
      <c r="F97">
        <v>29.8</v>
      </c>
      <c r="G97">
        <v>2.4900000000000002</v>
      </c>
      <c r="H97" s="1">
        <f>IF(ISNUMBER(Main_S[[#This Row],[Free CF]]),IF(Main_S[[#This Row],[Free CF]]&lt;&gt;0,Main_S[[#This Row],[Current Price]]/Main_S[[#This Row],[Free CF]],""),"")</f>
        <v>15.046357615894038</v>
      </c>
      <c r="I97" s="1">
        <f>IF(ISNUMBER(Main_S[[#This Row],[BVPS]]),IF(Main_S[[#This Row],[BVPS]]&lt;&gt;0,Main_S[[#This Row],[Current Price]]/Main_S[[#This Row],[BVPS]],""),"")</f>
        <v>2.2872483221476507</v>
      </c>
      <c r="J97">
        <v>8.31</v>
      </c>
      <c r="K97">
        <v>4.78</v>
      </c>
      <c r="L97">
        <v>1.88</v>
      </c>
      <c r="M97" s="1">
        <f>IF(ISNUMBER(Main_S[[#This Row],[EPS]]),IF(Main_S[[#This Row],[EPS]]&lt;&gt;0,Main_S[[#This Row],[Current Price]]/Main_S[[#This Row],[EPS]],""),"")</f>
        <v>27.37349397590361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0.1975207226860933</v>
      </c>
      <c r="P97" s="1">
        <f>(Main_S[[#This Row],[P/B]]-VLOOKUP(Main_S[[#This Row],[Industry]], Mean_PB_S, 2, FALSE))/(VLOOKUP(Main_S[[#This Row],[Industry]], Mean_PB_S, 3, FALSE))</f>
        <v>0.38901731543616636</v>
      </c>
      <c r="Q97" s="1">
        <f>(Main_S[[#This Row],[ROE]]-VLOOKUP(Main_S[[#This Row],[Industry]], Mean_ROE_S, 2, FALSE))/(VLOOKUP(Main_S[[#This Row],[Industry]], Mean_ROE_S, 3, FALSE))</f>
        <v>0.2213935180264463</v>
      </c>
      <c r="R97" s="1">
        <f>(Main_S[[#This Row],[ROA]]-VLOOKUP(Main_S[[#This Row],[Industry]], Mean_ROA_S, 2, FALSE))/(VLOOKUP(Main_S[[#This Row],[Industry]], Mean_ROA_S, 3, FALSE))</f>
        <v>0.46491861869234641</v>
      </c>
      <c r="S97" s="1">
        <f>(Main_S[[#This Row],[A/E]]-VLOOKUP(Main_S[[#This Row],[Industry]], Mean_AE_S, 2, FALSE))/(VLOOKUP(Main_S[[#This Row],[Industry]], Mean_AE_S, 3, FALSE))</f>
        <v>-0.38573322042935049</v>
      </c>
      <c r="T97" s="1">
        <f>(Main_S[[#This Row],[P/E]]-VLOOKUP(Main_S[[#This Row],[Industry]], Mean_PE_S, 2, FALSE))/(VLOOKUP(Main_S[[#This Row],[Industry]], Mean_PE_S, 3, FALSE))</f>
        <v>0.49278106343750799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7" t="s">
        <v>156</v>
      </c>
      <c r="B98" s="67" t="s">
        <v>464</v>
      </c>
      <c r="C98" s="2">
        <v>322</v>
      </c>
      <c r="D98">
        <f>RTD("tos.rtd", , "LAST", Main_S[[#This Row],[Symbol]])</f>
        <v>14.91</v>
      </c>
      <c r="E98">
        <v>3.65</v>
      </c>
      <c r="F98">
        <v>12.24</v>
      </c>
      <c r="G98">
        <v>1.08</v>
      </c>
      <c r="H98" s="1">
        <f>IF(ISNUMBER(Main_S[[#This Row],[Free CF]]),IF(Main_S[[#This Row],[Free CF]]&lt;&gt;0,Main_S[[#This Row],[Current Price]]/Main_S[[#This Row],[Free CF]],""),"")</f>
        <v>4.0849315068493155</v>
      </c>
      <c r="I98" s="1">
        <f>IF(ISNUMBER(Main_S[[#This Row],[BVPS]]),IF(Main_S[[#This Row],[BVPS]]&lt;&gt;0,Main_S[[#This Row],[Current Price]]/Main_S[[#This Row],[BVPS]],""),"")</f>
        <v>1.2181372549019607</v>
      </c>
      <c r="J98">
        <v>9.4</v>
      </c>
      <c r="K98">
        <v>1.93</v>
      </c>
      <c r="L98">
        <v>1.79</v>
      </c>
      <c r="M98" s="1">
        <f>IF(ISNUMBER(Main_S[[#This Row],[EPS]]),IF(Main_S[[#This Row],[EPS]]&lt;&gt;0,Main_S[[#This Row],[Current Price]]/Main_S[[#This Row],[EPS]],""),"")</f>
        <v>13.805555555555555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-0.7573511498755322</v>
      </c>
      <c r="P98" s="1">
        <f>(Main_S[[#This Row],[P/B]]-VLOOKUP(Main_S[[#This Row],[Industry]], Mean_PB_S, 2, FALSE))/(VLOOKUP(Main_S[[#This Row],[Industry]], Mean_PB_S, 3, FALSE))</f>
        <v>-0.58273333025120388</v>
      </c>
      <c r="Q98" s="1">
        <f>(Main_S[[#This Row],[ROE]]-VLOOKUP(Main_S[[#This Row],[Industry]], Mean_ROE_S, 2, FALSE))/(VLOOKUP(Main_S[[#This Row],[Industry]], Mean_ROE_S, 3, FALSE))</f>
        <v>0.32517347980307282</v>
      </c>
      <c r="R98" s="1">
        <f>(Main_S[[#This Row],[ROA]]-VLOOKUP(Main_S[[#This Row],[Industry]], Mean_ROA_S, 2, FALSE))/(VLOOKUP(Main_S[[#This Row],[Industry]], Mean_ROA_S, 3, FALSE))</f>
        <v>-0.56805081405074864</v>
      </c>
      <c r="S98" s="1">
        <f>(Main_S[[#This Row],[A/E]]-VLOOKUP(Main_S[[#This Row],[Industry]], Mean_AE_S, 2, FALSE))/(VLOOKUP(Main_S[[#This Row],[Industry]], Mean_AE_S, 3, FALSE))</f>
        <v>-0.4886572287650664</v>
      </c>
      <c r="T98" s="1">
        <f>(Main_S[[#This Row],[P/E]]-VLOOKUP(Main_S[[#This Row],[Industry]], Mean_PE_S, 2, FALSE))/(VLOOKUP(Main_S[[#This Row],[Industry]], Mean_PE_S, 3, FALSE))</f>
        <v>-6.933087903176606E-2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7" t="s">
        <v>156</v>
      </c>
      <c r="B99" s="67" t="s">
        <v>462</v>
      </c>
      <c r="C99" s="2">
        <v>711</v>
      </c>
      <c r="D99">
        <f>RTD("tos.rtd", , "LAST", Main_S[[#This Row],[Symbol]])</f>
        <v>41.97</v>
      </c>
      <c r="E99">
        <v>3.49</v>
      </c>
      <c r="F99">
        <v>28.82</v>
      </c>
      <c r="G99">
        <v>5.6</v>
      </c>
      <c r="H99" s="1">
        <f>IF(ISNUMBER(Main_S[[#This Row],[Free CF]]),IF(Main_S[[#This Row],[Free CF]]&lt;&gt;0,Main_S[[#This Row],[Current Price]]/Main_S[[#This Row],[Free CF]],""),"")</f>
        <v>12.025787965616045</v>
      </c>
      <c r="I99" s="1">
        <f>IF(ISNUMBER(Main_S[[#This Row],[BVPS]]),IF(Main_S[[#This Row],[BVPS]]&lt;&gt;0,Main_S[[#This Row],[Current Price]]/Main_S[[#This Row],[BVPS]],""),"")</f>
        <v>1.4562803608605135</v>
      </c>
      <c r="J99">
        <v>21.09</v>
      </c>
      <c r="K99">
        <v>6.02</v>
      </c>
      <c r="L99">
        <v>4.03</v>
      </c>
      <c r="M99" s="1">
        <f>IF(ISNUMBER(Main_S[[#This Row],[EPS]]),IF(Main_S[[#This Row],[EPS]]&lt;&gt;0,Main_S[[#This Row],[Current Price]]/Main_S[[#This Row],[EPS]],""),"")</f>
        <v>7.4946428571428578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-6.5607174128705537E-2</v>
      </c>
      <c r="P99" s="1">
        <f>(Main_S[[#This Row],[P/B]]-VLOOKUP(Main_S[[#This Row],[Industry]], Mean_PB_S, 2, FALSE))/(VLOOKUP(Main_S[[#This Row],[Industry]], Mean_PB_S, 3, FALSE))</f>
        <v>-0.36627713213382118</v>
      </c>
      <c r="Q99" s="1">
        <f>(Main_S[[#This Row],[ROE]]-VLOOKUP(Main_S[[#This Row],[Industry]], Mean_ROE_S, 2, FALSE))/(VLOOKUP(Main_S[[#This Row],[Industry]], Mean_ROE_S, 3, FALSE))</f>
        <v>1.4381897671138655</v>
      </c>
      <c r="R99" s="1">
        <f>(Main_S[[#This Row],[ROA]]-VLOOKUP(Main_S[[#This Row],[Industry]], Mean_ROA_S, 2, FALSE))/(VLOOKUP(Main_S[[#This Row],[Industry]], Mean_ROA_S, 3, FALSE))</f>
        <v>0.91435093328934181</v>
      </c>
      <c r="S99" s="1">
        <f>(Main_S[[#This Row],[A/E]]-VLOOKUP(Main_S[[#This Row],[Industry]], Mean_AE_S, 2, FALSE))/(VLOOKUP(Main_S[[#This Row],[Industry]], Mean_AE_S, 3, FALSE))</f>
        <v>2.0730069787016454</v>
      </c>
      <c r="T99" s="1">
        <f>(Main_S[[#This Row],[P/E]]-VLOOKUP(Main_S[[#This Row],[Industry]], Mean_PE_S, 2, FALSE))/(VLOOKUP(Main_S[[#This Row],[Industry]], Mean_PE_S, 3, FALSE))</f>
        <v>-0.33078838906428637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7" t="s">
        <v>156</v>
      </c>
      <c r="B100" s="67" t="s">
        <v>469</v>
      </c>
      <c r="C100" s="2">
        <v>1388</v>
      </c>
      <c r="D100">
        <f>RTD("tos.rtd", , "LAST", Main_S[[#This Row],[Symbol]])</f>
        <v>75.63</v>
      </c>
      <c r="E100">
        <v>3.25</v>
      </c>
      <c r="F100">
        <v>33.380000000000003</v>
      </c>
      <c r="G100">
        <v>3.58</v>
      </c>
      <c r="H100" s="1">
        <f>IF(ISNUMBER(Main_S[[#This Row],[Free CF]]),IF(Main_S[[#This Row],[Free CF]]&lt;&gt;0,Main_S[[#This Row],[Current Price]]/Main_S[[#This Row],[Free CF]],""),"")</f>
        <v>23.270769230769229</v>
      </c>
      <c r="I100" s="1">
        <f>IF(ISNUMBER(Main_S[[#This Row],[BVPS]]),IF(Main_S[[#This Row],[BVPS]]&lt;&gt;0,Main_S[[#This Row],[Current Price]]/Main_S[[#This Row],[BVPS]],""),"")</f>
        <v>2.265727980826842</v>
      </c>
      <c r="J100">
        <v>11.01</v>
      </c>
      <c r="K100">
        <v>5.69</v>
      </c>
      <c r="L100">
        <v>1.89</v>
      </c>
      <c r="M100" s="1">
        <f>IF(ISNUMBER(Main_S[[#This Row],[EPS]]),IF(Main_S[[#This Row],[EPS]]&lt;&gt;0,Main_S[[#This Row],[Current Price]]/Main_S[[#This Row],[EPS]],""),"")</f>
        <v>21.125698324022345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0.91396575833099081</v>
      </c>
      <c r="P100" s="1">
        <f>(Main_S[[#This Row],[P/B]]-VLOOKUP(Main_S[[#This Row],[Industry]], Mean_PB_S, 2, FALSE))/(VLOOKUP(Main_S[[#This Row],[Industry]], Mean_PB_S, 3, FALSE))</f>
        <v>0.36945676067754407</v>
      </c>
      <c r="Q100" s="1">
        <f>(Main_S[[#This Row],[ROE]]-VLOOKUP(Main_S[[#This Row],[Industry]], Mean_ROE_S, 2, FALSE))/(VLOOKUP(Main_S[[#This Row],[Industry]], Mean_ROE_S, 3, FALSE))</f>
        <v>0.47846314811533769</v>
      </c>
      <c r="R100" s="1">
        <f>(Main_S[[#This Row],[ROA]]-VLOOKUP(Main_S[[#This Row],[Industry]], Mean_ROA_S, 2, FALSE))/(VLOOKUP(Main_S[[#This Row],[Industry]], Mean_ROA_S, 3, FALSE))</f>
        <v>0.79474394634014167</v>
      </c>
      <c r="S100" s="1">
        <f>(Main_S[[#This Row],[A/E]]-VLOOKUP(Main_S[[#This Row],[Industry]], Mean_AE_S, 2, FALSE))/(VLOOKUP(Main_S[[#This Row],[Industry]], Mean_AE_S, 3, FALSE))</f>
        <v>-0.37429721950315981</v>
      </c>
      <c r="T100" s="1">
        <f>(Main_S[[#This Row],[P/E]]-VLOOKUP(Main_S[[#This Row],[Industry]], Mean_PE_S, 2, FALSE))/(VLOOKUP(Main_S[[#This Row],[Industry]], Mean_PE_S, 3, FALSE))</f>
        <v>0.23393845660763626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7" t="s">
        <v>156</v>
      </c>
      <c r="B101" s="67" t="s">
        <v>328</v>
      </c>
      <c r="C101" s="2">
        <v>1822</v>
      </c>
      <c r="D101">
        <f>RTD("tos.rtd", , "LAST", Main_S[[#This Row],[Symbol]])</f>
        <v>156.59</v>
      </c>
      <c r="E101">
        <v>3.24</v>
      </c>
      <c r="F101">
        <v>57.3</v>
      </c>
      <c r="G101">
        <v>5.05</v>
      </c>
      <c r="H101" s="1">
        <f>IF(ISNUMBER(Main_S[[#This Row],[Free CF]]),IF(Main_S[[#This Row],[Free CF]]&lt;&gt;0,Main_S[[#This Row],[Current Price]]/Main_S[[#This Row],[Free CF]],""),"")</f>
        <v>48.330246913580247</v>
      </c>
      <c r="I101" s="1">
        <f>IF(ISNUMBER(Main_S[[#This Row],[BVPS]]),IF(Main_S[[#This Row],[BVPS]]&lt;&gt;0,Main_S[[#This Row],[Current Price]]/Main_S[[#This Row],[BVPS]],""),"")</f>
        <v>2.7328097731239094</v>
      </c>
      <c r="J101">
        <v>9.2899999999999991</v>
      </c>
      <c r="K101">
        <v>5.47</v>
      </c>
      <c r="L101">
        <v>2.2599999999999998</v>
      </c>
      <c r="M101" s="1">
        <f>IF(ISNUMBER(Main_S[[#This Row],[EPS]]),IF(Main_S[[#This Row],[EPS]]&lt;&gt;0,Main_S[[#This Row],[Current Price]]/Main_S[[#This Row],[EPS]],""),"")</f>
        <v>31.007920792079208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3.0969472556616675</v>
      </c>
      <c r="P101" s="1">
        <f>(Main_S[[#This Row],[P/B]]-VLOOKUP(Main_S[[#This Row],[Industry]], Mean_PB_S, 2, FALSE))/(VLOOKUP(Main_S[[#This Row],[Industry]], Mean_PB_S, 3, FALSE))</f>
        <v>0.79400295345321248</v>
      </c>
      <c r="Q101" s="1">
        <f>(Main_S[[#This Row],[ROE]]-VLOOKUP(Main_S[[#This Row],[Industry]], Mean_ROE_S, 2, FALSE))/(VLOOKUP(Main_S[[#This Row],[Industry]], Mean_ROE_S, 3, FALSE))</f>
        <v>0.31470027265130307</v>
      </c>
      <c r="R101" s="1">
        <f>(Main_S[[#This Row],[ROA]]-VLOOKUP(Main_S[[#This Row],[Industry]], Mean_ROA_S, 2, FALSE))/(VLOOKUP(Main_S[[#This Row],[Industry]], Mean_ROA_S, 3, FALSE))</f>
        <v>0.71500595504067443</v>
      </c>
      <c r="S101" s="1">
        <f>(Main_S[[#This Row],[A/E]]-VLOOKUP(Main_S[[#This Row],[Industry]], Mean_AE_S, 2, FALSE))/(VLOOKUP(Main_S[[#This Row],[Industry]], Mean_AE_S, 3, FALSE))</f>
        <v>4.8834814765895074E-2</v>
      </c>
      <c r="T101" s="1">
        <f>(Main_S[[#This Row],[P/E]]-VLOOKUP(Main_S[[#This Row],[Industry]], Mean_PE_S, 2, FALSE))/(VLOOKUP(Main_S[[#This Row],[Industry]], Mean_PE_S, 3, FALSE))</f>
        <v>0.64335329144371955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7" t="s">
        <v>156</v>
      </c>
      <c r="B102" s="67" t="s">
        <v>445</v>
      </c>
      <c r="C102" s="2">
        <v>898</v>
      </c>
      <c r="D102">
        <f>RTD("tos.rtd", , "LAST", Main_S[[#This Row],[Symbol]])</f>
        <v>40.65</v>
      </c>
      <c r="E102">
        <v>3.15</v>
      </c>
      <c r="F102">
        <v>28.6</v>
      </c>
      <c r="G102">
        <v>0.66</v>
      </c>
      <c r="H102" s="1">
        <f>IF(ISNUMBER(Main_S[[#This Row],[Free CF]]),IF(Main_S[[#This Row],[Free CF]]&lt;&gt;0,Main_S[[#This Row],[Current Price]]/Main_S[[#This Row],[Free CF]],""),"")</f>
        <v>12.904761904761905</v>
      </c>
      <c r="I102" s="1">
        <f>IF(ISNUMBER(Main_S[[#This Row],[BVPS]]),IF(Main_S[[#This Row],[BVPS]]&lt;&gt;0,Main_S[[#This Row],[Current Price]]/Main_S[[#This Row],[BVPS]],""),"")</f>
        <v>1.4213286713286712</v>
      </c>
      <c r="J102">
        <v>2.3199999999999998</v>
      </c>
      <c r="K102">
        <v>5.89</v>
      </c>
      <c r="L102">
        <v>1.62</v>
      </c>
      <c r="M102" s="1">
        <f>IF(ISNUMBER(Main_S[[#This Row],[EPS]]),IF(Main_S[[#This Row],[EPS]]&lt;&gt;0,Main_S[[#This Row],[Current Price]]/Main_S[[#This Row],[EPS]],""),"")</f>
        <v>61.590909090909086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1.0962013389014306E-2</v>
      </c>
      <c r="P102" s="1">
        <f>(Main_S[[#This Row],[P/B]]-VLOOKUP(Main_S[[#This Row],[Industry]], Mean_PB_S, 2, FALSE))/(VLOOKUP(Main_S[[#This Row],[Industry]], Mean_PB_S, 3, FALSE))</f>
        <v>-0.3980458864859141</v>
      </c>
      <c r="Q102" s="1">
        <f>(Main_S[[#This Row],[ROE]]-VLOOKUP(Main_S[[#This Row],[Industry]], Mean_ROE_S, 2, FALSE))/(VLOOKUP(Main_S[[#This Row],[Industry]], Mean_ROE_S, 3, FALSE))</f>
        <v>-0.34892021687446473</v>
      </c>
      <c r="R102" s="1">
        <f>(Main_S[[#This Row],[ROA]]-VLOOKUP(Main_S[[#This Row],[Industry]], Mean_ROA_S, 2, FALSE))/(VLOOKUP(Main_S[[#This Row],[Industry]], Mean_ROA_S, 3, FALSE))</f>
        <v>0.86723302933965685</v>
      </c>
      <c r="S102" s="1">
        <f>(Main_S[[#This Row],[A/E]]-VLOOKUP(Main_S[[#This Row],[Industry]], Mean_AE_S, 2, FALSE))/(VLOOKUP(Main_S[[#This Row],[Industry]], Mean_AE_S, 3, FALSE))</f>
        <v>-0.68306924451030782</v>
      </c>
      <c r="T102" s="1">
        <f>(Main_S[[#This Row],[P/E]]-VLOOKUP(Main_S[[#This Row],[Industry]], Mean_PE_S, 2, FALSE))/(VLOOKUP(Main_S[[#This Row],[Industry]], Mean_PE_S, 3, FALSE))</f>
        <v>1.9103890360479721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7" t="s">
        <v>156</v>
      </c>
      <c r="B103" s="67" t="s">
        <v>461</v>
      </c>
      <c r="C103" s="2">
        <v>1011</v>
      </c>
      <c r="D103">
        <f>RTD("tos.rtd", , "LAST", Main_S[[#This Row],[Symbol]])</f>
        <v>32.76</v>
      </c>
      <c r="E103">
        <v>2.78</v>
      </c>
      <c r="F103">
        <v>26.46</v>
      </c>
      <c r="G103">
        <v>1.1100000000000001</v>
      </c>
      <c r="H103" s="1">
        <f>IF(ISNUMBER(Main_S[[#This Row],[Free CF]]),IF(Main_S[[#This Row],[Free CF]]&lt;&gt;0,Main_S[[#This Row],[Current Price]]/Main_S[[#This Row],[Free CF]],""),"")</f>
        <v>11.784172661870503</v>
      </c>
      <c r="I103" s="1">
        <f>IF(ISNUMBER(Main_S[[#This Row],[BVPS]]),IF(Main_S[[#This Row],[BVPS]]&lt;&gt;0,Main_S[[#This Row],[Current Price]]/Main_S[[#This Row],[BVPS]],""),"")</f>
        <v>1.2380952380952379</v>
      </c>
      <c r="J103">
        <v>4.2699999999999996</v>
      </c>
      <c r="K103">
        <v>3.36</v>
      </c>
      <c r="L103">
        <v>1.73</v>
      </c>
      <c r="M103" s="1">
        <f>IF(ISNUMBER(Main_S[[#This Row],[EPS]]),IF(Main_S[[#This Row],[EPS]]&lt;&gt;0,Main_S[[#This Row],[Current Price]]/Main_S[[#This Row],[EPS]],""),"")</f>
        <v>29.513513513513509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-8.6654769143434687E-2</v>
      </c>
      <c r="P103" s="1">
        <f>(Main_S[[#This Row],[P/B]]-VLOOKUP(Main_S[[#This Row],[Industry]], Mean_PB_S, 2, FALSE))/(VLOOKUP(Main_S[[#This Row],[Industry]], Mean_PB_S, 3, FALSE))</f>
        <v>-0.56459285481430721</v>
      </c>
      <c r="Q103" s="1">
        <f>(Main_S[[#This Row],[ROE]]-VLOOKUP(Main_S[[#This Row],[Industry]], Mean_ROE_S, 2, FALSE))/(VLOOKUP(Main_S[[#This Row],[Industry]], Mean_ROE_S, 3, FALSE))</f>
        <v>-0.16325881736582096</v>
      </c>
      <c r="R103" s="1">
        <f>(Main_S[[#This Row],[ROA]]-VLOOKUP(Main_S[[#This Row],[Industry]], Mean_ROA_S, 2, FALSE))/(VLOOKUP(Main_S[[#This Row],[Industry]], Mean_ROA_S, 3, FALSE))</f>
        <v>-4.9753870604213331E-2</v>
      </c>
      <c r="S103" s="1">
        <f>(Main_S[[#This Row],[A/E]]-VLOOKUP(Main_S[[#This Row],[Industry]], Mean_AE_S, 2, FALSE))/(VLOOKUP(Main_S[[#This Row],[Industry]], Mean_AE_S, 3, FALSE))</f>
        <v>-0.55727323432221054</v>
      </c>
      <c r="T103" s="1">
        <f>(Main_S[[#This Row],[P/E]]-VLOOKUP(Main_S[[#This Row],[Industry]], Mean_PE_S, 2, FALSE))/(VLOOKUP(Main_S[[#This Row],[Industry]], Mean_PE_S, 3, FALSE))</f>
        <v>0.58144085108837495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7" t="s">
        <v>156</v>
      </c>
      <c r="B104" s="67" t="s">
        <v>468</v>
      </c>
      <c r="C104" s="2">
        <v>879</v>
      </c>
      <c r="D104">
        <f>RTD("tos.rtd", , "LAST", Main_S[[#This Row],[Symbol]])</f>
        <v>39.200000000000003</v>
      </c>
      <c r="E104">
        <v>2.71</v>
      </c>
      <c r="F104">
        <v>27.63</v>
      </c>
      <c r="G104">
        <v>0.6</v>
      </c>
      <c r="H104" s="1">
        <f>IF(ISNUMBER(Main_S[[#This Row],[Free CF]]),IF(Main_S[[#This Row],[Free CF]]&lt;&gt;0,Main_S[[#This Row],[Current Price]]/Main_S[[#This Row],[Free CF]],""),"")</f>
        <v>14.464944649446496</v>
      </c>
      <c r="I104" s="1">
        <f>IF(ISNUMBER(Main_S[[#This Row],[BVPS]]),IF(Main_S[[#This Row],[BVPS]]&lt;&gt;0,Main_S[[#This Row],[Current Price]]/Main_S[[#This Row],[BVPS]],""),"")</f>
        <v>1.4187477379659792</v>
      </c>
      <c r="J104">
        <v>2.2200000000000002</v>
      </c>
      <c r="K104">
        <v>1.92</v>
      </c>
      <c r="L104">
        <v>1.1200000000000001</v>
      </c>
      <c r="M104" s="1">
        <f>IF(ISNUMBER(Main_S[[#This Row],[EPS]]),IF(Main_S[[#This Row],[EPS]]&lt;&gt;0,Main_S[[#This Row],[Current Price]]/Main_S[[#This Row],[EPS]],""),"")</f>
        <v>65.333333333333343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0.14687266991627379</v>
      </c>
      <c r="P104" s="1">
        <f>(Main_S[[#This Row],[P/B]]-VLOOKUP(Main_S[[#This Row],[Industry]], Mean_PB_S, 2, FALSE))/(VLOOKUP(Main_S[[#This Row],[Industry]], Mean_PB_S, 3, FALSE))</f>
        <v>-0.40039178275292531</v>
      </c>
      <c r="Q104" s="1">
        <f>(Main_S[[#This Row],[ROE]]-VLOOKUP(Main_S[[#This Row],[Industry]], Mean_ROE_S, 2, FALSE))/(VLOOKUP(Main_S[[#This Row],[Industry]], Mean_ROE_S, 3, FALSE))</f>
        <v>-0.3584413142851644</v>
      </c>
      <c r="R104" s="1">
        <f>(Main_S[[#This Row],[ROA]]-VLOOKUP(Main_S[[#This Row],[Industry]], Mean_ROA_S, 2, FALSE))/(VLOOKUP(Main_S[[#This Row],[Industry]], Mean_ROA_S, 3, FALSE))</f>
        <v>-0.57167526820072445</v>
      </c>
      <c r="S104" s="1">
        <f>(Main_S[[#This Row],[A/E]]-VLOOKUP(Main_S[[#This Row],[Industry]], Mean_AE_S, 2, FALSE))/(VLOOKUP(Main_S[[#This Row],[Industry]], Mean_AE_S, 3, FALSE))</f>
        <v>-1.2548692908198416</v>
      </c>
      <c r="T104" s="1">
        <f>(Main_S[[#This Row],[P/E]]-VLOOKUP(Main_S[[#This Row],[Industry]], Mean_PE_S, 2, FALSE))/(VLOOKUP(Main_S[[#This Row],[Industry]], Mean_PE_S, 3, FALSE))</f>
        <v>2.0654355357651513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7" t="s">
        <v>156</v>
      </c>
      <c r="B105" s="67" t="s">
        <v>446</v>
      </c>
      <c r="C105" s="2">
        <v>1222</v>
      </c>
      <c r="D105">
        <f>RTD("tos.rtd", , "LAST", Main_S[[#This Row],[Symbol]])</f>
        <v>40.869999999999997</v>
      </c>
      <c r="E105">
        <v>2.71</v>
      </c>
      <c r="F105">
        <v>6.01</v>
      </c>
      <c r="G105">
        <v>3.22</v>
      </c>
      <c r="H105" s="1">
        <f>IF(ISNUMBER(Main_S[[#This Row],[Free CF]]),IF(Main_S[[#This Row],[Free CF]]&lt;&gt;0,Main_S[[#This Row],[Current Price]]/Main_S[[#This Row],[Free CF]],""),"")</f>
        <v>15.081180811808117</v>
      </c>
      <c r="I105" s="1">
        <f>IF(ISNUMBER(Main_S[[#This Row],[BVPS]]),IF(Main_S[[#This Row],[BVPS]]&lt;&gt;0,Main_S[[#This Row],[Current Price]]/Main_S[[#This Row],[BVPS]],""),"")</f>
        <v>6.8003327787021632</v>
      </c>
      <c r="J105">
        <v>73.02</v>
      </c>
      <c r="K105">
        <v>16.600000000000001</v>
      </c>
      <c r="L105">
        <v>2.86</v>
      </c>
      <c r="M105" s="1">
        <f>IF(ISNUMBER(Main_S[[#This Row],[EPS]]),IF(Main_S[[#This Row],[EPS]]&lt;&gt;0,Main_S[[#This Row],[Current Price]]/Main_S[[#This Row],[EPS]],""),"")</f>
        <v>12.69254658385093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0.20055424131407729</v>
      </c>
      <c r="P105" s="1">
        <f>(Main_S[[#This Row],[P/B]]-VLOOKUP(Main_S[[#This Row],[Industry]], Mean_PB_S, 2, FALSE))/(VLOOKUP(Main_S[[#This Row],[Industry]], Mean_PB_S, 3, FALSE))</f>
        <v>4.4911100437407354</v>
      </c>
      <c r="Q105" s="1">
        <f>(Main_S[[#This Row],[ROE]]-VLOOKUP(Main_S[[#This Row],[Industry]], Mean_ROE_S, 2, FALSE))/(VLOOKUP(Main_S[[#This Row],[Industry]], Mean_ROE_S, 3, FALSE))</f>
        <v>6.3824956524902099</v>
      </c>
      <c r="R105" s="1">
        <f>(Main_S[[#This Row],[ROA]]-VLOOKUP(Main_S[[#This Row],[Industry]], Mean_ROA_S, 2, FALSE))/(VLOOKUP(Main_S[[#This Row],[Industry]], Mean_ROA_S, 3, FALSE))</f>
        <v>4.7490234239637088</v>
      </c>
      <c r="S105" s="1">
        <f>(Main_S[[#This Row],[A/E]]-VLOOKUP(Main_S[[#This Row],[Industry]], Mean_AE_S, 2, FALSE))/(VLOOKUP(Main_S[[#This Row],[Industry]], Mean_AE_S, 3, FALSE))</f>
        <v>0.73499487033733568</v>
      </c>
      <c r="T105" s="1">
        <f>(Main_S[[#This Row],[P/E]]-VLOOKUP(Main_S[[#This Row],[Industry]], Mean_PE_S, 2, FALSE))/(VLOOKUP(Main_S[[#This Row],[Industry]], Mean_PE_S, 3, FALSE))</f>
        <v>-0.1154422052839799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7" t="s">
        <v>156</v>
      </c>
      <c r="B106" s="67" t="s">
        <v>460</v>
      </c>
      <c r="C106" s="2">
        <v>960</v>
      </c>
      <c r="D106">
        <f>RTD("tos.rtd", , "LAST", Main_S[[#This Row],[Symbol]])</f>
        <v>37.159999999999997</v>
      </c>
      <c r="E106">
        <v>2.54</v>
      </c>
      <c r="F106">
        <v>14.53</v>
      </c>
      <c r="G106">
        <v>1.69</v>
      </c>
      <c r="H106" s="1">
        <f>IF(ISNUMBER(Main_S[[#This Row],[Free CF]]),IF(Main_S[[#This Row],[Free CF]]&lt;&gt;0,Main_S[[#This Row],[Current Price]]/Main_S[[#This Row],[Free CF]],""),"")</f>
        <v>14.629921259842519</v>
      </c>
      <c r="I106" s="1">
        <f>IF(ISNUMBER(Main_S[[#This Row],[BVPS]]),IF(Main_S[[#This Row],[BVPS]]&lt;&gt;0,Main_S[[#This Row],[Current Price]]/Main_S[[#This Row],[BVPS]],""),"")</f>
        <v>2.5574673090158293</v>
      </c>
      <c r="J106">
        <v>12.06</v>
      </c>
      <c r="K106">
        <v>6.54</v>
      </c>
      <c r="L106">
        <v>2.25</v>
      </c>
      <c r="M106" s="1">
        <f>IF(ISNUMBER(Main_S[[#This Row],[EPS]]),IF(Main_S[[#This Row],[EPS]]&lt;&gt;0,Main_S[[#This Row],[Current Price]]/Main_S[[#This Row],[EPS]],""),"")</f>
        <v>21.988165680473372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0.1612441142274966</v>
      </c>
      <c r="P106" s="1">
        <f>(Main_S[[#This Row],[P/B]]-VLOOKUP(Main_S[[#This Row],[Industry]], Mean_PB_S, 2, FALSE))/(VLOOKUP(Main_S[[#This Row],[Industry]], Mean_PB_S, 3, FALSE))</f>
        <v>0.63462834969720761</v>
      </c>
      <c r="Q106" s="1">
        <f>(Main_S[[#This Row],[ROE]]-VLOOKUP(Main_S[[#This Row],[Industry]], Mean_ROE_S, 2, FALSE))/(VLOOKUP(Main_S[[#This Row],[Industry]], Mean_ROE_S, 3, FALSE))</f>
        <v>0.57843467092768441</v>
      </c>
      <c r="R106" s="1">
        <f>(Main_S[[#This Row],[ROA]]-VLOOKUP(Main_S[[#This Row],[Industry]], Mean_ROA_S, 2, FALSE))/(VLOOKUP(Main_S[[#This Row],[Industry]], Mean_ROA_S, 3, FALSE))</f>
        <v>1.1028225490880821</v>
      </c>
      <c r="S106" s="1">
        <f>(Main_S[[#This Row],[A/E]]-VLOOKUP(Main_S[[#This Row],[Industry]], Mean_AE_S, 2, FALSE))/(VLOOKUP(Main_S[[#This Row],[Industry]], Mean_AE_S, 3, FALSE))</f>
        <v>3.7398813839704642E-2</v>
      </c>
      <c r="T106" s="1">
        <f>(Main_S[[#This Row],[P/E]]-VLOOKUP(Main_S[[#This Row],[Industry]], Mean_PE_S, 2, FALSE))/(VLOOKUP(Main_S[[#This Row],[Industry]], Mean_PE_S, 3, FALSE))</f>
        <v>0.2696699867805592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7" t="s">
        <v>156</v>
      </c>
      <c r="B107" s="67" t="s">
        <v>452</v>
      </c>
      <c r="C107" s="2">
        <v>638</v>
      </c>
      <c r="D107">
        <f>RTD("tos.rtd", , "LAST", Main_S[[#This Row],[Symbol]])</f>
        <v>28.47</v>
      </c>
      <c r="E107">
        <v>2.2799999999999998</v>
      </c>
      <c r="F107">
        <v>11.15</v>
      </c>
      <c r="G107">
        <v>2.72</v>
      </c>
      <c r="H107" s="1">
        <f>IF(ISNUMBER(Main_S[[#This Row],[Free CF]]),IF(Main_S[[#This Row],[Free CF]]&lt;&gt;0,Main_S[[#This Row],[Current Price]]/Main_S[[#This Row],[Free CF]],""),"")</f>
        <v>12.486842105263159</v>
      </c>
      <c r="I107" s="1">
        <f>IF(ISNUMBER(Main_S[[#This Row],[BVPS]]),IF(Main_S[[#This Row],[BVPS]]&lt;&gt;0,Main_S[[#This Row],[Current Price]]/Main_S[[#This Row],[BVPS]],""),"")</f>
        <v>2.5533632286995513</v>
      </c>
      <c r="J107">
        <v>27.16</v>
      </c>
      <c r="K107">
        <v>5.85</v>
      </c>
      <c r="L107">
        <v>2.4</v>
      </c>
      <c r="M107" s="1">
        <f>IF(ISNUMBER(Main_S[[#This Row],[EPS]]),IF(Main_S[[#This Row],[EPS]]&lt;&gt;0,Main_S[[#This Row],[Current Price]]/Main_S[[#This Row],[EPS]],""),"")</f>
        <v>10.46691176470588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-2.5443820811579889E-2</v>
      </c>
      <c r="P107" s="1">
        <f>(Main_S[[#This Row],[P/B]]-VLOOKUP(Main_S[[#This Row],[Industry]], Mean_PB_S, 2, FALSE))/(VLOOKUP(Main_S[[#This Row],[Industry]], Mean_PB_S, 3, FALSE))</f>
        <v>0.63089801445002847</v>
      </c>
      <c r="Q107" s="1">
        <f>(Main_S[[#This Row],[ROE]]-VLOOKUP(Main_S[[#This Row],[Industry]], Mean_ROE_S, 2, FALSE))/(VLOOKUP(Main_S[[#This Row],[Industry]], Mean_ROE_S, 3, FALSE))</f>
        <v>2.0161203799433363</v>
      </c>
      <c r="R107" s="1">
        <f>(Main_S[[#This Row],[ROA]]-VLOOKUP(Main_S[[#This Row],[Industry]], Mean_ROA_S, 2, FALSE))/(VLOOKUP(Main_S[[#This Row],[Industry]], Mean_ROA_S, 3, FALSE))</f>
        <v>0.85273521273975372</v>
      </c>
      <c r="S107" s="1">
        <f>(Main_S[[#This Row],[A/E]]-VLOOKUP(Main_S[[#This Row],[Industry]], Mean_AE_S, 2, FALSE))/(VLOOKUP(Main_S[[#This Row],[Industry]], Mean_AE_S, 3, FALSE))</f>
        <v>0.20893882773256467</v>
      </c>
      <c r="T107" s="1">
        <f>(Main_S[[#This Row],[P/E]]-VLOOKUP(Main_S[[#This Row],[Industry]], Mean_PE_S, 2, FALSE))/(VLOOKUP(Main_S[[#This Row],[Industry]], Mean_PE_S, 3, FALSE))</f>
        <v>-0.20764898516887731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7" t="s">
        <v>156</v>
      </c>
      <c r="B108" s="67" t="s">
        <v>319</v>
      </c>
      <c r="C108" s="2">
        <v>1377</v>
      </c>
      <c r="D108">
        <f>RTD("tos.rtd", , "LAST", Main_S[[#This Row],[Symbol]])</f>
        <v>21.42</v>
      </c>
      <c r="E108">
        <v>2.1800000000000002</v>
      </c>
      <c r="F108">
        <v>18.850000000000001</v>
      </c>
      <c r="G108">
        <v>-3.85</v>
      </c>
      <c r="H108" s="1">
        <f>IF(ISNUMBER(Main_S[[#This Row],[Free CF]]),IF(Main_S[[#This Row],[Free CF]]&lt;&gt;0,Main_S[[#This Row],[Current Price]]/Main_S[[#This Row],[Free CF]],""),"")</f>
        <v>9.8256880733944953</v>
      </c>
      <c r="I108" s="1">
        <f>IF(ISNUMBER(Main_S[[#This Row],[BVPS]]),IF(Main_S[[#This Row],[BVPS]]&lt;&gt;0,Main_S[[#This Row],[Current Price]]/Main_S[[#This Row],[BVPS]],""),"")</f>
        <v>1.136339522546419</v>
      </c>
      <c r="J108">
        <v>-17.21</v>
      </c>
      <c r="K108">
        <v>3.74</v>
      </c>
      <c r="L108">
        <v>3.62</v>
      </c>
      <c r="M108" s="1">
        <f>IF(ISNUMBER(Main_S[[#This Row],[EPS]]),IF(Main_S[[#This Row],[EPS]]&lt;&gt;0,Main_S[[#This Row],[Current Price]]/Main_S[[#This Row],[EPS]],""),"")</f>
        <v>-5.5636363636363644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-0.2572623002965273</v>
      </c>
      <c r="P108" s="1">
        <f>(Main_S[[#This Row],[P/B]]-VLOOKUP(Main_S[[#This Row],[Industry]], Mean_PB_S, 2, FALSE))/(VLOOKUP(Main_S[[#This Row],[Industry]], Mean_PB_S, 3, FALSE))</f>
        <v>-0.6570820126916912</v>
      </c>
      <c r="Q108" s="1">
        <f>(Main_S[[#This Row],[ROE]]-VLOOKUP(Main_S[[#This Row],[Industry]], Mean_ROE_S, 2, FALSE))/(VLOOKUP(Main_S[[#This Row],[Industry]], Mean_ROE_S, 3, FALSE))</f>
        <v>-2.2083905411841127</v>
      </c>
      <c r="R108" s="1">
        <f>(Main_S[[#This Row],[ROA]]-VLOOKUP(Main_S[[#This Row],[Industry]], Mean_ROA_S, 2, FALSE))/(VLOOKUP(Main_S[[#This Row],[Industry]], Mean_ROA_S, 3, FALSE))</f>
        <v>8.7975387094866117E-2</v>
      </c>
      <c r="S108" s="1">
        <f>(Main_S[[#This Row],[A/E]]-VLOOKUP(Main_S[[#This Row],[Industry]], Mean_AE_S, 2, FALSE))/(VLOOKUP(Main_S[[#This Row],[Industry]], Mean_AE_S, 3, FALSE))</f>
        <v>1.6041309407278272</v>
      </c>
      <c r="T108" s="1">
        <f>(Main_S[[#This Row],[P/E]]-VLOOKUP(Main_S[[#This Row],[Industry]], Mean_PE_S, 2, FALSE))/(VLOOKUP(Main_S[[#This Row],[Industry]], Mean_PE_S, 3, FALSE))</f>
        <v>-0.87178544187299667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7" t="s">
        <v>156</v>
      </c>
      <c r="B109" s="67" t="s">
        <v>322</v>
      </c>
      <c r="C109" s="2">
        <v>1641</v>
      </c>
      <c r="D109">
        <f>RTD("tos.rtd", , "LAST", Main_S[[#This Row],[Symbol]])</f>
        <v>22.17</v>
      </c>
      <c r="E109">
        <v>1.96</v>
      </c>
      <c r="F109">
        <v>16.22</v>
      </c>
      <c r="G109">
        <v>1.38</v>
      </c>
      <c r="H109" s="1">
        <f>IF(ISNUMBER(Main_S[[#This Row],[Free CF]]),IF(Main_S[[#This Row],[Free CF]]&lt;&gt;0,Main_S[[#This Row],[Current Price]]/Main_S[[#This Row],[Free CF]],""),"")</f>
        <v>11.311224489795919</v>
      </c>
      <c r="I109" s="1">
        <f>IF(ISNUMBER(Main_S[[#This Row],[BVPS]]),IF(Main_S[[#This Row],[BVPS]]&lt;&gt;0,Main_S[[#This Row],[Current Price]]/Main_S[[#This Row],[BVPS]],""),"")</f>
        <v>1.366831072749692</v>
      </c>
      <c r="J109">
        <v>8.81</v>
      </c>
      <c r="K109">
        <v>4.59</v>
      </c>
      <c r="L109">
        <v>2.0099999999999998</v>
      </c>
      <c r="M109" s="1">
        <f>IF(ISNUMBER(Main_S[[#This Row],[EPS]]),IF(Main_S[[#This Row],[EPS]]&lt;&gt;0,Main_S[[#This Row],[Current Price]]/Main_S[[#This Row],[EPS]],""),"")</f>
        <v>16.065217391304351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-0.12785423554505726</v>
      </c>
      <c r="P109" s="1">
        <f>(Main_S[[#This Row],[P/B]]-VLOOKUP(Main_S[[#This Row],[Industry]], Mean_PB_S, 2, FALSE))/(VLOOKUP(Main_S[[#This Row],[Industry]], Mean_PB_S, 3, FALSE))</f>
        <v>-0.44758056836323118</v>
      </c>
      <c r="Q109" s="1">
        <f>(Main_S[[#This Row],[ROE]]-VLOOKUP(Main_S[[#This Row],[Industry]], Mean_ROE_S, 2, FALSE))/(VLOOKUP(Main_S[[#This Row],[Industry]], Mean_ROE_S, 3, FALSE))</f>
        <v>0.26899900507994473</v>
      </c>
      <c r="R109" s="1">
        <f>(Main_S[[#This Row],[ROA]]-VLOOKUP(Main_S[[#This Row],[Industry]], Mean_ROA_S, 2, FALSE))/(VLOOKUP(Main_S[[#This Row],[Industry]], Mean_ROA_S, 3, FALSE))</f>
        <v>0.3960539898428066</v>
      </c>
      <c r="S109" s="1">
        <f>(Main_S[[#This Row],[A/E]]-VLOOKUP(Main_S[[#This Row],[Industry]], Mean_AE_S, 2, FALSE))/(VLOOKUP(Main_S[[#This Row],[Industry]], Mean_AE_S, 3, FALSE))</f>
        <v>-0.23706520838887182</v>
      </c>
      <c r="T109" s="1">
        <f>(Main_S[[#This Row],[P/E]]-VLOOKUP(Main_S[[#This Row],[Industry]], Mean_PE_S, 2, FALSE))/(VLOOKUP(Main_S[[#This Row],[Industry]], Mean_PE_S, 3, FALSE))</f>
        <v>2.4285620724123727E-2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7" t="s">
        <v>156</v>
      </c>
      <c r="B110" s="67" t="s">
        <v>466</v>
      </c>
      <c r="C110" s="2">
        <v>330</v>
      </c>
      <c r="D110">
        <f>RTD("tos.rtd", , "LAST", Main_S[[#This Row],[Symbol]])</f>
        <v>31.87</v>
      </c>
      <c r="E110">
        <v>1.74</v>
      </c>
      <c r="F110">
        <v>8.25</v>
      </c>
      <c r="G110">
        <v>1.72</v>
      </c>
      <c r="H110" s="1">
        <f>IF(ISNUMBER(Main_S[[#This Row],[Free CF]]),IF(Main_S[[#This Row],[Free CF]]&lt;&gt;0,Main_S[[#This Row],[Current Price]]/Main_S[[#This Row],[Free CF]],""),"")</f>
        <v>18.316091954022991</v>
      </c>
      <c r="I110" s="1">
        <f>IF(ISNUMBER(Main_S[[#This Row],[BVPS]]),IF(Main_S[[#This Row],[BVPS]]&lt;&gt;0,Main_S[[#This Row],[Current Price]]/Main_S[[#This Row],[BVPS]],""),"")</f>
        <v>3.8630303030303033</v>
      </c>
      <c r="J110">
        <v>21.15</v>
      </c>
      <c r="K110">
        <v>12.73</v>
      </c>
      <c r="L110">
        <v>1.23</v>
      </c>
      <c r="M110" s="1">
        <f>IF(ISNUMBER(Main_S[[#This Row],[EPS]]),IF(Main_S[[#This Row],[EPS]]&lt;&gt;0,Main_S[[#This Row],[Current Price]]/Main_S[[#This Row],[EPS]],""),"")</f>
        <v>18.529069767441861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0.48235385654738927</v>
      </c>
      <c r="P110" s="1">
        <f>(Main_S[[#This Row],[P/B]]-VLOOKUP(Main_S[[#This Row],[Industry]], Mean_PB_S, 2, FALSE))/(VLOOKUP(Main_S[[#This Row],[Industry]], Mean_PB_S, 3, FALSE))</f>
        <v>1.821298024427596</v>
      </c>
      <c r="Q110" s="1">
        <f>(Main_S[[#This Row],[ROE]]-VLOOKUP(Main_S[[#This Row],[Industry]], Mean_ROE_S, 2, FALSE))/(VLOOKUP(Main_S[[#This Row],[Industry]], Mean_ROE_S, 3, FALSE))</f>
        <v>1.4439024255602853</v>
      </c>
      <c r="R110" s="1">
        <f>(Main_S[[#This Row],[ROA]]-VLOOKUP(Main_S[[#This Row],[Industry]], Mean_ROA_S, 2, FALSE))/(VLOOKUP(Main_S[[#This Row],[Industry]], Mean_ROA_S, 3, FALSE))</f>
        <v>3.3463596679230854</v>
      </c>
      <c r="S110" s="1">
        <f>(Main_S[[#This Row],[A/E]]-VLOOKUP(Main_S[[#This Row],[Industry]], Mean_AE_S, 2, FALSE))/(VLOOKUP(Main_S[[#This Row],[Industry]], Mean_AE_S, 3, FALSE))</f>
        <v>-1.1290732806317443</v>
      </c>
      <c r="T110" s="1">
        <f>(Main_S[[#This Row],[P/E]]-VLOOKUP(Main_S[[#This Row],[Industry]], Mean_PE_S, 2, FALSE))/(VLOOKUP(Main_S[[#This Row],[Industry]], Mean_PE_S, 3, FALSE))</f>
        <v>0.12636161799067561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s="67" t="s">
        <v>156</v>
      </c>
      <c r="B111" s="67" t="s">
        <v>459</v>
      </c>
      <c r="C111" s="2">
        <v>430</v>
      </c>
      <c r="D111">
        <f>RTD("tos.rtd", , "LAST", Main_S[[#This Row],[Symbol]])</f>
        <v>44.66</v>
      </c>
      <c r="E111">
        <v>1.72</v>
      </c>
      <c r="F111">
        <v>10.51</v>
      </c>
      <c r="G111">
        <v>0.83</v>
      </c>
      <c r="H111" s="1">
        <f>IF(ISNUMBER(Main_S[[#This Row],[Free CF]]),IF(Main_S[[#This Row],[Free CF]]&lt;&gt;0,Main_S[[#This Row],[Current Price]]/Main_S[[#This Row],[Free CF]],""),"")</f>
        <v>25.965116279069765</v>
      </c>
      <c r="I111" s="1">
        <f>IF(ISNUMBER(Main_S[[#This Row],[BVPS]]),IF(Main_S[[#This Row],[BVPS]]&lt;&gt;0,Main_S[[#This Row],[Current Price]]/Main_S[[#This Row],[BVPS]],""),"")</f>
        <v>4.2492863939105607</v>
      </c>
      <c r="J111">
        <v>8.41</v>
      </c>
      <c r="K111">
        <v>2.78</v>
      </c>
      <c r="L111">
        <v>2.31</v>
      </c>
      <c r="M111" s="1">
        <f>IF(ISNUMBER(Main_S[[#This Row],[EPS]]),IF(Main_S[[#This Row],[EPS]]&lt;&gt;0,Main_S[[#This Row],[Current Price]]/Main_S[[#This Row],[EPS]],""),"")</f>
        <v>53.807228915662648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1.148675748230821</v>
      </c>
      <c r="P111" s="1">
        <f>(Main_S[[#This Row],[P/B]]-VLOOKUP(Main_S[[#This Row],[Industry]], Mean_PB_S, 2, FALSE))/(VLOOKUP(Main_S[[#This Row],[Industry]], Mean_PB_S, 3, FALSE))</f>
        <v>2.1723790460473196</v>
      </c>
      <c r="Q111" s="1">
        <f>(Main_S[[#This Row],[ROE]]-VLOOKUP(Main_S[[#This Row],[Industry]], Mean_ROE_S, 2, FALSE))/(VLOOKUP(Main_S[[#This Row],[Industry]], Mean_ROE_S, 3, FALSE))</f>
        <v>0.23091461543714595</v>
      </c>
      <c r="R111" s="1">
        <f>(Main_S[[#This Row],[ROA]]-VLOOKUP(Main_S[[#This Row],[Industry]], Mean_ROA_S, 2, FALSE))/(VLOOKUP(Main_S[[#This Row],[Industry]], Mean_ROA_S, 3, FALSE))</f>
        <v>-0.25997221130280812</v>
      </c>
      <c r="S111" s="1">
        <f>(Main_S[[#This Row],[A/E]]-VLOOKUP(Main_S[[#This Row],[Industry]], Mean_AE_S, 2, FALSE))/(VLOOKUP(Main_S[[#This Row],[Industry]], Mean_AE_S, 3, FALSE))</f>
        <v>0.10601481939684876</v>
      </c>
      <c r="T111" s="1">
        <f>(Main_S[[#This Row],[P/E]]-VLOOKUP(Main_S[[#This Row],[Industry]], Mean_PE_S, 2, FALSE))/(VLOOKUP(Main_S[[#This Row],[Industry]], Mean_PE_S, 3, FALSE))</f>
        <v>1.5879156102911416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7" t="s">
        <v>156</v>
      </c>
      <c r="B112" s="67" t="s">
        <v>453</v>
      </c>
      <c r="C112" s="2">
        <v>1937</v>
      </c>
      <c r="D112">
        <f>RTD("tos.rtd", , "LAST", Main_S[[#This Row],[Symbol]])</f>
        <v>45.94</v>
      </c>
      <c r="E112">
        <v>1.69</v>
      </c>
      <c r="F112">
        <v>8.3000000000000007</v>
      </c>
      <c r="G112">
        <v>1.77</v>
      </c>
      <c r="H112" s="1">
        <f>IF(ISNUMBER(Main_S[[#This Row],[Free CF]]),IF(Main_S[[#This Row],[Free CF]]&lt;&gt;0,Main_S[[#This Row],[Current Price]]/Main_S[[#This Row],[Free CF]],""),"")</f>
        <v>27.183431952662723</v>
      </c>
      <c r="I112" s="1">
        <f>IF(ISNUMBER(Main_S[[#This Row],[BVPS]]),IF(Main_S[[#This Row],[BVPS]]&lt;&gt;0,Main_S[[#This Row],[Current Price]]/Main_S[[#This Row],[BVPS]],""),"")</f>
        <v>5.5349397590361438</v>
      </c>
      <c r="J112">
        <v>20.13</v>
      </c>
      <c r="K112">
        <v>5.75</v>
      </c>
      <c r="L112">
        <v>2.9</v>
      </c>
      <c r="M112" s="1">
        <f>IF(ISNUMBER(Main_S[[#This Row],[EPS]]),IF(Main_S[[#This Row],[EPS]]&lt;&gt;0,Main_S[[#This Row],[Current Price]]/Main_S[[#This Row],[EPS]],""),"")</f>
        <v>25.954802259887003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1.2548056766764426</v>
      </c>
      <c r="P112" s="1">
        <f>(Main_S[[#This Row],[P/B]]-VLOOKUP(Main_S[[#This Row],[Industry]], Mean_PB_S, 2, FALSE))/(VLOOKUP(Main_S[[#This Row],[Industry]], Mean_PB_S, 3, FALSE))</f>
        <v>3.3409521961780522</v>
      </c>
      <c r="Q112" s="1">
        <f>(Main_S[[#This Row],[ROE]]-VLOOKUP(Main_S[[#This Row],[Industry]], Mean_ROE_S, 2, FALSE))/(VLOOKUP(Main_S[[#This Row],[Industry]], Mean_ROE_S, 3, FALSE))</f>
        <v>1.3467872319711485</v>
      </c>
      <c r="R112" s="1">
        <f>(Main_S[[#This Row],[ROA]]-VLOOKUP(Main_S[[#This Row],[Industry]], Mean_ROA_S, 2, FALSE))/(VLOOKUP(Main_S[[#This Row],[Industry]], Mean_ROA_S, 3, FALSE))</f>
        <v>0.81649067123999619</v>
      </c>
      <c r="S112" s="1">
        <f>(Main_S[[#This Row],[A/E]]-VLOOKUP(Main_S[[#This Row],[Industry]], Mean_AE_S, 2, FALSE))/(VLOOKUP(Main_S[[#This Row],[Industry]], Mean_AE_S, 3, FALSE))</f>
        <v>0.78073887404209852</v>
      </c>
      <c r="T112" s="1">
        <f>(Main_S[[#This Row],[P/E]]-VLOOKUP(Main_S[[#This Row],[Industry]], Mean_PE_S, 2, FALSE))/(VLOOKUP(Main_S[[#This Row],[Industry]], Mean_PE_S, 3, FALSE))</f>
        <v>0.43400547561060621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7" t="s">
        <v>156</v>
      </c>
      <c r="B113" s="67" t="s">
        <v>454</v>
      </c>
      <c r="C113" s="2">
        <v>363</v>
      </c>
      <c r="D113">
        <f>RTD("tos.rtd", , "LAST", Main_S[[#This Row],[Symbol]])</f>
        <v>9.92</v>
      </c>
      <c r="E113">
        <v>1.66</v>
      </c>
      <c r="F113">
        <v>9.58</v>
      </c>
      <c r="G113">
        <v>-1.63</v>
      </c>
      <c r="H113" s="1">
        <f>IF(ISNUMBER(Main_S[[#This Row],[Free CF]]),IF(Main_S[[#This Row],[Free CF]]&lt;&gt;0,Main_S[[#This Row],[Current Price]]/Main_S[[#This Row],[Free CF]],""),"")</f>
        <v>5.9759036144578319</v>
      </c>
      <c r="I113" s="1">
        <f>IF(ISNUMBER(Main_S[[#This Row],[BVPS]]),IF(Main_S[[#This Row],[BVPS]]&lt;&gt;0,Main_S[[#This Row],[Current Price]]/Main_S[[#This Row],[BVPS]],""),"")</f>
        <v>1.0354906054279749</v>
      </c>
      <c r="J113">
        <v>-14.75</v>
      </c>
      <c r="K113">
        <v>-3.16</v>
      </c>
      <c r="L113">
        <v>3.5</v>
      </c>
      <c r="M113" s="1">
        <f>IF(ISNUMBER(Main_S[[#This Row],[EPS]]),IF(Main_S[[#This Row],[EPS]]&lt;&gt;0,Main_S[[#This Row],[Current Price]]/Main_S[[#This Row],[EPS]],""),"")</f>
        <v>-6.0858895705521476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-0.5926247667031781</v>
      </c>
      <c r="P113" s="1">
        <f>(Main_S[[#This Row],[P/B]]-VLOOKUP(Main_S[[#This Row],[Industry]], Mean_PB_S, 2, FALSE))/(VLOOKUP(Main_S[[#This Row],[Industry]], Mean_PB_S, 3, FALSE))</f>
        <v>-0.74874695128333235</v>
      </c>
      <c r="Q113" s="1">
        <f>(Main_S[[#This Row],[ROE]]-VLOOKUP(Main_S[[#This Row],[Industry]], Mean_ROE_S, 2, FALSE))/(VLOOKUP(Main_S[[#This Row],[Industry]], Mean_ROE_S, 3, FALSE))</f>
        <v>-1.9741715448809005</v>
      </c>
      <c r="R113" s="1">
        <f>(Main_S[[#This Row],[ROA]]-VLOOKUP(Main_S[[#This Row],[Industry]], Mean_ROA_S, 2, FALSE))/(VLOOKUP(Main_S[[#This Row],[Industry]], Mean_ROA_S, 3, FALSE))</f>
        <v>-2.4128979763884164</v>
      </c>
      <c r="S113" s="1">
        <f>(Main_S[[#This Row],[A/E]]-VLOOKUP(Main_S[[#This Row],[Industry]], Mean_AE_S, 2, FALSE))/(VLOOKUP(Main_S[[#This Row],[Industry]], Mean_AE_S, 3, FALSE))</f>
        <v>1.4668989296135391</v>
      </c>
      <c r="T113" s="1">
        <f>(Main_S[[#This Row],[P/E]]-VLOOKUP(Main_S[[#This Row],[Industry]], Mean_PE_S, 2, FALSE))/(VLOOKUP(Main_S[[#This Row],[Industry]], Mean_PE_S, 3, FALSE))</f>
        <v>-0.89342209406770123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7" t="s">
        <v>156</v>
      </c>
      <c r="B114" s="67" t="s">
        <v>463</v>
      </c>
      <c r="C114" s="2">
        <v>311</v>
      </c>
      <c r="D114">
        <f>RTD("tos.rtd", , "LAST", Main_S[[#This Row],[Symbol]])</f>
        <v>12.18</v>
      </c>
      <c r="E114">
        <v>1.58</v>
      </c>
      <c r="F114">
        <v>8.4700000000000006</v>
      </c>
      <c r="G114">
        <v>0.78</v>
      </c>
      <c r="H114" s="1">
        <f>IF(ISNUMBER(Main_S[[#This Row],[Free CF]]),IF(Main_S[[#This Row],[Free CF]]&lt;&gt;0,Main_S[[#This Row],[Current Price]]/Main_S[[#This Row],[Free CF]],""),"")</f>
        <v>7.7088607594936702</v>
      </c>
      <c r="I114" s="1">
        <f>IF(ISNUMBER(Main_S[[#This Row],[BVPS]]),IF(Main_S[[#This Row],[BVPS]]&lt;&gt;0,Main_S[[#This Row],[Current Price]]/Main_S[[#This Row],[BVPS]],""),"")</f>
        <v>1.4380165289256197</v>
      </c>
      <c r="J114">
        <v>9.61</v>
      </c>
      <c r="K114">
        <v>6.03</v>
      </c>
      <c r="L114">
        <v>1.7</v>
      </c>
      <c r="M114" s="1">
        <f>IF(ISNUMBER(Main_S[[#This Row],[EPS]]),IF(Main_S[[#This Row],[EPS]]&lt;&gt;0,Main_S[[#This Row],[Current Price]]/Main_S[[#This Row],[EPS]],""),"")</f>
        <v>15.615384615384615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-0.44166338469978939</v>
      </c>
      <c r="P114" s="1">
        <f>(Main_S[[#This Row],[P/B]]-VLOOKUP(Main_S[[#This Row],[Industry]], Mean_PB_S, 2, FALSE))/(VLOOKUP(Main_S[[#This Row],[Industry]], Mean_PB_S, 3, FALSE))</f>
        <v>-0.38287773708423278</v>
      </c>
      <c r="Q114" s="1">
        <f>(Main_S[[#This Row],[ROE]]-VLOOKUP(Main_S[[#This Row],[Industry]], Mean_ROE_S, 2, FALSE))/(VLOOKUP(Main_S[[#This Row],[Industry]], Mean_ROE_S, 3, FALSE))</f>
        <v>0.34516778436554207</v>
      </c>
      <c r="R114" s="1">
        <f>(Main_S[[#This Row],[ROA]]-VLOOKUP(Main_S[[#This Row],[Industry]], Mean_ROA_S, 2, FALSE))/(VLOOKUP(Main_S[[#This Row],[Industry]], Mean_ROA_S, 3, FALSE))</f>
        <v>0.91797538743931784</v>
      </c>
      <c r="S114" s="1">
        <f>(Main_S[[#This Row],[A/E]]-VLOOKUP(Main_S[[#This Row],[Industry]], Mean_AE_S, 2, FALSE))/(VLOOKUP(Main_S[[#This Row],[Industry]], Mean_AE_S, 3, FALSE))</f>
        <v>-0.59158123710078259</v>
      </c>
      <c r="T114" s="1">
        <f>(Main_S[[#This Row],[P/E]]-VLOOKUP(Main_S[[#This Row],[Industry]], Mean_PE_S, 2, FALSE))/(VLOOKUP(Main_S[[#This Row],[Industry]], Mean_PE_S, 3, FALSE))</f>
        <v>5.6493056388948696E-3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7" t="s">
        <v>156</v>
      </c>
      <c r="B115" s="67" t="s">
        <v>617</v>
      </c>
      <c r="C115" s="2">
        <v>515</v>
      </c>
      <c r="D115">
        <f>RTD("tos.rtd", , "LAST", Main_S[[#This Row],[Symbol]])</f>
        <v>28.81</v>
      </c>
      <c r="E115">
        <v>1.51</v>
      </c>
      <c r="F115">
        <v>10.67</v>
      </c>
      <c r="G115">
        <v>-1.42</v>
      </c>
      <c r="H115" s="1">
        <f>IF(ISNUMBER(Main_S[[#This Row],[Free CF]]),IF(Main_S[[#This Row],[Free CF]]&lt;&gt;0,Main_S[[#This Row],[Current Price]]/Main_S[[#This Row],[Free CF]],""),"")</f>
        <v>19.079470198675494</v>
      </c>
      <c r="I115" s="1">
        <f>IF(ISNUMBER(Main_S[[#This Row],[BVPS]]),IF(Main_S[[#This Row],[BVPS]]&lt;&gt;0,Main_S[[#This Row],[Current Price]]/Main_S[[#This Row],[BVPS]],""),"")</f>
        <v>2.7000937207122773</v>
      </c>
      <c r="J115">
        <v>-12.61</v>
      </c>
      <c r="K115">
        <v>4.4800000000000004</v>
      </c>
      <c r="L115">
        <v>6</v>
      </c>
      <c r="M115" s="1">
        <f>IF(ISNUMBER(Main_S[[#This Row],[EPS]]),IF(Main_S[[#This Row],[EPS]]&lt;&gt;0,Main_S[[#This Row],[Current Price]]/Main_S[[#This Row],[EPS]],""),"")</f>
        <v>-20.288732394366196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0.5488532706466801</v>
      </c>
      <c r="P115" s="1">
        <f>(Main_S[[#This Row],[P/B]]-VLOOKUP(Main_S[[#This Row],[Industry]], Mean_PB_S, 2, FALSE))/(VLOOKUP(Main_S[[#This Row],[Industry]], Mean_PB_S, 3, FALSE))</f>
        <v>0.76426624411650212</v>
      </c>
      <c r="Q115" s="1">
        <f>(Main_S[[#This Row],[ROE]]-VLOOKUP(Main_S[[#This Row],[Industry]], Mean_ROE_S, 2, FALSE))/(VLOOKUP(Main_S[[#This Row],[Industry]], Mean_ROE_S, 3, FALSE))</f>
        <v>-1.7704200602919273</v>
      </c>
      <c r="R115" s="1">
        <f>(Main_S[[#This Row],[ROA]]-VLOOKUP(Main_S[[#This Row],[Industry]], Mean_ROA_S, 2, FALSE))/(VLOOKUP(Main_S[[#This Row],[Industry]], Mean_ROA_S, 3, FALSE))</f>
        <v>0.35618499419307331</v>
      </c>
      <c r="S115" s="1">
        <f>(Main_S[[#This Row],[A/E]]-VLOOKUP(Main_S[[#This Row],[Industry]], Mean_AE_S, 2, FALSE))/(VLOOKUP(Main_S[[#This Row],[Industry]], Mean_AE_S, 3, FALSE))</f>
        <v>4.3258991611612085</v>
      </c>
      <c r="T115" s="1">
        <f>(Main_S[[#This Row],[P/E]]-VLOOKUP(Main_S[[#This Row],[Industry]], Mean_PE_S, 2, FALSE))/(VLOOKUP(Main_S[[#This Row],[Industry]], Mean_PE_S, 3, FALSE))</f>
        <v>-1.4818377634892832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s="67" t="s">
        <v>156</v>
      </c>
      <c r="B116" s="67" t="s">
        <v>621</v>
      </c>
      <c r="C116" s="2">
        <v>1009</v>
      </c>
      <c r="D116">
        <f>RTD("tos.rtd", , "LAST", Main_S[[#This Row],[Symbol]])</f>
        <v>14.1335</v>
      </c>
      <c r="E116">
        <v>1.08</v>
      </c>
      <c r="F116">
        <v>5.97</v>
      </c>
      <c r="G116">
        <v>0.48</v>
      </c>
      <c r="H116" s="1">
        <f>IF(ISNUMBER(Main_S[[#This Row],[Free CF]]),IF(Main_S[[#This Row],[Free CF]]&lt;&gt;0,Main_S[[#This Row],[Current Price]]/Main_S[[#This Row],[Free CF]],""),"")</f>
        <v>13.086574074074074</v>
      </c>
      <c r="I116" s="1">
        <f>IF(ISNUMBER(Main_S[[#This Row],[BVPS]]),IF(Main_S[[#This Row],[BVPS]]&lt;&gt;0,Main_S[[#This Row],[Current Price]]/Main_S[[#This Row],[BVPS]],""),"")</f>
        <v>2.3674204355108879</v>
      </c>
      <c r="J116">
        <v>8.64</v>
      </c>
      <c r="K116">
        <v>6.23</v>
      </c>
      <c r="L116">
        <v>1.9</v>
      </c>
      <c r="M116" s="1">
        <f>IF(ISNUMBER(Main_S[[#This Row],[EPS]]),IF(Main_S[[#This Row],[EPS]]&lt;&gt;0,Main_S[[#This Row],[Current Price]]/Main_S[[#This Row],[EPS]],""),"")</f>
        <v>29.444791666666667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2.6800037094921625E-2</v>
      </c>
      <c r="P116" s="1">
        <f>(Main_S[[#This Row],[P/B]]-VLOOKUP(Main_S[[#This Row],[Industry]], Mean_PB_S, 2, FALSE))/(VLOOKUP(Main_S[[#This Row],[Industry]], Mean_PB_S, 3, FALSE))</f>
        <v>0.46188841864862895</v>
      </c>
      <c r="Q116" s="1">
        <f>(Main_S[[#This Row],[ROE]]-VLOOKUP(Main_S[[#This Row],[Industry]], Mean_ROE_S, 2, FALSE))/(VLOOKUP(Main_S[[#This Row],[Industry]], Mean_ROE_S, 3, FALSE))</f>
        <v>0.25281313948175527</v>
      </c>
      <c r="R116" s="1">
        <f>(Main_S[[#This Row],[ROA]]-VLOOKUP(Main_S[[#This Row],[Industry]], Mean_ROA_S, 2, FALSE))/(VLOOKUP(Main_S[[#This Row],[Industry]], Mean_ROA_S, 3, FALSE))</f>
        <v>0.99046447043883334</v>
      </c>
      <c r="S116" s="1">
        <f>(Main_S[[#This Row],[A/E]]-VLOOKUP(Main_S[[#This Row],[Industry]], Mean_AE_S, 2, FALSE))/(VLOOKUP(Main_S[[#This Row],[Industry]], Mean_AE_S, 3, FALSE))</f>
        <v>-0.36286121857696912</v>
      </c>
      <c r="T116" s="1">
        <f>(Main_S[[#This Row],[P/E]]-VLOOKUP(Main_S[[#This Row],[Industry]], Mean_PE_S, 2, FALSE))/(VLOOKUP(Main_S[[#This Row],[Industry]], Mean_PE_S, 3, FALSE))</f>
        <v>0.57859374420858389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7" t="s">
        <v>156</v>
      </c>
      <c r="B117" s="67" t="s">
        <v>450</v>
      </c>
      <c r="C117" s="2">
        <v>373</v>
      </c>
      <c r="D117">
        <f>RTD("tos.rtd", , "LAST", Main_S[[#This Row],[Symbol]])</f>
        <v>11.26</v>
      </c>
      <c r="E117">
        <v>1.01</v>
      </c>
      <c r="F117">
        <v>18.38</v>
      </c>
      <c r="G117">
        <v>1.27</v>
      </c>
      <c r="H117" s="1">
        <f>IF(ISNUMBER(Main_S[[#This Row],[Free CF]]),IF(Main_S[[#This Row],[Free CF]]&lt;&gt;0,Main_S[[#This Row],[Current Price]]/Main_S[[#This Row],[Free CF]],""),"")</f>
        <v>11.148514851485148</v>
      </c>
      <c r="I117" s="1">
        <f>IF(ISNUMBER(Main_S[[#This Row],[BVPS]]),IF(Main_S[[#This Row],[BVPS]]&lt;&gt;0,Main_S[[#This Row],[Current Price]]/Main_S[[#This Row],[BVPS]],""),"")</f>
        <v>0.61262241566920572</v>
      </c>
      <c r="J117">
        <v>7.21</v>
      </c>
      <c r="K117">
        <v>1.87</v>
      </c>
      <c r="L117">
        <v>2.71</v>
      </c>
      <c r="M117" s="1">
        <f>IF(ISNUMBER(Main_S[[#This Row],[EPS]]),IF(Main_S[[#This Row],[EPS]]&lt;&gt;0,Main_S[[#This Row],[Current Price]]/Main_S[[#This Row],[EPS]],""),"")</f>
        <v>8.8661417322834648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-0.14202819935889266</v>
      </c>
      <c r="P117" s="1">
        <f>(Main_S[[#This Row],[P/B]]-VLOOKUP(Main_S[[#This Row],[Industry]], Mean_PB_S, 2, FALSE))/(VLOOKUP(Main_S[[#This Row],[Industry]], Mean_PB_S, 3, FALSE))</f>
        <v>-1.1331059285946206</v>
      </c>
      <c r="Q117" s="1">
        <f>(Main_S[[#This Row],[ROE]]-VLOOKUP(Main_S[[#This Row],[Industry]], Mean_ROE_S, 2, FALSE))/(VLOOKUP(Main_S[[#This Row],[Industry]], Mean_ROE_S, 3, FALSE))</f>
        <v>0.11666144650874975</v>
      </c>
      <c r="R117" s="1">
        <f>(Main_S[[#This Row],[ROA]]-VLOOKUP(Main_S[[#This Row],[Industry]], Mean_ROA_S, 2, FALSE))/(VLOOKUP(Main_S[[#This Row],[Industry]], Mean_ROA_S, 3, FALSE))</f>
        <v>-0.58979753895060327</v>
      </c>
      <c r="S117" s="1">
        <f>(Main_S[[#This Row],[A/E]]-VLOOKUP(Main_S[[#This Row],[Industry]], Mean_AE_S, 2, FALSE))/(VLOOKUP(Main_S[[#This Row],[Industry]], Mean_AE_S, 3, FALSE))</f>
        <v>0.56345485644447568</v>
      </c>
      <c r="T117" s="1">
        <f>(Main_S[[#This Row],[P/E]]-VLOOKUP(Main_S[[#This Row],[Industry]], Mean_PE_S, 2, FALSE))/(VLOOKUP(Main_S[[#This Row],[Industry]], Mean_PE_S, 3, FALSE))</f>
        <v>-0.27396797369126802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7" t="s">
        <v>156</v>
      </c>
      <c r="B118" s="67" t="s">
        <v>457</v>
      </c>
      <c r="C118" s="2">
        <v>417</v>
      </c>
      <c r="D118">
        <f>RTD("tos.rtd", , "LAST", Main_S[[#This Row],[Symbol]])</f>
        <v>16.149999999999999</v>
      </c>
      <c r="E118">
        <v>0.84</v>
      </c>
      <c r="F118">
        <v>30.83</v>
      </c>
      <c r="G118">
        <v>-0.18</v>
      </c>
      <c r="H118" s="1">
        <f>IF(ISNUMBER(Main_S[[#This Row],[Free CF]]),IF(Main_S[[#This Row],[Free CF]]&lt;&gt;0,Main_S[[#This Row],[Current Price]]/Main_S[[#This Row],[Free CF]],""),"")</f>
        <v>19.226190476190474</v>
      </c>
      <c r="I118" s="1">
        <f>IF(ISNUMBER(Main_S[[#This Row],[BVPS]]),IF(Main_S[[#This Row],[BVPS]]&lt;&gt;0,Main_S[[#This Row],[Current Price]]/Main_S[[#This Row],[BVPS]],""),"")</f>
        <v>0.52384041518001945</v>
      </c>
      <c r="J118">
        <v>-0.57999999999999996</v>
      </c>
      <c r="K118">
        <v>2.5</v>
      </c>
      <c r="L118">
        <v>1.97</v>
      </c>
      <c r="M118" s="1">
        <f>IF(ISNUMBER(Main_S[[#This Row],[EPS]]),IF(Main_S[[#This Row],[EPS]]&lt;&gt;0,Main_S[[#This Row],[Current Price]]/Main_S[[#This Row],[EPS]],""),"")</f>
        <v>-89.722222222222214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0.56163436908585929</v>
      </c>
      <c r="P118" s="1">
        <f>(Main_S[[#This Row],[P/B]]-VLOOKUP(Main_S[[#This Row],[Industry]], Mean_PB_S, 2, FALSE))/(VLOOKUP(Main_S[[#This Row],[Industry]], Mean_PB_S, 3, FALSE))</f>
        <v>-1.2138028448870013</v>
      </c>
      <c r="Q118" s="1">
        <f>(Main_S[[#This Row],[ROE]]-VLOOKUP(Main_S[[#This Row],[Industry]], Mean_ROE_S, 2, FALSE))/(VLOOKUP(Main_S[[#This Row],[Industry]], Mean_ROE_S, 3, FALSE))</f>
        <v>-0.62503204178475547</v>
      </c>
      <c r="R118" s="1">
        <f>(Main_S[[#This Row],[ROA]]-VLOOKUP(Main_S[[#This Row],[Industry]], Mean_ROA_S, 2, FALSE))/(VLOOKUP(Main_S[[#This Row],[Industry]], Mean_ROA_S, 3, FALSE))</f>
        <v>-0.36145692750212965</v>
      </c>
      <c r="S118" s="1">
        <f>(Main_S[[#This Row],[A/E]]-VLOOKUP(Main_S[[#This Row],[Industry]], Mean_AE_S, 2, FALSE))/(VLOOKUP(Main_S[[#This Row],[Industry]], Mean_AE_S, 3, FALSE))</f>
        <v>-0.2828092120936343</v>
      </c>
      <c r="T118" s="1">
        <f>(Main_S[[#This Row],[P/E]]-VLOOKUP(Main_S[[#This Row],[Industry]], Mean_PE_S, 2, FALSE))/(VLOOKUP(Main_S[[#This Row],[Industry]], Mean_PE_S, 3, FALSE))</f>
        <v>-4.3584276056884281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9" spans="1:26" x14ac:dyDescent="0.25">
      <c r="A119" s="67" t="s">
        <v>156</v>
      </c>
      <c r="B119" s="67" t="s">
        <v>447</v>
      </c>
      <c r="C119" s="2">
        <v>643</v>
      </c>
      <c r="D119">
        <f>RTD("tos.rtd", , "LAST", Main_S[[#This Row],[Symbol]])</f>
        <v>19.04</v>
      </c>
      <c r="E119">
        <v>0.82</v>
      </c>
      <c r="F119">
        <v>33.47</v>
      </c>
      <c r="G119">
        <v>1.1200000000000001</v>
      </c>
      <c r="H119" s="1">
        <f>IF(ISNUMBER(Main_S[[#This Row],[Free CF]]),IF(Main_S[[#This Row],[Free CF]]&lt;&gt;0,Main_S[[#This Row],[Current Price]]/Main_S[[#This Row],[Free CF]],""),"")</f>
        <v>23.219512195121951</v>
      </c>
      <c r="I119" s="1">
        <f>IF(ISNUMBER(Main_S[[#This Row],[BVPS]]),IF(Main_S[[#This Row],[BVPS]]&lt;&gt;0,Main_S[[#This Row],[Current Price]]/Main_S[[#This Row],[BVPS]],""),"")</f>
        <v>0.56886764266507317</v>
      </c>
      <c r="J119">
        <v>4.0199999999999996</v>
      </c>
      <c r="K119">
        <v>1.2</v>
      </c>
      <c r="L119">
        <v>2.95</v>
      </c>
      <c r="M119" s="1">
        <f>IF(ISNUMBER(Main_S[[#This Row],[EPS]]),IF(Main_S[[#This Row],[EPS]]&lt;&gt;0,Main_S[[#This Row],[Current Price]]/Main_S[[#This Row],[EPS]],""),"")</f>
        <v>16.999999999999996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0.90950065487423437</v>
      </c>
      <c r="P119" s="1">
        <f>(Main_S[[#This Row],[P/B]]-VLOOKUP(Main_S[[#This Row],[Industry]], Mean_PB_S, 2, FALSE))/(VLOOKUP(Main_S[[#This Row],[Industry]], Mean_PB_S, 3, FALSE))</f>
        <v>-1.1728760986184046</v>
      </c>
      <c r="Q119" s="1">
        <f>(Main_S[[#This Row],[ROE]]-VLOOKUP(Main_S[[#This Row],[Industry]], Mean_ROE_S, 2, FALSE))/(VLOOKUP(Main_S[[#This Row],[Industry]], Mean_ROE_S, 3, FALSE))</f>
        <v>-0.18706156089257017</v>
      </c>
      <c r="R119" s="1">
        <f>(Main_S[[#This Row],[ROA]]-VLOOKUP(Main_S[[#This Row],[Industry]], Mean_ROA_S, 2, FALSE))/(VLOOKUP(Main_S[[#This Row],[Industry]], Mean_ROA_S, 3, FALSE))</f>
        <v>-0.83263596699898013</v>
      </c>
      <c r="S119" s="1">
        <f>(Main_S[[#This Row],[A/E]]-VLOOKUP(Main_S[[#This Row],[Industry]], Mean_AE_S, 2, FALSE))/(VLOOKUP(Main_S[[#This Row],[Industry]], Mean_AE_S, 3, FALSE))</f>
        <v>0.83791887867305215</v>
      </c>
      <c r="T119" s="1">
        <f>(Main_S[[#This Row],[P/E]]-VLOOKUP(Main_S[[#This Row],[Industry]], Mean_PE_S, 2, FALSE))/(VLOOKUP(Main_S[[#This Row],[Industry]], Mean_PE_S, 3, FALSE))</f>
        <v>6.3013130510899809E-2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s="67" t="s">
        <v>156</v>
      </c>
      <c r="B120" s="67" t="s">
        <v>557</v>
      </c>
      <c r="C120" s="2">
        <v>988</v>
      </c>
      <c r="D120">
        <f>RTD("tos.rtd", , "LAST", Main_S[[#This Row],[Symbol]])</f>
        <v>22.75</v>
      </c>
      <c r="E120">
        <v>0.7</v>
      </c>
      <c r="F120">
        <v>15.74</v>
      </c>
      <c r="G120">
        <v>-0.18</v>
      </c>
      <c r="H120" s="1">
        <f>IF(ISNUMBER(Main_S[[#This Row],[Free CF]]),IF(Main_S[[#This Row],[Free CF]]&lt;&gt;0,Main_S[[#This Row],[Current Price]]/Main_S[[#This Row],[Free CF]],""),"")</f>
        <v>32.5</v>
      </c>
      <c r="I120" s="1">
        <f>IF(ISNUMBER(Main_S[[#This Row],[BVPS]]),IF(Main_S[[#This Row],[BVPS]]&lt;&gt;0,Main_S[[#This Row],[Current Price]]/Main_S[[#This Row],[BVPS]],""),"")</f>
        <v>1.4453621346886911</v>
      </c>
      <c r="J120">
        <v>-1.1499999999999999</v>
      </c>
      <c r="K120">
        <v>-2.2999999999999998</v>
      </c>
      <c r="L120">
        <v>1.0900000000000001</v>
      </c>
      <c r="M120" s="1">
        <f>IF(ISNUMBER(Main_S[[#This Row],[EPS]]),IF(Main_S[[#This Row],[EPS]]&lt;&gt;0,Main_S[[#This Row],[Current Price]]/Main_S[[#This Row],[EPS]],""),"")</f>
        <v>-126.3888888888889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1.7179426112741505</v>
      </c>
      <c r="P120" s="1">
        <f>(Main_S[[#This Row],[P/B]]-VLOOKUP(Main_S[[#This Row],[Industry]], Mean_PB_S, 2, FALSE))/(VLOOKUP(Main_S[[#This Row],[Industry]], Mean_PB_S, 3, FALSE))</f>
        <v>-0.3762010714300093</v>
      </c>
      <c r="Q120" s="1">
        <f>(Main_S[[#This Row],[ROE]]-VLOOKUP(Main_S[[#This Row],[Industry]], Mean_ROE_S, 2, FALSE))/(VLOOKUP(Main_S[[#This Row],[Industry]], Mean_ROE_S, 3, FALSE))</f>
        <v>-0.67930229702574363</v>
      </c>
      <c r="R120" s="1">
        <f>(Main_S[[#This Row],[ROA]]-VLOOKUP(Main_S[[#This Row],[Industry]], Mean_ROA_S, 2, FALSE))/(VLOOKUP(Main_S[[#This Row],[Industry]], Mean_ROA_S, 3, FALSE))</f>
        <v>-2.1011949194905002</v>
      </c>
      <c r="S120" s="1">
        <f>(Main_S[[#This Row],[A/E]]-VLOOKUP(Main_S[[#This Row],[Industry]], Mean_AE_S, 2, FALSE))/(VLOOKUP(Main_S[[#This Row],[Industry]], Mean_AE_S, 3, FALSE))</f>
        <v>-1.2891772935984136</v>
      </c>
      <c r="T120" s="1">
        <f>(Main_S[[#This Row],[P/E]]-VLOOKUP(Main_S[[#This Row],[Industry]], Mean_PE_S, 2, FALSE))/(VLOOKUP(Main_S[[#This Row],[Industry]], Mean_PE_S, 3, FALSE))</f>
        <v>-5.8775066717433786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1" spans="1:26" x14ac:dyDescent="0.25">
      <c r="A121" s="67" t="s">
        <v>156</v>
      </c>
      <c r="B121" s="67" t="s">
        <v>456</v>
      </c>
      <c r="C121" s="2">
        <v>461</v>
      </c>
      <c r="D121">
        <f>RTD("tos.rtd", , "LAST", Main_S[[#This Row],[Symbol]])</f>
        <v>9.32</v>
      </c>
      <c r="E121">
        <v>0.54</v>
      </c>
      <c r="F121">
        <v>8.39</v>
      </c>
      <c r="G121">
        <v>-0.23</v>
      </c>
      <c r="H121" s="1">
        <f>IF(ISNUMBER(Main_S[[#This Row],[Free CF]]),IF(Main_S[[#This Row],[Free CF]]&lt;&gt;0,Main_S[[#This Row],[Current Price]]/Main_S[[#This Row],[Free CF]],""),"")</f>
        <v>17.25925925925926</v>
      </c>
      <c r="I121" s="1">
        <f>IF(ISNUMBER(Main_S[[#This Row],[BVPS]]),IF(Main_S[[#This Row],[BVPS]]&lt;&gt;0,Main_S[[#This Row],[Current Price]]/Main_S[[#This Row],[BVPS]],""),"")</f>
        <v>1.1108462455303934</v>
      </c>
      <c r="J121">
        <v>-2.31</v>
      </c>
      <c r="K121">
        <v>0.75</v>
      </c>
      <c r="L121">
        <v>3.22</v>
      </c>
      <c r="M121" s="1">
        <f>IF(ISNUMBER(Main_S[[#This Row],[EPS]]),IF(Main_S[[#This Row],[EPS]]&lt;&gt;0,Main_S[[#This Row],[Current Price]]/Main_S[[#This Row],[EPS]],""),"")</f>
        <v>-40.521739130434781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0.39029103514126673</v>
      </c>
      <c r="P121" s="1">
        <f>(Main_S[[#This Row],[P/B]]-VLOOKUP(Main_S[[#This Row],[Industry]], Mean_PB_S, 2, FALSE))/(VLOOKUP(Main_S[[#This Row],[Industry]], Mean_PB_S, 3, FALSE))</f>
        <v>-0.6802537009848747</v>
      </c>
      <c r="Q121" s="1">
        <f>(Main_S[[#This Row],[ROE]]-VLOOKUP(Main_S[[#This Row],[Industry]], Mean_ROE_S, 2, FALSE))/(VLOOKUP(Main_S[[#This Row],[Industry]], Mean_ROE_S, 3, FALSE))</f>
        <v>-0.78974702698985999</v>
      </c>
      <c r="R121" s="1">
        <f>(Main_S[[#This Row],[ROA]]-VLOOKUP(Main_S[[#This Row],[Industry]], Mean_ROA_S, 2, FALSE))/(VLOOKUP(Main_S[[#This Row],[Industry]], Mean_ROA_S, 3, FALSE))</f>
        <v>-0.99573640374788974</v>
      </c>
      <c r="S121" s="1">
        <f>(Main_S[[#This Row],[A/E]]-VLOOKUP(Main_S[[#This Row],[Industry]], Mean_AE_S, 2, FALSE))/(VLOOKUP(Main_S[[#This Row],[Industry]], Mean_AE_S, 3, FALSE))</f>
        <v>1.1466909036802004</v>
      </c>
      <c r="T121" s="1">
        <f>(Main_S[[#This Row],[P/E]]-VLOOKUP(Main_S[[#This Row],[Industry]], Mean_PE_S, 2, FALSE))/(VLOOKUP(Main_S[[#This Row],[Industry]], Mean_PE_S, 3, FALSE))</f>
        <v>-2.3200796810195712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7" t="s">
        <v>156</v>
      </c>
      <c r="B122" s="67" t="s">
        <v>458</v>
      </c>
      <c r="C122" s="2">
        <v>687</v>
      </c>
      <c r="D122">
        <f>RTD("tos.rtd", , "LAST", Main_S[[#This Row],[Symbol]])</f>
        <v>12.72</v>
      </c>
      <c r="E122">
        <v>0.42</v>
      </c>
      <c r="F122">
        <v>3.61</v>
      </c>
      <c r="G122">
        <v>0.37</v>
      </c>
      <c r="H122" s="1">
        <f>IF(ISNUMBER(Main_S[[#This Row],[Free CF]]),IF(Main_S[[#This Row],[Free CF]]&lt;&gt;0,Main_S[[#This Row],[Current Price]]/Main_S[[#This Row],[Free CF]],""),"")</f>
        <v>30.285714285714288</v>
      </c>
      <c r="I122" s="1">
        <f>IF(ISNUMBER(Main_S[[#This Row],[BVPS]]),IF(Main_S[[#This Row],[BVPS]]&lt;&gt;0,Main_S[[#This Row],[Current Price]]/Main_S[[#This Row],[BVPS]],""),"")</f>
        <v>3.5235457063711912</v>
      </c>
      <c r="J122">
        <v>10.35</v>
      </c>
      <c r="K122">
        <v>5.62</v>
      </c>
      <c r="L122">
        <v>1.1399999999999999</v>
      </c>
      <c r="M122" s="1">
        <f>IF(ISNUMBER(Main_S[[#This Row],[EPS]]),IF(Main_S[[#This Row],[EPS]]&lt;&gt;0,Main_S[[#This Row],[Current Price]]/Main_S[[#This Row],[EPS]],""),"")</f>
        <v>34.378378378378379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1.5250517296176282</v>
      </c>
      <c r="P122" s="1">
        <f>(Main_S[[#This Row],[P/B]]-VLOOKUP(Main_S[[#This Row],[Industry]], Mean_PB_S, 2, FALSE))/(VLOOKUP(Main_S[[#This Row],[Industry]], Mean_PB_S, 3, FALSE))</f>
        <v>1.512729171189267</v>
      </c>
      <c r="Q122" s="1">
        <f>(Main_S[[#This Row],[ROE]]-VLOOKUP(Main_S[[#This Row],[Industry]], Mean_ROE_S, 2, FALSE))/(VLOOKUP(Main_S[[#This Row],[Industry]], Mean_ROE_S, 3, FALSE))</f>
        <v>0.41562390520471976</v>
      </c>
      <c r="R122" s="1">
        <f>(Main_S[[#This Row],[ROA]]-VLOOKUP(Main_S[[#This Row],[Industry]], Mean_ROA_S, 2, FALSE))/(VLOOKUP(Main_S[[#This Row],[Industry]], Mean_ROA_S, 3, FALSE))</f>
        <v>0.76937276729031112</v>
      </c>
      <c r="S122" s="1">
        <f>(Main_S[[#This Row],[A/E]]-VLOOKUP(Main_S[[#This Row],[Industry]], Mean_AE_S, 2, FALSE))/(VLOOKUP(Main_S[[#This Row],[Industry]], Mean_AE_S, 3, FALSE))</f>
        <v>-1.2319972889674604</v>
      </c>
      <c r="T122" s="1">
        <f>(Main_S[[#This Row],[P/E]]-VLOOKUP(Main_S[[#This Row],[Industry]], Mean_PE_S, 2, FALSE))/(VLOOKUP(Main_S[[#This Row],[Industry]], Mean_PE_S, 3, FALSE))</f>
        <v>0.78298942496298762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7" t="s">
        <v>156</v>
      </c>
      <c r="B123" s="67" t="s">
        <v>320</v>
      </c>
      <c r="C123" s="2">
        <v>1430</v>
      </c>
      <c r="D123">
        <f>RTD("tos.rtd", , "LAST", Main_S[[#This Row],[Symbol]])</f>
        <v>7.44</v>
      </c>
      <c r="E123">
        <v>0.42</v>
      </c>
      <c r="F123">
        <v>5.99</v>
      </c>
      <c r="G123">
        <v>0.09</v>
      </c>
      <c r="H123" s="1">
        <f>IF(ISNUMBER(Main_S[[#This Row],[Free CF]]),IF(Main_S[[#This Row],[Free CF]]&lt;&gt;0,Main_S[[#This Row],[Current Price]]/Main_S[[#This Row],[Free CF]],""),"")</f>
        <v>17.714285714285715</v>
      </c>
      <c r="I123" s="1">
        <f>IF(ISNUMBER(Main_S[[#This Row],[BVPS]]),IF(Main_S[[#This Row],[BVPS]]&lt;&gt;0,Main_S[[#This Row],[Current Price]]/Main_S[[#This Row],[BVPS]],""),"")</f>
        <v>1.2420701168614356</v>
      </c>
      <c r="J123">
        <v>1.57</v>
      </c>
      <c r="K123">
        <v>2.48</v>
      </c>
      <c r="L123">
        <v>1.97</v>
      </c>
      <c r="M123" s="1">
        <f>IF(ISNUMBER(Main_S[[#This Row],[EPS]]),IF(Main_S[[#This Row],[EPS]]&lt;&gt;0,Main_S[[#This Row],[Current Price]]/Main_S[[#This Row],[EPS]],""),"")</f>
        <v>82.666666666666671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0.42992930472898699</v>
      </c>
      <c r="P123" s="1">
        <f>(Main_S[[#This Row],[P/B]]-VLOOKUP(Main_S[[#This Row],[Industry]], Mean_PB_S, 2, FALSE))/(VLOOKUP(Main_S[[#This Row],[Industry]], Mean_PB_S, 3, FALSE))</f>
        <v>-0.56097995515783583</v>
      </c>
      <c r="Q123" s="1">
        <f>(Main_S[[#This Row],[ROE]]-VLOOKUP(Main_S[[#This Row],[Industry]], Mean_ROE_S, 2, FALSE))/(VLOOKUP(Main_S[[#This Row],[Industry]], Mean_ROE_S, 3, FALSE))</f>
        <v>-0.42032844745471232</v>
      </c>
      <c r="R123" s="1">
        <f>(Main_S[[#This Row],[ROA]]-VLOOKUP(Main_S[[#This Row],[Industry]], Mean_ROA_S, 2, FALSE))/(VLOOKUP(Main_S[[#This Row],[Industry]], Mean_ROA_S, 3, FALSE))</f>
        <v>-0.36870583580208122</v>
      </c>
      <c r="S123" s="1">
        <f>(Main_S[[#This Row],[A/E]]-VLOOKUP(Main_S[[#This Row],[Industry]], Mean_AE_S, 2, FALSE))/(VLOOKUP(Main_S[[#This Row],[Industry]], Mean_AE_S, 3, FALSE))</f>
        <v>-0.2828092120936343</v>
      </c>
      <c r="T123" s="1">
        <f>(Main_S[[#This Row],[P/E]]-VLOOKUP(Main_S[[#This Row],[Industry]], Mean_PE_S, 2, FALSE))/(VLOOKUP(Main_S[[#This Row],[Industry]], Mean_PE_S, 3, FALSE))</f>
        <v>2.7835456397183997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4" spans="1:26" x14ac:dyDescent="0.25">
      <c r="A124" s="67" t="s">
        <v>156</v>
      </c>
      <c r="B124" s="67" t="s">
        <v>559</v>
      </c>
      <c r="C124" s="2">
        <v>284</v>
      </c>
      <c r="D124">
        <f>RTD("tos.rtd", , "LAST", Main_S[[#This Row],[Symbol]])</f>
        <v>4.5999999999999996</v>
      </c>
      <c r="E124">
        <v>0.05</v>
      </c>
      <c r="F124">
        <v>0.49</v>
      </c>
      <c r="G124">
        <v>0.06</v>
      </c>
      <c r="H124" s="1">
        <f>IF(ISNUMBER(Main_S[[#This Row],[Free CF]]),IF(Main_S[[#This Row],[Free CF]]&lt;&gt;0,Main_S[[#This Row],[Current Price]]/Main_S[[#This Row],[Free CF]],""),"")</f>
        <v>91.999999999999986</v>
      </c>
      <c r="I124" s="1">
        <f>IF(ISNUMBER(Main_S[[#This Row],[BVPS]]),IF(Main_S[[#This Row],[BVPS]]&lt;&gt;0,Main_S[[#This Row],[Current Price]]/Main_S[[#This Row],[BVPS]],""),"")</f>
        <v>9.3877551020408152</v>
      </c>
      <c r="J124">
        <v>14.15</v>
      </c>
      <c r="K124">
        <v>2.13</v>
      </c>
      <c r="L124">
        <v>1.86</v>
      </c>
      <c r="M124" s="1">
        <f>IF(ISNUMBER(Main_S[[#This Row],[EPS]]),IF(Main_S[[#This Row],[EPS]]&lt;&gt;0,Main_S[[#This Row],[Current Price]]/Main_S[[#This Row],[EPS]],""),"")</f>
        <v>76.666666666666657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6.9011072699800478</v>
      </c>
      <c r="P124" s="1">
        <f>(Main_S[[#This Row],[P/B]]-VLOOKUP(Main_S[[#This Row],[Industry]], Mean_PB_S, 2, FALSE))/(VLOOKUP(Main_S[[#This Row],[Industry]], Mean_PB_S, 3, FALSE))</f>
        <v>6.8429043431373557</v>
      </c>
      <c r="Q124" s="1">
        <f>(Main_S[[#This Row],[ROE]]-VLOOKUP(Main_S[[#This Row],[Industry]], Mean_ROE_S, 2, FALSE))/(VLOOKUP(Main_S[[#This Row],[Industry]], Mean_ROE_S, 3, FALSE))</f>
        <v>0.77742560681130779</v>
      </c>
      <c r="R124" s="1">
        <f>(Main_S[[#This Row],[ROA]]-VLOOKUP(Main_S[[#This Row],[Industry]], Mean_ROA_S, 2, FALSE))/(VLOOKUP(Main_S[[#This Row],[Industry]], Mean_ROA_S, 3, FALSE))</f>
        <v>-0.49556173105123325</v>
      </c>
      <c r="S124" s="1">
        <f>(Main_S[[#This Row],[A/E]]-VLOOKUP(Main_S[[#This Row],[Industry]], Mean_AE_S, 2, FALSE))/(VLOOKUP(Main_S[[#This Row],[Industry]], Mean_AE_S, 3, FALSE))</f>
        <v>-0.40860522228173163</v>
      </c>
      <c r="T124" s="1">
        <f>(Main_S[[#This Row],[P/E]]-VLOOKUP(Main_S[[#This Row],[Industry]], Mean_PE_S, 2, FALSE))/(VLOOKUP(Main_S[[#This Row],[Industry]], Mean_PE_S, 3, FALSE))</f>
        <v>2.5349690652730437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7" t="s">
        <v>156</v>
      </c>
      <c r="B125" s="67" t="s">
        <v>627</v>
      </c>
      <c r="C125" s="2">
        <v>1360</v>
      </c>
      <c r="D125">
        <f>RTD("tos.rtd", , "LAST", Main_S[[#This Row],[Symbol]])</f>
        <v>11.3</v>
      </c>
      <c r="E125">
        <v>-0.02</v>
      </c>
      <c r="F125">
        <v>5.91</v>
      </c>
      <c r="G125">
        <v>0</v>
      </c>
      <c r="H125" s="1">
        <f>IF(ISNUMBER(Main_S[[#This Row],[Free CF]]),IF(Main_S[[#This Row],[Free CF]]&lt;&gt;0,Main_S[[#This Row],[Current Price]]/Main_S[[#This Row],[Free CF]],""),"")</f>
        <v>-565</v>
      </c>
      <c r="I125" s="1">
        <f>IF(ISNUMBER(Main_S[[#This Row],[BVPS]]),IF(Main_S[[#This Row],[BVPS]]&lt;&gt;0,Main_S[[#This Row],[Current Price]]/Main_S[[#This Row],[BVPS]],""),"")</f>
        <v>1.9120135363790187</v>
      </c>
      <c r="J125">
        <v>-0.05</v>
      </c>
      <c r="K125">
        <v>2.81</v>
      </c>
      <c r="L125">
        <v>4.25</v>
      </c>
      <c r="M125" s="1" t="str">
        <f>IF(ISNUMBER(Main_S[[#This Row],[EPS]]),IF(Main_S[[#This Row],[EPS]]&lt;&gt;0,Main_S[[#This Row],[Current Price]]/Main_S[[#This Row],[EPS]],""),"")</f>
        <v/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-50.331484003461561</v>
      </c>
      <c r="P125" s="1">
        <f>(Main_S[[#This Row],[P/B]]-VLOOKUP(Main_S[[#This Row],[Industry]], Mean_PB_S, 2, FALSE))/(VLOOKUP(Main_S[[#This Row],[Industry]], Mean_PB_S, 3, FALSE))</f>
        <v>4.7953924993090619E-2</v>
      </c>
      <c r="Q125" s="1">
        <f>(Main_S[[#This Row],[ROE]]-VLOOKUP(Main_S[[#This Row],[Industry]], Mean_ROE_S, 2, FALSE))/(VLOOKUP(Main_S[[#This Row],[Industry]], Mean_ROE_S, 3, FALSE))</f>
        <v>-0.57457022550804715</v>
      </c>
      <c r="R125" s="1">
        <f>(Main_S[[#This Row],[ROA]]-VLOOKUP(Main_S[[#This Row],[Industry]], Mean_ROA_S, 2, FALSE))/(VLOOKUP(Main_S[[#This Row],[Industry]], Mean_ROA_S, 3, FALSE))</f>
        <v>-0.24909884885288072</v>
      </c>
      <c r="S125" s="1">
        <f>(Main_S[[#This Row],[A/E]]-VLOOKUP(Main_S[[#This Row],[Industry]], Mean_AE_S, 2, FALSE))/(VLOOKUP(Main_S[[#This Row],[Industry]], Mean_AE_S, 3, FALSE))</f>
        <v>2.32459899907784</v>
      </c>
      <c r="T125" s="1" t="e">
        <f>(Main_S[[#This Row],[P/E]]-VLOOKUP(Main_S[[#This Row],[Industry]], Mean_PE_S, 2, FALSE))/(VLOOKUP(Main_S[[#This Row],[Industry]], Mean_PE_S, 3, FALSE))</f>
        <v>#VALUE!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6" spans="1:26" x14ac:dyDescent="0.25">
      <c r="A126" s="67" t="s">
        <v>156</v>
      </c>
      <c r="B126" s="67" t="s">
        <v>451</v>
      </c>
      <c r="C126" s="2">
        <v>1168</v>
      </c>
      <c r="D126">
        <f>RTD("tos.rtd", , "LAST", Main_S[[#This Row],[Symbol]])</f>
        <v>4.08</v>
      </c>
      <c r="E126">
        <v>-0.04</v>
      </c>
      <c r="F126">
        <v>1.41</v>
      </c>
      <c r="G126">
        <v>-0.47</v>
      </c>
      <c r="H126" s="1">
        <f>IF(ISNUMBER(Main_S[[#This Row],[Free CF]]),IF(Main_S[[#This Row],[Free CF]]&lt;&gt;0,Main_S[[#This Row],[Current Price]]/Main_S[[#This Row],[Free CF]],""),"")</f>
        <v>-102</v>
      </c>
      <c r="I126" s="1">
        <f>IF(ISNUMBER(Main_S[[#This Row],[BVPS]]),IF(Main_S[[#This Row],[BVPS]]&lt;&gt;0,Main_S[[#This Row],[Current Price]]/Main_S[[#This Row],[BVPS]],""),"")</f>
        <v>2.8936170212765959</v>
      </c>
      <c r="J126">
        <v>-21.76</v>
      </c>
      <c r="K126">
        <v>0.96</v>
      </c>
      <c r="L126">
        <v>2.16</v>
      </c>
      <c r="M126" s="1">
        <f>IF(ISNUMBER(Main_S[[#This Row],[EPS]]),IF(Main_S[[#This Row],[EPS]]&lt;&gt;0,Main_S[[#This Row],[Current Price]]/Main_S[[#This Row],[EPS]],""),"")</f>
        <v>-8.6808510638297882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-9.9986228777333022</v>
      </c>
      <c r="P126" s="1">
        <f>(Main_S[[#This Row],[P/B]]-VLOOKUP(Main_S[[#This Row],[Industry]], Mean_PB_S, 2, FALSE))/(VLOOKUP(Main_S[[#This Row],[Industry]], Mean_PB_S, 3, FALSE))</f>
        <v>0.9401660154689867</v>
      </c>
      <c r="Q126" s="1">
        <f>(Main_S[[#This Row],[ROE]]-VLOOKUP(Main_S[[#This Row],[Industry]], Mean_ROE_S, 2, FALSE))/(VLOOKUP(Main_S[[#This Row],[Industry]], Mean_ROE_S, 3, FALSE))</f>
        <v>-2.6416004733709486</v>
      </c>
      <c r="R126" s="1">
        <f>(Main_S[[#This Row],[ROA]]-VLOOKUP(Main_S[[#This Row],[Industry]], Mean_ROA_S, 2, FALSE))/(VLOOKUP(Main_S[[#This Row],[Industry]], Mean_ROA_S, 3, FALSE))</f>
        <v>-0.91962286659839854</v>
      </c>
      <c r="S126" s="1">
        <f>(Main_S[[#This Row],[A/E]]-VLOOKUP(Main_S[[#This Row],[Industry]], Mean_AE_S, 2, FALSE))/(VLOOKUP(Main_S[[#This Row],[Industry]], Mean_AE_S, 3, FALSE))</f>
        <v>-6.5525194496011283E-2</v>
      </c>
      <c r="T126" s="1">
        <f>(Main_S[[#This Row],[P/E]]-VLOOKUP(Main_S[[#This Row],[Industry]], Mean_PE_S, 2, FALSE))/(VLOOKUP(Main_S[[#This Row],[Industry]], Mean_PE_S, 3, FALSE))</f>
        <v>-1.0009298672037945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s="67" t="s">
        <v>156</v>
      </c>
      <c r="B127" s="67" t="s">
        <v>558</v>
      </c>
      <c r="C127" s="2">
        <v>868</v>
      </c>
      <c r="D127">
        <f>RTD("tos.rtd", , "LAST", Main_S[[#This Row],[Symbol]])</f>
        <v>10.66</v>
      </c>
      <c r="E127">
        <v>-0.13</v>
      </c>
      <c r="F127">
        <v>10.84</v>
      </c>
      <c r="G127">
        <v>-1.51</v>
      </c>
      <c r="H127" s="1">
        <f>IF(ISNUMBER(Main_S[[#This Row],[Free CF]]),IF(Main_S[[#This Row],[Free CF]]&lt;&gt;0,Main_S[[#This Row],[Current Price]]/Main_S[[#This Row],[Free CF]],""),"")</f>
        <v>-82</v>
      </c>
      <c r="I127" s="1">
        <f>IF(ISNUMBER(Main_S[[#This Row],[BVPS]]),IF(Main_S[[#This Row],[BVPS]]&lt;&gt;0,Main_S[[#This Row],[Current Price]]/Main_S[[#This Row],[BVPS]],""),"")</f>
        <v>0.98339483394833949</v>
      </c>
      <c r="J127">
        <v>-13</v>
      </c>
      <c r="K127">
        <v>-3.72</v>
      </c>
      <c r="L127">
        <v>1.3</v>
      </c>
      <c r="M127" s="1">
        <f>IF(ISNUMBER(Main_S[[#This Row],[EPS]]),IF(Main_S[[#This Row],[EPS]]&lt;&gt;0,Main_S[[#This Row],[Current Price]]/Main_S[[#This Row],[EPS]],""),"")</f>
        <v>-7.0596026490066226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-8.2563826563195555</v>
      </c>
      <c r="P127" s="1">
        <f>(Main_S[[#This Row],[P/B]]-VLOOKUP(Main_S[[#This Row],[Industry]], Mean_PB_S, 2, FALSE))/(VLOOKUP(Main_S[[#This Row],[Industry]], Mean_PB_S, 3, FALSE))</f>
        <v>-0.79609853253984142</v>
      </c>
      <c r="Q127" s="1">
        <f>(Main_S[[#This Row],[ROE]]-VLOOKUP(Main_S[[#This Row],[Industry]], Mean_ROE_S, 2, FALSE))/(VLOOKUP(Main_S[[#This Row],[Industry]], Mean_ROE_S, 3, FALSE))</f>
        <v>-1.8075523401936562</v>
      </c>
      <c r="R127" s="1">
        <f>(Main_S[[#This Row],[ROA]]-VLOOKUP(Main_S[[#This Row],[Industry]], Mean_ROA_S, 2, FALSE))/(VLOOKUP(Main_S[[#This Row],[Industry]], Mean_ROA_S, 3, FALSE))</f>
        <v>-2.6158674087870599</v>
      </c>
      <c r="S127" s="1">
        <f>(Main_S[[#This Row],[A/E]]-VLOOKUP(Main_S[[#This Row],[Industry]], Mean_AE_S, 2, FALSE))/(VLOOKUP(Main_S[[#This Row],[Industry]], Mean_AE_S, 3, FALSE))</f>
        <v>-1.0490212741484095</v>
      </c>
      <c r="T127" s="1">
        <f>(Main_S[[#This Row],[P/E]]-VLOOKUP(Main_S[[#This Row],[Industry]], Mean_PE_S, 2, FALSE))/(VLOOKUP(Main_S[[#This Row],[Industry]], Mean_PE_S, 3, FALSE))</f>
        <v>-0.93376247099017695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s="67" t="s">
        <v>156</v>
      </c>
      <c r="B128" s="67" t="s">
        <v>629</v>
      </c>
      <c r="C128" s="2">
        <v>265</v>
      </c>
      <c r="D128">
        <f>RTD("tos.rtd", , "LAST", Main_S[[#This Row],[Symbol]])</f>
        <v>2.38</v>
      </c>
      <c r="E128">
        <v>-0.19</v>
      </c>
      <c r="F128">
        <v>0.49</v>
      </c>
      <c r="G128">
        <v>-0.14000000000000001</v>
      </c>
      <c r="H128" s="1">
        <f>IF(ISNUMBER(Main_S[[#This Row],[Free CF]]),IF(Main_S[[#This Row],[Free CF]]&lt;&gt;0,Main_S[[#This Row],[Current Price]]/Main_S[[#This Row],[Free CF]],""),"")</f>
        <v>-12.526315789473683</v>
      </c>
      <c r="I128" s="1">
        <f>IF(ISNUMBER(Main_S[[#This Row],[BVPS]]),IF(Main_S[[#This Row],[BVPS]]&lt;&gt;0,Main_S[[#This Row],[Current Price]]/Main_S[[#This Row],[BVPS]],""),"")</f>
        <v>4.8571428571428568</v>
      </c>
      <c r="J128">
        <v>-37.520000000000003</v>
      </c>
      <c r="K128">
        <v>-22.55</v>
      </c>
      <c r="L128">
        <v>1.02</v>
      </c>
      <c r="M128" s="1">
        <f>IF(ISNUMBER(Main_S[[#This Row],[EPS]]),IF(Main_S[[#This Row],[EPS]]&lt;&gt;0,Main_S[[#This Row],[Current Price]]/Main_S[[#This Row],[EPS]],""),"")</f>
        <v>-16.999999999999996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-2.2043903082507472</v>
      </c>
      <c r="P128" s="1">
        <f>(Main_S[[#This Row],[P/B]]-VLOOKUP(Main_S[[#This Row],[Industry]], Mean_PB_S, 2, FALSE))/(VLOOKUP(Main_S[[#This Row],[Industry]], Mean_PB_S, 3, FALSE))</f>
        <v>2.7248800244096367</v>
      </c>
      <c r="Q128" s="1">
        <f>(Main_S[[#This Row],[ROE]]-VLOOKUP(Main_S[[#This Row],[Industry]], Mean_ROE_S, 2, FALSE))/(VLOOKUP(Main_S[[#This Row],[Industry]], Mean_ROE_S, 3, FALSE))</f>
        <v>-4.1421254252972188</v>
      </c>
      <c r="R128" s="1">
        <f>(Main_S[[#This Row],[ROA]]-VLOOKUP(Main_S[[#This Row],[Industry]], Mean_ROA_S, 2, FALSE))/(VLOOKUP(Main_S[[#This Row],[Industry]], Mean_ROA_S, 3, FALSE))</f>
        <v>-9.440714573191439</v>
      </c>
      <c r="S128" s="1">
        <f>(Main_S[[#This Row],[A/E]]-VLOOKUP(Main_S[[#This Row],[Industry]], Mean_AE_S, 2, FALSE))/(VLOOKUP(Main_S[[#This Row],[Industry]], Mean_AE_S, 3, FALSE))</f>
        <v>-1.3692293000817484</v>
      </c>
      <c r="T128" s="1">
        <f>(Main_S[[#This Row],[P/E]]-VLOOKUP(Main_S[[#This Row],[Industry]], Mean_PE_S, 2, FALSE))/(VLOOKUP(Main_S[[#This Row],[Industry]], Mean_PE_S, 3, FALSE))</f>
        <v>-1.34558745801278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7" t="s">
        <v>156</v>
      </c>
      <c r="B129" s="67" t="s">
        <v>465</v>
      </c>
      <c r="C129" s="2">
        <v>337</v>
      </c>
      <c r="D129">
        <f>RTD("tos.rtd", , "LAST", Main_S[[#This Row],[Symbol]])</f>
        <v>1.49</v>
      </c>
      <c r="E129">
        <v>-0.27</v>
      </c>
      <c r="F129">
        <v>3.98</v>
      </c>
      <c r="G129">
        <v>-0.44</v>
      </c>
      <c r="H129" s="1">
        <f>IF(ISNUMBER(Main_S[[#This Row],[Free CF]]),IF(Main_S[[#This Row],[Free CF]]&lt;&gt;0,Main_S[[#This Row],[Current Price]]/Main_S[[#This Row],[Free CF]],""),"")</f>
        <v>-5.5185185185185182</v>
      </c>
      <c r="I129" s="1">
        <f>IF(ISNUMBER(Main_S[[#This Row],[BVPS]]),IF(Main_S[[#This Row],[BVPS]]&lt;&gt;0,Main_S[[#This Row],[Current Price]]/Main_S[[#This Row],[BVPS]],""),"")</f>
        <v>0.37437185929648242</v>
      </c>
      <c r="J129">
        <v>-10.34</v>
      </c>
      <c r="K129">
        <v>-5.44</v>
      </c>
      <c r="L129">
        <v>1.05</v>
      </c>
      <c r="M129" s="1">
        <f>IF(ISNUMBER(Main_S[[#This Row],[EPS]]),IF(Main_S[[#This Row],[EPS]]&lt;&gt;0,Main_S[[#This Row],[Current Price]]/Main_S[[#This Row],[EPS]],""),"")</f>
        <v>-3.3863636363636362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-1.5939269948021679</v>
      </c>
      <c r="P129" s="1">
        <f>(Main_S[[#This Row],[P/B]]-VLOOKUP(Main_S[[#This Row],[Industry]], Mean_PB_S, 2, FALSE))/(VLOOKUP(Main_S[[#This Row],[Industry]], Mean_PB_S, 3, FALSE))</f>
        <v>-1.3496597919710662</v>
      </c>
      <c r="Q129" s="1">
        <f>(Main_S[[#This Row],[ROE]]-VLOOKUP(Main_S[[#This Row],[Industry]], Mean_ROE_S, 2, FALSE))/(VLOOKUP(Main_S[[#This Row],[Industry]], Mean_ROE_S, 3, FALSE))</f>
        <v>-1.5542911490690445</v>
      </c>
      <c r="R129" s="1">
        <f>(Main_S[[#This Row],[ROA]]-VLOOKUP(Main_S[[#This Row],[Industry]], Mean_ROA_S, 2, FALSE))/(VLOOKUP(Main_S[[#This Row],[Industry]], Mean_ROA_S, 3, FALSE))</f>
        <v>-3.2392735225828928</v>
      </c>
      <c r="S129" s="1">
        <f>(Main_S[[#This Row],[A/E]]-VLOOKUP(Main_S[[#This Row],[Industry]], Mean_AE_S, 2, FALSE))/(VLOOKUP(Main_S[[#This Row],[Industry]], Mean_AE_S, 3, FALSE))</f>
        <v>-1.3349212973031763</v>
      </c>
      <c r="T129" s="1">
        <f>(Main_S[[#This Row],[P/E]]-VLOOKUP(Main_S[[#This Row],[Industry]], Mean_PE_S, 2, FALSE))/(VLOOKUP(Main_S[[#This Row],[Industry]], Mean_PE_S, 3, FALSE))</f>
        <v>-0.78158227584320494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7" t="s">
        <v>156</v>
      </c>
      <c r="B130" s="67" t="s">
        <v>449</v>
      </c>
      <c r="C130" s="2">
        <v>519</v>
      </c>
      <c r="D130">
        <f>RTD("tos.rtd", , "LAST", Main_S[[#This Row],[Symbol]])</f>
        <v>45.79</v>
      </c>
      <c r="E130">
        <v>-0.45</v>
      </c>
      <c r="F130">
        <v>35.47</v>
      </c>
      <c r="G130">
        <v>4.6900000000000004</v>
      </c>
      <c r="H130" s="1">
        <f>IF(ISNUMBER(Main_S[[#This Row],[Free CF]]),IF(Main_S[[#This Row],[Free CF]]&lt;&gt;0,Main_S[[#This Row],[Current Price]]/Main_S[[#This Row],[Free CF]],""),"")</f>
        <v>-101.75555555555555</v>
      </c>
      <c r="I130" s="1">
        <f>IF(ISNUMBER(Main_S[[#This Row],[BVPS]]),IF(Main_S[[#This Row],[BVPS]]&lt;&gt;0,Main_S[[#This Row],[Current Price]]/Main_S[[#This Row],[BVPS]],""),"")</f>
        <v>1.2909500986749365</v>
      </c>
      <c r="J130">
        <v>14.19</v>
      </c>
      <c r="K130">
        <v>6.78</v>
      </c>
      <c r="L130">
        <v>1.57</v>
      </c>
      <c r="M130" s="1">
        <f>IF(ISNUMBER(Main_S[[#This Row],[EPS]]),IF(Main_S[[#This Row],[EPS]]&lt;&gt;0,Main_S[[#This Row],[Current Price]]/Main_S[[#This Row],[EPS]],""),"")</f>
        <v>9.7633262260127918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-9.9773288305826888</v>
      </c>
      <c r="P130" s="1">
        <f>(Main_S[[#This Row],[P/B]]-VLOOKUP(Main_S[[#This Row],[Industry]], Mean_PB_S, 2, FALSE))/(VLOOKUP(Main_S[[#This Row],[Industry]], Mean_PB_S, 3, FALSE))</f>
        <v>-0.51655131220044259</v>
      </c>
      <c r="Q130" s="1">
        <f>(Main_S[[#This Row],[ROE]]-VLOOKUP(Main_S[[#This Row],[Industry]], Mean_ROE_S, 2, FALSE))/(VLOOKUP(Main_S[[#This Row],[Industry]], Mean_ROE_S, 3, FALSE))</f>
        <v>0.78123404577558764</v>
      </c>
      <c r="R130" s="1">
        <f>(Main_S[[#This Row],[ROA]]-VLOOKUP(Main_S[[#This Row],[Industry]], Mean_ROA_S, 2, FALSE))/(VLOOKUP(Main_S[[#This Row],[Industry]], Mean_ROA_S, 3, FALSE))</f>
        <v>1.1898094486875008</v>
      </c>
      <c r="S130" s="1">
        <f>(Main_S[[#This Row],[A/E]]-VLOOKUP(Main_S[[#This Row],[Industry]], Mean_AE_S, 2, FALSE))/(VLOOKUP(Main_S[[#This Row],[Industry]], Mean_AE_S, 3, FALSE))</f>
        <v>-0.74024924914126122</v>
      </c>
      <c r="T130" s="1">
        <f>(Main_S[[#This Row],[P/E]]-VLOOKUP(Main_S[[#This Row],[Industry]], Mean_PE_S, 2, FALSE))/(VLOOKUP(Main_S[[#This Row],[Industry]], Mean_PE_S, 3, FALSE))</f>
        <v>-0.23679813234181363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s="67" t="s">
        <v>156</v>
      </c>
      <c r="B131" s="67" t="s">
        <v>632</v>
      </c>
      <c r="C131" s="2">
        <v>281</v>
      </c>
      <c r="D131">
        <f>RTD("tos.rtd", , "LAST", Main_S[[#This Row],[Symbol]])</f>
        <v>9.5399999999999991</v>
      </c>
      <c r="E131">
        <v>-0.8</v>
      </c>
      <c r="F131">
        <v>0.79</v>
      </c>
      <c r="G131">
        <v>-1.47</v>
      </c>
      <c r="H131" s="1">
        <f>IF(ISNUMBER(Main_S[[#This Row],[Free CF]]),IF(Main_S[[#This Row],[Free CF]]&lt;&gt;0,Main_S[[#This Row],[Current Price]]/Main_S[[#This Row],[Free CF]],""),"")</f>
        <v>-11.924999999999999</v>
      </c>
      <c r="I131" s="1">
        <f>IF(ISNUMBER(Main_S[[#This Row],[BVPS]]),IF(Main_S[[#This Row],[BVPS]]&lt;&gt;0,Main_S[[#This Row],[Current Price]]/Main_S[[#This Row],[BVPS]],""),"")</f>
        <v>12.075949367088606</v>
      </c>
      <c r="J131">
        <v>-136.41</v>
      </c>
      <c r="K131">
        <v>-29.44</v>
      </c>
      <c r="L131">
        <v>2.2400000000000002</v>
      </c>
      <c r="M131" s="1">
        <f>IF(ISNUMBER(Main_S[[#This Row],[EPS]]),IF(Main_S[[#This Row],[EPS]]&lt;&gt;0,Main_S[[#This Row],[Current Price]]/Main_S[[#This Row],[EPS]],""),"")</f>
        <v>-6.4897959183673466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-2.1520084805411361</v>
      </c>
      <c r="P131" s="1">
        <f>(Main_S[[#This Row],[P/B]]-VLOOKUP(Main_S[[#This Row],[Industry]], Mean_PB_S, 2, FALSE))/(VLOOKUP(Main_S[[#This Row],[Industry]], Mean_PB_S, 3, FALSE))</f>
        <v>9.2862936156131575</v>
      </c>
      <c r="Q131" s="1">
        <f>(Main_S[[#This Row],[ROE]]-VLOOKUP(Main_S[[#This Row],[Industry]], Mean_ROE_S, 2, FALSE))/(VLOOKUP(Main_S[[#This Row],[Industry]], Mean_ROE_S, 3, FALSE))</f>
        <v>-13.557538654738133</v>
      </c>
      <c r="R131" s="1">
        <f>(Main_S[[#This Row],[ROA]]-VLOOKUP(Main_S[[#This Row],[Industry]], Mean_ROA_S, 2, FALSE))/(VLOOKUP(Main_S[[#This Row],[Industry]], Mean_ROA_S, 3, FALSE))</f>
        <v>-11.937963482524744</v>
      </c>
      <c r="S131" s="1">
        <f>(Main_S[[#This Row],[A/E]]-VLOOKUP(Main_S[[#This Row],[Industry]], Mean_AE_S, 2, FALSE))/(VLOOKUP(Main_S[[#This Row],[Industry]], Mean_AE_S, 3, FALSE))</f>
        <v>2.596281291351421E-2</v>
      </c>
      <c r="T131" s="1">
        <f>(Main_S[[#This Row],[P/E]]-VLOOKUP(Main_S[[#This Row],[Industry]], Mean_PE_S, 2, FALSE))/(VLOOKUP(Main_S[[#This Row],[Industry]], Mean_PE_S, 3, FALSE))</f>
        <v>-0.91015570345714059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s="67" t="s">
        <v>156</v>
      </c>
      <c r="B132" s="67" t="s">
        <v>302</v>
      </c>
      <c r="C132" s="2">
        <v>1415</v>
      </c>
      <c r="D132">
        <f>RTD("tos.rtd", , "LAST", Main_S[[#This Row],[Symbol]])</f>
        <v>46.33</v>
      </c>
      <c r="E132">
        <v>-0.98</v>
      </c>
      <c r="F132">
        <v>46.52</v>
      </c>
      <c r="G132">
        <v>6.26</v>
      </c>
      <c r="H132" s="1">
        <f>IF(ISNUMBER(Main_S[[#This Row],[Free CF]]),IF(Main_S[[#This Row],[Free CF]]&lt;&gt;0,Main_S[[#This Row],[Current Price]]/Main_S[[#This Row],[Free CF]],""),"")</f>
        <v>-47.275510204081634</v>
      </c>
      <c r="I132" s="1">
        <f>IF(ISNUMBER(Main_S[[#This Row],[BVPS]]),IF(Main_S[[#This Row],[BVPS]]&lt;&gt;0,Main_S[[#This Row],[Current Price]]/Main_S[[#This Row],[BVPS]],""),"")</f>
        <v>0.99591573516766974</v>
      </c>
      <c r="J132">
        <v>13.32</v>
      </c>
      <c r="K132">
        <v>5.62</v>
      </c>
      <c r="L132">
        <v>2.92</v>
      </c>
      <c r="M132" s="1">
        <f>IF(ISNUMBER(Main_S[[#This Row],[EPS]]),IF(Main_S[[#This Row],[EPS]]&lt;&gt;0,Main_S[[#This Row],[Current Price]]/Main_S[[#This Row],[EPS]],""),"")</f>
        <v>7.4009584664536741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-5.2314625167935427</v>
      </c>
      <c r="P132" s="1">
        <f>(Main_S[[#This Row],[P/B]]-VLOOKUP(Main_S[[#This Row],[Industry]], Mean_PB_S, 2, FALSE))/(VLOOKUP(Main_S[[#This Row],[Industry]], Mean_PB_S, 3, FALSE))</f>
        <v>-0.78471786853098602</v>
      </c>
      <c r="Q132" s="1">
        <f>(Main_S[[#This Row],[ROE]]-VLOOKUP(Main_S[[#This Row],[Industry]], Mean_ROE_S, 2, FALSE))/(VLOOKUP(Main_S[[#This Row],[Industry]], Mean_ROE_S, 3, FALSE))</f>
        <v>0.69840049830250039</v>
      </c>
      <c r="R132" s="1">
        <f>(Main_S[[#This Row],[ROA]]-VLOOKUP(Main_S[[#This Row],[Industry]], Mean_ROA_S, 2, FALSE))/(VLOOKUP(Main_S[[#This Row],[Industry]], Mean_ROA_S, 3, FALSE))</f>
        <v>0.76937276729031112</v>
      </c>
      <c r="S132" s="1">
        <f>(Main_S[[#This Row],[A/E]]-VLOOKUP(Main_S[[#This Row],[Industry]], Mean_AE_S, 2, FALSE))/(VLOOKUP(Main_S[[#This Row],[Industry]], Mean_AE_S, 3, FALSE))</f>
        <v>0.80361087589447988</v>
      </c>
      <c r="T132" s="1">
        <f>(Main_S[[#This Row],[P/E]]-VLOOKUP(Main_S[[#This Row],[Industry]], Mean_PE_S, 2, FALSE))/(VLOOKUP(Main_S[[#This Row],[Industry]], Mean_PE_S, 3, FALSE))</f>
        <v>-0.33466967988370605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7" t="s">
        <v>156</v>
      </c>
      <c r="B133" s="67" t="s">
        <v>467</v>
      </c>
      <c r="C133" s="2">
        <v>260</v>
      </c>
      <c r="D133">
        <f>RTD("tos.rtd", , "LAST", Main_S[[#This Row],[Symbol]])</f>
        <v>17.7</v>
      </c>
      <c r="E133">
        <v>-1.08</v>
      </c>
      <c r="F133">
        <v>25.75</v>
      </c>
      <c r="G133">
        <v>2.97</v>
      </c>
      <c r="H133" s="1">
        <f>IF(ISNUMBER(Main_S[[#This Row],[Free CF]]),IF(Main_S[[#This Row],[Free CF]]&lt;&gt;0,Main_S[[#This Row],[Current Price]]/Main_S[[#This Row],[Free CF]],""),"")</f>
        <v>-16.388888888888886</v>
      </c>
      <c r="I133" s="1">
        <f>IF(ISNUMBER(Main_S[[#This Row],[BVPS]]),IF(Main_S[[#This Row],[BVPS]]&lt;&gt;0,Main_S[[#This Row],[Current Price]]/Main_S[[#This Row],[BVPS]],""),"")</f>
        <v>0.68737864077669897</v>
      </c>
      <c r="J133">
        <v>11.41</v>
      </c>
      <c r="K133">
        <v>4.01</v>
      </c>
      <c r="L133">
        <v>4.04</v>
      </c>
      <c r="M133" s="1">
        <f>IF(ISNUMBER(Main_S[[#This Row],[EPS]]),IF(Main_S[[#This Row],[EPS]]&lt;&gt;0,Main_S[[#This Row],[Current Price]]/Main_S[[#This Row],[EPS]],""),"")</f>
        <v>5.9595959595959593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-2.5408668188483432</v>
      </c>
      <c r="P133" s="1">
        <f>(Main_S[[#This Row],[P/B]]-VLOOKUP(Main_S[[#This Row],[Industry]], Mean_PB_S, 2, FALSE))/(VLOOKUP(Main_S[[#This Row],[Industry]], Mean_PB_S, 3, FALSE))</f>
        <v>-1.0651575065429175</v>
      </c>
      <c r="Q133" s="1">
        <f>(Main_S[[#This Row],[ROE]]-VLOOKUP(Main_S[[#This Row],[Industry]], Mean_ROE_S, 2, FALSE))/(VLOOKUP(Main_S[[#This Row],[Industry]], Mean_ROE_S, 3, FALSE))</f>
        <v>0.51654753775813644</v>
      </c>
      <c r="R133" s="1">
        <f>(Main_S[[#This Row],[ROA]]-VLOOKUP(Main_S[[#This Row],[Industry]], Mean_ROA_S, 2, FALSE))/(VLOOKUP(Main_S[[#This Row],[Industry]], Mean_ROA_S, 3, FALSE))</f>
        <v>0.1858356491442118</v>
      </c>
      <c r="S133" s="1">
        <f>(Main_S[[#This Row],[A/E]]-VLOOKUP(Main_S[[#This Row],[Industry]], Mean_AE_S, 2, FALSE))/(VLOOKUP(Main_S[[#This Row],[Industry]], Mean_AE_S, 3, FALSE))</f>
        <v>2.0844429796278359</v>
      </c>
      <c r="T133" s="1">
        <f>(Main_S[[#This Row],[P/E]]-VLOOKUP(Main_S[[#This Row],[Industry]], Mean_PE_S, 2, FALSE))/(VLOOKUP(Main_S[[#This Row],[Industry]], Mean_PE_S, 3, FALSE))</f>
        <v>-0.39438450563181615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s="67" t="s">
        <v>247</v>
      </c>
      <c r="B134" s="67" t="s">
        <v>571</v>
      </c>
      <c r="C134" s="2">
        <v>1928</v>
      </c>
      <c r="D134">
        <f>RTD("tos.rtd", , "LAST", Main_S[[#This Row],[Symbol]])</f>
        <v>16.45</v>
      </c>
      <c r="E134">
        <v>3.89</v>
      </c>
      <c r="F134">
        <v>21</v>
      </c>
      <c r="G134">
        <v>1.96</v>
      </c>
      <c r="H134" s="1">
        <f>IF(ISNUMBER(Main_S[[#This Row],[Free CF]]),IF(Main_S[[#This Row],[Free CF]]&lt;&gt;0,Main_S[[#This Row],[Current Price]]/Main_S[[#This Row],[Free CF]],""),"")</f>
        <v>4.2287917737789202</v>
      </c>
      <c r="I134" s="1">
        <f>IF(ISNUMBER(Main_S[[#This Row],[BVPS]]),IF(Main_S[[#This Row],[BVPS]]&lt;&gt;0,Main_S[[#This Row],[Current Price]]/Main_S[[#This Row],[BVPS]],""),"")</f>
        <v>0.78333333333333333</v>
      </c>
      <c r="J134">
        <v>11.09</v>
      </c>
      <c r="K134">
        <v>4.4800000000000004</v>
      </c>
      <c r="L134">
        <v>1.64</v>
      </c>
      <c r="M134" s="1">
        <f>IF(ISNUMBER(Main_S[[#This Row],[EPS]]),IF(Main_S[[#This Row],[EPS]]&lt;&gt;0,Main_S[[#This Row],[Current Price]]/Main_S[[#This Row],[EPS]],""),"")</f>
        <v>8.3928571428571423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0.59113849049143885</v>
      </c>
      <c r="P134" s="1">
        <f>(Main_S[[#This Row],[P/B]]-VLOOKUP(Main_S[[#This Row],[Industry]], Mean_PB_S, 2, FALSE))/(VLOOKUP(Main_S[[#This Row],[Industry]], Mean_PB_S, 3, FALSE))</f>
        <v>0.96480930060233339</v>
      </c>
      <c r="Q134" s="1">
        <f>(Main_S[[#This Row],[ROE]]-VLOOKUP(Main_S[[#This Row],[Industry]], Mean_ROE_S, 2, FALSE))/(VLOOKUP(Main_S[[#This Row],[Industry]], Mean_ROE_S, 3, FALSE))</f>
        <v>-6.0539727909383223E-2</v>
      </c>
      <c r="R134" s="1">
        <f>(Main_S[[#This Row],[ROA]]-VLOOKUP(Main_S[[#This Row],[Industry]], Mean_ROA_S, 2, FALSE))/(VLOOKUP(Main_S[[#This Row],[Industry]], Mean_ROA_S, 3, FALSE))</f>
        <v>-0.32363297007068215</v>
      </c>
      <c r="S134" s="1">
        <f>(Main_S[[#This Row],[A/E]]-VLOOKUP(Main_S[[#This Row],[Industry]], Mean_AE_S, 2, FALSE))/(VLOOKUP(Main_S[[#This Row],[Industry]], Mean_AE_S, 3, FALSE))</f>
        <v>-8.4901489570381211E-2</v>
      </c>
      <c r="T134" s="1">
        <f>(Main_S[[#This Row],[P/E]]-VLOOKUP(Main_S[[#This Row],[Industry]], Mean_PE_S, 2, FALSE))/(VLOOKUP(Main_S[[#This Row],[Industry]], Mean_PE_S, 3, FALSE))</f>
        <v>0.32187715575785886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s="67" t="s">
        <v>247</v>
      </c>
      <c r="B135" s="67" t="s">
        <v>530</v>
      </c>
      <c r="C135" s="2">
        <v>885</v>
      </c>
      <c r="D135">
        <f>RTD("tos.rtd", , "LAST", Main_S[[#This Row],[Symbol]])</f>
        <v>25.65</v>
      </c>
      <c r="E135">
        <v>3.56</v>
      </c>
      <c r="F135">
        <v>44.04</v>
      </c>
      <c r="G135">
        <v>10.54</v>
      </c>
      <c r="H135" s="1">
        <f>IF(ISNUMBER(Main_S[[#This Row],[Free CF]]),IF(Main_S[[#This Row],[Free CF]]&lt;&gt;0,Main_S[[#This Row],[Current Price]]/Main_S[[#This Row],[Free CF]],""),"")</f>
        <v>7.2050561797752808</v>
      </c>
      <c r="I135" s="1">
        <f>IF(ISNUMBER(Main_S[[#This Row],[BVPS]]),IF(Main_S[[#This Row],[BVPS]]&lt;&gt;0,Main_S[[#This Row],[Current Price]]/Main_S[[#This Row],[BVPS]],""),"")</f>
        <v>0.58242506811989103</v>
      </c>
      <c r="J135">
        <v>27.25</v>
      </c>
      <c r="K135">
        <v>10.039999999999999</v>
      </c>
      <c r="L135">
        <v>1.64</v>
      </c>
      <c r="M135" s="1">
        <f>IF(ISNUMBER(Main_S[[#This Row],[EPS]]),IF(Main_S[[#This Row],[EPS]]&lt;&gt;0,Main_S[[#This Row],[Current Price]]/Main_S[[#This Row],[EPS]],""),"")</f>
        <v>2.4335863377609108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0.94123144584218088</v>
      </c>
      <c r="P135" s="1">
        <f>(Main_S[[#This Row],[P/B]]-VLOOKUP(Main_S[[#This Row],[Industry]], Mean_PB_S, 2, FALSE))/(VLOOKUP(Main_S[[#This Row],[Industry]], Mean_PB_S, 3, FALSE))</f>
        <v>-0.18452265196047671</v>
      </c>
      <c r="Q135" s="1">
        <f>(Main_S[[#This Row],[ROE]]-VLOOKUP(Main_S[[#This Row],[Industry]], Mean_ROE_S, 2, FALSE))/(VLOOKUP(Main_S[[#This Row],[Industry]], Mean_ROE_S, 3, FALSE))</f>
        <v>2.3431998372395917</v>
      </c>
      <c r="R135" s="1">
        <f>(Main_S[[#This Row],[ROA]]-VLOOKUP(Main_S[[#This Row],[Industry]], Mean_ROA_S, 2, FALSE))/(VLOOKUP(Main_S[[#This Row],[Industry]], Mean_ROA_S, 3, FALSE))</f>
        <v>2.2879770641716903</v>
      </c>
      <c r="S135" s="1">
        <f>(Main_S[[#This Row],[A/E]]-VLOOKUP(Main_S[[#This Row],[Industry]], Mean_AE_S, 2, FALSE))/(VLOOKUP(Main_S[[#This Row],[Industry]], Mean_AE_S, 3, FALSE))</f>
        <v>-8.4901489570381211E-2</v>
      </c>
      <c r="T135" s="1">
        <f>(Main_S[[#This Row],[P/E]]-VLOOKUP(Main_S[[#This Row],[Industry]], Mean_PE_S, 2, FALSE))/(VLOOKUP(Main_S[[#This Row],[Industry]], Mean_PE_S, 3, FALSE))</f>
        <v>-0.98720773681424501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7" t="s">
        <v>247</v>
      </c>
      <c r="B136" s="67" t="s">
        <v>527</v>
      </c>
      <c r="C136" s="2">
        <v>1253</v>
      </c>
      <c r="D136">
        <f>RTD("tos.rtd", , "LAST", Main_S[[#This Row],[Symbol]])</f>
        <v>8.9</v>
      </c>
      <c r="E136">
        <v>2.5099999999999998</v>
      </c>
      <c r="F136">
        <v>21.56</v>
      </c>
      <c r="G136">
        <v>2.44</v>
      </c>
      <c r="H136" s="1">
        <f>IF(ISNUMBER(Main_S[[#This Row],[Free CF]]),IF(Main_S[[#This Row],[Free CF]]&lt;&gt;0,Main_S[[#This Row],[Current Price]]/Main_S[[#This Row],[Free CF]],""),"")</f>
        <v>3.5458167330677295</v>
      </c>
      <c r="I136" s="1">
        <f>IF(ISNUMBER(Main_S[[#This Row],[BVPS]]),IF(Main_S[[#This Row],[BVPS]]&lt;&gt;0,Main_S[[#This Row],[Current Price]]/Main_S[[#This Row],[BVPS]],""),"")</f>
        <v>0.41280148423005569</v>
      </c>
      <c r="J136">
        <v>12.15</v>
      </c>
      <c r="K136">
        <v>5.62</v>
      </c>
      <c r="L136">
        <v>1.98</v>
      </c>
      <c r="M136" s="1">
        <f>IF(ISNUMBER(Main_S[[#This Row],[EPS]]),IF(Main_S[[#This Row],[EPS]]&lt;&gt;0,Main_S[[#This Row],[Current Price]]/Main_S[[#This Row],[EPS]],""),"")</f>
        <v>3.6475409836065578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0.51080128995520846</v>
      </c>
      <c r="P136" s="1">
        <f>(Main_S[[#This Row],[P/B]]-VLOOKUP(Main_S[[#This Row],[Industry]], Mean_PB_S, 2, FALSE))/(VLOOKUP(Main_S[[#This Row],[Industry]], Mean_PB_S, 3, FALSE))</f>
        <v>-1.1548849447496246</v>
      </c>
      <c r="Q136" s="1">
        <f>(Main_S[[#This Row],[ROE]]-VLOOKUP(Main_S[[#This Row],[Industry]], Mean_ROE_S, 2, FALSE))/(VLOOKUP(Main_S[[#This Row],[Industry]], Mean_ROE_S, 3, FALSE))</f>
        <v>9.713130792340853E-2</v>
      </c>
      <c r="R136" s="1">
        <f>(Main_S[[#This Row],[ROA]]-VLOOKUP(Main_S[[#This Row],[Industry]], Mean_ROA_S, 2, FALSE))/(VLOOKUP(Main_S[[#This Row],[Industry]], Mean_ROA_S, 3, FALSE))</f>
        <v>0.21184102975599128</v>
      </c>
      <c r="S136" s="1">
        <f>(Main_S[[#This Row],[A/E]]-VLOOKUP(Main_S[[#This Row],[Industry]], Mean_AE_S, 2, FALSE))/(VLOOKUP(Main_S[[#This Row],[Industry]], Mean_AE_S, 3, FALSE))</f>
        <v>1.0446574586268549</v>
      </c>
      <c r="T136" s="1">
        <f>(Main_S[[#This Row],[P/E]]-VLOOKUP(Main_S[[#This Row],[Industry]], Mean_PE_S, 2, FALSE))/(VLOOKUP(Main_S[[#This Row],[Industry]], Mean_PE_S, 3, FALSE))</f>
        <v>-0.72053590075919727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7" t="s">
        <v>247</v>
      </c>
      <c r="B137" s="67" t="s">
        <v>529</v>
      </c>
      <c r="C137" s="2">
        <v>569</v>
      </c>
      <c r="D137">
        <f>RTD("tos.rtd", , "LAST", Main_S[[#This Row],[Symbol]])</f>
        <v>13.5</v>
      </c>
      <c r="E137">
        <v>0.89</v>
      </c>
      <c r="F137">
        <v>21.02</v>
      </c>
      <c r="G137">
        <v>1.05</v>
      </c>
      <c r="H137" s="1">
        <f>IF(ISNUMBER(Main_S[[#This Row],[Free CF]]),IF(Main_S[[#This Row],[Free CF]]&lt;&gt;0,Main_S[[#This Row],[Current Price]]/Main_S[[#This Row],[Free CF]],""),"")</f>
        <v>15.168539325842696</v>
      </c>
      <c r="I137" s="1">
        <f>IF(ISNUMBER(Main_S[[#This Row],[BVPS]]),IF(Main_S[[#This Row],[BVPS]]&lt;&gt;0,Main_S[[#This Row],[Current Price]]/Main_S[[#This Row],[BVPS]],""),"")</f>
        <v>0.64224548049476693</v>
      </c>
      <c r="J137">
        <v>5.01</v>
      </c>
      <c r="K137">
        <v>2.57</v>
      </c>
      <c r="L137">
        <v>1.1499999999999999</v>
      </c>
      <c r="M137" s="1">
        <f>IF(ISNUMBER(Main_S[[#This Row],[EPS]]),IF(Main_S[[#This Row],[EPS]]&lt;&gt;0,Main_S[[#This Row],[Current Price]]/Main_S[[#This Row],[EPS]],""),"")</f>
        <v>12.857142857142856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1.8779625184833038</v>
      </c>
      <c r="P137" s="1">
        <f>(Main_S[[#This Row],[P/B]]-VLOOKUP(Main_S[[#This Row],[Industry]], Mean_PB_S, 2, FALSE))/(VLOOKUP(Main_S[[#This Row],[Industry]], Mean_PB_S, 3, FALSE))</f>
        <v>0.1576908019503705</v>
      </c>
      <c r="Q137" s="1">
        <f>(Main_S[[#This Row],[ROE]]-VLOOKUP(Main_S[[#This Row],[Industry]], Mean_ROE_S, 2, FALSE))/(VLOOKUP(Main_S[[#This Row],[Industry]], Mean_ROE_S, 3, FALSE))</f>
        <v>-0.96491699004464115</v>
      </c>
      <c r="R137" s="1">
        <f>(Main_S[[#This Row],[ROA]]-VLOOKUP(Main_S[[#This Row],[Industry]], Mean_ROA_S, 2, FALSE))/(VLOOKUP(Main_S[[#This Row],[Industry]], Mean_ROA_S, 3, FALSE))</f>
        <v>-1.2207867767978284</v>
      </c>
      <c r="S137" s="1">
        <f>(Main_S[[#This Row],[A/E]]-VLOOKUP(Main_S[[#This Row],[Industry]], Mean_AE_S, 2, FALSE))/(VLOOKUP(Main_S[[#This Row],[Industry]], Mean_AE_S, 3, FALSE))</f>
        <v>-1.712795267854633</v>
      </c>
      <c r="T137" s="1">
        <f>(Main_S[[#This Row],[P/E]]-VLOOKUP(Main_S[[#This Row],[Industry]], Mean_PE_S, 2, FALSE))/(VLOOKUP(Main_S[[#This Row],[Industry]], Mean_PE_S, 3, FALSE))</f>
        <v>1.3025556944305983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7" t="s">
        <v>247</v>
      </c>
      <c r="B138" s="67" t="s">
        <v>532</v>
      </c>
      <c r="C138" s="2">
        <v>389</v>
      </c>
      <c r="D138">
        <f>RTD("tos.rtd", , "LAST", Main_S[[#This Row],[Symbol]])</f>
        <v>3.76</v>
      </c>
      <c r="E138">
        <v>-0.27</v>
      </c>
      <c r="F138">
        <v>8.08</v>
      </c>
      <c r="G138">
        <v>0.67</v>
      </c>
      <c r="H138" s="1">
        <f>IF(ISNUMBER(Main_S[[#This Row],[Free CF]]),IF(Main_S[[#This Row],[Free CF]]&lt;&gt;0,Main_S[[#This Row],[Current Price]]/Main_S[[#This Row],[Free CF]],""),"")</f>
        <v>-13.925925925925924</v>
      </c>
      <c r="I138" s="1">
        <f>IF(ISNUMBER(Main_S[[#This Row],[BVPS]]),IF(Main_S[[#This Row],[BVPS]]&lt;&gt;0,Main_S[[#This Row],[Current Price]]/Main_S[[#This Row],[BVPS]],""),"")</f>
        <v>0.46534653465346532</v>
      </c>
      <c r="J138">
        <v>9.82</v>
      </c>
      <c r="K138">
        <v>4.3099999999999996</v>
      </c>
      <c r="L138">
        <v>1.67</v>
      </c>
      <c r="M138" s="1">
        <f>IF(ISNUMBER(Main_S[[#This Row],[EPS]]),IF(Main_S[[#This Row],[EPS]]&lt;&gt;0,Main_S[[#This Row],[Current Price]]/Main_S[[#This Row],[EPS]],""),"")</f>
        <v>5.611940298507462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-1.5443702903288445</v>
      </c>
      <c r="P138" s="1">
        <f>(Main_S[[#This Row],[P/B]]-VLOOKUP(Main_S[[#This Row],[Industry]], Mean_PB_S, 2, FALSE))/(VLOOKUP(Main_S[[#This Row],[Industry]], Mean_PB_S, 3, FALSE))</f>
        <v>-0.85429151054476826</v>
      </c>
      <c r="Q138" s="1">
        <f>(Main_S[[#This Row],[ROE]]-VLOOKUP(Main_S[[#This Row],[Industry]], Mean_ROE_S, 2, FALSE))/(VLOOKUP(Main_S[[#This Row],[Industry]], Mean_ROE_S, 3, FALSE))</f>
        <v>-0.24944747838829395</v>
      </c>
      <c r="R138" s="1">
        <f>(Main_S[[#This Row],[ROA]]-VLOOKUP(Main_S[[#This Row],[Industry]], Mean_ROA_S, 2, FALSE))/(VLOOKUP(Main_S[[#This Row],[Industry]], Mean_ROA_S, 3, FALSE))</f>
        <v>-0.40348435600974791</v>
      </c>
      <c r="S138" s="1">
        <f>(Main_S[[#This Row],[A/E]]-VLOOKUP(Main_S[[#This Row],[Industry]], Mean_AE_S, 2, FALSE))/(VLOOKUP(Main_S[[#This Row],[Industry]], Mean_AE_S, 3, FALSE))</f>
        <v>1.4765476447022049E-2</v>
      </c>
      <c r="T138" s="1">
        <f>(Main_S[[#This Row],[P/E]]-VLOOKUP(Main_S[[#This Row],[Industry]], Mean_PE_S, 2, FALSE))/(VLOOKUP(Main_S[[#This Row],[Industry]], Mean_PE_S, 3, FALSE))</f>
        <v>-0.28901238886968533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s="67" t="s">
        <v>247</v>
      </c>
      <c r="B139" s="67" t="s">
        <v>570</v>
      </c>
      <c r="C139" s="2">
        <v>295</v>
      </c>
      <c r="D139">
        <f>RTD("tos.rtd", , "LAST", Main_S[[#This Row],[Symbol]])</f>
        <v>4.71</v>
      </c>
      <c r="E139">
        <v>-0.35</v>
      </c>
      <c r="F139">
        <v>6.41</v>
      </c>
      <c r="G139">
        <v>0.3</v>
      </c>
      <c r="H139" s="1">
        <f>IF(ISNUMBER(Main_S[[#This Row],[Free CF]]),IF(Main_S[[#This Row],[Free CF]]&lt;&gt;0,Main_S[[#This Row],[Current Price]]/Main_S[[#This Row],[Free CF]],""),"")</f>
        <v>-13.457142857142857</v>
      </c>
      <c r="I139" s="1">
        <f>IF(ISNUMBER(Main_S[[#This Row],[BVPS]]),IF(Main_S[[#This Row],[BVPS]]&lt;&gt;0,Main_S[[#This Row],[Current Price]]/Main_S[[#This Row],[BVPS]],""),"")</f>
        <v>0.73478939157566303</v>
      </c>
      <c r="J139">
        <v>4.7300000000000004</v>
      </c>
      <c r="K139">
        <v>3.11</v>
      </c>
      <c r="L139">
        <v>2.1800000000000002</v>
      </c>
      <c r="M139" s="1">
        <f>IF(ISNUMBER(Main_S[[#This Row],[EPS]]),IF(Main_S[[#This Row],[EPS]]&lt;&gt;0,Main_S[[#This Row],[Current Price]]/Main_S[[#This Row],[EPS]],""),"")</f>
        <v>15.700000000000001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-1.4892281296935186</v>
      </c>
      <c r="P139" s="1">
        <f>(Main_S[[#This Row],[P/B]]-VLOOKUP(Main_S[[#This Row],[Industry]], Mean_PB_S, 2, FALSE))/(VLOOKUP(Main_S[[#This Row],[Industry]], Mean_PB_S, 3, FALSE))</f>
        <v>0.68710492987291283</v>
      </c>
      <c r="Q139" s="1">
        <f>(Main_S[[#This Row],[ROE]]-VLOOKUP(Main_S[[#This Row],[Industry]], Mean_ROE_S, 2, FALSE))/(VLOOKUP(Main_S[[#This Row],[Industry]], Mean_ROE_S, 3, FALSE))</f>
        <v>-1.0065659429061331</v>
      </c>
      <c r="R139" s="1">
        <f>(Main_S[[#This Row],[ROA]]-VLOOKUP(Main_S[[#This Row],[Industry]], Mean_ROA_S, 2, FALSE))/(VLOOKUP(Main_S[[#This Row],[Industry]], Mean_ROA_S, 3, FALSE))</f>
        <v>-0.96714119793256204</v>
      </c>
      <c r="S139" s="1">
        <f>(Main_S[[#This Row],[A/E]]-VLOOKUP(Main_S[[#This Row],[Industry]], Mean_AE_S, 2, FALSE))/(VLOOKUP(Main_S[[#This Row],[Industry]], Mean_AE_S, 3, FALSE))</f>
        <v>1.7091038987428766</v>
      </c>
      <c r="T139" s="1">
        <f>(Main_S[[#This Row],[P/E]]-VLOOKUP(Main_S[[#This Row],[Industry]], Mean_PE_S, 2, FALSE))/(VLOOKUP(Main_S[[#This Row],[Industry]], Mean_PE_S, 3, FALSE))</f>
        <v>1.9270517878573994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s="67" t="s">
        <v>247</v>
      </c>
      <c r="B140" s="67" t="s">
        <v>528</v>
      </c>
      <c r="C140" s="2">
        <v>1584</v>
      </c>
      <c r="D140">
        <f>RTD("tos.rtd", , "LAST", Main_S[[#This Row],[Symbol]])</f>
        <v>86</v>
      </c>
      <c r="E140">
        <v>-0.97</v>
      </c>
      <c r="F140">
        <v>188.1</v>
      </c>
      <c r="G140">
        <v>24.48</v>
      </c>
      <c r="H140" s="1">
        <f>IF(ISNUMBER(Main_S[[#This Row],[Free CF]]),IF(Main_S[[#This Row],[Free CF]]&lt;&gt;0,Main_S[[#This Row],[Current Price]]/Main_S[[#This Row],[Free CF]],""),"")</f>
        <v>-88.659793814432987</v>
      </c>
      <c r="I140" s="1">
        <f>IF(ISNUMBER(Main_S[[#This Row],[BVPS]]),IF(Main_S[[#This Row],[BVPS]]&lt;&gt;0,Main_S[[#This Row],[Current Price]]/Main_S[[#This Row],[BVPS]],""),"")</f>
        <v>0.45720361509835195</v>
      </c>
      <c r="J140">
        <v>14.14</v>
      </c>
      <c r="K140">
        <v>7.75</v>
      </c>
      <c r="L140">
        <v>1.27</v>
      </c>
      <c r="M140" s="1">
        <f>IF(ISNUMBER(Main_S[[#This Row],[EPS]]),IF(Main_S[[#This Row],[EPS]]&lt;&gt;0,Main_S[[#This Row],[Current Price]]/Main_S[[#This Row],[EPS]],""),"")</f>
        <v>3.5130718954248366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-10.33518894917059</v>
      </c>
      <c r="P140" s="1">
        <f>(Main_S[[#This Row],[P/B]]-VLOOKUP(Main_S[[#This Row],[Industry]], Mean_PB_S, 2, FALSE))/(VLOOKUP(Main_S[[#This Row],[Industry]], Mean_PB_S, 3, FALSE))</f>
        <v>-0.90087454993290672</v>
      </c>
      <c r="Q140" s="1">
        <f>(Main_S[[#This Row],[ROE]]-VLOOKUP(Main_S[[#This Row],[Industry]], Mean_ROE_S, 2, FALSE))/(VLOOKUP(Main_S[[#This Row],[Industry]], Mean_ROE_S, 3, FALSE))</f>
        <v>0.39313636576044197</v>
      </c>
      <c r="R140" s="1">
        <f>(Main_S[[#This Row],[ROA]]-VLOOKUP(Main_S[[#This Row],[Industry]], Mean_ROA_S, 2, FALSE))/(VLOOKUP(Main_S[[#This Row],[Industry]], Mean_ROA_S, 3, FALSE))</f>
        <v>1.2123319241689867</v>
      </c>
      <c r="S140" s="1">
        <f>(Main_S[[#This Row],[A/E]]-VLOOKUP(Main_S[[#This Row],[Industry]], Mean_AE_S, 2, FALSE))/(VLOOKUP(Main_S[[#This Row],[Industry]], Mean_AE_S, 3, FALSE))</f>
        <v>-1.3141274037850199</v>
      </c>
      <c r="T140" s="1">
        <f>(Main_S[[#This Row],[P/E]]-VLOOKUP(Main_S[[#This Row],[Industry]], Mean_PE_S, 2, FALSE))/(VLOOKUP(Main_S[[#This Row],[Industry]], Mean_PE_S, 3, FALSE))</f>
        <v>-0.75007499331161143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s="67" t="s">
        <v>247</v>
      </c>
      <c r="B141" s="67" t="s">
        <v>569</v>
      </c>
      <c r="C141" s="2">
        <v>278</v>
      </c>
      <c r="D141">
        <f>RTD("tos.rtd", , "LAST", Main_S[[#This Row],[Symbol]])</f>
        <v>6.33</v>
      </c>
      <c r="E141">
        <v>-6.66</v>
      </c>
      <c r="F141">
        <v>3.65</v>
      </c>
      <c r="G141">
        <v>0.56999999999999995</v>
      </c>
      <c r="H141" s="1">
        <f>IF(ISNUMBER(Main_S[[#This Row],[Free CF]]),IF(Main_S[[#This Row],[Free CF]]&lt;&gt;0,Main_S[[#This Row],[Current Price]]/Main_S[[#This Row],[Free CF]],""),"")</f>
        <v>-0.9504504504504504</v>
      </c>
      <c r="I141" s="1">
        <f>IF(ISNUMBER(Main_S[[#This Row],[BVPS]]),IF(Main_S[[#This Row],[BVPS]]&lt;&gt;0,Main_S[[#This Row],[Current Price]]/Main_S[[#This Row],[BVPS]],""),"")</f>
        <v>1.7342465753424658</v>
      </c>
      <c r="J141">
        <v>16.829999999999998</v>
      </c>
      <c r="K141">
        <v>5.38</v>
      </c>
      <c r="L141">
        <v>5.56</v>
      </c>
      <c r="M141" s="1">
        <f>IF(ISNUMBER(Main_S[[#This Row],[EPS]]),IF(Main_S[[#This Row],[EPS]]&lt;&gt;0,Main_S[[#This Row],[Current Price]]/Main_S[[#This Row],[EPS]],""),"")</f>
        <v>11.105263157894738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-1.8087024924689717E-2</v>
      </c>
      <c r="P141" s="1">
        <f>(Main_S[[#This Row],[P/B]]-VLOOKUP(Main_S[[#This Row],[Industry]], Mean_PB_S, 2, FALSE))/(VLOOKUP(Main_S[[#This Row],[Industry]], Mean_PB_S, 3, FALSE))</f>
        <v>6.4046799400461101</v>
      </c>
      <c r="Q141" s="1">
        <f>(Main_S[[#This Row],[ROE]]-VLOOKUP(Main_S[[#This Row],[Industry]], Mean_ROE_S, 2, FALSE))/(VLOOKUP(Main_S[[#This Row],[Industry]], Mean_ROE_S, 3, FALSE))</f>
        <v>0.79326380575120548</v>
      </c>
      <c r="R141" s="1">
        <f>(Main_S[[#This Row],[ROA]]-VLOOKUP(Main_S[[#This Row],[Industry]], Mean_ROA_S, 2, FALSE))/(VLOOKUP(Main_S[[#This Row],[Industry]], Mean_ROA_S, 3, FALSE))</f>
        <v>9.910966137142832E-2</v>
      </c>
      <c r="S141" s="1">
        <f>(Main_S[[#This Row],[A/E]]-VLOOKUP(Main_S[[#This Row],[Industry]], Mean_AE_S, 2, FALSE))/(VLOOKUP(Main_S[[#This Row],[Industry]], Mean_AE_S, 3, FALSE))</f>
        <v>12.938248736703631</v>
      </c>
      <c r="T141" s="1">
        <f>(Main_S[[#This Row],[P/E]]-VLOOKUP(Main_S[[#This Row],[Industry]], Mean_PE_S, 2, FALSE))/(VLOOKUP(Main_S[[#This Row],[Industry]], Mean_PE_S, 3, FALSE))</f>
        <v>0.91771678999144368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s="67" t="s">
        <v>247</v>
      </c>
      <c r="B142" s="67" t="s">
        <v>635</v>
      </c>
      <c r="C142" s="2">
        <v>269</v>
      </c>
      <c r="D142">
        <f>RTD("tos.rtd", , "LAST", Main_S[[#This Row],[Symbol]])</f>
        <v>41.19</v>
      </c>
      <c r="E142">
        <v>-7.32</v>
      </c>
      <c r="F142">
        <v>51.5</v>
      </c>
      <c r="G142">
        <v>16.2</v>
      </c>
      <c r="H142" s="1">
        <f>IF(ISNUMBER(Main_S[[#This Row],[Free CF]]),IF(Main_S[[#This Row],[Free CF]]&lt;&gt;0,Main_S[[#This Row],[Current Price]]/Main_S[[#This Row],[Free CF]],""),"")</f>
        <v>-5.6270491803278686</v>
      </c>
      <c r="I142" s="1">
        <f>IF(ISNUMBER(Main_S[[#This Row],[BVPS]]),IF(Main_S[[#This Row],[BVPS]]&lt;&gt;0,Main_S[[#This Row],[Current Price]]/Main_S[[#This Row],[BVPS]],""),"")</f>
        <v>0.79980582524271837</v>
      </c>
      <c r="J142">
        <v>35.83</v>
      </c>
      <c r="K142">
        <v>14.07</v>
      </c>
      <c r="L142">
        <v>1.63</v>
      </c>
      <c r="M142" s="1">
        <f>IF(ISNUMBER(Main_S[[#This Row],[EPS]]),IF(Main_S[[#This Row],[EPS]]&lt;&gt;0,Main_S[[#This Row],[Current Price]]/Main_S[[#This Row],[EPS]],""),"")</f>
        <v>2.5425925925925927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-0.56818743503399016</v>
      </c>
      <c r="P142" s="1">
        <f>(Main_S[[#This Row],[P/B]]-VLOOKUP(Main_S[[#This Row],[Industry]], Mean_PB_S, 2, FALSE))/(VLOOKUP(Main_S[[#This Row],[Industry]], Mean_PB_S, 3, FALSE))</f>
        <v>1.0590431603675108</v>
      </c>
      <c r="Q142" s="1">
        <f>(Main_S[[#This Row],[ROE]]-VLOOKUP(Main_S[[#This Row],[Industry]], Mean_ROE_S, 2, FALSE))/(VLOOKUP(Main_S[[#This Row],[Industry]], Mean_ROE_S, 3, FALSE))</f>
        <v>3.6194427499238864</v>
      </c>
      <c r="R142" s="1">
        <f>(Main_S[[#This Row],[ROA]]-VLOOKUP(Main_S[[#This Row],[Industry]], Mean_ROA_S, 2, FALSE))/(VLOOKUP(Main_S[[#This Row],[Industry]], Mean_ROA_S, 3, FALSE))</f>
        <v>4.1809246249624747</v>
      </c>
      <c r="S142" s="1">
        <f>(Main_S[[#This Row],[A/E]]-VLOOKUP(Main_S[[#This Row],[Industry]], Mean_AE_S, 2, FALSE))/(VLOOKUP(Main_S[[#This Row],[Industry]], Mean_AE_S, 3, FALSE))</f>
        <v>-0.11812381157618229</v>
      </c>
      <c r="T142" s="1">
        <f>(Main_S[[#This Row],[P/E]]-VLOOKUP(Main_S[[#This Row],[Industry]], Mean_PE_S, 2, FALSE))/(VLOOKUP(Main_S[[#This Row],[Industry]], Mean_PE_S, 3, FALSE))</f>
        <v>-0.96326211560267216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s="67" t="s">
        <v>247</v>
      </c>
      <c r="B143" s="67" t="s">
        <v>568</v>
      </c>
      <c r="C143" s="2">
        <v>1361</v>
      </c>
      <c r="D143">
        <f>RTD("tos.rtd", , "LAST", Main_S[[#This Row],[Symbol]])</f>
        <v>21.62</v>
      </c>
      <c r="E143">
        <v>-13.27</v>
      </c>
      <c r="F143">
        <v>24.1</v>
      </c>
      <c r="G143">
        <v>0.57999999999999996</v>
      </c>
      <c r="H143" s="1">
        <f>IF(ISNUMBER(Main_S[[#This Row],[Free CF]]),IF(Main_S[[#This Row],[Free CF]]&lt;&gt;0,Main_S[[#This Row],[Current Price]]/Main_S[[#This Row],[Free CF]],""),"")</f>
        <v>-1.6292388847023362</v>
      </c>
      <c r="I143" s="1">
        <f>IF(ISNUMBER(Main_S[[#This Row],[BVPS]]),IF(Main_S[[#This Row],[BVPS]]&lt;&gt;0,Main_S[[#This Row],[Current Price]]/Main_S[[#This Row],[BVPS]],""),"")</f>
        <v>0.89709543568464734</v>
      </c>
      <c r="J143">
        <v>2.72</v>
      </c>
      <c r="K143">
        <v>3.64</v>
      </c>
      <c r="L143">
        <v>2.93</v>
      </c>
      <c r="M143" s="1">
        <f>IF(ISNUMBER(Main_S[[#This Row],[EPS]]),IF(Main_S[[#This Row],[EPS]]&lt;&gt;0,Main_S[[#This Row],[Current Price]]/Main_S[[#This Row],[EPS]],""),"")</f>
        <v>37.275862068965523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-9.7931762014031531E-2</v>
      </c>
      <c r="P143" s="1">
        <f>(Main_S[[#This Row],[P/B]]-VLOOKUP(Main_S[[#This Row],[Industry]], Mean_PB_S, 2, FALSE))/(VLOOKUP(Main_S[[#This Row],[Industry]], Mean_PB_S, 3, FALSE))</f>
        <v>1.6156059170789052</v>
      </c>
      <c r="Q143" s="1">
        <f>(Main_S[[#This Row],[ROE]]-VLOOKUP(Main_S[[#This Row],[Industry]], Mean_ROE_S, 2, FALSE))/(VLOOKUP(Main_S[[#This Row],[Industry]], Mean_ROE_S, 3, FALSE))</f>
        <v>-1.3055459259475588</v>
      </c>
      <c r="R143" s="1">
        <f>(Main_S[[#This Row],[ROA]]-VLOOKUP(Main_S[[#This Row],[Industry]], Mean_ROA_S, 2, FALSE))/(VLOOKUP(Main_S[[#This Row],[Industry]], Mean_ROA_S, 3, FALSE))</f>
        <v>-0.71819275941665228</v>
      </c>
      <c r="S143" s="1">
        <f>(Main_S[[#This Row],[A/E]]-VLOOKUP(Main_S[[#This Row],[Industry]], Mean_AE_S, 2, FALSE))/(VLOOKUP(Main_S[[#This Row],[Industry]], Mean_AE_S, 3, FALSE))</f>
        <v>4.2007780491779556</v>
      </c>
      <c r="T143" s="1">
        <f>(Main_S[[#This Row],[P/E]]-VLOOKUP(Main_S[[#This Row],[Industry]], Mean_PE_S, 2, FALSE))/(VLOOKUP(Main_S[[#This Row],[Industry]], Mean_PE_S, 3, FALSE))</f>
        <v>6.6666644019624837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4" spans="1:26" x14ac:dyDescent="0.25">
      <c r="A144" s="67" t="s">
        <v>247</v>
      </c>
      <c r="B144" s="67" t="s">
        <v>531</v>
      </c>
      <c r="C144" s="2">
        <v>1155</v>
      </c>
      <c r="D144">
        <f>RTD("tos.rtd", , "LAST", Main_S[[#This Row],[Symbol]])</f>
        <v>38.99</v>
      </c>
      <c r="E144">
        <v>-15.44</v>
      </c>
      <c r="F144">
        <v>104.88</v>
      </c>
      <c r="G144">
        <v>11.23</v>
      </c>
      <c r="H144" s="1">
        <f>IF(ISNUMBER(Main_S[[#This Row],[Free CF]]),IF(Main_S[[#This Row],[Free CF]]&lt;&gt;0,Main_S[[#This Row],[Current Price]]/Main_S[[#This Row],[Free CF]],""),"")</f>
        <v>-2.525259067357513</v>
      </c>
      <c r="I144" s="1">
        <f>IF(ISNUMBER(Main_S[[#This Row],[BVPS]]),IF(Main_S[[#This Row],[BVPS]]&lt;&gt;0,Main_S[[#This Row],[Current Price]]/Main_S[[#This Row],[BVPS]],""),"")</f>
        <v>0.37175819984744474</v>
      </c>
      <c r="J144">
        <v>11.23</v>
      </c>
      <c r="K144">
        <v>4.79</v>
      </c>
      <c r="L144">
        <v>1.83</v>
      </c>
      <c r="M144" s="1">
        <f>IF(ISNUMBER(Main_S[[#This Row],[EPS]]),IF(Main_S[[#This Row],[EPS]]&lt;&gt;0,Main_S[[#This Row],[Current Price]]/Main_S[[#This Row],[EPS]],""),"")</f>
        <v>3.4719501335707927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-0.20332910277705715</v>
      </c>
      <c r="P144" s="1">
        <f>(Main_S[[#This Row],[P/B]]-VLOOKUP(Main_S[[#This Row],[Industry]], Mean_PB_S, 2, FALSE))/(VLOOKUP(Main_S[[#This Row],[Industry]], Mean_PB_S, 3, FALSE))</f>
        <v>-1.3896804526842617</v>
      </c>
      <c r="Q144" s="1">
        <f>(Main_S[[#This Row],[ROE]]-VLOOKUP(Main_S[[#This Row],[Industry]], Mean_ROE_S, 2, FALSE))/(VLOOKUP(Main_S[[#This Row],[Industry]], Mean_ROE_S, 3, FALSE))</f>
        <v>-3.9715251478637068E-2</v>
      </c>
      <c r="R144" s="1">
        <f>(Main_S[[#This Row],[ROA]]-VLOOKUP(Main_S[[#This Row],[Industry]], Mean_ROA_S, 2, FALSE))/(VLOOKUP(Main_S[[#This Row],[Industry]], Mean_ROA_S, 3, FALSE))</f>
        <v>-0.17802161924062199</v>
      </c>
      <c r="S144" s="1">
        <f>(Main_S[[#This Row],[A/E]]-VLOOKUP(Main_S[[#This Row],[Industry]], Mean_AE_S, 2, FALSE))/(VLOOKUP(Main_S[[#This Row],[Industry]], Mean_AE_S, 3, FALSE))</f>
        <v>0.54632262853983937</v>
      </c>
      <c r="T144" s="1">
        <f>(Main_S[[#This Row],[P/E]]-VLOOKUP(Main_S[[#This Row],[Industry]], Mean_PE_S, 2, FALSE))/(VLOOKUP(Main_S[[#This Row],[Industry]], Mean_PE_S, 3, FALSE))</f>
        <v>-0.75910829267989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7" t="s">
        <v>228</v>
      </c>
      <c r="B145" s="67" t="s">
        <v>522</v>
      </c>
      <c r="C145" s="2">
        <v>1015</v>
      </c>
      <c r="D145">
        <f>RTD("tos.rtd", , "LAST", Main_S[[#This Row],[Symbol]])</f>
        <v>57.17</v>
      </c>
      <c r="E145">
        <v>6.65</v>
      </c>
      <c r="F145">
        <v>63.03</v>
      </c>
      <c r="G145">
        <v>-11.62</v>
      </c>
      <c r="H145" s="1">
        <f>IF(ISNUMBER(Main_S[[#This Row],[Free CF]]),IF(Main_S[[#This Row],[Free CF]]&lt;&gt;0,Main_S[[#This Row],[Current Price]]/Main_S[[#This Row],[Free CF]],""),"")</f>
        <v>8.5969924812030065</v>
      </c>
      <c r="I145" s="1">
        <f>IF(ISNUMBER(Main_S[[#This Row],[BVPS]]),IF(Main_S[[#This Row],[BVPS]]&lt;&gt;0,Main_S[[#This Row],[Current Price]]/Main_S[[#This Row],[BVPS]],""),"")</f>
        <v>0.907028399174996</v>
      </c>
      <c r="J145">
        <v>-17.02</v>
      </c>
      <c r="K145">
        <v>1.7</v>
      </c>
      <c r="L145">
        <v>4.05</v>
      </c>
      <c r="M145" s="1">
        <f>IF(ISNUMBER(Main_S[[#This Row],[EPS]]),IF(Main_S[[#This Row],[EPS]]&lt;&gt;0,Main_S[[#This Row],[Current Price]]/Main_S[[#This Row],[EPS]],""),"")</f>
        <v>-4.9199655765920829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0.95894066310190729</v>
      </c>
      <c r="P145" s="1">
        <f>(Main_S[[#This Row],[P/B]]-VLOOKUP(Main_S[[#This Row],[Industry]], Mean_PB_S, 2, FALSE))/(VLOOKUP(Main_S[[#This Row],[Industry]], Mean_PB_S, 3, FALSE))</f>
        <v>-0.16615646229783765</v>
      </c>
      <c r="Q145" s="1">
        <f>(Main_S[[#This Row],[ROE]]-VLOOKUP(Main_S[[#This Row],[Industry]], Mean_ROE_S, 2, FALSE))/(VLOOKUP(Main_S[[#This Row],[Industry]], Mean_ROE_S, 3, FALSE))</f>
        <v>-1.2764548934521454</v>
      </c>
      <c r="R145" s="1">
        <f>(Main_S[[#This Row],[ROA]]-VLOOKUP(Main_S[[#This Row],[Industry]], Mean_ROA_S, 2, FALSE))/(VLOOKUP(Main_S[[#This Row],[Industry]], Mean_ROA_S, 3, FALSE))</f>
        <v>0.3929275623012965</v>
      </c>
      <c r="S145" s="1">
        <f>(Main_S[[#This Row],[A/E]]-VLOOKUP(Main_S[[#This Row],[Industry]], Mean_AE_S, 2, FALSE))/(VLOOKUP(Main_S[[#This Row],[Industry]], Mean_AE_S, 3, FALSE))</f>
        <v>0.23283659243866681</v>
      </c>
      <c r="T145" s="1">
        <f>(Main_S[[#This Row],[P/E]]-VLOOKUP(Main_S[[#This Row],[Industry]], Mean_PE_S, 2, FALSE))/(VLOOKUP(Main_S[[#This Row],[Industry]], Mean_PE_S, 3, FALSE))</f>
        <v>-0.47341532950579923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s="67" t="s">
        <v>228</v>
      </c>
      <c r="B146" s="67" t="s">
        <v>613</v>
      </c>
      <c r="C146" s="2">
        <v>390</v>
      </c>
      <c r="D146">
        <f>RTD("tos.rtd", , "LAST", Main_S[[#This Row],[Symbol]])</f>
        <v>15.18</v>
      </c>
      <c r="E146">
        <v>2.31</v>
      </c>
      <c r="F146">
        <v>13.53</v>
      </c>
      <c r="G146">
        <v>-2.63</v>
      </c>
      <c r="H146" s="1">
        <f>IF(ISNUMBER(Main_S[[#This Row],[Free CF]]),IF(Main_S[[#This Row],[Free CF]]&lt;&gt;0,Main_S[[#This Row],[Current Price]]/Main_S[[#This Row],[Free CF]],""),"")</f>
        <v>6.5714285714285712</v>
      </c>
      <c r="I146" s="1">
        <f>IF(ISNUMBER(Main_S[[#This Row],[BVPS]]),IF(Main_S[[#This Row],[BVPS]]&lt;&gt;0,Main_S[[#This Row],[Current Price]]/Main_S[[#This Row],[BVPS]],""),"")</f>
        <v>1.1219512195121952</v>
      </c>
      <c r="J146">
        <v>-0.25</v>
      </c>
      <c r="K146">
        <v>2.5299999999999998</v>
      </c>
      <c r="L146">
        <v>2.74</v>
      </c>
      <c r="M146" s="1">
        <f>IF(ISNUMBER(Main_S[[#This Row],[EPS]]),IF(Main_S[[#This Row],[EPS]]&lt;&gt;0,Main_S[[#This Row],[Current Price]]/Main_S[[#This Row],[EPS]],""),"")</f>
        <v>-5.7718631178707227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0.70539672438159884</v>
      </c>
      <c r="P146" s="1">
        <f>(Main_S[[#This Row],[P/B]]-VLOOKUP(Main_S[[#This Row],[Industry]], Mean_PB_S, 2, FALSE))/(VLOOKUP(Main_S[[#This Row],[Industry]], Mean_PB_S, 3, FALSE))</f>
        <v>0.2562065866656606</v>
      </c>
      <c r="Q146" s="1">
        <f>(Main_S[[#This Row],[ROE]]-VLOOKUP(Main_S[[#This Row],[Industry]], Mean_ROE_S, 2, FALSE))/(VLOOKUP(Main_S[[#This Row],[Industry]], Mean_ROE_S, 3, FALSE))</f>
        <v>-0.25953572180404666</v>
      </c>
      <c r="R146" s="1">
        <f>(Main_S[[#This Row],[ROA]]-VLOOKUP(Main_S[[#This Row],[Industry]], Mean_ROA_S, 2, FALSE))/(VLOOKUP(Main_S[[#This Row],[Industry]], Mean_ROA_S, 3, FALSE))</f>
        <v>0.65646685661246917</v>
      </c>
      <c r="S146" s="1">
        <f>(Main_S[[#This Row],[A/E]]-VLOOKUP(Main_S[[#This Row],[Industry]], Mean_AE_S, 2, FALSE))/(VLOOKUP(Main_S[[#This Row],[Industry]], Mean_AE_S, 3, FALSE))</f>
        <v>-6.8042259442618963E-2</v>
      </c>
      <c r="T146" s="1">
        <f>(Main_S[[#This Row],[P/E]]-VLOOKUP(Main_S[[#This Row],[Industry]], Mean_PE_S, 2, FALSE))/(VLOOKUP(Main_S[[#This Row],[Industry]], Mean_PE_S, 3, FALSE))</f>
        <v>-0.57362695648545847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s="67" t="s">
        <v>228</v>
      </c>
      <c r="B147" s="67" t="s">
        <v>523</v>
      </c>
      <c r="C147" s="2">
        <v>616</v>
      </c>
      <c r="D147">
        <f>RTD("tos.rtd", , "LAST", Main_S[[#This Row],[Symbol]])</f>
        <v>11.88</v>
      </c>
      <c r="E147">
        <v>2.2200000000000002</v>
      </c>
      <c r="F147">
        <v>11.33</v>
      </c>
      <c r="G147">
        <v>0.98</v>
      </c>
      <c r="H147" s="1">
        <f>IF(ISNUMBER(Main_S[[#This Row],[Free CF]]),IF(Main_S[[#This Row],[Free CF]]&lt;&gt;0,Main_S[[#This Row],[Current Price]]/Main_S[[#This Row],[Free CF]],""),"")</f>
        <v>5.3513513513513509</v>
      </c>
      <c r="I147" s="1">
        <f>IF(ISNUMBER(Main_S[[#This Row],[BVPS]]),IF(Main_S[[#This Row],[BVPS]]&lt;&gt;0,Main_S[[#This Row],[Current Price]]/Main_S[[#This Row],[BVPS]],""),"")</f>
        <v>1.0485436893203883</v>
      </c>
      <c r="J147">
        <v>9.4600000000000009</v>
      </c>
      <c r="K147">
        <v>4.21</v>
      </c>
      <c r="L147">
        <v>2.64</v>
      </c>
      <c r="M147" s="1">
        <f>IF(ISNUMBER(Main_S[[#This Row],[EPS]]),IF(Main_S[[#This Row],[EPS]]&lt;&gt;0,Main_S[[#This Row],[Current Price]]/Main_S[[#This Row],[EPS]],""),"")</f>
        <v>12.122448979591837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0.55267718666247001</v>
      </c>
      <c r="P147" s="1">
        <f>(Main_S[[#This Row],[P/B]]-VLOOKUP(Main_S[[#This Row],[Industry]], Mean_PB_S, 2, FALSE))/(VLOOKUP(Main_S[[#This Row],[Industry]], Mean_PB_S, 3, FALSE))</f>
        <v>0.11194722779419468</v>
      </c>
      <c r="Q147" s="1">
        <f>(Main_S[[#This Row],[ROE]]-VLOOKUP(Main_S[[#This Row],[Industry]], Mean_ROE_S, 2, FALSE))/(VLOOKUP(Main_S[[#This Row],[Industry]], Mean_ROE_S, 3, FALSE))</f>
        <v>0.32927078724205</v>
      </c>
      <c r="R147" s="1">
        <f>(Main_S[[#This Row],[ROA]]-VLOOKUP(Main_S[[#This Row],[Industry]], Mean_ROA_S, 2, FALSE))/(VLOOKUP(Main_S[[#This Row],[Industry]], Mean_ROA_S, 3, FALSE))</f>
        <v>1.1898957896760476</v>
      </c>
      <c r="S147" s="1">
        <f>(Main_S[[#This Row],[A/E]]-VLOOKUP(Main_S[[#This Row],[Industry]], Mean_AE_S, 2, FALSE))/(VLOOKUP(Main_S[[#This Row],[Industry]], Mean_AE_S, 3, FALSE))</f>
        <v>-9.1010110731266761E-2</v>
      </c>
      <c r="T147" s="1">
        <f>(Main_S[[#This Row],[P/E]]-VLOOKUP(Main_S[[#This Row],[Industry]], Mean_PE_S, 2, FALSE))/(VLOOKUP(Main_S[[#This Row],[Industry]], Mean_PE_S, 3, FALSE))</f>
        <v>1.5313422940150472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7" t="s">
        <v>228</v>
      </c>
      <c r="B148" s="67" t="s">
        <v>526</v>
      </c>
      <c r="C148" s="2">
        <v>544</v>
      </c>
      <c r="D148">
        <f>RTD("tos.rtd", , "LAST", Main_S[[#This Row],[Symbol]])</f>
        <v>4.99</v>
      </c>
      <c r="E148">
        <v>0.4</v>
      </c>
      <c r="F148">
        <v>0.27</v>
      </c>
      <c r="G148">
        <v>0.04</v>
      </c>
      <c r="H148" s="1">
        <f>IF(ISNUMBER(Main_S[[#This Row],[Free CF]]),IF(Main_S[[#This Row],[Free CF]]&lt;&gt;0,Main_S[[#This Row],[Current Price]]/Main_S[[#This Row],[Free CF]],""),"")</f>
        <v>12.475</v>
      </c>
      <c r="I148" s="1">
        <f>IF(ISNUMBER(Main_S[[#This Row],[BVPS]]),IF(Main_S[[#This Row],[BVPS]]&lt;&gt;0,Main_S[[#This Row],[Current Price]]/Main_S[[#This Row],[BVPS]],""),"")</f>
        <v>18.481481481481481</v>
      </c>
      <c r="J148">
        <v>14.04</v>
      </c>
      <c r="K148">
        <v>3.38</v>
      </c>
      <c r="L148">
        <v>18.059999999999999</v>
      </c>
      <c r="M148" s="1">
        <f>IF(ISNUMBER(Main_S[[#This Row],[EPS]]),IF(Main_S[[#This Row],[EPS]]&lt;&gt;0,Main_S[[#This Row],[Current Price]]/Main_S[[#This Row],[EPS]],""),"")</f>
        <v>124.75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1.444358721726507</v>
      </c>
      <c r="P148" s="1">
        <f>(Main_S[[#This Row],[P/B]]-VLOOKUP(Main_S[[#This Row],[Industry]], Mean_PB_S, 2, FALSE))/(VLOOKUP(Main_S[[#This Row],[Industry]], Mean_PB_S, 3, FALSE))</f>
        <v>34.370890725446351</v>
      </c>
      <c r="Q148" s="1">
        <f>(Main_S[[#This Row],[ROE]]-VLOOKUP(Main_S[[#This Row],[Industry]], Mean_ROE_S, 2, FALSE))/(VLOOKUP(Main_S[[#This Row],[Industry]], Mean_ROE_S, 3, FALSE))</f>
        <v>0.60699826524731482</v>
      </c>
      <c r="R148" s="1">
        <f>(Main_S[[#This Row],[ROA]]-VLOOKUP(Main_S[[#This Row],[Industry]], Mean_ROA_S, 2, FALSE))/(VLOOKUP(Main_S[[#This Row],[Industry]], Mean_ROA_S, 3, FALSE))</f>
        <v>0.92635649536487485</v>
      </c>
      <c r="S148" s="1">
        <f>(Main_S[[#This Row],[A/E]]-VLOOKUP(Main_S[[#This Row],[Industry]], Mean_AE_S, 2, FALSE))/(VLOOKUP(Main_S[[#This Row],[Industry]], Mean_AE_S, 3, FALSE))</f>
        <v>3.4506325579782202</v>
      </c>
      <c r="T148" s="1">
        <f>(Main_S[[#This Row],[P/E]]-VLOOKUP(Main_S[[#This Row],[Industry]], Mean_PE_S, 2, FALSE))/(VLOOKUP(Main_S[[#This Row],[Industry]], Mean_PE_S, 3, FALSE))</f>
        <v>14.780107061605859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9" spans="1:26" x14ac:dyDescent="0.25">
      <c r="A149" s="67" t="s">
        <v>228</v>
      </c>
      <c r="B149" s="67" t="s">
        <v>567</v>
      </c>
      <c r="C149" s="2">
        <v>320</v>
      </c>
      <c r="D149">
        <f>RTD("tos.rtd", , "LAST", Main_S[[#This Row],[Symbol]])</f>
        <v>0.2001</v>
      </c>
      <c r="E149">
        <v>0.13</v>
      </c>
      <c r="F149">
        <v>-11.54</v>
      </c>
      <c r="G149">
        <v>-3.53</v>
      </c>
      <c r="H149" s="1">
        <f>IF(ISNUMBER(Main_S[[#This Row],[Free CF]]),IF(Main_S[[#This Row],[Free CF]]&lt;&gt;0,Main_S[[#This Row],[Current Price]]/Main_S[[#This Row],[Free CF]],""),"")</f>
        <v>1.5392307692307692</v>
      </c>
      <c r="I149" s="1">
        <f>IF(ISNUMBER(Main_S[[#This Row],[BVPS]]),IF(Main_S[[#This Row],[BVPS]]&lt;&gt;0,Main_S[[#This Row],[Current Price]]/Main_S[[#This Row],[BVPS]],""),"")</f>
        <v>-1.7339688041594456E-2</v>
      </c>
      <c r="J149">
        <v>36.049999999999997</v>
      </c>
      <c r="K149">
        <v>1</v>
      </c>
      <c r="L149">
        <v>-0.85</v>
      </c>
      <c r="M149" s="1">
        <f>IF(ISNUMBER(Main_S[[#This Row],[EPS]]),IF(Main_S[[#This Row],[EPS]]&lt;&gt;0,Main_S[[#This Row],[Current Price]]/Main_S[[#This Row],[EPS]],""),"")</f>
        <v>-5.6685552407932015E-2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7.5506329399694053E-2</v>
      </c>
      <c r="P149" s="1">
        <f>(Main_S[[#This Row],[P/B]]-VLOOKUP(Main_S[[#This Row],[Industry]], Mean_PB_S, 2, FALSE))/(VLOOKUP(Main_S[[#This Row],[Industry]], Mean_PB_S, 3, FALSE))</f>
        <v>-1.9827105307248916</v>
      </c>
      <c r="Q149" s="1">
        <f>(Main_S[[#This Row],[ROE]]-VLOOKUP(Main_S[[#This Row],[Industry]], Mean_ROE_S, 2, FALSE))/(VLOOKUP(Main_S[[#This Row],[Industry]], Mean_ROE_S, 3, FALSE))</f>
        <v>1.9416667785433586</v>
      </c>
      <c r="R149" s="1">
        <f>(Main_S[[#This Row],[ROA]]-VLOOKUP(Main_S[[#This Row],[Industry]], Mean_ROA_S, 2, FALSE))/(VLOOKUP(Main_S[[#This Row],[Industry]], Mean_ROA_S, 3, FALSE))</f>
        <v>0.17066550685813889</v>
      </c>
      <c r="S149" s="1">
        <f>(Main_S[[#This Row],[A/E]]-VLOOKUP(Main_S[[#This Row],[Industry]], Mean_AE_S, 2, FALSE))/(VLOOKUP(Main_S[[#This Row],[Industry]], Mean_AE_S, 3, FALSE))</f>
        <v>-0.89258812070507421</v>
      </c>
      <c r="T149" s="1">
        <f>(Main_S[[#This Row],[P/E]]-VLOOKUP(Main_S[[#This Row],[Industry]], Mean_PE_S, 2, FALSE))/(VLOOKUP(Main_S[[#This Row],[Industry]], Mean_PE_S, 3, FALSE))</f>
        <v>9.8668964750621063E-2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s="67" t="s">
        <v>228</v>
      </c>
      <c r="B150" s="67" t="s">
        <v>630</v>
      </c>
      <c r="C150" s="2">
        <v>283</v>
      </c>
      <c r="D150">
        <f>RTD("tos.rtd", , "LAST", Main_S[[#This Row],[Symbol]])</f>
        <v>4.24</v>
      </c>
      <c r="E150">
        <v>-0.28000000000000003</v>
      </c>
      <c r="F150">
        <v>2.71</v>
      </c>
      <c r="G150">
        <v>-0.34</v>
      </c>
      <c r="H150" s="1">
        <f>IF(ISNUMBER(Main_S[[#This Row],[Free CF]]),IF(Main_S[[#This Row],[Free CF]]&lt;&gt;0,Main_S[[#This Row],[Current Price]]/Main_S[[#This Row],[Free CF]],""),"")</f>
        <v>-15.142857142857142</v>
      </c>
      <c r="I150" s="1">
        <f>IF(ISNUMBER(Main_S[[#This Row],[BVPS]]),IF(Main_S[[#This Row],[BVPS]]&lt;&gt;0,Main_S[[#This Row],[Current Price]]/Main_S[[#This Row],[BVPS]],""),"")</f>
        <v>1.5645756457564577</v>
      </c>
      <c r="J150">
        <v>-11.64</v>
      </c>
      <c r="K150">
        <v>-5.72</v>
      </c>
      <c r="L150">
        <v>1.1399999999999999</v>
      </c>
      <c r="M150" s="1">
        <f>IF(ISNUMBER(Main_S[[#This Row],[EPS]]),IF(Main_S[[#This Row],[EPS]]&lt;&gt;0,Main_S[[#This Row],[Current Price]]/Main_S[[#This Row],[EPS]],""),"")</f>
        <v>-12.470588235294118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-2.0126244152778336</v>
      </c>
      <c r="P150" s="1">
        <f>(Main_S[[#This Row],[P/B]]-VLOOKUP(Main_S[[#This Row],[Industry]], Mean_PB_S, 2, FALSE))/(VLOOKUP(Main_S[[#This Row],[Industry]], Mean_PB_S, 3, FALSE))</f>
        <v>1.1260453591186592</v>
      </c>
      <c r="Q150" s="1">
        <f>(Main_S[[#This Row],[ROE]]-VLOOKUP(Main_S[[#This Row],[Industry]], Mean_ROE_S, 2, FALSE))/(VLOOKUP(Main_S[[#This Row],[Industry]], Mean_ROE_S, 3, FALSE))</f>
        <v>-0.95021606557696536</v>
      </c>
      <c r="R150" s="1">
        <f>(Main_S[[#This Row],[ROA]]-VLOOKUP(Main_S[[#This Row],[Industry]], Mean_ROA_S, 2, FALSE))/(VLOOKUP(Main_S[[#This Row],[Industry]], Mean_ROA_S, 3, FALSE))</f>
        <v>-1.9630502253961746</v>
      </c>
      <c r="S150" s="1">
        <f>(Main_S[[#This Row],[A/E]]-VLOOKUP(Main_S[[#This Row],[Industry]], Mean_AE_S, 2, FALSE))/(VLOOKUP(Main_S[[#This Row],[Industry]], Mean_AE_S, 3, FALSE))</f>
        <v>-0.43552788006098342</v>
      </c>
      <c r="T150" s="1">
        <f>(Main_S[[#This Row],[P/E]]-VLOOKUP(Main_S[[#This Row],[Industry]], Mean_PE_S, 2, FALSE))/(VLOOKUP(Main_S[[#This Row],[Industry]], Mean_PE_S, 3, FALSE))</f>
        <v>-1.3616209465830784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7" t="s">
        <v>228</v>
      </c>
      <c r="B151" s="67" t="s">
        <v>525</v>
      </c>
      <c r="C151" s="2">
        <v>916</v>
      </c>
      <c r="D151">
        <f>RTD("tos.rtd", , "LAST", Main_S[[#This Row],[Symbol]])</f>
        <v>1.62</v>
      </c>
      <c r="E151">
        <v>-0.28999999999999998</v>
      </c>
      <c r="F151">
        <v>-0.41</v>
      </c>
      <c r="G151">
        <v>-0.49</v>
      </c>
      <c r="H151" s="1">
        <f>IF(ISNUMBER(Main_S[[#This Row],[Free CF]]),IF(Main_S[[#This Row],[Free CF]]&lt;&gt;0,Main_S[[#This Row],[Current Price]]/Main_S[[#This Row],[Free CF]],""),"")</f>
        <v>-5.5862068965517251</v>
      </c>
      <c r="I151" s="1">
        <f>IF(ISNUMBER(Main_S[[#This Row],[BVPS]]),IF(Main_S[[#This Row],[BVPS]]&lt;&gt;0,Main_S[[#This Row],[Current Price]]/Main_S[[#This Row],[BVPS]],""),"")</f>
        <v>-3.9512195121951224</v>
      </c>
      <c r="J151">
        <v>237.88</v>
      </c>
      <c r="K151">
        <v>-12.99</v>
      </c>
      <c r="L151">
        <v>-3.79</v>
      </c>
      <c r="M151" s="1">
        <f>IF(ISNUMBER(Main_S[[#This Row],[EPS]]),IF(Main_S[[#This Row],[EPS]]&lt;&gt;0,Main_S[[#This Row],[Current Price]]/Main_S[[#This Row],[EPS]],""),"")</f>
        <v>-3.306122448979592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-0.81639914056383667</v>
      </c>
      <c r="P151" s="1">
        <f>(Main_S[[#This Row],[P/B]]-VLOOKUP(Main_S[[#This Row],[Industry]], Mean_PB_S, 2, FALSE))/(VLOOKUP(Main_S[[#This Row],[Industry]], Mean_PB_S, 3, FALSE))</f>
        <v>-9.713511169664276</v>
      </c>
      <c r="Q151" s="1">
        <f>(Main_S[[#This Row],[ROE]]-VLOOKUP(Main_S[[#This Row],[Industry]], Mean_ROE_S, 2, FALSE))/(VLOOKUP(Main_S[[#This Row],[Industry]], Mean_ROE_S, 3, FALSE))</f>
        <v>14.180473958849607</v>
      </c>
      <c r="R151" s="1">
        <f>(Main_S[[#This Row],[ROA]]-VLOOKUP(Main_S[[#This Row],[Industry]], Mean_ROA_S, 2, FALSE))/(VLOOKUP(Main_S[[#This Row],[Industry]], Mean_ROA_S, 3, FALSE))</f>
        <v>-4.2714004297843973</v>
      </c>
      <c r="S151" s="1">
        <f>(Main_S[[#This Row],[A/E]]-VLOOKUP(Main_S[[#This Row],[Industry]], Mean_AE_S, 2, FALSE))/(VLOOKUP(Main_S[[#This Row],[Industry]], Mean_AE_S, 3, FALSE))</f>
        <v>-1.5678429485913188</v>
      </c>
      <c r="T151" s="1">
        <f>(Main_S[[#This Row],[P/E]]-VLOOKUP(Main_S[[#This Row],[Industry]], Mean_PE_S, 2, FALSE))/(VLOOKUP(Main_S[[#This Row],[Industry]], Mean_PE_S, 3, FALSE))</f>
        <v>-0.28357343224518483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s="67" t="s">
        <v>228</v>
      </c>
      <c r="B152" s="67" t="s">
        <v>524</v>
      </c>
      <c r="C152" s="2">
        <v>916</v>
      </c>
      <c r="D152">
        <f>RTD("tos.rtd", , "LAST", Main_S[[#This Row],[Symbol]])</f>
        <v>3.99</v>
      </c>
      <c r="E152">
        <v>-0.99</v>
      </c>
      <c r="F152">
        <v>2.5</v>
      </c>
      <c r="G152">
        <v>0.3</v>
      </c>
      <c r="H152" s="1">
        <f>IF(ISNUMBER(Main_S[[#This Row],[Free CF]]),IF(Main_S[[#This Row],[Free CF]]&lt;&gt;0,Main_S[[#This Row],[Current Price]]/Main_S[[#This Row],[Free CF]],""),"")</f>
        <v>-4.0303030303030303</v>
      </c>
      <c r="I152" s="1">
        <f>IF(ISNUMBER(Main_S[[#This Row],[BVPS]]),IF(Main_S[[#This Row],[BVPS]]&lt;&gt;0,Main_S[[#This Row],[Current Price]]/Main_S[[#This Row],[BVPS]],""),"")</f>
        <v>1.5960000000000001</v>
      </c>
      <c r="J152">
        <v>12.9</v>
      </c>
      <c r="K152">
        <v>-2.95</v>
      </c>
      <c r="L152">
        <v>11.37</v>
      </c>
      <c r="M152" s="1">
        <f>IF(ISNUMBER(Main_S[[#This Row],[EPS]]),IF(Main_S[[#This Row],[EPS]]&lt;&gt;0,Main_S[[#This Row],[Current Price]]/Main_S[[#This Row],[EPS]],""),"")</f>
        <v>13.3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-0.62164350110204347</v>
      </c>
      <c r="P152" s="1">
        <f>(Main_S[[#This Row],[P/B]]-VLOOKUP(Main_S[[#This Row],[Industry]], Mean_PB_S, 2, FALSE))/(VLOOKUP(Main_S[[#This Row],[Industry]], Mean_PB_S, 3, FALSE))</f>
        <v>1.1878000208581059</v>
      </c>
      <c r="Q152" s="1">
        <f>(Main_S[[#This Row],[ROE]]-VLOOKUP(Main_S[[#This Row],[Industry]], Mean_ROE_S, 2, FALSE))/(VLOOKUP(Main_S[[#This Row],[Industry]], Mean_ROE_S, 3, FALSE))</f>
        <v>0.53786959168268567</v>
      </c>
      <c r="R152" s="1">
        <f>(Main_S[[#This Row],[ROA]]-VLOOKUP(Main_S[[#This Row],[Industry]], Mean_ROA_S, 2, FALSE))/(VLOOKUP(Main_S[[#This Row],[Industry]], Mean_ROA_S, 3, FALSE))</f>
        <v>-1.0835275202853936</v>
      </c>
      <c r="S152" s="1">
        <f>(Main_S[[#This Row],[A/E]]-VLOOKUP(Main_S[[#This Row],[Industry]], Mean_AE_S, 2, FALSE))/(VLOOKUP(Main_S[[#This Row],[Industry]], Mean_AE_S, 3, FALSE))</f>
        <v>1.9140833067676837</v>
      </c>
      <c r="T152" s="1">
        <f>(Main_S[[#This Row],[P/E]]-VLOOKUP(Main_S[[#This Row],[Industry]], Mean_PE_S, 2, FALSE))/(VLOOKUP(Main_S[[#This Row],[Industry]], Mean_PE_S, 3, FALSE))</f>
        <v>1.6698616556621573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7" t="s">
        <v>228</v>
      </c>
      <c r="B153" s="67" t="s">
        <v>384</v>
      </c>
      <c r="C153" s="2">
        <v>1789</v>
      </c>
      <c r="D153">
        <f>RTD("tos.rtd", , "LAST", Main_S[[#This Row],[Symbol]])</f>
        <v>4.97</v>
      </c>
      <c r="E153">
        <v>-3.68</v>
      </c>
      <c r="F153">
        <v>6.9</v>
      </c>
      <c r="G153">
        <v>-0.82</v>
      </c>
      <c r="H153" s="1">
        <f>IF(ISNUMBER(Main_S[[#This Row],[Free CF]]),IF(Main_S[[#This Row],[Free CF]]&lt;&gt;0,Main_S[[#This Row],[Current Price]]/Main_S[[#This Row],[Free CF]],""),"")</f>
        <v>-1.3505434782608694</v>
      </c>
      <c r="I153" s="1">
        <f>IF(ISNUMBER(Main_S[[#This Row],[BVPS]]),IF(Main_S[[#This Row],[BVPS]]&lt;&gt;0,Main_S[[#This Row],[Current Price]]/Main_S[[#This Row],[BVPS]],""),"")</f>
        <v>0.72028985507246368</v>
      </c>
      <c r="J153">
        <v>-11.3</v>
      </c>
      <c r="K153">
        <v>-0.45</v>
      </c>
      <c r="L153">
        <v>6.99</v>
      </c>
      <c r="M153" s="1">
        <f>IF(ISNUMBER(Main_S[[#This Row],[EPS]]),IF(Main_S[[#This Row],[EPS]]&lt;&gt;0,Main_S[[#This Row],[Current Price]]/Main_S[[#This Row],[EPS]],""),"")</f>
        <v>-6.0609756097560981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-0.28621256832846337</v>
      </c>
      <c r="P153" s="1">
        <f>(Main_S[[#This Row],[P/B]]-VLOOKUP(Main_S[[#This Row],[Industry]], Mean_PB_S, 2, FALSE))/(VLOOKUP(Main_S[[#This Row],[Industry]], Mean_PB_S, 3, FALSE))</f>
        <v>-0.53313220141389006</v>
      </c>
      <c r="Q153" s="1">
        <f>(Main_S[[#This Row],[ROE]]-VLOOKUP(Main_S[[#This Row],[Industry]], Mean_ROE_S, 2, FALSE))/(VLOOKUP(Main_S[[#This Row],[Industry]], Mean_ROE_S, 3, FALSE))</f>
        <v>-0.92959874188225133</v>
      </c>
      <c r="R153" s="1">
        <f>(Main_S[[#This Row],[ROA]]-VLOOKUP(Main_S[[#This Row],[Industry]], Mean_ROA_S, 2, FALSE))/(VLOOKUP(Main_S[[#This Row],[Industry]], Mean_ROA_S, 3, FALSE))</f>
        <v>-0.28973446513125911</v>
      </c>
      <c r="S153" s="1">
        <f>(Main_S[[#This Row],[A/E]]-VLOOKUP(Main_S[[#This Row],[Industry]], Mean_AE_S, 2, FALSE))/(VLOOKUP(Main_S[[#This Row],[Industry]], Mean_AE_S, 3, FALSE))</f>
        <v>0.90809142032491152</v>
      </c>
      <c r="T153" s="1">
        <f>(Main_S[[#This Row],[P/E]]-VLOOKUP(Main_S[[#This Row],[Industry]], Mean_PE_S, 2, FALSE))/(VLOOKUP(Main_S[[#This Row],[Industry]], Mean_PE_S, 3, FALSE))</f>
        <v>-0.60763624960830442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s="67" t="s">
        <v>203</v>
      </c>
      <c r="B154" s="67" t="s">
        <v>609</v>
      </c>
      <c r="C154" s="2">
        <v>293</v>
      </c>
      <c r="D154">
        <f>RTD("tos.rtd", , "LAST", Main_S[[#This Row],[Symbol]])</f>
        <v>38.409999999999997</v>
      </c>
      <c r="E154">
        <v>14.87</v>
      </c>
      <c r="F154">
        <v>1.04</v>
      </c>
      <c r="G154">
        <v>12.54</v>
      </c>
      <c r="H154" s="1">
        <f>IF(ISNUMBER(Main_S[[#This Row],[Free CF]]),IF(Main_S[[#This Row],[Free CF]]&lt;&gt;0,Main_S[[#This Row],[Current Price]]/Main_S[[#This Row],[Free CF]],""),"")</f>
        <v>2.5830531271015467</v>
      </c>
      <c r="I154" s="1">
        <f>IF(ISNUMBER(Main_S[[#This Row],[BVPS]]),IF(Main_S[[#This Row],[BVPS]]&lt;&gt;0,Main_S[[#This Row],[Current Price]]/Main_S[[#This Row],[BVPS]],""),"")</f>
        <v>36.932692307692307</v>
      </c>
      <c r="J154">
        <v>-93.8</v>
      </c>
      <c r="K154">
        <v>42.12</v>
      </c>
      <c r="L154">
        <v>24.16</v>
      </c>
      <c r="M154" s="1">
        <f>IF(ISNUMBER(Main_S[[#This Row],[EPS]]),IF(Main_S[[#This Row],[EPS]]&lt;&gt;0,Main_S[[#This Row],[Current Price]]/Main_S[[#This Row],[EPS]],""),"")</f>
        <v>3.0629984051036683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-0.2649506539749602</v>
      </c>
      <c r="P154" s="1">
        <f>(Main_S[[#This Row],[P/B]]-VLOOKUP(Main_S[[#This Row],[Industry]], Mean_PB_S, 2, FALSE))/(VLOOKUP(Main_S[[#This Row],[Industry]], Mean_PB_S, 3, FALSE))</f>
        <v>15.056304524056909</v>
      </c>
      <c r="Q154" s="1">
        <f>(Main_S[[#This Row],[ROE]]-VLOOKUP(Main_S[[#This Row],[Industry]], Mean_ROE_S, 2, FALSE))/(VLOOKUP(Main_S[[#This Row],[Industry]], Mean_ROE_S, 3, FALSE))</f>
        <v>-5.1777802679374334</v>
      </c>
      <c r="R154" s="1">
        <f>(Main_S[[#This Row],[ROA]]-VLOOKUP(Main_S[[#This Row],[Industry]], Mean_ROA_S, 2, FALSE))/(VLOOKUP(Main_S[[#This Row],[Industry]], Mean_ROA_S, 3, FALSE))</f>
        <v>5.8844398228268409</v>
      </c>
      <c r="S154" s="1">
        <f>(Main_S[[#This Row],[A/E]]-VLOOKUP(Main_S[[#This Row],[Industry]], Mean_AE_S, 2, FALSE))/(VLOOKUP(Main_S[[#This Row],[Industry]], Mean_AE_S, 3, FALSE))</f>
        <v>33.922029122894607</v>
      </c>
      <c r="T154" s="1">
        <f>(Main_S[[#This Row],[P/E]]-VLOOKUP(Main_S[[#This Row],[Industry]], Mean_PE_S, 2, FALSE))/(VLOOKUP(Main_S[[#This Row],[Industry]], Mean_PE_S, 3, FALSE))</f>
        <v>-0.46012660931462401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s="67" t="s">
        <v>203</v>
      </c>
      <c r="B155" s="67" t="s">
        <v>371</v>
      </c>
      <c r="C155" s="2">
        <v>1582</v>
      </c>
      <c r="D155">
        <f>RTD("tos.rtd", , "LAST", Main_S[[#This Row],[Symbol]])</f>
        <v>83.82</v>
      </c>
      <c r="E155">
        <v>6.9</v>
      </c>
      <c r="F155">
        <v>52.58</v>
      </c>
      <c r="G155">
        <v>5.82</v>
      </c>
      <c r="H155" s="1">
        <f>IF(ISNUMBER(Main_S[[#This Row],[Free CF]]),IF(Main_S[[#This Row],[Free CF]]&lt;&gt;0,Main_S[[#This Row],[Current Price]]/Main_S[[#This Row],[Free CF]],""),"")</f>
        <v>12.14782608695652</v>
      </c>
      <c r="I155" s="1">
        <f>IF(ISNUMBER(Main_S[[#This Row],[BVPS]]),IF(Main_S[[#This Row],[BVPS]]&lt;&gt;0,Main_S[[#This Row],[Current Price]]/Main_S[[#This Row],[BVPS]],""),"")</f>
        <v>1.5941422594142258</v>
      </c>
      <c r="J155">
        <v>11.64</v>
      </c>
      <c r="K155">
        <v>5.0999999999999996</v>
      </c>
      <c r="L155">
        <v>2.14</v>
      </c>
      <c r="M155" s="1">
        <f>IF(ISNUMBER(Main_S[[#This Row],[EPS]]),IF(Main_S[[#This Row],[EPS]]&lt;&gt;0,Main_S[[#This Row],[Current Price]]/Main_S[[#This Row],[EPS]],""),"")</f>
        <v>14.402061855670102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0.32257022379360084</v>
      </c>
      <c r="P155" s="1">
        <f>(Main_S[[#This Row],[P/B]]-VLOOKUP(Main_S[[#This Row],[Industry]], Mean_PB_S, 2, FALSE))/(VLOOKUP(Main_S[[#This Row],[Industry]], Mean_PB_S, 3, FALSE))</f>
        <v>-0.64384994586824185</v>
      </c>
      <c r="Q155" s="1">
        <f>(Main_S[[#This Row],[ROE]]-VLOOKUP(Main_S[[#This Row],[Industry]], Mean_ROE_S, 2, FALSE))/(VLOOKUP(Main_S[[#This Row],[Industry]], Mean_ROE_S, 3, FALSE))</f>
        <v>3.0820504172900023E-2</v>
      </c>
      <c r="R155" s="1">
        <f>(Main_S[[#This Row],[ROA]]-VLOOKUP(Main_S[[#This Row],[Industry]], Mean_ROA_S, 2, FALSE))/(VLOOKUP(Main_S[[#This Row],[Industry]], Mean_ROA_S, 3, FALSE))</f>
        <v>0.23825817603778313</v>
      </c>
      <c r="S155" s="1">
        <f>(Main_S[[#This Row],[A/E]]-VLOOKUP(Main_S[[#This Row],[Industry]], Mean_AE_S, 2, FALSE))/(VLOOKUP(Main_S[[#This Row],[Industry]], Mean_AE_S, 3, FALSE))</f>
        <v>-0.48365684384756463</v>
      </c>
      <c r="T155" s="1">
        <f>(Main_S[[#This Row],[P/E]]-VLOOKUP(Main_S[[#This Row],[Industry]], Mean_PE_S, 2, FALSE))/(VLOOKUP(Main_S[[#This Row],[Industry]], Mean_PE_S, 3, FALSE))</f>
        <v>1.8215284431689259E-2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s="67" t="s">
        <v>203</v>
      </c>
      <c r="B156" s="67" t="s">
        <v>517</v>
      </c>
      <c r="C156" s="2">
        <v>1914</v>
      </c>
      <c r="D156">
        <f>RTD("tos.rtd", , "LAST", Main_S[[#This Row],[Symbol]])</f>
        <v>64.599999999999994</v>
      </c>
      <c r="E156">
        <v>5.48</v>
      </c>
      <c r="F156">
        <v>10.199999999999999</v>
      </c>
      <c r="G156">
        <v>2.92</v>
      </c>
      <c r="H156" s="1">
        <f>IF(ISNUMBER(Main_S[[#This Row],[Free CF]]),IF(Main_S[[#This Row],[Free CF]]&lt;&gt;0,Main_S[[#This Row],[Current Price]]/Main_S[[#This Row],[Free CF]],""),"")</f>
        <v>11.788321167883209</v>
      </c>
      <c r="I156" s="1">
        <f>IF(ISNUMBER(Main_S[[#This Row],[BVPS]]),IF(Main_S[[#This Row],[BVPS]]&lt;&gt;0,Main_S[[#This Row],[Current Price]]/Main_S[[#This Row],[BVPS]],""),"")</f>
        <v>6.333333333333333</v>
      </c>
      <c r="J156">
        <v>30.24</v>
      </c>
      <c r="K156">
        <v>7.08</v>
      </c>
      <c r="L156">
        <v>5.01</v>
      </c>
      <c r="M156" s="1">
        <f>IF(ISNUMBER(Main_S[[#This Row],[EPS]]),IF(Main_S[[#This Row],[EPS]]&lt;&gt;0,Main_S[[#This Row],[Current Price]]/Main_S[[#This Row],[EPS]],""),"")</f>
        <v>22.123287671232877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0.3004874575321767</v>
      </c>
      <c r="P156" s="1">
        <f>(Main_S[[#This Row],[P/B]]-VLOOKUP(Main_S[[#This Row],[Industry]], Mean_PB_S, 2, FALSE))/(VLOOKUP(Main_S[[#This Row],[Industry]], Mean_PB_S, 3, FALSE))</f>
        <v>1.4616702812313411</v>
      </c>
      <c r="Q156" s="1">
        <f>(Main_S[[#This Row],[ROE]]-VLOOKUP(Main_S[[#This Row],[Industry]], Mean_ROE_S, 2, FALSE))/(VLOOKUP(Main_S[[#This Row],[Industry]], Mean_ROE_S, 3, FALSE))</f>
        <v>0.94963664948067894</v>
      </c>
      <c r="R156" s="1">
        <f>(Main_S[[#This Row],[ROA]]-VLOOKUP(Main_S[[#This Row],[Industry]], Mean_ROA_S, 2, FALSE))/(VLOOKUP(Main_S[[#This Row],[Industry]], Mean_ROA_S, 3, FALSE))</f>
        <v>0.54024195941547992</v>
      </c>
      <c r="S156" s="1">
        <f>(Main_S[[#This Row],[A/E]]-VLOOKUP(Main_S[[#This Row],[Industry]], Mean_AE_S, 2, FALSE))/(VLOOKUP(Main_S[[#This Row],[Industry]], Mean_AE_S, 3, FALSE))</f>
        <v>4.0006446422809558</v>
      </c>
      <c r="T156" s="1">
        <f>(Main_S[[#This Row],[P/E]]-VLOOKUP(Main_S[[#This Row],[Industry]], Mean_PE_S, 2, FALSE))/(VLOOKUP(Main_S[[#This Row],[Industry]], Mean_PE_S, 3, FALSE))</f>
        <v>0.3439375801716183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s="67" t="s">
        <v>203</v>
      </c>
      <c r="B157" s="67" t="s">
        <v>503</v>
      </c>
      <c r="C157" s="2">
        <v>900</v>
      </c>
      <c r="D157">
        <f>RTD("tos.rtd", , "LAST", Main_S[[#This Row],[Symbol]])</f>
        <v>44.3</v>
      </c>
      <c r="E157">
        <v>4.8499999999999996</v>
      </c>
      <c r="F157">
        <v>22.55</v>
      </c>
      <c r="G157">
        <v>0.37</v>
      </c>
      <c r="H157" s="1">
        <f>IF(ISNUMBER(Main_S[[#This Row],[Free CF]]),IF(Main_S[[#This Row],[Free CF]]&lt;&gt;0,Main_S[[#This Row],[Current Price]]/Main_S[[#This Row],[Free CF]],""),"")</f>
        <v>9.1340206185567006</v>
      </c>
      <c r="I157" s="1">
        <f>IF(ISNUMBER(Main_S[[#This Row],[BVPS]]),IF(Main_S[[#This Row],[BVPS]]&lt;&gt;0,Main_S[[#This Row],[Current Price]]/Main_S[[#This Row],[BVPS]],""),"")</f>
        <v>1.9645232815964522</v>
      </c>
      <c r="J157">
        <v>1.71</v>
      </c>
      <c r="K157">
        <v>4.8499999999999996</v>
      </c>
      <c r="L157">
        <v>2.2000000000000002</v>
      </c>
      <c r="M157" s="1">
        <f>IF(ISNUMBER(Main_S[[#This Row],[EPS]]),IF(Main_S[[#This Row],[EPS]]&lt;&gt;0,Main_S[[#This Row],[Current Price]]/Main_S[[#This Row],[EPS]],""),"")</f>
        <v>119.72972972972973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0.13744574236055704</v>
      </c>
      <c r="P157" s="1">
        <f>(Main_S[[#This Row],[P/B]]-VLOOKUP(Main_S[[#This Row],[Industry]], Mean_PB_S, 2, FALSE))/(VLOOKUP(Main_S[[#This Row],[Industry]], Mean_PB_S, 3, FALSE))</f>
        <v>-0.47929765798304402</v>
      </c>
      <c r="Q157" s="1">
        <f>(Main_S[[#This Row],[ROE]]-VLOOKUP(Main_S[[#This Row],[Industry]], Mean_ROE_S, 2, FALSE))/(VLOOKUP(Main_S[[#This Row],[Industry]], Mean_ROE_S, 3, FALSE))</f>
        <v>-0.45970876049947873</v>
      </c>
      <c r="R157" s="1">
        <f>(Main_S[[#This Row],[ROA]]-VLOOKUP(Main_S[[#This Row],[Industry]], Mean_ROA_S, 2, FALSE))/(VLOOKUP(Main_S[[#This Row],[Industry]], Mean_ROA_S, 3, FALSE))</f>
        <v>0.20012891045979112</v>
      </c>
      <c r="S157" s="1">
        <f>(Main_S[[#This Row],[A/E]]-VLOOKUP(Main_S[[#This Row],[Industry]], Mean_AE_S, 2, FALSE))/(VLOOKUP(Main_S[[#This Row],[Industry]], Mean_AE_S, 3, FALSE))</f>
        <v>-0.3899083807229265</v>
      </c>
      <c r="T157" s="1">
        <f>(Main_S[[#This Row],[P/E]]-VLOOKUP(Main_S[[#This Row],[Industry]], Mean_PE_S, 2, FALSE))/(VLOOKUP(Main_S[[#This Row],[Industry]], Mean_PE_S, 3, FALSE))</f>
        <v>4.4614954842830787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8" spans="1:26" x14ac:dyDescent="0.25">
      <c r="A158" s="67" t="s">
        <v>203</v>
      </c>
      <c r="B158" s="67" t="s">
        <v>506</v>
      </c>
      <c r="C158" s="2">
        <v>760</v>
      </c>
      <c r="D158">
        <f>RTD("tos.rtd", , "LAST", Main_S[[#This Row],[Symbol]])</f>
        <v>41.52</v>
      </c>
      <c r="E158">
        <v>3.48</v>
      </c>
      <c r="F158">
        <v>7.71</v>
      </c>
      <c r="G158">
        <v>2.56</v>
      </c>
      <c r="H158" s="1">
        <f>IF(ISNUMBER(Main_S[[#This Row],[Free CF]]),IF(Main_S[[#This Row],[Free CF]]&lt;&gt;0,Main_S[[#This Row],[Current Price]]/Main_S[[#This Row],[Free CF]],""),"")</f>
        <v>11.931034482758621</v>
      </c>
      <c r="I158" s="1">
        <f>IF(ISNUMBER(Main_S[[#This Row],[BVPS]]),IF(Main_S[[#This Row],[BVPS]]&lt;&gt;0,Main_S[[#This Row],[Current Price]]/Main_S[[#This Row],[BVPS]],""),"")</f>
        <v>5.3852140077821016</v>
      </c>
      <c r="J158">
        <v>31.45</v>
      </c>
      <c r="K158">
        <v>11.17</v>
      </c>
      <c r="L158">
        <v>2.67</v>
      </c>
      <c r="M158" s="1">
        <f>IF(ISNUMBER(Main_S[[#This Row],[EPS]]),IF(Main_S[[#This Row],[EPS]]&lt;&gt;0,Main_S[[#This Row],[Current Price]]/Main_S[[#This Row],[EPS]],""),"")</f>
        <v>16.21875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0.30925369300653494</v>
      </c>
      <c r="P158" s="1">
        <f>(Main_S[[#This Row],[P/B]]-VLOOKUP(Main_S[[#This Row],[Industry]], Mean_PB_S, 2, FALSE))/(VLOOKUP(Main_S[[#This Row],[Industry]], Mean_PB_S, 3, FALSE))</f>
        <v>1.0404413443694873</v>
      </c>
      <c r="Q158" s="1">
        <f>(Main_S[[#This Row],[ROE]]-VLOOKUP(Main_S[[#This Row],[Industry]], Mean_ROE_S, 2, FALSE))/(VLOOKUP(Main_S[[#This Row],[Industry]], Mean_ROE_S, 3, FALSE))</f>
        <v>1.0094090976431742</v>
      </c>
      <c r="R158" s="1">
        <f>(Main_S[[#This Row],[ROA]]-VLOOKUP(Main_S[[#This Row],[Industry]], Mean_ROA_S, 2, FALSE))/(VLOOKUP(Main_S[[#This Row],[Industry]], Mean_ROA_S, 3, FALSE))</f>
        <v>1.1640367442714294</v>
      </c>
      <c r="S158" s="1">
        <f>(Main_S[[#This Row],[A/E]]-VLOOKUP(Main_S[[#This Row],[Industry]], Mean_AE_S, 2, FALSE))/(VLOOKUP(Main_S[[#This Row],[Industry]], Mean_AE_S, 3, FALSE))</f>
        <v>0.34445458042007138</v>
      </c>
      <c r="T158" s="1">
        <f>(Main_S[[#This Row],[P/E]]-VLOOKUP(Main_S[[#This Row],[Industry]], Mean_PE_S, 2, FALSE))/(VLOOKUP(Main_S[[#This Row],[Industry]], Mean_PE_S, 3, FALSE))</f>
        <v>9.4852834886689941E-2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s="67" t="s">
        <v>203</v>
      </c>
      <c r="B159" s="67" t="s">
        <v>509</v>
      </c>
      <c r="C159" s="2">
        <v>304</v>
      </c>
      <c r="D159">
        <f>RTD("tos.rtd", , "LAST", Main_S[[#This Row],[Symbol]])</f>
        <v>23</v>
      </c>
      <c r="E159">
        <v>2.86</v>
      </c>
      <c r="F159">
        <v>5.59</v>
      </c>
      <c r="G159">
        <v>1.34</v>
      </c>
      <c r="H159" s="1">
        <f>IF(ISNUMBER(Main_S[[#This Row],[Free CF]]),IF(Main_S[[#This Row],[Free CF]]&lt;&gt;0,Main_S[[#This Row],[Current Price]]/Main_S[[#This Row],[Free CF]],""),"")</f>
        <v>8.0419580419580416</v>
      </c>
      <c r="I159" s="1">
        <f>IF(ISNUMBER(Main_S[[#This Row],[BVPS]]),IF(Main_S[[#This Row],[BVPS]]&lt;&gt;0,Main_S[[#This Row],[Current Price]]/Main_S[[#This Row],[BVPS]],""),"")</f>
        <v>4.1144901610017888</v>
      </c>
      <c r="J159">
        <v>24.81</v>
      </c>
      <c r="K159">
        <v>8.17</v>
      </c>
      <c r="L159">
        <v>3.05</v>
      </c>
      <c r="M159" s="1">
        <f>IF(ISNUMBER(Main_S[[#This Row],[EPS]]),IF(Main_S[[#This Row],[EPS]]&lt;&gt;0,Main_S[[#This Row],[Current Price]]/Main_S[[#This Row],[EPS]],""),"")</f>
        <v>17.164179104477611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7.0365262115559268E-2</v>
      </c>
      <c r="P159" s="1">
        <f>(Main_S[[#This Row],[P/B]]-VLOOKUP(Main_S[[#This Row],[Industry]], Mean_PB_S, 2, FALSE))/(VLOOKUP(Main_S[[#This Row],[Industry]], Mean_PB_S, 3, FALSE))</f>
        <v>0.47588618701830093</v>
      </c>
      <c r="Q159" s="1">
        <f>(Main_S[[#This Row],[ROE]]-VLOOKUP(Main_S[[#This Row],[Industry]], Mean_ROE_S, 2, FALSE))/(VLOOKUP(Main_S[[#This Row],[Industry]], Mean_ROE_S, 3, FALSE))</f>
        <v>0.68140161351179507</v>
      </c>
      <c r="R159" s="1">
        <f>(Main_S[[#This Row],[ROA]]-VLOOKUP(Main_S[[#This Row],[Industry]], Mean_ROA_S, 2, FALSE))/(VLOOKUP(Main_S[[#This Row],[Industry]], Mean_ROA_S, 3, FALSE))</f>
        <v>0.7064855573355252</v>
      </c>
      <c r="S159" s="1">
        <f>(Main_S[[#This Row],[A/E]]-VLOOKUP(Main_S[[#This Row],[Industry]], Mean_AE_S, 2, FALSE))/(VLOOKUP(Main_S[[#This Row],[Industry]], Mean_AE_S, 3, FALSE))</f>
        <v>0.93819484687611232</v>
      </c>
      <c r="T159" s="1">
        <f>(Main_S[[#This Row],[P/E]]-VLOOKUP(Main_S[[#This Row],[Industry]], Mean_PE_S, 2, FALSE))/(VLOOKUP(Main_S[[#This Row],[Industry]], Mean_PE_S, 3, FALSE))</f>
        <v>0.13473605365605934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7" t="s">
        <v>203</v>
      </c>
      <c r="B160" s="67" t="s">
        <v>515</v>
      </c>
      <c r="C160" s="2">
        <v>784</v>
      </c>
      <c r="D160">
        <f>RTD("tos.rtd", , "LAST", Main_S[[#This Row],[Symbol]])</f>
        <v>57.21</v>
      </c>
      <c r="E160">
        <v>2.84</v>
      </c>
      <c r="F160">
        <v>16.940000000000001</v>
      </c>
      <c r="G160">
        <v>1.68</v>
      </c>
      <c r="H160" s="1">
        <f>IF(ISNUMBER(Main_S[[#This Row],[Free CF]]),IF(Main_S[[#This Row],[Free CF]]&lt;&gt;0,Main_S[[#This Row],[Current Price]]/Main_S[[#This Row],[Free CF]],""),"")</f>
        <v>20.1443661971831</v>
      </c>
      <c r="I160" s="1">
        <f>IF(ISNUMBER(Main_S[[#This Row],[BVPS]]),IF(Main_S[[#This Row],[BVPS]]&lt;&gt;0,Main_S[[#This Row],[Current Price]]/Main_S[[#This Row],[BVPS]],""),"")</f>
        <v>3.3772136953955134</v>
      </c>
      <c r="J160">
        <v>10.78</v>
      </c>
      <c r="K160">
        <v>4.74</v>
      </c>
      <c r="L160">
        <v>1.92</v>
      </c>
      <c r="M160" s="1">
        <f>IF(ISNUMBER(Main_S[[#This Row],[EPS]]),IF(Main_S[[#This Row],[EPS]]&lt;&gt;0,Main_S[[#This Row],[Current Price]]/Main_S[[#This Row],[EPS]],""),"")</f>
        <v>34.053571428571431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0.81376162837693145</v>
      </c>
      <c r="P160" s="1">
        <f>(Main_S[[#This Row],[P/B]]-VLOOKUP(Main_S[[#This Row],[Industry]], Mean_PB_S, 2, FALSE))/(VLOOKUP(Main_S[[#This Row],[Industry]], Mean_PB_S, 3, FALSE))</f>
        <v>0.14833017860128311</v>
      </c>
      <c r="Q160" s="1">
        <f>(Main_S[[#This Row],[ROE]]-VLOOKUP(Main_S[[#This Row],[Industry]], Mean_ROE_S, 2, FALSE))/(VLOOKUP(Main_S[[#This Row],[Industry]], Mean_ROE_S, 3, FALSE))</f>
        <v>-1.1662392868212398E-2</v>
      </c>
      <c r="R160" s="1">
        <f>(Main_S[[#This Row],[ROA]]-VLOOKUP(Main_S[[#This Row],[Industry]], Mean_ROA_S, 2, FALSE))/(VLOOKUP(Main_S[[#This Row],[Industry]], Mean_ROA_S, 3, FALSE))</f>
        <v>0.18335203360547472</v>
      </c>
      <c r="S160" s="1">
        <f>(Main_S[[#This Row],[A/E]]-VLOOKUP(Main_S[[#This Row],[Industry]], Mean_AE_S, 2, FALSE))/(VLOOKUP(Main_S[[#This Row],[Industry]], Mean_AE_S, 3, FALSE))</f>
        <v>-0.82740120863790456</v>
      </c>
      <c r="T160" s="1">
        <f>(Main_S[[#This Row],[P/E]]-VLOOKUP(Main_S[[#This Row],[Industry]], Mean_PE_S, 2, FALSE))/(VLOOKUP(Main_S[[#This Row],[Industry]], Mean_PE_S, 3, FALSE))</f>
        <v>0.84722028515825709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s="67" t="s">
        <v>203</v>
      </c>
      <c r="B161" s="67" t="s">
        <v>502</v>
      </c>
      <c r="C161" s="2">
        <v>1164</v>
      </c>
      <c r="D161">
        <f>RTD("tos.rtd", , "LAST", Main_S[[#This Row],[Symbol]])</f>
        <v>32.18</v>
      </c>
      <c r="E161">
        <v>2.4</v>
      </c>
      <c r="F161">
        <v>10.51</v>
      </c>
      <c r="G161">
        <v>0.49</v>
      </c>
      <c r="H161" s="1">
        <f>IF(ISNUMBER(Main_S[[#This Row],[Free CF]]),IF(Main_S[[#This Row],[Free CF]]&lt;&gt;0,Main_S[[#This Row],[Current Price]]/Main_S[[#This Row],[Free CF]],""),"")</f>
        <v>13.408333333333333</v>
      </c>
      <c r="I161" s="1">
        <f>IF(ISNUMBER(Main_S[[#This Row],[BVPS]]),IF(Main_S[[#This Row],[BVPS]]&lt;&gt;0,Main_S[[#This Row],[Current Price]]/Main_S[[#This Row],[BVPS]],""),"")</f>
        <v>3.0618458610846813</v>
      </c>
      <c r="J161">
        <v>4.8499999999999996</v>
      </c>
      <c r="K161">
        <v>-0.68</v>
      </c>
      <c r="L161">
        <v>2.92</v>
      </c>
      <c r="M161" s="1">
        <f>IF(ISNUMBER(Main_S[[#This Row],[EPS]]),IF(Main_S[[#This Row],[EPS]]&lt;&gt;0,Main_S[[#This Row],[Current Price]]/Main_S[[#This Row],[EPS]],""),"")</f>
        <v>65.673469387755105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0.39999750062842554</v>
      </c>
      <c r="P161" s="1">
        <f>(Main_S[[#This Row],[P/B]]-VLOOKUP(Main_S[[#This Row],[Industry]], Mean_PB_S, 2, FALSE))/(VLOOKUP(Main_S[[#This Row],[Industry]], Mean_PB_S, 3, FALSE))</f>
        <v>8.2190617965039181E-3</v>
      </c>
      <c r="Q161" s="1">
        <f>(Main_S[[#This Row],[ROE]]-VLOOKUP(Main_S[[#This Row],[Industry]], Mean_ROE_S, 2, FALSE))/(VLOOKUP(Main_S[[#This Row],[Industry]], Mean_ROE_S, 3, FALSE))</f>
        <v>-0.30459678758192904</v>
      </c>
      <c r="R161" s="1">
        <f>(Main_S[[#This Row],[ROA]]-VLOOKUP(Main_S[[#This Row],[Industry]], Mean_ROA_S, 2, FALSE))/(VLOOKUP(Main_S[[#This Row],[Industry]], Mean_ROA_S, 3, FALSE))</f>
        <v>-0.64329044412539227</v>
      </c>
      <c r="S161" s="1">
        <f>(Main_S[[#This Row],[A/E]]-VLOOKUP(Main_S[[#This Row],[Industry]], Mean_AE_S, 2, FALSE))/(VLOOKUP(Main_S[[#This Row],[Industry]], Mean_AE_S, 3, FALSE))</f>
        <v>0.73507317677272999</v>
      </c>
      <c r="T161" s="1">
        <f>(Main_S[[#This Row],[P/E]]-VLOOKUP(Main_S[[#This Row],[Industry]], Mean_PE_S, 2, FALSE))/(VLOOKUP(Main_S[[#This Row],[Industry]], Mean_PE_S, 3, FALSE))</f>
        <v>2.1811154464121207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s="67" t="s">
        <v>203</v>
      </c>
      <c r="B162" s="67" t="s">
        <v>508</v>
      </c>
      <c r="C162" s="2">
        <v>1294</v>
      </c>
      <c r="D162">
        <f>RTD("tos.rtd", , "LAST", Main_S[[#This Row],[Symbol]])</f>
        <v>188.77</v>
      </c>
      <c r="E162">
        <v>2.35</v>
      </c>
      <c r="F162">
        <v>33.479999999999997</v>
      </c>
      <c r="G162">
        <v>7.4</v>
      </c>
      <c r="H162" s="1">
        <f>IF(ISNUMBER(Main_S[[#This Row],[Free CF]]),IF(Main_S[[#This Row],[Free CF]]&lt;&gt;0,Main_S[[#This Row],[Current Price]]/Main_S[[#This Row],[Free CF]],""),"")</f>
        <v>80.327659574468086</v>
      </c>
      <c r="I162" s="1">
        <f>IF(ISNUMBER(Main_S[[#This Row],[BVPS]]),IF(Main_S[[#This Row],[BVPS]]&lt;&gt;0,Main_S[[#This Row],[Current Price]]/Main_S[[#This Row],[BVPS]],""),"")</f>
        <v>5.6382915173237764</v>
      </c>
      <c r="J162">
        <v>23.21</v>
      </c>
      <c r="K162">
        <v>8.3699999999999992</v>
      </c>
      <c r="L162">
        <v>2.6</v>
      </c>
      <c r="M162" s="1">
        <f>IF(ISNUMBER(Main_S[[#This Row],[EPS]]),IF(Main_S[[#This Row],[EPS]]&lt;&gt;0,Main_S[[#This Row],[Current Price]]/Main_S[[#This Row],[EPS]],""),"")</f>
        <v>25.50945945945946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4.5105499892123602</v>
      </c>
      <c r="P162" s="1">
        <f>(Main_S[[#This Row],[P/B]]-VLOOKUP(Main_S[[#This Row],[Industry]], Mean_PB_S, 2, FALSE))/(VLOOKUP(Main_S[[#This Row],[Industry]], Mean_PB_S, 3, FALSE))</f>
        <v>1.1528782153571202</v>
      </c>
      <c r="Q162" s="1">
        <f>(Main_S[[#This Row],[ROE]]-VLOOKUP(Main_S[[#This Row],[Industry]], Mean_ROE_S, 2, FALSE))/(VLOOKUP(Main_S[[#This Row],[Industry]], Mean_ROE_S, 3, FALSE))</f>
        <v>0.60236366552833032</v>
      </c>
      <c r="R162" s="1">
        <f>(Main_S[[#This Row],[ROA]]-VLOOKUP(Main_S[[#This Row],[Industry]], Mean_ROA_S, 2, FALSE))/(VLOOKUP(Main_S[[#This Row],[Industry]], Mean_ROA_S, 3, FALSE))</f>
        <v>0.73698896979791872</v>
      </c>
      <c r="S162" s="1">
        <f>(Main_S[[#This Row],[A/E]]-VLOOKUP(Main_S[[#This Row],[Industry]], Mean_AE_S, 2, FALSE))/(VLOOKUP(Main_S[[#This Row],[Industry]], Mean_AE_S, 3, FALSE))</f>
        <v>0.23508137344132721</v>
      </c>
      <c r="T162" s="1">
        <f>(Main_S[[#This Row],[P/E]]-VLOOKUP(Main_S[[#This Row],[Industry]], Mean_PE_S, 2, FALSE))/(VLOOKUP(Main_S[[#This Row],[Industry]], Mean_PE_S, 3, FALSE))</f>
        <v>0.48678428288142017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s="67" t="s">
        <v>203</v>
      </c>
      <c r="B163" s="67" t="s">
        <v>504</v>
      </c>
      <c r="C163" s="2">
        <v>413</v>
      </c>
      <c r="D163">
        <f>RTD("tos.rtd", , "LAST", Main_S[[#This Row],[Symbol]])</f>
        <v>12.06</v>
      </c>
      <c r="E163">
        <v>1.88</v>
      </c>
      <c r="F163">
        <v>35.26</v>
      </c>
      <c r="G163">
        <v>-0.56999999999999995</v>
      </c>
      <c r="H163" s="1">
        <f>IF(ISNUMBER(Main_S[[#This Row],[Free CF]]),IF(Main_S[[#This Row],[Free CF]]&lt;&gt;0,Main_S[[#This Row],[Current Price]]/Main_S[[#This Row],[Free CF]],""),"")</f>
        <v>6.4148936170212769</v>
      </c>
      <c r="I163" s="1">
        <f>IF(ISNUMBER(Main_S[[#This Row],[BVPS]]),IF(Main_S[[#This Row],[BVPS]]&lt;&gt;0,Main_S[[#This Row],[Current Price]]/Main_S[[#This Row],[BVPS]],""),"")</f>
        <v>0.34203062960862168</v>
      </c>
      <c r="J163">
        <v>-1.64</v>
      </c>
      <c r="K163">
        <v>1.86</v>
      </c>
      <c r="L163">
        <v>2.09</v>
      </c>
      <c r="M163" s="1">
        <f>IF(ISNUMBER(Main_S[[#This Row],[EPS]]),IF(Main_S[[#This Row],[EPS]]&lt;&gt;0,Main_S[[#This Row],[Current Price]]/Main_S[[#This Row],[EPS]],""),"")</f>
        <v>-21.157894736842106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-2.9577969484089847E-2</v>
      </c>
      <c r="P163" s="1">
        <f>(Main_S[[#This Row],[P/B]]-VLOOKUP(Main_S[[#This Row],[Industry]], Mean_PB_S, 2, FALSE))/(VLOOKUP(Main_S[[#This Row],[Industry]], Mean_PB_S, 3, FALSE))</f>
        <v>-1.2001360972434765</v>
      </c>
      <c r="Q163" s="1">
        <f>(Main_S[[#This Row],[ROE]]-VLOOKUP(Main_S[[#This Row],[Industry]], Mean_ROE_S, 2, FALSE))/(VLOOKUP(Main_S[[#This Row],[Industry]], Mean_ROE_S, 3, FALSE))</f>
        <v>-0.62519446408985835</v>
      </c>
      <c r="R163" s="1">
        <f>(Main_S[[#This Row],[ROA]]-VLOOKUP(Main_S[[#This Row],[Industry]], Mean_ROA_S, 2, FALSE))/(VLOOKUP(Main_S[[#This Row],[Industry]], Mean_ROA_S, 3, FALSE))</f>
        <v>-0.2558971058529933</v>
      </c>
      <c r="S163" s="1">
        <f>(Main_S[[#This Row],[A/E]]-VLOOKUP(Main_S[[#This Row],[Industry]], Mean_AE_S, 2, FALSE))/(VLOOKUP(Main_S[[#This Row],[Industry]], Mean_AE_S, 3, FALSE))</f>
        <v>-0.56178056311809677</v>
      </c>
      <c r="T163" s="1">
        <f>(Main_S[[#This Row],[P/E]]-VLOOKUP(Main_S[[#This Row],[Industry]], Mean_PE_S, 2, FALSE))/(VLOOKUP(Main_S[[#This Row],[Industry]], Mean_PE_S, 3, FALSE))</f>
        <v>-1.4818924671612586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s="67" t="s">
        <v>203</v>
      </c>
      <c r="B164" s="67" t="s">
        <v>505</v>
      </c>
      <c r="C164" s="2">
        <v>403</v>
      </c>
      <c r="D164">
        <f>RTD("tos.rtd", , "LAST", Main_S[[#This Row],[Symbol]])</f>
        <v>11.440099999999999</v>
      </c>
      <c r="E164">
        <v>1.88</v>
      </c>
      <c r="F164">
        <v>35.26</v>
      </c>
      <c r="G164">
        <v>-0.56999999999999995</v>
      </c>
      <c r="H164" s="1">
        <f>IF(ISNUMBER(Main_S[[#This Row],[Free CF]]),IF(Main_S[[#This Row],[Free CF]]&lt;&gt;0,Main_S[[#This Row],[Current Price]]/Main_S[[#This Row],[Free CF]],""),"")</f>
        <v>6.0851595744680846</v>
      </c>
      <c r="I164" s="1">
        <f>IF(ISNUMBER(Main_S[[#This Row],[BVPS]]),IF(Main_S[[#This Row],[BVPS]]&lt;&gt;0,Main_S[[#This Row],[Current Price]]/Main_S[[#This Row],[BVPS]],""),"")</f>
        <v>0.32444980147475894</v>
      </c>
      <c r="J164">
        <v>-1.64</v>
      </c>
      <c r="K164">
        <v>1.86</v>
      </c>
      <c r="L164">
        <v>2.09</v>
      </c>
      <c r="M164" s="1">
        <f>IF(ISNUMBER(Main_S[[#This Row],[EPS]]),IF(Main_S[[#This Row],[EPS]]&lt;&gt;0,Main_S[[#This Row],[Current Price]]/Main_S[[#This Row],[EPS]],""),"")</f>
        <v>-20.070350877192983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-4.9832045030276668E-2</v>
      </c>
      <c r="P164" s="1">
        <f>(Main_S[[#This Row],[P/B]]-VLOOKUP(Main_S[[#This Row],[Industry]], Mean_PB_S, 2, FALSE))/(VLOOKUP(Main_S[[#This Row],[Industry]], Mean_PB_S, 3, FALSE))</f>
        <v>-1.2079468794355517</v>
      </c>
      <c r="Q164" s="1">
        <f>(Main_S[[#This Row],[ROE]]-VLOOKUP(Main_S[[#This Row],[Industry]], Mean_ROE_S, 2, FALSE))/(VLOOKUP(Main_S[[#This Row],[Industry]], Mean_ROE_S, 3, FALSE))</f>
        <v>-0.62519446408985835</v>
      </c>
      <c r="R164" s="1">
        <f>(Main_S[[#This Row],[ROA]]-VLOOKUP(Main_S[[#This Row],[Industry]], Mean_ROA_S, 2, FALSE))/(VLOOKUP(Main_S[[#This Row],[Industry]], Mean_ROA_S, 3, FALSE))</f>
        <v>-0.2558971058529933</v>
      </c>
      <c r="S164" s="1">
        <f>(Main_S[[#This Row],[A/E]]-VLOOKUP(Main_S[[#This Row],[Industry]], Mean_AE_S, 2, FALSE))/(VLOOKUP(Main_S[[#This Row],[Industry]], Mean_AE_S, 3, FALSE))</f>
        <v>-0.56178056311809677</v>
      </c>
      <c r="T164" s="1">
        <f>(Main_S[[#This Row],[P/E]]-VLOOKUP(Main_S[[#This Row],[Industry]], Mean_PE_S, 2, FALSE))/(VLOOKUP(Main_S[[#This Row],[Industry]], Mean_PE_S, 3, FALSE))</f>
        <v>-1.436014093552656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s="67" t="s">
        <v>203</v>
      </c>
      <c r="B165" s="67" t="s">
        <v>519</v>
      </c>
      <c r="C165" s="2">
        <v>793</v>
      </c>
      <c r="D165">
        <f>RTD("tos.rtd", , "LAST", Main_S[[#This Row],[Symbol]])</f>
        <v>2.84</v>
      </c>
      <c r="E165">
        <v>1.27</v>
      </c>
      <c r="F165">
        <v>7.05</v>
      </c>
      <c r="G165">
        <v>-0.51</v>
      </c>
      <c r="H165" s="1">
        <f>IF(ISNUMBER(Main_S[[#This Row],[Free CF]]),IF(Main_S[[#This Row],[Free CF]]&lt;&gt;0,Main_S[[#This Row],[Current Price]]/Main_S[[#This Row],[Free CF]],""),"")</f>
        <v>2.2362204724409449</v>
      </c>
      <c r="I165" s="1">
        <f>IF(ISNUMBER(Main_S[[#This Row],[BVPS]]),IF(Main_S[[#This Row],[BVPS]]&lt;&gt;0,Main_S[[#This Row],[Current Price]]/Main_S[[#This Row],[BVPS]],""),"")</f>
        <v>0.40283687943262408</v>
      </c>
      <c r="J165">
        <v>-5.7</v>
      </c>
      <c r="K165">
        <v>0.82</v>
      </c>
      <c r="L165">
        <v>2.31</v>
      </c>
      <c r="M165" s="1">
        <f>IF(ISNUMBER(Main_S[[#This Row],[EPS]]),IF(Main_S[[#This Row],[EPS]]&lt;&gt;0,Main_S[[#This Row],[Current Price]]/Main_S[[#This Row],[EPS]],""),"")</f>
        <v>-5.5686274509803919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-0.28625502016956417</v>
      </c>
      <c r="P165" s="1">
        <f>(Main_S[[#This Row],[P/B]]-VLOOKUP(Main_S[[#This Row],[Industry]], Mean_PB_S, 2, FALSE))/(VLOOKUP(Main_S[[#This Row],[Industry]], Mean_PB_S, 3, FALSE))</f>
        <v>-1.1731211938682822</v>
      </c>
      <c r="Q165" s="1">
        <f>(Main_S[[#This Row],[ROE]]-VLOOKUP(Main_S[[#This Row],[Industry]], Mean_ROE_S, 2, FALSE))/(VLOOKUP(Main_S[[#This Row],[Industry]], Mean_ROE_S, 3, FALSE))</f>
        <v>-0.82575325709790037</v>
      </c>
      <c r="R165" s="1">
        <f>(Main_S[[#This Row],[ROA]]-VLOOKUP(Main_S[[#This Row],[Industry]], Mean_ROA_S, 2, FALSE))/(VLOOKUP(Main_S[[#This Row],[Industry]], Mean_ROA_S, 3, FALSE))</f>
        <v>-0.41451485065744015</v>
      </c>
      <c r="S165" s="1">
        <f>(Main_S[[#This Row],[A/E]]-VLOOKUP(Main_S[[#This Row],[Industry]], Mean_AE_S, 2, FALSE))/(VLOOKUP(Main_S[[#This Row],[Industry]], Mean_AE_S, 3, FALSE))</f>
        <v>-0.21803619832775689</v>
      </c>
      <c r="T165" s="1">
        <f>(Main_S[[#This Row],[P/E]]-VLOOKUP(Main_S[[#This Row],[Industry]], Mean_PE_S, 2, FALSE))/(VLOOKUP(Main_S[[#This Row],[Industry]], Mean_PE_S, 3, FALSE))</f>
        <v>-0.82425441194215388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s="67" t="s">
        <v>203</v>
      </c>
      <c r="B166" s="67" t="s">
        <v>566</v>
      </c>
      <c r="C166" s="2">
        <v>385</v>
      </c>
      <c r="D166">
        <f>RTD("tos.rtd", , "LAST", Main_S[[#This Row],[Symbol]])</f>
        <v>29.43</v>
      </c>
      <c r="E166">
        <v>1.26</v>
      </c>
      <c r="F166">
        <v>9.2899999999999991</v>
      </c>
      <c r="G166">
        <v>2.25</v>
      </c>
      <c r="H166" s="1">
        <f>IF(ISNUMBER(Main_S[[#This Row],[Free CF]]),IF(Main_S[[#This Row],[Free CF]]&lt;&gt;0,Main_S[[#This Row],[Current Price]]/Main_S[[#This Row],[Free CF]],""),"")</f>
        <v>23.357142857142858</v>
      </c>
      <c r="I166" s="1">
        <f>IF(ISNUMBER(Main_S[[#This Row],[BVPS]]),IF(Main_S[[#This Row],[BVPS]]&lt;&gt;0,Main_S[[#This Row],[Current Price]]/Main_S[[#This Row],[BVPS]],""),"")</f>
        <v>3.1679224973089344</v>
      </c>
      <c r="J166">
        <v>26.18</v>
      </c>
      <c r="K166">
        <v>10.85</v>
      </c>
      <c r="L166">
        <v>2.21</v>
      </c>
      <c r="M166" s="1">
        <f>IF(ISNUMBER(Main_S[[#This Row],[EPS]]),IF(Main_S[[#This Row],[EPS]]&lt;&gt;0,Main_S[[#This Row],[Current Price]]/Main_S[[#This Row],[EPS]],""),"")</f>
        <v>13.08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1.0111080129964491</v>
      </c>
      <c r="P166" s="1">
        <f>(Main_S[[#This Row],[P/B]]-VLOOKUP(Main_S[[#This Row],[Industry]], Mean_PB_S, 2, FALSE))/(VLOOKUP(Main_S[[#This Row],[Industry]], Mean_PB_S, 3, FALSE))</f>
        <v>5.5346620004059224E-2</v>
      </c>
      <c r="Q166" s="1">
        <f>(Main_S[[#This Row],[ROE]]-VLOOKUP(Main_S[[#This Row],[Industry]], Mean_ROE_S, 2, FALSE))/(VLOOKUP(Main_S[[#This Row],[Industry]], Mean_ROE_S, 3, FALSE))</f>
        <v>0.74907785647263692</v>
      </c>
      <c r="R166" s="1">
        <f>(Main_S[[#This Row],[ROA]]-VLOOKUP(Main_S[[#This Row],[Industry]], Mean_ROA_S, 2, FALSE))/(VLOOKUP(Main_S[[#This Row],[Industry]], Mean_ROA_S, 3, FALSE))</f>
        <v>1.1152312843315995</v>
      </c>
      <c r="S166" s="1">
        <f>(Main_S[[#This Row],[A/E]]-VLOOKUP(Main_S[[#This Row],[Industry]], Mean_AE_S, 2, FALSE))/(VLOOKUP(Main_S[[#This Row],[Industry]], Mean_AE_S, 3, FALSE))</f>
        <v>-0.37428363686882049</v>
      </c>
      <c r="T166" s="1">
        <f>(Main_S[[#This Row],[P/E]]-VLOOKUP(Main_S[[#This Row],[Industry]], Mean_PE_S, 2, FALSE))/(VLOOKUP(Main_S[[#This Row],[Industry]], Mean_PE_S, 3, FALSE))</f>
        <v>-3.7556303270239559E-2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7" spans="1:26" x14ac:dyDescent="0.25">
      <c r="A167" s="67" t="s">
        <v>203</v>
      </c>
      <c r="B167" s="67" t="s">
        <v>510</v>
      </c>
      <c r="C167" s="2">
        <v>1253</v>
      </c>
      <c r="D167">
        <f>RTD("tos.rtd", , "LAST", Main_S[[#This Row],[Symbol]])</f>
        <v>48.67</v>
      </c>
      <c r="E167">
        <v>1.02</v>
      </c>
      <c r="F167">
        <v>2.38</v>
      </c>
      <c r="G167">
        <v>1.08</v>
      </c>
      <c r="H167" s="1">
        <f>IF(ISNUMBER(Main_S[[#This Row],[Free CF]]),IF(Main_S[[#This Row],[Free CF]]&lt;&gt;0,Main_S[[#This Row],[Current Price]]/Main_S[[#This Row],[Free CF]],""),"")</f>
        <v>47.715686274509807</v>
      </c>
      <c r="I167" s="1">
        <f>IF(ISNUMBER(Main_S[[#This Row],[BVPS]]),IF(Main_S[[#This Row],[BVPS]]&lt;&gt;0,Main_S[[#This Row],[Current Price]]/Main_S[[#This Row],[BVPS]],""),"")</f>
        <v>20.449579831932773</v>
      </c>
      <c r="J167">
        <v>69.38</v>
      </c>
      <c r="K167">
        <v>20.71</v>
      </c>
      <c r="L167">
        <v>1.66</v>
      </c>
      <c r="M167" s="1">
        <f>IF(ISNUMBER(Main_S[[#This Row],[EPS]]),IF(Main_S[[#This Row],[EPS]]&lt;&gt;0,Main_S[[#This Row],[Current Price]]/Main_S[[#This Row],[EPS]],""),"")</f>
        <v>45.064814814814817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2.5073435085802385</v>
      </c>
      <c r="P167" s="1">
        <f>(Main_S[[#This Row],[P/B]]-VLOOKUP(Main_S[[#This Row],[Industry]], Mean_PB_S, 2, FALSE))/(VLOOKUP(Main_S[[#This Row],[Industry]], Mean_PB_S, 3, FALSE))</f>
        <v>7.7332136880992852</v>
      </c>
      <c r="Q167" s="1">
        <f>(Main_S[[#This Row],[ROE]]-VLOOKUP(Main_S[[#This Row],[Industry]], Mean_ROE_S, 2, FALSE))/(VLOOKUP(Main_S[[#This Row],[Industry]], Mean_ROE_S, 3, FALSE))</f>
        <v>2.8831024520261881</v>
      </c>
      <c r="R167" s="1">
        <f>(Main_S[[#This Row],[ROA]]-VLOOKUP(Main_S[[#This Row],[Industry]], Mean_ROA_S, 2, FALSE))/(VLOOKUP(Main_S[[#This Row],[Industry]], Mean_ROA_S, 3, FALSE))</f>
        <v>2.6190495187276048</v>
      </c>
      <c r="S167" s="1">
        <f>(Main_S[[#This Row],[A/E]]-VLOOKUP(Main_S[[#This Row],[Industry]], Mean_AE_S, 2, FALSE))/(VLOOKUP(Main_S[[#This Row],[Industry]], Mean_AE_S, 3, FALSE))</f>
        <v>-1.2336445488446695</v>
      </c>
      <c r="T167" s="1">
        <f>(Main_S[[#This Row],[P/E]]-VLOOKUP(Main_S[[#This Row],[Industry]], Mean_PE_S, 2, FALSE))/(VLOOKUP(Main_S[[#This Row],[Industry]], Mean_PE_S, 3, FALSE))</f>
        <v>1.3117329882434587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8" spans="1:26" x14ac:dyDescent="0.25">
      <c r="A168" s="67" t="s">
        <v>203</v>
      </c>
      <c r="B168" s="67" t="s">
        <v>512</v>
      </c>
      <c r="C168" s="2">
        <v>1452</v>
      </c>
      <c r="D168">
        <f>RTD("tos.rtd", , "LAST", Main_S[[#This Row],[Symbol]])</f>
        <v>22.53</v>
      </c>
      <c r="E168">
        <v>0.84</v>
      </c>
      <c r="F168">
        <v>12.84</v>
      </c>
      <c r="G168">
        <v>0.45</v>
      </c>
      <c r="H168" s="1">
        <f>IF(ISNUMBER(Main_S[[#This Row],[Free CF]]),IF(Main_S[[#This Row],[Free CF]]&lt;&gt;0,Main_S[[#This Row],[Current Price]]/Main_S[[#This Row],[Free CF]],""),"")</f>
        <v>26.821428571428573</v>
      </c>
      <c r="I168" s="1">
        <f>IF(ISNUMBER(Main_S[[#This Row],[BVPS]]),IF(Main_S[[#This Row],[BVPS]]&lt;&gt;0,Main_S[[#This Row],[Current Price]]/Main_S[[#This Row],[BVPS]],""),"")</f>
        <v>1.7546728971962617</v>
      </c>
      <c r="J168">
        <v>3.48</v>
      </c>
      <c r="K168">
        <v>2.52</v>
      </c>
      <c r="L168">
        <v>1.56</v>
      </c>
      <c r="M168" s="1">
        <f>IF(ISNUMBER(Main_S[[#This Row],[EPS]]),IF(Main_S[[#This Row],[EPS]]&lt;&gt;0,Main_S[[#This Row],[Current Price]]/Main_S[[#This Row],[EPS]],""),"")</f>
        <v>50.06666666666667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>
        <f>(Main_S[[#This Row],[P/FCF]]-VLOOKUP(Main_S[[#This Row],[Industry]], Mean_PFCF_S, 2, FALSE))/(VLOOKUP(Main_S[[#This Row],[Industry]], Mean_PFCF_S, 3, FALSE))</f>
        <v>1.2239034648321496</v>
      </c>
      <c r="P168" s="1">
        <f>(Main_S[[#This Row],[P/B]]-VLOOKUP(Main_S[[#This Row],[Industry]], Mean_PB_S, 2, FALSE))/(VLOOKUP(Main_S[[#This Row],[Industry]], Mean_PB_S, 3, FALSE))</f>
        <v>-0.57252965098092023</v>
      </c>
      <c r="Q168" s="1">
        <f>(Main_S[[#This Row],[ROE]]-VLOOKUP(Main_S[[#This Row],[Industry]], Mean_ROE_S, 2, FALSE))/(VLOOKUP(Main_S[[#This Row],[Industry]], Mean_ROE_S, 3, FALSE))</f>
        <v>-0.37227303054277078</v>
      </c>
      <c r="R168" s="1">
        <f>(Main_S[[#This Row],[ROA]]-VLOOKUP(Main_S[[#This Row],[Industry]], Mean_ROA_S, 2, FALSE))/(VLOOKUP(Main_S[[#This Row],[Industry]], Mean_ROA_S, 3, FALSE))</f>
        <v>-0.1552358447270944</v>
      </c>
      <c r="S168" s="1">
        <f>(Main_S[[#This Row],[A/E]]-VLOOKUP(Main_S[[#This Row],[Industry]], Mean_AE_S, 2, FALSE))/(VLOOKUP(Main_S[[#This Row],[Industry]], Mean_AE_S, 3, FALSE))</f>
        <v>-1.3898919873857327</v>
      </c>
      <c r="T168" s="1">
        <f>(Main_S[[#This Row],[P/E]]-VLOOKUP(Main_S[[#This Row],[Industry]], Mean_PE_S, 2, FALSE))/(VLOOKUP(Main_S[[#This Row],[Industry]], Mean_PE_S, 3, FALSE))</f>
        <v>1.5227376534421353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9" spans="1:26" x14ac:dyDescent="0.25">
      <c r="A169" s="67" t="s">
        <v>203</v>
      </c>
      <c r="B169" s="67" t="s">
        <v>518</v>
      </c>
      <c r="C169" s="2">
        <v>1474</v>
      </c>
      <c r="D169">
        <f>RTD("tos.rtd", , "LAST", Main_S[[#This Row],[Symbol]])</f>
        <v>16.68</v>
      </c>
      <c r="E169">
        <v>0.83</v>
      </c>
      <c r="F169">
        <v>5.78</v>
      </c>
      <c r="G169">
        <v>0.6</v>
      </c>
      <c r="H169" s="1">
        <f>IF(ISNUMBER(Main_S[[#This Row],[Free CF]]),IF(Main_S[[#This Row],[Free CF]]&lt;&gt;0,Main_S[[#This Row],[Current Price]]/Main_S[[#This Row],[Free CF]],""),"")</f>
        <v>20.096385542168676</v>
      </c>
      <c r="I169" s="1">
        <f>IF(ISNUMBER(Main_S[[#This Row],[BVPS]]),IF(Main_S[[#This Row],[BVPS]]&lt;&gt;0,Main_S[[#This Row],[Current Price]]/Main_S[[#This Row],[BVPS]],""),"")</f>
        <v>2.8858131487889271</v>
      </c>
      <c r="J169">
        <v>11.35</v>
      </c>
      <c r="K169">
        <v>7.95</v>
      </c>
      <c r="L169">
        <v>1.89</v>
      </c>
      <c r="M169" s="1">
        <f>IF(ISNUMBER(Main_S[[#This Row],[EPS]]),IF(Main_S[[#This Row],[EPS]]&lt;&gt;0,Main_S[[#This Row],[Current Price]]/Main_S[[#This Row],[EPS]],""),"")</f>
        <v>27.8</v>
      </c>
      <c r="N1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9" s="1">
        <f>(Main_S[[#This Row],[P/FCF]]-VLOOKUP(Main_S[[#This Row],[Industry]], Mean_PFCF_S, 2, FALSE))/(VLOOKUP(Main_S[[#This Row],[Industry]], Mean_PFCF_S, 3, FALSE))</f>
        <v>0.81081439307209968</v>
      </c>
      <c r="P169" s="1">
        <f>(Main_S[[#This Row],[P/B]]-VLOOKUP(Main_S[[#This Row],[Industry]], Mean_PB_S, 2, FALSE))/(VLOOKUP(Main_S[[#This Row],[Industry]], Mean_PB_S, 3, FALSE))</f>
        <v>-6.9988469950767046E-2</v>
      </c>
      <c r="Q169" s="1">
        <f>(Main_S[[#This Row],[ROE]]-VLOOKUP(Main_S[[#This Row],[Industry]], Mean_ROE_S, 2, FALSE))/(VLOOKUP(Main_S[[#This Row],[Industry]], Mean_ROE_S, 3, FALSE))</f>
        <v>1.6494876100896973E-2</v>
      </c>
      <c r="R169" s="1">
        <f>(Main_S[[#This Row],[ROA]]-VLOOKUP(Main_S[[#This Row],[Industry]], Mean_ROA_S, 2, FALSE))/(VLOOKUP(Main_S[[#This Row],[Industry]], Mean_ROA_S, 3, FALSE))</f>
        <v>0.67293180362689209</v>
      </c>
      <c r="S169" s="1">
        <f>(Main_S[[#This Row],[A/E]]-VLOOKUP(Main_S[[#This Row],[Industry]], Mean_AE_S, 2, FALSE))/(VLOOKUP(Main_S[[#This Row],[Industry]], Mean_AE_S, 3, FALSE))</f>
        <v>-0.87427544020022363</v>
      </c>
      <c r="T169" s="1">
        <f>(Main_S[[#This Row],[P/E]]-VLOOKUP(Main_S[[#This Row],[Industry]], Mean_PE_S, 2, FALSE))/(VLOOKUP(Main_S[[#This Row],[Industry]], Mean_PE_S, 3, FALSE))</f>
        <v>0.58341144302048209</v>
      </c>
      <c r="U1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0" spans="1:26" x14ac:dyDescent="0.25">
      <c r="A170" s="67" t="s">
        <v>203</v>
      </c>
      <c r="B170" s="67" t="s">
        <v>511</v>
      </c>
      <c r="C170" s="2">
        <v>1654</v>
      </c>
      <c r="D170">
        <f>RTD("tos.rtd", , "LAST", Main_S[[#This Row],[Symbol]])</f>
        <v>9.35</v>
      </c>
      <c r="E170">
        <v>0.66</v>
      </c>
      <c r="F170">
        <v>1.03</v>
      </c>
      <c r="G170">
        <v>0.17</v>
      </c>
      <c r="H170" s="1">
        <f>IF(ISNUMBER(Main_S[[#This Row],[Free CF]]),IF(Main_S[[#This Row],[Free CF]]&lt;&gt;0,Main_S[[#This Row],[Current Price]]/Main_S[[#This Row],[Free CF]],""),"")</f>
        <v>14.166666666666666</v>
      </c>
      <c r="I170" s="1">
        <f>IF(ISNUMBER(Main_S[[#This Row],[BVPS]]),IF(Main_S[[#This Row],[BVPS]]&lt;&gt;0,Main_S[[#This Row],[Current Price]]/Main_S[[#This Row],[BVPS]],""),"")</f>
        <v>9.0776699029126213</v>
      </c>
      <c r="J170">
        <v>17.09</v>
      </c>
      <c r="K170">
        <v>3.98</v>
      </c>
      <c r="L170">
        <v>2.85</v>
      </c>
      <c r="M170" s="1">
        <f>IF(ISNUMBER(Main_S[[#This Row],[EPS]]),IF(Main_S[[#This Row],[EPS]]&lt;&gt;0,Main_S[[#This Row],[Current Price]]/Main_S[[#This Row],[EPS]],""),"")</f>
        <v>54.999999999999993</v>
      </c>
      <c r="N1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0" s="1">
        <f>(Main_S[[#This Row],[P/FCF]]-VLOOKUP(Main_S[[#This Row],[Industry]], Mean_PFCF_S, 2, FALSE))/(VLOOKUP(Main_S[[#This Row],[Industry]], Mean_PFCF_S, 3, FALSE))</f>
        <v>0.44657849816084516</v>
      </c>
      <c r="P170" s="1">
        <f>(Main_S[[#This Row],[P/B]]-VLOOKUP(Main_S[[#This Row],[Industry]], Mean_PB_S, 2, FALSE))/(VLOOKUP(Main_S[[#This Row],[Industry]], Mean_PB_S, 3, FALSE))</f>
        <v>2.6809197411270156</v>
      </c>
      <c r="Q170" s="1">
        <f>(Main_S[[#This Row],[ROE]]-VLOOKUP(Main_S[[#This Row],[Industry]], Mean_ROE_S, 2, FALSE))/(VLOOKUP(Main_S[[#This Row],[Industry]], Mean_ROE_S, 3, FALSE))</f>
        <v>0.30004351449157718</v>
      </c>
      <c r="R170" s="1">
        <f>(Main_S[[#This Row],[ROA]]-VLOOKUP(Main_S[[#This Row],[Industry]], Mean_ROA_S, 2, FALSE))/(VLOOKUP(Main_S[[#This Row],[Industry]], Mean_ROA_S, 3, FALSE))</f>
        <v>6.7439066248378962E-2</v>
      </c>
      <c r="S170" s="1">
        <f>(Main_S[[#This Row],[A/E]]-VLOOKUP(Main_S[[#This Row],[Industry]], Mean_AE_S, 2, FALSE))/(VLOOKUP(Main_S[[#This Row],[Industry]], Mean_AE_S, 3, FALSE))</f>
        <v>0.6256999697939859</v>
      </c>
      <c r="T170" s="1">
        <f>(Main_S[[#This Row],[P/E]]-VLOOKUP(Main_S[[#This Row],[Industry]], Mean_PE_S, 2, FALSE))/(VLOOKUP(Main_S[[#This Row],[Industry]], Mean_PE_S, 3, FALSE))</f>
        <v>1.7308518437750759</v>
      </c>
      <c r="U1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1" spans="1:26" x14ac:dyDescent="0.25">
      <c r="A171" s="67" t="s">
        <v>203</v>
      </c>
      <c r="B171" s="67" t="s">
        <v>565</v>
      </c>
      <c r="C171" s="2">
        <v>1276</v>
      </c>
      <c r="D171">
        <f>RTD("tos.rtd", , "LAST", Main_S[[#This Row],[Symbol]])</f>
        <v>11.1</v>
      </c>
      <c r="E171">
        <v>0.1</v>
      </c>
      <c r="F171">
        <v>9.2899999999999991</v>
      </c>
      <c r="G171">
        <v>-1.74</v>
      </c>
      <c r="H171" s="1">
        <f>IF(ISNUMBER(Main_S[[#This Row],[Free CF]]),IF(Main_S[[#This Row],[Free CF]]&lt;&gt;0,Main_S[[#This Row],[Current Price]]/Main_S[[#This Row],[Free CF]],""),"")</f>
        <v>110.99999999999999</v>
      </c>
      <c r="I171" s="1">
        <f>IF(ISNUMBER(Main_S[[#This Row],[BVPS]]),IF(Main_S[[#This Row],[BVPS]]&lt;&gt;0,Main_S[[#This Row],[Current Price]]/Main_S[[#This Row],[BVPS]],""),"")</f>
        <v>1.1948331539289558</v>
      </c>
      <c r="J171">
        <v>-19.28</v>
      </c>
      <c r="K171">
        <v>-1.04</v>
      </c>
      <c r="L171">
        <v>1.93</v>
      </c>
      <c r="M171" s="1">
        <f>IF(ISNUMBER(Main_S[[#This Row],[EPS]]),IF(Main_S[[#This Row],[EPS]]&lt;&gt;0,Main_S[[#This Row],[Current Price]]/Main_S[[#This Row],[EPS]],""),"")</f>
        <v>-6.3793103448275863</v>
      </c>
      <c r="N1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1" s="1">
        <f>(Main_S[[#This Row],[P/FCF]]-VLOOKUP(Main_S[[#This Row],[Industry]], Mean_PFCF_S, 2, FALSE))/(VLOOKUP(Main_S[[#This Row],[Industry]], Mean_PFCF_S, 3, FALSE))</f>
        <v>6.3946135676851998</v>
      </c>
      <c r="P171" s="1">
        <f>(Main_S[[#This Row],[P/B]]-VLOOKUP(Main_S[[#This Row],[Industry]], Mean_PB_S, 2, FALSE))/(VLOOKUP(Main_S[[#This Row],[Industry]], Mean_PB_S, 3, FALSE))</f>
        <v>-0.82125435631523624</v>
      </c>
      <c r="Q171" s="1">
        <f>(Main_S[[#This Row],[ROE]]-VLOOKUP(Main_S[[#This Row],[Industry]], Mean_ROE_S, 2, FALSE))/(VLOOKUP(Main_S[[#This Row],[Industry]], Mean_ROE_S, 3, FALSE))</f>
        <v>-1.4965878406075586</v>
      </c>
      <c r="R171" s="1">
        <f>(Main_S[[#This Row],[ROA]]-VLOOKUP(Main_S[[#This Row],[Industry]], Mean_ROA_S, 2, FALSE))/(VLOOKUP(Main_S[[#This Row],[Industry]], Mean_ROA_S, 3, FALSE))</f>
        <v>-0.69819658655770078</v>
      </c>
      <c r="S171" s="1">
        <f>(Main_S[[#This Row],[A/E]]-VLOOKUP(Main_S[[#This Row],[Industry]], Mean_AE_S, 2, FALSE))/(VLOOKUP(Main_S[[#This Row],[Industry]], Mean_AE_S, 3, FALSE))</f>
        <v>-0.81177646478379817</v>
      </c>
      <c r="T171" s="1">
        <f>(Main_S[[#This Row],[P/E]]-VLOOKUP(Main_S[[#This Row],[Industry]], Mean_PE_S, 2, FALSE))/(VLOOKUP(Main_S[[#This Row],[Industry]], Mean_PE_S, 3, FALSE))</f>
        <v>-0.85845332019954057</v>
      </c>
      <c r="U1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2" spans="1:26" x14ac:dyDescent="0.25">
      <c r="A172" s="67" t="s">
        <v>203</v>
      </c>
      <c r="B172" s="67" t="s">
        <v>513</v>
      </c>
      <c r="C172" s="2">
        <v>1165</v>
      </c>
      <c r="D172">
        <f>RTD("tos.rtd", , "LAST", Main_S[[#This Row],[Symbol]])</f>
        <v>5.83</v>
      </c>
      <c r="E172">
        <v>-0.24</v>
      </c>
      <c r="F172">
        <v>1.47</v>
      </c>
      <c r="G172">
        <v>-0.42</v>
      </c>
      <c r="H172" s="1">
        <f>IF(ISNUMBER(Main_S[[#This Row],[Free CF]]),IF(Main_S[[#This Row],[Free CF]]&lt;&gt;0,Main_S[[#This Row],[Current Price]]/Main_S[[#This Row],[Free CF]],""),"")</f>
        <v>-24.291666666666668</v>
      </c>
      <c r="I172" s="1">
        <f>IF(ISNUMBER(Main_S[[#This Row],[BVPS]]),IF(Main_S[[#This Row],[BVPS]]&lt;&gt;0,Main_S[[#This Row],[Current Price]]/Main_S[[#This Row],[BVPS]],""),"")</f>
        <v>3.9659863945578233</v>
      </c>
      <c r="J172">
        <v>-25.68</v>
      </c>
      <c r="K172">
        <v>-9.61</v>
      </c>
      <c r="L172">
        <v>1.44</v>
      </c>
      <c r="M172" s="1">
        <f>IF(ISNUMBER(Main_S[[#This Row],[EPS]]),IF(Main_S[[#This Row],[EPS]]&lt;&gt;0,Main_S[[#This Row],[Current Price]]/Main_S[[#This Row],[EPS]],""),"")</f>
        <v>-13.880952380952381</v>
      </c>
      <c r="N1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2" s="1">
        <f>(Main_S[[#This Row],[P/FCF]]-VLOOKUP(Main_S[[#This Row],[Industry]], Mean_PFCF_S, 2, FALSE))/(VLOOKUP(Main_S[[#This Row],[Industry]], Mean_PFCF_S, 3, FALSE))</f>
        <v>-1.9157435195547232</v>
      </c>
      <c r="P172" s="1">
        <f>(Main_S[[#This Row],[P/B]]-VLOOKUP(Main_S[[#This Row],[Industry]], Mean_PB_S, 2, FALSE))/(VLOOKUP(Main_S[[#This Row],[Industry]], Mean_PB_S, 3, FALSE))</f>
        <v>0.40990917128475496</v>
      </c>
      <c r="Q172" s="1">
        <f>(Main_S[[#This Row],[ROE]]-VLOOKUP(Main_S[[#This Row],[Industry]], Mean_ROE_S, 2, FALSE))/(VLOOKUP(Main_S[[#This Row],[Industry]], Mean_ROE_S, 3, FALSE))</f>
        <v>-1.8127396325414178</v>
      </c>
      <c r="R172" s="1">
        <f>(Main_S[[#This Row],[ROA]]-VLOOKUP(Main_S[[#This Row],[Industry]], Mean_ROA_S, 2, FALSE))/(VLOOKUP(Main_S[[#This Row],[Industry]], Mean_ROA_S, 3, FALSE))</f>
        <v>-2.0052678105712669</v>
      </c>
      <c r="S172" s="1">
        <f>(Main_S[[#This Row],[A/E]]-VLOOKUP(Main_S[[#This Row],[Industry]], Mean_AE_S, 2, FALSE))/(VLOOKUP(Main_S[[#This Row],[Industry]], Mean_AE_S, 3, FALSE))</f>
        <v>-1.5773889136350092</v>
      </c>
      <c r="T172" s="1">
        <f>(Main_S[[#This Row],[P/E]]-VLOOKUP(Main_S[[#This Row],[Industry]], Mean_PE_S, 2, FALSE))/(VLOOKUP(Main_S[[#This Row],[Industry]], Mean_PE_S, 3, FALSE))</f>
        <v>-1.1749124063851488</v>
      </c>
      <c r="U1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3" spans="1:26" x14ac:dyDescent="0.25">
      <c r="A173" s="67" t="s">
        <v>203</v>
      </c>
      <c r="B173" s="67" t="s">
        <v>359</v>
      </c>
      <c r="C173" s="2">
        <v>1942</v>
      </c>
      <c r="D173">
        <f>RTD("tos.rtd", , "LAST", Main_S[[#This Row],[Symbol]])</f>
        <v>40.76</v>
      </c>
      <c r="E173">
        <v>-0.27</v>
      </c>
      <c r="F173">
        <v>45.21</v>
      </c>
      <c r="G173">
        <v>2.33</v>
      </c>
      <c r="H173" s="1">
        <f>IF(ISNUMBER(Main_S[[#This Row],[Free CF]]),IF(Main_S[[#This Row],[Free CF]]&lt;&gt;0,Main_S[[#This Row],[Current Price]]/Main_S[[#This Row],[Free CF]],""),"")</f>
        <v>-150.96296296296293</v>
      </c>
      <c r="I173" s="1">
        <f>IF(ISNUMBER(Main_S[[#This Row],[BVPS]]),IF(Main_S[[#This Row],[BVPS]]&lt;&gt;0,Main_S[[#This Row],[Current Price]]/Main_S[[#This Row],[BVPS]],""),"")</f>
        <v>0.90157044901570438</v>
      </c>
      <c r="J173">
        <v>5.17</v>
      </c>
      <c r="K173">
        <v>2.57</v>
      </c>
      <c r="L173">
        <v>3.82</v>
      </c>
      <c r="M173" s="1">
        <f>IF(ISNUMBER(Main_S[[#This Row],[EPS]]),IF(Main_S[[#This Row],[EPS]]&lt;&gt;0,Main_S[[#This Row],[Current Price]]/Main_S[[#This Row],[EPS]],""),"")</f>
        <v>17.493562231759654</v>
      </c>
      <c r="N1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3" s="1">
        <f>(Main_S[[#This Row],[P/FCF]]-VLOOKUP(Main_S[[#This Row],[Industry]], Mean_PFCF_S, 2, FALSE))/(VLOOKUP(Main_S[[#This Row],[Industry]], Mean_PFCF_S, 3, FALSE))</f>
        <v>-9.6965901220244053</v>
      </c>
      <c r="P173" s="1">
        <f>(Main_S[[#This Row],[P/B]]-VLOOKUP(Main_S[[#This Row],[Industry]], Mean_PB_S, 2, FALSE))/(VLOOKUP(Main_S[[#This Row],[Industry]], Mean_PB_S, 3, FALSE))</f>
        <v>-0.95154464160186969</v>
      </c>
      <c r="Q173" s="1">
        <f>(Main_S[[#This Row],[ROE]]-VLOOKUP(Main_S[[#This Row],[Industry]], Mean_ROE_S, 2, FALSE))/(VLOOKUP(Main_S[[#This Row],[Industry]], Mean_ROE_S, 3, FALSE))</f>
        <v>-0.28878919798523606</v>
      </c>
      <c r="R173" s="1">
        <f>(Main_S[[#This Row],[ROA]]-VLOOKUP(Main_S[[#This Row],[Industry]], Mean_ROA_S, 2, FALSE))/(VLOOKUP(Main_S[[#This Row],[Industry]], Mean_ROA_S, 3, FALSE))</f>
        <v>-0.14760999161149602</v>
      </c>
      <c r="S173" s="1">
        <f>(Main_S[[#This Row],[A/E]]-VLOOKUP(Main_S[[#This Row],[Industry]], Mean_AE_S, 2, FALSE))/(VLOOKUP(Main_S[[#This Row],[Industry]], Mean_AE_S, 3, FALSE))</f>
        <v>2.141300123642301</v>
      </c>
      <c r="T173" s="1">
        <f>(Main_S[[#This Row],[P/E]]-VLOOKUP(Main_S[[#This Row],[Industry]], Mean_PE_S, 2, FALSE))/(VLOOKUP(Main_S[[#This Row],[Industry]], Mean_PE_S, 3, FALSE))</f>
        <v>0.14863118261085009</v>
      </c>
      <c r="U1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4" spans="1:26" x14ac:dyDescent="0.25">
      <c r="A174" s="67" t="s">
        <v>203</v>
      </c>
      <c r="B174" s="67" t="s">
        <v>501</v>
      </c>
      <c r="C174" s="2">
        <v>1061</v>
      </c>
      <c r="D174">
        <f>RTD("tos.rtd", , "LAST", Main_S[[#This Row],[Symbol]])</f>
        <v>42.1</v>
      </c>
      <c r="E174">
        <v>-0.37</v>
      </c>
      <c r="F174">
        <v>8.31</v>
      </c>
      <c r="G174">
        <v>1.96</v>
      </c>
      <c r="H174" s="1">
        <f>IF(ISNUMBER(Main_S[[#This Row],[Free CF]]),IF(Main_S[[#This Row],[Free CF]]&lt;&gt;0,Main_S[[#This Row],[Current Price]]/Main_S[[#This Row],[Free CF]],""),"")</f>
        <v>-113.78378378378379</v>
      </c>
      <c r="I174" s="1">
        <f>IF(ISNUMBER(Main_S[[#This Row],[BVPS]]),IF(Main_S[[#This Row],[BVPS]]&lt;&gt;0,Main_S[[#This Row],[Current Price]]/Main_S[[#This Row],[BVPS]],""),"")</f>
        <v>5.0661853188928996</v>
      </c>
      <c r="J174">
        <v>25.86</v>
      </c>
      <c r="K174">
        <v>4.9400000000000004</v>
      </c>
      <c r="L174">
        <v>3.65</v>
      </c>
      <c r="M174" s="1">
        <f>IF(ISNUMBER(Main_S[[#This Row],[EPS]]),IF(Main_S[[#This Row],[EPS]]&lt;&gt;0,Main_S[[#This Row],[Current Price]]/Main_S[[#This Row],[EPS]],""),"")</f>
        <v>21.479591836734695</v>
      </c>
      <c r="N1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4" s="1">
        <f>(Main_S[[#This Row],[P/FCF]]-VLOOKUP(Main_S[[#This Row],[Industry]], Mean_PFCF_S, 2, FALSE))/(VLOOKUP(Main_S[[#This Row],[Industry]], Mean_PFCF_S, 3, FALSE))</f>
        <v>-7.4128407766142086</v>
      </c>
      <c r="P174" s="1">
        <f>(Main_S[[#This Row],[P/B]]-VLOOKUP(Main_S[[#This Row],[Industry]], Mean_PB_S, 2, FALSE))/(VLOOKUP(Main_S[[#This Row],[Industry]], Mean_PB_S, 3, FALSE))</f>
        <v>0.8987037889503956</v>
      </c>
      <c r="Q174" s="1">
        <f>(Main_S[[#This Row],[ROE]]-VLOOKUP(Main_S[[#This Row],[Industry]], Mean_ROE_S, 2, FALSE))/(VLOOKUP(Main_S[[#This Row],[Industry]], Mean_ROE_S, 3, FALSE))</f>
        <v>0.73327026687594388</v>
      </c>
      <c r="R174" s="1">
        <f>(Main_S[[#This Row],[ROA]]-VLOOKUP(Main_S[[#This Row],[Industry]], Mean_ROA_S, 2, FALSE))/(VLOOKUP(Main_S[[#This Row],[Industry]], Mean_ROA_S, 3, FALSE))</f>
        <v>0.21385544606786835</v>
      </c>
      <c r="S174" s="1">
        <f>(Main_S[[#This Row],[A/E]]-VLOOKUP(Main_S[[#This Row],[Industry]], Mean_AE_S, 2, FALSE))/(VLOOKUP(Main_S[[#This Row],[Industry]], Mean_AE_S, 3, FALSE))</f>
        <v>1.8756794781224932</v>
      </c>
      <c r="T174" s="1">
        <f>(Main_S[[#This Row],[P/E]]-VLOOKUP(Main_S[[#This Row],[Industry]], Mean_PE_S, 2, FALSE))/(VLOOKUP(Main_S[[#This Row],[Industry]], Mean_PE_S, 3, FALSE))</f>
        <v>0.31678307258703531</v>
      </c>
      <c r="U1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5" spans="1:26" x14ac:dyDescent="0.25">
      <c r="A175" s="67" t="s">
        <v>203</v>
      </c>
      <c r="B175" s="67" t="s">
        <v>564</v>
      </c>
      <c r="C175" s="2">
        <v>261</v>
      </c>
      <c r="D175">
        <f>RTD("tos.rtd", , "LAST", Main_S[[#This Row],[Symbol]])</f>
        <v>6.7</v>
      </c>
      <c r="E175">
        <v>-0.41</v>
      </c>
      <c r="F175">
        <v>-0.31</v>
      </c>
      <c r="G175">
        <v>-0.05</v>
      </c>
      <c r="H175" s="1">
        <f>IF(ISNUMBER(Main_S[[#This Row],[Free CF]]),IF(Main_S[[#This Row],[Free CF]]&lt;&gt;0,Main_S[[#This Row],[Current Price]]/Main_S[[#This Row],[Free CF]],""),"")</f>
        <v>-16.341463414634148</v>
      </c>
      <c r="I175" s="1">
        <f>IF(ISNUMBER(Main_S[[#This Row],[BVPS]]),IF(Main_S[[#This Row],[BVPS]]&lt;&gt;0,Main_S[[#This Row],[Current Price]]/Main_S[[#This Row],[BVPS]],""),"")</f>
        <v>-21.612903225806452</v>
      </c>
      <c r="J175">
        <v>-13.67</v>
      </c>
      <c r="K175">
        <v>-15.43</v>
      </c>
      <c r="L175">
        <v>-4.8899999999999997</v>
      </c>
      <c r="M175" s="1">
        <f>IF(ISNUMBER(Main_S[[#This Row],[EPS]]),IF(Main_S[[#This Row],[EPS]]&lt;&gt;0,Main_S[[#This Row],[Current Price]]/Main_S[[#This Row],[EPS]],""),"")</f>
        <v>-134</v>
      </c>
      <c r="N1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5" s="1">
        <f>(Main_S[[#This Row],[P/FCF]]-VLOOKUP(Main_S[[#This Row],[Industry]], Mean_PFCF_S, 2, FALSE))/(VLOOKUP(Main_S[[#This Row],[Industry]], Mean_PFCF_S, 3, FALSE))</f>
        <v>-1.4273983792490157</v>
      </c>
      <c r="P175" s="1">
        <f>(Main_S[[#This Row],[P/B]]-VLOOKUP(Main_S[[#This Row],[Industry]], Mean_PB_S, 2, FALSE))/(VLOOKUP(Main_S[[#This Row],[Industry]], Mean_PB_S, 3, FALSE))</f>
        <v>-10.954238980245089</v>
      </c>
      <c r="Q175" s="1">
        <f>(Main_S[[#This Row],[ROE]]-VLOOKUP(Main_S[[#This Row],[Industry]], Mean_ROE_S, 2, FALSE))/(VLOOKUP(Main_S[[#This Row],[Industry]], Mean_ROE_S, 3, FALSE))</f>
        <v>-1.2194610354905349</v>
      </c>
      <c r="R175" s="1">
        <f>(Main_S[[#This Row],[ROA]]-VLOOKUP(Main_S[[#This Row],[Industry]], Mean_ROA_S, 2, FALSE))/(VLOOKUP(Main_S[[#This Row],[Industry]], Mean_ROA_S, 3, FALSE))</f>
        <v>-2.8929171132269209</v>
      </c>
      <c r="S175" s="1">
        <f>(Main_S[[#This Row],[A/E]]-VLOOKUP(Main_S[[#This Row],[Industry]], Mean_AE_S, 2, FALSE))/(VLOOKUP(Main_S[[#This Row],[Industry]], Mean_AE_S, 3, FALSE))</f>
        <v>-11.467851773284327</v>
      </c>
      <c r="T175" s="1">
        <f>(Main_S[[#This Row],[P/E]]-VLOOKUP(Main_S[[#This Row],[Industry]], Mean_PE_S, 2, FALSE))/(VLOOKUP(Main_S[[#This Row],[Industry]], Mean_PE_S, 3, FALSE))</f>
        <v>-6.2421715291153026</v>
      </c>
      <c r="U1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6" spans="1:26" x14ac:dyDescent="0.25">
      <c r="A176" s="67" t="s">
        <v>203</v>
      </c>
      <c r="B176" s="67" t="s">
        <v>563</v>
      </c>
      <c r="C176" s="2">
        <v>263</v>
      </c>
      <c r="D176">
        <f>RTD("tos.rtd", , "LAST", Main_S[[#This Row],[Symbol]])</f>
        <v>9.8800000000000008</v>
      </c>
      <c r="E176">
        <v>-0.56000000000000005</v>
      </c>
      <c r="F176">
        <v>7.29</v>
      </c>
      <c r="G176">
        <v>-0.53</v>
      </c>
      <c r="H176" s="1">
        <f>IF(ISNUMBER(Main_S[[#This Row],[Free CF]]),IF(Main_S[[#This Row],[Free CF]]&lt;&gt;0,Main_S[[#This Row],[Current Price]]/Main_S[[#This Row],[Free CF]],""),"")</f>
        <v>-17.642857142857142</v>
      </c>
      <c r="I176" s="1">
        <f>IF(ISNUMBER(Main_S[[#This Row],[BVPS]]),IF(Main_S[[#This Row],[BVPS]]&lt;&gt;0,Main_S[[#This Row],[Current Price]]/Main_S[[#This Row],[BVPS]],""),"")</f>
        <v>1.3552812071330591</v>
      </c>
      <c r="J176">
        <v>-7.01</v>
      </c>
      <c r="K176">
        <v>-1.59</v>
      </c>
      <c r="L176">
        <v>2.52</v>
      </c>
      <c r="M176" s="1">
        <f>IF(ISNUMBER(Main_S[[#This Row],[EPS]]),IF(Main_S[[#This Row],[EPS]]&lt;&gt;0,Main_S[[#This Row],[Current Price]]/Main_S[[#This Row],[EPS]],""),"")</f>
        <v>-18.641509433962266</v>
      </c>
      <c r="N1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6" s="1">
        <f>(Main_S[[#This Row],[P/FCF]]-VLOOKUP(Main_S[[#This Row],[Industry]], Mean_PFCF_S, 2, FALSE))/(VLOOKUP(Main_S[[#This Row],[Industry]], Mean_PFCF_S, 3, FALSE))</f>
        <v>-1.5073371283167893</v>
      </c>
      <c r="P176" s="1">
        <f>(Main_S[[#This Row],[P/B]]-VLOOKUP(Main_S[[#This Row],[Industry]], Mean_PB_S, 2, FALSE))/(VLOOKUP(Main_S[[#This Row],[Industry]], Mean_PB_S, 3, FALSE))</f>
        <v>-0.74997075197205421</v>
      </c>
      <c r="Q176" s="1">
        <f>(Main_S[[#This Row],[ROE]]-VLOOKUP(Main_S[[#This Row],[Industry]], Mean_ROE_S, 2, FALSE))/(VLOOKUP(Main_S[[#This Row],[Industry]], Mean_ROE_S, 3, FALSE))</f>
        <v>-0.89046557700936213</v>
      </c>
      <c r="R176" s="1">
        <f>(Main_S[[#This Row],[ROA]]-VLOOKUP(Main_S[[#This Row],[Industry]], Mean_ROA_S, 2, FALSE))/(VLOOKUP(Main_S[[#This Row],[Industry]], Mean_ROA_S, 3, FALSE))</f>
        <v>-0.78208097082928318</v>
      </c>
      <c r="S176" s="1">
        <f>(Main_S[[#This Row],[A/E]]-VLOOKUP(Main_S[[#This Row],[Industry]], Mean_AE_S, 2, FALSE))/(VLOOKUP(Main_S[[#This Row],[Industry]], Mean_AE_S, 3, FALSE))</f>
        <v>0.11008342260847633</v>
      </c>
      <c r="T176" s="1">
        <f>(Main_S[[#This Row],[P/E]]-VLOOKUP(Main_S[[#This Row],[Industry]], Mean_PE_S, 2, FALSE))/(VLOOKUP(Main_S[[#This Row],[Industry]], Mean_PE_S, 3, FALSE))</f>
        <v>-1.3757379759704713</v>
      </c>
      <c r="U1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7" spans="1:26" x14ac:dyDescent="0.25">
      <c r="A177" s="67" t="s">
        <v>203</v>
      </c>
      <c r="B177" s="67" t="s">
        <v>516</v>
      </c>
      <c r="C177" s="2">
        <v>362</v>
      </c>
      <c r="D177">
        <f>RTD("tos.rtd", , "LAST", Main_S[[#This Row],[Symbol]])</f>
        <v>2.72</v>
      </c>
      <c r="E177">
        <v>-0.79</v>
      </c>
      <c r="F177">
        <v>4.9400000000000004</v>
      </c>
      <c r="G177">
        <v>1.54</v>
      </c>
      <c r="H177" s="1">
        <f>IF(ISNUMBER(Main_S[[#This Row],[Free CF]]),IF(Main_S[[#This Row],[Free CF]]&lt;&gt;0,Main_S[[#This Row],[Current Price]]/Main_S[[#This Row],[Free CF]],""),"")</f>
        <v>-3.4430379746835444</v>
      </c>
      <c r="I177" s="1">
        <f>IF(ISNUMBER(Main_S[[#This Row],[BVPS]]),IF(Main_S[[#This Row],[BVPS]]&lt;&gt;0,Main_S[[#This Row],[Current Price]]/Main_S[[#This Row],[BVPS]],""),"")</f>
        <v>0.55060728744939269</v>
      </c>
      <c r="J177">
        <v>30.79</v>
      </c>
      <c r="K177">
        <v>-2.2599999999999998</v>
      </c>
      <c r="L177">
        <v>3.16</v>
      </c>
      <c r="M177" s="1">
        <f>IF(ISNUMBER(Main_S[[#This Row],[EPS]]),IF(Main_S[[#This Row],[EPS]]&lt;&gt;0,Main_S[[#This Row],[Current Price]]/Main_S[[#This Row],[EPS]],""),"")</f>
        <v>1.7662337662337664</v>
      </c>
      <c r="N1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7" s="1">
        <f>(Main_S[[#This Row],[P/FCF]]-VLOOKUP(Main_S[[#This Row],[Industry]], Mean_PFCF_S, 2, FALSE))/(VLOOKUP(Main_S[[#This Row],[Industry]], Mean_PFCF_S, 3, FALSE))</f>
        <v>-0.63510626022865779</v>
      </c>
      <c r="P177" s="1">
        <f>(Main_S[[#This Row],[P/B]]-VLOOKUP(Main_S[[#This Row],[Industry]], Mean_PB_S, 2, FALSE))/(VLOOKUP(Main_S[[#This Row],[Industry]], Mean_PB_S, 3, FALSE))</f>
        <v>-1.1074699934433181</v>
      </c>
      <c r="Q177" s="1">
        <f>(Main_S[[#This Row],[ROE]]-VLOOKUP(Main_S[[#This Row],[Industry]], Mean_ROE_S, 2, FALSE))/(VLOOKUP(Main_S[[#This Row],[Industry]], Mean_ROE_S, 3, FALSE))</f>
        <v>0.97680594409999499</v>
      </c>
      <c r="R177" s="1">
        <f>(Main_S[[#This Row],[ROA]]-VLOOKUP(Main_S[[#This Row],[Industry]], Mean_ROA_S, 2, FALSE))/(VLOOKUP(Main_S[[#This Row],[Industry]], Mean_ROA_S, 3, FALSE))</f>
        <v>-0.88426740257830161</v>
      </c>
      <c r="S177" s="1">
        <f>(Main_S[[#This Row],[A/E]]-VLOOKUP(Main_S[[#This Row],[Industry]], Mean_AE_S, 2, FALSE))/(VLOOKUP(Main_S[[#This Row],[Industry]], Mean_AE_S, 3, FALSE))</f>
        <v>1.1100670292712826</v>
      </c>
      <c r="T177" s="1">
        <f>(Main_S[[#This Row],[P/E]]-VLOOKUP(Main_S[[#This Row],[Industry]], Mean_PE_S, 2, FALSE))/(VLOOKUP(Main_S[[#This Row],[Industry]], Mean_PE_S, 3, FALSE))</f>
        <v>-0.51483102611275877</v>
      </c>
      <c r="U1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8" spans="1:26" x14ac:dyDescent="0.25">
      <c r="A178" s="67" t="s">
        <v>203</v>
      </c>
      <c r="B178" s="67" t="s">
        <v>507</v>
      </c>
      <c r="C178" s="2">
        <v>351</v>
      </c>
      <c r="D178">
        <f>RTD("tos.rtd", , "LAST", Main_S[[#This Row],[Symbol]])</f>
        <v>12.72</v>
      </c>
      <c r="E178">
        <v>-0.8</v>
      </c>
      <c r="F178">
        <v>2.83</v>
      </c>
      <c r="G178">
        <v>-2.2000000000000002</v>
      </c>
      <c r="H178" s="1">
        <f>IF(ISNUMBER(Main_S[[#This Row],[Free CF]]),IF(Main_S[[#This Row],[Free CF]]&lt;&gt;0,Main_S[[#This Row],[Current Price]]/Main_S[[#This Row],[Free CF]],""),"")</f>
        <v>-15.9</v>
      </c>
      <c r="I178" s="1">
        <f>IF(ISNUMBER(Main_S[[#This Row],[BVPS]]),IF(Main_S[[#This Row],[BVPS]]&lt;&gt;0,Main_S[[#This Row],[Current Price]]/Main_S[[#This Row],[BVPS]],""),"")</f>
        <v>4.4946996466431095</v>
      </c>
      <c r="J178">
        <v>-63.58</v>
      </c>
      <c r="K178">
        <v>-10.99</v>
      </c>
      <c r="L178">
        <v>3.21</v>
      </c>
      <c r="M178" s="1">
        <f>IF(ISNUMBER(Main_S[[#This Row],[EPS]]),IF(Main_S[[#This Row],[EPS]]&lt;&gt;0,Main_S[[#This Row],[Current Price]]/Main_S[[#This Row],[EPS]],""),"")</f>
        <v>-5.7818181818181813</v>
      </c>
      <c r="N1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8" s="1">
        <f>(Main_S[[#This Row],[P/FCF]]-VLOOKUP(Main_S[[#This Row],[Industry]], Mean_PFCF_S, 2, FALSE))/(VLOOKUP(Main_S[[#This Row],[Industry]], Mean_PFCF_S, 3, FALSE))</f>
        <v>-1.4002812721355296</v>
      </c>
      <c r="P178" s="1">
        <f>(Main_S[[#This Row],[P/B]]-VLOOKUP(Main_S[[#This Row],[Industry]], Mean_PB_S, 2, FALSE))/(VLOOKUP(Main_S[[#This Row],[Industry]], Mean_PB_S, 3, FALSE))</f>
        <v>0.64480504892249468</v>
      </c>
      <c r="Q178" s="1">
        <f>(Main_S[[#This Row],[ROE]]-VLOOKUP(Main_S[[#This Row],[Industry]], Mean_ROE_S, 2, FALSE))/(VLOOKUP(Main_S[[#This Row],[Industry]], Mean_ROE_S, 3, FALSE))</f>
        <v>-3.6849510253997413</v>
      </c>
      <c r="R178" s="1">
        <f>(Main_S[[#This Row],[ROA]]-VLOOKUP(Main_S[[#This Row],[Industry]], Mean_ROA_S, 2, FALSE))/(VLOOKUP(Main_S[[#This Row],[Industry]], Mean_ROA_S, 3, FALSE))</f>
        <v>-2.2157413565617827</v>
      </c>
      <c r="S178" s="1">
        <f>(Main_S[[#This Row],[A/E]]-VLOOKUP(Main_S[[#This Row],[Industry]], Mean_AE_S, 2, FALSE))/(VLOOKUP(Main_S[[#This Row],[Industry]], Mean_AE_S, 3, FALSE))</f>
        <v>1.1881907485418142</v>
      </c>
      <c r="T178" s="1">
        <f>(Main_S[[#This Row],[P/E]]-VLOOKUP(Main_S[[#This Row],[Industry]], Mean_PE_S, 2, FALSE))/(VLOOKUP(Main_S[[#This Row],[Industry]], Mean_PE_S, 3, FALSE))</f>
        <v>-0.83324792876677445</v>
      </c>
      <c r="U1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9" spans="1:26" x14ac:dyDescent="0.25">
      <c r="A179" s="67" t="s">
        <v>203</v>
      </c>
      <c r="B179" s="67" t="s">
        <v>514</v>
      </c>
      <c r="C179" s="2">
        <v>323</v>
      </c>
      <c r="D179">
        <f>RTD("tos.rtd", , "LAST", Main_S[[#This Row],[Symbol]])</f>
        <v>12.32</v>
      </c>
      <c r="E179">
        <v>-1.83</v>
      </c>
      <c r="F179">
        <v>0.18</v>
      </c>
      <c r="G179">
        <v>-3.86</v>
      </c>
      <c r="H179" s="1">
        <f>IF(ISNUMBER(Main_S[[#This Row],[Free CF]]),IF(Main_S[[#This Row],[Free CF]]&lt;&gt;0,Main_S[[#This Row],[Current Price]]/Main_S[[#This Row],[Free CF]],""),"")</f>
        <v>-6.7322404371584694</v>
      </c>
      <c r="I179" s="1">
        <f>IF(ISNUMBER(Main_S[[#This Row],[BVPS]]),IF(Main_S[[#This Row],[BVPS]]&lt;&gt;0,Main_S[[#This Row],[Current Price]]/Main_S[[#This Row],[BVPS]],""),"")</f>
        <v>68.444444444444443</v>
      </c>
      <c r="J179">
        <v>-337.63</v>
      </c>
      <c r="K179">
        <v>-18.899999999999999</v>
      </c>
      <c r="L179">
        <v>37.6</v>
      </c>
      <c r="M179" s="1">
        <f>IF(ISNUMBER(Main_S[[#This Row],[EPS]]),IF(Main_S[[#This Row],[EPS]]&lt;&gt;0,Main_S[[#This Row],[Current Price]]/Main_S[[#This Row],[EPS]],""),"")</f>
        <v>-3.1917098445595857</v>
      </c>
      <c r="N1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9" s="1">
        <f>(Main_S[[#This Row],[P/FCF]]-VLOOKUP(Main_S[[#This Row],[Industry]], Mean_PFCF_S, 2, FALSE))/(VLOOKUP(Main_S[[#This Row],[Industry]], Mean_PFCF_S, 3, FALSE))</f>
        <v>-0.837147137311963</v>
      </c>
      <c r="P179" s="1">
        <f>(Main_S[[#This Row],[P/B]]-VLOOKUP(Main_S[[#This Row],[Industry]], Mean_PB_S, 2, FALSE))/(VLOOKUP(Main_S[[#This Row],[Industry]], Mean_PB_S, 3, FALSE))</f>
        <v>29.056295341142214</v>
      </c>
      <c r="Q179" s="1">
        <f>(Main_S[[#This Row],[ROE]]-VLOOKUP(Main_S[[#This Row],[Industry]], Mean_ROE_S, 2, FALSE))/(VLOOKUP(Main_S[[#This Row],[Industry]], Mean_ROE_S, 3, FALSE))</f>
        <v>-17.222669553442582</v>
      </c>
      <c r="R179" s="1">
        <f>(Main_S[[#This Row],[ROA]]-VLOOKUP(Main_S[[#This Row],[Industry]], Mean_ROA_S, 2, FALSE))/(VLOOKUP(Main_S[[#This Row],[Industry]], Mean_ROA_S, 3, FALSE))</f>
        <v>-3.4221513194494499</v>
      </c>
      <c r="S179" s="1">
        <f>(Main_S[[#This Row],[A/E]]-VLOOKUP(Main_S[[#This Row],[Industry]], Mean_AE_S, 2, FALSE))/(VLOOKUP(Main_S[[#This Row],[Industry]], Mean_AE_S, 3, FALSE))</f>
        <v>54.921684862813535</v>
      </c>
      <c r="T179" s="1">
        <f>(Main_S[[#This Row],[P/E]]-VLOOKUP(Main_S[[#This Row],[Industry]], Mean_PE_S, 2, FALSE))/(VLOOKUP(Main_S[[#This Row],[Industry]], Mean_PE_S, 3, FALSE))</f>
        <v>-0.7239834086012662</v>
      </c>
      <c r="U1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0" spans="1:26" x14ac:dyDescent="0.25">
      <c r="A180" s="67" t="s">
        <v>180</v>
      </c>
      <c r="B180" s="67" t="s">
        <v>470</v>
      </c>
      <c r="C180" s="2">
        <v>537</v>
      </c>
      <c r="D180">
        <f>RTD("tos.rtd", , "LAST", Main_S[[#This Row],[Symbol]])</f>
        <v>69.23</v>
      </c>
      <c r="E180">
        <v>4.96</v>
      </c>
      <c r="F180">
        <v>78.34</v>
      </c>
      <c r="G180">
        <v>4.53</v>
      </c>
      <c r="H180" s="1">
        <f>IF(ISNUMBER(Main_S[[#This Row],[Free CF]]),IF(Main_S[[#This Row],[Free CF]]&lt;&gt;0,Main_S[[#This Row],[Current Price]]/Main_S[[#This Row],[Free CF]],""),"")</f>
        <v>13.957661290322582</v>
      </c>
      <c r="I180" s="1">
        <f>IF(ISNUMBER(Main_S[[#This Row],[BVPS]]),IF(Main_S[[#This Row],[BVPS]]&lt;&gt;0,Main_S[[#This Row],[Current Price]]/Main_S[[#This Row],[BVPS]],""),"")</f>
        <v>0.88371202450855246</v>
      </c>
      <c r="J180">
        <v>5.96</v>
      </c>
      <c r="K180">
        <v>2.67</v>
      </c>
      <c r="L180">
        <v>2.57</v>
      </c>
      <c r="M180" s="1">
        <f>IF(ISNUMBER(Main_S[[#This Row],[EPS]]),IF(Main_S[[#This Row],[EPS]]&lt;&gt;0,Main_S[[#This Row],[Current Price]]/Main_S[[#This Row],[EPS]],""),"")</f>
        <v>15.282560706401766</v>
      </c>
      <c r="N1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0" s="1">
        <f>(Main_S[[#This Row],[P/FCF]]-VLOOKUP(Main_S[[#This Row],[Industry]], Mean_PFCF_S, 2, FALSE))/(VLOOKUP(Main_S[[#This Row],[Industry]], Mean_PFCF_S, 3, FALSE))</f>
        <v>0.53498047385232905</v>
      </c>
      <c r="P180" s="1">
        <f>(Main_S[[#This Row],[P/B]]-VLOOKUP(Main_S[[#This Row],[Industry]], Mean_PB_S, 2, FALSE))/(VLOOKUP(Main_S[[#This Row],[Industry]], Mean_PB_S, 3, FALSE))</f>
        <v>-0.99639798708867355</v>
      </c>
      <c r="Q180" s="1">
        <f>(Main_S[[#This Row],[ROE]]-VLOOKUP(Main_S[[#This Row],[Industry]], Mean_ROE_S, 2, FALSE))/(VLOOKUP(Main_S[[#This Row],[Industry]], Mean_ROE_S, 3, FALSE))</f>
        <v>-5.4779686612944981E-2</v>
      </c>
      <c r="R180" s="1">
        <f>(Main_S[[#This Row],[ROA]]-VLOOKUP(Main_S[[#This Row],[Industry]], Mean_ROA_S, 2, FALSE))/(VLOOKUP(Main_S[[#This Row],[Industry]], Mean_ROA_S, 3, FALSE))</f>
        <v>-0.65600009399617554</v>
      </c>
      <c r="S180" s="1">
        <f>(Main_S[[#This Row],[A/E]]-VLOOKUP(Main_S[[#This Row],[Industry]], Mean_AE_S, 2, FALSE))/(VLOOKUP(Main_S[[#This Row],[Industry]], Mean_AE_S, 3, FALSE))</f>
        <v>0.31267504784845873</v>
      </c>
      <c r="T180" s="1">
        <f>(Main_S[[#This Row],[P/E]]-VLOOKUP(Main_S[[#This Row],[Industry]], Mean_PE_S, 2, FALSE))/(VLOOKUP(Main_S[[#This Row],[Industry]], Mean_PE_S, 3, FALSE))</f>
        <v>0.21368634039042245</v>
      </c>
      <c r="U1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1" spans="1:26" x14ac:dyDescent="0.25">
      <c r="A181" s="67" t="s">
        <v>180</v>
      </c>
      <c r="B181" s="67" t="s">
        <v>611</v>
      </c>
      <c r="C181" s="2">
        <v>475</v>
      </c>
      <c r="D181">
        <f>RTD("tos.rtd", , "LAST", Main_S[[#This Row],[Symbol]])</f>
        <v>19.548500000000001</v>
      </c>
      <c r="E181">
        <v>3.62</v>
      </c>
      <c r="F181">
        <v>25.37</v>
      </c>
      <c r="G181">
        <v>1.6</v>
      </c>
      <c r="H181" s="1">
        <f>IF(ISNUMBER(Main_S[[#This Row],[Free CF]]),IF(Main_S[[#This Row],[Free CF]]&lt;&gt;0,Main_S[[#This Row],[Current Price]]/Main_S[[#This Row],[Free CF]],""),"")</f>
        <v>5.400138121546961</v>
      </c>
      <c r="I181" s="1">
        <f>IF(ISNUMBER(Main_S[[#This Row],[BVPS]]),IF(Main_S[[#This Row],[BVPS]]&lt;&gt;0,Main_S[[#This Row],[Current Price]]/Main_S[[#This Row],[BVPS]],""),"")</f>
        <v>0.77053606621994486</v>
      </c>
      <c r="J181">
        <v>6.81</v>
      </c>
      <c r="K181">
        <v>4.18</v>
      </c>
      <c r="L181">
        <v>2.33</v>
      </c>
      <c r="M181" s="1">
        <f>IF(ISNUMBER(Main_S[[#This Row],[EPS]]),IF(Main_S[[#This Row],[EPS]]&lt;&gt;0,Main_S[[#This Row],[Current Price]]/Main_S[[#This Row],[EPS]],""),"")</f>
        <v>12.217812499999999</v>
      </c>
      <c r="N1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1" s="1">
        <f>(Main_S[[#This Row],[P/FCF]]-VLOOKUP(Main_S[[#This Row],[Industry]], Mean_PFCF_S, 2, FALSE))/(VLOOKUP(Main_S[[#This Row],[Industry]], Mean_PFCF_S, 3, FALSE))</f>
        <v>-4.2883124225666244E-2</v>
      </c>
      <c r="P181" s="1">
        <f>(Main_S[[#This Row],[P/B]]-VLOOKUP(Main_S[[#This Row],[Industry]], Mean_PB_S, 2, FALSE))/(VLOOKUP(Main_S[[#This Row],[Industry]], Mean_PB_S, 3, FALSE))</f>
        <v>-1.1198767391958471</v>
      </c>
      <c r="Q181" s="1">
        <f>(Main_S[[#This Row],[ROE]]-VLOOKUP(Main_S[[#This Row],[Industry]], Mean_ROE_S, 2, FALSE))/(VLOOKUP(Main_S[[#This Row],[Industry]], Mean_ROE_S, 3, FALSE))</f>
        <v>3.1196206370442965E-2</v>
      </c>
      <c r="R181" s="1">
        <f>(Main_S[[#This Row],[ROA]]-VLOOKUP(Main_S[[#This Row],[Industry]], Mean_ROA_S, 2, FALSE))/(VLOOKUP(Main_S[[#This Row],[Industry]], Mean_ROA_S, 3, FALSE))</f>
        <v>3.4993849905417956E-2</v>
      </c>
      <c r="S181" s="1">
        <f>(Main_S[[#This Row],[A/E]]-VLOOKUP(Main_S[[#This Row],[Industry]], Mean_AE_S, 2, FALSE))/(VLOOKUP(Main_S[[#This Row],[Industry]], Mean_AE_S, 3, FALSE))</f>
        <v>2.0303574535614155E-2</v>
      </c>
      <c r="T181" s="1">
        <f>(Main_S[[#This Row],[P/E]]-VLOOKUP(Main_S[[#This Row],[Industry]], Mean_PE_S, 2, FALSE))/(VLOOKUP(Main_S[[#This Row],[Industry]], Mean_PE_S, 3, FALSE))</f>
        <v>-0.14834888606029373</v>
      </c>
      <c r="U1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2" spans="1:26" x14ac:dyDescent="0.25">
      <c r="A182" s="67" t="s">
        <v>180</v>
      </c>
      <c r="B182" s="67" t="s">
        <v>480</v>
      </c>
      <c r="C182" s="2">
        <v>814</v>
      </c>
      <c r="D182">
        <f>RTD("tos.rtd", , "LAST", Main_S[[#This Row],[Symbol]])</f>
        <v>76.680000000000007</v>
      </c>
      <c r="E182">
        <v>2.81</v>
      </c>
      <c r="F182">
        <v>30.79</v>
      </c>
      <c r="G182">
        <v>1.57</v>
      </c>
      <c r="H182" s="1">
        <f>IF(ISNUMBER(Main_S[[#This Row],[Free CF]]),IF(Main_S[[#This Row],[Free CF]]&lt;&gt;0,Main_S[[#This Row],[Current Price]]/Main_S[[#This Row],[Free CF]],""),"")</f>
        <v>27.288256227758009</v>
      </c>
      <c r="I182" s="1">
        <f>IF(ISNUMBER(Main_S[[#This Row],[BVPS]]),IF(Main_S[[#This Row],[BVPS]]&lt;&gt;0,Main_S[[#This Row],[Current Price]]/Main_S[[#This Row],[BVPS]],""),"")</f>
        <v>2.4904189671971424</v>
      </c>
      <c r="J182">
        <v>5.67</v>
      </c>
      <c r="K182">
        <v>3.4</v>
      </c>
      <c r="L182">
        <v>1.34</v>
      </c>
      <c r="M182" s="1">
        <f>IF(ISNUMBER(Main_S[[#This Row],[EPS]]),IF(Main_S[[#This Row],[EPS]]&lt;&gt;0,Main_S[[#This Row],[Current Price]]/Main_S[[#This Row],[EPS]],""),"")</f>
        <v>48.840764331210195</v>
      </c>
      <c r="N1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2" s="1">
        <f>(Main_S[[#This Row],[P/FCF]]-VLOOKUP(Main_S[[#This Row],[Industry]], Mean_PFCF_S, 2, FALSE))/(VLOOKUP(Main_S[[#This Row],[Industry]], Mean_PFCF_S, 3, FALSE))</f>
        <v>1.4351551392478186</v>
      </c>
      <c r="P182" s="1">
        <f>(Main_S[[#This Row],[P/B]]-VLOOKUP(Main_S[[#This Row],[Industry]], Mean_PB_S, 2, FALSE))/(VLOOKUP(Main_S[[#This Row],[Industry]], Mean_PB_S, 3, FALSE))</f>
        <v>0.7565729732207418</v>
      </c>
      <c r="Q182" s="1">
        <f>(Main_S[[#This Row],[ROE]]-VLOOKUP(Main_S[[#This Row],[Industry]], Mean_ROE_S, 2, FALSE))/(VLOOKUP(Main_S[[#This Row],[Industry]], Mean_ROE_S, 3, FALSE))</f>
        <v>-8.4112638336689124E-2</v>
      </c>
      <c r="R182" s="1">
        <f>(Main_S[[#This Row],[ROA]]-VLOOKUP(Main_S[[#This Row],[Industry]], Mean_ROA_S, 2, FALSE))/(VLOOKUP(Main_S[[#This Row],[Industry]], Mean_ROA_S, 3, FALSE))</f>
        <v>-0.3219434191298422</v>
      </c>
      <c r="S182" s="1">
        <f>(Main_S[[#This Row],[A/E]]-VLOOKUP(Main_S[[#This Row],[Industry]], Mean_AE_S, 2, FALSE))/(VLOOKUP(Main_S[[#This Row],[Industry]], Mean_AE_S, 3, FALSE))</f>
        <v>-1.185728752879871</v>
      </c>
      <c r="T182" s="1">
        <f>(Main_S[[#This Row],[P/E]]-VLOOKUP(Main_S[[#This Row],[Industry]], Mean_PE_S, 2, FALSE))/(VLOOKUP(Main_S[[#This Row],[Industry]], Mean_PE_S, 3, FALSE))</f>
        <v>4.1778788385568069</v>
      </c>
      <c r="U1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3" spans="1:26" x14ac:dyDescent="0.25">
      <c r="A183" s="67" t="s">
        <v>180</v>
      </c>
      <c r="B183" s="67" t="s">
        <v>612</v>
      </c>
      <c r="C183" s="2">
        <v>1706</v>
      </c>
      <c r="D183">
        <f>RTD("tos.rtd", , "LAST", Main_S[[#This Row],[Symbol]])</f>
        <v>31.7</v>
      </c>
      <c r="E183">
        <v>2.77</v>
      </c>
      <c r="F183">
        <v>20.43</v>
      </c>
      <c r="G183">
        <v>1.86</v>
      </c>
      <c r="H183" s="1">
        <f>IF(ISNUMBER(Main_S[[#This Row],[Free CF]]),IF(Main_S[[#This Row],[Free CF]]&lt;&gt;0,Main_S[[#This Row],[Current Price]]/Main_S[[#This Row],[Free CF]],""),"")</f>
        <v>11.444043321299638</v>
      </c>
      <c r="I183" s="1">
        <f>IF(ISNUMBER(Main_S[[#This Row],[BVPS]]),IF(Main_S[[#This Row],[BVPS]]&lt;&gt;0,Main_S[[#This Row],[Current Price]]/Main_S[[#This Row],[BVPS]],""),"")</f>
        <v>1.5516397454723445</v>
      </c>
      <c r="J183">
        <v>9.2799999999999994</v>
      </c>
      <c r="K183">
        <v>5.17</v>
      </c>
      <c r="L183">
        <v>1.64</v>
      </c>
      <c r="M183" s="1">
        <f>IF(ISNUMBER(Main_S[[#This Row],[EPS]]),IF(Main_S[[#This Row],[EPS]]&lt;&gt;0,Main_S[[#This Row],[Current Price]]/Main_S[[#This Row],[EPS]],""),"")</f>
        <v>17.043010752688172</v>
      </c>
      <c r="N1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3" s="1">
        <f>(Main_S[[#This Row],[P/FCF]]-VLOOKUP(Main_S[[#This Row],[Industry]], Mean_PFCF_S, 2, FALSE))/(VLOOKUP(Main_S[[#This Row],[Industry]], Mean_PFCF_S, 3, FALSE))</f>
        <v>0.36524347225436277</v>
      </c>
      <c r="P183" s="1">
        <f>(Main_S[[#This Row],[P/B]]-VLOOKUP(Main_S[[#This Row],[Industry]], Mean_PB_S, 2, FALSE))/(VLOOKUP(Main_S[[#This Row],[Industry]], Mean_PB_S, 3, FALSE))</f>
        <v>-0.26766652565867705</v>
      </c>
      <c r="Q183" s="1">
        <f>(Main_S[[#This Row],[ROE]]-VLOOKUP(Main_S[[#This Row],[Industry]], Mean_ROE_S, 2, FALSE))/(VLOOKUP(Main_S[[#This Row],[Industry]], Mean_ROE_S, 3, FALSE))</f>
        <v>0.2810320365692292</v>
      </c>
      <c r="R183" s="1">
        <f>(Main_S[[#This Row],[ROA]]-VLOOKUP(Main_S[[#This Row],[Industry]], Mean_ROA_S, 2, FALSE))/(VLOOKUP(Main_S[[#This Row],[Industry]], Mean_ROA_S, 3, FALSE))</f>
        <v>0.48802961445017146</v>
      </c>
      <c r="S183" s="1">
        <f>(Main_S[[#This Row],[A/E]]-VLOOKUP(Main_S[[#This Row],[Industry]], Mean_AE_S, 2, FALSE))/(VLOOKUP(Main_S[[#This Row],[Industry]], Mean_AE_S, 3, FALSE))</f>
        <v>-0.82026441123881511</v>
      </c>
      <c r="T183" s="1">
        <f>(Main_S[[#This Row],[P/E]]-VLOOKUP(Main_S[[#This Row],[Industry]], Mean_PE_S, 2, FALSE))/(VLOOKUP(Main_S[[#This Row],[Industry]], Mean_PE_S, 3, FALSE))</f>
        <v>0.42164630585550106</v>
      </c>
      <c r="U1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4" spans="1:26" x14ac:dyDescent="0.25">
      <c r="A184" s="67" t="s">
        <v>180</v>
      </c>
      <c r="B184" s="67" t="s">
        <v>479</v>
      </c>
      <c r="C184" s="2">
        <v>431</v>
      </c>
      <c r="D184">
        <f>RTD("tos.rtd", , "LAST", Main_S[[#This Row],[Symbol]])</f>
        <v>19.61</v>
      </c>
      <c r="E184">
        <v>2.77</v>
      </c>
      <c r="F184">
        <v>26.71</v>
      </c>
      <c r="G184">
        <v>-2.63</v>
      </c>
      <c r="H184" s="1">
        <f>IF(ISNUMBER(Main_S[[#This Row],[Free CF]]),IF(Main_S[[#This Row],[Free CF]]&lt;&gt;0,Main_S[[#This Row],[Current Price]]/Main_S[[#This Row],[Free CF]],""),"")</f>
        <v>7.0794223826714795</v>
      </c>
      <c r="I184" s="1">
        <f>IF(ISNUMBER(Main_S[[#This Row],[BVPS]]),IF(Main_S[[#This Row],[BVPS]]&lt;&gt;0,Main_S[[#This Row],[Current Price]]/Main_S[[#This Row],[BVPS]],""),"")</f>
        <v>0.73418195432422306</v>
      </c>
      <c r="J184">
        <v>-9.39</v>
      </c>
      <c r="K184">
        <v>-0.71</v>
      </c>
      <c r="L184">
        <v>2.97</v>
      </c>
      <c r="M184" s="1">
        <f>IF(ISNUMBER(Main_S[[#This Row],[EPS]]),IF(Main_S[[#This Row],[EPS]]&lt;&gt;0,Main_S[[#This Row],[Current Price]]/Main_S[[#This Row],[EPS]],""),"")</f>
        <v>-7.4562737642585555</v>
      </c>
      <c r="N1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4" s="1">
        <f>(Main_S[[#This Row],[P/FCF]]-VLOOKUP(Main_S[[#This Row],[Industry]], Mean_PFCF_S, 2, FALSE))/(VLOOKUP(Main_S[[#This Row],[Industry]], Mean_PFCF_S, 3, FALSE))</f>
        <v>7.0513851299905478E-2</v>
      </c>
      <c r="P184" s="1">
        <f>(Main_S[[#This Row],[P/B]]-VLOOKUP(Main_S[[#This Row],[Industry]], Mean_PB_S, 2, FALSE))/(VLOOKUP(Main_S[[#This Row],[Industry]], Mean_PB_S, 3, FALSE))</f>
        <v>-1.1595402899952232</v>
      </c>
      <c r="Q184" s="1">
        <f>(Main_S[[#This Row],[ROE]]-VLOOKUP(Main_S[[#This Row],[Industry]], Mean_ROE_S, 2, FALSE))/(VLOOKUP(Main_S[[#This Row],[Industry]], Mean_ROE_S, 3, FALSE))</f>
        <v>-1.6074031657835397</v>
      </c>
      <c r="R184" s="1">
        <f>(Main_S[[#This Row],[ROA]]-VLOOKUP(Main_S[[#This Row],[Industry]], Mean_ROA_S, 2, FALSE))/(VLOOKUP(Main_S[[#This Row],[Industry]], Mean_ROA_S, 3, FALSE))</f>
        <v>-2.2027282598156366</v>
      </c>
      <c r="S184" s="1">
        <f>(Main_S[[#This Row],[A/E]]-VLOOKUP(Main_S[[#This Row],[Industry]], Mean_AE_S, 2, FALSE))/(VLOOKUP(Main_S[[#This Row],[Industry]], Mean_AE_S, 3, FALSE))</f>
        <v>0.79996083670320062</v>
      </c>
      <c r="T184" s="1">
        <f>(Main_S[[#This Row],[P/E]]-VLOOKUP(Main_S[[#This Row],[Industry]], Mean_PE_S, 2, FALSE))/(VLOOKUP(Main_S[[#This Row],[Industry]], Mean_PE_S, 3, FALSE))</f>
        <v>-2.4724263619891707</v>
      </c>
      <c r="U1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5" spans="1:26" x14ac:dyDescent="0.25">
      <c r="A185" s="67" t="s">
        <v>180</v>
      </c>
      <c r="B185" s="67" t="s">
        <v>478</v>
      </c>
      <c r="C185" s="2">
        <v>1068</v>
      </c>
      <c r="D185">
        <f>RTD("tos.rtd", , "LAST", Main_S[[#This Row],[Symbol]])</f>
        <v>12.85</v>
      </c>
      <c r="E185">
        <v>2.39</v>
      </c>
      <c r="F185">
        <v>6.1</v>
      </c>
      <c r="G185">
        <v>0.5</v>
      </c>
      <c r="H185" s="1">
        <f>IF(ISNUMBER(Main_S[[#This Row],[Free CF]]),IF(Main_S[[#This Row],[Free CF]]&lt;&gt;0,Main_S[[#This Row],[Current Price]]/Main_S[[#This Row],[Free CF]],""),"")</f>
        <v>5.3765690376569033</v>
      </c>
      <c r="I185" s="1">
        <f>IF(ISNUMBER(Main_S[[#This Row],[BVPS]]),IF(Main_S[[#This Row],[BVPS]]&lt;&gt;0,Main_S[[#This Row],[Current Price]]/Main_S[[#This Row],[BVPS]],""),"")</f>
        <v>2.1065573770491803</v>
      </c>
      <c r="J185">
        <v>9.6</v>
      </c>
      <c r="K185">
        <v>3.93</v>
      </c>
      <c r="L185">
        <v>3.25</v>
      </c>
      <c r="M185" s="1">
        <f>IF(ISNUMBER(Main_S[[#This Row],[EPS]]),IF(Main_S[[#This Row],[EPS]]&lt;&gt;0,Main_S[[#This Row],[Current Price]]/Main_S[[#This Row],[EPS]],""),"")</f>
        <v>25.7</v>
      </c>
      <c r="N1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5" s="1">
        <f>(Main_S[[#This Row],[P/FCF]]-VLOOKUP(Main_S[[#This Row],[Industry]], Mean_PFCF_S, 2, FALSE))/(VLOOKUP(Main_S[[#This Row],[Industry]], Mean_PFCF_S, 3, FALSE))</f>
        <v>-4.4474673012797318E-2</v>
      </c>
      <c r="P185" s="1">
        <f>(Main_S[[#This Row],[P/B]]-VLOOKUP(Main_S[[#This Row],[Industry]], Mean_PB_S, 2, FALSE))/(VLOOKUP(Main_S[[#This Row],[Industry]], Mean_PB_S, 3, FALSE))</f>
        <v>0.33776715217812209</v>
      </c>
      <c r="Q185" s="1">
        <f>(Main_S[[#This Row],[ROE]]-VLOOKUP(Main_S[[#This Row],[Industry]], Mean_ROE_S, 2, FALSE))/(VLOOKUP(Main_S[[#This Row],[Industry]], Mean_ROE_S, 3, FALSE))</f>
        <v>0.31339943157473998</v>
      </c>
      <c r="R185" s="1">
        <f>(Main_S[[#This Row],[ROA]]-VLOOKUP(Main_S[[#This Row],[Industry]], Mean_ROA_S, 2, FALSE))/(VLOOKUP(Main_S[[#This Row],[Industry]], Mean_ROA_S, 3, FALSE))</f>
        <v>-7.9409120939216538E-2</v>
      </c>
      <c r="S185" s="1">
        <f>(Main_S[[#This Row],[A/E]]-VLOOKUP(Main_S[[#This Row],[Industry]], Mean_AE_S, 2, FALSE))/(VLOOKUP(Main_S[[#This Row],[Industry]], Mean_AE_S, 3, FALSE))</f>
        <v>1.1410608889015195</v>
      </c>
      <c r="T185" s="1">
        <f>(Main_S[[#This Row],[P/E]]-VLOOKUP(Main_S[[#This Row],[Industry]], Mean_PE_S, 2, FALSE))/(VLOOKUP(Main_S[[#This Row],[Industry]], Mean_PE_S, 3, FALSE))</f>
        <v>1.4442866180303309</v>
      </c>
      <c r="U1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6" spans="1:26" x14ac:dyDescent="0.25">
      <c r="A186" s="67" t="s">
        <v>180</v>
      </c>
      <c r="B186" s="67" t="s">
        <v>474</v>
      </c>
      <c r="C186" s="2">
        <v>1298</v>
      </c>
      <c r="D186">
        <f>RTD("tos.rtd", , "LAST", Main_S[[#This Row],[Symbol]])</f>
        <v>80.599999999999994</v>
      </c>
      <c r="E186">
        <v>2.29</v>
      </c>
      <c r="F186">
        <v>28.33</v>
      </c>
      <c r="G186">
        <v>4.8099999999999996</v>
      </c>
      <c r="H186" s="1">
        <f>IF(ISNUMBER(Main_S[[#This Row],[Free CF]]),IF(Main_S[[#This Row],[Free CF]]&lt;&gt;0,Main_S[[#This Row],[Current Price]]/Main_S[[#This Row],[Free CF]],""),"")</f>
        <v>35.196506550218338</v>
      </c>
      <c r="I186" s="1">
        <f>IF(ISNUMBER(Main_S[[#This Row],[BVPS]]),IF(Main_S[[#This Row],[BVPS]]&lt;&gt;0,Main_S[[#This Row],[Current Price]]/Main_S[[#This Row],[BVPS]],""),"")</f>
        <v>2.8450405930109426</v>
      </c>
      <c r="J186">
        <v>19.45</v>
      </c>
      <c r="K186">
        <v>7.73</v>
      </c>
      <c r="L186">
        <v>3.11</v>
      </c>
      <c r="M186" s="1">
        <f>IF(ISNUMBER(Main_S[[#This Row],[EPS]]),IF(Main_S[[#This Row],[EPS]]&lt;&gt;0,Main_S[[#This Row],[Current Price]]/Main_S[[#This Row],[EPS]],""),"")</f>
        <v>16.756756756756758</v>
      </c>
      <c r="N1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6" s="1">
        <f>(Main_S[[#This Row],[P/FCF]]-VLOOKUP(Main_S[[#This Row],[Industry]], Mean_PFCF_S, 2, FALSE))/(VLOOKUP(Main_S[[#This Row],[Industry]], Mean_PFCF_S, 3, FALSE))</f>
        <v>1.9691753102375789</v>
      </c>
      <c r="P186" s="1">
        <f>(Main_S[[#This Row],[P/B]]-VLOOKUP(Main_S[[#This Row],[Industry]], Mean_PB_S, 2, FALSE))/(VLOOKUP(Main_S[[#This Row],[Industry]], Mean_PB_S, 3, FALSE))</f>
        <v>1.1434770161628089</v>
      </c>
      <c r="Q186" s="1">
        <f>(Main_S[[#This Row],[ROE]]-VLOOKUP(Main_S[[#This Row],[Industry]], Mean_ROE_S, 2, FALSE))/(VLOOKUP(Main_S[[#This Row],[Industry]], Mean_ROE_S, 3, FALSE))</f>
        <v>1.3097083090881183</v>
      </c>
      <c r="R186" s="1">
        <f>(Main_S[[#This Row],[ROA]]-VLOOKUP(Main_S[[#This Row],[Industry]], Mean_ROA_S, 2, FALSE))/(VLOOKUP(Main_S[[#This Row],[Industry]], Mean_ROA_S, 3, FALSE))</f>
        <v>1.6595160358992309</v>
      </c>
      <c r="S186" s="1">
        <f>(Main_S[[#This Row],[A/E]]-VLOOKUP(Main_S[[#This Row],[Industry]], Mean_AE_S, 2, FALSE))/(VLOOKUP(Main_S[[#This Row],[Industry]], Mean_AE_S, 3, FALSE))</f>
        <v>0.97051086280235976</v>
      </c>
      <c r="T186" s="1">
        <f>(Main_S[[#This Row],[P/E]]-VLOOKUP(Main_S[[#This Row],[Industry]], Mean_PE_S, 2, FALSE))/(VLOOKUP(Main_S[[#This Row],[Industry]], Mean_PE_S, 3, FALSE))</f>
        <v>0.3878314462781377</v>
      </c>
      <c r="U1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7" spans="1:26" x14ac:dyDescent="0.25">
      <c r="A187" s="67" t="s">
        <v>180</v>
      </c>
      <c r="B187" s="67" t="s">
        <v>476</v>
      </c>
      <c r="C187" s="2">
        <v>311</v>
      </c>
      <c r="D187">
        <f>RTD("tos.rtd", , "LAST", Main_S[[#This Row],[Symbol]])</f>
        <v>7.31</v>
      </c>
      <c r="E187">
        <v>2.25</v>
      </c>
      <c r="F187">
        <v>5.61</v>
      </c>
      <c r="G187">
        <v>0.38</v>
      </c>
      <c r="H187" s="1">
        <f>IF(ISNUMBER(Main_S[[#This Row],[Free CF]]),IF(Main_S[[#This Row],[Free CF]]&lt;&gt;0,Main_S[[#This Row],[Current Price]]/Main_S[[#This Row],[Free CF]],""),"")</f>
        <v>3.2488888888888887</v>
      </c>
      <c r="I187" s="1">
        <f>IF(ISNUMBER(Main_S[[#This Row],[BVPS]]),IF(Main_S[[#This Row],[BVPS]]&lt;&gt;0,Main_S[[#This Row],[Current Price]]/Main_S[[#This Row],[BVPS]],""),"")</f>
        <v>1.303030303030303</v>
      </c>
      <c r="J187">
        <v>7.24</v>
      </c>
      <c r="K187">
        <v>4.13</v>
      </c>
      <c r="L187">
        <v>1.25</v>
      </c>
      <c r="M187" s="1">
        <f>IF(ISNUMBER(Main_S[[#This Row],[EPS]]),IF(Main_S[[#This Row],[EPS]]&lt;&gt;0,Main_S[[#This Row],[Current Price]]/Main_S[[#This Row],[EPS]],""),"")</f>
        <v>19.236842105263158</v>
      </c>
      <c r="N1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7" s="1">
        <f>(Main_S[[#This Row],[P/FCF]]-VLOOKUP(Main_S[[#This Row],[Industry]], Mean_PFCF_S, 2, FALSE))/(VLOOKUP(Main_S[[#This Row],[Industry]], Mean_PFCF_S, 3, FALSE))</f>
        <v>-0.18815046355139575</v>
      </c>
      <c r="P187" s="1">
        <f>(Main_S[[#This Row],[P/B]]-VLOOKUP(Main_S[[#This Row],[Industry]], Mean_PB_S, 2, FALSE))/(VLOOKUP(Main_S[[#This Row],[Industry]], Mean_PB_S, 3, FALSE))</f>
        <v>-0.53890773429524241</v>
      </c>
      <c r="Q187" s="1">
        <f>(Main_S[[#This Row],[ROE]]-VLOOKUP(Main_S[[#This Row],[Industry]], Mean_ROE_S, 2, FALSE))/(VLOOKUP(Main_S[[#This Row],[Industry]], Mean_ROE_S, 3, FALSE))</f>
        <v>7.4689893409098124E-2</v>
      </c>
      <c r="R187" s="1">
        <f>(Main_S[[#This Row],[ROA]]-VLOOKUP(Main_S[[#This Row],[Industry]], Mean_ROA_S, 2, FALSE))/(VLOOKUP(Main_S[[#This Row],[Industry]], Mean_ROA_S, 3, FALSE))</f>
        <v>1.2113255736491095E-2</v>
      </c>
      <c r="S187" s="1">
        <f>(Main_S[[#This Row],[A/E]]-VLOOKUP(Main_S[[#This Row],[Industry]], Mean_AE_S, 2, FALSE))/(VLOOKUP(Main_S[[#This Row],[Industry]], Mean_AE_S, 3, FALSE))</f>
        <v>-1.2953680553721878</v>
      </c>
      <c r="T187" s="1">
        <f>(Main_S[[#This Row],[P/E]]-VLOOKUP(Main_S[[#This Row],[Industry]], Mean_PE_S, 2, FALSE))/(VLOOKUP(Main_S[[#This Row],[Industry]], Mean_PE_S, 3, FALSE))</f>
        <v>0.68080111304818236</v>
      </c>
      <c r="U1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8" spans="1:26" x14ac:dyDescent="0.25">
      <c r="A188" s="67" t="s">
        <v>180</v>
      </c>
      <c r="B188" s="67" t="s">
        <v>477</v>
      </c>
      <c r="C188" s="2">
        <v>630</v>
      </c>
      <c r="D188">
        <f>RTD("tos.rtd", , "LAST", Main_S[[#This Row],[Symbol]])</f>
        <v>31.32</v>
      </c>
      <c r="E188">
        <v>2.2400000000000002</v>
      </c>
      <c r="F188">
        <v>7.65</v>
      </c>
      <c r="G188">
        <v>1.5</v>
      </c>
      <c r="H188" s="1">
        <f>IF(ISNUMBER(Main_S[[#This Row],[Free CF]]),IF(Main_S[[#This Row],[Free CF]]&lt;&gt;0,Main_S[[#This Row],[Current Price]]/Main_S[[#This Row],[Free CF]],""),"")</f>
        <v>13.982142857142856</v>
      </c>
      <c r="I188" s="1">
        <f>IF(ISNUMBER(Main_S[[#This Row],[BVPS]]),IF(Main_S[[#This Row],[BVPS]]&lt;&gt;0,Main_S[[#This Row],[Current Price]]/Main_S[[#This Row],[BVPS]],""),"")</f>
        <v>4.0941176470588232</v>
      </c>
      <c r="J188">
        <v>19.440000000000001</v>
      </c>
      <c r="K188">
        <v>8.09</v>
      </c>
      <c r="L188">
        <v>2.04</v>
      </c>
      <c r="M188" s="1">
        <f>IF(ISNUMBER(Main_S[[#This Row],[EPS]]),IF(Main_S[[#This Row],[EPS]]&lt;&gt;0,Main_S[[#This Row],[Current Price]]/Main_S[[#This Row],[EPS]],""),"")</f>
        <v>20.88</v>
      </c>
      <c r="N1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8" s="1">
        <f>(Main_S[[#This Row],[P/FCF]]-VLOOKUP(Main_S[[#This Row],[Industry]], Mean_PFCF_S, 2, FALSE))/(VLOOKUP(Main_S[[#This Row],[Industry]], Mean_PFCF_S, 3, FALSE))</f>
        <v>0.53663363984561196</v>
      </c>
      <c r="P188" s="1">
        <f>(Main_S[[#This Row],[P/B]]-VLOOKUP(Main_S[[#This Row],[Industry]], Mean_PB_S, 2, FALSE))/(VLOOKUP(Main_S[[#This Row],[Industry]], Mean_PB_S, 3, FALSE))</f>
        <v>2.5062618182691589</v>
      </c>
      <c r="Q188" s="1">
        <f>(Main_S[[#This Row],[ROE]]-VLOOKUP(Main_S[[#This Row],[Industry]], Mean_ROE_S, 2, FALSE))/(VLOOKUP(Main_S[[#This Row],[Industry]], Mean_ROE_S, 3, FALSE))</f>
        <v>1.3086968279941964</v>
      </c>
      <c r="R188" s="1">
        <f>(Main_S[[#This Row],[ROA]]-VLOOKUP(Main_S[[#This Row],[Industry]], Mean_ROA_S, 2, FALSE))/(VLOOKUP(Main_S[[#This Row],[Industry]], Mean_ROA_S, 3, FALSE))</f>
        <v>1.8242563139155046</v>
      </c>
      <c r="S188" s="1">
        <f>(Main_S[[#This Row],[A/E]]-VLOOKUP(Main_S[[#This Row],[Industry]], Mean_AE_S, 2, FALSE))/(VLOOKUP(Main_S[[#This Row],[Industry]], Mean_AE_S, 3, FALSE))</f>
        <v>-0.33297862238407344</v>
      </c>
      <c r="T188" s="1">
        <f>(Main_S[[#This Row],[P/E]]-VLOOKUP(Main_S[[#This Row],[Industry]], Mean_PE_S, 2, FALSE))/(VLOOKUP(Main_S[[#This Row],[Industry]], Mean_PE_S, 3, FALSE))</f>
        <v>0.87490548980341587</v>
      </c>
      <c r="U1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9" spans="1:26" x14ac:dyDescent="0.25">
      <c r="A189" s="67" t="s">
        <v>180</v>
      </c>
      <c r="B189" s="67" t="s">
        <v>472</v>
      </c>
      <c r="C189" s="2">
        <v>1522</v>
      </c>
      <c r="D189">
        <f>RTD("tos.rtd", , "LAST", Main_S[[#This Row],[Symbol]])</f>
        <v>14.81</v>
      </c>
      <c r="E189">
        <v>1.76</v>
      </c>
      <c r="F189">
        <v>10.76</v>
      </c>
      <c r="G189">
        <v>0.75</v>
      </c>
      <c r="H189" s="1">
        <f>IF(ISNUMBER(Main_S[[#This Row],[Free CF]]),IF(Main_S[[#This Row],[Free CF]]&lt;&gt;0,Main_S[[#This Row],[Current Price]]/Main_S[[#This Row],[Free CF]],""),"")</f>
        <v>8.4147727272727266</v>
      </c>
      <c r="I189" s="1">
        <f>IF(ISNUMBER(Main_S[[#This Row],[BVPS]]),IF(Main_S[[#This Row],[BVPS]]&lt;&gt;0,Main_S[[#This Row],[Current Price]]/Main_S[[#This Row],[BVPS]],""),"")</f>
        <v>1.3763940520446096</v>
      </c>
      <c r="J189">
        <v>7.56</v>
      </c>
      <c r="K189">
        <v>5.16</v>
      </c>
      <c r="L189">
        <v>1.45</v>
      </c>
      <c r="M189" s="1">
        <f>IF(ISNUMBER(Main_S[[#This Row],[EPS]]),IF(Main_S[[#This Row],[EPS]]&lt;&gt;0,Main_S[[#This Row],[Current Price]]/Main_S[[#This Row],[EPS]],""),"")</f>
        <v>19.746666666666666</v>
      </c>
      <c r="N1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9" s="1">
        <f>(Main_S[[#This Row],[P/FCF]]-VLOOKUP(Main_S[[#This Row],[Industry]], Mean_PFCF_S, 2, FALSE))/(VLOOKUP(Main_S[[#This Row],[Industry]], Mean_PFCF_S, 3, FALSE))</f>
        <v>0.16068601205332736</v>
      </c>
      <c r="P189" s="1">
        <f>(Main_S[[#This Row],[P/B]]-VLOOKUP(Main_S[[#This Row],[Industry]], Mean_PB_S, 2, FALSE))/(VLOOKUP(Main_S[[#This Row],[Industry]], Mean_PB_S, 3, FALSE))</f>
        <v>-0.45886543277489972</v>
      </c>
      <c r="Q189" s="1">
        <f>(Main_S[[#This Row],[ROE]]-VLOOKUP(Main_S[[#This Row],[Industry]], Mean_ROE_S, 2, FALSE))/(VLOOKUP(Main_S[[#This Row],[Industry]], Mean_ROE_S, 3, FALSE))</f>
        <v>0.10705728841460883</v>
      </c>
      <c r="R189" s="1">
        <f>(Main_S[[#This Row],[ROA]]-VLOOKUP(Main_S[[#This Row],[Industry]], Mean_ROA_S, 2, FALSE))/(VLOOKUP(Main_S[[#This Row],[Industry]], Mean_ROA_S, 3, FALSE))</f>
        <v>0.48345349561638618</v>
      </c>
      <c r="S189" s="1">
        <f>(Main_S[[#This Row],[A/E]]-VLOOKUP(Main_S[[#This Row],[Industry]], Mean_AE_S, 2, FALSE))/(VLOOKUP(Main_S[[#This Row],[Industry]], Mean_AE_S, 3, FALSE))</f>
        <v>-1.0517251609448173</v>
      </c>
      <c r="T189" s="1">
        <f>(Main_S[[#This Row],[P/E]]-VLOOKUP(Main_S[[#This Row],[Industry]], Mean_PE_S, 2, FALSE))/(VLOOKUP(Main_S[[#This Row],[Industry]], Mean_PE_S, 3, FALSE))</f>
        <v>0.74102610972239857</v>
      </c>
      <c r="U1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0" spans="1:26" x14ac:dyDescent="0.25">
      <c r="A190" s="67" t="s">
        <v>180</v>
      </c>
      <c r="B190" s="67" t="s">
        <v>475</v>
      </c>
      <c r="C190" s="2">
        <v>999</v>
      </c>
      <c r="D190">
        <f>RTD("tos.rtd", , "LAST", Main_S[[#This Row],[Symbol]])</f>
        <v>27.01</v>
      </c>
      <c r="E190">
        <v>1.17</v>
      </c>
      <c r="F190">
        <v>7.51</v>
      </c>
      <c r="G190">
        <v>1.58</v>
      </c>
      <c r="H190" s="1">
        <f>IF(ISNUMBER(Main_S[[#This Row],[Free CF]]),IF(Main_S[[#This Row],[Free CF]]&lt;&gt;0,Main_S[[#This Row],[Current Price]]/Main_S[[#This Row],[Free CF]],""),"")</f>
        <v>23.085470085470089</v>
      </c>
      <c r="I190" s="1">
        <f>IF(ISNUMBER(Main_S[[#This Row],[BVPS]]),IF(Main_S[[#This Row],[BVPS]]&lt;&gt;0,Main_S[[#This Row],[Current Price]]/Main_S[[#This Row],[BVPS]],""),"")</f>
        <v>3.5965379494007994</v>
      </c>
      <c r="J190">
        <v>22.3</v>
      </c>
      <c r="K190">
        <v>9.64</v>
      </c>
      <c r="L190">
        <v>1.86</v>
      </c>
      <c r="M190" s="1">
        <f>IF(ISNUMBER(Main_S[[#This Row],[EPS]]),IF(Main_S[[#This Row],[EPS]]&lt;&gt;0,Main_S[[#This Row],[Current Price]]/Main_S[[#This Row],[EPS]],""),"")</f>
        <v>17.094936708860761</v>
      </c>
      <c r="N1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0" s="1">
        <f>(Main_S[[#This Row],[P/FCF]]-VLOOKUP(Main_S[[#This Row],[Industry]], Mean_PFCF_S, 2, FALSE))/(VLOOKUP(Main_S[[#This Row],[Industry]], Mean_PFCF_S, 3, FALSE))</f>
        <v>1.1513537314997966</v>
      </c>
      <c r="P190" s="1">
        <f>(Main_S[[#This Row],[P/B]]-VLOOKUP(Main_S[[#This Row],[Industry]], Mean_PB_S, 2, FALSE))/(VLOOKUP(Main_S[[#This Row],[Industry]], Mean_PB_S, 3, FALSE))</f>
        <v>1.9633857422036112</v>
      </c>
      <c r="Q190" s="1">
        <f>(Main_S[[#This Row],[ROE]]-VLOOKUP(Main_S[[#This Row],[Industry]], Mean_ROE_S, 2, FALSE))/(VLOOKUP(Main_S[[#This Row],[Industry]], Mean_ROE_S, 3, FALSE))</f>
        <v>1.5979804208559487</v>
      </c>
      <c r="R190" s="1">
        <f>(Main_S[[#This Row],[ROA]]-VLOOKUP(Main_S[[#This Row],[Industry]], Mean_ROA_S, 2, FALSE))/(VLOOKUP(Main_S[[#This Row],[Industry]], Mean_ROA_S, 3, FALSE))</f>
        <v>2.5335547331522399</v>
      </c>
      <c r="S190" s="1">
        <f>(Main_S[[#This Row],[A/E]]-VLOOKUP(Main_S[[#This Row],[Industry]], Mean_AE_S, 2, FALSE))/(VLOOKUP(Main_S[[#This Row],[Industry]], Mean_AE_S, 3, FALSE))</f>
        <v>-0.55225722736870697</v>
      </c>
      <c r="T190" s="1">
        <f>(Main_S[[#This Row],[P/E]]-VLOOKUP(Main_S[[#This Row],[Industry]], Mean_PE_S, 2, FALSE))/(VLOOKUP(Main_S[[#This Row],[Industry]], Mean_PE_S, 3, FALSE))</f>
        <v>0.42778026011064835</v>
      </c>
      <c r="U1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1" spans="1:26" x14ac:dyDescent="0.25">
      <c r="A191" s="67" t="s">
        <v>180</v>
      </c>
      <c r="B191" s="67" t="s">
        <v>620</v>
      </c>
      <c r="C191" s="2">
        <v>539</v>
      </c>
      <c r="D191">
        <f>RTD("tos.rtd", , "LAST", Main_S[[#This Row],[Symbol]])</f>
        <v>6.2824999999999998</v>
      </c>
      <c r="E191">
        <v>1.1599999999999999</v>
      </c>
      <c r="F191">
        <v>5.29</v>
      </c>
      <c r="G191">
        <v>0.5</v>
      </c>
      <c r="H191" s="1">
        <f>IF(ISNUMBER(Main_S[[#This Row],[Free CF]]),IF(Main_S[[#This Row],[Free CF]]&lt;&gt;0,Main_S[[#This Row],[Current Price]]/Main_S[[#This Row],[Free CF]],""),"")</f>
        <v>5.4159482758620694</v>
      </c>
      <c r="I191" s="1">
        <f>IF(ISNUMBER(Main_S[[#This Row],[BVPS]]),IF(Main_S[[#This Row],[BVPS]]&lt;&gt;0,Main_S[[#This Row],[Current Price]]/Main_S[[#This Row],[BVPS]],""),"")</f>
        <v>1.187618147448015</v>
      </c>
      <c r="J191">
        <v>10.01</v>
      </c>
      <c r="K191">
        <v>4.41</v>
      </c>
      <c r="L191">
        <v>3.3</v>
      </c>
      <c r="M191" s="1">
        <f>IF(ISNUMBER(Main_S[[#This Row],[EPS]]),IF(Main_S[[#This Row],[EPS]]&lt;&gt;0,Main_S[[#This Row],[Current Price]]/Main_S[[#This Row],[EPS]],""),"")</f>
        <v>12.565</v>
      </c>
      <c r="N1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1" s="1">
        <f>(Main_S[[#This Row],[P/FCF]]-VLOOKUP(Main_S[[#This Row],[Industry]], Mean_PFCF_S, 2, FALSE))/(VLOOKUP(Main_S[[#This Row],[Industry]], Mean_PFCF_S, 3, FALSE))</f>
        <v>-4.1815512432100514E-2</v>
      </c>
      <c r="P191" s="1">
        <f>(Main_S[[#This Row],[P/B]]-VLOOKUP(Main_S[[#This Row],[Industry]], Mean_PB_S, 2, FALSE))/(VLOOKUP(Main_S[[#This Row],[Industry]], Mean_PB_S, 3, FALSE))</f>
        <v>-0.66482625236918547</v>
      </c>
      <c r="Q191" s="1">
        <f>(Main_S[[#This Row],[ROE]]-VLOOKUP(Main_S[[#This Row],[Industry]], Mean_ROE_S, 2, FALSE))/(VLOOKUP(Main_S[[#This Row],[Industry]], Mean_ROE_S, 3, FALSE))</f>
        <v>0.3548701564255507</v>
      </c>
      <c r="R191" s="1">
        <f>(Main_S[[#This Row],[ROA]]-VLOOKUP(Main_S[[#This Row],[Industry]], Mean_ROA_S, 2, FALSE))/(VLOOKUP(Main_S[[#This Row],[Industry]], Mean_ROA_S, 3, FALSE))</f>
        <v>0.14024458308248205</v>
      </c>
      <c r="S191" s="1">
        <f>(Main_S[[#This Row],[A/E]]-VLOOKUP(Main_S[[#This Row],[Industry]], Mean_AE_S, 2, FALSE))/(VLOOKUP(Main_S[[#This Row],[Industry]], Mean_AE_S, 3, FALSE))</f>
        <v>1.2019716125083619</v>
      </c>
      <c r="T191" s="1">
        <f>(Main_S[[#This Row],[P/E]]-VLOOKUP(Main_S[[#This Row],[Industry]], Mean_PE_S, 2, FALSE))/(VLOOKUP(Main_S[[#This Row],[Industry]], Mean_PE_S, 3, FALSE))</f>
        <v>-0.10733602082040113</v>
      </c>
      <c r="U1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2" spans="1:26" x14ac:dyDescent="0.25">
      <c r="A192" s="67" t="s">
        <v>180</v>
      </c>
      <c r="B192" s="67" t="s">
        <v>625</v>
      </c>
      <c r="C192" s="2">
        <v>367</v>
      </c>
      <c r="D192">
        <f>RTD("tos.rtd", , "LAST", Main_S[[#This Row],[Symbol]])</f>
        <v>3.4870000000000001</v>
      </c>
      <c r="E192">
        <v>0.28000000000000003</v>
      </c>
      <c r="F192">
        <v>2.93</v>
      </c>
      <c r="G192">
        <v>0.31</v>
      </c>
      <c r="H192" s="1">
        <f>IF(ISNUMBER(Main_S[[#This Row],[Free CF]]),IF(Main_S[[#This Row],[Free CF]]&lt;&gt;0,Main_S[[#This Row],[Current Price]]/Main_S[[#This Row],[Free CF]],""),"")</f>
        <v>12.453571428571427</v>
      </c>
      <c r="I192" s="1">
        <f>IF(ISNUMBER(Main_S[[#This Row],[BVPS]]),IF(Main_S[[#This Row],[BVPS]]&lt;&gt;0,Main_S[[#This Row],[Current Price]]/Main_S[[#This Row],[BVPS]],""),"")</f>
        <v>1.1901023890784983</v>
      </c>
      <c r="J192">
        <v>10.18</v>
      </c>
      <c r="K192">
        <v>5.88</v>
      </c>
      <c r="L192">
        <v>1.51</v>
      </c>
      <c r="M192" s="1">
        <f>IF(ISNUMBER(Main_S[[#This Row],[EPS]]),IF(Main_S[[#This Row],[EPS]]&lt;&gt;0,Main_S[[#This Row],[Current Price]]/Main_S[[#This Row],[EPS]],""),"")</f>
        <v>11.248387096774193</v>
      </c>
      <c r="N1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2" s="1">
        <f>(Main_S[[#This Row],[P/FCF]]-VLOOKUP(Main_S[[#This Row],[Industry]], Mean_PFCF_S, 2, FALSE))/(VLOOKUP(Main_S[[#This Row],[Industry]], Mean_PFCF_S, 3, FALSE))</f>
        <v>0.43341384502735414</v>
      </c>
      <c r="P192" s="1">
        <f>(Main_S[[#This Row],[P/B]]-VLOOKUP(Main_S[[#This Row],[Industry]], Mean_PB_S, 2, FALSE))/(VLOOKUP(Main_S[[#This Row],[Industry]], Mean_PB_S, 3, FALSE))</f>
        <v>-0.6621158617429137</v>
      </c>
      <c r="Q192" s="1">
        <f>(Main_S[[#This Row],[ROE]]-VLOOKUP(Main_S[[#This Row],[Industry]], Mean_ROE_S, 2, FALSE))/(VLOOKUP(Main_S[[#This Row],[Industry]], Mean_ROE_S, 3, FALSE))</f>
        <v>0.37206533502222827</v>
      </c>
      <c r="R192" s="1">
        <f>(Main_S[[#This Row],[ROA]]-VLOOKUP(Main_S[[#This Row],[Industry]], Mean_ROA_S, 2, FALSE))/(VLOOKUP(Main_S[[#This Row],[Industry]], Mean_ROA_S, 3, FALSE))</f>
        <v>0.81293405164893395</v>
      </c>
      <c r="S192" s="1">
        <f>(Main_S[[#This Row],[A/E]]-VLOOKUP(Main_S[[#This Row],[Industry]], Mean_AE_S, 2, FALSE))/(VLOOKUP(Main_S[[#This Row],[Industry]], Mean_AE_S, 3, FALSE))</f>
        <v>-0.97863229261660589</v>
      </c>
      <c r="T192" s="1">
        <f>(Main_S[[#This Row],[P/E]]-VLOOKUP(Main_S[[#This Row],[Industry]], Mean_PE_S, 2, FALSE))/(VLOOKUP(Main_S[[#This Row],[Industry]], Mean_PE_S, 3, FALSE))</f>
        <v>-0.26286600842970065</v>
      </c>
      <c r="U1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3" spans="1:26" x14ac:dyDescent="0.25">
      <c r="A193" s="67" t="s">
        <v>180</v>
      </c>
      <c r="B193" s="67" t="s">
        <v>473</v>
      </c>
      <c r="C193" s="2">
        <v>1265</v>
      </c>
      <c r="D193">
        <f>RTD("tos.rtd", , "LAST", Main_S[[#This Row],[Symbol]])</f>
        <v>27.57</v>
      </c>
      <c r="E193">
        <v>0.03</v>
      </c>
      <c r="F193">
        <v>13.67</v>
      </c>
      <c r="G193">
        <v>0.02</v>
      </c>
      <c r="H193" s="1">
        <f>IF(ISNUMBER(Main_S[[#This Row],[Free CF]]),IF(Main_S[[#This Row],[Free CF]]&lt;&gt;0,Main_S[[#This Row],[Current Price]]/Main_S[[#This Row],[Free CF]],""),"")</f>
        <v>919</v>
      </c>
      <c r="I193" s="1">
        <f>IF(ISNUMBER(Main_S[[#This Row],[BVPS]]),IF(Main_S[[#This Row],[BVPS]]&lt;&gt;0,Main_S[[#This Row],[Current Price]]/Main_S[[#This Row],[BVPS]],""),"")</f>
        <v>2.0168251645940014</v>
      </c>
      <c r="J193">
        <v>0.18</v>
      </c>
      <c r="K193">
        <v>4.07</v>
      </c>
      <c r="L193">
        <v>2.77</v>
      </c>
      <c r="M193" s="1">
        <f>IF(ISNUMBER(Main_S[[#This Row],[EPS]]),IF(Main_S[[#This Row],[EPS]]&lt;&gt;0,Main_S[[#This Row],[Current Price]]/Main_S[[#This Row],[EPS]],""),"")</f>
        <v>1378.5</v>
      </c>
      <c r="N1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3" s="1">
        <f>(Main_S[[#This Row],[P/FCF]]-VLOOKUP(Main_S[[#This Row],[Industry]], Mean_PFCF_S, 2, FALSE))/(VLOOKUP(Main_S[[#This Row],[Industry]], Mean_PFCF_S, 3, FALSE))</f>
        <v>61.649746036856421</v>
      </c>
      <c r="P193" s="1">
        <f>(Main_S[[#This Row],[P/B]]-VLOOKUP(Main_S[[#This Row],[Industry]], Mean_PB_S, 2, FALSE))/(VLOOKUP(Main_S[[#This Row],[Industry]], Mean_PB_S, 3, FALSE))</f>
        <v>0.23986631011477214</v>
      </c>
      <c r="Q193" s="1">
        <f>(Main_S[[#This Row],[ROE]]-VLOOKUP(Main_S[[#This Row],[Industry]], Mean_ROE_S, 2, FALSE))/(VLOOKUP(Main_S[[#This Row],[Industry]], Mean_ROE_S, 3, FALSE))</f>
        <v>-0.63941575889998326</v>
      </c>
      <c r="R193" s="1">
        <f>(Main_S[[#This Row],[ROA]]-VLOOKUP(Main_S[[#This Row],[Industry]], Mean_ROA_S, 2, FALSE))/(VLOOKUP(Main_S[[#This Row],[Industry]], Mean_ROA_S, 3, FALSE))</f>
        <v>-1.5343457266221052E-2</v>
      </c>
      <c r="S193" s="1">
        <f>(Main_S[[#This Row],[A/E]]-VLOOKUP(Main_S[[#This Row],[Industry]], Mean_AE_S, 2, FALSE))/(VLOOKUP(Main_S[[#This Row],[Industry]], Mean_AE_S, 3, FALSE))</f>
        <v>0.55631794227582965</v>
      </c>
      <c r="T193" s="1">
        <f>(Main_S[[#This Row],[P/E]]-VLOOKUP(Main_S[[#This Row],[Industry]], Mean_PE_S, 2, FALSE))/(VLOOKUP(Main_S[[#This Row],[Industry]], Mean_PE_S, 3, FALSE))</f>
        <v>161.24901488885411</v>
      </c>
      <c r="U1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4" spans="1:26" x14ac:dyDescent="0.25">
      <c r="A194" s="67" t="s">
        <v>180</v>
      </c>
      <c r="B194" s="67" t="s">
        <v>560</v>
      </c>
      <c r="C194" s="2">
        <v>303</v>
      </c>
      <c r="D194">
        <f>RTD("tos.rtd", , "LAST", Main_S[[#This Row],[Symbol]])</f>
        <v>2.5249999999999999</v>
      </c>
      <c r="E194">
        <v>-0.12</v>
      </c>
      <c r="F194">
        <v>1.37</v>
      </c>
      <c r="G194">
        <v>-1.53</v>
      </c>
      <c r="H194" s="1">
        <f>IF(ISNUMBER(Main_S[[#This Row],[Free CF]]),IF(Main_S[[#This Row],[Free CF]]&lt;&gt;0,Main_S[[#This Row],[Current Price]]/Main_S[[#This Row],[Free CF]],""),"")</f>
        <v>-21.041666666666668</v>
      </c>
      <c r="I194" s="1">
        <f>IF(ISNUMBER(Main_S[[#This Row],[BVPS]]),IF(Main_S[[#This Row],[BVPS]]&lt;&gt;0,Main_S[[#This Row],[Current Price]]/Main_S[[#This Row],[BVPS]],""),"")</f>
        <v>1.8430656934306566</v>
      </c>
      <c r="J194">
        <v>-62.35</v>
      </c>
      <c r="K194">
        <v>0.25</v>
      </c>
      <c r="L194">
        <v>10.41</v>
      </c>
      <c r="M194" s="1">
        <f>IF(ISNUMBER(Main_S[[#This Row],[EPS]]),IF(Main_S[[#This Row],[EPS]]&lt;&gt;0,Main_S[[#This Row],[Current Price]]/Main_S[[#This Row],[EPS]],""),"")</f>
        <v>-1.6503267973856208</v>
      </c>
      <c r="N1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4" s="1">
        <f>(Main_S[[#This Row],[P/FCF]]-VLOOKUP(Main_S[[#This Row],[Industry]], Mean_PFCF_S, 2, FALSE))/(VLOOKUP(Main_S[[#This Row],[Industry]], Mean_PFCF_S, 3, FALSE))</f>
        <v>-1.8284180451646257</v>
      </c>
      <c r="P194" s="1">
        <f>(Main_S[[#This Row],[P/B]]-VLOOKUP(Main_S[[#This Row],[Industry]], Mean_PB_S, 2, FALSE))/(VLOOKUP(Main_S[[#This Row],[Industry]], Mean_PB_S, 3, FALSE))</f>
        <v>5.0288921149010395E-2</v>
      </c>
      <c r="Q194" s="1">
        <f>(Main_S[[#This Row],[ROE]]-VLOOKUP(Main_S[[#This Row],[Industry]], Mean_ROE_S, 2, FALSE))/(VLOOKUP(Main_S[[#This Row],[Industry]], Mean_ROE_S, 3, FALSE))</f>
        <v>-6.9642070391955722</v>
      </c>
      <c r="R194" s="1">
        <f>(Main_S[[#This Row],[ROA]]-VLOOKUP(Main_S[[#This Row],[Industry]], Mean_ROA_S, 2, FALSE))/(VLOOKUP(Main_S[[#This Row],[Industry]], Mean_ROA_S, 3, FALSE))</f>
        <v>-1.7634208517722394</v>
      </c>
      <c r="S194" s="1">
        <f>(Main_S[[#This Row],[A/E]]-VLOOKUP(Main_S[[#This Row],[Industry]], Mean_AE_S, 2, FALSE))/(VLOOKUP(Main_S[[#This Row],[Industry]], Mean_AE_S, 3, FALSE))</f>
        <v>9.8634765094013925</v>
      </c>
      <c r="T194" s="1">
        <f>(Main_S[[#This Row],[P/E]]-VLOOKUP(Main_S[[#This Row],[Industry]], Mean_PE_S, 2, FALSE))/(VLOOKUP(Main_S[[#This Row],[Industry]], Mean_PE_S, 3, FALSE))</f>
        <v>-1.7865764378348663</v>
      </c>
      <c r="U1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5" spans="1:26" x14ac:dyDescent="0.25">
      <c r="A195" s="67" t="s">
        <v>180</v>
      </c>
      <c r="B195" s="67" t="s">
        <v>628</v>
      </c>
      <c r="C195" s="2">
        <v>275</v>
      </c>
      <c r="D195">
        <f>RTD("tos.rtd", , "LAST", Main_S[[#This Row],[Symbol]])</f>
        <v>2.5499999999999998</v>
      </c>
      <c r="E195">
        <v>-0.14000000000000001</v>
      </c>
      <c r="F195">
        <v>0.38</v>
      </c>
      <c r="G195">
        <v>0.02</v>
      </c>
      <c r="H195" s="1">
        <f>IF(ISNUMBER(Main_S[[#This Row],[Free CF]]),IF(Main_S[[#This Row],[Free CF]]&lt;&gt;0,Main_S[[#This Row],[Current Price]]/Main_S[[#This Row],[Free CF]],""),"")</f>
        <v>-18.214285714285712</v>
      </c>
      <c r="I195" s="1">
        <f>IF(ISNUMBER(Main_S[[#This Row],[BVPS]]),IF(Main_S[[#This Row],[BVPS]]&lt;&gt;0,Main_S[[#This Row],[Current Price]]/Main_S[[#This Row],[BVPS]],""),"")</f>
        <v>6.7105263157894735</v>
      </c>
      <c r="J195">
        <v>7.9</v>
      </c>
      <c r="K195">
        <v>3.96</v>
      </c>
      <c r="L195">
        <v>1.64</v>
      </c>
      <c r="M195" s="1">
        <f>IF(ISNUMBER(Main_S[[#This Row],[EPS]]),IF(Main_S[[#This Row],[EPS]]&lt;&gt;0,Main_S[[#This Row],[Current Price]]/Main_S[[#This Row],[EPS]],""),"")</f>
        <v>127.49999999999999</v>
      </c>
      <c r="N1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5" s="1">
        <f>(Main_S[[#This Row],[P/FCF]]-VLOOKUP(Main_S[[#This Row],[Industry]], Mean_PFCF_S, 2, FALSE))/(VLOOKUP(Main_S[[#This Row],[Industry]], Mean_PFCF_S, 3, FALSE))</f>
        <v>-1.6374935804501689</v>
      </c>
      <c r="P195" s="1">
        <f>(Main_S[[#This Row],[P/B]]-VLOOKUP(Main_S[[#This Row],[Industry]], Mean_PB_S, 2, FALSE))/(VLOOKUP(Main_S[[#This Row],[Industry]], Mean_PB_S, 3, FALSE))</f>
        <v>5.3608510994431278</v>
      </c>
      <c r="Q195" s="1">
        <f>(Main_S[[#This Row],[ROE]]-VLOOKUP(Main_S[[#This Row],[Industry]], Mean_ROE_S, 2, FALSE))/(VLOOKUP(Main_S[[#This Row],[Industry]], Mean_ROE_S, 3, FALSE))</f>
        <v>0.14144764560796411</v>
      </c>
      <c r="R195" s="1">
        <f>(Main_S[[#This Row],[ROA]]-VLOOKUP(Main_S[[#This Row],[Industry]], Mean_ROA_S, 2, FALSE))/(VLOOKUP(Main_S[[#This Row],[Industry]], Mean_ROA_S, 3, FALSE))</f>
        <v>-6.5680764437860459E-2</v>
      </c>
      <c r="S195" s="1">
        <f>(Main_S[[#This Row],[A/E]]-VLOOKUP(Main_S[[#This Row],[Industry]], Mean_AE_S, 2, FALSE))/(VLOOKUP(Main_S[[#This Row],[Industry]], Mean_AE_S, 3, FALSE))</f>
        <v>-0.82026441123881511</v>
      </c>
      <c r="T195" s="1">
        <f>(Main_S[[#This Row],[P/E]]-VLOOKUP(Main_S[[#This Row],[Industry]], Mean_PE_S, 2, FALSE))/(VLOOKUP(Main_S[[#This Row],[Industry]], Mean_PE_S, 3, FALSE))</f>
        <v>13.469805052366416</v>
      </c>
      <c r="U1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6" spans="1:26" x14ac:dyDescent="0.25">
      <c r="A196" s="67" t="s">
        <v>180</v>
      </c>
      <c r="B196" s="67" t="s">
        <v>471</v>
      </c>
      <c r="C196" s="2">
        <v>974</v>
      </c>
      <c r="D196">
        <f>RTD("tos.rtd", , "LAST", Main_S[[#This Row],[Symbol]])</f>
        <v>4.6399999999999997</v>
      </c>
      <c r="E196">
        <v>-0.23</v>
      </c>
      <c r="F196">
        <v>3.6</v>
      </c>
      <c r="G196">
        <v>-0.14000000000000001</v>
      </c>
      <c r="H196" s="1">
        <f>IF(ISNUMBER(Main_S[[#This Row],[Free CF]]),IF(Main_S[[#This Row],[Free CF]]&lt;&gt;0,Main_S[[#This Row],[Current Price]]/Main_S[[#This Row],[Free CF]],""),"")</f>
        <v>-20.173913043478258</v>
      </c>
      <c r="I196" s="1">
        <f>IF(ISNUMBER(Main_S[[#This Row],[BVPS]]),IF(Main_S[[#This Row],[BVPS]]&lt;&gt;0,Main_S[[#This Row],[Current Price]]/Main_S[[#This Row],[BVPS]],""),"")</f>
        <v>1.2888888888888888</v>
      </c>
      <c r="J196">
        <v>-3.76</v>
      </c>
      <c r="K196">
        <v>2.0299999999999998</v>
      </c>
      <c r="L196">
        <v>4.3600000000000003</v>
      </c>
      <c r="M196" s="1">
        <f>IF(ISNUMBER(Main_S[[#This Row],[EPS]]),IF(Main_S[[#This Row],[EPS]]&lt;&gt;0,Main_S[[#This Row],[Current Price]]/Main_S[[#This Row],[EPS]],""),"")</f>
        <v>-33.142857142857139</v>
      </c>
      <c r="N1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6" s="1">
        <f>(Main_S[[#This Row],[P/FCF]]-VLOOKUP(Main_S[[#This Row],[Industry]], Mean_PFCF_S, 2, FALSE))/(VLOOKUP(Main_S[[#This Row],[Industry]], Mean_PFCF_S, 3, FALSE))</f>
        <v>-1.7698212735227423</v>
      </c>
      <c r="P196" s="1">
        <f>(Main_S[[#This Row],[P/B]]-VLOOKUP(Main_S[[#This Row],[Industry]], Mean_PB_S, 2, FALSE))/(VLOOKUP(Main_S[[#This Row],[Industry]], Mean_PB_S, 3, FALSE))</f>
        <v>-0.55433648963884374</v>
      </c>
      <c r="Q196" s="1">
        <f>(Main_S[[#This Row],[ROE]]-VLOOKUP(Main_S[[#This Row],[Industry]], Mean_ROE_S, 2, FALSE))/(VLOOKUP(Main_S[[#This Row],[Industry]], Mean_ROE_S, 3, FALSE))</f>
        <v>-1.0379393099053347</v>
      </c>
      <c r="R196" s="1">
        <f>(Main_S[[#This Row],[ROA]]-VLOOKUP(Main_S[[#This Row],[Industry]], Mean_ROA_S, 2, FALSE))/(VLOOKUP(Main_S[[#This Row],[Industry]], Mean_ROA_S, 3, FALSE))</f>
        <v>-0.9488716993584404</v>
      </c>
      <c r="S196" s="1">
        <f>(Main_S[[#This Row],[A/E]]-VLOOKUP(Main_S[[#This Row],[Industry]], Mean_AE_S, 2, FALSE))/(VLOOKUP(Main_S[[#This Row],[Industry]], Mean_AE_S, 3, FALSE))</f>
        <v>2.4932789529734274</v>
      </c>
      <c r="T196" s="1">
        <f>(Main_S[[#This Row],[P/E]]-VLOOKUP(Main_S[[#This Row],[Industry]], Mean_PE_S, 2, FALSE))/(VLOOKUP(Main_S[[#This Row],[Industry]], Mean_PE_S, 3, FALSE))</f>
        <v>-5.5067532965122377</v>
      </c>
      <c r="U1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7" spans="1:26" x14ac:dyDescent="0.25">
      <c r="A197" s="67" t="s">
        <v>180</v>
      </c>
      <c r="B197" s="67" t="s">
        <v>482</v>
      </c>
      <c r="C197" s="2">
        <v>1680</v>
      </c>
      <c r="D197">
        <f>RTD("tos.rtd", , "LAST", Main_S[[#This Row],[Symbol]])</f>
        <v>36.200000000000003</v>
      </c>
      <c r="E197">
        <v>-0.54</v>
      </c>
      <c r="F197">
        <v>6.14</v>
      </c>
      <c r="G197">
        <v>-0.99</v>
      </c>
      <c r="H197" s="1">
        <f>IF(ISNUMBER(Main_S[[#This Row],[Free CF]]),IF(Main_S[[#This Row],[Free CF]]&lt;&gt;0,Main_S[[#This Row],[Current Price]]/Main_S[[#This Row],[Free CF]],""),"")</f>
        <v>-67.037037037037038</v>
      </c>
      <c r="I197" s="1">
        <f>IF(ISNUMBER(Main_S[[#This Row],[BVPS]]),IF(Main_S[[#This Row],[BVPS]]&lt;&gt;0,Main_S[[#This Row],[Current Price]]/Main_S[[#This Row],[BVPS]],""),"")</f>
        <v>5.8957654723127044</v>
      </c>
      <c r="J197">
        <v>-15.45</v>
      </c>
      <c r="K197">
        <v>-4.7</v>
      </c>
      <c r="L197">
        <v>2.23</v>
      </c>
      <c r="M197" s="1">
        <f>IF(ISNUMBER(Main_S[[#This Row],[EPS]]),IF(Main_S[[#This Row],[EPS]]&lt;&gt;0,Main_S[[#This Row],[Current Price]]/Main_S[[#This Row],[EPS]],""),"")</f>
        <v>-36.565656565656568</v>
      </c>
      <c r="N1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7" s="1">
        <f>(Main_S[[#This Row],[P/FCF]]-VLOOKUP(Main_S[[#This Row],[Industry]], Mean_PFCF_S, 2, FALSE))/(VLOOKUP(Main_S[[#This Row],[Industry]], Mean_PFCF_S, 3, FALSE))</f>
        <v>-4.9343459746539562</v>
      </c>
      <c r="P197" s="1">
        <f>(Main_S[[#This Row],[P/B]]-VLOOKUP(Main_S[[#This Row],[Industry]], Mean_PB_S, 2, FALSE))/(VLOOKUP(Main_S[[#This Row],[Industry]], Mean_PB_S, 3, FALSE))</f>
        <v>4.471919795130713</v>
      </c>
      <c r="Q197" s="1">
        <f>(Main_S[[#This Row],[ROE]]-VLOOKUP(Main_S[[#This Row],[Industry]], Mean_ROE_S, 2, FALSE))/(VLOOKUP(Main_S[[#This Row],[Industry]], Mean_ROE_S, 3, FALSE))</f>
        <v>-2.2203607087003996</v>
      </c>
      <c r="R197" s="1">
        <f>(Main_S[[#This Row],[ROA]]-VLOOKUP(Main_S[[#This Row],[Industry]], Mean_ROA_S, 2, FALSE))/(VLOOKUP(Main_S[[#This Row],[Industry]], Mean_ROA_S, 3, FALSE))</f>
        <v>-4.0285996744960064</v>
      </c>
      <c r="S197" s="1">
        <f>(Main_S[[#This Row],[A/E]]-VLOOKUP(Main_S[[#This Row],[Industry]], Mean_AE_S, 2, FALSE))/(VLOOKUP(Main_S[[#This Row],[Industry]], Mean_AE_S, 3, FALSE))</f>
        <v>-0.10151787267807132</v>
      </c>
      <c r="T197" s="1">
        <f>(Main_S[[#This Row],[P/E]]-VLOOKUP(Main_S[[#This Row],[Industry]], Mean_PE_S, 2, FALSE))/(VLOOKUP(Main_S[[#This Row],[Industry]], Mean_PE_S, 3, FALSE))</f>
        <v>-5.9110847066881655</v>
      </c>
      <c r="U1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8" spans="1:26" x14ac:dyDescent="0.25">
      <c r="A198" s="67" t="s">
        <v>180</v>
      </c>
      <c r="B198" s="67" t="s">
        <v>483</v>
      </c>
      <c r="C198" s="2">
        <v>449</v>
      </c>
      <c r="D198">
        <f>RTD("tos.rtd", , "LAST", Main_S[[#This Row],[Symbol]])</f>
        <v>3.04</v>
      </c>
      <c r="E198">
        <v>-2.0099999999999998</v>
      </c>
      <c r="F198">
        <v>2.57</v>
      </c>
      <c r="G198">
        <v>-0.21</v>
      </c>
      <c r="H198" s="1">
        <f>IF(ISNUMBER(Main_S[[#This Row],[Free CF]]),IF(Main_S[[#This Row],[Free CF]]&lt;&gt;0,Main_S[[#This Row],[Current Price]]/Main_S[[#This Row],[Free CF]],""),"")</f>
        <v>-1.5124378109452739</v>
      </c>
      <c r="I198" s="1">
        <f>IF(ISNUMBER(Main_S[[#This Row],[BVPS]]),IF(Main_S[[#This Row],[BVPS]]&lt;&gt;0,Main_S[[#This Row],[Current Price]]/Main_S[[#This Row],[BVPS]],""),"")</f>
        <v>1.1828793774319066</v>
      </c>
      <c r="J198">
        <v>-7.8</v>
      </c>
      <c r="K198">
        <v>-2.78</v>
      </c>
      <c r="L198">
        <v>2.02</v>
      </c>
      <c r="M198" s="1">
        <f>IF(ISNUMBER(Main_S[[#This Row],[EPS]]),IF(Main_S[[#This Row],[EPS]]&lt;&gt;0,Main_S[[#This Row],[Current Price]]/Main_S[[#This Row],[EPS]],""),"")</f>
        <v>-14.476190476190476</v>
      </c>
      <c r="N1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8" s="1">
        <f>(Main_S[[#This Row],[P/FCF]]-VLOOKUP(Main_S[[#This Row],[Industry]], Mean_PFCF_S, 2, FALSE))/(VLOOKUP(Main_S[[#This Row],[Industry]], Mean_PFCF_S, 3, FALSE))</f>
        <v>-0.50966842197541673</v>
      </c>
      <c r="P198" s="1">
        <f>(Main_S[[#This Row],[P/B]]-VLOOKUP(Main_S[[#This Row],[Industry]], Mean_PB_S, 2, FALSE))/(VLOOKUP(Main_S[[#This Row],[Industry]], Mean_PB_S, 3, FALSE))</f>
        <v>-0.66999640879604605</v>
      </c>
      <c r="Q198" s="1">
        <f>(Main_S[[#This Row],[ROE]]-VLOOKUP(Main_S[[#This Row],[Industry]], Mean_ROE_S, 2, FALSE))/(VLOOKUP(Main_S[[#This Row],[Industry]], Mean_ROE_S, 3, FALSE))</f>
        <v>-1.4465776718499079</v>
      </c>
      <c r="R198" s="1">
        <f>(Main_S[[#This Row],[ROA]]-VLOOKUP(Main_S[[#This Row],[Industry]], Mean_ROA_S, 2, FALSE))/(VLOOKUP(Main_S[[#This Row],[Industry]], Mean_ROA_S, 3, FALSE))</f>
        <v>-3.1499848584092121</v>
      </c>
      <c r="S198" s="1">
        <f>(Main_S[[#This Row],[A/E]]-VLOOKUP(Main_S[[#This Row],[Industry]], Mean_AE_S, 2, FALSE))/(VLOOKUP(Main_S[[#This Row],[Industry]], Mean_AE_S, 3, FALSE))</f>
        <v>-0.35734291182681055</v>
      </c>
      <c r="T198" s="1">
        <f>(Main_S[[#This Row],[P/E]]-VLOOKUP(Main_S[[#This Row],[Industry]], Mean_PE_S, 2, FALSE))/(VLOOKUP(Main_S[[#This Row],[Industry]], Mean_PE_S, 3, FALSE))</f>
        <v>-3.301681154001364</v>
      </c>
      <c r="U1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9" spans="1:26" x14ac:dyDescent="0.25">
      <c r="A199" s="67" t="s">
        <v>180</v>
      </c>
      <c r="B199" s="67" t="s">
        <v>481</v>
      </c>
      <c r="C199" s="2">
        <v>927</v>
      </c>
      <c r="D199">
        <f>RTD("tos.rtd", , "LAST", Main_S[[#This Row],[Symbol]])</f>
        <v>144.5</v>
      </c>
      <c r="E199">
        <v>-52.21</v>
      </c>
      <c r="F199">
        <v>76.7</v>
      </c>
      <c r="G199">
        <v>14.5</v>
      </c>
      <c r="H199" s="1">
        <f>IF(ISNUMBER(Main_S[[#This Row],[Free CF]]),IF(Main_S[[#This Row],[Free CF]]&lt;&gt;0,Main_S[[#This Row],[Current Price]]/Main_S[[#This Row],[Free CF]],""),"")</f>
        <v>-2.7676690289216626</v>
      </c>
      <c r="I199" s="1">
        <f>IF(ISNUMBER(Main_S[[#This Row],[BVPS]]),IF(Main_S[[#This Row],[BVPS]]&lt;&gt;0,Main_S[[#This Row],[Current Price]]/Main_S[[#This Row],[BVPS]],""),"")</f>
        <v>1.8839634941329857</v>
      </c>
      <c r="J199">
        <v>18.350000000000001</v>
      </c>
      <c r="K199">
        <v>5.41</v>
      </c>
      <c r="L199">
        <v>5.79</v>
      </c>
      <c r="M199" s="1">
        <f>IF(ISNUMBER(Main_S[[#This Row],[EPS]]),IF(Main_S[[#This Row],[EPS]]&lt;&gt;0,Main_S[[#This Row],[Current Price]]/Main_S[[#This Row],[EPS]],""),"")</f>
        <v>9.9655172413793096</v>
      </c>
      <c r="N1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9" s="1">
        <f>(Main_S[[#This Row],[P/FCF]]-VLOOKUP(Main_S[[#This Row],[Industry]], Mean_PFCF_S, 2, FALSE))/(VLOOKUP(Main_S[[#This Row],[Industry]], Mean_PFCF_S, 3, FALSE))</f>
        <v>-0.59443038098317025</v>
      </c>
      <c r="P199" s="1">
        <f>(Main_S[[#This Row],[P/B]]-VLOOKUP(Main_S[[#This Row],[Industry]], Mean_PB_S, 2, FALSE))/(VLOOKUP(Main_S[[#This Row],[Industry]], Mean_PB_S, 3, FALSE))</f>
        <v>9.49097882573193E-2</v>
      </c>
      <c r="Q199" s="1">
        <f>(Main_S[[#This Row],[ROE]]-VLOOKUP(Main_S[[#This Row],[Industry]], Mean_ROE_S, 2, FALSE))/(VLOOKUP(Main_S[[#This Row],[Industry]], Mean_ROE_S, 3, FALSE))</f>
        <v>1.1984453887566753</v>
      </c>
      <c r="R199" s="1">
        <f>(Main_S[[#This Row],[ROA]]-VLOOKUP(Main_S[[#This Row],[Industry]], Mean_ROA_S, 2, FALSE))/(VLOOKUP(Main_S[[#This Row],[Industry]], Mean_ROA_S, 3, FALSE))</f>
        <v>0.59785646646102086</v>
      </c>
      <c r="S199" s="1">
        <f>(Main_S[[#This Row],[A/E]]-VLOOKUP(Main_S[[#This Row],[Industry]], Mean_AE_S, 2, FALSE))/(VLOOKUP(Main_S[[#This Row],[Industry]], Mean_AE_S, 3, FALSE))</f>
        <v>4.2353256481291277</v>
      </c>
      <c r="T199" s="1">
        <f>(Main_S[[#This Row],[P/E]]-VLOOKUP(Main_S[[#This Row],[Industry]], Mean_PE_S, 2, FALSE))/(VLOOKUP(Main_S[[#This Row],[Industry]], Mean_PE_S, 3, FALSE))</f>
        <v>-0.41440996810460479</v>
      </c>
      <c r="U1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0" spans="1:26" x14ac:dyDescent="0.25">
      <c r="A200" s="67" t="s">
        <v>248</v>
      </c>
      <c r="B200" s="67" t="s">
        <v>618</v>
      </c>
      <c r="C200" s="2">
        <v>1223</v>
      </c>
      <c r="D200">
        <f>RTD("tos.rtd", , "LAST", Main_S[[#This Row],[Symbol]])</f>
        <v>19.8</v>
      </c>
      <c r="E200">
        <v>1.46</v>
      </c>
      <c r="F200">
        <v>7.97</v>
      </c>
      <c r="G200">
        <v>1.26</v>
      </c>
      <c r="H200" s="1">
        <f>IF(ISNUMBER(Main_S[[#This Row],[Free CF]]),IF(Main_S[[#This Row],[Free CF]]&lt;&gt;0,Main_S[[#This Row],[Current Price]]/Main_S[[#This Row],[Free CF]],""),"")</f>
        <v>13.561643835616438</v>
      </c>
      <c r="I200" s="1">
        <f>IF(ISNUMBER(Main_S[[#This Row],[BVPS]]),IF(Main_S[[#This Row],[BVPS]]&lt;&gt;0,Main_S[[#This Row],[Current Price]]/Main_S[[#This Row],[BVPS]],""),"")</f>
        <v>2.4843161856963616</v>
      </c>
      <c r="J200">
        <v>15.76</v>
      </c>
      <c r="K200">
        <v>6.1</v>
      </c>
      <c r="L200">
        <v>2.72</v>
      </c>
      <c r="M200" s="1">
        <f>IF(ISNUMBER(Main_S[[#This Row],[EPS]]),IF(Main_S[[#This Row],[EPS]]&lt;&gt;0,Main_S[[#This Row],[Current Price]]/Main_S[[#This Row],[EPS]],""),"")</f>
        <v>15.714285714285715</v>
      </c>
      <c r="N2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0" s="1">
        <f>(Main_S[[#This Row],[P/FCF]]-VLOOKUP(Main_S[[#This Row],[Industry]], Mean_PFCF_S, 2, FALSE))/(VLOOKUP(Main_S[[#This Row],[Industry]], Mean_PFCF_S, 3, FALSE))</f>
        <v>1</v>
      </c>
      <c r="P200" s="1">
        <f>(Main_S[[#This Row],[P/B]]-VLOOKUP(Main_S[[#This Row],[Industry]], Mean_PB_S, 2, FALSE))/(VLOOKUP(Main_S[[#This Row],[Industry]], Mean_PB_S, 3, FALSE))</f>
        <v>-0.99999999999999956</v>
      </c>
      <c r="Q200" s="1">
        <f>(Main_S[[#This Row],[ROE]]-VLOOKUP(Main_S[[#This Row],[Industry]], Mean_ROE_S, 2, FALSE))/(VLOOKUP(Main_S[[#This Row],[Industry]], Mean_ROE_S, 3, FALSE))</f>
        <v>1</v>
      </c>
      <c r="R200" s="1">
        <f>(Main_S[[#This Row],[ROA]]-VLOOKUP(Main_S[[#This Row],[Industry]], Mean_ROA_S, 2, FALSE))/(VLOOKUP(Main_S[[#This Row],[Industry]], Mean_ROA_S, 3, FALSE))</f>
        <v>1</v>
      </c>
      <c r="S200" s="1">
        <f>(Main_S[[#This Row],[A/E]]-VLOOKUP(Main_S[[#This Row],[Industry]], Mean_AE_S, 2, FALSE))/(VLOOKUP(Main_S[[#This Row],[Industry]], Mean_AE_S, 3, FALSE))</f>
        <v>-0.99999999999999911</v>
      </c>
      <c r="T200" s="1">
        <f>(Main_S[[#This Row],[P/E]]-VLOOKUP(Main_S[[#This Row],[Industry]], Mean_PE_S, 2, FALSE))/(VLOOKUP(Main_S[[#This Row],[Industry]], Mean_PE_S, 3, FALSE))</f>
        <v>1</v>
      </c>
      <c r="U2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1" spans="1:26" x14ac:dyDescent="0.25">
      <c r="A201" s="67" t="s">
        <v>248</v>
      </c>
      <c r="B201" s="67" t="s">
        <v>540</v>
      </c>
      <c r="C201" s="2">
        <v>349</v>
      </c>
      <c r="D201">
        <f>RTD("tos.rtd", , "LAST", Main_S[[#This Row],[Symbol]])</f>
        <v>10.31</v>
      </c>
      <c r="E201">
        <v>-3.65</v>
      </c>
      <c r="F201">
        <v>2.91</v>
      </c>
      <c r="G201">
        <v>-1.17</v>
      </c>
      <c r="H201" s="1">
        <f>IF(ISNUMBER(Main_S[[#This Row],[Free CF]]),IF(Main_S[[#This Row],[Free CF]]&lt;&gt;0,Main_S[[#This Row],[Current Price]]/Main_S[[#This Row],[Free CF]],""),"")</f>
        <v>-2.8246575342465756</v>
      </c>
      <c r="I201" s="1">
        <f>IF(ISNUMBER(Main_S[[#This Row],[BVPS]]),IF(Main_S[[#This Row],[BVPS]]&lt;&gt;0,Main_S[[#This Row],[Current Price]]/Main_S[[#This Row],[BVPS]],""),"")</f>
        <v>3.5429553264604809</v>
      </c>
      <c r="J201">
        <v>-31.26</v>
      </c>
      <c r="K201">
        <v>-2.76</v>
      </c>
      <c r="L201">
        <v>5.64</v>
      </c>
      <c r="M201" s="1">
        <f>IF(ISNUMBER(Main_S[[#This Row],[EPS]]),IF(Main_S[[#This Row],[EPS]]&lt;&gt;0,Main_S[[#This Row],[Current Price]]/Main_S[[#This Row],[EPS]],""),"")</f>
        <v>-8.8119658119658126</v>
      </c>
      <c r="N2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1" s="1">
        <f>(Main_S[[#This Row],[P/FCF]]-VLOOKUP(Main_S[[#This Row],[Industry]], Mean_PFCF_S, 2, FALSE))/(VLOOKUP(Main_S[[#This Row],[Industry]], Mean_PFCF_S, 3, FALSE))</f>
        <v>-1</v>
      </c>
      <c r="P201" s="1">
        <f>(Main_S[[#This Row],[P/B]]-VLOOKUP(Main_S[[#This Row],[Industry]], Mean_PB_S, 2, FALSE))/(VLOOKUP(Main_S[[#This Row],[Industry]], Mean_PB_S, 3, FALSE))</f>
        <v>1.0000000000000004</v>
      </c>
      <c r="Q201" s="1">
        <f>(Main_S[[#This Row],[ROE]]-VLOOKUP(Main_S[[#This Row],[Industry]], Mean_ROE_S, 2, FALSE))/(VLOOKUP(Main_S[[#This Row],[Industry]], Mean_ROE_S, 3, FALSE))</f>
        <v>-1</v>
      </c>
      <c r="R201" s="1">
        <f>(Main_S[[#This Row],[ROA]]-VLOOKUP(Main_S[[#This Row],[Industry]], Mean_ROA_S, 2, FALSE))/(VLOOKUP(Main_S[[#This Row],[Industry]], Mean_ROA_S, 3, FALSE))</f>
        <v>-1</v>
      </c>
      <c r="S201" s="1">
        <f>(Main_S[[#This Row],[A/E]]-VLOOKUP(Main_S[[#This Row],[Industry]], Mean_AE_S, 2, FALSE))/(VLOOKUP(Main_S[[#This Row],[Industry]], Mean_AE_S, 3, FALSE))</f>
        <v>0.99999999999999944</v>
      </c>
      <c r="T201" s="1">
        <f>(Main_S[[#This Row],[P/E]]-VLOOKUP(Main_S[[#This Row],[Industry]], Mean_PE_S, 2, FALSE))/(VLOOKUP(Main_S[[#This Row],[Industry]], Mean_PE_S, 3, FALSE))</f>
        <v>-1</v>
      </c>
      <c r="U2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52"/>
  <sheetViews>
    <sheetView topLeftCell="A5" workbookViewId="0">
      <selection activeCell="B24" sqref="B24"/>
    </sheetView>
  </sheetViews>
  <sheetFormatPr defaultRowHeight="15" x14ac:dyDescent="0.25"/>
  <cols>
    <col min="1" max="1" width="31.42578125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156</v>
      </c>
      <c r="B3" s="1" cm="1">
        <f t="array" ref="B3">_xlfn.QUARTILE.INC(IF(Quartile_L[[#This Row],[Industry]]=Main_L[Industry],Main_L[P/FCF]),1)</f>
        <v>21.828679786146125</v>
      </c>
      <c r="C3" s="1" cm="1">
        <f t="array" ref="C3">_xlfn.QUARTILE.INC(IF(Quartile_L[[#This Row],[Industry]]=Main_L[Industry],Main_L[P/FCF]),3)</f>
        <v>28.877824365245747</v>
      </c>
      <c r="D3" s="1">
        <f>Quartile_L[[#This Row],[P/FCF Q1]]-1.5*(Quartile_L[[#This Row],[P/FCF Q3]]-Quartile_L[[#This Row],[P/FCF Q1]])</f>
        <v>11.254962917496693</v>
      </c>
      <c r="E3" s="1">
        <f>Quartile_L[[#This Row],[P/FCF Q3]]+1.5*(Quartile_L[[#This Row],[P/FCF Q3]]-Quartile_L[[#This Row],[P/FCF Q1]])</f>
        <v>39.451541233895178</v>
      </c>
      <c r="F3" s="1" cm="1">
        <f t="array" ref="F3">_xlfn.QUARTILE.INC(IF(Quartile_L[[#This Row],[Industry]]=Main_L[Industry],Main_L[P/B]),1)</f>
        <v>2.9965470938550567</v>
      </c>
      <c r="G3" s="1" cm="1">
        <f t="array" ref="G3">_xlfn.QUARTILE.INC(IF(Quartile_L[[#This Row],[Industry]]=Main_L[Industry],Main_L[P/B]),3)</f>
        <v>5.7564073972414747</v>
      </c>
      <c r="H3" s="1">
        <f>Quartile_L[[#This Row],[P/B Q1]]-1.5*(Quartile_L[[#This Row],[P/B Q3]]-Quartile_L[[#This Row],[P/B Q1]])</f>
        <v>-1.1432433612245703</v>
      </c>
      <c r="I3" s="1">
        <f>Quartile_L[[#This Row],[P/B Q3]]+1.5*(Quartile_L[[#This Row],[P/B Q3]]-Quartile_L[[#This Row],[P/B Q1]])</f>
        <v>9.8961978523211016</v>
      </c>
      <c r="J3" s="1" cm="1">
        <f t="array" ref="J3">_xlfn.QUARTILE.INC(IF(Quartile_L[[#This Row],[Industry]]=Main_L[Industry],Main_L[ROE]),1)</f>
        <v>10.68</v>
      </c>
      <c r="K3" s="1" cm="1">
        <f t="array" ref="K3">_xlfn.QUARTILE.INC(IF(Quartile_L[[#This Row],[Industry]]=Main_L[Industry],Main_L[ROE]),3)</f>
        <v>25.59</v>
      </c>
      <c r="L3" s="1">
        <f>Quartile_L[[#This Row],[ROE Q1]]-1.5*(Quartile_L[[#This Row],[ROE Q3]]-Quartile_L[[#This Row],[ROE Q1]])</f>
        <v>-11.685000000000002</v>
      </c>
      <c r="M3" s="1">
        <f>Quartile_L[[#This Row],[ROE Q3]]+1.5*(Quartile_L[[#This Row],[ROE Q3]]-Quartile_L[[#This Row],[ROE Q1]])</f>
        <v>47.954999999999998</v>
      </c>
      <c r="N3" s="1" cm="1">
        <f t="array" ref="N3">_xlfn.QUARTILE.INC(IF(Quartile_L[[#This Row],[Industry]]=Main_L[Industry],Main_L[ROA]),1)</f>
        <v>5.39</v>
      </c>
      <c r="O3" s="1" cm="1">
        <f t="array" ref="O3">_xlfn.QUARTILE.INC(IF(Quartile_L[[#This Row],[Industry]]=Main_L[Industry],Main_L[ROA]),3)</f>
        <v>8.82</v>
      </c>
      <c r="P3" s="1">
        <f>Quartile_L[[#This Row],[ROA Q1]]-1.5*(Quartile_L[[#This Row],[ROA Q3]]-Quartile_L[[#This Row],[ROA Q1]])</f>
        <v>0.24499999999999833</v>
      </c>
      <c r="Q3" s="1">
        <f>Quartile_L[[#This Row],[ROA Q3]]+1.5*(Quartile_L[[#This Row],[ROA Q3]]-Quartile_L[[#This Row],[ROA Q1]])</f>
        <v>13.965000000000002</v>
      </c>
      <c r="R3" s="1" cm="1">
        <f t="array" ref="R3">_xlfn.QUARTILE.INC(IF(Quartile_L[[#This Row],[Industry]]=Main_L[Industry],Main_L[P/E]),1)</f>
        <v>20.675923900947989</v>
      </c>
      <c r="S3" s="1" cm="1">
        <f t="array" ref="S3">_xlfn.QUARTILE.INC(IF(Quartile_L[[#This Row],[Industry]]=Main_L[Industry],Main_L[P/E]),3)</f>
        <v>30.556564224164653</v>
      </c>
      <c r="T3" s="1">
        <f>Quartile_L[[#This Row],[P/E Q1]]-1.5*(Quartile_L[[#This Row],[P/E Q3]]-Quartile_L[[#This Row],[P/E Q1]])</f>
        <v>5.8549634161229935</v>
      </c>
      <c r="U3" s="1">
        <f>Quartile_L[[#This Row],[P/E Q3]]+1.5*(Quartile_L[[#This Row],[P/E Q3]]-Quartile_L[[#This Row],[P/E Q1]])</f>
        <v>45.377524708989647</v>
      </c>
      <c r="V3" s="1" cm="1">
        <f t="array" ref="V3">_xlfn.QUARTILE.INC(IF(Quartile_L[[#This Row],[Industry]]=Main_L[Industry],Main_L[A/E]),1)</f>
        <v>1.74</v>
      </c>
      <c r="W3" s="1" cm="1">
        <f t="array" ref="W3">_xlfn.QUARTILE.INC(IF(Quartile_L[[#This Row],[Industry]]=Main_L[Industry],Main_L[A/E]),3)</f>
        <v>2.84</v>
      </c>
      <c r="X3" s="1">
        <f>Quartile_L[[#This Row],[A/E Q1]]-1.5*(Quartile_L[[#This Row],[A/E Q3]]-Quartile_L[[#This Row],[A/E Q1]])</f>
        <v>9.000000000000008E-2</v>
      </c>
      <c r="Y3" s="1">
        <f>Quartile_L[[#This Row],[A/E Q3]]+1.5*(Quartile_L[[#This Row],[A/E Q3]]-Quartile_L[[#This Row],[A/E Q1]])</f>
        <v>4.49</v>
      </c>
    </row>
    <row r="4" spans="1:25" x14ac:dyDescent="0.25">
      <c r="A4" t="s">
        <v>233</v>
      </c>
      <c r="B4" s="1" cm="1">
        <f t="array" ref="B4">_xlfn.QUARTILE.INC(IF(Quartile_L[[#This Row],[Industry]]=Main_L[Industry],Main_L[P/FCF]),1)</f>
        <v>23.482479784366578</v>
      </c>
      <c r="C4" s="1" cm="1">
        <f t="array" ref="C4">_xlfn.QUARTILE.INC(IF(Quartile_L[[#This Row],[Industry]]=Main_L[Industry],Main_L[P/FCF]),3)</f>
        <v>41.699228791773777</v>
      </c>
      <c r="D4" s="1">
        <f>Quartile_L[[#This Row],[P/FCF Q1]]-1.5*(Quartile_L[[#This Row],[P/FCF Q3]]-Quartile_L[[#This Row],[P/FCF Q1]])</f>
        <v>-3.8426437267442175</v>
      </c>
      <c r="E4" s="1">
        <f>Quartile_L[[#This Row],[P/FCF Q3]]+1.5*(Quartile_L[[#This Row],[P/FCF Q3]]-Quartile_L[[#This Row],[P/FCF Q1]])</f>
        <v>69.02435230288458</v>
      </c>
      <c r="F4" s="1" cm="1">
        <f t="array" ref="F4">_xlfn.QUARTILE.INC(IF(Quartile_L[[#This Row],[Industry]]=Main_L[Industry],Main_L[P/B]),1)</f>
        <v>2.4475247524752475</v>
      </c>
      <c r="G4" s="1" cm="1">
        <f t="array" ref="G4">_xlfn.QUARTILE.INC(IF(Quartile_L[[#This Row],[Industry]]=Main_L[Industry],Main_L[P/B]),3)</f>
        <v>8.1186186186186191</v>
      </c>
      <c r="H4" s="1">
        <f>Quartile_L[[#This Row],[P/B Q1]]-1.5*(Quartile_L[[#This Row],[P/B Q3]]-Quartile_L[[#This Row],[P/B Q1]])</f>
        <v>-6.059116046739808</v>
      </c>
      <c r="I4" s="1">
        <f>Quartile_L[[#This Row],[P/B Q3]]+1.5*(Quartile_L[[#This Row],[P/B Q3]]-Quartile_L[[#This Row],[P/B Q1]])</f>
        <v>16.625259417833675</v>
      </c>
      <c r="J4" s="1" cm="1">
        <f t="array" ref="J4">_xlfn.QUARTILE.INC(IF(Quartile_L[[#This Row],[Industry]]=Main_L[Industry],Main_L[ROE]),1)</f>
        <v>8.27</v>
      </c>
      <c r="K4" s="1" cm="1">
        <f t="array" ref="K4">_xlfn.QUARTILE.INC(IF(Quartile_L[[#This Row],[Industry]]=Main_L[Industry],Main_L[ROE]),3)</f>
        <v>26.18</v>
      </c>
      <c r="L4" s="1">
        <f>Quartile_L[[#This Row],[ROE Q1]]-1.5*(Quartile_L[[#This Row],[ROE Q3]]-Quartile_L[[#This Row],[ROE Q1]])</f>
        <v>-18.595000000000002</v>
      </c>
      <c r="M4" s="1">
        <f>Quartile_L[[#This Row],[ROE Q3]]+1.5*(Quartile_L[[#This Row],[ROE Q3]]-Quartile_L[[#This Row],[ROE Q1]])</f>
        <v>53.045000000000002</v>
      </c>
      <c r="N4" s="1" cm="1">
        <f t="array" ref="N4">_xlfn.QUARTILE.INC(IF(Quartile_L[[#This Row],[Industry]]=Main_L[Industry],Main_L[ROA]),1)</f>
        <v>4.29</v>
      </c>
      <c r="O4" s="1" cm="1">
        <f t="array" ref="O4">_xlfn.QUARTILE.INC(IF(Quartile_L[[#This Row],[Industry]]=Main_L[Industry],Main_L[ROA]),3)</f>
        <v>7.45</v>
      </c>
      <c r="P4" s="1">
        <f>Quartile_L[[#This Row],[ROA Q1]]-1.5*(Quartile_L[[#This Row],[ROA Q3]]-Quartile_L[[#This Row],[ROA Q1]])</f>
        <v>-0.45000000000000018</v>
      </c>
      <c r="Q4" s="1">
        <f>Quartile_L[[#This Row],[ROA Q3]]+1.5*(Quartile_L[[#This Row],[ROA Q3]]-Quartile_L[[#This Row],[ROA Q1]])</f>
        <v>12.190000000000001</v>
      </c>
      <c r="R4" s="1" cm="1">
        <f t="array" ref="R4">_xlfn.QUARTILE.INC(IF(Quartile_L[[#This Row],[Industry]]=Main_L[Industry],Main_L[P/E]),1)</f>
        <v>20.192792792792794</v>
      </c>
      <c r="S4" s="1" cm="1">
        <f t="array" ref="S4">_xlfn.QUARTILE.INC(IF(Quartile_L[[#This Row],[Industry]]=Main_L[Industry],Main_L[P/E]),3)</f>
        <v>33.967914438502675</v>
      </c>
      <c r="T4" s="1">
        <f>Quartile_L[[#This Row],[P/E Q1]]-1.5*(Quartile_L[[#This Row],[P/E Q3]]-Quartile_L[[#This Row],[P/E Q1]])</f>
        <v>-0.469889675772027</v>
      </c>
      <c r="U4" s="1">
        <f>Quartile_L[[#This Row],[P/E Q3]]+1.5*(Quartile_L[[#This Row],[P/E Q3]]-Quartile_L[[#This Row],[P/E Q1]])</f>
        <v>54.630596907067499</v>
      </c>
      <c r="V4" s="1" cm="1">
        <f t="array" ref="V4">_xlfn.QUARTILE.INC(IF(Quartile_L[[#This Row],[Industry]]=Main_L[Industry],Main_L[A/E]),1)</f>
        <v>1.49</v>
      </c>
      <c r="W4" s="1" cm="1">
        <f t="array" ref="W4">_xlfn.QUARTILE.INC(IF(Quartile_L[[#This Row],[Industry]]=Main_L[Industry],Main_L[A/E]),3)</f>
        <v>3.02</v>
      </c>
      <c r="X4" s="1">
        <f>Quartile_L[[#This Row],[A/E Q1]]-1.5*(Quartile_L[[#This Row],[A/E Q3]]-Quartile_L[[#This Row],[A/E Q1]])</f>
        <v>-0.80499999999999994</v>
      </c>
      <c r="Y4" s="1">
        <f>Quartile_L[[#This Row],[A/E Q3]]+1.5*(Quartile_L[[#This Row],[A/E Q3]]-Quartile_L[[#This Row],[A/E Q1]])</f>
        <v>5.3149999999999995</v>
      </c>
    </row>
    <row r="5" spans="1:25" x14ac:dyDescent="0.25">
      <c r="A5" t="s">
        <v>247</v>
      </c>
      <c r="B5" s="1" t="e" cm="1">
        <f t="array" ref="B5">_xlfn.QUARTILE.INC(IF(Quartile_L[[#This Row],[Industry]]=Main_L[Industry],Main_L[P/FCF]),1)</f>
        <v>#NUM!</v>
      </c>
      <c r="C5" s="1" t="e" cm="1">
        <f t="array" ref="C5">_xlfn.QUARTILE.INC(IF(Quartile_L[[#This Row],[Industry]]=Main_L[Industry],Main_L[P/FCF]),3)</f>
        <v>#NUM!</v>
      </c>
      <c r="D5" s="1" t="e">
        <f>Quartile_L[[#This Row],[P/FCF Q1]]-1.5*(Quartile_L[[#This Row],[P/FCF Q3]]-Quartile_L[[#This Row],[P/FCF Q1]])</f>
        <v>#NUM!</v>
      </c>
      <c r="E5" s="1" t="e">
        <f>Quartile_L[[#This Row],[P/FCF Q3]]+1.5*(Quartile_L[[#This Row],[P/FCF Q3]]-Quartile_L[[#This Row],[P/FCF Q1]])</f>
        <v>#NUM!</v>
      </c>
      <c r="F5" s="1" t="e" cm="1">
        <f t="array" ref="F5">_xlfn.QUARTILE.INC(IF(Quartile_L[[#This Row],[Industry]]=Main_L[Industry],Main_L[P/B]),1)</f>
        <v>#NUM!</v>
      </c>
      <c r="G5" s="1" t="e" cm="1">
        <f t="array" ref="G5">_xlfn.QUARTILE.INC(IF(Quartile_L[[#This Row],[Industry]]=Main_L[Industry],Main_L[P/B]),3)</f>
        <v>#NUM!</v>
      </c>
      <c r="H5" s="1" t="e">
        <f>Quartile_L[[#This Row],[P/B Q1]]-1.5*(Quartile_L[[#This Row],[P/B Q3]]-Quartile_L[[#This Row],[P/B Q1]])</f>
        <v>#NUM!</v>
      </c>
      <c r="I5" s="1" t="e">
        <f>Quartile_L[[#This Row],[P/B Q3]]+1.5*(Quartile_L[[#This Row],[P/B Q3]]-Quartile_L[[#This Row],[P/B Q1]])</f>
        <v>#NUM!</v>
      </c>
      <c r="J5" s="1" t="e" cm="1">
        <f t="array" ref="J5">_xlfn.QUARTILE.INC(IF(Quartile_L[[#This Row],[Industry]]=Main_L[Industry],Main_L[ROE]),1)</f>
        <v>#NUM!</v>
      </c>
      <c r="K5" s="1" t="e" cm="1">
        <f t="array" ref="K5">_xlfn.QUARTILE.INC(IF(Quartile_L[[#This Row],[Industry]]=Main_L[Industry],Main_L[ROE]),3)</f>
        <v>#NUM!</v>
      </c>
      <c r="L5" s="1" t="e">
        <f>Quartile_L[[#This Row],[ROE Q1]]-1.5*(Quartile_L[[#This Row],[ROE Q3]]-Quartile_L[[#This Row],[ROE Q1]])</f>
        <v>#NUM!</v>
      </c>
      <c r="M5" s="1" t="e">
        <f>Quartile_L[[#This Row],[ROE Q3]]+1.5*(Quartile_L[[#This Row],[ROE Q3]]-Quartile_L[[#This Row],[ROE Q1]])</f>
        <v>#NUM!</v>
      </c>
      <c r="N5" s="1" t="e" cm="1">
        <f t="array" ref="N5">_xlfn.QUARTILE.INC(IF(Quartile_L[[#This Row],[Industry]]=Main_L[Industry],Main_L[ROA]),1)</f>
        <v>#NUM!</v>
      </c>
      <c r="O5" s="1" t="e" cm="1">
        <f t="array" ref="O5">_xlfn.QUARTILE.INC(IF(Quartile_L[[#This Row],[Industry]]=Main_L[Industry],Main_L[ROA]),3)</f>
        <v>#NUM!</v>
      </c>
      <c r="P5" s="1" t="e">
        <f>Quartile_L[[#This Row],[ROA Q1]]-1.5*(Quartile_L[[#This Row],[ROA Q3]]-Quartile_L[[#This Row],[ROA Q1]])</f>
        <v>#NUM!</v>
      </c>
      <c r="Q5" s="1" t="e">
        <f>Quartile_L[[#This Row],[ROA Q3]]+1.5*(Quartile_L[[#This Row],[ROA Q3]]-Quartile_L[[#This Row],[ROA Q1]])</f>
        <v>#NUM!</v>
      </c>
      <c r="R5" s="1" t="e" cm="1">
        <f t="array" ref="R5">_xlfn.QUARTILE.INC(IF(Quartile_L[[#This Row],[Industry]]=Main_L[Industry],Main_L[P/E]),1)</f>
        <v>#NUM!</v>
      </c>
      <c r="S5" s="1" t="e" cm="1">
        <f t="array" ref="S5">_xlfn.QUARTILE.INC(IF(Quartile_L[[#This Row],[Industry]]=Main_L[Industry],Main_L[P/E]),3)</f>
        <v>#NUM!</v>
      </c>
      <c r="T5" s="1" t="e">
        <f>Quartile_L[[#This Row],[P/E Q1]]-1.5*(Quartile_L[[#This Row],[P/E Q3]]-Quartile_L[[#This Row],[P/E Q1]])</f>
        <v>#NUM!</v>
      </c>
      <c r="U5" s="1" t="e">
        <f>Quartile_L[[#This Row],[P/E Q3]]+1.5*(Quartile_L[[#This Row],[P/E Q3]]-Quartile_L[[#This Row],[P/E Q1]])</f>
        <v>#NUM!</v>
      </c>
      <c r="V5" s="1" t="e" cm="1">
        <f t="array" ref="V5">_xlfn.QUARTILE.INC(IF(Quartile_L[[#This Row],[Industry]]=Main_L[Industry],Main_L[A/E]),1)</f>
        <v>#NUM!</v>
      </c>
      <c r="W5" s="1" t="e" cm="1">
        <f t="array" ref="W5">_xlfn.QUARTILE.INC(IF(Quartile_L[[#This Row],[Industry]]=Main_L[Industry],Main_L[A/E]),3)</f>
        <v>#NUM!</v>
      </c>
      <c r="X5" s="1" t="e">
        <f>Quartile_L[[#This Row],[A/E Q1]]-1.5*(Quartile_L[[#This Row],[A/E Q3]]-Quartile_L[[#This Row],[A/E Q1]])</f>
        <v>#NUM!</v>
      </c>
      <c r="Y5" s="1" t="e">
        <f>Quartile_L[[#This Row],[A/E Q3]]+1.5*(Quartile_L[[#This Row],[A/E Q3]]-Quartile_L[[#This Row],[A/E Q1]])</f>
        <v>#NUM!</v>
      </c>
    </row>
    <row r="6" spans="1:25" x14ac:dyDescent="0.25">
      <c r="A6" t="s">
        <v>105</v>
      </c>
      <c r="B6" s="1" cm="1">
        <f t="array" ref="B6">_xlfn.QUARTILE.INC(IF(Quartile_L[[#This Row],[Industry]]=Main_L[Industry],Main_L[P/FCF]),1)</f>
        <v>25.505803705004617</v>
      </c>
      <c r="C6" s="1" cm="1">
        <f t="array" ref="C6">_xlfn.QUARTILE.INC(IF(Quartile_L[[#This Row],[Industry]]=Main_L[Industry],Main_L[P/FCF]),3)</f>
        <v>56.704033494515869</v>
      </c>
      <c r="D6" s="1">
        <f>Quartile_L[[#This Row],[P/FCF Q1]]-1.5*(Quartile_L[[#This Row],[P/FCF Q3]]-Quartile_L[[#This Row],[P/FCF Q1]])</f>
        <v>-21.291540979262258</v>
      </c>
      <c r="E6" s="1">
        <f>Quartile_L[[#This Row],[P/FCF Q3]]+1.5*(Quartile_L[[#This Row],[P/FCF Q3]]-Quartile_L[[#This Row],[P/FCF Q1]])</f>
        <v>103.50137817878274</v>
      </c>
      <c r="F6" s="1" cm="1">
        <f t="array" ref="F6">_xlfn.QUARTILE.INC(IF(Quartile_L[[#This Row],[Industry]]=Main_L[Industry],Main_L[P/B]),1)</f>
        <v>3.2732921083974773</v>
      </c>
      <c r="G6" s="1" cm="1">
        <f t="array" ref="G6">_xlfn.QUARTILE.INC(IF(Quartile_L[[#This Row],[Industry]]=Main_L[Industry],Main_L[P/B]),3)</f>
        <v>14.130755243202906</v>
      </c>
      <c r="H6" s="1">
        <f>Quartile_L[[#This Row],[P/B Q1]]-1.5*(Quartile_L[[#This Row],[P/B Q3]]-Quartile_L[[#This Row],[P/B Q1]])</f>
        <v>-13.012902593810665</v>
      </c>
      <c r="I6" s="1">
        <f>Quartile_L[[#This Row],[P/B Q3]]+1.5*(Quartile_L[[#This Row],[P/B Q3]]-Quartile_L[[#This Row],[P/B Q1]])</f>
        <v>30.416949945411048</v>
      </c>
      <c r="J6" s="1" cm="1">
        <f t="array" ref="J6">_xlfn.QUARTILE.INC(IF(Quartile_L[[#This Row],[Industry]]=Main_L[Industry],Main_L[ROE]),1)</f>
        <v>11.045</v>
      </c>
      <c r="K6" s="1" cm="1">
        <f t="array" ref="K6">_xlfn.QUARTILE.INC(IF(Quartile_L[[#This Row],[Industry]]=Main_L[Industry],Main_L[ROE]),3)</f>
        <v>27.47</v>
      </c>
      <c r="L6" s="1">
        <f>Quartile_L[[#This Row],[ROE Q1]]-1.5*(Quartile_L[[#This Row],[ROE Q3]]-Quartile_L[[#This Row],[ROE Q1]])</f>
        <v>-13.592499999999996</v>
      </c>
      <c r="M6" s="1">
        <f>Quartile_L[[#This Row],[ROE Q3]]+1.5*(Quartile_L[[#This Row],[ROE Q3]]-Quartile_L[[#This Row],[ROE Q1]])</f>
        <v>52.107499999999995</v>
      </c>
      <c r="N6" s="1" cm="1">
        <f t="array" ref="N6">_xlfn.QUARTILE.INC(IF(Quartile_L[[#This Row],[Industry]]=Main_L[Industry],Main_L[ROA]),1)</f>
        <v>3.4050000000000002</v>
      </c>
      <c r="O6" s="1" cm="1">
        <f t="array" ref="O6">_xlfn.QUARTILE.INC(IF(Quartile_L[[#This Row],[Industry]]=Main_L[Industry],Main_L[ROA]),3)</f>
        <v>7.46</v>
      </c>
      <c r="P6" s="1">
        <f>Quartile_L[[#This Row],[ROA Q1]]-1.5*(Quartile_L[[#This Row],[ROA Q3]]-Quartile_L[[#This Row],[ROA Q1]])</f>
        <v>-2.6774999999999993</v>
      </c>
      <c r="Q6" s="1">
        <f>Quartile_L[[#This Row],[ROA Q3]]+1.5*(Quartile_L[[#This Row],[ROA Q3]]-Quartile_L[[#This Row],[ROA Q1]])</f>
        <v>13.5425</v>
      </c>
      <c r="R6" s="1" cm="1">
        <f t="array" ref="R6">_xlfn.QUARTILE.INC(IF(Quartile_L[[#This Row],[Industry]]=Main_L[Industry],Main_L[P/E]),1)</f>
        <v>20.402324641930296</v>
      </c>
      <c r="S6" s="1" cm="1">
        <f t="array" ref="S6">_xlfn.QUARTILE.INC(IF(Quartile_L[[#This Row],[Industry]]=Main_L[Industry],Main_L[P/E]),3)</f>
        <v>53.062550324312234</v>
      </c>
      <c r="T6" s="1">
        <f>Quartile_L[[#This Row],[P/E Q1]]-1.5*(Quartile_L[[#This Row],[P/E Q3]]-Quartile_L[[#This Row],[P/E Q1]])</f>
        <v>-28.588013881642606</v>
      </c>
      <c r="U6" s="1">
        <f>Quartile_L[[#This Row],[P/E Q3]]+1.5*(Quartile_L[[#This Row],[P/E Q3]]-Quartile_L[[#This Row],[P/E Q1]])</f>
        <v>102.05288884788513</v>
      </c>
      <c r="V6" s="1" cm="1">
        <f t="array" ref="V6">_xlfn.QUARTILE.INC(IF(Quartile_L[[#This Row],[Industry]]=Main_L[Industry],Main_L[A/E]),1)</f>
        <v>2.1225000000000001</v>
      </c>
      <c r="W6" s="1" cm="1">
        <f t="array" ref="W6">_xlfn.QUARTILE.INC(IF(Quartile_L[[#This Row],[Industry]]=Main_L[Industry],Main_L[A/E]),3)</f>
        <v>3.2824999999999998</v>
      </c>
      <c r="X6" s="1">
        <f>Quartile_L[[#This Row],[A/E Q1]]-1.5*(Quartile_L[[#This Row],[A/E Q3]]-Quartile_L[[#This Row],[A/E Q1]])</f>
        <v>0.38250000000000051</v>
      </c>
      <c r="Y6" s="1">
        <f>Quartile_L[[#This Row],[A/E Q3]]+1.5*(Quartile_L[[#This Row],[A/E Q3]]-Quartile_L[[#This Row],[A/E Q1]])</f>
        <v>5.0224999999999991</v>
      </c>
    </row>
    <row r="7" spans="1:25" x14ac:dyDescent="0.25">
      <c r="A7" t="s">
        <v>180</v>
      </c>
      <c r="B7" s="1" cm="1">
        <f t="array" ref="B7">_xlfn.QUARTILE.INC(IF(Quartile_L[[#This Row],[Industry]]=Main_L[Industry],Main_L[P/FCF]),1)</f>
        <v>6.0723985134362497</v>
      </c>
      <c r="C7" s="1" cm="1">
        <f t="array" ref="C7">_xlfn.QUARTILE.INC(IF(Quartile_L[[#This Row],[Industry]]=Main_L[Industry],Main_L[P/FCF]),3)</f>
        <v>33.33244766115444</v>
      </c>
      <c r="D7" s="1">
        <f>Quartile_L[[#This Row],[P/FCF Q1]]-1.5*(Quartile_L[[#This Row],[P/FCF Q3]]-Quartile_L[[#This Row],[P/FCF Q1]])</f>
        <v>-34.81767520814104</v>
      </c>
      <c r="E7" s="1">
        <f>Quartile_L[[#This Row],[P/FCF Q3]]+1.5*(Quartile_L[[#This Row],[P/FCF Q3]]-Quartile_L[[#This Row],[P/FCF Q1]])</f>
        <v>74.222521382731728</v>
      </c>
      <c r="F7" s="1" cm="1">
        <f t="array" ref="F7">_xlfn.QUARTILE.INC(IF(Quartile_L[[#This Row],[Industry]]=Main_L[Industry],Main_L[P/B]),1)</f>
        <v>2.2484785503144509</v>
      </c>
      <c r="G7" s="1" cm="1">
        <f t="array" ref="G7">_xlfn.QUARTILE.INC(IF(Quartile_L[[#This Row],[Industry]]=Main_L[Industry],Main_L[P/B]),3)</f>
        <v>11.751158684617081</v>
      </c>
      <c r="H7" s="1">
        <f>Quartile_L[[#This Row],[P/B Q1]]-1.5*(Quartile_L[[#This Row],[P/B Q3]]-Quartile_L[[#This Row],[P/B Q1]])</f>
        <v>-12.005541651139497</v>
      </c>
      <c r="I7" s="1">
        <f>Quartile_L[[#This Row],[P/B Q3]]+1.5*(Quartile_L[[#This Row],[P/B Q3]]-Quartile_L[[#This Row],[P/B Q1]])</f>
        <v>26.005178886071029</v>
      </c>
      <c r="J7" s="1" cm="1">
        <f t="array" ref="J7">_xlfn.QUARTILE.INC(IF(Quartile_L[[#This Row],[Industry]]=Main_L[Industry],Main_L[ROE]),1)</f>
        <v>15.567499999999999</v>
      </c>
      <c r="K7" s="1" cm="1">
        <f t="array" ref="K7">_xlfn.QUARTILE.INC(IF(Quartile_L[[#This Row],[Industry]]=Main_L[Industry],Main_L[ROE]),3)</f>
        <v>31.805</v>
      </c>
      <c r="L7" s="1">
        <f>Quartile_L[[#This Row],[ROE Q1]]-1.5*(Quartile_L[[#This Row],[ROE Q3]]-Quartile_L[[#This Row],[ROE Q1]])</f>
        <v>-8.7887500000000038</v>
      </c>
      <c r="M7" s="1">
        <f>Quartile_L[[#This Row],[ROE Q3]]+1.5*(Quartile_L[[#This Row],[ROE Q3]]-Quartile_L[[#This Row],[ROE Q1]])</f>
        <v>56.161250000000003</v>
      </c>
      <c r="N7" s="1" cm="1">
        <f t="array" ref="N7">_xlfn.QUARTILE.INC(IF(Quartile_L[[#This Row],[Industry]]=Main_L[Industry],Main_L[ROA]),1)</f>
        <v>5.1375000000000002</v>
      </c>
      <c r="O7" s="1" cm="1">
        <f t="array" ref="O7">_xlfn.QUARTILE.INC(IF(Quartile_L[[#This Row],[Industry]]=Main_L[Industry],Main_L[ROA]),3)</f>
        <v>10.370000000000001</v>
      </c>
      <c r="P7" s="1">
        <f>Quartile_L[[#This Row],[ROA Q1]]-1.5*(Quartile_L[[#This Row],[ROA Q3]]-Quartile_L[[#This Row],[ROA Q1]])</f>
        <v>-2.7112500000000006</v>
      </c>
      <c r="Q7" s="1">
        <f>Quartile_L[[#This Row],[ROA Q3]]+1.5*(Quartile_L[[#This Row],[ROA Q3]]-Quartile_L[[#This Row],[ROA Q1]])</f>
        <v>18.21875</v>
      </c>
      <c r="R7" s="1" cm="1">
        <f t="array" ref="R7">_xlfn.QUARTILE.INC(IF(Quartile_L[[#This Row],[Industry]]=Main_L[Industry],Main_L[P/E]),1)</f>
        <v>13.994794424730731</v>
      </c>
      <c r="S7" s="1" cm="1">
        <f t="array" ref="S7">_xlfn.QUARTILE.INC(IF(Quartile_L[[#This Row],[Industry]]=Main_L[Industry],Main_L[P/E]),3)</f>
        <v>32.547651861540182</v>
      </c>
      <c r="T7" s="1">
        <f>Quartile_L[[#This Row],[P/E Q1]]-1.5*(Quartile_L[[#This Row],[P/E Q3]]-Quartile_L[[#This Row],[P/E Q1]])</f>
        <v>-13.834491730483446</v>
      </c>
      <c r="U7" s="1">
        <f>Quartile_L[[#This Row],[P/E Q3]]+1.5*(Quartile_L[[#This Row],[P/E Q3]]-Quartile_L[[#This Row],[P/E Q1]])</f>
        <v>60.376938016754359</v>
      </c>
      <c r="V7" s="1" cm="1">
        <f t="array" ref="V7">_xlfn.QUARTILE.INC(IF(Quartile_L[[#This Row],[Industry]]=Main_L[Industry],Main_L[A/E]),1)</f>
        <v>2.34</v>
      </c>
      <c r="W7" s="1" cm="1">
        <f t="array" ref="W7">_xlfn.QUARTILE.INC(IF(Quartile_L[[#This Row],[Industry]]=Main_L[Industry],Main_L[A/E]),3)</f>
        <v>3.3925000000000001</v>
      </c>
      <c r="X7" s="1">
        <f>Quartile_L[[#This Row],[A/E Q1]]-1.5*(Quartile_L[[#This Row],[A/E Q3]]-Quartile_L[[#This Row],[A/E Q1]])</f>
        <v>0.76124999999999954</v>
      </c>
      <c r="Y7" s="1">
        <f>Quartile_L[[#This Row],[A/E Q3]]+1.5*(Quartile_L[[#This Row],[A/E Q3]]-Quartile_L[[#This Row],[A/E Q1]])</f>
        <v>4.9712500000000004</v>
      </c>
    </row>
    <row r="8" spans="1:25" x14ac:dyDescent="0.25">
      <c r="A8" t="s">
        <v>135</v>
      </c>
      <c r="B8" s="1" cm="1">
        <f t="array" ref="B8">_xlfn.QUARTILE.INC(IF(Quartile_L[[#This Row],[Industry]]=Main_L[Industry],Main_L[P/FCF]),1)</f>
        <v>17.042467825470027</v>
      </c>
      <c r="C8" s="1" cm="1">
        <f t="array" ref="C8">_xlfn.QUARTILE.INC(IF(Quartile_L[[#This Row],[Industry]]=Main_L[Industry],Main_L[P/FCF]),3)</f>
        <v>34.06730971249069</v>
      </c>
      <c r="D8" s="1">
        <f>Quartile_L[[#This Row],[P/FCF Q1]]-1.5*(Quartile_L[[#This Row],[P/FCF Q3]]-Quartile_L[[#This Row],[P/FCF Q1]])</f>
        <v>-8.4947950050609684</v>
      </c>
      <c r="E8" s="1">
        <f>Quartile_L[[#This Row],[P/FCF Q3]]+1.5*(Quartile_L[[#This Row],[P/FCF Q3]]-Quartile_L[[#This Row],[P/FCF Q1]])</f>
        <v>59.604572543021689</v>
      </c>
      <c r="F8" s="1" cm="1">
        <f t="array" ref="F8">_xlfn.QUARTILE.INC(IF(Quartile_L[[#This Row],[Industry]]=Main_L[Industry],Main_L[P/B]),1)</f>
        <v>4.4283579486091309</v>
      </c>
      <c r="G8" s="1" cm="1">
        <f t="array" ref="G8">_xlfn.QUARTILE.INC(IF(Quartile_L[[#This Row],[Industry]]=Main_L[Industry],Main_L[P/B]),3)</f>
        <v>6.9062446188766051</v>
      </c>
      <c r="H8" s="1">
        <f>Quartile_L[[#This Row],[P/B Q1]]-1.5*(Quartile_L[[#This Row],[P/B Q3]]-Quartile_L[[#This Row],[P/B Q1]])</f>
        <v>0.71152794320791957</v>
      </c>
      <c r="I8" s="1">
        <f>Quartile_L[[#This Row],[P/B Q3]]+1.5*(Quartile_L[[#This Row],[P/B Q3]]-Quartile_L[[#This Row],[P/B Q1]])</f>
        <v>10.623074624277816</v>
      </c>
      <c r="J8" s="1" cm="1">
        <f t="array" ref="J8">_xlfn.QUARTILE.INC(IF(Quartile_L[[#This Row],[Industry]]=Main_L[Industry],Main_L[ROE]),1)</f>
        <v>8.8125</v>
      </c>
      <c r="K8" s="1" cm="1">
        <f t="array" ref="K8">_xlfn.QUARTILE.INC(IF(Quartile_L[[#This Row],[Industry]]=Main_L[Industry],Main_L[ROE]),3)</f>
        <v>24.68</v>
      </c>
      <c r="L8" s="1">
        <f>Quartile_L[[#This Row],[ROE Q1]]-1.5*(Quartile_L[[#This Row],[ROE Q3]]-Quartile_L[[#This Row],[ROE Q1]])</f>
        <v>-14.98875</v>
      </c>
      <c r="M8" s="1">
        <f>Quartile_L[[#This Row],[ROE Q3]]+1.5*(Quartile_L[[#This Row],[ROE Q3]]-Quartile_L[[#This Row],[ROE Q1]])</f>
        <v>48.481250000000003</v>
      </c>
      <c r="N8" s="1" cm="1">
        <f t="array" ref="N8">_xlfn.QUARTILE.INC(IF(Quartile_L[[#This Row],[Industry]]=Main_L[Industry],Main_L[ROA]),1)</f>
        <v>3.6375000000000002</v>
      </c>
      <c r="O8" s="1" cm="1">
        <f t="array" ref="O8">_xlfn.QUARTILE.INC(IF(Quartile_L[[#This Row],[Industry]]=Main_L[Industry],Main_L[ROA]),3)</f>
        <v>6.08</v>
      </c>
      <c r="P8" s="1">
        <f>Quartile_L[[#This Row],[ROA Q1]]-1.5*(Quartile_L[[#This Row],[ROA Q3]]-Quartile_L[[#This Row],[ROA Q1]])</f>
        <v>-2.6249999999999662E-2</v>
      </c>
      <c r="Q8" s="1">
        <f>Quartile_L[[#This Row],[ROA Q3]]+1.5*(Quartile_L[[#This Row],[ROA Q3]]-Quartile_L[[#This Row],[ROA Q1]])</f>
        <v>9.7437500000000004</v>
      </c>
      <c r="R8" s="1" cm="1">
        <f t="array" ref="R8">_xlfn.QUARTILE.INC(IF(Quartile_L[[#This Row],[Industry]]=Main_L[Industry],Main_L[P/E]),1)</f>
        <v>25.338269676178825</v>
      </c>
      <c r="S8" s="1" cm="1">
        <f t="array" ref="S8">_xlfn.QUARTILE.INC(IF(Quartile_L[[#This Row],[Industry]]=Main_L[Industry],Main_L[P/E]),3)</f>
        <v>57.152317990412882</v>
      </c>
      <c r="T8" s="1">
        <f>Quartile_L[[#This Row],[P/E Q1]]-1.5*(Quartile_L[[#This Row],[P/E Q3]]-Quartile_L[[#This Row],[P/E Q1]])</f>
        <v>-22.38280279517226</v>
      </c>
      <c r="U8" s="1">
        <f>Quartile_L[[#This Row],[P/E Q3]]+1.5*(Quartile_L[[#This Row],[P/E Q3]]-Quartile_L[[#This Row],[P/E Q1]])</f>
        <v>104.87339046176396</v>
      </c>
      <c r="V8" s="1" cm="1">
        <f t="array" ref="V8">_xlfn.QUARTILE.INC(IF(Quartile_L[[#This Row],[Industry]]=Main_L[Industry],Main_L[A/E]),1)</f>
        <v>2.57</v>
      </c>
      <c r="W8" s="1" cm="1">
        <f t="array" ref="W8">_xlfn.QUARTILE.INC(IF(Quartile_L[[#This Row],[Industry]]=Main_L[Industry],Main_L[A/E]),3)</f>
        <v>3.0425</v>
      </c>
      <c r="X8" s="1">
        <f>Quartile_L[[#This Row],[A/E Q1]]-1.5*(Quartile_L[[#This Row],[A/E Q3]]-Quartile_L[[#This Row],[A/E Q1]])</f>
        <v>1.8612499999999996</v>
      </c>
      <c r="Y8" s="1">
        <f>Quartile_L[[#This Row],[A/E Q3]]+1.5*(Quartile_L[[#This Row],[A/E Q3]]-Quartile_L[[#This Row],[A/E Q1]])</f>
        <v>3.7512500000000002</v>
      </c>
    </row>
    <row r="9" spans="1:25" x14ac:dyDescent="0.25">
      <c r="A9" t="s">
        <v>203</v>
      </c>
      <c r="B9" s="1" cm="1">
        <f t="array" ref="B9">_xlfn.QUARTILE.INC(IF(Quartile_L[[#This Row],[Industry]]=Main_L[Industry],Main_L[P/FCF]),1)</f>
        <v>26.748279943009468</v>
      </c>
      <c r="C9" s="1" cm="1">
        <f t="array" ref="C9">_xlfn.QUARTILE.INC(IF(Quartile_L[[#This Row],[Industry]]=Main_L[Industry],Main_L[P/FCF]),3)</f>
        <v>39.592154258018383</v>
      </c>
      <c r="D9" s="1">
        <f>Quartile_L[[#This Row],[P/FCF Q1]]-1.5*(Quartile_L[[#This Row],[P/FCF Q3]]-Quartile_L[[#This Row],[P/FCF Q1]])</f>
        <v>7.482468470496098</v>
      </c>
      <c r="E9" s="1">
        <f>Quartile_L[[#This Row],[P/FCF Q3]]+1.5*(Quartile_L[[#This Row],[P/FCF Q3]]-Quartile_L[[#This Row],[P/FCF Q1]])</f>
        <v>58.857965730531753</v>
      </c>
      <c r="F9" s="1" cm="1">
        <f t="array" ref="F9">_xlfn.QUARTILE.INC(IF(Quartile_L[[#This Row],[Industry]]=Main_L[Industry],Main_L[P/B]),1)</f>
        <v>5.5598743159968986</v>
      </c>
      <c r="G9" s="1" cm="1">
        <f t="array" ref="G9">_xlfn.QUARTILE.INC(IF(Quartile_L[[#This Row],[Industry]]=Main_L[Industry],Main_L[P/B]),3)</f>
        <v>14.139775053891459</v>
      </c>
      <c r="H9" s="1">
        <f>Quartile_L[[#This Row],[P/B Q1]]-1.5*(Quartile_L[[#This Row],[P/B Q3]]-Quartile_L[[#This Row],[P/B Q1]])</f>
        <v>-7.3099767908449405</v>
      </c>
      <c r="I9" s="1">
        <f>Quartile_L[[#This Row],[P/B Q3]]+1.5*(Quartile_L[[#This Row],[P/B Q3]]-Quartile_L[[#This Row],[P/B Q1]])</f>
        <v>27.009626160733298</v>
      </c>
      <c r="J9" s="1" cm="1">
        <f t="array" ref="J9">_xlfn.QUARTILE.INC(IF(Quartile_L[[#This Row],[Industry]]=Main_L[Industry],Main_L[ROE]),1)</f>
        <v>15.49</v>
      </c>
      <c r="K9" s="1" cm="1">
        <f t="array" ref="K9">_xlfn.QUARTILE.INC(IF(Quartile_L[[#This Row],[Industry]]=Main_L[Industry],Main_L[ROE]),3)</f>
        <v>50.125</v>
      </c>
      <c r="L9" s="1">
        <f>Quartile_L[[#This Row],[ROE Q1]]-1.5*(Quartile_L[[#This Row],[ROE Q3]]-Quartile_L[[#This Row],[ROE Q1]])</f>
        <v>-36.462499999999999</v>
      </c>
      <c r="M9" s="1">
        <f>Quartile_L[[#This Row],[ROE Q3]]+1.5*(Quartile_L[[#This Row],[ROE Q3]]-Quartile_L[[#This Row],[ROE Q1]])</f>
        <v>102.0775</v>
      </c>
      <c r="N9" s="1" cm="1">
        <f t="array" ref="N9">_xlfn.QUARTILE.INC(IF(Quartile_L[[#This Row],[Industry]]=Main_L[Industry],Main_L[ROA]),1)</f>
        <v>5.3149999999999995</v>
      </c>
      <c r="O9" s="1" cm="1">
        <f t="array" ref="O9">_xlfn.QUARTILE.INC(IF(Quartile_L[[#This Row],[Industry]]=Main_L[Industry],Main_L[ROA]),3)</f>
        <v>10.824999999999999</v>
      </c>
      <c r="P9" s="1">
        <f>Quartile_L[[#This Row],[ROA Q1]]-1.5*(Quartile_L[[#This Row],[ROA Q3]]-Quartile_L[[#This Row],[ROA Q1]])</f>
        <v>-2.9500000000000011</v>
      </c>
      <c r="Q9" s="1">
        <f>Quartile_L[[#This Row],[ROA Q3]]+1.5*(Quartile_L[[#This Row],[ROA Q3]]-Quartile_L[[#This Row],[ROA Q1]])</f>
        <v>19.09</v>
      </c>
      <c r="R9" s="1" cm="1">
        <f t="array" ref="R9">_xlfn.QUARTILE.INC(IF(Quartile_L[[#This Row],[Industry]]=Main_L[Industry],Main_L[P/E]),1)</f>
        <v>32.603857632998739</v>
      </c>
      <c r="S9" s="1" cm="1">
        <f t="array" ref="S9">_xlfn.QUARTILE.INC(IF(Quartile_L[[#This Row],[Industry]]=Main_L[Industry],Main_L[P/E]),3)</f>
        <v>44.191237554346387</v>
      </c>
      <c r="T9" s="1">
        <f>Quartile_L[[#This Row],[P/E Q1]]-1.5*(Quartile_L[[#This Row],[P/E Q3]]-Quartile_L[[#This Row],[P/E Q1]])</f>
        <v>15.222787750977268</v>
      </c>
      <c r="U9" s="1">
        <f>Quartile_L[[#This Row],[P/E Q3]]+1.5*(Quartile_L[[#This Row],[P/E Q3]]-Quartile_L[[#This Row],[P/E Q1]])</f>
        <v>61.572307436367858</v>
      </c>
      <c r="V9" s="1" cm="1">
        <f t="array" ref="V9">_xlfn.QUARTILE.INC(IF(Quartile_L[[#This Row],[Industry]]=Main_L[Industry],Main_L[A/E]),1)</f>
        <v>2.6950000000000003</v>
      </c>
      <c r="W9" s="1" cm="1">
        <f t="array" ref="W9">_xlfn.QUARTILE.INC(IF(Quartile_L[[#This Row],[Industry]]=Main_L[Industry],Main_L[A/E]),3)</f>
        <v>4.3149999999999995</v>
      </c>
      <c r="X9" s="1">
        <f>Quartile_L[[#This Row],[A/E Q1]]-1.5*(Quartile_L[[#This Row],[A/E Q3]]-Quartile_L[[#This Row],[A/E Q1]])</f>
        <v>0.26500000000000146</v>
      </c>
      <c r="Y9" s="1">
        <f>Quartile_L[[#This Row],[A/E Q3]]+1.5*(Quartile_L[[#This Row],[A/E Q3]]-Quartile_L[[#This Row],[A/E Q1]])</f>
        <v>6.7449999999999983</v>
      </c>
    </row>
    <row r="10" spans="1:25" x14ac:dyDescent="0.25">
      <c r="A10" t="s">
        <v>122</v>
      </c>
      <c r="B10" s="1" cm="1">
        <f t="array" ref="B10">_xlfn.QUARTILE.INC(IF(Quartile_L[[#This Row],[Industry]]=Main_L[Industry],Main_L[P/FCF]),1)</f>
        <v>16.338461538461537</v>
      </c>
      <c r="C10" s="1" cm="1">
        <f t="array" ref="C10">_xlfn.QUARTILE.INC(IF(Quartile_L[[#This Row],[Industry]]=Main_L[Industry],Main_L[P/FCF]),3)</f>
        <v>25.590888173032674</v>
      </c>
      <c r="D10" s="1">
        <f>Quartile_L[[#This Row],[P/FCF Q1]]-1.5*(Quartile_L[[#This Row],[P/FCF Q3]]-Quartile_L[[#This Row],[P/FCF Q1]])</f>
        <v>2.4598215866048321</v>
      </c>
      <c r="E10" s="1">
        <f>Quartile_L[[#This Row],[P/FCF Q3]]+1.5*(Quartile_L[[#This Row],[P/FCF Q3]]-Quartile_L[[#This Row],[P/FCF Q1]])</f>
        <v>39.469528124889379</v>
      </c>
      <c r="F10" s="1" cm="1">
        <f t="array" ref="F10">_xlfn.QUARTILE.INC(IF(Quartile_L[[#This Row],[Industry]]=Main_L[Industry],Main_L[P/B]),1)</f>
        <v>2.9370774830993236</v>
      </c>
      <c r="G10" s="1" cm="1">
        <f t="array" ref="G10">_xlfn.QUARTILE.INC(IF(Quartile_L[[#This Row],[Industry]]=Main_L[Industry],Main_L[P/B]),3)</f>
        <v>7.5611166500498506</v>
      </c>
      <c r="H10" s="1">
        <f>Quartile_L[[#This Row],[P/B Q1]]-1.5*(Quartile_L[[#This Row],[P/B Q3]]-Quartile_L[[#This Row],[P/B Q1]])</f>
        <v>-3.9989812673264664</v>
      </c>
      <c r="I10" s="1">
        <f>Quartile_L[[#This Row],[P/B Q3]]+1.5*(Quartile_L[[#This Row],[P/B Q3]]-Quartile_L[[#This Row],[P/B Q1]])</f>
        <v>14.497175400475641</v>
      </c>
      <c r="J10" s="1" cm="1">
        <f t="array" ref="J10">_xlfn.QUARTILE.INC(IF(Quartile_L[[#This Row],[Industry]]=Main_L[Industry],Main_L[ROE]),1)</f>
        <v>13.14</v>
      </c>
      <c r="K10" s="1" cm="1">
        <f t="array" ref="K10">_xlfn.QUARTILE.INC(IF(Quartile_L[[#This Row],[Industry]]=Main_L[Industry],Main_L[ROE]),3)</f>
        <v>42.05</v>
      </c>
      <c r="L10" s="1">
        <f>Quartile_L[[#This Row],[ROE Q1]]-1.5*(Quartile_L[[#This Row],[ROE Q3]]-Quartile_L[[#This Row],[ROE Q1]])</f>
        <v>-30.224999999999994</v>
      </c>
      <c r="M10" s="1">
        <f>Quartile_L[[#This Row],[ROE Q3]]+1.5*(Quartile_L[[#This Row],[ROE Q3]]-Quartile_L[[#This Row],[ROE Q1]])</f>
        <v>85.414999999999992</v>
      </c>
      <c r="N10" s="1" cm="1">
        <f t="array" ref="N10">_xlfn.QUARTILE.INC(IF(Quartile_L[[#This Row],[Industry]]=Main_L[Industry],Main_L[ROA]),1)</f>
        <v>7.77</v>
      </c>
      <c r="O10" s="1" cm="1">
        <f t="array" ref="O10">_xlfn.QUARTILE.INC(IF(Quartile_L[[#This Row],[Industry]]=Main_L[Industry],Main_L[ROA]),3)</f>
        <v>11.53</v>
      </c>
      <c r="P10" s="1">
        <f>Quartile_L[[#This Row],[ROA Q1]]-1.5*(Quartile_L[[#This Row],[ROA Q3]]-Quartile_L[[#This Row],[ROA Q1]])</f>
        <v>2.13</v>
      </c>
      <c r="Q10" s="1">
        <f>Quartile_L[[#This Row],[ROA Q3]]+1.5*(Quartile_L[[#This Row],[ROA Q3]]-Quartile_L[[#This Row],[ROA Q1]])</f>
        <v>17.169999999999998</v>
      </c>
      <c r="R10" s="1" cm="1">
        <f t="array" ref="R10">_xlfn.QUARTILE.INC(IF(Quartile_L[[#This Row],[Industry]]=Main_L[Industry],Main_L[P/E]),1)</f>
        <v>19.20448179271709</v>
      </c>
      <c r="S10" s="1" cm="1">
        <f t="array" ref="S10">_xlfn.QUARTILE.INC(IF(Quartile_L[[#This Row],[Industry]]=Main_L[Industry],Main_L[P/E]),3)</f>
        <v>31.093093093093096</v>
      </c>
      <c r="T10" s="1">
        <f>Quartile_L[[#This Row],[P/E Q1]]-1.5*(Quartile_L[[#This Row],[P/E Q3]]-Quartile_L[[#This Row],[P/E Q1]])</f>
        <v>1.3715648421530808</v>
      </c>
      <c r="U10" s="1">
        <f>Quartile_L[[#This Row],[P/E Q3]]+1.5*(Quartile_L[[#This Row],[P/E Q3]]-Quartile_L[[#This Row],[P/E Q1]])</f>
        <v>48.926010043657101</v>
      </c>
      <c r="V10" s="1" cm="1">
        <f t="array" ref="V10">_xlfn.QUARTILE.INC(IF(Quartile_L[[#This Row],[Industry]]=Main_L[Industry],Main_L[A/E]),1)</f>
        <v>2.62</v>
      </c>
      <c r="W10" s="1" cm="1">
        <f t="array" ref="W10">_xlfn.QUARTILE.INC(IF(Quartile_L[[#This Row],[Industry]]=Main_L[Industry],Main_L[A/E]),3)</f>
        <v>2.84</v>
      </c>
      <c r="X10" s="1">
        <f>Quartile_L[[#This Row],[A/E Q1]]-1.5*(Quartile_L[[#This Row],[A/E Q3]]-Quartile_L[[#This Row],[A/E Q1]])</f>
        <v>2.2900000000000005</v>
      </c>
      <c r="Y10" s="1">
        <f>Quartile_L[[#This Row],[A/E Q3]]+1.5*(Quartile_L[[#This Row],[A/E Q3]]-Quartile_L[[#This Row],[A/E Q1]])</f>
        <v>3.1699999999999995</v>
      </c>
    </row>
    <row r="11" spans="1:25" x14ac:dyDescent="0.25">
      <c r="A11" t="s">
        <v>142</v>
      </c>
      <c r="B11" s="1" cm="1">
        <f t="array" ref="B11">_xlfn.QUARTILE.INC(IF(Quartile_L[[#This Row],[Industry]]=Main_L[Industry],Main_L[P/FCF]),1)</f>
        <v>26.952200614418192</v>
      </c>
      <c r="C11" s="1" cm="1">
        <f t="array" ref="C11">_xlfn.QUARTILE.INC(IF(Quartile_L[[#This Row],[Industry]]=Main_L[Industry],Main_L[P/FCF]),3)</f>
        <v>35.477616298155596</v>
      </c>
      <c r="D11" s="1">
        <f>Quartile_L[[#This Row],[P/FCF Q1]]-1.5*(Quartile_L[[#This Row],[P/FCF Q3]]-Quartile_L[[#This Row],[P/FCF Q1]])</f>
        <v>14.164077088812087</v>
      </c>
      <c r="E11" s="1">
        <f>Quartile_L[[#This Row],[P/FCF Q3]]+1.5*(Quartile_L[[#This Row],[P/FCF Q3]]-Quartile_L[[#This Row],[P/FCF Q1]])</f>
        <v>48.265739823761699</v>
      </c>
      <c r="F11" s="1" cm="1">
        <f t="array" ref="F11">_xlfn.QUARTILE.INC(IF(Quartile_L[[#This Row],[Industry]]=Main_L[Industry],Main_L[P/B]),1)</f>
        <v>5.7327614181476694</v>
      </c>
      <c r="G11" s="1" cm="1">
        <f t="array" ref="G11">_xlfn.QUARTILE.INC(IF(Quartile_L[[#This Row],[Industry]]=Main_L[Industry],Main_L[P/B]),3)</f>
        <v>11.777897960417979</v>
      </c>
      <c r="H11" s="1">
        <f>Quartile_L[[#This Row],[P/B Q1]]-1.5*(Quartile_L[[#This Row],[P/B Q3]]-Quartile_L[[#This Row],[P/B Q1]])</f>
        <v>-3.3349433952577954</v>
      </c>
      <c r="I11" s="1">
        <f>Quartile_L[[#This Row],[P/B Q3]]+1.5*(Quartile_L[[#This Row],[P/B Q3]]-Quartile_L[[#This Row],[P/B Q1]])</f>
        <v>20.845602773823444</v>
      </c>
      <c r="J11" s="1" cm="1">
        <f t="array" ref="J11">_xlfn.QUARTILE.INC(IF(Quartile_L[[#This Row],[Industry]]=Main_L[Industry],Main_L[ROE]),1)</f>
        <v>16.8125</v>
      </c>
      <c r="K11" s="1" cm="1">
        <f t="array" ref="K11">_xlfn.QUARTILE.INC(IF(Quartile_L[[#This Row],[Industry]]=Main_L[Industry],Main_L[ROE]),3)</f>
        <v>26.98</v>
      </c>
      <c r="L11" s="1">
        <f>Quartile_L[[#This Row],[ROE Q1]]-1.5*(Quartile_L[[#This Row],[ROE Q3]]-Quartile_L[[#This Row],[ROE Q1]])</f>
        <v>1.5612499999999994</v>
      </c>
      <c r="M11" s="1">
        <f>Quartile_L[[#This Row],[ROE Q3]]+1.5*(Quartile_L[[#This Row],[ROE Q3]]-Quartile_L[[#This Row],[ROE Q1]])</f>
        <v>42.231250000000003</v>
      </c>
      <c r="N11" s="1" cm="1">
        <f t="array" ref="N11">_xlfn.QUARTILE.INC(IF(Quartile_L[[#This Row],[Industry]]=Main_L[Industry],Main_L[ROA]),1)</f>
        <v>5.0125000000000002</v>
      </c>
      <c r="O11" s="1" cm="1">
        <f t="array" ref="O11">_xlfn.QUARTILE.INC(IF(Quartile_L[[#This Row],[Industry]]=Main_L[Industry],Main_L[ROA]),3)</f>
        <v>8.9749999999999996</v>
      </c>
      <c r="P11" s="1">
        <f>Quartile_L[[#This Row],[ROA Q1]]-1.5*(Quartile_L[[#This Row],[ROA Q3]]-Quartile_L[[#This Row],[ROA Q1]])</f>
        <v>-0.93124999999999947</v>
      </c>
      <c r="Q11" s="1">
        <f>Quartile_L[[#This Row],[ROA Q3]]+1.5*(Quartile_L[[#This Row],[ROA Q3]]-Quartile_L[[#This Row],[ROA Q1]])</f>
        <v>14.918749999999999</v>
      </c>
      <c r="R11" s="1" cm="1">
        <f t="array" ref="R11">_xlfn.QUARTILE.INC(IF(Quartile_L[[#This Row],[Industry]]=Main_L[Industry],Main_L[P/E]),1)</f>
        <v>31.289514862975707</v>
      </c>
      <c r="S11" s="1" cm="1">
        <f t="array" ref="S11">_xlfn.QUARTILE.INC(IF(Quartile_L[[#This Row],[Industry]]=Main_L[Industry],Main_L[P/E]),3)</f>
        <v>51.957602339181285</v>
      </c>
      <c r="T11" s="1">
        <f>Quartile_L[[#This Row],[P/E Q1]]-1.5*(Quartile_L[[#This Row],[P/E Q3]]-Quartile_L[[#This Row],[P/E Q1]])</f>
        <v>0.28738364866734045</v>
      </c>
      <c r="U11" s="1">
        <f>Quartile_L[[#This Row],[P/E Q3]]+1.5*(Quartile_L[[#This Row],[P/E Q3]]-Quartile_L[[#This Row],[P/E Q1]])</f>
        <v>82.959733553489656</v>
      </c>
      <c r="V11" s="1" cm="1">
        <f t="array" ref="V11">_xlfn.QUARTILE.INC(IF(Quartile_L[[#This Row],[Industry]]=Main_L[Industry],Main_L[A/E]),1)</f>
        <v>2.12</v>
      </c>
      <c r="W11" s="1" cm="1">
        <f t="array" ref="W11">_xlfn.QUARTILE.INC(IF(Quartile_L[[#This Row],[Industry]]=Main_L[Industry],Main_L[A/E]),3)</f>
        <v>3.2850000000000001</v>
      </c>
      <c r="X11" s="1">
        <f>Quartile_L[[#This Row],[A/E Q1]]-1.5*(Quartile_L[[#This Row],[A/E Q3]]-Quartile_L[[#This Row],[A/E Q1]])</f>
        <v>0.37250000000000005</v>
      </c>
      <c r="Y11" s="1">
        <f>Quartile_L[[#This Row],[A/E Q3]]+1.5*(Quartile_L[[#This Row],[A/E Q3]]-Quartile_L[[#This Row],[A/E Q1]])</f>
        <v>5.0325000000000006</v>
      </c>
    </row>
    <row r="12" spans="1:25" x14ac:dyDescent="0.25">
      <c r="A12" t="s">
        <v>153</v>
      </c>
      <c r="B12" s="1" cm="1">
        <f t="array" ref="B12">_xlfn.QUARTILE.INC(IF(Quartile_L[[#This Row],[Industry]]=Main_L[Industry],Main_L[P/FCF]),1)</f>
        <v>-541.24975657254129</v>
      </c>
      <c r="C12" s="1" cm="1">
        <f t="array" ref="C12">_xlfn.QUARTILE.INC(IF(Quartile_L[[#This Row],[Industry]]=Main_L[Industry],Main_L[P/FCF]),3)</f>
        <v>28.059318178125153</v>
      </c>
      <c r="D12" s="1">
        <f>Quartile_L[[#This Row],[P/FCF Q1]]-1.5*(Quartile_L[[#This Row],[P/FCF Q3]]-Quartile_L[[#This Row],[P/FCF Q1]])</f>
        <v>-1395.213368698541</v>
      </c>
      <c r="E12" s="1">
        <f>Quartile_L[[#This Row],[P/FCF Q3]]+1.5*(Quartile_L[[#This Row],[P/FCF Q3]]-Quartile_L[[#This Row],[P/FCF Q1]])</f>
        <v>882.02293030412488</v>
      </c>
      <c r="F12" s="1" cm="1">
        <f t="array" ref="F12">_xlfn.QUARTILE.INC(IF(Quartile_L[[#This Row],[Industry]]=Main_L[Industry],Main_L[P/B]),1)</f>
        <v>7.1056180661443822</v>
      </c>
      <c r="G12" s="1" cm="1">
        <f t="array" ref="G12">_xlfn.QUARTILE.INC(IF(Quartile_L[[#This Row],[Industry]]=Main_L[Industry],Main_L[P/B]),3)</f>
        <v>12.878828872226116</v>
      </c>
      <c r="H12" s="1">
        <f>Quartile_L[[#This Row],[P/B Q1]]-1.5*(Quartile_L[[#This Row],[P/B Q3]]-Quartile_L[[#This Row],[P/B Q1]])</f>
        <v>-1.5541981429782172</v>
      </c>
      <c r="I12" s="1">
        <f>Quartile_L[[#This Row],[P/B Q3]]+1.5*(Quartile_L[[#This Row],[P/B Q3]]-Quartile_L[[#This Row],[P/B Q1]])</f>
        <v>21.538645081348715</v>
      </c>
      <c r="J12" s="1" cm="1">
        <f t="array" ref="J12">_xlfn.QUARTILE.INC(IF(Quartile_L[[#This Row],[Industry]]=Main_L[Industry],Main_L[ROE]),1)</f>
        <v>26.384999999999998</v>
      </c>
      <c r="K12" s="1" cm="1">
        <f t="array" ref="K12">_xlfn.QUARTILE.INC(IF(Quartile_L[[#This Row],[Industry]]=Main_L[Industry],Main_L[ROE]),3)</f>
        <v>63.25</v>
      </c>
      <c r="L12" s="1">
        <f>Quartile_L[[#This Row],[ROE Q1]]-1.5*(Quartile_L[[#This Row],[ROE Q3]]-Quartile_L[[#This Row],[ROE Q1]])</f>
        <v>-28.912500000000001</v>
      </c>
      <c r="M12" s="1">
        <f>Quartile_L[[#This Row],[ROE Q3]]+1.5*(Quartile_L[[#This Row],[ROE Q3]]-Quartile_L[[#This Row],[ROE Q1]])</f>
        <v>118.5475</v>
      </c>
      <c r="N12" s="1" cm="1">
        <f t="array" ref="N12">_xlfn.QUARTILE.INC(IF(Quartile_L[[#This Row],[Industry]]=Main_L[Industry],Main_L[ROA]),1)</f>
        <v>6.43</v>
      </c>
      <c r="O12" s="1" cm="1">
        <f t="array" ref="O12">_xlfn.QUARTILE.INC(IF(Quartile_L[[#This Row],[Industry]]=Main_L[Industry],Main_L[ROA]),3)</f>
        <v>8.0500000000000007</v>
      </c>
      <c r="P12" s="1">
        <f>Quartile_L[[#This Row],[ROA Q1]]-1.5*(Quartile_L[[#This Row],[ROA Q3]]-Quartile_L[[#This Row],[ROA Q1]])</f>
        <v>3.9999999999999982</v>
      </c>
      <c r="Q12" s="1">
        <f>Quartile_L[[#This Row],[ROA Q3]]+1.5*(Quartile_L[[#This Row],[ROA Q3]]-Quartile_L[[#This Row],[ROA Q1]])</f>
        <v>10.480000000000002</v>
      </c>
      <c r="R12" s="1" cm="1">
        <f t="array" ref="R12">_xlfn.QUARTILE.INC(IF(Quartile_L[[#This Row],[Industry]]=Main_L[Industry],Main_L[P/E]),1)</f>
        <v>22.034145660669044</v>
      </c>
      <c r="S12" s="1" cm="1">
        <f t="array" ref="S12">_xlfn.QUARTILE.INC(IF(Quartile_L[[#This Row],[Industry]]=Main_L[Industry],Main_L[P/E]),3)</f>
        <v>29.189811912225707</v>
      </c>
      <c r="T12" s="1">
        <f>Quartile_L[[#This Row],[P/E Q1]]-1.5*(Quartile_L[[#This Row],[P/E Q3]]-Quartile_L[[#This Row],[P/E Q1]])</f>
        <v>11.300646283334048</v>
      </c>
      <c r="U12" s="1">
        <f>Quartile_L[[#This Row],[P/E Q3]]+1.5*(Quartile_L[[#This Row],[P/E Q3]]-Quartile_L[[#This Row],[P/E Q1]])</f>
        <v>39.923311289560701</v>
      </c>
      <c r="V12" s="1" cm="1">
        <f t="array" ref="V12">_xlfn.QUARTILE.INC(IF(Quartile_L[[#This Row],[Industry]]=Main_L[Industry],Main_L[A/E]),1)</f>
        <v>3.21</v>
      </c>
      <c r="W12" s="1" cm="1">
        <f t="array" ref="W12">_xlfn.QUARTILE.INC(IF(Quartile_L[[#This Row],[Industry]]=Main_L[Industry],Main_L[A/E]),3)</f>
        <v>6.629999999999999</v>
      </c>
      <c r="X12" s="1">
        <f>Quartile_L[[#This Row],[A/E Q1]]-1.5*(Quartile_L[[#This Row],[A/E Q3]]-Quartile_L[[#This Row],[A/E Q1]])</f>
        <v>-1.919999999999999</v>
      </c>
      <c r="Y12" s="1">
        <f>Quartile_L[[#This Row],[A/E Q3]]+1.5*(Quartile_L[[#This Row],[A/E Q3]]-Quartile_L[[#This Row],[A/E Q1]])</f>
        <v>11.759999999999998</v>
      </c>
    </row>
    <row r="13" spans="1:25" x14ac:dyDescent="0.25">
      <c r="A13" t="s">
        <v>222</v>
      </c>
      <c r="B13" s="1" cm="1">
        <f t="array" ref="B13">_xlfn.QUARTILE.INC(IF(Quartile_L[[#This Row],[Industry]]=Main_L[Industry],Main_L[P/FCF]),1)</f>
        <v>15.763492063492064</v>
      </c>
      <c r="C13" s="1" cm="1">
        <f t="array" ref="C13">_xlfn.QUARTILE.INC(IF(Quartile_L[[#This Row],[Industry]]=Main_L[Industry],Main_L[P/FCF]),3)</f>
        <v>19.821946169772254</v>
      </c>
      <c r="D13" s="1">
        <f>Quartile_L[[#This Row],[P/FCF Q1]]-1.5*(Quartile_L[[#This Row],[P/FCF Q3]]-Quartile_L[[#This Row],[P/FCF Q1]])</f>
        <v>9.6758109040717812</v>
      </c>
      <c r="E13" s="1">
        <f>Quartile_L[[#This Row],[P/FCF Q3]]+1.5*(Quartile_L[[#This Row],[P/FCF Q3]]-Quartile_L[[#This Row],[P/FCF Q1]])</f>
        <v>25.909627329192539</v>
      </c>
      <c r="F13" s="1" cm="1">
        <f t="array" ref="F13">_xlfn.QUARTILE.INC(IF(Quartile_L[[#This Row],[Industry]]=Main_L[Industry],Main_L[P/B]),1)</f>
        <v>1.9965851905104242</v>
      </c>
      <c r="G13" s="1" cm="1">
        <f t="array" ref="G13">_xlfn.QUARTILE.INC(IF(Quartile_L[[#This Row],[Industry]]=Main_L[Industry],Main_L[P/B]),3)</f>
        <v>6.5665294924554178</v>
      </c>
      <c r="H13" s="1">
        <f>Quartile_L[[#This Row],[P/B Q1]]-1.5*(Quartile_L[[#This Row],[P/B Q3]]-Quartile_L[[#This Row],[P/B Q1]])</f>
        <v>-4.8583312624070674</v>
      </c>
      <c r="I13" s="1">
        <f>Quartile_L[[#This Row],[P/B Q3]]+1.5*(Quartile_L[[#This Row],[P/B Q3]]-Quartile_L[[#This Row],[P/B Q1]])</f>
        <v>13.421445945372909</v>
      </c>
      <c r="J13" s="1" cm="1">
        <f t="array" ref="J13">_xlfn.QUARTILE.INC(IF(Quartile_L[[#This Row],[Industry]]=Main_L[Industry],Main_L[ROE]),1)</f>
        <v>15.64</v>
      </c>
      <c r="K13" s="1" cm="1">
        <f t="array" ref="K13">_xlfn.QUARTILE.INC(IF(Quartile_L[[#This Row],[Industry]]=Main_L[Industry],Main_L[ROE]),3)</f>
        <v>35.909999999999997</v>
      </c>
      <c r="L13" s="1">
        <f>Quartile_L[[#This Row],[ROE Q1]]-1.5*(Quartile_L[[#This Row],[ROE Q3]]-Quartile_L[[#This Row],[ROE Q1]])</f>
        <v>-14.764999999999993</v>
      </c>
      <c r="M13" s="1">
        <f>Quartile_L[[#This Row],[ROE Q3]]+1.5*(Quartile_L[[#This Row],[ROE Q3]]-Quartile_L[[#This Row],[ROE Q1]])</f>
        <v>66.314999999999998</v>
      </c>
      <c r="N13" s="1" cm="1">
        <f t="array" ref="N13">_xlfn.QUARTILE.INC(IF(Quartile_L[[#This Row],[Industry]]=Main_L[Industry],Main_L[ROA]),1)</f>
        <v>7.34</v>
      </c>
      <c r="O13" s="1" cm="1">
        <f t="array" ref="O13">_xlfn.QUARTILE.INC(IF(Quartile_L[[#This Row],[Industry]]=Main_L[Industry],Main_L[ROA]),3)</f>
        <v>8.8699999999999992</v>
      </c>
      <c r="P13" s="1">
        <f>Quartile_L[[#This Row],[ROA Q1]]-1.5*(Quartile_L[[#This Row],[ROA Q3]]-Quartile_L[[#This Row],[ROA Q1]])</f>
        <v>5.0450000000000008</v>
      </c>
      <c r="Q13" s="1">
        <f>Quartile_L[[#This Row],[ROA Q3]]+1.5*(Quartile_L[[#This Row],[ROA Q3]]-Quartile_L[[#This Row],[ROA Q1]])</f>
        <v>11.164999999999999</v>
      </c>
      <c r="R13" s="1" cm="1">
        <f t="array" ref="R13">_xlfn.QUARTILE.INC(IF(Quartile_L[[#This Row],[Industry]]=Main_L[Industry],Main_L[P/E]),1)</f>
        <v>14.497810218978103</v>
      </c>
      <c r="S13" s="1" cm="1">
        <f t="array" ref="S13">_xlfn.QUARTILE.INC(IF(Quartile_L[[#This Row],[Industry]]=Main_L[Industry],Main_L[P/E]),3)</f>
        <v>18.739635157545603</v>
      </c>
      <c r="T13" s="1">
        <f>Quartile_L[[#This Row],[P/E Q1]]-1.5*(Quartile_L[[#This Row],[P/E Q3]]-Quartile_L[[#This Row],[P/E Q1]])</f>
        <v>8.135072811126852</v>
      </c>
      <c r="U13" s="1">
        <f>Quartile_L[[#This Row],[P/E Q3]]+1.5*(Quartile_L[[#This Row],[P/E Q3]]-Quartile_L[[#This Row],[P/E Q1]])</f>
        <v>25.102372565396855</v>
      </c>
      <c r="V13" s="1" cm="1">
        <f t="array" ref="V13">_xlfn.QUARTILE.INC(IF(Quartile_L[[#This Row],[Industry]]=Main_L[Industry],Main_L[A/E]),1)</f>
        <v>2.08</v>
      </c>
      <c r="W13" s="1" cm="1">
        <f t="array" ref="W13">_xlfn.QUARTILE.INC(IF(Quartile_L[[#This Row],[Industry]]=Main_L[Industry],Main_L[A/E]),3)</f>
        <v>3.18</v>
      </c>
      <c r="X13" s="1">
        <f>Quartile_L[[#This Row],[A/E Q1]]-1.5*(Quartile_L[[#This Row],[A/E Q3]]-Quartile_L[[#This Row],[A/E Q1]])</f>
        <v>0.42999999999999994</v>
      </c>
      <c r="Y13" s="1">
        <f>Quartile_L[[#This Row],[A/E Q3]]+1.5*(Quartile_L[[#This Row],[A/E Q3]]-Quartile_L[[#This Row],[A/E Q1]])</f>
        <v>4.83</v>
      </c>
    </row>
    <row r="14" spans="1:25" x14ac:dyDescent="0.25">
      <c r="A14" t="s">
        <v>190</v>
      </c>
      <c r="B14" s="1" cm="1">
        <f t="array" ref="B14">_xlfn.QUARTILE.INC(IF(Quartile_L[[#This Row],[Industry]]=Main_L[Industry],Main_L[P/FCF]),1)</f>
        <v>34.588355599397921</v>
      </c>
      <c r="C14" s="1" cm="1">
        <f t="array" ref="C14">_xlfn.QUARTILE.INC(IF(Quartile_L[[#This Row],[Industry]]=Main_L[Industry],Main_L[P/FCF]),3)</f>
        <v>50.445789198505068</v>
      </c>
      <c r="D14" s="1">
        <f>Quartile_L[[#This Row],[P/FCF Q1]]-1.5*(Quartile_L[[#This Row],[P/FCF Q3]]-Quartile_L[[#This Row],[P/FCF Q1]])</f>
        <v>10.802205200737202</v>
      </c>
      <c r="E14" s="1">
        <f>Quartile_L[[#This Row],[P/FCF Q3]]+1.5*(Quartile_L[[#This Row],[P/FCF Q3]]-Quartile_L[[#This Row],[P/FCF Q1]])</f>
        <v>74.231939597165791</v>
      </c>
      <c r="F14" s="1" cm="1">
        <f t="array" ref="F14">_xlfn.QUARTILE.INC(IF(Quartile_L[[#This Row],[Industry]]=Main_L[Industry],Main_L[P/B]),1)</f>
        <v>5.1085467119928509</v>
      </c>
      <c r="G14" s="1" cm="1">
        <f t="array" ref="G14">_xlfn.QUARTILE.INC(IF(Quartile_L[[#This Row],[Industry]]=Main_L[Industry],Main_L[P/B]),3)</f>
        <v>11.081438333517029</v>
      </c>
      <c r="H14" s="1">
        <f>Quartile_L[[#This Row],[P/B Q1]]-1.5*(Quartile_L[[#This Row],[P/B Q3]]-Quartile_L[[#This Row],[P/B Q1]])</f>
        <v>-3.8507907202934177</v>
      </c>
      <c r="I14" s="1">
        <f>Quartile_L[[#This Row],[P/B Q3]]+1.5*(Quartile_L[[#This Row],[P/B Q3]]-Quartile_L[[#This Row],[P/B Q1]])</f>
        <v>20.040775765803296</v>
      </c>
      <c r="J14" s="1" cm="1">
        <f t="array" ref="J14">_xlfn.QUARTILE.INC(IF(Quartile_L[[#This Row],[Industry]]=Main_L[Industry],Main_L[ROE]),1)</f>
        <v>7.6749999999999998</v>
      </c>
      <c r="K14" s="1" cm="1">
        <f t="array" ref="K14">_xlfn.QUARTILE.INC(IF(Quartile_L[[#This Row],[Industry]]=Main_L[Industry],Main_L[ROE]),3)</f>
        <v>35.92</v>
      </c>
      <c r="L14" s="1">
        <f>Quartile_L[[#This Row],[ROE Q1]]-1.5*(Quartile_L[[#This Row],[ROE Q3]]-Quartile_L[[#This Row],[ROE Q1]])</f>
        <v>-34.692500000000003</v>
      </c>
      <c r="M14" s="1">
        <f>Quartile_L[[#This Row],[ROE Q3]]+1.5*(Quartile_L[[#This Row],[ROE Q3]]-Quartile_L[[#This Row],[ROE Q1]])</f>
        <v>78.287499999999994</v>
      </c>
      <c r="N14" s="1" cm="1">
        <f t="array" ref="N14">_xlfn.QUARTILE.INC(IF(Quartile_L[[#This Row],[Industry]]=Main_L[Industry],Main_L[ROA]),1)</f>
        <v>4.01</v>
      </c>
      <c r="O14" s="1" cm="1">
        <f t="array" ref="O14">_xlfn.QUARTILE.INC(IF(Quartile_L[[#This Row],[Industry]]=Main_L[Industry],Main_L[ROA]),3)</f>
        <v>12.08</v>
      </c>
      <c r="P14" s="1">
        <f>Quartile_L[[#This Row],[ROA Q1]]-1.5*(Quartile_L[[#This Row],[ROA Q3]]-Quartile_L[[#This Row],[ROA Q1]])</f>
        <v>-8.0950000000000006</v>
      </c>
      <c r="Q14" s="1">
        <f>Quartile_L[[#This Row],[ROA Q3]]+1.5*(Quartile_L[[#This Row],[ROA Q3]]-Quartile_L[[#This Row],[ROA Q1]])</f>
        <v>24.185000000000002</v>
      </c>
      <c r="R14" s="1" cm="1">
        <f t="array" ref="R14">_xlfn.QUARTILE.INC(IF(Quartile_L[[#This Row],[Industry]]=Main_L[Industry],Main_L[P/E]),1)</f>
        <v>32.209838381244154</v>
      </c>
      <c r="S14" s="1" cm="1">
        <f t="array" ref="S14">_xlfn.QUARTILE.INC(IF(Quartile_L[[#This Row],[Industry]]=Main_L[Industry],Main_L[P/E]),3)</f>
        <v>54.96596506941335</v>
      </c>
      <c r="T14" s="1">
        <f>Quartile_L[[#This Row],[P/E Q1]]-1.5*(Quartile_L[[#This Row],[P/E Q3]]-Quartile_L[[#This Row],[P/E Q1]])</f>
        <v>-1.9243516510096441</v>
      </c>
      <c r="U14" s="1">
        <f>Quartile_L[[#This Row],[P/E Q3]]+1.5*(Quartile_L[[#This Row],[P/E Q3]]-Quartile_L[[#This Row],[P/E Q1]])</f>
        <v>89.100155101667156</v>
      </c>
      <c r="V14" s="1" cm="1">
        <f t="array" ref="V14">_xlfn.QUARTILE.INC(IF(Quartile_L[[#This Row],[Industry]]=Main_L[Industry],Main_L[A/E]),1)</f>
        <v>2.21</v>
      </c>
      <c r="W14" s="1" cm="1">
        <f t="array" ref="W14">_xlfn.QUARTILE.INC(IF(Quartile_L[[#This Row],[Industry]]=Main_L[Industry],Main_L[A/E]),3)</f>
        <v>2.83</v>
      </c>
      <c r="X14" s="1">
        <f>Quartile_L[[#This Row],[A/E Q1]]-1.5*(Quartile_L[[#This Row],[A/E Q3]]-Quartile_L[[#This Row],[A/E Q1]])</f>
        <v>1.2799999999999998</v>
      </c>
      <c r="Y14" s="1">
        <f>Quartile_L[[#This Row],[A/E Q3]]+1.5*(Quartile_L[[#This Row],[A/E Q3]]-Quartile_L[[#This Row],[A/E Q1]])</f>
        <v>3.7600000000000002</v>
      </c>
    </row>
    <row r="15" spans="1:25" x14ac:dyDescent="0.25">
      <c r="A15" t="s">
        <v>228</v>
      </c>
      <c r="B15" s="1" cm="1">
        <f t="array" ref="B15">_xlfn.QUARTILE.INC(IF(Quartile_L[[#This Row],[Industry]]=Main_L[Industry],Main_L[P/FCF]),1)</f>
        <v>-11.850239234449759</v>
      </c>
      <c r="C15" s="1" cm="1">
        <f t="array" ref="C15">_xlfn.QUARTILE.INC(IF(Quartile_L[[#This Row],[Industry]]=Main_L[Industry],Main_L[P/FCF]),3)</f>
        <v>21.555886736214603</v>
      </c>
      <c r="D15" s="1">
        <f>Quartile_L[[#This Row],[P/FCF Q1]]-1.5*(Quartile_L[[#This Row],[P/FCF Q3]]-Quartile_L[[#This Row],[P/FCF Q1]])</f>
        <v>-61.959428190446303</v>
      </c>
      <c r="E15" s="1">
        <f>Quartile_L[[#This Row],[P/FCF Q3]]+1.5*(Quartile_L[[#This Row],[P/FCF Q3]]-Quartile_L[[#This Row],[P/FCF Q1]])</f>
        <v>71.665075692211147</v>
      </c>
      <c r="F15" s="1" cm="1">
        <f t="array" ref="F15">_xlfn.QUARTILE.INC(IF(Quartile_L[[#This Row],[Industry]]=Main_L[Industry],Main_L[P/B]),1)</f>
        <v>2.0967853132286107</v>
      </c>
      <c r="G15" s="1" cm="1">
        <f t="array" ref="G15">_xlfn.QUARTILE.INC(IF(Quartile_L[[#This Row],[Industry]]=Main_L[Industry],Main_L[P/B]),3)</f>
        <v>5.0975248651451555</v>
      </c>
      <c r="H15" s="1">
        <f>Quartile_L[[#This Row],[P/B Q1]]-1.5*(Quartile_L[[#This Row],[P/B Q3]]-Quartile_L[[#This Row],[P/B Q1]])</f>
        <v>-2.4043240146462059</v>
      </c>
      <c r="I15" s="1">
        <f>Quartile_L[[#This Row],[P/B Q3]]+1.5*(Quartile_L[[#This Row],[P/B Q3]]-Quartile_L[[#This Row],[P/B Q1]])</f>
        <v>9.5986341930199721</v>
      </c>
      <c r="J15" s="1" cm="1">
        <f t="array" ref="J15">_xlfn.QUARTILE.INC(IF(Quartile_L[[#This Row],[Industry]]=Main_L[Industry],Main_L[ROE]),1)</f>
        <v>17.897500000000001</v>
      </c>
      <c r="K15" s="1" cm="1">
        <f t="array" ref="K15">_xlfn.QUARTILE.INC(IF(Quartile_L[[#This Row],[Industry]]=Main_L[Industry],Main_L[ROE]),3)</f>
        <v>55.805</v>
      </c>
      <c r="L15" s="1">
        <f>Quartile_L[[#This Row],[ROE Q1]]-1.5*(Quartile_L[[#This Row],[ROE Q3]]-Quartile_L[[#This Row],[ROE Q1]])</f>
        <v>-38.963749999999997</v>
      </c>
      <c r="M15" s="1">
        <f>Quartile_L[[#This Row],[ROE Q3]]+1.5*(Quartile_L[[#This Row],[ROE Q3]]-Quartile_L[[#This Row],[ROE Q1]])</f>
        <v>112.66624999999999</v>
      </c>
      <c r="N15" s="1" cm="1">
        <f t="array" ref="N15">_xlfn.QUARTILE.INC(IF(Quartile_L[[#This Row],[Industry]]=Main_L[Industry],Main_L[ROA]),1)</f>
        <v>3.7800000000000002</v>
      </c>
      <c r="O15" s="1" cm="1">
        <f t="array" ref="O15">_xlfn.QUARTILE.INC(IF(Quartile_L[[#This Row],[Industry]]=Main_L[Industry],Main_L[ROA]),3)</f>
        <v>5.9474999999999998</v>
      </c>
      <c r="P15" s="1">
        <f>Quartile_L[[#This Row],[ROA Q1]]-1.5*(Quartile_L[[#This Row],[ROA Q3]]-Quartile_L[[#This Row],[ROA Q1]])</f>
        <v>0.52875000000000094</v>
      </c>
      <c r="Q15" s="1">
        <f>Quartile_L[[#This Row],[ROA Q3]]+1.5*(Quartile_L[[#This Row],[ROA Q3]]-Quartile_L[[#This Row],[ROA Q1]])</f>
        <v>9.1987499999999986</v>
      </c>
      <c r="R15" s="1" cm="1">
        <f t="array" ref="R15">_xlfn.QUARTILE.INC(IF(Quartile_L[[#This Row],[Industry]]=Main_L[Industry],Main_L[P/E]),1)</f>
        <v>22.891018316344422</v>
      </c>
      <c r="S15" s="1" cm="1">
        <f t="array" ref="S15">_xlfn.QUARTILE.INC(IF(Quartile_L[[#This Row],[Industry]]=Main_L[Industry],Main_L[P/E]),3)</f>
        <v>37.417812680949623</v>
      </c>
      <c r="T15" s="1">
        <f>Quartile_L[[#This Row],[P/E Q1]]-1.5*(Quartile_L[[#This Row],[P/E Q3]]-Quartile_L[[#This Row],[P/E Q1]])</f>
        <v>1.1008267694366189</v>
      </c>
      <c r="U15" s="1">
        <f>Quartile_L[[#This Row],[P/E Q3]]+1.5*(Quartile_L[[#This Row],[P/E Q3]]-Quartile_L[[#This Row],[P/E Q1]])</f>
        <v>59.20800422785743</v>
      </c>
      <c r="V15" s="1" cm="1">
        <f t="array" ref="V15">_xlfn.QUARTILE.INC(IF(Quartile_L[[#This Row],[Industry]]=Main_L[Industry],Main_L[A/E]),1)</f>
        <v>3.2850000000000001</v>
      </c>
      <c r="W15" s="1" cm="1">
        <f t="array" ref="W15">_xlfn.QUARTILE.INC(IF(Quartile_L[[#This Row],[Industry]]=Main_L[Industry],Main_L[A/E]),3)</f>
        <v>7.93</v>
      </c>
      <c r="X15" s="1">
        <f>Quartile_L[[#This Row],[A/E Q1]]-1.5*(Quartile_L[[#This Row],[A/E Q3]]-Quartile_L[[#This Row],[A/E Q1]])</f>
        <v>-3.6824999999999992</v>
      </c>
      <c r="Y15" s="1">
        <f>Quartile_L[[#This Row],[A/E Q3]]+1.5*(Quartile_L[[#This Row],[A/E Q3]]-Quartile_L[[#This Row],[A/E Q1]])</f>
        <v>14.897499999999999</v>
      </c>
    </row>
    <row r="16" spans="1:25" x14ac:dyDescent="0.25">
      <c r="A16" t="s">
        <v>248</v>
      </c>
      <c r="B16" s="1" cm="1">
        <f t="array" ref="B16">_xlfn.QUARTILE.INC(IF(Quartile_L[[#This Row],[Industry]]=Main_L[Industry],Main_L[P/FCF]),1)</f>
        <v>290.15853658536588</v>
      </c>
      <c r="C16" s="1" cm="1">
        <f t="array" ref="C16">_xlfn.QUARTILE.INC(IF(Quartile_L[[#This Row],[Industry]]=Main_L[Industry],Main_L[P/FCF]),3)</f>
        <v>290.15853658536588</v>
      </c>
      <c r="D16" s="1">
        <f>Quartile_L[[#This Row],[P/FCF Q1]]-1.5*(Quartile_L[[#This Row],[P/FCF Q3]]-Quartile_L[[#This Row],[P/FCF Q1]])</f>
        <v>290.15853658536588</v>
      </c>
      <c r="E16" s="1">
        <f>Quartile_L[[#This Row],[P/FCF Q3]]+1.5*(Quartile_L[[#This Row],[P/FCF Q3]]-Quartile_L[[#This Row],[P/FCF Q1]])</f>
        <v>290.15853658536588</v>
      </c>
      <c r="F16" s="1" cm="1">
        <f t="array" ref="F16">_xlfn.QUARTILE.INC(IF(Quartile_L[[#This Row],[Industry]]=Main_L[Industry],Main_L[P/B]),1)</f>
        <v>98.318181818181827</v>
      </c>
      <c r="G16" s="1" cm="1">
        <f t="array" ref="G16">_xlfn.QUARTILE.INC(IF(Quartile_L[[#This Row],[Industry]]=Main_L[Industry],Main_L[P/B]),3)</f>
        <v>98.318181818181827</v>
      </c>
      <c r="H16" s="1">
        <f>Quartile_L[[#This Row],[P/B Q1]]-1.5*(Quartile_L[[#This Row],[P/B Q3]]-Quartile_L[[#This Row],[P/B Q1]])</f>
        <v>98.318181818181827</v>
      </c>
      <c r="I16" s="1">
        <f>Quartile_L[[#This Row],[P/B Q3]]+1.5*(Quartile_L[[#This Row],[P/B Q3]]-Quartile_L[[#This Row],[P/B Q1]])</f>
        <v>98.318181818181827</v>
      </c>
      <c r="J16" s="1" cm="1">
        <f t="array" ref="J16">_xlfn.QUARTILE.INC(IF(Quartile_L[[#This Row],[Industry]]=Main_L[Industry],Main_L[ROE]),1)</f>
        <v>36.65</v>
      </c>
      <c r="K16" s="1" cm="1">
        <f t="array" ref="K16">_xlfn.QUARTILE.INC(IF(Quartile_L[[#This Row],[Industry]]=Main_L[Industry],Main_L[ROE]),3)</f>
        <v>36.65</v>
      </c>
      <c r="L16" s="1">
        <f>Quartile_L[[#This Row],[ROE Q1]]-1.5*(Quartile_L[[#This Row],[ROE Q3]]-Quartile_L[[#This Row],[ROE Q1]])</f>
        <v>36.65</v>
      </c>
      <c r="M16" s="1">
        <f>Quartile_L[[#This Row],[ROE Q3]]+1.5*(Quartile_L[[#This Row],[ROE Q3]]-Quartile_L[[#This Row],[ROE Q1]])</f>
        <v>36.65</v>
      </c>
      <c r="N16" s="1" cm="1">
        <f t="array" ref="N16">_xlfn.QUARTILE.INC(IF(Quartile_L[[#This Row],[Industry]]=Main_L[Industry],Main_L[ROA]),1)</f>
        <v>12.76</v>
      </c>
      <c r="O16" s="1" cm="1">
        <f t="array" ref="O16">_xlfn.QUARTILE.INC(IF(Quartile_L[[#This Row],[Industry]]=Main_L[Industry],Main_L[ROA]),3)</f>
        <v>12.76</v>
      </c>
      <c r="P16" s="1">
        <f>Quartile_L[[#This Row],[ROA Q1]]-1.5*(Quartile_L[[#This Row],[ROA Q3]]-Quartile_L[[#This Row],[ROA Q1]])</f>
        <v>12.76</v>
      </c>
      <c r="Q16" s="1">
        <f>Quartile_L[[#This Row],[ROA Q3]]+1.5*(Quartile_L[[#This Row],[ROA Q3]]-Quartile_L[[#This Row],[ROA Q1]])</f>
        <v>12.76</v>
      </c>
      <c r="R16" s="1" cm="1">
        <f t="array" ref="R16">_xlfn.QUARTILE.INC(IF(Quartile_L[[#This Row],[Industry]]=Main_L[Industry],Main_L[P/E]),1)</f>
        <v>276.66279069767444</v>
      </c>
      <c r="S16" s="1" cm="1">
        <f t="array" ref="S16">_xlfn.QUARTILE.INC(IF(Quartile_L[[#This Row],[Industry]]=Main_L[Industry],Main_L[P/E]),3)</f>
        <v>276.66279069767444</v>
      </c>
      <c r="T16" s="1">
        <f>Quartile_L[[#This Row],[P/E Q1]]-1.5*(Quartile_L[[#This Row],[P/E Q3]]-Quartile_L[[#This Row],[P/E Q1]])</f>
        <v>276.66279069767444</v>
      </c>
      <c r="U16" s="1">
        <f>Quartile_L[[#This Row],[P/E Q3]]+1.5*(Quartile_L[[#This Row],[P/E Q3]]-Quartile_L[[#This Row],[P/E Q1]])</f>
        <v>276.66279069767444</v>
      </c>
      <c r="V16" s="1" cm="1">
        <f t="array" ref="V16">_xlfn.QUARTILE.INC(IF(Quartile_L[[#This Row],[Industry]]=Main_L[Industry],Main_L[A/E]),1)</f>
        <v>3.36</v>
      </c>
      <c r="W16" s="1" cm="1">
        <f t="array" ref="W16">_xlfn.QUARTILE.INC(IF(Quartile_L[[#This Row],[Industry]]=Main_L[Industry],Main_L[A/E]),3)</f>
        <v>3.36</v>
      </c>
      <c r="X16" s="1">
        <f>Quartile_L[[#This Row],[A/E Q1]]-1.5*(Quartile_L[[#This Row],[A/E Q3]]-Quartile_L[[#This Row],[A/E Q1]])</f>
        <v>3.36</v>
      </c>
      <c r="Y16" s="1">
        <f>Quartile_L[[#This Row],[A/E Q3]]+1.5*(Quartile_L[[#This Row],[A/E Q3]]-Quartile_L[[#This Row],[A/E Q1]])</f>
        <v>3.36</v>
      </c>
    </row>
    <row r="19" spans="1:25" x14ac:dyDescent="0.25">
      <c r="A19" t="s">
        <v>22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156</v>
      </c>
      <c r="B21" s="1" cm="1">
        <f t="array" ref="B21">_xlfn.QUARTILE.INC(IF(Quartile_M[[#This Row],[Industry]]=Main_M[Industry],Main_M[P/FCF]),1)</f>
        <v>15.433503620520375</v>
      </c>
      <c r="C21" s="1" cm="1">
        <f t="array" ref="C21">_xlfn.QUARTILE.INC(IF(Quartile_M[[#This Row],[Industry]]=Main_M[Industry],Main_M[P/FCF]),3)</f>
        <v>29.164039276453103</v>
      </c>
      <c r="D21" s="1">
        <f>Quartile_M[[#This Row],[P/FCF Q1]]-1.5*(Quartile_M[[#This Row],[P/FCF Q3]]-Quartile_M[[#This Row],[P/FCF Q1]])</f>
        <v>-5.1622998633787187</v>
      </c>
      <c r="E21" s="1">
        <f>Quartile_M[[#This Row],[P/FCF Q3]]+1.5*(Quartile_M[[#This Row],[P/FCF Q3]]-Quartile_M[[#This Row],[P/FCF Q1]])</f>
        <v>49.7598427603522</v>
      </c>
      <c r="F21" s="1" cm="1">
        <f t="array" ref="F21">_xlfn.QUARTILE.INC(IF(Quartile_M[[#This Row],[Industry]]=Main_M[Industry],Main_M[P/B]),1)</f>
        <v>2.0103922349820591</v>
      </c>
      <c r="G21" s="1" cm="1">
        <f t="array" ref="G21">_xlfn.QUARTILE.INC(IF(Quartile_M[[#This Row],[Industry]]=Main_M[Industry],Main_M[P/B]),3)</f>
        <v>4.6849021001106337</v>
      </c>
      <c r="H21" s="1">
        <f>Quartile_M[[#This Row],[P/B Q1]]-1.5*(Quartile_M[[#This Row],[P/B Q3]]-Quartile_M[[#This Row],[P/B Q1]])</f>
        <v>-2.0013725627108032</v>
      </c>
      <c r="I21" s="1">
        <f>Quartile_M[[#This Row],[P/B Q3]]+1.5*(Quartile_M[[#This Row],[P/B Q3]]-Quartile_M[[#This Row],[P/B Q1]])</f>
        <v>8.696666897803496</v>
      </c>
      <c r="J21" s="1" cm="1">
        <f t="array" ref="J21">_xlfn.QUARTILE.INC(IF(Quartile_M[[#This Row],[Industry]]=Main_M[Industry],Main_M[ROE]),1)</f>
        <v>9.5024999999999995</v>
      </c>
      <c r="K21" s="1" cm="1">
        <f t="array" ref="K21">_xlfn.QUARTILE.INC(IF(Quartile_M[[#This Row],[Industry]]=Main_M[Industry],Main_M[ROE]),3)</f>
        <v>18.322500000000002</v>
      </c>
      <c r="L21" s="1">
        <f>Quartile_M[[#This Row],[ROE Q1]]-1.5*(Quartile_M[[#This Row],[ROE Q3]]-Quartile_M[[#This Row],[ROE Q1]])</f>
        <v>-3.7275000000000045</v>
      </c>
      <c r="M21" s="1">
        <f>Quartile_M[[#This Row],[ROE Q3]]+1.5*(Quartile_M[[#This Row],[ROE Q3]]-Quartile_M[[#This Row],[ROE Q1]])</f>
        <v>31.552500000000006</v>
      </c>
      <c r="N21" s="1" cm="1">
        <f t="array" ref="N21">_xlfn.QUARTILE.INC(IF(Quartile_M[[#This Row],[Industry]]=Main_M[Industry],Main_M[ROA]),1)</f>
        <v>4.5925000000000002</v>
      </c>
      <c r="O21" s="1" cm="1">
        <f t="array" ref="O21">_xlfn.QUARTILE.INC(IF(Quartile_M[[#This Row],[Industry]]=Main_M[Industry],Main_M[ROA]),3)</f>
        <v>9.0925000000000011</v>
      </c>
      <c r="P21" s="1">
        <f>Quartile_M[[#This Row],[ROA Q1]]-1.5*(Quartile_M[[#This Row],[ROA Q3]]-Quartile_M[[#This Row],[ROA Q1]])</f>
        <v>-2.1575000000000015</v>
      </c>
      <c r="Q21" s="1">
        <f>Quartile_M[[#This Row],[ROA Q3]]+1.5*(Quartile_M[[#This Row],[ROA Q3]]-Quartile_M[[#This Row],[ROA Q1]])</f>
        <v>15.842500000000003</v>
      </c>
      <c r="R21" s="1" cm="1">
        <f t="array" ref="R21">_xlfn.QUARTILE.INC(IF(Quartile_M[[#This Row],[Industry]]=Main_M[Industry],Main_M[P/E]),1)</f>
        <v>12.880256164429642</v>
      </c>
      <c r="S21" s="1" cm="1">
        <f t="array" ref="S21">_xlfn.QUARTILE.INC(IF(Quartile_M[[#This Row],[Industry]]=Main_M[Industry],Main_M[P/E]),3)</f>
        <v>28.458852639296182</v>
      </c>
      <c r="T21" s="1">
        <f>Quartile_M[[#This Row],[P/E Q1]]-1.5*(Quartile_M[[#This Row],[P/E Q3]]-Quartile_M[[#This Row],[P/E Q1]])</f>
        <v>-10.487638547870166</v>
      </c>
      <c r="U21" s="1">
        <f>Quartile_M[[#This Row],[P/E Q3]]+1.5*(Quartile_M[[#This Row],[P/E Q3]]-Quartile_M[[#This Row],[P/E Q1]])</f>
        <v>51.826747351595991</v>
      </c>
      <c r="V21" s="1" cm="1">
        <f t="array" ref="V21">_xlfn.QUARTILE.INC(IF(Quartile_M[[#This Row],[Industry]]=Main_M[Industry],Main_M[A/E]),1)</f>
        <v>1.6375</v>
      </c>
      <c r="W21" s="1" cm="1">
        <f t="array" ref="W21">_xlfn.QUARTILE.INC(IF(Quartile_M[[#This Row],[Industry]]=Main_M[Industry],Main_M[A/E]),3)</f>
        <v>2.5499999999999998</v>
      </c>
      <c r="X21" s="1">
        <f>Quartile_M[[#This Row],[A/E Q1]]-1.5*(Quartile_M[[#This Row],[A/E Q3]]-Quartile_M[[#This Row],[A/E Q1]])</f>
        <v>0.26875000000000004</v>
      </c>
      <c r="Y21" s="1">
        <f>Quartile_M[[#This Row],[A/E Q3]]+1.5*(Quartile_M[[#This Row],[A/E Q3]]-Quartile_M[[#This Row],[A/E Q1]])</f>
        <v>3.9187499999999997</v>
      </c>
    </row>
    <row r="22" spans="1:25" x14ac:dyDescent="0.25">
      <c r="A22" t="s">
        <v>233</v>
      </c>
      <c r="B22" s="1" cm="1">
        <f t="array" ref="B22">_xlfn.QUARTILE.INC(IF(Quartile_M[[#This Row],[Industry]]=Main_M[Industry],Main_M[P/FCF]),1)</f>
        <v>-0.97133446138636437</v>
      </c>
      <c r="C22" s="1" cm="1">
        <f t="array" ref="C22">_xlfn.QUARTILE.INC(IF(Quartile_M[[#This Row],[Industry]]=Main_M[Industry],Main_M[P/FCF]),3)</f>
        <v>21.01606952476925</v>
      </c>
      <c r="D22" s="1">
        <f>Quartile_M[[#This Row],[P/FCF Q1]]-1.5*(Quartile_M[[#This Row],[P/FCF Q3]]-Quartile_M[[#This Row],[P/FCF Q1]])</f>
        <v>-33.952440440619782</v>
      </c>
      <c r="E22" s="1">
        <f>Quartile_M[[#This Row],[P/FCF Q3]]+1.5*(Quartile_M[[#This Row],[P/FCF Q3]]-Quartile_M[[#This Row],[P/FCF Q1]])</f>
        <v>53.997175504002669</v>
      </c>
      <c r="F22" s="1" cm="1">
        <f t="array" ref="F22">_xlfn.QUARTILE.INC(IF(Quartile_M[[#This Row],[Industry]]=Main_M[Industry],Main_M[P/B]),1)</f>
        <v>1.1114376416858209</v>
      </c>
      <c r="G22" s="1" cm="1">
        <f t="array" ref="G22">_xlfn.QUARTILE.INC(IF(Quartile_M[[#This Row],[Industry]]=Main_M[Industry],Main_M[P/B]),3)</f>
        <v>2.8657795738438705</v>
      </c>
      <c r="H22" s="1">
        <f>Quartile_M[[#This Row],[P/B Q1]]-1.5*(Quartile_M[[#This Row],[P/B Q3]]-Quartile_M[[#This Row],[P/B Q1]])</f>
        <v>-1.5200752565512534</v>
      </c>
      <c r="I22" s="1">
        <f>Quartile_M[[#This Row],[P/B Q3]]+1.5*(Quartile_M[[#This Row],[P/B Q3]]-Quartile_M[[#This Row],[P/B Q1]])</f>
        <v>5.4972924720809448</v>
      </c>
      <c r="J22" s="1" cm="1">
        <f t="array" ref="J22">_xlfn.QUARTILE.INC(IF(Quartile_M[[#This Row],[Industry]]=Main_M[Industry],Main_M[ROE]),1)</f>
        <v>2.625</v>
      </c>
      <c r="K22" s="1" cm="1">
        <f t="array" ref="K22">_xlfn.QUARTILE.INC(IF(Quartile_M[[#This Row],[Industry]]=Main_M[Industry],Main_M[ROE]),3)</f>
        <v>16.107500000000002</v>
      </c>
      <c r="L22" s="1">
        <f>Quartile_M[[#This Row],[ROE Q1]]-1.5*(Quartile_M[[#This Row],[ROE Q3]]-Quartile_M[[#This Row],[ROE Q1]])</f>
        <v>-17.598750000000003</v>
      </c>
      <c r="M22" s="1">
        <f>Quartile_M[[#This Row],[ROE Q3]]+1.5*(Quartile_M[[#This Row],[ROE Q3]]-Quartile_M[[#This Row],[ROE Q1]])</f>
        <v>36.331250000000004</v>
      </c>
      <c r="N22" s="1" cm="1">
        <f t="array" ref="N22">_xlfn.QUARTILE.INC(IF(Quartile_M[[#This Row],[Industry]]=Main_M[Industry],Main_M[ROA]),1)</f>
        <v>0.6875</v>
      </c>
      <c r="O22" s="1" cm="1">
        <f t="array" ref="O22">_xlfn.QUARTILE.INC(IF(Quartile_M[[#This Row],[Industry]]=Main_M[Industry],Main_M[ROA]),3)</f>
        <v>5.4224999999999994</v>
      </c>
      <c r="P22" s="1">
        <f>Quartile_M[[#This Row],[ROA Q1]]-1.5*(Quartile_M[[#This Row],[ROA Q3]]-Quartile_M[[#This Row],[ROA Q1]])</f>
        <v>-6.4149999999999991</v>
      </c>
      <c r="Q22" s="1">
        <f>Quartile_M[[#This Row],[ROA Q3]]+1.5*(Quartile_M[[#This Row],[ROA Q3]]-Quartile_M[[#This Row],[ROA Q1]])</f>
        <v>12.524999999999999</v>
      </c>
      <c r="R22" s="1" cm="1">
        <f t="array" ref="R22">_xlfn.QUARTILE.INC(IF(Quartile_M[[#This Row],[Industry]]=Main_M[Industry],Main_M[P/E]),1)</f>
        <v>2.8680882614677956</v>
      </c>
      <c r="S22" s="1" cm="1">
        <f t="array" ref="S22">_xlfn.QUARTILE.INC(IF(Quartile_M[[#This Row],[Industry]]=Main_M[Industry],Main_M[P/E]),3)</f>
        <v>32.441584158415843</v>
      </c>
      <c r="T22" s="1">
        <f>Quartile_M[[#This Row],[P/E Q1]]-1.5*(Quartile_M[[#This Row],[P/E Q3]]-Quartile_M[[#This Row],[P/E Q1]])</f>
        <v>-41.492155583954272</v>
      </c>
      <c r="U22" s="1">
        <f>Quartile_M[[#This Row],[P/E Q3]]+1.5*(Quartile_M[[#This Row],[P/E Q3]]-Quartile_M[[#This Row],[P/E Q1]])</f>
        <v>76.801828003837912</v>
      </c>
      <c r="V22" s="1" cm="1">
        <f t="array" ref="V22">_xlfn.QUARTILE.INC(IF(Quartile_M[[#This Row],[Industry]]=Main_M[Industry],Main_M[A/E]),1)</f>
        <v>1.49</v>
      </c>
      <c r="W22" s="1" cm="1">
        <f t="array" ref="W22">_xlfn.QUARTILE.INC(IF(Quartile_M[[#This Row],[Industry]]=Main_M[Industry],Main_M[A/E]),3)</f>
        <v>2.5449999999999999</v>
      </c>
      <c r="X22" s="1">
        <f>Quartile_M[[#This Row],[A/E Q1]]-1.5*(Quartile_M[[#This Row],[A/E Q3]]-Quartile_M[[#This Row],[A/E Q1]])</f>
        <v>-9.2500000000000027E-2</v>
      </c>
      <c r="Y22" s="1">
        <f>Quartile_M[[#This Row],[A/E Q3]]+1.5*(Quartile_M[[#This Row],[A/E Q3]]-Quartile_M[[#This Row],[A/E Q1]])</f>
        <v>4.1274999999999995</v>
      </c>
    </row>
    <row r="23" spans="1:25" x14ac:dyDescent="0.25">
      <c r="A23" t="s">
        <v>247</v>
      </c>
      <c r="B23" s="1" cm="1">
        <f t="array" ref="B23">_xlfn.QUARTILE.INC(IF(Quartile_M[[#This Row],[Industry]]=Main_M[Industry],Main_M[P/FCF]),1)</f>
        <v>4.2694013718264756</v>
      </c>
      <c r="C23" s="1" cm="1">
        <f t="array" ref="C23">_xlfn.QUARTILE.INC(IF(Quartile_M[[#This Row],[Industry]]=Main_M[Industry],Main_M[P/FCF]),3)</f>
        <v>13.827809445456506</v>
      </c>
      <c r="D23" s="1">
        <f>Quartile_M[[#This Row],[P/FCF Q1]]-1.5*(Quartile_M[[#This Row],[P/FCF Q3]]-Quartile_M[[#This Row],[P/FCF Q1]])</f>
        <v>-10.06821073861857</v>
      </c>
      <c r="E23" s="1">
        <f>Quartile_M[[#This Row],[P/FCF Q3]]+1.5*(Quartile_M[[#This Row],[P/FCF Q3]]-Quartile_M[[#This Row],[P/FCF Q1]])</f>
        <v>28.165421555901553</v>
      </c>
      <c r="F23" s="1" cm="1">
        <f t="array" ref="F23">_xlfn.QUARTILE.INC(IF(Quartile_M[[#This Row],[Industry]]=Main_M[Industry],Main_M[P/B]),1)</f>
        <v>0.97416267859544037</v>
      </c>
      <c r="G23" s="1" cm="1">
        <f t="array" ref="G23">_xlfn.QUARTILE.INC(IF(Quartile_M[[#This Row],[Industry]]=Main_M[Industry],Main_M[P/B]),3)</f>
        <v>1.6619793704313104</v>
      </c>
      <c r="H23" s="1">
        <f>Quartile_M[[#This Row],[P/B Q1]]-1.5*(Quartile_M[[#This Row],[P/B Q3]]-Quartile_M[[#This Row],[P/B Q1]])</f>
        <v>-5.7562359158364607E-2</v>
      </c>
      <c r="I23" s="1">
        <f>Quartile_M[[#This Row],[P/B Q3]]+1.5*(Quartile_M[[#This Row],[P/B Q3]]-Quartile_M[[#This Row],[P/B Q1]])</f>
        <v>2.6937044081851154</v>
      </c>
      <c r="J23" s="1" cm="1">
        <f t="array" ref="J23">_xlfn.QUARTILE.INC(IF(Quartile_M[[#This Row],[Industry]]=Main_M[Industry],Main_M[ROE]),1)</f>
        <v>14.72</v>
      </c>
      <c r="K23" s="1" cm="1">
        <f t="array" ref="K23">_xlfn.QUARTILE.INC(IF(Quartile_M[[#This Row],[Industry]]=Main_M[Industry],Main_M[ROE]),3)</f>
        <v>46.459999999999994</v>
      </c>
      <c r="L23" s="1">
        <f>Quartile_M[[#This Row],[ROE Q1]]-1.5*(Quartile_M[[#This Row],[ROE Q3]]-Quartile_M[[#This Row],[ROE Q1]])</f>
        <v>-32.889999999999993</v>
      </c>
      <c r="M23" s="1">
        <f>Quartile_M[[#This Row],[ROE Q3]]+1.5*(Quartile_M[[#This Row],[ROE Q3]]-Quartile_M[[#This Row],[ROE Q1]])</f>
        <v>94.07</v>
      </c>
      <c r="N23" s="1" cm="1">
        <f t="array" ref="N23">_xlfn.QUARTILE.INC(IF(Quartile_M[[#This Row],[Industry]]=Main_M[Industry],Main_M[ROA]),1)</f>
        <v>6.48</v>
      </c>
      <c r="O23" s="1" cm="1">
        <f t="array" ref="O23">_xlfn.QUARTILE.INC(IF(Quartile_M[[#This Row],[Industry]]=Main_M[Industry],Main_M[ROA]),3)</f>
        <v>12.82</v>
      </c>
      <c r="P23" s="1">
        <f>Quartile_M[[#This Row],[ROA Q1]]-1.5*(Quartile_M[[#This Row],[ROA Q3]]-Quartile_M[[#This Row],[ROA Q1]])</f>
        <v>-3.0299999999999994</v>
      </c>
      <c r="Q23" s="1">
        <f>Quartile_M[[#This Row],[ROA Q3]]+1.5*(Quartile_M[[#This Row],[ROA Q3]]-Quartile_M[[#This Row],[ROA Q1]])</f>
        <v>22.33</v>
      </c>
      <c r="R23" s="1" cm="1">
        <f t="array" ref="R23">_xlfn.QUARTILE.INC(IF(Quartile_M[[#This Row],[Industry]]=Main_M[Industry],Main_M[P/E]),1)</f>
        <v>4.2237322810149873</v>
      </c>
      <c r="S23" s="1" cm="1">
        <f t="array" ref="S23">_xlfn.QUARTILE.INC(IF(Quartile_M[[#This Row],[Industry]]=Main_M[Industry],Main_M[P/E]),3)</f>
        <v>14.9003300330033</v>
      </c>
      <c r="T23" s="1">
        <f>Quartile_M[[#This Row],[P/E Q1]]-1.5*(Quartile_M[[#This Row],[P/E Q3]]-Quartile_M[[#This Row],[P/E Q1]])</f>
        <v>-11.791164346967483</v>
      </c>
      <c r="U23" s="1">
        <f>Quartile_M[[#This Row],[P/E Q3]]+1.5*(Quartile_M[[#This Row],[P/E Q3]]-Quartile_M[[#This Row],[P/E Q1]])</f>
        <v>30.91522666098577</v>
      </c>
      <c r="V23" s="1" cm="1">
        <f t="array" ref="V23">_xlfn.QUARTILE.INC(IF(Quartile_M[[#This Row],[Industry]]=Main_M[Industry],Main_M[A/E]),1)</f>
        <v>1.7650000000000001</v>
      </c>
      <c r="W23" s="1" cm="1">
        <f t="array" ref="W23">_xlfn.QUARTILE.INC(IF(Quartile_M[[#This Row],[Industry]]=Main_M[Industry],Main_M[A/E]),3)</f>
        <v>2.355</v>
      </c>
      <c r="X23" s="1">
        <f>Quartile_M[[#This Row],[A/E Q1]]-1.5*(Quartile_M[[#This Row],[A/E Q3]]-Quartile_M[[#This Row],[A/E Q1]])</f>
        <v>0.88000000000000034</v>
      </c>
      <c r="Y23" s="1">
        <f>Quartile_M[[#This Row],[A/E Q3]]+1.5*(Quartile_M[[#This Row],[A/E Q3]]-Quartile_M[[#This Row],[A/E Q1]])</f>
        <v>3.2399999999999998</v>
      </c>
    </row>
    <row r="24" spans="1:25" x14ac:dyDescent="0.25">
      <c r="A24" t="s">
        <v>105</v>
      </c>
      <c r="B24" s="1" cm="1">
        <f t="array" ref="B24">_xlfn.QUARTILE.INC(IF(Quartile_M[[#This Row],[Industry]]=Main_M[Industry],Main_M[P/FCF]),1)</f>
        <v>-103.6153846153846</v>
      </c>
      <c r="C24" s="1" cm="1">
        <f t="array" ref="C24">_xlfn.QUARTILE.INC(IF(Quartile_M[[#This Row],[Industry]]=Main_M[Industry],Main_M[P/FCF]),3)</f>
        <v>26</v>
      </c>
      <c r="D24" s="1">
        <f>Quartile_M[[#This Row],[P/FCF Q1]]-1.5*(Quartile_M[[#This Row],[P/FCF Q3]]-Quartile_M[[#This Row],[P/FCF Q1]])</f>
        <v>-298.03846153846149</v>
      </c>
      <c r="E24" s="1">
        <f>Quartile_M[[#This Row],[P/FCF Q3]]+1.5*(Quartile_M[[#This Row],[P/FCF Q3]]-Quartile_M[[#This Row],[P/FCF Q1]])</f>
        <v>220.42307692307688</v>
      </c>
      <c r="F24" s="1" cm="1">
        <f t="array" ref="F24">_xlfn.QUARTILE.INC(IF(Quartile_M[[#This Row],[Industry]]=Main_M[Industry],Main_M[P/B]),1)</f>
        <v>1.8749588951002958</v>
      </c>
      <c r="G24" s="1" cm="1">
        <f t="array" ref="G24">_xlfn.QUARTILE.INC(IF(Quartile_M[[#This Row],[Industry]]=Main_M[Industry],Main_M[P/B]),3)</f>
        <v>6.1195652173913038</v>
      </c>
      <c r="H24" s="1">
        <f>Quartile_M[[#This Row],[P/B Q1]]-1.5*(Quartile_M[[#This Row],[P/B Q3]]-Quartile_M[[#This Row],[P/B Q1]])</f>
        <v>-4.4919505883362163</v>
      </c>
      <c r="I24" s="1">
        <f>Quartile_M[[#This Row],[P/B Q3]]+1.5*(Quartile_M[[#This Row],[P/B Q3]]-Quartile_M[[#This Row],[P/B Q1]])</f>
        <v>12.486474700827817</v>
      </c>
      <c r="J24" s="1" cm="1">
        <f t="array" ref="J24">_xlfn.QUARTILE.INC(IF(Quartile_M[[#This Row],[Industry]]=Main_M[Industry],Main_M[ROE]),1)</f>
        <v>-4.45</v>
      </c>
      <c r="K24" s="1" cm="1">
        <f t="array" ref="K24">_xlfn.QUARTILE.INC(IF(Quartile_M[[#This Row],[Industry]]=Main_M[Industry],Main_M[ROE]),3)</f>
        <v>8.5399999999999991</v>
      </c>
      <c r="L24" s="1">
        <f>Quartile_M[[#This Row],[ROE Q1]]-1.5*(Quartile_M[[#This Row],[ROE Q3]]-Quartile_M[[#This Row],[ROE Q1]])</f>
        <v>-23.934999999999999</v>
      </c>
      <c r="M24" s="1">
        <f>Quartile_M[[#This Row],[ROE Q3]]+1.5*(Quartile_M[[#This Row],[ROE Q3]]-Quartile_M[[#This Row],[ROE Q1]])</f>
        <v>28.024999999999999</v>
      </c>
      <c r="N24" s="1" cm="1">
        <f t="array" ref="N24">_xlfn.QUARTILE.INC(IF(Quartile_M[[#This Row],[Industry]]=Main_M[Industry],Main_M[ROA]),1)</f>
        <v>2.15</v>
      </c>
      <c r="O24" s="1" cm="1">
        <f t="array" ref="O24">_xlfn.QUARTILE.INC(IF(Quartile_M[[#This Row],[Industry]]=Main_M[Industry],Main_M[ROA]),3)</f>
        <v>4.6900000000000004</v>
      </c>
      <c r="P24" s="1">
        <f>Quartile_M[[#This Row],[ROA Q1]]-1.5*(Quartile_M[[#This Row],[ROA Q3]]-Quartile_M[[#This Row],[ROA Q1]])</f>
        <v>-1.6600000000000006</v>
      </c>
      <c r="Q24" s="1">
        <f>Quartile_M[[#This Row],[ROA Q3]]+1.5*(Quartile_M[[#This Row],[ROA Q3]]-Quartile_M[[#This Row],[ROA Q1]])</f>
        <v>8.5</v>
      </c>
      <c r="R24" s="1" cm="1">
        <f t="array" ref="R24">_xlfn.QUARTILE.INC(IF(Quartile_M[[#This Row],[Industry]]=Main_M[Industry],Main_M[P/E]),1)</f>
        <v>16.431556195965417</v>
      </c>
      <c r="S24" s="1" cm="1">
        <f t="array" ref="S24">_xlfn.QUARTILE.INC(IF(Quartile_M[[#This Row],[Industry]]=Main_M[Industry],Main_M[P/E]),3)</f>
        <v>133.69565217391303</v>
      </c>
      <c r="T24" s="1">
        <f>Quartile_M[[#This Row],[P/E Q1]]-1.5*(Quartile_M[[#This Row],[P/E Q3]]-Quartile_M[[#This Row],[P/E Q1]])</f>
        <v>-159.46458777095603</v>
      </c>
      <c r="U24" s="1">
        <f>Quartile_M[[#This Row],[P/E Q3]]+1.5*(Quartile_M[[#This Row],[P/E Q3]]-Quartile_M[[#This Row],[P/E Q1]])</f>
        <v>309.5917961408345</v>
      </c>
      <c r="V24" s="1" cm="1">
        <f t="array" ref="V24">_xlfn.QUARTILE.INC(IF(Quartile_M[[#This Row],[Industry]]=Main_M[Industry],Main_M[A/E]),1)</f>
        <v>1.2</v>
      </c>
      <c r="W24" s="1" cm="1">
        <f t="array" ref="W24">_xlfn.QUARTILE.INC(IF(Quartile_M[[#This Row],[Industry]]=Main_M[Industry],Main_M[A/E]),3)</f>
        <v>2.42</v>
      </c>
      <c r="X24" s="1">
        <f>Quartile_M[[#This Row],[A/E Q1]]-1.5*(Quartile_M[[#This Row],[A/E Q3]]-Quartile_M[[#This Row],[A/E Q1]])</f>
        <v>-0.63000000000000012</v>
      </c>
      <c r="Y24" s="1">
        <f>Quartile_M[[#This Row],[A/E Q3]]+1.5*(Quartile_M[[#This Row],[A/E Q3]]-Quartile_M[[#This Row],[A/E Q1]])</f>
        <v>4.25</v>
      </c>
    </row>
    <row r="25" spans="1:25" x14ac:dyDescent="0.25">
      <c r="A25" t="s">
        <v>180</v>
      </c>
      <c r="B25" s="1" cm="1">
        <f t="array" ref="B25">_xlfn.QUARTILE.INC(IF(Quartile_M[[#This Row],[Industry]]=Main_M[Industry],Main_M[P/FCF]),1)</f>
        <v>8.7785349233390111</v>
      </c>
      <c r="C25" s="1" cm="1">
        <f t="array" ref="C25">_xlfn.QUARTILE.INC(IF(Quartile_M[[#This Row],[Industry]]=Main_M[Industry],Main_M[P/FCF]),3)</f>
        <v>25.621387283236995</v>
      </c>
      <c r="D25" s="1">
        <f>Quartile_M[[#This Row],[P/FCF Q1]]-1.5*(Quartile_M[[#This Row],[P/FCF Q3]]-Quartile_M[[#This Row],[P/FCF Q1]])</f>
        <v>-16.48574361650796</v>
      </c>
      <c r="E25" s="1">
        <f>Quartile_M[[#This Row],[P/FCF Q3]]+1.5*(Quartile_M[[#This Row],[P/FCF Q3]]-Quartile_M[[#This Row],[P/FCF Q1]])</f>
        <v>50.885665823083968</v>
      </c>
      <c r="F25" s="1" cm="1">
        <f t="array" ref="F25">_xlfn.QUARTILE.INC(IF(Quartile_M[[#This Row],[Industry]]=Main_M[Industry],Main_M[P/B]),1)</f>
        <v>1.8070017953321362</v>
      </c>
      <c r="G25" s="1" cm="1">
        <f t="array" ref="G25">_xlfn.QUARTILE.INC(IF(Quartile_M[[#This Row],[Industry]]=Main_M[Industry],Main_M[P/B]),3)</f>
        <v>3.3585526315789478</v>
      </c>
      <c r="H25" s="1">
        <f>Quartile_M[[#This Row],[P/B Q1]]-1.5*(Quartile_M[[#This Row],[P/B Q3]]-Quartile_M[[#This Row],[P/B Q1]])</f>
        <v>-0.52032445903808133</v>
      </c>
      <c r="I25" s="1">
        <f>Quartile_M[[#This Row],[P/B Q3]]+1.5*(Quartile_M[[#This Row],[P/B Q3]]-Quartile_M[[#This Row],[P/B Q1]])</f>
        <v>5.6858788859491654</v>
      </c>
      <c r="J25" s="1" cm="1">
        <f t="array" ref="J25">_xlfn.QUARTILE.INC(IF(Quartile_M[[#This Row],[Industry]]=Main_M[Industry],Main_M[ROE]),1)</f>
        <v>10.36</v>
      </c>
      <c r="K25" s="1" cm="1">
        <f t="array" ref="K25">_xlfn.QUARTILE.INC(IF(Quartile_M[[#This Row],[Industry]]=Main_M[Industry],Main_M[ROE]),3)</f>
        <v>15.74</v>
      </c>
      <c r="L25" s="1">
        <f>Quartile_M[[#This Row],[ROE Q1]]-1.5*(Quartile_M[[#This Row],[ROE Q3]]-Quartile_M[[#This Row],[ROE Q1]])</f>
        <v>2.2899999999999991</v>
      </c>
      <c r="M25" s="1">
        <f>Quartile_M[[#This Row],[ROE Q3]]+1.5*(Quartile_M[[#This Row],[ROE Q3]]-Quartile_M[[#This Row],[ROE Q1]])</f>
        <v>23.810000000000002</v>
      </c>
      <c r="N25" s="1" cm="1">
        <f t="array" ref="N25">_xlfn.QUARTILE.INC(IF(Quartile_M[[#This Row],[Industry]]=Main_M[Industry],Main_M[ROA]),1)</f>
        <v>4.16</v>
      </c>
      <c r="O25" s="1" cm="1">
        <f t="array" ref="O25">_xlfn.QUARTILE.INC(IF(Quartile_M[[#This Row],[Industry]]=Main_M[Industry],Main_M[ROA]),3)</f>
        <v>6.6</v>
      </c>
      <c r="P25" s="1">
        <f>Quartile_M[[#This Row],[ROA Q1]]-1.5*(Quartile_M[[#This Row],[ROA Q3]]-Quartile_M[[#This Row],[ROA Q1]])</f>
        <v>0.50000000000000089</v>
      </c>
      <c r="Q25" s="1">
        <f>Quartile_M[[#This Row],[ROA Q3]]+1.5*(Quartile_M[[#This Row],[ROA Q3]]-Quartile_M[[#This Row],[ROA Q1]])</f>
        <v>10.259999999999998</v>
      </c>
      <c r="R25" s="1" cm="1">
        <f t="array" ref="R25">_xlfn.QUARTILE.INC(IF(Quartile_M[[#This Row],[Industry]]=Main_M[Industry],Main_M[P/E]),1)</f>
        <v>13.311463046757163</v>
      </c>
      <c r="S25" s="1" cm="1">
        <f t="array" ref="S25">_xlfn.QUARTILE.INC(IF(Quartile_M[[#This Row],[Industry]]=Main_M[Industry],Main_M[P/E]),3)</f>
        <v>23.363727454909817</v>
      </c>
      <c r="T25" s="1">
        <f>Quartile_M[[#This Row],[P/E Q1]]-1.5*(Quartile_M[[#This Row],[P/E Q3]]-Quartile_M[[#This Row],[P/E Q1]])</f>
        <v>-1.7669335654718186</v>
      </c>
      <c r="U25" s="1">
        <f>Quartile_M[[#This Row],[P/E Q3]]+1.5*(Quartile_M[[#This Row],[P/E Q3]]-Quartile_M[[#This Row],[P/E Q1]])</f>
        <v>38.442124067138799</v>
      </c>
      <c r="V25" s="1" cm="1">
        <f t="array" ref="V25">_xlfn.QUARTILE.INC(IF(Quartile_M[[#This Row],[Industry]]=Main_M[Industry],Main_M[A/E]),1)</f>
        <v>1.86</v>
      </c>
      <c r="W25" s="1" cm="1">
        <f t="array" ref="W25">_xlfn.QUARTILE.INC(IF(Quartile_M[[#This Row],[Industry]]=Main_M[Industry],Main_M[A/E]),3)</f>
        <v>3.08</v>
      </c>
      <c r="X25" s="1">
        <f>Quartile_M[[#This Row],[A/E Q1]]-1.5*(Quartile_M[[#This Row],[A/E Q3]]-Quartile_M[[#This Row],[A/E Q1]])</f>
        <v>3.0000000000000027E-2</v>
      </c>
      <c r="Y25" s="1">
        <f>Quartile_M[[#This Row],[A/E Q3]]+1.5*(Quartile_M[[#This Row],[A/E Q3]]-Quartile_M[[#This Row],[A/E Q1]])</f>
        <v>4.91</v>
      </c>
    </row>
    <row r="26" spans="1:25" x14ac:dyDescent="0.25">
      <c r="A26" t="s">
        <v>135</v>
      </c>
      <c r="B26" s="1" cm="1">
        <f t="array" ref="B26">_xlfn.QUARTILE.INC(IF(Quartile_M[[#This Row],[Industry]]=Main_M[Industry],Main_M[P/FCF]),1)</f>
        <v>14.385085279773548</v>
      </c>
      <c r="C26" s="1" cm="1">
        <f t="array" ref="C26">_xlfn.QUARTILE.INC(IF(Quartile_M[[#This Row],[Industry]]=Main_M[Industry],Main_M[P/FCF]),3)</f>
        <v>33.047486033519554</v>
      </c>
      <c r="D26" s="1">
        <f>Quartile_M[[#This Row],[P/FCF Q1]]-1.5*(Quartile_M[[#This Row],[P/FCF Q3]]-Quartile_M[[#This Row],[P/FCF Q1]])</f>
        <v>-13.60851585084546</v>
      </c>
      <c r="E26" s="1">
        <f>Quartile_M[[#This Row],[P/FCF Q3]]+1.5*(Quartile_M[[#This Row],[P/FCF Q3]]-Quartile_M[[#This Row],[P/FCF Q1]])</f>
        <v>61.04108716413856</v>
      </c>
      <c r="F26" s="1" cm="1">
        <f t="array" ref="F26">_xlfn.QUARTILE.INC(IF(Quartile_M[[#This Row],[Industry]]=Main_M[Industry],Main_M[P/B]),1)</f>
        <v>3.9910220669091894</v>
      </c>
      <c r="G26" s="1" cm="1">
        <f t="array" ref="G26">_xlfn.QUARTILE.INC(IF(Quartile_M[[#This Row],[Industry]]=Main_M[Industry],Main_M[P/B]),3)</f>
        <v>7.0159315177468224</v>
      </c>
      <c r="H26" s="1">
        <f>Quartile_M[[#This Row],[P/B Q1]]-1.5*(Quartile_M[[#This Row],[P/B Q3]]-Quartile_M[[#This Row],[P/B Q1]])</f>
        <v>-0.54634210934726024</v>
      </c>
      <c r="I26" s="1">
        <f>Quartile_M[[#This Row],[P/B Q3]]+1.5*(Quartile_M[[#This Row],[P/B Q3]]-Quartile_M[[#This Row],[P/B Q1]])</f>
        <v>11.553295694003271</v>
      </c>
      <c r="J26" s="1" cm="1">
        <f t="array" ref="J26">_xlfn.QUARTILE.INC(IF(Quartile_M[[#This Row],[Industry]]=Main_M[Industry],Main_M[ROE]),1)</f>
        <v>8.7250000000000014</v>
      </c>
      <c r="K26" s="1" cm="1">
        <f t="array" ref="K26">_xlfn.QUARTILE.INC(IF(Quartile_M[[#This Row],[Industry]]=Main_M[Industry],Main_M[ROE]),3)</f>
        <v>30.005000000000003</v>
      </c>
      <c r="L26" s="1">
        <f>Quartile_M[[#This Row],[ROE Q1]]-1.5*(Quartile_M[[#This Row],[ROE Q3]]-Quartile_M[[#This Row],[ROE Q1]])</f>
        <v>-23.195</v>
      </c>
      <c r="M26" s="1">
        <f>Quartile_M[[#This Row],[ROE Q3]]+1.5*(Quartile_M[[#This Row],[ROE Q3]]-Quartile_M[[#This Row],[ROE Q1]])</f>
        <v>61.925000000000004</v>
      </c>
      <c r="N26" s="1" cm="1">
        <f t="array" ref="N26">_xlfn.QUARTILE.INC(IF(Quartile_M[[#This Row],[Industry]]=Main_M[Industry],Main_M[ROA]),1)</f>
        <v>3.6100000000000003</v>
      </c>
      <c r="O26" s="1" cm="1">
        <f t="array" ref="O26">_xlfn.QUARTILE.INC(IF(Quartile_M[[#This Row],[Industry]]=Main_M[Industry],Main_M[ROA]),3)</f>
        <v>8.3800000000000008</v>
      </c>
      <c r="P26" s="1">
        <f>Quartile_M[[#This Row],[ROA Q1]]-1.5*(Quartile_M[[#This Row],[ROA Q3]]-Quartile_M[[#This Row],[ROA Q1]])</f>
        <v>-3.5450000000000008</v>
      </c>
      <c r="Q26" s="1">
        <f>Quartile_M[[#This Row],[ROA Q3]]+1.5*(Quartile_M[[#This Row],[ROA Q3]]-Quartile_M[[#This Row],[ROA Q1]])</f>
        <v>15.535000000000002</v>
      </c>
      <c r="R26" s="1" cm="1">
        <f t="array" ref="R26">_xlfn.QUARTILE.INC(IF(Quartile_M[[#This Row],[Industry]]=Main_M[Industry],Main_M[P/E]),1)</f>
        <v>21.816920333604784</v>
      </c>
      <c r="S26" s="1" cm="1">
        <f t="array" ref="S26">_xlfn.QUARTILE.INC(IF(Quartile_M[[#This Row],[Industry]]=Main_M[Industry],Main_M[P/E]),3)</f>
        <v>59.883018867924527</v>
      </c>
      <c r="T26" s="1">
        <f>Quartile_M[[#This Row],[P/E Q1]]-1.5*(Quartile_M[[#This Row],[P/E Q3]]-Quartile_M[[#This Row],[P/E Q1]])</f>
        <v>-35.282227467874833</v>
      </c>
      <c r="U26" s="1">
        <f>Quartile_M[[#This Row],[P/E Q3]]+1.5*(Quartile_M[[#This Row],[P/E Q3]]-Quartile_M[[#This Row],[P/E Q1]])</f>
        <v>116.98216666940414</v>
      </c>
      <c r="V26" s="1" cm="1">
        <f t="array" ref="V26">_xlfn.QUARTILE.INC(IF(Quartile_M[[#This Row],[Industry]]=Main_M[Industry],Main_M[A/E]),1)</f>
        <v>2.2050000000000001</v>
      </c>
      <c r="W26" s="1" cm="1">
        <f t="array" ref="W26">_xlfn.QUARTILE.INC(IF(Quartile_M[[#This Row],[Industry]]=Main_M[Industry],Main_M[A/E]),3)</f>
        <v>2.9400000000000004</v>
      </c>
      <c r="X26" s="1">
        <f>Quartile_M[[#This Row],[A/E Q1]]-1.5*(Quartile_M[[#This Row],[A/E Q3]]-Quartile_M[[#This Row],[A/E Q1]])</f>
        <v>1.1024999999999996</v>
      </c>
      <c r="Y26" s="1">
        <f>Quartile_M[[#This Row],[A/E Q3]]+1.5*(Quartile_M[[#This Row],[A/E Q3]]-Quartile_M[[#This Row],[A/E Q1]])</f>
        <v>4.0425000000000004</v>
      </c>
    </row>
    <row r="27" spans="1:25" x14ac:dyDescent="0.25">
      <c r="A27" t="s">
        <v>203</v>
      </c>
      <c r="B27" s="1" cm="1">
        <f t="array" ref="B27">_xlfn.QUARTILE.INC(IF(Quartile_M[[#This Row],[Industry]]=Main_M[Industry],Main_M[P/FCF]),1)</f>
        <v>12.815042359003472</v>
      </c>
      <c r="C27" s="1" cm="1">
        <f t="array" ref="C27">_xlfn.QUARTILE.INC(IF(Quartile_M[[#This Row],[Industry]]=Main_M[Industry],Main_M[P/FCF]),3)</f>
        <v>25.965186915887848</v>
      </c>
      <c r="D27" s="1">
        <f>Quartile_M[[#This Row],[P/FCF Q1]]-1.5*(Quartile_M[[#This Row],[P/FCF Q3]]-Quartile_M[[#This Row],[P/FCF Q1]])</f>
        <v>-6.9101744763230908</v>
      </c>
      <c r="E27" s="1">
        <f>Quartile_M[[#This Row],[P/FCF Q3]]+1.5*(Quartile_M[[#This Row],[P/FCF Q3]]-Quartile_M[[#This Row],[P/FCF Q1]])</f>
        <v>45.690403751214411</v>
      </c>
      <c r="F27" s="1" cm="1">
        <f t="array" ref="F27">_xlfn.QUARTILE.INC(IF(Quartile_M[[#This Row],[Industry]]=Main_M[Industry],Main_M[P/B]),1)</f>
        <v>2.0095735795035239</v>
      </c>
      <c r="G27" s="1" cm="1">
        <f t="array" ref="G27">_xlfn.QUARTILE.INC(IF(Quartile_M[[#This Row],[Industry]]=Main_M[Industry],Main_M[P/B]),3)</f>
        <v>4.39143265491394</v>
      </c>
      <c r="H27" s="1">
        <f>Quartile_M[[#This Row],[P/B Q1]]-1.5*(Quartile_M[[#This Row],[P/B Q3]]-Quartile_M[[#This Row],[P/B Q1]])</f>
        <v>-1.5632150336121002</v>
      </c>
      <c r="I27" s="1">
        <f>Quartile_M[[#This Row],[P/B Q3]]+1.5*(Quartile_M[[#This Row],[P/B Q3]]-Quartile_M[[#This Row],[P/B Q1]])</f>
        <v>7.9642212680295641</v>
      </c>
      <c r="J27" s="1" cm="1">
        <f t="array" ref="J27">_xlfn.QUARTILE.INC(IF(Quartile_M[[#This Row],[Industry]]=Main_M[Industry],Main_M[ROE]),1)</f>
        <v>6.3425000000000002</v>
      </c>
      <c r="K27" s="1" cm="1">
        <f t="array" ref="K27">_xlfn.QUARTILE.INC(IF(Quartile_M[[#This Row],[Industry]]=Main_M[Industry],Main_M[ROE]),3)</f>
        <v>23.41</v>
      </c>
      <c r="L27" s="1">
        <f>Quartile_M[[#This Row],[ROE Q1]]-1.5*(Quartile_M[[#This Row],[ROE Q3]]-Quartile_M[[#This Row],[ROE Q1]])</f>
        <v>-19.258749999999999</v>
      </c>
      <c r="M27" s="1">
        <f>Quartile_M[[#This Row],[ROE Q3]]+1.5*(Quartile_M[[#This Row],[ROE Q3]]-Quartile_M[[#This Row],[ROE Q1]])</f>
        <v>49.011250000000004</v>
      </c>
      <c r="N27" s="1" cm="1">
        <f t="array" ref="N27">_xlfn.QUARTILE.INC(IF(Quartile_M[[#This Row],[Industry]]=Main_M[Industry],Main_M[ROA]),1)</f>
        <v>2.7949999999999999</v>
      </c>
      <c r="O27" s="1" cm="1">
        <f t="array" ref="O27">_xlfn.QUARTILE.INC(IF(Quartile_M[[#This Row],[Industry]]=Main_M[Industry],Main_M[ROA]),3)</f>
        <v>7.5</v>
      </c>
      <c r="P27" s="1">
        <f>Quartile_M[[#This Row],[ROA Q1]]-1.5*(Quartile_M[[#This Row],[ROA Q3]]-Quartile_M[[#This Row],[ROA Q1]])</f>
        <v>-4.2625000000000002</v>
      </c>
      <c r="Q27" s="1">
        <f>Quartile_M[[#This Row],[ROA Q3]]+1.5*(Quartile_M[[#This Row],[ROA Q3]]-Quartile_M[[#This Row],[ROA Q1]])</f>
        <v>14.557500000000001</v>
      </c>
      <c r="R27" s="1" cm="1">
        <f t="array" ref="R27">_xlfn.QUARTILE.INC(IF(Quartile_M[[#This Row],[Industry]]=Main_M[Industry],Main_M[P/E]),1)</f>
        <v>14.025124999999999</v>
      </c>
      <c r="S27" s="1" cm="1">
        <f t="array" ref="S27">_xlfn.QUARTILE.INC(IF(Quartile_M[[#This Row],[Industry]]=Main_M[Industry],Main_M[P/E]),3)</f>
        <v>34.475290135396513</v>
      </c>
      <c r="T27" s="1">
        <f>Quartile_M[[#This Row],[P/E Q1]]-1.5*(Quartile_M[[#This Row],[P/E Q3]]-Quartile_M[[#This Row],[P/E Q1]])</f>
        <v>-16.65012270309477</v>
      </c>
      <c r="U27" s="1">
        <f>Quartile_M[[#This Row],[P/E Q3]]+1.5*(Quartile_M[[#This Row],[P/E Q3]]-Quartile_M[[#This Row],[P/E Q1]])</f>
        <v>65.150537838491289</v>
      </c>
      <c r="V27" s="1" cm="1">
        <f t="array" ref="V27">_xlfn.QUARTILE.INC(IF(Quartile_M[[#This Row],[Industry]]=Main_M[Industry],Main_M[A/E]),1)</f>
        <v>2.0099999999999998</v>
      </c>
      <c r="W27" s="1" cm="1">
        <f t="array" ref="W27">_xlfn.QUARTILE.INC(IF(Quartile_M[[#This Row],[Industry]]=Main_M[Industry],Main_M[A/E]),3)</f>
        <v>3.01</v>
      </c>
      <c r="X27" s="1">
        <f>Quartile_M[[#This Row],[A/E Q1]]-1.5*(Quartile_M[[#This Row],[A/E Q3]]-Quartile_M[[#This Row],[A/E Q1]])</f>
        <v>0.50999999999999979</v>
      </c>
      <c r="Y27" s="1">
        <f>Quartile_M[[#This Row],[A/E Q3]]+1.5*(Quartile_M[[#This Row],[A/E Q3]]-Quartile_M[[#This Row],[A/E Q1]])</f>
        <v>4.51</v>
      </c>
    </row>
    <row r="28" spans="1:25" x14ac:dyDescent="0.25">
      <c r="A28" t="s">
        <v>122</v>
      </c>
      <c r="B28" s="1" cm="1">
        <f t="array" ref="B28">_xlfn.QUARTILE.INC(IF(Quartile_M[[#This Row],[Industry]]=Main_M[Industry],Main_M[P/FCF]),1)</f>
        <v>11.819184981684982</v>
      </c>
      <c r="C28" s="1" cm="1">
        <f t="array" ref="C28">_xlfn.QUARTILE.INC(IF(Quartile_M[[#This Row],[Industry]]=Main_M[Industry],Main_M[P/FCF]),3)</f>
        <v>33.660998271391534</v>
      </c>
      <c r="D28" s="1">
        <f>Quartile_M[[#This Row],[P/FCF Q1]]-1.5*(Quartile_M[[#This Row],[P/FCF Q3]]-Quartile_M[[#This Row],[P/FCF Q1]])</f>
        <v>-20.943534952874842</v>
      </c>
      <c r="E28" s="1">
        <f>Quartile_M[[#This Row],[P/FCF Q3]]+1.5*(Quartile_M[[#This Row],[P/FCF Q3]]-Quartile_M[[#This Row],[P/FCF Q1]])</f>
        <v>66.42371820595136</v>
      </c>
      <c r="F28" s="1" cm="1">
        <f t="array" ref="F28">_xlfn.QUARTILE.INC(IF(Quartile_M[[#This Row],[Industry]]=Main_M[Industry],Main_M[P/B]),1)</f>
        <v>3.1425803776590282</v>
      </c>
      <c r="G28" s="1" cm="1">
        <f t="array" ref="G28">_xlfn.QUARTILE.INC(IF(Quartile_M[[#This Row],[Industry]]=Main_M[Industry],Main_M[P/B]),3)</f>
        <v>6.3849215004822906</v>
      </c>
      <c r="H28" s="1">
        <f>Quartile_M[[#This Row],[P/B Q1]]-1.5*(Quartile_M[[#This Row],[P/B Q3]]-Quartile_M[[#This Row],[P/B Q1]])</f>
        <v>-1.7209313065758653</v>
      </c>
      <c r="I28" s="1">
        <f>Quartile_M[[#This Row],[P/B Q3]]+1.5*(Quartile_M[[#This Row],[P/B Q3]]-Quartile_M[[#This Row],[P/B Q1]])</f>
        <v>11.248433184717184</v>
      </c>
      <c r="J28" s="1" cm="1">
        <f t="array" ref="J28">_xlfn.QUARTILE.INC(IF(Quartile_M[[#This Row],[Industry]]=Main_M[Industry],Main_M[ROE]),1)</f>
        <v>11.815</v>
      </c>
      <c r="K28" s="1" cm="1">
        <f t="array" ref="K28">_xlfn.QUARTILE.INC(IF(Quartile_M[[#This Row],[Industry]]=Main_M[Industry],Main_M[ROE]),3)</f>
        <v>27.79</v>
      </c>
      <c r="L28" s="1">
        <f>Quartile_M[[#This Row],[ROE Q1]]-1.5*(Quartile_M[[#This Row],[ROE Q3]]-Quartile_M[[#This Row],[ROE Q1]])</f>
        <v>-12.147499999999999</v>
      </c>
      <c r="M28" s="1">
        <f>Quartile_M[[#This Row],[ROE Q3]]+1.5*(Quartile_M[[#This Row],[ROE Q3]]-Quartile_M[[#This Row],[ROE Q1]])</f>
        <v>51.752499999999998</v>
      </c>
      <c r="N28" s="1" cm="1">
        <f t="array" ref="N28">_xlfn.QUARTILE.INC(IF(Quartile_M[[#This Row],[Industry]]=Main_M[Industry],Main_M[ROA]),1)</f>
        <v>6.625</v>
      </c>
      <c r="O28" s="1" cm="1">
        <f t="array" ref="O28">_xlfn.QUARTILE.INC(IF(Quartile_M[[#This Row],[Industry]]=Main_M[Industry],Main_M[ROA]),3)</f>
        <v>11.515000000000001</v>
      </c>
      <c r="P28" s="1">
        <f>Quartile_M[[#This Row],[ROA Q1]]-1.5*(Quartile_M[[#This Row],[ROA Q3]]-Quartile_M[[#This Row],[ROA Q1]])</f>
        <v>-0.71000000000000085</v>
      </c>
      <c r="Q28" s="1">
        <f>Quartile_M[[#This Row],[ROA Q3]]+1.5*(Quartile_M[[#This Row],[ROA Q3]]-Quartile_M[[#This Row],[ROA Q1]])</f>
        <v>18.850000000000001</v>
      </c>
      <c r="R28" s="1" cm="1">
        <f t="array" ref="R28">_xlfn.QUARTILE.INC(IF(Quartile_M[[#This Row],[Industry]]=Main_M[Industry],Main_M[P/E]),1)</f>
        <v>20.476996527777779</v>
      </c>
      <c r="S28" s="1" cm="1">
        <f t="array" ref="S28">_xlfn.QUARTILE.INC(IF(Quartile_M[[#This Row],[Industry]]=Main_M[Industry],Main_M[P/E]),3)</f>
        <v>43.654150305410127</v>
      </c>
      <c r="T28" s="1">
        <f>Quartile_M[[#This Row],[P/E Q1]]-1.5*(Quartile_M[[#This Row],[P/E Q3]]-Quartile_M[[#This Row],[P/E Q1]])</f>
        <v>-14.28873413867074</v>
      </c>
      <c r="U28" s="1">
        <f>Quartile_M[[#This Row],[P/E Q3]]+1.5*(Quartile_M[[#This Row],[P/E Q3]]-Quartile_M[[#This Row],[P/E Q1]])</f>
        <v>78.419880971858646</v>
      </c>
      <c r="V28" s="1" cm="1">
        <f t="array" ref="V28">_xlfn.QUARTILE.INC(IF(Quartile_M[[#This Row],[Industry]]=Main_M[Industry],Main_M[A/E]),1)</f>
        <v>1.625</v>
      </c>
      <c r="W28" s="1" cm="1">
        <f t="array" ref="W28">_xlfn.QUARTILE.INC(IF(Quartile_M[[#This Row],[Industry]]=Main_M[Industry],Main_M[A/E]),3)</f>
        <v>2.38</v>
      </c>
      <c r="X28" s="1">
        <f>Quartile_M[[#This Row],[A/E Q1]]-1.5*(Quartile_M[[#This Row],[A/E Q3]]-Quartile_M[[#This Row],[A/E Q1]])</f>
        <v>0.49250000000000016</v>
      </c>
      <c r="Y28" s="1">
        <f>Quartile_M[[#This Row],[A/E Q3]]+1.5*(Quartile_M[[#This Row],[A/E Q3]]-Quartile_M[[#This Row],[A/E Q1]])</f>
        <v>3.5124999999999997</v>
      </c>
    </row>
    <row r="29" spans="1:25" x14ac:dyDescent="0.25">
      <c r="A29" t="s">
        <v>142</v>
      </c>
      <c r="B29" s="1" cm="1">
        <f t="array" ref="B29">_xlfn.QUARTILE.INC(IF(Quartile_M[[#This Row],[Industry]]=Main_M[Industry],Main_M[P/FCF]),1)</f>
        <v>8.7715542979802912</v>
      </c>
      <c r="C29" s="1" cm="1">
        <f t="array" ref="C29">_xlfn.QUARTILE.INC(IF(Quartile_M[[#This Row],[Industry]]=Main_M[Industry],Main_M[P/FCF]),3)</f>
        <v>21.760256211180124</v>
      </c>
      <c r="D29" s="1">
        <f>Quartile_M[[#This Row],[P/FCF Q1]]-1.5*(Quartile_M[[#This Row],[P/FCF Q3]]-Quartile_M[[#This Row],[P/FCF Q1]])</f>
        <v>-10.711498571819458</v>
      </c>
      <c r="E29" s="1">
        <f>Quartile_M[[#This Row],[P/FCF Q3]]+1.5*(Quartile_M[[#This Row],[P/FCF Q3]]-Quartile_M[[#This Row],[P/FCF Q1]])</f>
        <v>41.24330908097987</v>
      </c>
      <c r="F29" s="1" cm="1">
        <f t="array" ref="F29">_xlfn.QUARTILE.INC(IF(Quartile_M[[#This Row],[Industry]]=Main_M[Industry],Main_M[P/B]),1)</f>
        <v>1.5630405271246275</v>
      </c>
      <c r="G29" s="1" cm="1">
        <f t="array" ref="G29">_xlfn.QUARTILE.INC(IF(Quartile_M[[#This Row],[Industry]]=Main_M[Industry],Main_M[P/B]),3)</f>
        <v>4.7599093821605205</v>
      </c>
      <c r="H29" s="1">
        <f>Quartile_M[[#This Row],[P/B Q1]]-1.5*(Quartile_M[[#This Row],[P/B Q3]]-Quartile_M[[#This Row],[P/B Q1]])</f>
        <v>-3.232262755429212</v>
      </c>
      <c r="I29" s="1">
        <f>Quartile_M[[#This Row],[P/B Q3]]+1.5*(Quartile_M[[#This Row],[P/B Q3]]-Quartile_M[[#This Row],[P/B Q1]])</f>
        <v>9.5552126647143609</v>
      </c>
      <c r="J29" s="1" cm="1">
        <f t="array" ref="J29">_xlfn.QUARTILE.INC(IF(Quartile_M[[#This Row],[Industry]]=Main_M[Industry],Main_M[ROE]),1)</f>
        <v>3.9550000000000001</v>
      </c>
      <c r="K29" s="1" cm="1">
        <f t="array" ref="K29">_xlfn.QUARTILE.INC(IF(Quartile_M[[#This Row],[Industry]]=Main_M[Industry],Main_M[ROE]),3)</f>
        <v>18.824999999999999</v>
      </c>
      <c r="L29" s="1">
        <f>Quartile_M[[#This Row],[ROE Q1]]-1.5*(Quartile_M[[#This Row],[ROE Q3]]-Quartile_M[[#This Row],[ROE Q1]])</f>
        <v>-18.350000000000001</v>
      </c>
      <c r="M29" s="1">
        <f>Quartile_M[[#This Row],[ROE Q3]]+1.5*(Quartile_M[[#This Row],[ROE Q3]]-Quartile_M[[#This Row],[ROE Q1]])</f>
        <v>41.129999999999995</v>
      </c>
      <c r="N29" s="1" cm="1">
        <f t="array" ref="N29">_xlfn.QUARTILE.INC(IF(Quartile_M[[#This Row],[Industry]]=Main_M[Industry],Main_M[ROA]),1)</f>
        <v>3.395</v>
      </c>
      <c r="O29" s="1" cm="1">
        <f t="array" ref="O29">_xlfn.QUARTILE.INC(IF(Quartile_M[[#This Row],[Industry]]=Main_M[Industry],Main_M[ROA]),3)</f>
        <v>8.74</v>
      </c>
      <c r="P29" s="1">
        <f>Quartile_M[[#This Row],[ROA Q1]]-1.5*(Quartile_M[[#This Row],[ROA Q3]]-Quartile_M[[#This Row],[ROA Q1]])</f>
        <v>-4.6225000000000023</v>
      </c>
      <c r="Q29" s="1">
        <f>Quartile_M[[#This Row],[ROA Q3]]+1.5*(Quartile_M[[#This Row],[ROA Q3]]-Quartile_M[[#This Row],[ROA Q1]])</f>
        <v>16.7575</v>
      </c>
      <c r="R29" s="1" cm="1">
        <f t="array" ref="R29">_xlfn.QUARTILE.INC(IF(Quartile_M[[#This Row],[Industry]]=Main_M[Industry],Main_M[P/E]),1)</f>
        <v>11.367719605840442</v>
      </c>
      <c r="S29" s="1" cm="1">
        <f t="array" ref="S29">_xlfn.QUARTILE.INC(IF(Quartile_M[[#This Row],[Industry]]=Main_M[Industry],Main_M[P/E]),3)</f>
        <v>28.122822299651567</v>
      </c>
      <c r="T29" s="1">
        <f>Quartile_M[[#This Row],[P/E Q1]]-1.5*(Quartile_M[[#This Row],[P/E Q3]]-Quartile_M[[#This Row],[P/E Q1]])</f>
        <v>-13.764934434876245</v>
      </c>
      <c r="U29" s="1">
        <f>Quartile_M[[#This Row],[P/E Q3]]+1.5*(Quartile_M[[#This Row],[P/E Q3]]-Quartile_M[[#This Row],[P/E Q1]])</f>
        <v>53.255476340368254</v>
      </c>
      <c r="V29" s="1" cm="1">
        <f t="array" ref="V29">_xlfn.QUARTILE.INC(IF(Quartile_M[[#This Row],[Industry]]=Main_M[Industry],Main_M[A/E]),1)</f>
        <v>1.8900000000000001</v>
      </c>
      <c r="W29" s="1" cm="1">
        <f t="array" ref="W29">_xlfn.QUARTILE.INC(IF(Quartile_M[[#This Row],[Industry]]=Main_M[Industry],Main_M[A/E]),3)</f>
        <v>2.35</v>
      </c>
      <c r="X29" s="1">
        <f>Quartile_M[[#This Row],[A/E Q1]]-1.5*(Quartile_M[[#This Row],[A/E Q3]]-Quartile_M[[#This Row],[A/E Q1]])</f>
        <v>1.2000000000000002</v>
      </c>
      <c r="Y29" s="1">
        <f>Quartile_M[[#This Row],[A/E Q3]]+1.5*(Quartile_M[[#This Row],[A/E Q3]]-Quartile_M[[#This Row],[A/E Q1]])</f>
        <v>3.04</v>
      </c>
    </row>
    <row r="30" spans="1:25" x14ac:dyDescent="0.25">
      <c r="A30" t="s">
        <v>153</v>
      </c>
      <c r="B30" s="1" cm="1">
        <f t="array" ref="B30">_xlfn.QUARTILE.INC(IF(Quartile_M[[#This Row],[Industry]]=Main_M[Industry],Main_M[P/FCF]),1)</f>
        <v>-0.70583886690950504</v>
      </c>
      <c r="C30" s="1" cm="1">
        <f t="array" ref="C30">_xlfn.QUARTILE.INC(IF(Quartile_M[[#This Row],[Industry]]=Main_M[Industry],Main_M[P/FCF]),3)</f>
        <v>5.3750801467005207</v>
      </c>
      <c r="D30" s="1">
        <f>Quartile_M[[#This Row],[P/FCF Q1]]-1.5*(Quartile_M[[#This Row],[P/FCF Q3]]-Quartile_M[[#This Row],[P/FCF Q1]])</f>
        <v>-9.827217387324545</v>
      </c>
      <c r="E30" s="1">
        <f>Quartile_M[[#This Row],[P/FCF Q3]]+1.5*(Quartile_M[[#This Row],[P/FCF Q3]]-Quartile_M[[#This Row],[P/FCF Q1]])</f>
        <v>14.49645866711556</v>
      </c>
      <c r="F30" s="1" cm="1">
        <f t="array" ref="F30">_xlfn.QUARTILE.INC(IF(Quartile_M[[#This Row],[Industry]]=Main_M[Industry],Main_M[P/B]),1)</f>
        <v>-12.446629844598389</v>
      </c>
      <c r="G30" s="1" cm="1">
        <f t="array" ref="G30">_xlfn.QUARTILE.INC(IF(Quartile_M[[#This Row],[Industry]]=Main_M[Industry],Main_M[P/B]),3)</f>
        <v>2.0832160450387049</v>
      </c>
      <c r="H30" s="1">
        <f>Quartile_M[[#This Row],[P/B Q1]]-1.5*(Quartile_M[[#This Row],[P/B Q3]]-Quartile_M[[#This Row],[P/B Q1]])</f>
        <v>-34.241398679054029</v>
      </c>
      <c r="I30" s="1">
        <f>Quartile_M[[#This Row],[P/B Q3]]+1.5*(Quartile_M[[#This Row],[P/B Q3]]-Quartile_M[[#This Row],[P/B Q1]])</f>
        <v>23.877984879494345</v>
      </c>
      <c r="J30" s="1" cm="1">
        <f t="array" ref="J30">_xlfn.QUARTILE.INC(IF(Quartile_M[[#This Row],[Industry]]=Main_M[Industry],Main_M[ROE]),1)</f>
        <v>-38.14</v>
      </c>
      <c r="K30" s="1" cm="1">
        <f t="array" ref="K30">_xlfn.QUARTILE.INC(IF(Quartile_M[[#This Row],[Industry]]=Main_M[Industry],Main_M[ROE]),3)</f>
        <v>-8.85</v>
      </c>
      <c r="L30" s="1">
        <f>Quartile_M[[#This Row],[ROE Q1]]-1.5*(Quartile_M[[#This Row],[ROE Q3]]-Quartile_M[[#This Row],[ROE Q1]])</f>
        <v>-82.075000000000003</v>
      </c>
      <c r="M30" s="1">
        <f>Quartile_M[[#This Row],[ROE Q3]]+1.5*(Quartile_M[[#This Row],[ROE Q3]]-Quartile_M[[#This Row],[ROE Q1]])</f>
        <v>35.085000000000001</v>
      </c>
      <c r="N30" s="1" cm="1">
        <f t="array" ref="N30">_xlfn.QUARTILE.INC(IF(Quartile_M[[#This Row],[Industry]]=Main_M[Industry],Main_M[ROA]),1)</f>
        <v>-0.67999999999999994</v>
      </c>
      <c r="O30" s="1" cm="1">
        <f t="array" ref="O30">_xlfn.QUARTILE.INC(IF(Quartile_M[[#This Row],[Industry]]=Main_M[Industry],Main_M[ROA]),3)</f>
        <v>2.2749999999999999</v>
      </c>
      <c r="P30" s="1">
        <f>Quartile_M[[#This Row],[ROA Q1]]-1.5*(Quartile_M[[#This Row],[ROA Q3]]-Quartile_M[[#This Row],[ROA Q1]])</f>
        <v>-5.1124999999999998</v>
      </c>
      <c r="Q30" s="1">
        <f>Quartile_M[[#This Row],[ROA Q3]]+1.5*(Quartile_M[[#This Row],[ROA Q3]]-Quartile_M[[#This Row],[ROA Q1]])</f>
        <v>6.7074999999999996</v>
      </c>
      <c r="R30" s="1" cm="1">
        <f t="array" ref="R30">_xlfn.QUARTILE.INC(IF(Quartile_M[[#This Row],[Industry]]=Main_M[Industry],Main_M[P/E]),1)</f>
        <v>-115.75438116100767</v>
      </c>
      <c r="S30" s="1" cm="1">
        <f t="array" ref="S30">_xlfn.QUARTILE.INC(IF(Quartile_M[[#This Row],[Industry]]=Main_M[Industry],Main_M[P/E]),3)</f>
        <v>-3.8334147400412464</v>
      </c>
      <c r="T30" s="1">
        <f>Quartile_M[[#This Row],[P/E Q1]]-1.5*(Quartile_M[[#This Row],[P/E Q3]]-Quartile_M[[#This Row],[P/E Q1]])</f>
        <v>-283.63583079245734</v>
      </c>
      <c r="U30" s="1">
        <f>Quartile_M[[#This Row],[P/E Q3]]+1.5*(Quartile_M[[#This Row],[P/E Q3]]-Quartile_M[[#This Row],[P/E Q1]])</f>
        <v>164.04803489140841</v>
      </c>
      <c r="V30" s="1" cm="1">
        <f t="array" ref="V30">_xlfn.QUARTILE.INC(IF(Quartile_M[[#This Row],[Industry]]=Main_M[Industry],Main_M[A/E]),1)</f>
        <v>-120.69</v>
      </c>
      <c r="W30" s="1" cm="1">
        <f t="array" ref="W30">_xlfn.QUARTILE.INC(IF(Quartile_M[[#This Row],[Industry]]=Main_M[Industry],Main_M[A/E]),3)</f>
        <v>20.599999999999998</v>
      </c>
      <c r="X30" s="1">
        <f>Quartile_M[[#This Row],[A/E Q1]]-1.5*(Quartile_M[[#This Row],[A/E Q3]]-Quartile_M[[#This Row],[A/E Q1]])</f>
        <v>-332.625</v>
      </c>
      <c r="Y30" s="1">
        <f>Quartile_M[[#This Row],[A/E Q3]]+1.5*(Quartile_M[[#This Row],[A/E Q3]]-Quartile_M[[#This Row],[A/E Q1]])</f>
        <v>232.535</v>
      </c>
    </row>
    <row r="31" spans="1:25" x14ac:dyDescent="0.25">
      <c r="A31" t="s">
        <v>222</v>
      </c>
      <c r="B31" s="1" cm="1">
        <f t="array" ref="B31">_xlfn.QUARTILE.INC(IF(Quartile_M[[#This Row],[Industry]]=Main_M[Industry],Main_M[P/FCF]),1)</f>
        <v>19.443505993437352</v>
      </c>
      <c r="C31" s="1" cm="1">
        <f t="array" ref="C31">_xlfn.QUARTILE.INC(IF(Quartile_M[[#This Row],[Industry]]=Main_M[Industry],Main_M[P/FCF]),3)</f>
        <v>27.293820732605639</v>
      </c>
      <c r="D31" s="1">
        <f>Quartile_M[[#This Row],[P/FCF Q1]]-1.5*(Quartile_M[[#This Row],[P/FCF Q3]]-Quartile_M[[#This Row],[P/FCF Q1]])</f>
        <v>7.6680338846849221</v>
      </c>
      <c r="E31" s="1">
        <f>Quartile_M[[#This Row],[P/FCF Q3]]+1.5*(Quartile_M[[#This Row],[P/FCF Q3]]-Quartile_M[[#This Row],[P/FCF Q1]])</f>
        <v>39.06929284135807</v>
      </c>
      <c r="F31" s="1" cm="1">
        <f t="array" ref="F31">_xlfn.QUARTILE.INC(IF(Quartile_M[[#This Row],[Industry]]=Main_M[Industry],Main_M[P/B]),1)</f>
        <v>1.378582302322602</v>
      </c>
      <c r="G31" s="1" cm="1">
        <f t="array" ref="G31">_xlfn.QUARTILE.INC(IF(Quartile_M[[#This Row],[Industry]]=Main_M[Industry],Main_M[P/B]),3)</f>
        <v>1.6214399578782486</v>
      </c>
      <c r="H31" s="1">
        <f>Quartile_M[[#This Row],[P/B Q1]]-1.5*(Quartile_M[[#This Row],[P/B Q3]]-Quartile_M[[#This Row],[P/B Q1]])</f>
        <v>1.0142958189891322</v>
      </c>
      <c r="I31" s="1">
        <f>Quartile_M[[#This Row],[P/B Q3]]+1.5*(Quartile_M[[#This Row],[P/B Q3]]-Quartile_M[[#This Row],[P/B Q1]])</f>
        <v>1.9857264412117184</v>
      </c>
      <c r="J31" s="1" cm="1">
        <f t="array" ref="J31">_xlfn.QUARTILE.INC(IF(Quartile_M[[#This Row],[Industry]]=Main_M[Industry],Main_M[ROE]),1)</f>
        <v>3.6100000000000003</v>
      </c>
      <c r="K31" s="1" cm="1">
        <f t="array" ref="K31">_xlfn.QUARTILE.INC(IF(Quartile_M[[#This Row],[Industry]]=Main_M[Industry],Main_M[ROE]),3)</f>
        <v>5.3900000000000006</v>
      </c>
      <c r="L31" s="1">
        <f>Quartile_M[[#This Row],[ROE Q1]]-1.5*(Quartile_M[[#This Row],[ROE Q3]]-Quartile_M[[#This Row],[ROE Q1]])</f>
        <v>0.94</v>
      </c>
      <c r="M31" s="1">
        <f>Quartile_M[[#This Row],[ROE Q3]]+1.5*(Quartile_M[[#This Row],[ROE Q3]]-Quartile_M[[#This Row],[ROE Q1]])</f>
        <v>8.06</v>
      </c>
      <c r="N31" s="1" cm="1">
        <f t="array" ref="N31">_xlfn.QUARTILE.INC(IF(Quartile_M[[#This Row],[Industry]]=Main_M[Industry],Main_M[ROA]),1)</f>
        <v>2.5575000000000001</v>
      </c>
      <c r="O31" s="1" cm="1">
        <f t="array" ref="O31">_xlfn.QUARTILE.INC(IF(Quartile_M[[#This Row],[Industry]]=Main_M[Industry],Main_M[ROA]),3)</f>
        <v>2.9325000000000001</v>
      </c>
      <c r="P31" s="1">
        <f>Quartile_M[[#This Row],[ROA Q1]]-1.5*(Quartile_M[[#This Row],[ROA Q3]]-Quartile_M[[#This Row],[ROA Q1]])</f>
        <v>1.9950000000000001</v>
      </c>
      <c r="Q31" s="1">
        <f>Quartile_M[[#This Row],[ROA Q3]]+1.5*(Quartile_M[[#This Row],[ROA Q3]]-Quartile_M[[#This Row],[ROA Q1]])</f>
        <v>3.4950000000000001</v>
      </c>
      <c r="R31" s="1" cm="1">
        <f t="array" ref="R31">_xlfn.QUARTILE.INC(IF(Quartile_M[[#This Row],[Industry]]=Main_M[Industry],Main_M[P/E]),1)</f>
        <v>32.170967741935485</v>
      </c>
      <c r="S31" s="1" cm="1">
        <f t="array" ref="S31">_xlfn.QUARTILE.INC(IF(Quartile_M[[#This Row],[Industry]]=Main_M[Industry],Main_M[P/E]),3)</f>
        <v>56.71290322580645</v>
      </c>
      <c r="T31" s="1">
        <f>Quartile_M[[#This Row],[P/E Q1]]-1.5*(Quartile_M[[#This Row],[P/E Q3]]-Quartile_M[[#This Row],[P/E Q1]])</f>
        <v>-4.6419354838709666</v>
      </c>
      <c r="U31" s="1">
        <f>Quartile_M[[#This Row],[P/E Q3]]+1.5*(Quartile_M[[#This Row],[P/E Q3]]-Quartile_M[[#This Row],[P/E Q1]])</f>
        <v>93.525806451612908</v>
      </c>
      <c r="V31" s="1" cm="1">
        <f t="array" ref="V31">_xlfn.QUARTILE.INC(IF(Quartile_M[[#This Row],[Industry]]=Main_M[Industry],Main_M[A/E]),1)</f>
        <v>2.2675000000000001</v>
      </c>
      <c r="W31" s="1" cm="1">
        <f t="array" ref="W31">_xlfn.QUARTILE.INC(IF(Quartile_M[[#This Row],[Industry]]=Main_M[Industry],Main_M[A/E]),3)</f>
        <v>3.3824999999999998</v>
      </c>
      <c r="X31" s="1">
        <f>Quartile_M[[#This Row],[A/E Q1]]-1.5*(Quartile_M[[#This Row],[A/E Q3]]-Quartile_M[[#This Row],[A/E Q1]])</f>
        <v>0.59500000000000042</v>
      </c>
      <c r="Y31" s="1">
        <f>Quartile_M[[#This Row],[A/E Q3]]+1.5*(Quartile_M[[#This Row],[A/E Q3]]-Quartile_M[[#This Row],[A/E Q1]])</f>
        <v>5.0549999999999997</v>
      </c>
    </row>
    <row r="32" spans="1:25" x14ac:dyDescent="0.25">
      <c r="A32" t="s">
        <v>190</v>
      </c>
      <c r="B32" s="1" cm="1">
        <f t="array" ref="B32">_xlfn.QUARTILE.INC(IF(Quartile_M[[#This Row],[Industry]]=Main_M[Industry],Main_M[P/FCF]),1)</f>
        <v>15.184595700101426</v>
      </c>
      <c r="C32" s="1" cm="1">
        <f t="array" ref="C32">_xlfn.QUARTILE.INC(IF(Quartile_M[[#This Row],[Industry]]=Main_M[Industry],Main_M[P/FCF]),3)</f>
        <v>52.228600543478258</v>
      </c>
      <c r="D32" s="1">
        <f>Quartile_M[[#This Row],[P/FCF Q1]]-1.5*(Quartile_M[[#This Row],[P/FCF Q3]]-Quartile_M[[#This Row],[P/FCF Q1]])</f>
        <v>-40.381411564963827</v>
      </c>
      <c r="E32" s="1">
        <f>Quartile_M[[#This Row],[P/FCF Q3]]+1.5*(Quartile_M[[#This Row],[P/FCF Q3]]-Quartile_M[[#This Row],[P/FCF Q1]])</f>
        <v>107.7946078085435</v>
      </c>
      <c r="F32" s="1" cm="1">
        <f t="array" ref="F32">_xlfn.QUARTILE.INC(IF(Quartile_M[[#This Row],[Industry]]=Main_M[Industry],Main_M[P/B]),1)</f>
        <v>2.5487114135825637</v>
      </c>
      <c r="G32" s="1" cm="1">
        <f t="array" ref="G32">_xlfn.QUARTILE.INC(IF(Quartile_M[[#This Row],[Industry]]=Main_M[Industry],Main_M[P/B]),3)</f>
        <v>4.9751879866847943</v>
      </c>
      <c r="H32" s="1">
        <f>Quartile_M[[#This Row],[P/B Q1]]-1.5*(Quartile_M[[#This Row],[P/B Q3]]-Quartile_M[[#This Row],[P/B Q1]])</f>
        <v>-1.0910034460707823</v>
      </c>
      <c r="I32" s="1">
        <f>Quartile_M[[#This Row],[P/B Q3]]+1.5*(Quartile_M[[#This Row],[P/B Q3]]-Quartile_M[[#This Row],[P/B Q1]])</f>
        <v>8.6149028463381399</v>
      </c>
      <c r="J32" s="1" cm="1">
        <f t="array" ref="J32">_xlfn.QUARTILE.INC(IF(Quartile_M[[#This Row],[Industry]]=Main_M[Industry],Main_M[ROE]),1)</f>
        <v>2.0350000000000001</v>
      </c>
      <c r="K32" s="1" cm="1">
        <f t="array" ref="K32">_xlfn.QUARTILE.INC(IF(Quartile_M[[#This Row],[Industry]]=Main_M[Industry],Main_M[ROE]),3)</f>
        <v>14.775</v>
      </c>
      <c r="L32" s="1">
        <f>Quartile_M[[#This Row],[ROE Q1]]-1.5*(Quartile_M[[#This Row],[ROE Q3]]-Quartile_M[[#This Row],[ROE Q1]])</f>
        <v>-17.074999999999999</v>
      </c>
      <c r="M32" s="1">
        <f>Quartile_M[[#This Row],[ROE Q3]]+1.5*(Quartile_M[[#This Row],[ROE Q3]]-Quartile_M[[#This Row],[ROE Q1]])</f>
        <v>33.884999999999998</v>
      </c>
      <c r="N32" s="1" cm="1">
        <f t="array" ref="N32">_xlfn.QUARTILE.INC(IF(Quartile_M[[#This Row],[Industry]]=Main_M[Industry],Main_M[ROA]),1)</f>
        <v>2.9175000000000004</v>
      </c>
      <c r="O32" s="1" cm="1">
        <f t="array" ref="O32">_xlfn.QUARTILE.INC(IF(Quartile_M[[#This Row],[Industry]]=Main_M[Industry],Main_M[ROA]),3)</f>
        <v>5.57</v>
      </c>
      <c r="P32" s="1">
        <f>Quartile_M[[#This Row],[ROA Q1]]-1.5*(Quartile_M[[#This Row],[ROA Q3]]-Quartile_M[[#This Row],[ROA Q1]])</f>
        <v>-1.0612499999999994</v>
      </c>
      <c r="Q32" s="1">
        <f>Quartile_M[[#This Row],[ROA Q3]]+1.5*(Quartile_M[[#This Row],[ROA Q3]]-Quartile_M[[#This Row],[ROA Q1]])</f>
        <v>9.5487500000000001</v>
      </c>
      <c r="R32" s="1" cm="1">
        <f t="array" ref="R32">_xlfn.QUARTILE.INC(IF(Quartile_M[[#This Row],[Industry]]=Main_M[Industry],Main_M[P/E]),1)</f>
        <v>21.431691177953962</v>
      </c>
      <c r="S32" s="1" cm="1">
        <f t="array" ref="S32">_xlfn.QUARTILE.INC(IF(Quartile_M[[#This Row],[Industry]]=Main_M[Industry],Main_M[P/E]),3)</f>
        <v>52.576272761055378</v>
      </c>
      <c r="T32" s="1">
        <f>Quartile_M[[#This Row],[P/E Q1]]-1.5*(Quartile_M[[#This Row],[P/E Q3]]-Quartile_M[[#This Row],[P/E Q1]])</f>
        <v>-25.285181196698165</v>
      </c>
      <c r="U32" s="1">
        <f>Quartile_M[[#This Row],[P/E Q3]]+1.5*(Quartile_M[[#This Row],[P/E Q3]]-Quartile_M[[#This Row],[P/E Q1]])</f>
        <v>99.293145135707505</v>
      </c>
      <c r="V32" s="1" cm="1">
        <f t="array" ref="V32">_xlfn.QUARTILE.INC(IF(Quartile_M[[#This Row],[Industry]]=Main_M[Industry],Main_M[A/E]),1)</f>
        <v>2</v>
      </c>
      <c r="W32" s="1" cm="1">
        <f t="array" ref="W32">_xlfn.QUARTILE.INC(IF(Quartile_M[[#This Row],[Industry]]=Main_M[Industry],Main_M[A/E]),3)</f>
        <v>3.1175000000000002</v>
      </c>
      <c r="X32" s="1">
        <f>Quartile_M[[#This Row],[A/E Q1]]-1.5*(Quartile_M[[#This Row],[A/E Q3]]-Quartile_M[[#This Row],[A/E Q1]])</f>
        <v>0.32374999999999976</v>
      </c>
      <c r="Y32" s="1">
        <f>Quartile_M[[#This Row],[A/E Q3]]+1.5*(Quartile_M[[#This Row],[A/E Q3]]-Quartile_M[[#This Row],[A/E Q1]])</f>
        <v>4.7937500000000002</v>
      </c>
    </row>
    <row r="33" spans="1:25" x14ac:dyDescent="0.25">
      <c r="A33" t="s">
        <v>228</v>
      </c>
      <c r="B33" s="1" cm="1">
        <f t="array" ref="B33">_xlfn.QUARTILE.INC(IF(Quartile_M[[#This Row],[Industry]]=Main_M[Industry],Main_M[P/FCF]),1)</f>
        <v>-4.3367647058823522</v>
      </c>
      <c r="C33" s="1" cm="1">
        <f t="array" ref="C33">_xlfn.QUARTILE.INC(IF(Quartile_M[[#This Row],[Industry]]=Main_M[Industry],Main_M[P/FCF]),3)</f>
        <v>12.652471560247259</v>
      </c>
      <c r="D33" s="1">
        <f>Quartile_M[[#This Row],[P/FCF Q1]]-1.5*(Quartile_M[[#This Row],[P/FCF Q3]]-Quartile_M[[#This Row],[P/FCF Q1]])</f>
        <v>-29.820619105076766</v>
      </c>
      <c r="E33" s="1">
        <f>Quartile_M[[#This Row],[P/FCF Q3]]+1.5*(Quartile_M[[#This Row],[P/FCF Q3]]-Quartile_M[[#This Row],[P/FCF Q1]])</f>
        <v>38.13632595944167</v>
      </c>
      <c r="F33" s="1" cm="1">
        <f t="array" ref="F33">_xlfn.QUARTILE.INC(IF(Quartile_M[[#This Row],[Industry]]=Main_M[Industry],Main_M[P/B]),1)</f>
        <v>1.6120437272076615</v>
      </c>
      <c r="G33" s="1" cm="1">
        <f t="array" ref="G33">_xlfn.QUARTILE.INC(IF(Quartile_M[[#This Row],[Industry]]=Main_M[Industry],Main_M[P/B]),3)</f>
        <v>2.646822553182977</v>
      </c>
      <c r="H33" s="1">
        <f>Quartile_M[[#This Row],[P/B Q1]]-1.5*(Quartile_M[[#This Row],[P/B Q3]]-Quartile_M[[#This Row],[P/B Q1]])</f>
        <v>5.9875488244688357E-2</v>
      </c>
      <c r="I33" s="1">
        <f>Quartile_M[[#This Row],[P/B Q3]]+1.5*(Quartile_M[[#This Row],[P/B Q3]]-Quartile_M[[#This Row],[P/B Q1]])</f>
        <v>4.1989907921459499</v>
      </c>
      <c r="J33" s="1" cm="1">
        <f t="array" ref="J33">_xlfn.QUARTILE.INC(IF(Quartile_M[[#This Row],[Industry]]=Main_M[Industry],Main_M[ROE]),1)</f>
        <v>-2.3949999999999996</v>
      </c>
      <c r="K33" s="1" cm="1">
        <f t="array" ref="K33">_xlfn.QUARTILE.INC(IF(Quartile_M[[#This Row],[Industry]]=Main_M[Industry],Main_M[ROE]),3)</f>
        <v>20.86</v>
      </c>
      <c r="L33" s="1">
        <f>Quartile_M[[#This Row],[ROE Q1]]-1.5*(Quartile_M[[#This Row],[ROE Q3]]-Quartile_M[[#This Row],[ROE Q1]])</f>
        <v>-37.277500000000003</v>
      </c>
      <c r="M33" s="1">
        <f>Quartile_M[[#This Row],[ROE Q3]]+1.5*(Quartile_M[[#This Row],[ROE Q3]]-Quartile_M[[#This Row],[ROE Q1]])</f>
        <v>55.7425</v>
      </c>
      <c r="N33" s="1" cm="1">
        <f t="array" ref="N33">_xlfn.QUARTILE.INC(IF(Quartile_M[[#This Row],[Industry]]=Main_M[Industry],Main_M[ROA]),1)</f>
        <v>2.7149999999999999</v>
      </c>
      <c r="O33" s="1" cm="1">
        <f t="array" ref="O33">_xlfn.QUARTILE.INC(IF(Quartile_M[[#This Row],[Industry]]=Main_M[Industry],Main_M[ROA]),3)</f>
        <v>4.6899999999999995</v>
      </c>
      <c r="P33" s="1">
        <f>Quartile_M[[#This Row],[ROA Q1]]-1.5*(Quartile_M[[#This Row],[ROA Q3]]-Quartile_M[[#This Row],[ROA Q1]])</f>
        <v>-0.24749999999999961</v>
      </c>
      <c r="Q33" s="1">
        <f>Quartile_M[[#This Row],[ROA Q3]]+1.5*(Quartile_M[[#This Row],[ROA Q3]]-Quartile_M[[#This Row],[ROA Q1]])</f>
        <v>7.652499999999999</v>
      </c>
      <c r="R33" s="1" cm="1">
        <f t="array" ref="R33">_xlfn.QUARTILE.INC(IF(Quartile_M[[#This Row],[Industry]]=Main_M[Industry],Main_M[P/E]),1)</f>
        <v>5.8136799679449407</v>
      </c>
      <c r="S33" s="1" cm="1">
        <f t="array" ref="S33">_xlfn.QUARTILE.INC(IF(Quartile_M[[#This Row],[Industry]]=Main_M[Industry],Main_M[P/E]),3)</f>
        <v>15.029164072417947</v>
      </c>
      <c r="T33" s="1">
        <f>Quartile_M[[#This Row],[P/E Q1]]-1.5*(Quartile_M[[#This Row],[P/E Q3]]-Quartile_M[[#This Row],[P/E Q1]])</f>
        <v>-8.0095461887645687</v>
      </c>
      <c r="U33" s="1">
        <f>Quartile_M[[#This Row],[P/E Q3]]+1.5*(Quartile_M[[#This Row],[P/E Q3]]-Quartile_M[[#This Row],[P/E Q1]])</f>
        <v>28.852390229127458</v>
      </c>
      <c r="V33" s="1" cm="1">
        <f t="array" ref="V33">_xlfn.QUARTILE.INC(IF(Quartile_M[[#This Row],[Industry]]=Main_M[Industry],Main_M[A/E]),1)</f>
        <v>1.79</v>
      </c>
      <c r="W33" s="1" cm="1">
        <f t="array" ref="W33">_xlfn.QUARTILE.INC(IF(Quartile_M[[#This Row],[Industry]]=Main_M[Industry],Main_M[A/E]),3)</f>
        <v>3.9699999999999998</v>
      </c>
      <c r="X33" s="1">
        <f>Quartile_M[[#This Row],[A/E Q1]]-1.5*(Quartile_M[[#This Row],[A/E Q3]]-Quartile_M[[#This Row],[A/E Q1]])</f>
        <v>-1.4799999999999995</v>
      </c>
      <c r="Y33" s="1">
        <f>Quartile_M[[#This Row],[A/E Q3]]+1.5*(Quartile_M[[#This Row],[A/E Q3]]-Quartile_M[[#This Row],[A/E Q1]])</f>
        <v>7.2399999999999993</v>
      </c>
    </row>
    <row r="34" spans="1:25" x14ac:dyDescent="0.25">
      <c r="A34" t="s">
        <v>248</v>
      </c>
      <c r="B34" s="1" cm="1">
        <f t="array" ref="B34">_xlfn.QUARTILE.INC(IF(Quartile_M[[#This Row],[Industry]]=Main_M[Industry],Main_M[P/FCF]),1)</f>
        <v>8.7125251653724476</v>
      </c>
      <c r="C34" s="1" cm="1">
        <f t="array" ref="C34">_xlfn.QUARTILE.INC(IF(Quartile_M[[#This Row],[Industry]]=Main_M[Industry],Main_M[P/FCF]),3)</f>
        <v>195.8625561978163</v>
      </c>
      <c r="D34" s="1">
        <f>Quartile_M[[#This Row],[P/FCF Q1]]-1.5*(Quartile_M[[#This Row],[P/FCF Q3]]-Quartile_M[[#This Row],[P/FCF Q1]])</f>
        <v>-272.01252138329335</v>
      </c>
      <c r="E34" s="1">
        <f>Quartile_M[[#This Row],[P/FCF Q3]]+1.5*(Quartile_M[[#This Row],[P/FCF Q3]]-Quartile_M[[#This Row],[P/FCF Q1]])</f>
        <v>476.58760274648205</v>
      </c>
      <c r="F34" s="1" cm="1">
        <f t="array" ref="F34">_xlfn.QUARTILE.INC(IF(Quartile_M[[#This Row],[Industry]]=Main_M[Industry],Main_M[P/B]),1)</f>
        <v>1.7206268620737017</v>
      </c>
      <c r="G34" s="1" cm="1">
        <f t="array" ref="G34">_xlfn.QUARTILE.INC(IF(Quartile_M[[#This Row],[Industry]]=Main_M[Industry],Main_M[P/B]),3)</f>
        <v>42.934001349915263</v>
      </c>
      <c r="H34" s="1">
        <f>Quartile_M[[#This Row],[P/B Q1]]-1.5*(Quartile_M[[#This Row],[P/B Q3]]-Quartile_M[[#This Row],[P/B Q1]])</f>
        <v>-60.099434869688643</v>
      </c>
      <c r="I34" s="1">
        <f>Quartile_M[[#This Row],[P/B Q3]]+1.5*(Quartile_M[[#This Row],[P/B Q3]]-Quartile_M[[#This Row],[P/B Q1]])</f>
        <v>104.7540630816776</v>
      </c>
      <c r="J34" s="1" cm="1">
        <f t="array" ref="J34">_xlfn.QUARTILE.INC(IF(Quartile_M[[#This Row],[Industry]]=Main_M[Industry],Main_M[ROE]),1)</f>
        <v>11.95</v>
      </c>
      <c r="K34" s="1" cm="1">
        <f t="array" ref="K34">_xlfn.QUARTILE.INC(IF(Quartile_M[[#This Row],[Industry]]=Main_M[Industry],Main_M[ROE]),3)</f>
        <v>29.479999999999997</v>
      </c>
      <c r="L34" s="1">
        <f>Quartile_M[[#This Row],[ROE Q1]]-1.5*(Quartile_M[[#This Row],[ROE Q3]]-Quartile_M[[#This Row],[ROE Q1]])</f>
        <v>-14.344999999999995</v>
      </c>
      <c r="M34" s="1">
        <f>Quartile_M[[#This Row],[ROE Q3]]+1.5*(Quartile_M[[#This Row],[ROE Q3]]-Quartile_M[[#This Row],[ROE Q1]])</f>
        <v>55.774999999999991</v>
      </c>
      <c r="N34" s="1" cm="1">
        <f t="array" ref="N34">_xlfn.QUARTILE.INC(IF(Quartile_M[[#This Row],[Industry]]=Main_M[Industry],Main_M[ROA]),1)</f>
        <v>5.9649999999999999</v>
      </c>
      <c r="O34" s="1" cm="1">
        <f t="array" ref="O34">_xlfn.QUARTILE.INC(IF(Quartile_M[[#This Row],[Industry]]=Main_M[Industry],Main_M[ROA]),3)</f>
        <v>15.342499999999999</v>
      </c>
      <c r="P34" s="1">
        <f>Quartile_M[[#This Row],[ROA Q1]]-1.5*(Quartile_M[[#This Row],[ROA Q3]]-Quartile_M[[#This Row],[ROA Q1]])</f>
        <v>-8.1012500000000003</v>
      </c>
      <c r="Q34" s="1">
        <f>Quartile_M[[#This Row],[ROA Q3]]+1.5*(Quartile_M[[#This Row],[ROA Q3]]-Quartile_M[[#This Row],[ROA Q1]])</f>
        <v>29.408749999999998</v>
      </c>
      <c r="R34" s="1" cm="1">
        <f t="array" ref="R34">_xlfn.QUARTILE.INC(IF(Quartile_M[[#This Row],[Industry]]=Main_M[Industry],Main_M[P/E]),1)</f>
        <v>14.644610445734042</v>
      </c>
      <c r="S34" s="1" cm="1">
        <f t="array" ref="S34">_xlfn.QUARTILE.INC(IF(Quartile_M[[#This Row],[Industry]]=Main_M[Industry],Main_M[P/E]),3)</f>
        <v>144.78593117408909</v>
      </c>
      <c r="T34" s="1">
        <f>Quartile_M[[#This Row],[P/E Q1]]-1.5*(Quartile_M[[#This Row],[P/E Q3]]-Quartile_M[[#This Row],[P/E Q1]])</f>
        <v>-180.56737064679857</v>
      </c>
      <c r="U34" s="1">
        <f>Quartile_M[[#This Row],[P/E Q3]]+1.5*(Quartile_M[[#This Row],[P/E Q3]]-Quartile_M[[#This Row],[P/E Q1]])</f>
        <v>339.99791226662171</v>
      </c>
      <c r="V34" s="1" cm="1">
        <f t="array" ref="V34">_xlfn.QUARTILE.INC(IF(Quartile_M[[#This Row],[Industry]]=Main_M[Industry],Main_M[A/E]),1)</f>
        <v>1.6875</v>
      </c>
      <c r="W34" s="1" cm="1">
        <f t="array" ref="W34">_xlfn.QUARTILE.INC(IF(Quartile_M[[#This Row],[Industry]]=Main_M[Industry],Main_M[A/E]),3)</f>
        <v>2.5674999999999999</v>
      </c>
      <c r="X34" s="1">
        <f>Quartile_M[[#This Row],[A/E Q1]]-1.5*(Quartile_M[[#This Row],[A/E Q3]]-Quartile_M[[#This Row],[A/E Q1]])</f>
        <v>0.36750000000000016</v>
      </c>
      <c r="Y34" s="1">
        <f>Quartile_M[[#This Row],[A/E Q3]]+1.5*(Quartile_M[[#This Row],[A/E Q3]]-Quartile_M[[#This Row],[A/E Q1]])</f>
        <v>3.8874999999999997</v>
      </c>
    </row>
    <row r="37" spans="1:25" x14ac:dyDescent="0.25">
      <c r="A37" t="s">
        <v>23</v>
      </c>
    </row>
    <row r="38" spans="1:25" x14ac:dyDescent="0.25">
      <c r="A38" t="s">
        <v>1</v>
      </c>
      <c r="B38" t="s">
        <v>2</v>
      </c>
      <c r="C38" t="s">
        <v>3</v>
      </c>
      <c r="D38" t="s">
        <v>4</v>
      </c>
      <c r="E38" t="s">
        <v>5</v>
      </c>
      <c r="F38" t="s">
        <v>72</v>
      </c>
      <c r="G38" t="s">
        <v>73</v>
      </c>
      <c r="H38" t="s">
        <v>74</v>
      </c>
      <c r="I38" t="s">
        <v>75</v>
      </c>
      <c r="J38" t="s">
        <v>6</v>
      </c>
      <c r="K38" t="s">
        <v>7</v>
      </c>
      <c r="L38" t="s">
        <v>8</v>
      </c>
      <c r="M38" t="s">
        <v>9</v>
      </c>
      <c r="N38" t="s">
        <v>10</v>
      </c>
      <c r="O38" t="s">
        <v>11</v>
      </c>
      <c r="P38" t="s">
        <v>12</v>
      </c>
      <c r="Q38" t="s">
        <v>13</v>
      </c>
      <c r="R38" t="s">
        <v>14</v>
      </c>
      <c r="S38" t="s">
        <v>15</v>
      </c>
      <c r="T38" t="s">
        <v>16</v>
      </c>
      <c r="U38" t="s">
        <v>17</v>
      </c>
      <c r="V38" t="s">
        <v>18</v>
      </c>
      <c r="W38" t="s">
        <v>19</v>
      </c>
      <c r="X38" t="s">
        <v>20</v>
      </c>
      <c r="Y38" t="s">
        <v>21</v>
      </c>
    </row>
    <row r="39" spans="1:25" x14ac:dyDescent="0.25">
      <c r="A39" t="s">
        <v>156</v>
      </c>
      <c r="B39" s="1" cm="1">
        <f t="array" ref="B39">_xlfn.QUARTILE.INC(IF(Quartile_S[[#This Row],[Industry]]=Main_S[Industry],Main_S[P/FCF]),1)</f>
        <v>4.5576745337514444</v>
      </c>
      <c r="C39" s="1" cm="1">
        <f t="array" ref="C39">_xlfn.QUARTILE.INC(IF(Quartile_S[[#This Row],[Industry]]=Main_S[Industry],Main_S[P/FCF]),3)</f>
        <v>18.888625637512369</v>
      </c>
      <c r="D39" s="1">
        <f>Quartile_S[[#This Row],[P/FCF Q1]]-1.5*(Quartile_S[[#This Row],[P/FCF Q3]]-Quartile_S[[#This Row],[P/FCF Q1]])</f>
        <v>-16.938752121889941</v>
      </c>
      <c r="E39" s="1">
        <f>Quartile_S[[#This Row],[P/FCF Q3]]+1.5*(Quartile_S[[#This Row],[P/FCF Q3]]-Quartile_S[[#This Row],[P/FCF Q1]])</f>
        <v>40.385052293153755</v>
      </c>
      <c r="F39" s="1" cm="1">
        <f t="array" ref="F39">_xlfn.QUARTILE.INC(IF(Quartile_S[[#This Row],[Industry]]=Main_S[Industry],Main_S[P/B]),1)</f>
        <v>1.1567889556353044</v>
      </c>
      <c r="G39" s="1" cm="1">
        <f t="array" ref="G39">_xlfn.QUARTILE.INC(IF(Quartile_S[[#This Row],[Industry]]=Main_S[Industry],Main_S[P/B]),3)</f>
        <v>2.8484664870428116</v>
      </c>
      <c r="H39" s="1">
        <f>Quartile_S[[#This Row],[P/B Q1]]-1.5*(Quartile_S[[#This Row],[P/B Q3]]-Quartile_S[[#This Row],[P/B Q1]])</f>
        <v>-1.3807273414759567</v>
      </c>
      <c r="I39" s="1">
        <f>Quartile_S[[#This Row],[P/B Q3]]+1.5*(Quartile_S[[#This Row],[P/B Q3]]-Quartile_S[[#This Row],[P/B Q1]])</f>
        <v>5.3859827841540726</v>
      </c>
      <c r="J39" s="1" cm="1">
        <f t="array" ref="J39">_xlfn.QUARTILE.INC(IF(Quartile_S[[#This Row],[Industry]]=Main_S[Industry],Main_S[ROE]),1)</f>
        <v>-1.0074999999999998</v>
      </c>
      <c r="K39" s="1" cm="1">
        <f t="array" ref="K39">_xlfn.QUARTILE.INC(IF(Quartile_S[[#This Row],[Industry]]=Main_S[Industry],Main_S[ROE]),3)</f>
        <v>11.897500000000001</v>
      </c>
      <c r="L39" s="1">
        <f>Quartile_S[[#This Row],[ROE Q1]]-1.5*(Quartile_S[[#This Row],[ROE Q3]]-Quartile_S[[#This Row],[ROE Q1]])</f>
        <v>-20.365000000000002</v>
      </c>
      <c r="M39" s="1">
        <f>Quartile_S[[#This Row],[ROE Q3]]+1.5*(Quartile_S[[#This Row],[ROE Q3]]-Quartile_S[[#This Row],[ROE Q1]])</f>
        <v>31.255000000000003</v>
      </c>
      <c r="N39" s="1" cm="1">
        <f t="array" ref="N39">_xlfn.QUARTILE.INC(IF(Quartile_S[[#This Row],[Industry]]=Main_S[Industry],Main_S[ROA]),1)</f>
        <v>1.8825000000000001</v>
      </c>
      <c r="O39" s="1" cm="1">
        <f t="array" ref="O39">_xlfn.QUARTILE.INC(IF(Quartile_S[[#This Row],[Industry]]=Main_S[Industry],Main_S[ROA]),3)</f>
        <v>5.8249999999999993</v>
      </c>
      <c r="P39" s="1">
        <f>Quartile_S[[#This Row],[ROA Q1]]-1.5*(Quartile_S[[#This Row],[ROA Q3]]-Quartile_S[[#This Row],[ROA Q1]])</f>
        <v>-4.0312499999999982</v>
      </c>
      <c r="Q39" s="1">
        <f>Quartile_S[[#This Row],[ROA Q3]]+1.5*(Quartile_S[[#This Row],[ROA Q3]]-Quartile_S[[#This Row],[ROA Q1]])</f>
        <v>11.738749999999998</v>
      </c>
      <c r="R39" s="1" cm="1">
        <f t="array" ref="R39">_xlfn.QUARTILE.INC(IF(Quartile_S[[#This Row],[Industry]]=Main_S[Industry],Main_S[P/E]),1)</f>
        <v>-5.5636363636363644</v>
      </c>
      <c r="S39" s="1" cm="1">
        <f t="array" ref="S39">_xlfn.QUARTILE.INC(IF(Quartile_S[[#This Row],[Industry]]=Main_S[Industry],Main_S[P/E]),3)</f>
        <v>27.37349397590361</v>
      </c>
      <c r="T39" s="1">
        <f>Quartile_S[[#This Row],[P/E Q1]]-1.5*(Quartile_S[[#This Row],[P/E Q3]]-Quartile_S[[#This Row],[P/E Q1]])</f>
        <v>-54.969331872946327</v>
      </c>
      <c r="U39" s="1">
        <f>Quartile_S[[#This Row],[P/E Q3]]+1.5*(Quartile_S[[#This Row],[P/E Q3]]-Quartile_S[[#This Row],[P/E Q1]])</f>
        <v>76.779189485213578</v>
      </c>
      <c r="V39" s="1" cm="1">
        <f t="array" ref="V39">_xlfn.QUARTILE.INC(IF(Quartile_S[[#This Row],[Industry]]=Main_S[Industry],Main_S[A/E]),1)</f>
        <v>1.6400000000000001</v>
      </c>
      <c r="W39" s="1" cm="1">
        <f t="array" ref="W39">_xlfn.QUARTILE.INC(IF(Quartile_S[[#This Row],[Industry]]=Main_S[Industry],Main_S[A/E]),3)</f>
        <v>2.8899999999999997</v>
      </c>
      <c r="X39" s="1">
        <f>Quartile_S[[#This Row],[A/E Q1]]-1.5*(Quartile_S[[#This Row],[A/E Q3]]-Quartile_S[[#This Row],[A/E Q1]])</f>
        <v>-0.23499999999999921</v>
      </c>
      <c r="Y39" s="1">
        <f>Quartile_S[[#This Row],[A/E Q3]]+1.5*(Quartile_S[[#This Row],[A/E Q3]]-Quartile_S[[#This Row],[A/E Q1]])</f>
        <v>4.7649999999999988</v>
      </c>
    </row>
    <row r="40" spans="1:25" x14ac:dyDescent="0.25">
      <c r="A40" t="s">
        <v>233</v>
      </c>
      <c r="B40" s="1" cm="1">
        <f t="array" ref="B40">_xlfn.QUARTILE.INC(IF(Quartile_S[[#This Row],[Industry]]=Main_S[Industry],Main_S[P/FCF]),1)</f>
        <v>-11.152542372881356</v>
      </c>
      <c r="C40" s="1" cm="1">
        <f t="array" ref="C40">_xlfn.QUARTILE.INC(IF(Quartile_S[[#This Row],[Industry]]=Main_S[Industry],Main_S[P/FCF]),3)</f>
        <v>5.6338797814207648</v>
      </c>
      <c r="D40" s="1">
        <f>Quartile_S[[#This Row],[P/FCF Q1]]-1.5*(Quartile_S[[#This Row],[P/FCF Q3]]-Quartile_S[[#This Row],[P/FCF Q1]])</f>
        <v>-36.332175604334537</v>
      </c>
      <c r="E40" s="1">
        <f>Quartile_S[[#This Row],[P/FCF Q3]]+1.5*(Quartile_S[[#This Row],[P/FCF Q3]]-Quartile_S[[#This Row],[P/FCF Q1]])</f>
        <v>30.813513012873948</v>
      </c>
      <c r="F40" s="1" cm="1">
        <f t="array" ref="F40">_xlfn.QUARTILE.INC(IF(Quartile_S[[#This Row],[Industry]]=Main_S[Industry],Main_S[P/B]),1)</f>
        <v>1.0121261115602265</v>
      </c>
      <c r="G40" s="1" cm="1">
        <f t="array" ref="G40">_xlfn.QUARTILE.INC(IF(Quartile_S[[#This Row],[Industry]]=Main_S[Industry],Main_S[P/B]),3)</f>
        <v>1.3698384201077198</v>
      </c>
      <c r="H40" s="1">
        <f>Quartile_S[[#This Row],[P/B Q1]]-1.5*(Quartile_S[[#This Row],[P/B Q3]]-Quartile_S[[#This Row],[P/B Q1]])</f>
        <v>0.47555764873898643</v>
      </c>
      <c r="I40" s="1">
        <f>Quartile_S[[#This Row],[P/B Q3]]+1.5*(Quartile_S[[#This Row],[P/B Q3]]-Quartile_S[[#This Row],[P/B Q1]])</f>
        <v>1.9064068829289598</v>
      </c>
      <c r="J40" s="1" cm="1">
        <f t="array" ref="J40">_xlfn.QUARTILE.INC(IF(Quartile_S[[#This Row],[Industry]]=Main_S[Industry],Main_S[ROE]),1)</f>
        <v>-3.44</v>
      </c>
      <c r="K40" s="1" cm="1">
        <f t="array" ref="K40">_xlfn.QUARTILE.INC(IF(Quartile_S[[#This Row],[Industry]]=Main_S[Industry],Main_S[ROE]),3)</f>
        <v>10.81</v>
      </c>
      <c r="L40" s="1">
        <f>Quartile_S[[#This Row],[ROE Q1]]-1.5*(Quartile_S[[#This Row],[ROE Q3]]-Quartile_S[[#This Row],[ROE Q1]])</f>
        <v>-24.815000000000001</v>
      </c>
      <c r="M40" s="1">
        <f>Quartile_S[[#This Row],[ROE Q3]]+1.5*(Quartile_S[[#This Row],[ROE Q3]]-Quartile_S[[#This Row],[ROE Q1]])</f>
        <v>32.185000000000002</v>
      </c>
      <c r="N40" s="1" cm="1">
        <f t="array" ref="N40">_xlfn.QUARTILE.INC(IF(Quartile_S[[#This Row],[Industry]]=Main_S[Industry],Main_S[ROA]),1)</f>
        <v>0.18</v>
      </c>
      <c r="O40" s="1" cm="1">
        <f t="array" ref="O40">_xlfn.QUARTILE.INC(IF(Quartile_S[[#This Row],[Industry]]=Main_S[Industry],Main_S[ROA]),3)</f>
        <v>3.8</v>
      </c>
      <c r="P40" s="1">
        <f>Quartile_S[[#This Row],[ROA Q1]]-1.5*(Quartile_S[[#This Row],[ROA Q3]]-Quartile_S[[#This Row],[ROA Q1]])</f>
        <v>-5.25</v>
      </c>
      <c r="Q40" s="1">
        <f>Quartile_S[[#This Row],[ROA Q3]]+1.5*(Quartile_S[[#This Row],[ROA Q3]]-Quartile_S[[#This Row],[ROA Q1]])</f>
        <v>9.23</v>
      </c>
      <c r="R40" s="1" cm="1">
        <f t="array" ref="R40">_xlfn.QUARTILE.INC(IF(Quartile_S[[#This Row],[Industry]]=Main_S[Industry],Main_S[P/E]),1)</f>
        <v>-5.5042735042735051</v>
      </c>
      <c r="S40" s="1" cm="1">
        <f t="array" ref="S40">_xlfn.QUARTILE.INC(IF(Quartile_S[[#This Row],[Industry]]=Main_S[Industry],Main_S[P/E]),3)</f>
        <v>16.586956521739133</v>
      </c>
      <c r="T40" s="1">
        <f>Quartile_S[[#This Row],[P/E Q1]]-1.5*(Quartile_S[[#This Row],[P/E Q3]]-Quartile_S[[#This Row],[P/E Q1]])</f>
        <v>-38.641118543292464</v>
      </c>
      <c r="U40" s="1">
        <f>Quartile_S[[#This Row],[P/E Q3]]+1.5*(Quartile_S[[#This Row],[P/E Q3]]-Quartile_S[[#This Row],[P/E Q1]])</f>
        <v>49.723801560758091</v>
      </c>
      <c r="V40" s="1" cm="1">
        <f t="array" ref="V40">_xlfn.QUARTILE.INC(IF(Quartile_S[[#This Row],[Industry]]=Main_S[Industry],Main_S[A/E]),1)</f>
        <v>1.86</v>
      </c>
      <c r="W40" s="1" cm="1">
        <f t="array" ref="W40">_xlfn.QUARTILE.INC(IF(Quartile_S[[#This Row],[Industry]]=Main_S[Industry],Main_S[A/E]),3)</f>
        <v>2.64</v>
      </c>
      <c r="X40" s="1">
        <f>Quartile_S[[#This Row],[A/E Q1]]-1.5*(Quartile_S[[#This Row],[A/E Q3]]-Quartile_S[[#This Row],[A/E Q1]])</f>
        <v>0.69000000000000017</v>
      </c>
      <c r="Y40" s="1">
        <f>Quartile_S[[#This Row],[A/E Q3]]+1.5*(Quartile_S[[#This Row],[A/E Q3]]-Quartile_S[[#This Row],[A/E Q1]])</f>
        <v>3.81</v>
      </c>
    </row>
    <row r="41" spans="1:25" x14ac:dyDescent="0.25">
      <c r="A41" t="s">
        <v>247</v>
      </c>
      <c r="B41" s="1" cm="1">
        <f t="array" ref="B41">_xlfn.QUARTILE.INC(IF(Quartile_S[[#This Row],[Industry]]=Main_S[Industry],Main_S[P/FCF]),1)</f>
        <v>-9.5420960187353625</v>
      </c>
      <c r="C41" s="1" cm="1">
        <f t="array" ref="C41">_xlfn.QUARTILE.INC(IF(Quartile_S[[#This Row],[Industry]]=Main_S[Industry],Main_S[P/FCF]),3)</f>
        <v>3.8873042534233249</v>
      </c>
      <c r="D41" s="1">
        <f>Quartile_S[[#This Row],[P/FCF Q1]]-1.5*(Quartile_S[[#This Row],[P/FCF Q3]]-Quartile_S[[#This Row],[P/FCF Q1]])</f>
        <v>-29.686196426973396</v>
      </c>
      <c r="E41" s="1">
        <f>Quartile_S[[#This Row],[P/FCF Q3]]+1.5*(Quartile_S[[#This Row],[P/FCF Q3]]-Quartile_S[[#This Row],[P/FCF Q1]])</f>
        <v>24.031404661661355</v>
      </c>
      <c r="F41" s="1" cm="1">
        <f t="array" ref="F41">_xlfn.QUARTILE.INC(IF(Quartile_S[[#This Row],[Industry]]=Main_S[Industry],Main_S[P/B]),1)</f>
        <v>0.46127507487590863</v>
      </c>
      <c r="G41" s="1" cm="1">
        <f t="array" ref="G41">_xlfn.QUARTILE.INC(IF(Quartile_S[[#This Row],[Industry]]=Main_S[Industry],Main_S[P/B]),3)</f>
        <v>0.79156957928802585</v>
      </c>
      <c r="H41" s="1">
        <f>Quartile_S[[#This Row],[P/B Q1]]-1.5*(Quartile_S[[#This Row],[P/B Q3]]-Quartile_S[[#This Row],[P/B Q1]])</f>
        <v>-3.4166681742267169E-2</v>
      </c>
      <c r="I41" s="1">
        <f>Quartile_S[[#This Row],[P/B Q3]]+1.5*(Quartile_S[[#This Row],[P/B Q3]]-Quartile_S[[#This Row],[P/B Q1]])</f>
        <v>1.2870113359062016</v>
      </c>
      <c r="J41" s="1" cm="1">
        <f t="array" ref="J41">_xlfn.QUARTILE.INC(IF(Quartile_S[[#This Row],[Industry]]=Main_S[Industry],Main_S[ROE]),1)</f>
        <v>7.415</v>
      </c>
      <c r="K41" s="1" cm="1">
        <f t="array" ref="K41">_xlfn.QUARTILE.INC(IF(Quartile_S[[#This Row],[Industry]]=Main_S[Industry],Main_S[ROE]),3)</f>
        <v>15.484999999999999</v>
      </c>
      <c r="L41" s="1">
        <f>Quartile_S[[#This Row],[ROE Q1]]-1.5*(Quartile_S[[#This Row],[ROE Q3]]-Quartile_S[[#This Row],[ROE Q1]])</f>
        <v>-4.6900000000000004</v>
      </c>
      <c r="M41" s="1">
        <f>Quartile_S[[#This Row],[ROE Q3]]+1.5*(Quartile_S[[#This Row],[ROE Q3]]-Quartile_S[[#This Row],[ROE Q1]])</f>
        <v>27.59</v>
      </c>
      <c r="N41" s="1" cm="1">
        <f t="array" ref="N41">_xlfn.QUARTILE.INC(IF(Quartile_S[[#This Row],[Industry]]=Main_S[Industry],Main_S[ROA]),1)</f>
        <v>3.9749999999999996</v>
      </c>
      <c r="O41" s="1" cm="1">
        <f t="array" ref="O41">_xlfn.QUARTILE.INC(IF(Quartile_S[[#This Row],[Industry]]=Main_S[Industry],Main_S[ROA]),3)</f>
        <v>6.6850000000000005</v>
      </c>
      <c r="P41" s="1">
        <f>Quartile_S[[#This Row],[ROA Q1]]-1.5*(Quartile_S[[#This Row],[ROA Q3]]-Quartile_S[[#This Row],[ROA Q1]])</f>
        <v>-9.0000000000001634E-2</v>
      </c>
      <c r="Q41" s="1">
        <f>Quartile_S[[#This Row],[ROA Q3]]+1.5*(Quartile_S[[#This Row],[ROA Q3]]-Quartile_S[[#This Row],[ROA Q1]])</f>
        <v>10.750000000000002</v>
      </c>
      <c r="R41" s="1" cm="1">
        <f t="array" ref="R41">_xlfn.QUARTILE.INC(IF(Quartile_S[[#This Row],[Industry]]=Main_S[Industry],Main_S[P/E]),1)</f>
        <v>3.4925110144978149</v>
      </c>
      <c r="S41" s="1" cm="1">
        <f t="array" ref="S41">_xlfn.QUARTILE.INC(IF(Quartile_S[[#This Row],[Industry]]=Main_S[Industry],Main_S[P/E]),3)</f>
        <v>11.981203007518797</v>
      </c>
      <c r="T41" s="1">
        <f>Quartile_S[[#This Row],[P/E Q1]]-1.5*(Quartile_S[[#This Row],[P/E Q3]]-Quartile_S[[#This Row],[P/E Q1]])</f>
        <v>-9.2405269750336583</v>
      </c>
      <c r="U41" s="1">
        <f>Quartile_S[[#This Row],[P/E Q3]]+1.5*(Quartile_S[[#This Row],[P/E Q3]]-Quartile_S[[#This Row],[P/E Q1]])</f>
        <v>24.714240997050268</v>
      </c>
      <c r="V41" s="1" cm="1">
        <f t="array" ref="V41">_xlfn.QUARTILE.INC(IF(Quartile_S[[#This Row],[Industry]]=Main_S[Industry],Main_S[A/E]),1)</f>
        <v>1.6349999999999998</v>
      </c>
      <c r="W41" s="1" cm="1">
        <f t="array" ref="W41">_xlfn.QUARTILE.INC(IF(Quartile_S[[#This Row],[Industry]]=Main_S[Industry],Main_S[A/E]),3)</f>
        <v>2.08</v>
      </c>
      <c r="X41" s="1">
        <f>Quartile_S[[#This Row],[A/E Q1]]-1.5*(Quartile_S[[#This Row],[A/E Q3]]-Quartile_S[[#This Row],[A/E Q1]])</f>
        <v>0.96749999999999936</v>
      </c>
      <c r="Y41" s="1">
        <f>Quartile_S[[#This Row],[A/E Q3]]+1.5*(Quartile_S[[#This Row],[A/E Q3]]-Quartile_S[[#This Row],[A/E Q1]])</f>
        <v>2.7475000000000005</v>
      </c>
    </row>
    <row r="42" spans="1:25" x14ac:dyDescent="0.25">
      <c r="A42" t="s">
        <v>105</v>
      </c>
      <c r="B42" s="1" cm="1">
        <f t="array" ref="B42">_xlfn.QUARTILE.INC(IF(Quartile_S[[#This Row],[Industry]]=Main_S[Industry],Main_S[P/FCF]),1)</f>
        <v>-15.098715415019765</v>
      </c>
      <c r="C42" s="1" cm="1">
        <f t="array" ref="C42">_xlfn.QUARTILE.INC(IF(Quartile_S[[#This Row],[Industry]]=Main_S[Industry],Main_S[P/FCF]),3)</f>
        <v>23.266882960826727</v>
      </c>
      <c r="D42" s="1">
        <f>Quartile_S[[#This Row],[P/FCF Q1]]-1.5*(Quartile_S[[#This Row],[P/FCF Q3]]-Quartile_S[[#This Row],[P/FCF Q1]])</f>
        <v>-72.647112978789494</v>
      </c>
      <c r="E42" s="1">
        <f>Quartile_S[[#This Row],[P/FCF Q3]]+1.5*(Quartile_S[[#This Row],[P/FCF Q3]]-Quartile_S[[#This Row],[P/FCF Q1]])</f>
        <v>80.81528052459646</v>
      </c>
      <c r="F42" s="1" cm="1">
        <f t="array" ref="F42">_xlfn.QUARTILE.INC(IF(Quartile_S[[#This Row],[Industry]]=Main_S[Industry],Main_S[P/B]),1)</f>
        <v>0.98203215109573239</v>
      </c>
      <c r="G42" s="1" cm="1">
        <f t="array" ref="G42">_xlfn.QUARTILE.INC(IF(Quartile_S[[#This Row],[Industry]]=Main_S[Industry],Main_S[P/B]),3)</f>
        <v>4.4477931211560078</v>
      </c>
      <c r="H42" s="1">
        <f>Quartile_S[[#This Row],[P/B Q1]]-1.5*(Quartile_S[[#This Row],[P/B Q3]]-Quartile_S[[#This Row],[P/B Q1]])</f>
        <v>-4.2166093039946801</v>
      </c>
      <c r="I42" s="1">
        <f>Quartile_S[[#This Row],[P/B Q3]]+1.5*(Quartile_S[[#This Row],[P/B Q3]]-Quartile_S[[#This Row],[P/B Q1]])</f>
        <v>9.6464345762464205</v>
      </c>
      <c r="J42" s="1" cm="1">
        <f t="array" ref="J42">_xlfn.QUARTILE.INC(IF(Quartile_S[[#This Row],[Industry]]=Main_S[Industry],Main_S[ROE]),1)</f>
        <v>-1.34</v>
      </c>
      <c r="K42" s="1" cm="1">
        <f t="array" ref="K42">_xlfn.QUARTILE.INC(IF(Quartile_S[[#This Row],[Industry]]=Main_S[Industry],Main_S[ROE]),3)</f>
        <v>12.685</v>
      </c>
      <c r="L42" s="1">
        <f>Quartile_S[[#This Row],[ROE Q1]]-1.5*(Quartile_S[[#This Row],[ROE Q3]]-Quartile_S[[#This Row],[ROE Q1]])</f>
        <v>-22.377500000000001</v>
      </c>
      <c r="M42" s="1">
        <f>Quartile_S[[#This Row],[ROE Q3]]+1.5*(Quartile_S[[#This Row],[ROE Q3]]-Quartile_S[[#This Row],[ROE Q1]])</f>
        <v>33.722500000000004</v>
      </c>
      <c r="N42" s="1" cm="1">
        <f t="array" ref="N42">_xlfn.QUARTILE.INC(IF(Quartile_S[[#This Row],[Industry]]=Main_S[Industry],Main_S[ROA]),1)</f>
        <v>-24.905000000000001</v>
      </c>
      <c r="O42" s="1" cm="1">
        <f t="array" ref="O42">_xlfn.QUARTILE.INC(IF(Quartile_S[[#This Row],[Industry]]=Main_S[Industry],Main_S[ROA]),3)</f>
        <v>5.1150000000000002</v>
      </c>
      <c r="P42" s="1">
        <f>Quartile_S[[#This Row],[ROA Q1]]-1.5*(Quartile_S[[#This Row],[ROA Q3]]-Quartile_S[[#This Row],[ROA Q1]])</f>
        <v>-69.935000000000002</v>
      </c>
      <c r="Q42" s="1">
        <f>Quartile_S[[#This Row],[ROA Q3]]+1.5*(Quartile_S[[#This Row],[ROA Q3]]-Quartile_S[[#This Row],[ROA Q1]])</f>
        <v>50.145000000000003</v>
      </c>
      <c r="R42" s="1" cm="1">
        <f t="array" ref="R42">_xlfn.QUARTILE.INC(IF(Quartile_S[[#This Row],[Industry]]=Main_S[Industry],Main_S[P/E]),1)</f>
        <v>-9.3992493663482151</v>
      </c>
      <c r="S42" s="1" cm="1">
        <f t="array" ref="S42">_xlfn.QUARTILE.INC(IF(Quartile_S[[#This Row],[Industry]]=Main_S[Industry],Main_S[P/E]),3)</f>
        <v>33.273097780882992</v>
      </c>
      <c r="T42" s="1">
        <f>Quartile_S[[#This Row],[P/E Q1]]-1.5*(Quartile_S[[#This Row],[P/E Q3]]-Quartile_S[[#This Row],[P/E Q1]])</f>
        <v>-73.407770087195019</v>
      </c>
      <c r="U42" s="1">
        <f>Quartile_S[[#This Row],[P/E Q3]]+1.5*(Quartile_S[[#This Row],[P/E Q3]]-Quartile_S[[#This Row],[P/E Q1]])</f>
        <v>97.281618501729795</v>
      </c>
      <c r="V42" s="1" cm="1">
        <f t="array" ref="V42">_xlfn.QUARTILE.INC(IF(Quartile_S[[#This Row],[Industry]]=Main_S[Industry],Main_S[A/E]),1)</f>
        <v>1.19</v>
      </c>
      <c r="W42" s="1" cm="1">
        <f t="array" ref="W42">_xlfn.QUARTILE.INC(IF(Quartile_S[[#This Row],[Industry]]=Main_S[Industry],Main_S[A/E]),3)</f>
        <v>1.8499999999999999</v>
      </c>
      <c r="X42" s="1">
        <f>Quartile_S[[#This Row],[A/E Q1]]-1.5*(Quartile_S[[#This Row],[A/E Q3]]-Quartile_S[[#This Row],[A/E Q1]])</f>
        <v>0.20000000000000007</v>
      </c>
      <c r="Y42" s="1">
        <f>Quartile_S[[#This Row],[A/E Q3]]+1.5*(Quartile_S[[#This Row],[A/E Q3]]-Quartile_S[[#This Row],[A/E Q1]])</f>
        <v>2.84</v>
      </c>
    </row>
    <row r="43" spans="1:25" x14ac:dyDescent="0.25">
      <c r="A43" t="s">
        <v>180</v>
      </c>
      <c r="B43" s="1" cm="1">
        <f t="array" ref="B43">_xlfn.QUARTILE.INC(IF(Quartile_S[[#This Row],[Industry]]=Main_S[Industry],Main_S[P/FCF]),1)</f>
        <v>-1.8262456154393711</v>
      </c>
      <c r="C43" s="1" cm="1">
        <f t="array" ref="C43">_xlfn.QUARTILE.INC(IF(Quartile_S[[#This Row],[Industry]]=Main_S[Industry],Main_S[P/FCF]),3)</f>
        <v>13.963781682027651</v>
      </c>
      <c r="D43" s="1">
        <f>Quartile_S[[#This Row],[P/FCF Q1]]-1.5*(Quartile_S[[#This Row],[P/FCF Q3]]-Quartile_S[[#This Row],[P/FCF Q1]])</f>
        <v>-25.511286561639906</v>
      </c>
      <c r="E43" s="1">
        <f>Quartile_S[[#This Row],[P/FCF Q3]]+1.5*(Quartile_S[[#This Row],[P/FCF Q3]]-Quartile_S[[#This Row],[P/FCF Q1]])</f>
        <v>37.648822628228189</v>
      </c>
      <c r="F43" s="1" cm="1">
        <f t="array" ref="F43">_xlfn.QUARTILE.INC(IF(Quartile_S[[#This Row],[Industry]]=Main_S[Industry],Main_S[P/B]),1)</f>
        <v>1.1894813286708774</v>
      </c>
      <c r="G43" s="1" cm="1">
        <f t="array" ref="G43">_xlfn.QUARTILE.INC(IF(Quartile_S[[#This Row],[Industry]]=Main_S[Industry],Main_S[P/B]),3)</f>
        <v>2.5790743736505926</v>
      </c>
      <c r="H43" s="1">
        <f>Quartile_S[[#This Row],[P/B Q1]]-1.5*(Quartile_S[[#This Row],[P/B Q3]]-Quartile_S[[#This Row],[P/B Q1]])</f>
        <v>-0.89490823879869508</v>
      </c>
      <c r="I43" s="1">
        <f>Quartile_S[[#This Row],[P/B Q3]]+1.5*(Quartile_S[[#This Row],[P/B Q3]]-Quartile_S[[#This Row],[P/B Q1]])</f>
        <v>4.663463941120165</v>
      </c>
      <c r="J43" s="1" cm="1">
        <f t="array" ref="J43">_xlfn.QUARTILE.INC(IF(Quartile_S[[#This Row],[Industry]]=Main_S[Industry],Main_S[ROE]),1)</f>
        <v>-0.80499999999999972</v>
      </c>
      <c r="K43" s="1" cm="1">
        <f t="array" ref="K43">_xlfn.QUARTILE.INC(IF(Quartile_S[[#This Row],[Industry]]=Main_S[Industry],Main_S[ROE]),3)</f>
        <v>10.0525</v>
      </c>
      <c r="L43" s="1">
        <f>Quartile_S[[#This Row],[ROE Q1]]-1.5*(Quartile_S[[#This Row],[ROE Q3]]-Quartile_S[[#This Row],[ROE Q1]])</f>
        <v>-17.091249999999999</v>
      </c>
      <c r="M43" s="1">
        <f>Quartile_S[[#This Row],[ROE Q3]]+1.5*(Quartile_S[[#This Row],[ROE Q3]]-Quartile_S[[#This Row],[ROE Q1]])</f>
        <v>26.338749999999997</v>
      </c>
      <c r="N43" s="1" cm="1">
        <f t="array" ref="N43">_xlfn.QUARTILE.INC(IF(Quartile_S[[#This Row],[Industry]]=Main_S[Industry],Main_S[ROA]),1)</f>
        <v>2.5099999999999998</v>
      </c>
      <c r="O43" s="1" cm="1">
        <f t="array" ref="O43">_xlfn.QUARTILE.INC(IF(Quartile_S[[#This Row],[Industry]]=Main_S[Industry],Main_S[ROA]),3)</f>
        <v>5.23</v>
      </c>
      <c r="P43" s="1">
        <f>Quartile_S[[#This Row],[ROA Q1]]-1.5*(Quartile_S[[#This Row],[ROA Q3]]-Quartile_S[[#This Row],[ROA Q1]])</f>
        <v>-1.5700000000000012</v>
      </c>
      <c r="Q43" s="1">
        <f>Quartile_S[[#This Row],[ROA Q3]]+1.5*(Quartile_S[[#This Row],[ROA Q3]]-Quartile_S[[#This Row],[ROA Q1]])</f>
        <v>9.3100000000000023</v>
      </c>
      <c r="R43" s="1" cm="1">
        <f t="array" ref="R43">_xlfn.QUARTILE.INC(IF(Quartile_S[[#This Row],[Industry]]=Main_S[Industry],Main_S[P/E]),1)</f>
        <v>7.0615562316880762</v>
      </c>
      <c r="S43" s="1" cm="1">
        <f t="array" ref="S43">_xlfn.QUARTILE.INC(IF(Quartile_S[[#This Row],[Industry]]=Main_S[Industry],Main_S[P/E]),3)</f>
        <v>20.03</v>
      </c>
      <c r="T43" s="1">
        <f>Quartile_S[[#This Row],[P/E Q1]]-1.5*(Quartile_S[[#This Row],[P/E Q3]]-Quartile_S[[#This Row],[P/E Q1]])</f>
        <v>-12.391109420779809</v>
      </c>
      <c r="U43" s="1">
        <f>Quartile_S[[#This Row],[P/E Q3]]+1.5*(Quartile_S[[#This Row],[P/E Q3]]-Quartile_S[[#This Row],[P/E Q1]])</f>
        <v>39.482665652467887</v>
      </c>
      <c r="V43" s="1" cm="1">
        <f t="array" ref="V43">_xlfn.QUARTILE.INC(IF(Quartile_S[[#This Row],[Industry]]=Main_S[Industry],Main_S[A/E]),1)</f>
        <v>1.64</v>
      </c>
      <c r="W43" s="1" cm="1">
        <f t="array" ref="W43">_xlfn.QUARTILE.INC(IF(Quartile_S[[#This Row],[Industry]]=Main_S[Industry],Main_S[A/E]),3)</f>
        <v>3.145</v>
      </c>
      <c r="X43" s="1">
        <f>Quartile_S[[#This Row],[A/E Q1]]-1.5*(Quartile_S[[#This Row],[A/E Q3]]-Quartile_S[[#This Row],[A/E Q1]])</f>
        <v>-0.61750000000000038</v>
      </c>
      <c r="Y43" s="1">
        <f>Quartile_S[[#This Row],[A/E Q3]]+1.5*(Quartile_S[[#This Row],[A/E Q3]]-Quartile_S[[#This Row],[A/E Q1]])</f>
        <v>5.4024999999999999</v>
      </c>
    </row>
    <row r="44" spans="1:25" x14ac:dyDescent="0.25">
      <c r="A44" t="s">
        <v>135</v>
      </c>
      <c r="B44" s="1" cm="1">
        <f t="array" ref="B44">_xlfn.QUARTILE.INC(IF(Quartile_S[[#This Row],[Industry]]=Main_S[Industry],Main_S[P/FCF]),1)</f>
        <v>-0.94820114540671963</v>
      </c>
      <c r="C44" s="1" cm="1">
        <f t="array" ref="C44">_xlfn.QUARTILE.INC(IF(Quartile_S[[#This Row],[Industry]]=Main_S[Industry],Main_S[P/FCF]),3)</f>
        <v>23.954403786831186</v>
      </c>
      <c r="D44" s="1">
        <f>Quartile_S[[#This Row],[P/FCF Q1]]-1.5*(Quartile_S[[#This Row],[P/FCF Q3]]-Quartile_S[[#This Row],[P/FCF Q1]])</f>
        <v>-38.30210854376358</v>
      </c>
      <c r="E44" s="1">
        <f>Quartile_S[[#This Row],[P/FCF Q3]]+1.5*(Quartile_S[[#This Row],[P/FCF Q3]]-Quartile_S[[#This Row],[P/FCF Q1]])</f>
        <v>61.308311185188046</v>
      </c>
      <c r="F44" s="1" cm="1">
        <f t="array" ref="F44">_xlfn.QUARTILE.INC(IF(Quartile_S[[#This Row],[Industry]]=Main_S[Industry],Main_S[P/B]),1)</f>
        <v>1.4614953817862668</v>
      </c>
      <c r="G44" s="1" cm="1">
        <f t="array" ref="G44">_xlfn.QUARTILE.INC(IF(Quartile_S[[#This Row],[Industry]]=Main_S[Industry],Main_S[P/B]),3)</f>
        <v>3.5275568601636285</v>
      </c>
      <c r="H44" s="1">
        <f>Quartile_S[[#This Row],[P/B Q1]]-1.5*(Quartile_S[[#This Row],[P/B Q3]]-Quartile_S[[#This Row],[P/B Q1]])</f>
        <v>-1.6375968357797754</v>
      </c>
      <c r="I44" s="1">
        <f>Quartile_S[[#This Row],[P/B Q3]]+1.5*(Quartile_S[[#This Row],[P/B Q3]]-Quartile_S[[#This Row],[P/B Q1]])</f>
        <v>6.6266490777296703</v>
      </c>
      <c r="J44" s="1" cm="1">
        <f t="array" ref="J44">_xlfn.QUARTILE.INC(IF(Quartile_S[[#This Row],[Industry]]=Main_S[Industry],Main_S[ROE]),1)</f>
        <v>0.4425</v>
      </c>
      <c r="K44" s="1" cm="1">
        <f t="array" ref="K44">_xlfn.QUARTILE.INC(IF(Quartile_S[[#This Row],[Industry]]=Main_S[Industry],Main_S[ROE]),3)</f>
        <v>14.035</v>
      </c>
      <c r="L44" s="1">
        <f>Quartile_S[[#This Row],[ROE Q1]]-1.5*(Quartile_S[[#This Row],[ROE Q3]]-Quartile_S[[#This Row],[ROE Q1]])</f>
        <v>-19.946249999999999</v>
      </c>
      <c r="M44" s="1">
        <f>Quartile_S[[#This Row],[ROE Q3]]+1.5*(Quartile_S[[#This Row],[ROE Q3]]-Quartile_S[[#This Row],[ROE Q1]])</f>
        <v>34.423749999999998</v>
      </c>
      <c r="N44" s="1" cm="1">
        <f t="array" ref="N44">_xlfn.QUARTILE.INC(IF(Quartile_S[[#This Row],[Industry]]=Main_S[Industry],Main_S[ROA]),1)</f>
        <v>0.47499999999999998</v>
      </c>
      <c r="O44" s="1" cm="1">
        <f t="array" ref="O44">_xlfn.QUARTILE.INC(IF(Quartile_S[[#This Row],[Industry]]=Main_S[Industry],Main_S[ROA]),3)</f>
        <v>5.4625000000000004</v>
      </c>
      <c r="P44" s="1">
        <f>Quartile_S[[#This Row],[ROA Q1]]-1.5*(Quartile_S[[#This Row],[ROA Q3]]-Quartile_S[[#This Row],[ROA Q1]])</f>
        <v>-7.0062500000000014</v>
      </c>
      <c r="Q44" s="1">
        <f>Quartile_S[[#This Row],[ROA Q3]]+1.5*(Quartile_S[[#This Row],[ROA Q3]]-Quartile_S[[#This Row],[ROA Q1]])</f>
        <v>12.943750000000001</v>
      </c>
      <c r="R44" s="1" cm="1">
        <f t="array" ref="R44">_xlfn.QUARTILE.INC(IF(Quartile_S[[#This Row],[Industry]]=Main_S[Industry],Main_S[P/E]),1)</f>
        <v>11.254901960784315</v>
      </c>
      <c r="S44" s="1" cm="1">
        <f t="array" ref="S44">_xlfn.QUARTILE.INC(IF(Quartile_S[[#This Row],[Industry]]=Main_S[Industry],Main_S[P/E]),3)</f>
        <v>49.446043165467636</v>
      </c>
      <c r="T44" s="1">
        <f>Quartile_S[[#This Row],[P/E Q1]]-1.5*(Quartile_S[[#This Row],[P/E Q3]]-Quartile_S[[#This Row],[P/E Q1]])</f>
        <v>-46.031809846240662</v>
      </c>
      <c r="U44" s="1">
        <f>Quartile_S[[#This Row],[P/E Q3]]+1.5*(Quartile_S[[#This Row],[P/E Q3]]-Quartile_S[[#This Row],[P/E Q1]])</f>
        <v>106.73275497249261</v>
      </c>
      <c r="V44" s="1" cm="1">
        <f t="array" ref="V44">_xlfn.QUARTILE.INC(IF(Quartile_S[[#This Row],[Industry]]=Main_S[Industry],Main_S[A/E]),1)</f>
        <v>2.27</v>
      </c>
      <c r="W44" s="1" cm="1">
        <f t="array" ref="W44">_xlfn.QUARTILE.INC(IF(Quartile_S[[#This Row],[Industry]]=Main_S[Industry],Main_S[A/E]),3)</f>
        <v>3.8075000000000001</v>
      </c>
      <c r="X44" s="1">
        <f>Quartile_S[[#This Row],[A/E Q1]]-1.5*(Quartile_S[[#This Row],[A/E Q3]]-Quartile_S[[#This Row],[A/E Q1]])</f>
        <v>-3.6250000000000338E-2</v>
      </c>
      <c r="Y44" s="1">
        <f>Quartile_S[[#This Row],[A/E Q3]]+1.5*(Quartile_S[[#This Row],[A/E Q3]]-Quartile_S[[#This Row],[A/E Q1]])</f>
        <v>6.1137500000000005</v>
      </c>
    </row>
    <row r="45" spans="1:25" x14ac:dyDescent="0.25">
      <c r="A45" t="s">
        <v>203</v>
      </c>
      <c r="B45" s="1" cm="1">
        <f t="array" ref="B45">_xlfn.QUARTILE.INC(IF(Quartile_S[[#This Row],[Industry]]=Main_S[Industry],Main_S[P/FCF]),1)</f>
        <v>-5.9099398215397381</v>
      </c>
      <c r="C45" s="1" cm="1">
        <f t="array" ref="C45">_xlfn.QUARTILE.INC(IF(Quartile_S[[#This Row],[Industry]]=Main_S[Industry],Main_S[P/FCF]),3)</f>
        <v>18.613955823293175</v>
      </c>
      <c r="D45" s="1">
        <f>Quartile_S[[#This Row],[P/FCF Q1]]-1.5*(Quartile_S[[#This Row],[P/FCF Q3]]-Quartile_S[[#This Row],[P/FCF Q1]])</f>
        <v>-42.695783288789102</v>
      </c>
      <c r="E45" s="1">
        <f>Quartile_S[[#This Row],[P/FCF Q3]]+1.5*(Quartile_S[[#This Row],[P/FCF Q3]]-Quartile_S[[#This Row],[P/FCF Q1]])</f>
        <v>55.399799290542539</v>
      </c>
      <c r="F45" s="1" cm="1">
        <f t="array" ref="F45">_xlfn.QUARTILE.INC(IF(Quartile_S[[#This Row],[Industry]]=Main_S[Industry],Main_S[P/B]),1)</f>
        <v>1.2349451672299816</v>
      </c>
      <c r="G45" s="1" cm="1">
        <f t="array" ref="G45">_xlfn.QUARTILE.INC(IF(Quartile_S[[#This Row],[Industry]]=Main_S[Industry],Main_S[P/B]),3)</f>
        <v>5.3054568355598013</v>
      </c>
      <c r="H45" s="1">
        <f>Quartile_S[[#This Row],[P/B Q1]]-1.5*(Quartile_S[[#This Row],[P/B Q3]]-Quartile_S[[#This Row],[P/B Q1]])</f>
        <v>-4.8708223352647479</v>
      </c>
      <c r="I45" s="1">
        <f>Quartile_S[[#This Row],[P/B Q3]]+1.5*(Quartile_S[[#This Row],[P/B Q3]]-Quartile_S[[#This Row],[P/B Q1]])</f>
        <v>11.411224338054531</v>
      </c>
      <c r="J45" s="1" cm="1">
        <f t="array" ref="J45">_xlfn.QUARTILE.INC(IF(Quartile_S[[#This Row],[Industry]]=Main_S[Industry],Main_S[ROE]),1)</f>
        <v>-6.6825000000000001</v>
      </c>
      <c r="K45" s="1" cm="1">
        <f t="array" ref="K45">_xlfn.QUARTILE.INC(IF(Quartile_S[[#This Row],[Industry]]=Main_S[Industry],Main_S[ROE]),3)</f>
        <v>24.41</v>
      </c>
      <c r="L45" s="1">
        <f>Quartile_S[[#This Row],[ROE Q1]]-1.5*(Quartile_S[[#This Row],[ROE Q3]]-Quartile_S[[#This Row],[ROE Q1]])</f>
        <v>-53.321249999999999</v>
      </c>
      <c r="M45" s="1">
        <f>Quartile_S[[#This Row],[ROE Q3]]+1.5*(Quartile_S[[#This Row],[ROE Q3]]-Quartile_S[[#This Row],[ROE Q1]])</f>
        <v>71.048749999999998</v>
      </c>
      <c r="N45" s="1" cm="1">
        <f t="array" ref="N45">_xlfn.QUARTILE.INC(IF(Quartile_S[[#This Row],[Industry]]=Main_S[Industry],Main_S[ROA]),1)</f>
        <v>-0.95000000000000007</v>
      </c>
      <c r="O45" s="1" cm="1">
        <f t="array" ref="O45">_xlfn.QUARTILE.INC(IF(Quartile_S[[#This Row],[Industry]]=Main_S[Industry],Main_S[ROA]),3)</f>
        <v>7.7324999999999999</v>
      </c>
      <c r="P45" s="1">
        <f>Quartile_S[[#This Row],[ROA Q1]]-1.5*(Quartile_S[[#This Row],[ROA Q3]]-Quartile_S[[#This Row],[ROA Q1]])</f>
        <v>-13.973749999999999</v>
      </c>
      <c r="Q45" s="1">
        <f>Quartile_S[[#This Row],[ROA Q3]]+1.5*(Quartile_S[[#This Row],[ROA Q3]]-Quartile_S[[#This Row],[ROA Q1]])</f>
        <v>20.756250000000001</v>
      </c>
      <c r="R45" s="1" cm="1">
        <f t="array" ref="R45">_xlfn.QUARTILE.INC(IF(Quartile_S[[#This Row],[Industry]]=Main_S[Industry],Main_S[P/E]),1)</f>
        <v>-5.7285204991087344</v>
      </c>
      <c r="S45" s="1" cm="1">
        <f t="array" ref="S45">_xlfn.QUARTILE.INC(IF(Quartile_S[[#This Row],[Industry]]=Main_S[Industry],Main_S[P/E]),3)</f>
        <v>27.227364864864867</v>
      </c>
      <c r="T45" s="1">
        <f>Quartile_S[[#This Row],[P/E Q1]]-1.5*(Quartile_S[[#This Row],[P/E Q3]]-Quartile_S[[#This Row],[P/E Q1]])</f>
        <v>-55.162348545069129</v>
      </c>
      <c r="U45" s="1">
        <f>Quartile_S[[#This Row],[P/E Q3]]+1.5*(Quartile_S[[#This Row],[P/E Q3]]-Quartile_S[[#This Row],[P/E Q1]])</f>
        <v>76.661192910825264</v>
      </c>
      <c r="V45" s="1" cm="1">
        <f t="array" ref="V45">_xlfn.QUARTILE.INC(IF(Quartile_S[[#This Row],[Industry]]=Main_S[Industry],Main_S[A/E]),1)</f>
        <v>1.97</v>
      </c>
      <c r="W45" s="1" cm="1">
        <f t="array" ref="W45">_xlfn.QUARTILE.INC(IF(Quartile_S[[#This Row],[Industry]]=Main_S[Industry],Main_S[A/E]),3)</f>
        <v>3.1325000000000003</v>
      </c>
      <c r="X45" s="1">
        <f>Quartile_S[[#This Row],[A/E Q1]]-1.5*(Quartile_S[[#This Row],[A/E Q3]]-Quartile_S[[#This Row],[A/E Q1]])</f>
        <v>0.22624999999999962</v>
      </c>
      <c r="Y45" s="1">
        <f>Quartile_S[[#This Row],[A/E Q3]]+1.5*(Quartile_S[[#This Row],[A/E Q3]]-Quartile_S[[#This Row],[A/E Q1]])</f>
        <v>4.8762500000000006</v>
      </c>
    </row>
    <row r="46" spans="1:25" x14ac:dyDescent="0.25">
      <c r="A46" t="s">
        <v>122</v>
      </c>
      <c r="B46" s="1" cm="1">
        <f t="array" ref="B46">_xlfn.QUARTILE.INC(IF(Quartile_S[[#This Row],[Industry]]=Main_S[Industry],Main_S[P/FCF]),1)</f>
        <v>8.4136488131466827</v>
      </c>
      <c r="C46" s="1" cm="1">
        <f t="array" ref="C46">_xlfn.QUARTILE.INC(IF(Quartile_S[[#This Row],[Industry]]=Main_S[Industry],Main_S[P/FCF]),3)</f>
        <v>17.127703793381759</v>
      </c>
      <c r="D46" s="1">
        <f>Quartile_S[[#This Row],[P/FCF Q1]]-1.5*(Quartile_S[[#This Row],[P/FCF Q3]]-Quartile_S[[#This Row],[P/FCF Q1]])</f>
        <v>-4.6574336572059316</v>
      </c>
      <c r="E46" s="1">
        <f>Quartile_S[[#This Row],[P/FCF Q3]]+1.5*(Quartile_S[[#This Row],[P/FCF Q3]]-Quartile_S[[#This Row],[P/FCF Q1]])</f>
        <v>30.198786263734373</v>
      </c>
      <c r="F46" s="1" cm="1">
        <f t="array" ref="F46">_xlfn.QUARTILE.INC(IF(Quartile_S[[#This Row],[Industry]]=Main_S[Industry],Main_S[P/B]),1)</f>
        <v>0.91720239873477816</v>
      </c>
      <c r="G46" s="1" cm="1">
        <f t="array" ref="G46">_xlfn.QUARTILE.INC(IF(Quartile_S[[#This Row],[Industry]]=Main_S[Industry],Main_S[P/B]),3)</f>
        <v>1.8403372115560441</v>
      </c>
      <c r="H46" s="1">
        <f>Quartile_S[[#This Row],[P/B Q1]]-1.5*(Quartile_S[[#This Row],[P/B Q3]]-Quartile_S[[#This Row],[P/B Q1]])</f>
        <v>-0.4674998204971208</v>
      </c>
      <c r="I46" s="1">
        <f>Quartile_S[[#This Row],[P/B Q3]]+1.5*(Quartile_S[[#This Row],[P/B Q3]]-Quartile_S[[#This Row],[P/B Q1]])</f>
        <v>3.2250394307879429</v>
      </c>
      <c r="J46" s="1" cm="1">
        <f t="array" ref="J46">_xlfn.QUARTILE.INC(IF(Quartile_S[[#This Row],[Industry]]=Main_S[Industry],Main_S[ROE]),1)</f>
        <v>5.3475000000000001</v>
      </c>
      <c r="K46" s="1" cm="1">
        <f t="array" ref="K46">_xlfn.QUARTILE.INC(IF(Quartile_S[[#This Row],[Industry]]=Main_S[Industry],Main_S[ROE]),3)</f>
        <v>11.592500000000001</v>
      </c>
      <c r="L46" s="1">
        <f>Quartile_S[[#This Row],[ROE Q1]]-1.5*(Quartile_S[[#This Row],[ROE Q3]]-Quartile_S[[#This Row],[ROE Q1]])</f>
        <v>-4.0200000000000014</v>
      </c>
      <c r="M46" s="1">
        <f>Quartile_S[[#This Row],[ROE Q3]]+1.5*(Quartile_S[[#This Row],[ROE Q3]]-Quartile_S[[#This Row],[ROE Q1]])</f>
        <v>20.96</v>
      </c>
      <c r="N46" s="1" cm="1">
        <f t="array" ref="N46">_xlfn.QUARTILE.INC(IF(Quartile_S[[#This Row],[Industry]]=Main_S[Industry],Main_S[ROA]),1)</f>
        <v>3.6599999999999997</v>
      </c>
      <c r="O46" s="1" cm="1">
        <f t="array" ref="O46">_xlfn.QUARTILE.INC(IF(Quartile_S[[#This Row],[Industry]]=Main_S[Industry],Main_S[ROA]),3)</f>
        <v>6.38</v>
      </c>
      <c r="P46" s="1">
        <f>Quartile_S[[#This Row],[ROA Q1]]-1.5*(Quartile_S[[#This Row],[ROA Q3]]-Quartile_S[[#This Row],[ROA Q1]])</f>
        <v>-0.42000000000000037</v>
      </c>
      <c r="Q46" s="1">
        <f>Quartile_S[[#This Row],[ROA Q3]]+1.5*(Quartile_S[[#This Row],[ROA Q3]]-Quartile_S[[#This Row],[ROA Q1]])</f>
        <v>10.46</v>
      </c>
      <c r="R46" s="1" cm="1">
        <f t="array" ref="R46">_xlfn.QUARTILE.INC(IF(Quartile_S[[#This Row],[Industry]]=Main_S[Industry],Main_S[P/E]),1)</f>
        <v>9.8373976666007508</v>
      </c>
      <c r="S46" s="1" cm="1">
        <f t="array" ref="S46">_xlfn.QUARTILE.INC(IF(Quartile_S[[#This Row],[Industry]]=Main_S[Industry],Main_S[P/E]),3)</f>
        <v>26.018288177339905</v>
      </c>
      <c r="T46" s="1">
        <f>Quartile_S[[#This Row],[P/E Q1]]-1.5*(Quartile_S[[#This Row],[P/E Q3]]-Quartile_S[[#This Row],[P/E Q1]])</f>
        <v>-14.43393809950798</v>
      </c>
      <c r="U46" s="1">
        <f>Quartile_S[[#This Row],[P/E Q3]]+1.5*(Quartile_S[[#This Row],[P/E Q3]]-Quartile_S[[#This Row],[P/E Q1]])</f>
        <v>50.289623943448632</v>
      </c>
      <c r="V46" s="1" cm="1">
        <f t="array" ref="V46">_xlfn.QUARTILE.INC(IF(Quartile_S[[#This Row],[Industry]]=Main_S[Industry],Main_S[A/E]),1)</f>
        <v>1.64</v>
      </c>
      <c r="W46" s="1" cm="1">
        <f t="array" ref="W46">_xlfn.QUARTILE.INC(IF(Quartile_S[[#This Row],[Industry]]=Main_S[Industry],Main_S[A/E]),3)</f>
        <v>2.41</v>
      </c>
      <c r="X46" s="1">
        <f>Quartile_S[[#This Row],[A/E Q1]]-1.5*(Quartile_S[[#This Row],[A/E Q3]]-Quartile_S[[#This Row],[A/E Q1]])</f>
        <v>0.48499999999999965</v>
      </c>
      <c r="Y46" s="1">
        <f>Quartile_S[[#This Row],[A/E Q3]]+1.5*(Quartile_S[[#This Row],[A/E Q3]]-Quartile_S[[#This Row],[A/E Q1]])</f>
        <v>3.5650000000000004</v>
      </c>
    </row>
    <row r="47" spans="1:25" x14ac:dyDescent="0.25">
      <c r="A47" t="s">
        <v>142</v>
      </c>
      <c r="B47" s="1" cm="1">
        <f t="array" ref="B47">_xlfn.QUARTILE.INC(IF(Quartile_S[[#This Row],[Industry]]=Main_S[Industry],Main_S[P/FCF]),1)</f>
        <v>-3.9909722222222226</v>
      </c>
      <c r="C47" s="1" cm="1">
        <f t="array" ref="C47">_xlfn.QUARTILE.INC(IF(Quartile_S[[#This Row],[Industry]]=Main_S[Industry],Main_S[P/FCF]),3)</f>
        <v>15.731038047973533</v>
      </c>
      <c r="D47" s="1">
        <f>Quartile_S[[#This Row],[P/FCF Q1]]-1.5*(Quartile_S[[#This Row],[P/FCF Q3]]-Quartile_S[[#This Row],[P/FCF Q1]])</f>
        <v>-33.573987627515862</v>
      </c>
      <c r="E47" s="1">
        <f>Quartile_S[[#This Row],[P/FCF Q3]]+1.5*(Quartile_S[[#This Row],[P/FCF Q3]]-Quartile_S[[#This Row],[P/FCF Q1]])</f>
        <v>45.314053453267171</v>
      </c>
      <c r="F47" s="1" cm="1">
        <f t="array" ref="F47">_xlfn.QUARTILE.INC(IF(Quartile_S[[#This Row],[Industry]]=Main_S[Industry],Main_S[P/B]),1)</f>
        <v>0.72695262994284982</v>
      </c>
      <c r="G47" s="1" cm="1">
        <f t="array" ref="G47">_xlfn.QUARTILE.INC(IF(Quartile_S[[#This Row],[Industry]]=Main_S[Industry],Main_S[P/B]),3)</f>
        <v>4.0438963165058484</v>
      </c>
      <c r="H47" s="1">
        <f>Quartile_S[[#This Row],[P/B Q1]]-1.5*(Quartile_S[[#This Row],[P/B Q3]]-Quartile_S[[#This Row],[P/B Q1]])</f>
        <v>-4.2484628999016483</v>
      </c>
      <c r="I47" s="1">
        <f>Quartile_S[[#This Row],[P/B Q3]]+1.5*(Quartile_S[[#This Row],[P/B Q3]]-Quartile_S[[#This Row],[P/B Q1]])</f>
        <v>9.0193118463503463</v>
      </c>
      <c r="J47" s="1" cm="1">
        <f t="array" ref="J47">_xlfn.QUARTILE.INC(IF(Quartile_S[[#This Row],[Industry]]=Main_S[Industry],Main_S[ROE]),1)</f>
        <v>-43.614999999999995</v>
      </c>
      <c r="K47" s="1" cm="1">
        <f t="array" ref="K47">_xlfn.QUARTILE.INC(IF(Quartile_S[[#This Row],[Industry]]=Main_S[Industry],Main_S[ROE]),3)</f>
        <v>26.509999999999998</v>
      </c>
      <c r="L47" s="1">
        <f>Quartile_S[[#This Row],[ROE Q1]]-1.5*(Quartile_S[[#This Row],[ROE Q3]]-Quartile_S[[#This Row],[ROE Q1]])</f>
        <v>-148.80250000000001</v>
      </c>
      <c r="M47" s="1">
        <f>Quartile_S[[#This Row],[ROE Q3]]+1.5*(Quartile_S[[#This Row],[ROE Q3]]-Quartile_S[[#This Row],[ROE Q1]])</f>
        <v>131.69749999999999</v>
      </c>
      <c r="N47" s="1" cm="1">
        <f t="array" ref="N47">_xlfn.QUARTILE.INC(IF(Quartile_S[[#This Row],[Industry]]=Main_S[Industry],Main_S[ROA]),1)</f>
        <v>-15.175000000000001</v>
      </c>
      <c r="O47" s="1" cm="1">
        <f t="array" ref="O47">_xlfn.QUARTILE.INC(IF(Quartile_S[[#This Row],[Industry]]=Main_S[Industry],Main_S[ROA]),3)</f>
        <v>4.6899999999999995</v>
      </c>
      <c r="P47" s="1">
        <f>Quartile_S[[#This Row],[ROA Q1]]-1.5*(Quartile_S[[#This Row],[ROA Q3]]-Quartile_S[[#This Row],[ROA Q1]])</f>
        <v>-44.972500000000004</v>
      </c>
      <c r="Q47" s="1">
        <f>Quartile_S[[#This Row],[ROA Q3]]+1.5*(Quartile_S[[#This Row],[ROA Q3]]-Quartile_S[[#This Row],[ROA Q1]])</f>
        <v>34.487500000000004</v>
      </c>
      <c r="R47" s="1" cm="1">
        <f t="array" ref="R47">_xlfn.QUARTILE.INC(IF(Quartile_S[[#This Row],[Industry]]=Main_S[Industry],Main_S[P/E]),1)</f>
        <v>-3.5000000000000004</v>
      </c>
      <c r="S47" s="1" cm="1">
        <f t="array" ref="S47">_xlfn.QUARTILE.INC(IF(Quartile_S[[#This Row],[Industry]]=Main_S[Industry],Main_S[P/E]),3)</f>
        <v>19.121673003802282</v>
      </c>
      <c r="T47" s="1">
        <f>Quartile_S[[#This Row],[P/E Q1]]-1.5*(Quartile_S[[#This Row],[P/E Q3]]-Quartile_S[[#This Row],[P/E Q1]])</f>
        <v>-37.432509505703422</v>
      </c>
      <c r="U47" s="1">
        <f>Quartile_S[[#This Row],[P/E Q3]]+1.5*(Quartile_S[[#This Row],[P/E Q3]]-Quartile_S[[#This Row],[P/E Q1]])</f>
        <v>53.054182509505708</v>
      </c>
      <c r="V47" s="1" cm="1">
        <f t="array" ref="V47">_xlfn.QUARTILE.INC(IF(Quartile_S[[#This Row],[Industry]]=Main_S[Industry],Main_S[A/E]),1)</f>
        <v>1.0775000000000001</v>
      </c>
      <c r="W47" s="1" cm="1">
        <f t="array" ref="W47">_xlfn.QUARTILE.INC(IF(Quartile_S[[#This Row],[Industry]]=Main_S[Industry],Main_S[A/E]),3)</f>
        <v>1.7175</v>
      </c>
      <c r="X47" s="1">
        <f>Quartile_S[[#This Row],[A/E Q1]]-1.5*(Quartile_S[[#This Row],[A/E Q3]]-Quartile_S[[#This Row],[A/E Q1]])</f>
        <v>0.11750000000000027</v>
      </c>
      <c r="Y47" s="1">
        <f>Quartile_S[[#This Row],[A/E Q3]]+1.5*(Quartile_S[[#This Row],[A/E Q3]]-Quartile_S[[#This Row],[A/E Q1]])</f>
        <v>2.6774999999999998</v>
      </c>
    </row>
    <row r="48" spans="1:25" x14ac:dyDescent="0.25">
      <c r="A48" t="s">
        <v>153</v>
      </c>
      <c r="B48" s="1" cm="1">
        <f t="array" ref="B48">_xlfn.QUARTILE.INC(IF(Quartile_S[[#This Row],[Industry]]=Main_S[Industry],Main_S[P/FCF]),1)</f>
        <v>2.7473337950138506</v>
      </c>
      <c r="C48" s="1" cm="1">
        <f t="array" ref="C48">_xlfn.QUARTILE.INC(IF(Quartile_S[[#This Row],[Industry]]=Main_S[Industry],Main_S[P/FCF]),3)</f>
        <v>2.7473337950138506</v>
      </c>
      <c r="D48" s="1">
        <f>Quartile_S[[#This Row],[P/FCF Q1]]-1.5*(Quartile_S[[#This Row],[P/FCF Q3]]-Quartile_S[[#This Row],[P/FCF Q1]])</f>
        <v>2.7473337950138506</v>
      </c>
      <c r="E48" s="1">
        <f>Quartile_S[[#This Row],[P/FCF Q3]]+1.5*(Quartile_S[[#This Row],[P/FCF Q3]]-Quartile_S[[#This Row],[P/FCF Q1]])</f>
        <v>2.7473337950138506</v>
      </c>
      <c r="F48" s="1" cm="1">
        <f t="array" ref="F48">_xlfn.QUARTILE.INC(IF(Quartile_S[[#This Row],[Industry]]=Main_S[Industry],Main_S[P/B]),1)</f>
        <v>0.66832041778975748</v>
      </c>
      <c r="G48" s="1" cm="1">
        <f t="array" ref="G48">_xlfn.QUARTILE.INC(IF(Quartile_S[[#This Row],[Industry]]=Main_S[Industry],Main_S[P/B]),3)</f>
        <v>0.66832041778975748</v>
      </c>
      <c r="H48" s="1">
        <f>Quartile_S[[#This Row],[P/B Q1]]-1.5*(Quartile_S[[#This Row],[P/B Q3]]-Quartile_S[[#This Row],[P/B Q1]])</f>
        <v>0.66832041778975748</v>
      </c>
      <c r="I48" s="1">
        <f>Quartile_S[[#This Row],[P/B Q3]]+1.5*(Quartile_S[[#This Row],[P/B Q3]]-Quartile_S[[#This Row],[P/B Q1]])</f>
        <v>0.66832041778975748</v>
      </c>
      <c r="J48" s="1" cm="1">
        <f t="array" ref="J48">_xlfn.QUARTILE.INC(IF(Quartile_S[[#This Row],[Industry]]=Main_S[Industry],Main_S[ROE]),1)</f>
        <v>24.9</v>
      </c>
      <c r="K48" s="1" cm="1">
        <f t="array" ref="K48">_xlfn.QUARTILE.INC(IF(Quartile_S[[#This Row],[Industry]]=Main_S[Industry],Main_S[ROE]),3)</f>
        <v>24.9</v>
      </c>
      <c r="L48" s="1">
        <f>Quartile_S[[#This Row],[ROE Q1]]-1.5*(Quartile_S[[#This Row],[ROE Q3]]-Quartile_S[[#This Row],[ROE Q1]])</f>
        <v>24.9</v>
      </c>
      <c r="M48" s="1">
        <f>Quartile_S[[#This Row],[ROE Q3]]+1.5*(Quartile_S[[#This Row],[ROE Q3]]-Quartile_S[[#This Row],[ROE Q1]])</f>
        <v>24.9</v>
      </c>
      <c r="N48" s="1" cm="1">
        <f t="array" ref="N48">_xlfn.QUARTILE.INC(IF(Quartile_S[[#This Row],[Industry]]=Main_S[Industry],Main_S[ROA]),1)</f>
        <v>3.82</v>
      </c>
      <c r="O48" s="1" cm="1">
        <f t="array" ref="O48">_xlfn.QUARTILE.INC(IF(Quartile_S[[#This Row],[Industry]]=Main_S[Industry],Main_S[ROA]),3)</f>
        <v>3.82</v>
      </c>
      <c r="P48" s="1">
        <f>Quartile_S[[#This Row],[ROA Q1]]-1.5*(Quartile_S[[#This Row],[ROA Q3]]-Quartile_S[[#This Row],[ROA Q1]])</f>
        <v>3.82</v>
      </c>
      <c r="Q48" s="1">
        <f>Quartile_S[[#This Row],[ROA Q3]]+1.5*(Quartile_S[[#This Row],[ROA Q3]]-Quartile_S[[#This Row],[ROA Q1]])</f>
        <v>3.82</v>
      </c>
      <c r="R48" s="1" cm="1">
        <f t="array" ref="R48">_xlfn.QUARTILE.INC(IF(Quartile_S[[#This Row],[Industry]]=Main_S[Industry],Main_S[P/E]),1)</f>
        <v>3.4860720562390157</v>
      </c>
      <c r="S48" s="1" cm="1">
        <f t="array" ref="S48">_xlfn.QUARTILE.INC(IF(Quartile_S[[#This Row],[Industry]]=Main_S[Industry],Main_S[P/E]),3)</f>
        <v>3.4860720562390157</v>
      </c>
      <c r="T48" s="1">
        <f>Quartile_S[[#This Row],[P/E Q1]]-1.5*(Quartile_S[[#This Row],[P/E Q3]]-Quartile_S[[#This Row],[P/E Q1]])</f>
        <v>3.4860720562390157</v>
      </c>
      <c r="U48" s="1">
        <f>Quartile_S[[#This Row],[P/E Q3]]+1.5*(Quartile_S[[#This Row],[P/E Q3]]-Quartile_S[[#This Row],[P/E Q1]])</f>
        <v>3.4860720562390157</v>
      </c>
      <c r="V48" s="1" cm="1">
        <f t="array" ref="V48">_xlfn.QUARTILE.INC(IF(Quartile_S[[#This Row],[Industry]]=Main_S[Industry],Main_S[A/E]),1)</f>
        <v>3.16</v>
      </c>
      <c r="W48" s="1" cm="1">
        <f t="array" ref="W48">_xlfn.QUARTILE.INC(IF(Quartile_S[[#This Row],[Industry]]=Main_S[Industry],Main_S[A/E]),3)</f>
        <v>3.16</v>
      </c>
      <c r="X48" s="1">
        <f>Quartile_S[[#This Row],[A/E Q1]]-1.5*(Quartile_S[[#This Row],[A/E Q3]]-Quartile_S[[#This Row],[A/E Q1]])</f>
        <v>3.16</v>
      </c>
      <c r="Y48" s="1">
        <f>Quartile_S[[#This Row],[A/E Q3]]+1.5*(Quartile_S[[#This Row],[A/E Q3]]-Quartile_S[[#This Row],[A/E Q1]])</f>
        <v>3.16</v>
      </c>
    </row>
    <row r="49" spans="1:25" x14ac:dyDescent="0.25">
      <c r="A49" t="s">
        <v>222</v>
      </c>
      <c r="B49" s="1" cm="1">
        <f t="array" ref="B49">_xlfn.QUARTILE.INC(IF(Quartile_S[[#This Row],[Industry]]=Main_S[Industry],Main_S[P/FCF]),1)</f>
        <v>-29.490923566878983</v>
      </c>
      <c r="C49" s="1" cm="1">
        <f t="array" ref="C49">_xlfn.QUARTILE.INC(IF(Quartile_S[[#This Row],[Industry]]=Main_S[Industry],Main_S[P/FCF]),3)</f>
        <v>17.81666666666667</v>
      </c>
      <c r="D49" s="1">
        <f>Quartile_S[[#This Row],[P/FCF Q1]]-1.5*(Quartile_S[[#This Row],[P/FCF Q3]]-Quartile_S[[#This Row],[P/FCF Q1]])</f>
        <v>-100.45230891719746</v>
      </c>
      <c r="E49" s="1">
        <f>Quartile_S[[#This Row],[P/FCF Q3]]+1.5*(Quartile_S[[#This Row],[P/FCF Q3]]-Quartile_S[[#This Row],[P/FCF Q1]])</f>
        <v>88.778052016985157</v>
      </c>
      <c r="F49" s="1" cm="1">
        <f t="array" ref="F49">_xlfn.QUARTILE.INC(IF(Quartile_S[[#This Row],[Industry]]=Main_S[Industry],Main_S[P/B]),1)</f>
        <v>1.6352265129398567</v>
      </c>
      <c r="G49" s="1" cm="1">
        <f t="array" ref="G49">_xlfn.QUARTILE.INC(IF(Quartile_S[[#This Row],[Industry]]=Main_S[Industry],Main_S[P/B]),3)</f>
        <v>2.9285065482314288</v>
      </c>
      <c r="H49" s="1">
        <f>Quartile_S[[#This Row],[P/B Q1]]-1.5*(Quartile_S[[#This Row],[P/B Q3]]-Quartile_S[[#This Row],[P/B Q1]])</f>
        <v>-0.30469353999750148</v>
      </c>
      <c r="I49" s="1">
        <f>Quartile_S[[#This Row],[P/B Q3]]+1.5*(Quartile_S[[#This Row],[P/B Q3]]-Quartile_S[[#This Row],[P/B Q1]])</f>
        <v>4.8684266011687871</v>
      </c>
      <c r="J49" s="1" cm="1">
        <f t="array" ref="J49">_xlfn.QUARTILE.INC(IF(Quartile_S[[#This Row],[Industry]]=Main_S[Industry],Main_S[ROE]),1)</f>
        <v>-66.27</v>
      </c>
      <c r="K49" s="1" cm="1">
        <f t="array" ref="K49">_xlfn.QUARTILE.INC(IF(Quartile_S[[#This Row],[Industry]]=Main_S[Industry],Main_S[ROE]),3)</f>
        <v>12</v>
      </c>
      <c r="L49" s="1">
        <f>Quartile_S[[#This Row],[ROE Q1]]-1.5*(Quartile_S[[#This Row],[ROE Q3]]-Quartile_S[[#This Row],[ROE Q1]])</f>
        <v>-183.67500000000001</v>
      </c>
      <c r="M49" s="1">
        <f>Quartile_S[[#This Row],[ROE Q3]]+1.5*(Quartile_S[[#This Row],[ROE Q3]]-Quartile_S[[#This Row],[ROE Q1]])</f>
        <v>129.405</v>
      </c>
      <c r="N49" s="1" cm="1">
        <f t="array" ref="N49">_xlfn.QUARTILE.INC(IF(Quartile_S[[#This Row],[Industry]]=Main_S[Industry],Main_S[ROA]),1)</f>
        <v>2.34</v>
      </c>
      <c r="O49" s="1" cm="1">
        <f t="array" ref="O49">_xlfn.QUARTILE.INC(IF(Quartile_S[[#This Row],[Industry]]=Main_S[Industry],Main_S[ROA]),3)</f>
        <v>4.03</v>
      </c>
      <c r="P49" s="1">
        <f>Quartile_S[[#This Row],[ROA Q1]]-1.5*(Quartile_S[[#This Row],[ROA Q3]]-Quartile_S[[#This Row],[ROA Q1]])</f>
        <v>-0.19500000000000073</v>
      </c>
      <c r="Q49" s="1">
        <f>Quartile_S[[#This Row],[ROA Q3]]+1.5*(Quartile_S[[#This Row],[ROA Q3]]-Quartile_S[[#This Row],[ROA Q1]])</f>
        <v>6.5650000000000013</v>
      </c>
      <c r="R49" s="1" cm="1">
        <f t="array" ref="R49">_xlfn.QUARTILE.INC(IF(Quartile_S[[#This Row],[Industry]]=Main_S[Industry],Main_S[P/E]),1)</f>
        <v>6.2529978872281893</v>
      </c>
      <c r="S49" s="1" cm="1">
        <f t="array" ref="S49">_xlfn.QUARTILE.INC(IF(Quartile_S[[#This Row],[Industry]]=Main_S[Industry],Main_S[P/E]),3)</f>
        <v>15.095149253731343</v>
      </c>
      <c r="T49" s="1">
        <f>Quartile_S[[#This Row],[P/E Q1]]-1.5*(Quartile_S[[#This Row],[P/E Q3]]-Quartile_S[[#This Row],[P/E Q1]])</f>
        <v>-7.0102291625265396</v>
      </c>
      <c r="U49" s="1">
        <f>Quartile_S[[#This Row],[P/E Q3]]+1.5*(Quartile_S[[#This Row],[P/E Q3]]-Quartile_S[[#This Row],[P/E Q1]])</f>
        <v>28.358376303486072</v>
      </c>
      <c r="V49" s="1" cm="1">
        <f t="array" ref="V49">_xlfn.QUARTILE.INC(IF(Quartile_S[[#This Row],[Industry]]=Main_S[Industry],Main_S[A/E]),1)</f>
        <v>2.2249999999999996</v>
      </c>
      <c r="W49" s="1" cm="1">
        <f t="array" ref="W49">_xlfn.QUARTILE.INC(IF(Quartile_S[[#This Row],[Industry]]=Main_S[Industry],Main_S[A/E]),3)</f>
        <v>10.34</v>
      </c>
      <c r="X49" s="1">
        <f>Quartile_S[[#This Row],[A/E Q1]]-1.5*(Quartile_S[[#This Row],[A/E Q3]]-Quartile_S[[#This Row],[A/E Q1]])</f>
        <v>-9.9474999999999998</v>
      </c>
      <c r="Y49" s="1">
        <f>Quartile_S[[#This Row],[A/E Q3]]+1.5*(Quartile_S[[#This Row],[A/E Q3]]-Quartile_S[[#This Row],[A/E Q1]])</f>
        <v>22.512499999999999</v>
      </c>
    </row>
    <row r="50" spans="1:25" x14ac:dyDescent="0.25">
      <c r="A50" t="s">
        <v>190</v>
      </c>
      <c r="B50" s="1" cm="1">
        <f t="array" ref="B50">_xlfn.QUARTILE.INC(IF(Quartile_S[[#This Row],[Industry]]=Main_S[Industry],Main_S[P/FCF]),1)</f>
        <v>3.9274517816279833</v>
      </c>
      <c r="C50" s="1" cm="1">
        <f t="array" ref="C50">_xlfn.QUARTILE.INC(IF(Quartile_S[[#This Row],[Industry]]=Main_S[Industry],Main_S[P/FCF]),3)</f>
        <v>14.966432005494505</v>
      </c>
      <c r="D50" s="1">
        <f>Quartile_S[[#This Row],[P/FCF Q1]]-1.5*(Quartile_S[[#This Row],[P/FCF Q3]]-Quartile_S[[#This Row],[P/FCF Q1]])</f>
        <v>-12.631018554171799</v>
      </c>
      <c r="E50" s="1">
        <f>Quartile_S[[#This Row],[P/FCF Q3]]+1.5*(Quartile_S[[#This Row],[P/FCF Q3]]-Quartile_S[[#This Row],[P/FCF Q1]])</f>
        <v>31.524902341294286</v>
      </c>
      <c r="F50" s="1" cm="1">
        <f t="array" ref="F50">_xlfn.QUARTILE.INC(IF(Quartile_S[[#This Row],[Industry]]=Main_S[Industry],Main_S[P/B]),1)</f>
        <v>1.1433528563465254</v>
      </c>
      <c r="G50" s="1" cm="1">
        <f t="array" ref="G50">_xlfn.QUARTILE.INC(IF(Quartile_S[[#This Row],[Industry]]=Main_S[Industry],Main_S[P/B]),3)</f>
        <v>1.9721643145198167</v>
      </c>
      <c r="H50" s="1">
        <f>Quartile_S[[#This Row],[P/B Q1]]-1.5*(Quartile_S[[#This Row],[P/B Q3]]-Quartile_S[[#This Row],[P/B Q1]])</f>
        <v>-9.9864330913411514E-2</v>
      </c>
      <c r="I50" s="1">
        <f>Quartile_S[[#This Row],[P/B Q3]]+1.5*(Quartile_S[[#This Row],[P/B Q3]]-Quartile_S[[#This Row],[P/B Q1]])</f>
        <v>3.2153815017797536</v>
      </c>
      <c r="J50" s="1" cm="1">
        <f t="array" ref="J50">_xlfn.QUARTILE.INC(IF(Quartile_S[[#This Row],[Industry]]=Main_S[Industry],Main_S[ROE]),1)</f>
        <v>-11.8675</v>
      </c>
      <c r="K50" s="1" cm="1">
        <f t="array" ref="K50">_xlfn.QUARTILE.INC(IF(Quartile_S[[#This Row],[Industry]]=Main_S[Industry],Main_S[ROE]),3)</f>
        <v>12.092499999999999</v>
      </c>
      <c r="L50" s="1">
        <f>Quartile_S[[#This Row],[ROE Q1]]-1.5*(Quartile_S[[#This Row],[ROE Q3]]-Quartile_S[[#This Row],[ROE Q1]])</f>
        <v>-47.807499999999997</v>
      </c>
      <c r="M50" s="1">
        <f>Quartile_S[[#This Row],[ROE Q3]]+1.5*(Quartile_S[[#This Row],[ROE Q3]]-Quartile_S[[#This Row],[ROE Q1]])</f>
        <v>48.032499999999999</v>
      </c>
      <c r="N50" s="1" cm="1">
        <f t="array" ref="N50">_xlfn.QUARTILE.INC(IF(Quartile_S[[#This Row],[Industry]]=Main_S[Industry],Main_S[ROA]),1)</f>
        <v>2.2025000000000001</v>
      </c>
      <c r="O50" s="1" cm="1">
        <f t="array" ref="O50">_xlfn.QUARTILE.INC(IF(Quartile_S[[#This Row],[Industry]]=Main_S[Industry],Main_S[ROA]),3)</f>
        <v>5.6000000000000005</v>
      </c>
      <c r="P50" s="1">
        <f>Quartile_S[[#This Row],[ROA Q1]]-1.5*(Quartile_S[[#This Row],[ROA Q3]]-Quartile_S[[#This Row],[ROA Q1]])</f>
        <v>-2.8937500000000003</v>
      </c>
      <c r="Q50" s="1">
        <f>Quartile_S[[#This Row],[ROA Q3]]+1.5*(Quartile_S[[#This Row],[ROA Q3]]-Quartile_S[[#This Row],[ROA Q1]])</f>
        <v>10.696250000000001</v>
      </c>
      <c r="R50" s="1" cm="1">
        <f t="array" ref="R50">_xlfn.QUARTILE.INC(IF(Quartile_S[[#This Row],[Industry]]=Main_S[Industry],Main_S[P/E]),1)</f>
        <v>-8.5463461704640391</v>
      </c>
      <c r="S50" s="1" cm="1">
        <f t="array" ref="S50">_xlfn.QUARTILE.INC(IF(Quartile_S[[#This Row],[Industry]]=Main_S[Industry],Main_S[P/E]),3)</f>
        <v>19.649087221095332</v>
      </c>
      <c r="T50" s="1">
        <f>Quartile_S[[#This Row],[P/E Q1]]-1.5*(Quartile_S[[#This Row],[P/E Q3]]-Quartile_S[[#This Row],[P/E Q1]])</f>
        <v>-50.839496257803098</v>
      </c>
      <c r="U50" s="1">
        <f>Quartile_S[[#This Row],[P/E Q3]]+1.5*(Quartile_S[[#This Row],[P/E Q3]]-Quartile_S[[#This Row],[P/E Q1]])</f>
        <v>61.942237308434386</v>
      </c>
      <c r="V50" s="1" cm="1">
        <f t="array" ref="V50">_xlfn.QUARTILE.INC(IF(Quartile_S[[#This Row],[Industry]]=Main_S[Industry],Main_S[A/E]),1)</f>
        <v>1.71</v>
      </c>
      <c r="W50" s="1" cm="1">
        <f t="array" ref="W50">_xlfn.QUARTILE.INC(IF(Quartile_S[[#This Row],[Industry]]=Main_S[Industry],Main_S[A/E]),3)</f>
        <v>3.26</v>
      </c>
      <c r="X50" s="1">
        <f>Quartile_S[[#This Row],[A/E Q1]]-1.5*(Quartile_S[[#This Row],[A/E Q3]]-Quartile_S[[#This Row],[A/E Q1]])</f>
        <v>-0.61499999999999977</v>
      </c>
      <c r="Y50" s="1">
        <f>Quartile_S[[#This Row],[A/E Q3]]+1.5*(Quartile_S[[#This Row],[A/E Q3]]-Quartile_S[[#This Row],[A/E Q1]])</f>
        <v>5.5849999999999991</v>
      </c>
    </row>
    <row r="51" spans="1:25" x14ac:dyDescent="0.25">
      <c r="A51" t="s">
        <v>228</v>
      </c>
      <c r="B51" s="1" cm="1">
        <f t="array" ref="B51">_xlfn.QUARTILE.INC(IF(Quartile_S[[#This Row],[Industry]]=Main_S[Industry],Main_S[P/FCF]),1)</f>
        <v>-4.0303030303030303</v>
      </c>
      <c r="C51" s="1" cm="1">
        <f t="array" ref="C51">_xlfn.QUARTILE.INC(IF(Quartile_S[[#This Row],[Industry]]=Main_S[Industry],Main_S[P/FCF]),3)</f>
        <v>6.5714285714285712</v>
      </c>
      <c r="D51" s="1">
        <f>Quartile_S[[#This Row],[P/FCF Q1]]-1.5*(Quartile_S[[#This Row],[P/FCF Q3]]-Quartile_S[[#This Row],[P/FCF Q1]])</f>
        <v>-19.932900432900432</v>
      </c>
      <c r="E51" s="1">
        <f>Quartile_S[[#This Row],[P/FCF Q3]]+1.5*(Quartile_S[[#This Row],[P/FCF Q3]]-Quartile_S[[#This Row],[P/FCF Q1]])</f>
        <v>22.47402597402597</v>
      </c>
      <c r="F51" s="1" cm="1">
        <f t="array" ref="F51">_xlfn.QUARTILE.INC(IF(Quartile_S[[#This Row],[Industry]]=Main_S[Industry],Main_S[P/B]),1)</f>
        <v>0.72028985507246368</v>
      </c>
      <c r="G51" s="1" cm="1">
        <f t="array" ref="G51">_xlfn.QUARTILE.INC(IF(Quartile_S[[#This Row],[Industry]]=Main_S[Industry],Main_S[P/B]),3)</f>
        <v>1.5645756457564577</v>
      </c>
      <c r="H51" s="1">
        <f>Quartile_S[[#This Row],[P/B Q1]]-1.5*(Quartile_S[[#This Row],[P/B Q3]]-Quartile_S[[#This Row],[P/B Q1]])</f>
        <v>-0.54613883095352733</v>
      </c>
      <c r="I51" s="1">
        <f>Quartile_S[[#This Row],[P/B Q3]]+1.5*(Quartile_S[[#This Row],[P/B Q3]]-Quartile_S[[#This Row],[P/B Q1]])</f>
        <v>2.8310043317824487</v>
      </c>
      <c r="J51" s="1" cm="1">
        <f t="array" ref="J51">_xlfn.QUARTILE.INC(IF(Quartile_S[[#This Row],[Industry]]=Main_S[Industry],Main_S[ROE]),1)</f>
        <v>-11.3</v>
      </c>
      <c r="K51" s="1" cm="1">
        <f t="array" ref="K51">_xlfn.QUARTILE.INC(IF(Quartile_S[[#This Row],[Industry]]=Main_S[Industry],Main_S[ROE]),3)</f>
        <v>14.04</v>
      </c>
      <c r="L51" s="1">
        <f>Quartile_S[[#This Row],[ROE Q1]]-1.5*(Quartile_S[[#This Row],[ROE Q3]]-Quartile_S[[#This Row],[ROE Q1]])</f>
        <v>-49.31</v>
      </c>
      <c r="M51" s="1">
        <f>Quartile_S[[#This Row],[ROE Q3]]+1.5*(Quartile_S[[#This Row],[ROE Q3]]-Quartile_S[[#This Row],[ROE Q1]])</f>
        <v>52.05</v>
      </c>
      <c r="N51" s="1" cm="1">
        <f t="array" ref="N51">_xlfn.QUARTILE.INC(IF(Quartile_S[[#This Row],[Industry]]=Main_S[Industry],Main_S[ROA]),1)</f>
        <v>-2.95</v>
      </c>
      <c r="O51" s="1" cm="1">
        <f t="array" ref="O51">_xlfn.QUARTILE.INC(IF(Quartile_S[[#This Row],[Industry]]=Main_S[Industry],Main_S[ROA]),3)</f>
        <v>2.5299999999999998</v>
      </c>
      <c r="P51" s="1">
        <f>Quartile_S[[#This Row],[ROA Q1]]-1.5*(Quartile_S[[#This Row],[ROA Q3]]-Quartile_S[[#This Row],[ROA Q1]])</f>
        <v>-11.170000000000002</v>
      </c>
      <c r="Q51" s="1">
        <f>Quartile_S[[#This Row],[ROA Q3]]+1.5*(Quartile_S[[#This Row],[ROA Q3]]-Quartile_S[[#This Row],[ROA Q1]])</f>
        <v>10.75</v>
      </c>
      <c r="R51" s="1" cm="1">
        <f t="array" ref="R51">_xlfn.QUARTILE.INC(IF(Quartile_S[[#This Row],[Industry]]=Main_S[Industry],Main_S[P/E]),1)</f>
        <v>-5.7718631178707227</v>
      </c>
      <c r="S51" s="1" cm="1">
        <f t="array" ref="S51">_xlfn.QUARTILE.INC(IF(Quartile_S[[#This Row],[Industry]]=Main_S[Industry],Main_S[P/E]),3)</f>
        <v>12.122448979591837</v>
      </c>
      <c r="T51" s="1">
        <f>Quartile_S[[#This Row],[P/E Q1]]-1.5*(Quartile_S[[#This Row],[P/E Q3]]-Quartile_S[[#This Row],[P/E Q1]])</f>
        <v>-32.613331264064563</v>
      </c>
      <c r="U51" s="1">
        <f>Quartile_S[[#This Row],[P/E Q3]]+1.5*(Quartile_S[[#This Row],[P/E Q3]]-Quartile_S[[#This Row],[P/E Q1]])</f>
        <v>38.963917125785677</v>
      </c>
      <c r="V51" s="1" cm="1">
        <f t="array" ref="V51">_xlfn.QUARTILE.INC(IF(Quartile_S[[#This Row],[Industry]]=Main_S[Industry],Main_S[A/E]),1)</f>
        <v>1.1399999999999999</v>
      </c>
      <c r="W51" s="1" cm="1">
        <f t="array" ref="W51">_xlfn.QUARTILE.INC(IF(Quartile_S[[#This Row],[Industry]]=Main_S[Industry],Main_S[A/E]),3)</f>
        <v>6.99</v>
      </c>
      <c r="X51" s="1">
        <f>Quartile_S[[#This Row],[A/E Q1]]-1.5*(Quartile_S[[#This Row],[A/E Q3]]-Quartile_S[[#This Row],[A/E Q1]])</f>
        <v>-7.6350000000000007</v>
      </c>
      <c r="Y51" s="1">
        <f>Quartile_S[[#This Row],[A/E Q3]]+1.5*(Quartile_S[[#This Row],[A/E Q3]]-Quartile_S[[#This Row],[A/E Q1]])</f>
        <v>15.765000000000001</v>
      </c>
    </row>
    <row r="52" spans="1:25" x14ac:dyDescent="0.25">
      <c r="A52" t="s">
        <v>248</v>
      </c>
      <c r="B52" s="1" cm="1">
        <f t="array" ref="B52">_xlfn.QUARTILE.INC(IF(Quartile_S[[#This Row],[Industry]]=Main_S[Industry],Main_S[P/FCF]),1)</f>
        <v>1.2719178082191775</v>
      </c>
      <c r="C52" s="1" cm="1">
        <f t="array" ref="C52">_xlfn.QUARTILE.INC(IF(Quartile_S[[#This Row],[Industry]]=Main_S[Industry],Main_S[P/FCF]),3)</f>
        <v>9.4650684931506834</v>
      </c>
      <c r="D52" s="1">
        <f>Quartile_S[[#This Row],[P/FCF Q1]]-1.5*(Quartile_S[[#This Row],[P/FCF Q3]]-Quartile_S[[#This Row],[P/FCF Q1]])</f>
        <v>-11.017808219178082</v>
      </c>
      <c r="E52" s="1">
        <f>Quartile_S[[#This Row],[P/FCF Q3]]+1.5*(Quartile_S[[#This Row],[P/FCF Q3]]-Quartile_S[[#This Row],[P/FCF Q1]])</f>
        <v>21.754794520547943</v>
      </c>
      <c r="F52" s="1" cm="1">
        <f t="array" ref="F52">_xlfn.QUARTILE.INC(IF(Quartile_S[[#This Row],[Industry]]=Main_S[Industry],Main_S[P/B]),1)</f>
        <v>2.7489759708873915</v>
      </c>
      <c r="G52" s="1" cm="1">
        <f t="array" ref="G52">_xlfn.QUARTILE.INC(IF(Quartile_S[[#This Row],[Industry]]=Main_S[Industry],Main_S[P/B]),3)</f>
        <v>3.278295541269451</v>
      </c>
      <c r="H52" s="1">
        <f>Quartile_S[[#This Row],[P/B Q1]]-1.5*(Quartile_S[[#This Row],[P/B Q3]]-Quartile_S[[#This Row],[P/B Q1]])</f>
        <v>1.9549966153143024</v>
      </c>
      <c r="I52" s="1">
        <f>Quartile_S[[#This Row],[P/B Q3]]+1.5*(Quartile_S[[#This Row],[P/B Q3]]-Quartile_S[[#This Row],[P/B Q1]])</f>
        <v>4.07227489684254</v>
      </c>
      <c r="J52" s="1" cm="1">
        <f t="array" ref="J52">_xlfn.QUARTILE.INC(IF(Quartile_S[[#This Row],[Industry]]=Main_S[Industry],Main_S[ROE]),1)</f>
        <v>-19.505000000000003</v>
      </c>
      <c r="K52" s="1" cm="1">
        <f t="array" ref="K52">_xlfn.QUARTILE.INC(IF(Quartile_S[[#This Row],[Industry]]=Main_S[Industry],Main_S[ROE]),3)</f>
        <v>4.004999999999999</v>
      </c>
      <c r="L52" s="1">
        <f>Quartile_S[[#This Row],[ROE Q1]]-1.5*(Quartile_S[[#This Row],[ROE Q3]]-Quartile_S[[#This Row],[ROE Q1]])</f>
        <v>-54.77</v>
      </c>
      <c r="M52" s="1">
        <f>Quartile_S[[#This Row],[ROE Q3]]+1.5*(Quartile_S[[#This Row],[ROE Q3]]-Quartile_S[[#This Row],[ROE Q1]])</f>
        <v>39.269999999999996</v>
      </c>
      <c r="N52" s="1" cm="1">
        <f t="array" ref="N52">_xlfn.QUARTILE.INC(IF(Quartile_S[[#This Row],[Industry]]=Main_S[Industry],Main_S[ROA]),1)</f>
        <v>-0.54499999999999993</v>
      </c>
      <c r="O52" s="1" cm="1">
        <f t="array" ref="O52">_xlfn.QUARTILE.INC(IF(Quartile_S[[#This Row],[Industry]]=Main_S[Industry],Main_S[ROA]),3)</f>
        <v>3.8849999999999998</v>
      </c>
      <c r="P52" s="1">
        <f>Quartile_S[[#This Row],[ROA Q1]]-1.5*(Quartile_S[[#This Row],[ROA Q3]]-Quartile_S[[#This Row],[ROA Q1]])</f>
        <v>-7.1899999999999995</v>
      </c>
      <c r="Q52" s="1">
        <f>Quartile_S[[#This Row],[ROA Q3]]+1.5*(Quartile_S[[#This Row],[ROA Q3]]-Quartile_S[[#This Row],[ROA Q1]])</f>
        <v>10.53</v>
      </c>
      <c r="R52" s="1" cm="1">
        <f t="array" ref="R52">_xlfn.QUARTILE.INC(IF(Quartile_S[[#This Row],[Industry]]=Main_S[Industry],Main_S[P/E]),1)</f>
        <v>-2.6804029304029307</v>
      </c>
      <c r="S52" s="1" cm="1">
        <f t="array" ref="S52">_xlfn.QUARTILE.INC(IF(Quartile_S[[#This Row],[Industry]]=Main_S[Industry],Main_S[P/E]),3)</f>
        <v>9.5827228327228333</v>
      </c>
      <c r="T52" s="1">
        <f>Quartile_S[[#This Row],[P/E Q1]]-1.5*(Quartile_S[[#This Row],[P/E Q3]]-Quartile_S[[#This Row],[P/E Q1]])</f>
        <v>-21.075091575091577</v>
      </c>
      <c r="U52" s="1">
        <f>Quartile_S[[#This Row],[P/E Q3]]+1.5*(Quartile_S[[#This Row],[P/E Q3]]-Quartile_S[[#This Row],[P/E Q1]])</f>
        <v>27.977411477411479</v>
      </c>
      <c r="V52" s="1" cm="1">
        <f t="array" ref="V52">_xlfn.QUARTILE.INC(IF(Quartile_S[[#This Row],[Industry]]=Main_S[Industry],Main_S[A/E]),1)</f>
        <v>3.45</v>
      </c>
      <c r="W52" s="1" cm="1">
        <f t="array" ref="W52">_xlfn.QUARTILE.INC(IF(Quartile_S[[#This Row],[Industry]]=Main_S[Industry],Main_S[A/E]),3)</f>
        <v>4.91</v>
      </c>
      <c r="X52" s="1">
        <f>Quartile_S[[#This Row],[A/E Q1]]-1.5*(Quartile_S[[#This Row],[A/E Q3]]-Quartile_S[[#This Row],[A/E Q1]])</f>
        <v>1.2600000000000002</v>
      </c>
      <c r="Y52" s="1">
        <f>Quartile_S[[#This Row],[A/E Q3]]+1.5*(Quartile_S[[#This Row],[A/E Q3]]-Quartile_S[[#This Row],[A/E Q1]])</f>
        <v>7.1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7"/>
  <sheetViews>
    <sheetView workbookViewId="0">
      <selection activeCell="I29" sqref="I29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39.409859487757167</v>
      </c>
      <c r="C5" s="1">
        <v>19.866275365201687</v>
      </c>
      <c r="E5" s="6" t="s">
        <v>105</v>
      </c>
      <c r="F5" s="1">
        <v>9.0645845598764776</v>
      </c>
      <c r="G5" s="1">
        <v>6.0389869570416623</v>
      </c>
      <c r="I5" s="6" t="s">
        <v>105</v>
      </c>
      <c r="J5" s="1">
        <v>18.669374999999999</v>
      </c>
      <c r="K5" s="1">
        <v>7.6862608503338636</v>
      </c>
    </row>
    <row r="6" spans="1:11" x14ac:dyDescent="0.25">
      <c r="A6" s="6" t="s">
        <v>222</v>
      </c>
      <c r="B6" s="1">
        <v>17.945973539379938</v>
      </c>
      <c r="C6" s="1">
        <v>2.0195925848516114</v>
      </c>
      <c r="E6" s="6" t="s">
        <v>222</v>
      </c>
      <c r="F6" s="1">
        <v>4.4705894014784064</v>
      </c>
      <c r="G6" s="1">
        <v>2.2115728418132665</v>
      </c>
      <c r="I6" s="6" t="s">
        <v>222</v>
      </c>
      <c r="J6" s="1">
        <v>27.224</v>
      </c>
      <c r="K6" s="1">
        <v>9.9860554775146309</v>
      </c>
    </row>
    <row r="7" spans="1:11" x14ac:dyDescent="0.25">
      <c r="A7" s="6" t="s">
        <v>122</v>
      </c>
      <c r="B7" s="1">
        <v>20.195202142052665</v>
      </c>
      <c r="C7" s="1">
        <v>7.4972067560235942</v>
      </c>
      <c r="E7" s="6" t="s">
        <v>122</v>
      </c>
      <c r="F7" s="1">
        <v>5.9831963490518136</v>
      </c>
      <c r="G7" s="1">
        <v>3.3388454242410748</v>
      </c>
      <c r="I7" s="6" t="s">
        <v>122</v>
      </c>
      <c r="J7" s="1">
        <v>24.288571428571426</v>
      </c>
      <c r="K7" s="1">
        <v>12.333128937449546</v>
      </c>
    </row>
    <row r="8" spans="1:11" x14ac:dyDescent="0.25">
      <c r="A8" s="6" t="s">
        <v>190</v>
      </c>
      <c r="B8" s="1">
        <v>39.697450973516112</v>
      </c>
      <c r="C8" s="1">
        <v>7.7279079255372851</v>
      </c>
      <c r="E8" s="6" t="s">
        <v>190</v>
      </c>
      <c r="F8" s="1">
        <v>8.2659292317410458</v>
      </c>
      <c r="G8" s="1">
        <v>4.7562295491678013</v>
      </c>
      <c r="I8" s="6" t="s">
        <v>190</v>
      </c>
      <c r="J8" s="1">
        <v>20.388181818181817</v>
      </c>
      <c r="K8" s="1">
        <v>16.417497217177562</v>
      </c>
    </row>
    <row r="9" spans="1:11" x14ac:dyDescent="0.25">
      <c r="A9" s="6" t="s">
        <v>135</v>
      </c>
      <c r="B9" s="1">
        <v>24.61180168117496</v>
      </c>
      <c r="C9" s="1">
        <v>12.713583523089449</v>
      </c>
      <c r="E9" s="6" t="s">
        <v>135</v>
      </c>
      <c r="F9" s="1">
        <v>6.0101392622138725</v>
      </c>
      <c r="G9" s="1">
        <v>1.7774919100789608</v>
      </c>
      <c r="I9" s="6" t="s">
        <v>135</v>
      </c>
      <c r="J9" s="1">
        <v>17.5</v>
      </c>
      <c r="K9" s="1">
        <v>11.603921750856472</v>
      </c>
    </row>
    <row r="10" spans="1:11" x14ac:dyDescent="0.25">
      <c r="A10" s="6" t="s">
        <v>142</v>
      </c>
      <c r="B10" s="1">
        <v>30.953225632309888</v>
      </c>
      <c r="C10" s="1">
        <v>6.0684785571012245</v>
      </c>
      <c r="E10" s="6" t="s">
        <v>142</v>
      </c>
      <c r="F10" s="1">
        <v>8.7178665598249339</v>
      </c>
      <c r="G10" s="1">
        <v>4.5459412311721108</v>
      </c>
      <c r="I10" s="6" t="s">
        <v>142</v>
      </c>
      <c r="J10" s="1">
        <v>21.153750000000002</v>
      </c>
      <c r="K10" s="1">
        <v>8.7665243077002764</v>
      </c>
    </row>
    <row r="11" spans="1:11" x14ac:dyDescent="0.25">
      <c r="A11" s="6" t="s">
        <v>233</v>
      </c>
      <c r="B11" s="1">
        <v>33.160518743687902</v>
      </c>
      <c r="C11" s="1">
        <v>11.870469994592229</v>
      </c>
      <c r="E11" s="6" t="s">
        <v>233</v>
      </c>
      <c r="F11" s="1">
        <v>4.7271507496898204</v>
      </c>
      <c r="G11" s="1">
        <v>2.5809222647482786</v>
      </c>
      <c r="I11" s="6" t="s">
        <v>233</v>
      </c>
      <c r="J11" s="1">
        <v>17.16333333333333</v>
      </c>
      <c r="K11" s="1">
        <v>12.297733079266637</v>
      </c>
    </row>
    <row r="12" spans="1:11" x14ac:dyDescent="0.25">
      <c r="A12" s="6" t="s">
        <v>153</v>
      </c>
      <c r="B12" s="1">
        <v>-351.11430070176266</v>
      </c>
      <c r="C12" s="1">
        <v>536.23322277720138</v>
      </c>
      <c r="E12" s="6" t="s">
        <v>153</v>
      </c>
      <c r="F12" s="1">
        <v>10.536435365366861</v>
      </c>
      <c r="G12" s="1">
        <v>4.9587607367705573</v>
      </c>
      <c r="I12" s="6" t="s">
        <v>153</v>
      </c>
      <c r="J12" s="1">
        <v>48.863333333333323</v>
      </c>
      <c r="K12" s="1">
        <v>32.202002353200889</v>
      </c>
    </row>
    <row r="13" spans="1:11" x14ac:dyDescent="0.25">
      <c r="A13" s="6" t="s">
        <v>156</v>
      </c>
      <c r="B13" s="1">
        <v>24.099990151128406</v>
      </c>
      <c r="C13" s="1">
        <v>4.9164311092302766</v>
      </c>
      <c r="E13" s="6" t="s">
        <v>156</v>
      </c>
      <c r="F13" s="1">
        <v>4.2253522022814796</v>
      </c>
      <c r="G13" s="1">
        <v>1.9223416085229343</v>
      </c>
      <c r="I13" s="6" t="s">
        <v>156</v>
      </c>
      <c r="J13" s="1">
        <v>17.41272727272727</v>
      </c>
      <c r="K13" s="1">
        <v>7.6650714174566454</v>
      </c>
    </row>
    <row r="14" spans="1:11" x14ac:dyDescent="0.25">
      <c r="A14" s="6" t="s">
        <v>228</v>
      </c>
      <c r="B14" s="1">
        <v>2.591643789055349</v>
      </c>
      <c r="C14" s="1">
        <v>28.015763065402012</v>
      </c>
      <c r="E14" s="6" t="s">
        <v>228</v>
      </c>
      <c r="F14" s="1">
        <v>4.0794211212957965</v>
      </c>
      <c r="G14" s="1">
        <v>2.804211614357853</v>
      </c>
      <c r="I14" s="6" t="s">
        <v>228</v>
      </c>
      <c r="J14" s="1">
        <v>18.37</v>
      </c>
      <c r="K14" s="1">
        <v>9.3135707438124893</v>
      </c>
    </row>
    <row r="15" spans="1:11" x14ac:dyDescent="0.25">
      <c r="A15" s="6" t="s">
        <v>203</v>
      </c>
      <c r="B15" s="1">
        <v>32.300437619491468</v>
      </c>
      <c r="C15" s="1">
        <v>10.309816570847712</v>
      </c>
      <c r="E15" s="6" t="s">
        <v>203</v>
      </c>
      <c r="F15" s="1">
        <v>10.237650705418314</v>
      </c>
      <c r="G15" s="1">
        <v>6.147026743213206</v>
      </c>
      <c r="I15" s="6" t="s">
        <v>203</v>
      </c>
      <c r="J15" s="1">
        <v>34.209999999999994</v>
      </c>
      <c r="K15" s="1">
        <v>24.739488965734822</v>
      </c>
    </row>
    <row r="16" spans="1:11" x14ac:dyDescent="0.25">
      <c r="A16" s="6" t="s">
        <v>180</v>
      </c>
      <c r="B16" s="1">
        <v>17.356931737889372</v>
      </c>
      <c r="C16" s="1">
        <v>23.293372406068627</v>
      </c>
      <c r="E16" s="6" t="s">
        <v>180</v>
      </c>
      <c r="F16" s="1">
        <v>6.3281050898027962</v>
      </c>
      <c r="G16" s="1">
        <v>4.8000555224885995</v>
      </c>
      <c r="I16" s="6" t="s">
        <v>180</v>
      </c>
      <c r="J16" s="1">
        <v>25.650000000000002</v>
      </c>
      <c r="K16" s="1">
        <v>12.734457192986273</v>
      </c>
    </row>
    <row r="17" spans="1:11" x14ac:dyDescent="0.25">
      <c r="A17" s="6" t="s">
        <v>248</v>
      </c>
      <c r="B17" s="1">
        <v>290.15853658536588</v>
      </c>
      <c r="C17" s="1">
        <v>0</v>
      </c>
      <c r="E17" s="6" t="s">
        <v>248</v>
      </c>
      <c r="F17" s="1">
        <v>98.318181818181827</v>
      </c>
      <c r="G17" s="1">
        <v>0</v>
      </c>
      <c r="I17" s="6" t="s">
        <v>248</v>
      </c>
      <c r="J17" s="1">
        <v>36.65</v>
      </c>
      <c r="K17" s="1">
        <v>0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5.9494444444444454</v>
      </c>
      <c r="C25" s="1">
        <v>2.6732615788837042</v>
      </c>
      <c r="E25" s="6" t="s">
        <v>105</v>
      </c>
      <c r="F25" s="1">
        <v>2.5880000000000005</v>
      </c>
      <c r="G25" s="1">
        <v>0.49594623364500257</v>
      </c>
      <c r="I25" s="6" t="s">
        <v>105</v>
      </c>
      <c r="J25" s="1">
        <v>37.4361232525101</v>
      </c>
      <c r="K25" s="1">
        <v>19.572264359472403</v>
      </c>
    </row>
    <row r="26" spans="1:11" x14ac:dyDescent="0.25">
      <c r="A26" s="6" t="s">
        <v>222</v>
      </c>
      <c r="B26" s="1">
        <v>8.1199999999999992</v>
      </c>
      <c r="C26" s="1">
        <v>0.62497999967998974</v>
      </c>
      <c r="E26" s="6" t="s">
        <v>222</v>
      </c>
      <c r="F26" s="1">
        <v>2.8280000000000003</v>
      </c>
      <c r="G26" s="1">
        <v>0.9856855482353386</v>
      </c>
      <c r="I26" s="6" t="s">
        <v>222</v>
      </c>
      <c r="J26" s="1">
        <v>16.921406375997307</v>
      </c>
      <c r="K26" s="1">
        <v>3.4266096428823762</v>
      </c>
    </row>
    <row r="27" spans="1:11" x14ac:dyDescent="0.25">
      <c r="A27" s="6" t="s">
        <v>122</v>
      </c>
      <c r="B27" s="1">
        <v>9.4049999999999994</v>
      </c>
      <c r="C27" s="1">
        <v>3.8225972845697487</v>
      </c>
      <c r="E27" s="6" t="s">
        <v>122</v>
      </c>
      <c r="F27" s="1">
        <v>2.6999999999999997</v>
      </c>
      <c r="G27" s="1">
        <v>0.12660399452060495</v>
      </c>
      <c r="I27" s="6" t="s">
        <v>122</v>
      </c>
      <c r="J27" s="1">
        <v>25.608255777609926</v>
      </c>
      <c r="K27" s="1">
        <v>10.026475979115057</v>
      </c>
    </row>
    <row r="28" spans="1:11" x14ac:dyDescent="0.25">
      <c r="A28" s="6" t="s">
        <v>190</v>
      </c>
      <c r="B28" s="1">
        <v>7.9299999999999988</v>
      </c>
      <c r="C28" s="1">
        <v>4.6324644923331322</v>
      </c>
      <c r="E28" s="6" t="s">
        <v>190</v>
      </c>
      <c r="F28" s="1">
        <v>2.5011111111111108</v>
      </c>
      <c r="G28" s="1">
        <v>0.28223097099300726</v>
      </c>
      <c r="I28" s="6" t="s">
        <v>190</v>
      </c>
      <c r="J28" s="1">
        <v>45.064935297336945</v>
      </c>
      <c r="K28" s="1">
        <v>15.23535997484686</v>
      </c>
    </row>
    <row r="29" spans="1:11" x14ac:dyDescent="0.25">
      <c r="A29" s="6" t="s">
        <v>135</v>
      </c>
      <c r="B29" s="1">
        <v>4.3712499999999999</v>
      </c>
      <c r="C29" s="1">
        <v>1.2380472274917467</v>
      </c>
      <c r="E29" s="6" t="s">
        <v>135</v>
      </c>
      <c r="F29" s="1">
        <v>2.6587499999999999</v>
      </c>
      <c r="G29" s="1">
        <v>0.25462901935953947</v>
      </c>
      <c r="I29" s="6" t="s">
        <v>135</v>
      </c>
      <c r="J29" s="1">
        <v>44.274688924870418</v>
      </c>
      <c r="K29" s="1">
        <v>24.383517543467118</v>
      </c>
    </row>
    <row r="30" spans="1:11" x14ac:dyDescent="0.25">
      <c r="A30" s="6" t="s">
        <v>142</v>
      </c>
      <c r="B30" s="1">
        <v>6.9987499999999994</v>
      </c>
      <c r="C30" s="1">
        <v>2.8167908934636974</v>
      </c>
      <c r="E30" s="6" t="s">
        <v>142</v>
      </c>
      <c r="F30" s="1">
        <v>2.5942857142857143</v>
      </c>
      <c r="G30" s="1">
        <v>0.62332878604329334</v>
      </c>
      <c r="I30" s="6" t="s">
        <v>142</v>
      </c>
      <c r="J30" s="1">
        <v>43.05377649546363</v>
      </c>
      <c r="K30" s="1">
        <v>15.56968055469288</v>
      </c>
    </row>
    <row r="31" spans="1:11" x14ac:dyDescent="0.25">
      <c r="A31" s="6" t="s">
        <v>233</v>
      </c>
      <c r="B31" s="1">
        <v>5.5090909090909106</v>
      </c>
      <c r="C31" s="1">
        <v>2.2662081046439009</v>
      </c>
      <c r="E31" s="6" t="s">
        <v>233</v>
      </c>
      <c r="F31" s="1">
        <v>2.5146153846153849</v>
      </c>
      <c r="G31" s="1">
        <v>1.1067528067043368</v>
      </c>
      <c r="I31" s="6" t="s">
        <v>233</v>
      </c>
      <c r="J31" s="1">
        <v>24.857491234657303</v>
      </c>
      <c r="K31" s="1">
        <v>6.6760889411195548</v>
      </c>
    </row>
    <row r="32" spans="1:11" x14ac:dyDescent="0.25">
      <c r="A32" s="6" t="s">
        <v>153</v>
      </c>
      <c r="B32" s="1">
        <v>7.1833333333333336</v>
      </c>
      <c r="C32" s="1">
        <v>1.3323996731044614</v>
      </c>
      <c r="E32" s="6" t="s">
        <v>153</v>
      </c>
      <c r="F32" s="1">
        <v>5.1233333333333331</v>
      </c>
      <c r="G32" s="1">
        <v>2.8510271053701954</v>
      </c>
      <c r="I32" s="6" t="s">
        <v>153</v>
      </c>
      <c r="J32" s="1">
        <v>25.447006198021786</v>
      </c>
      <c r="K32" s="1">
        <v>5.8611802544566647</v>
      </c>
    </row>
    <row r="33" spans="1:11" x14ac:dyDescent="0.25">
      <c r="A33" s="6" t="s">
        <v>156</v>
      </c>
      <c r="B33" s="1">
        <v>7.247916666666665</v>
      </c>
      <c r="C33" s="1">
        <v>2.911090831009727</v>
      </c>
      <c r="E33" s="6" t="s">
        <v>156</v>
      </c>
      <c r="F33" s="1">
        <v>2.2368181818181814</v>
      </c>
      <c r="G33" s="1">
        <v>0.778975938265552</v>
      </c>
      <c r="I33" s="6" t="s">
        <v>156</v>
      </c>
      <c r="J33" s="1">
        <v>24.657198239038674</v>
      </c>
      <c r="K33" s="1">
        <v>7.2450986236900699</v>
      </c>
    </row>
    <row r="34" spans="1:11" x14ac:dyDescent="0.25">
      <c r="A34" s="6" t="s">
        <v>228</v>
      </c>
      <c r="B34" s="1">
        <v>4.5525000000000002</v>
      </c>
      <c r="C34" s="1">
        <v>2.2330514436528333</v>
      </c>
      <c r="E34" s="6" t="s">
        <v>228</v>
      </c>
      <c r="F34" s="1">
        <v>3.6833333333333336</v>
      </c>
      <c r="G34" s="1">
        <v>1.0330967471098178</v>
      </c>
      <c r="I34" s="6" t="s">
        <v>228</v>
      </c>
      <c r="J34" s="1">
        <v>27.976587968472042</v>
      </c>
      <c r="K34" s="1">
        <v>13.365202268722117</v>
      </c>
    </row>
    <row r="35" spans="1:11" x14ac:dyDescent="0.25">
      <c r="A35" s="6" t="s">
        <v>203</v>
      </c>
      <c r="B35" s="1">
        <v>8.0906666666666673</v>
      </c>
      <c r="C35" s="1">
        <v>3.5622660702922753</v>
      </c>
      <c r="E35" s="6" t="s">
        <v>203</v>
      </c>
      <c r="F35" s="1">
        <v>2.9883333333333333</v>
      </c>
      <c r="G35" s="1">
        <v>0.75186250220517126</v>
      </c>
      <c r="I35" s="6" t="s">
        <v>203</v>
      </c>
      <c r="J35" s="1">
        <v>40.257392728061959</v>
      </c>
      <c r="K35" s="1">
        <v>7.3415112263452276</v>
      </c>
    </row>
    <row r="36" spans="1:11" x14ac:dyDescent="0.25">
      <c r="A36" s="6" t="s">
        <v>180</v>
      </c>
      <c r="B36" s="1">
        <v>7.1362499999999995</v>
      </c>
      <c r="C36" s="1">
        <v>3.3474726940633883</v>
      </c>
      <c r="E36" s="6" t="s">
        <v>180</v>
      </c>
      <c r="F36" s="1">
        <v>2.7044444444444453</v>
      </c>
      <c r="G36" s="1">
        <v>0.84338090921284625</v>
      </c>
      <c r="I36" s="6" t="s">
        <v>180</v>
      </c>
      <c r="J36" s="1">
        <v>22.624323853844984</v>
      </c>
      <c r="K36" s="1">
        <v>11.473297525380429</v>
      </c>
    </row>
    <row r="37" spans="1:11" x14ac:dyDescent="0.25">
      <c r="A37" s="6" t="s">
        <v>248</v>
      </c>
      <c r="B37" s="1">
        <v>12.76</v>
      </c>
      <c r="C37" s="1">
        <v>0</v>
      </c>
      <c r="E37" s="6" t="s">
        <v>248</v>
      </c>
      <c r="F37" s="1">
        <v>3.36</v>
      </c>
      <c r="G37" s="1">
        <v>0</v>
      </c>
      <c r="I37" s="6" t="s">
        <v>248</v>
      </c>
      <c r="J37" s="1">
        <v>276.66279069767444</v>
      </c>
      <c r="K37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8"/>
  <sheetViews>
    <sheetView workbookViewId="0">
      <selection activeCell="G13" sqref="G13"/>
    </sheetView>
  </sheetViews>
  <sheetFormatPr defaultRowHeight="15" x14ac:dyDescent="0.25"/>
  <cols>
    <col min="1" max="1" width="31.42578125" bestFit="1" customWidth="1"/>
    <col min="2" max="2" width="14.85546875" bestFit="1" customWidth="1"/>
    <col min="3" max="3" width="15.4257812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-2.2637668887616091</v>
      </c>
      <c r="C5" s="1">
        <v>78.460208194417106</v>
      </c>
      <c r="E5" s="6" t="s">
        <v>105</v>
      </c>
      <c r="F5" s="1">
        <v>3.1054103655379701</v>
      </c>
      <c r="G5" s="1">
        <v>3.7497581929356496</v>
      </c>
      <c r="I5" s="6" t="s">
        <v>105</v>
      </c>
      <c r="J5" s="1">
        <v>-0.25533333333333297</v>
      </c>
      <c r="K5" s="1">
        <v>13.315185249264175</v>
      </c>
    </row>
    <row r="6" spans="1:11" x14ac:dyDescent="0.25">
      <c r="A6" s="6" t="s">
        <v>222</v>
      </c>
      <c r="B6" s="1">
        <v>23.368663363021493</v>
      </c>
      <c r="C6" s="1">
        <v>7.8503147391682857</v>
      </c>
      <c r="E6" s="6" t="s">
        <v>222</v>
      </c>
      <c r="F6" s="1">
        <v>1.5000111301004253</v>
      </c>
      <c r="G6" s="1">
        <v>0.24285765555564606</v>
      </c>
      <c r="I6" s="6" t="s">
        <v>222</v>
      </c>
      <c r="J6" s="1">
        <v>4.5</v>
      </c>
      <c r="K6" s="1">
        <v>1.7800000000000005</v>
      </c>
    </row>
    <row r="7" spans="1:11" x14ac:dyDescent="0.25">
      <c r="A7" s="6" t="s">
        <v>122</v>
      </c>
      <c r="B7" s="1">
        <v>26.138379465083247</v>
      </c>
      <c r="C7" s="1">
        <v>12.471308973487606</v>
      </c>
      <c r="E7" s="6" t="s">
        <v>122</v>
      </c>
      <c r="F7" s="1">
        <v>4.8318852645447166</v>
      </c>
      <c r="G7" s="1">
        <v>2.2709069673645956</v>
      </c>
      <c r="I7" s="6" t="s">
        <v>122</v>
      </c>
      <c r="J7" s="1">
        <v>25.306666666666672</v>
      </c>
      <c r="K7" s="1">
        <v>24.726320029924025</v>
      </c>
    </row>
    <row r="8" spans="1:11" x14ac:dyDescent="0.25">
      <c r="A8" s="6" t="s">
        <v>190</v>
      </c>
      <c r="B8" s="1">
        <v>36.23476916990294</v>
      </c>
      <c r="C8" s="1">
        <v>23.781738189495069</v>
      </c>
      <c r="E8" s="6" t="s">
        <v>190</v>
      </c>
      <c r="F8" s="1">
        <v>3.5098019406919518</v>
      </c>
      <c r="G8" s="1">
        <v>1.5599638789887882</v>
      </c>
      <c r="I8" s="6" t="s">
        <v>190</v>
      </c>
      <c r="J8" s="1">
        <v>6.2946153846153834</v>
      </c>
      <c r="K8" s="1">
        <v>16.121247620828576</v>
      </c>
    </row>
    <row r="9" spans="1:11" x14ac:dyDescent="0.25">
      <c r="A9" s="6" t="s">
        <v>135</v>
      </c>
      <c r="B9" s="1">
        <v>21.878101742885768</v>
      </c>
      <c r="C9" s="1">
        <v>10.289894205814132</v>
      </c>
      <c r="E9" s="6" t="s">
        <v>135</v>
      </c>
      <c r="F9" s="1">
        <v>5.1643548595944058</v>
      </c>
      <c r="G9" s="1">
        <v>2.0159235681407863</v>
      </c>
      <c r="I9" s="6" t="s">
        <v>135</v>
      </c>
      <c r="J9" s="1">
        <v>19.678571428571427</v>
      </c>
      <c r="K9" s="1">
        <v>16.086648792951099</v>
      </c>
    </row>
    <row r="10" spans="1:11" x14ac:dyDescent="0.25">
      <c r="A10" s="6" t="s">
        <v>142</v>
      </c>
      <c r="B10" s="1">
        <v>14.124191002632683</v>
      </c>
      <c r="C10" s="1">
        <v>5.9030081279129512</v>
      </c>
      <c r="E10" s="6" t="s">
        <v>142</v>
      </c>
      <c r="F10" s="1">
        <v>3.5332965292386187</v>
      </c>
      <c r="G10" s="1">
        <v>2.3211790788233277</v>
      </c>
      <c r="I10" s="6" t="s">
        <v>142</v>
      </c>
      <c r="J10" s="1">
        <v>16.585999999999995</v>
      </c>
      <c r="K10" s="1">
        <v>12.397298254055201</v>
      </c>
    </row>
    <row r="11" spans="1:11" x14ac:dyDescent="0.25">
      <c r="A11" s="6" t="s">
        <v>233</v>
      </c>
      <c r="B11" s="1">
        <v>2.4778207102018794</v>
      </c>
      <c r="C11" s="1">
        <v>21.633699839941237</v>
      </c>
      <c r="E11" s="6" t="s">
        <v>233</v>
      </c>
      <c r="F11" s="1">
        <v>2.4518483464979215</v>
      </c>
      <c r="G11" s="1">
        <v>1.3150720778075893</v>
      </c>
      <c r="I11" s="6" t="s">
        <v>233</v>
      </c>
      <c r="J11" s="1">
        <v>-6.0639999999999983</v>
      </c>
      <c r="K11" s="1">
        <v>88.945406761676011</v>
      </c>
    </row>
    <row r="12" spans="1:11" x14ac:dyDescent="0.25">
      <c r="A12" s="6" t="s">
        <v>153</v>
      </c>
      <c r="B12" s="1">
        <v>1.8031534925210346</v>
      </c>
      <c r="C12" s="1">
        <v>5.187617564608006</v>
      </c>
      <c r="E12" s="6" t="s">
        <v>153</v>
      </c>
      <c r="F12" s="1">
        <v>-7.479690832359517</v>
      </c>
      <c r="G12" s="1">
        <v>13.527384162735384</v>
      </c>
      <c r="I12" s="6" t="s">
        <v>153</v>
      </c>
      <c r="J12" s="1">
        <v>-23.526666666666667</v>
      </c>
      <c r="K12" s="1">
        <v>23.915352577139416</v>
      </c>
    </row>
    <row r="13" spans="1:11" x14ac:dyDescent="0.25">
      <c r="A13" s="6" t="s">
        <v>156</v>
      </c>
      <c r="B13" s="1">
        <v>22.41450940289598</v>
      </c>
      <c r="C13" s="1">
        <v>9.1450031283229389</v>
      </c>
      <c r="E13" s="6" t="s">
        <v>156</v>
      </c>
      <c r="F13" s="1">
        <v>3.215636535236154</v>
      </c>
      <c r="G13" s="1">
        <v>1.5073123429242574</v>
      </c>
      <c r="I13" s="6" t="s">
        <v>156</v>
      </c>
      <c r="J13" s="1">
        <v>16.227777777777778</v>
      </c>
      <c r="K13" s="1">
        <v>16.952129677927896</v>
      </c>
    </row>
    <row r="14" spans="1:11" x14ac:dyDescent="0.25">
      <c r="A14" s="6" t="s">
        <v>247</v>
      </c>
      <c r="B14" s="1">
        <v>9.3923048772549471</v>
      </c>
      <c r="C14" s="1">
        <v>7.8647193973566889</v>
      </c>
      <c r="E14" s="6" t="s">
        <v>247</v>
      </c>
      <c r="F14" s="1">
        <v>1.2842897567939311</v>
      </c>
      <c r="G14" s="1">
        <v>0.56967001568325137</v>
      </c>
      <c r="I14" s="6" t="s">
        <v>247</v>
      </c>
      <c r="J14" s="1">
        <v>33.96</v>
      </c>
      <c r="K14" s="1">
        <v>27.612924510091286</v>
      </c>
    </row>
    <row r="15" spans="1:11" x14ac:dyDescent="0.25">
      <c r="A15" s="6" t="s">
        <v>228</v>
      </c>
      <c r="B15" s="1">
        <v>4.6059102542869477</v>
      </c>
      <c r="C15" s="1">
        <v>17.00766600446935</v>
      </c>
      <c r="E15" s="6" t="s">
        <v>228</v>
      </c>
      <c r="F15" s="1">
        <v>2.0621545707643141</v>
      </c>
      <c r="G15" s="1">
        <v>0.5874361022397534</v>
      </c>
      <c r="I15" s="6" t="s">
        <v>228</v>
      </c>
      <c r="J15" s="1">
        <v>29.203999999999997</v>
      </c>
      <c r="K15" s="1">
        <v>49.406233048067925</v>
      </c>
    </row>
    <row r="16" spans="1:11" x14ac:dyDescent="0.25">
      <c r="A16" s="6" t="s">
        <v>203</v>
      </c>
      <c r="B16" s="1">
        <v>18.621197818753533</v>
      </c>
      <c r="C16" s="1">
        <v>9.4780702121124421</v>
      </c>
      <c r="E16" s="6" t="s">
        <v>203</v>
      </c>
      <c r="F16" s="1">
        <v>2.7221217477875088</v>
      </c>
      <c r="G16" s="1">
        <v>1.5864651126689078</v>
      </c>
      <c r="I16" s="6" t="s">
        <v>203</v>
      </c>
      <c r="J16" s="1">
        <v>20.465384615384615</v>
      </c>
      <c r="K16" s="1">
        <v>31.926609498705627</v>
      </c>
    </row>
    <row r="17" spans="1:11" x14ac:dyDescent="0.25">
      <c r="A17" s="6" t="s">
        <v>180</v>
      </c>
      <c r="B17" s="1">
        <v>13.498939641673003</v>
      </c>
      <c r="C17" s="1">
        <v>11.111192514992533</v>
      </c>
      <c r="E17" s="6" t="s">
        <v>180</v>
      </c>
      <c r="F17" s="1">
        <v>2.5744288870312562</v>
      </c>
      <c r="G17" s="1">
        <v>1.2251671905947632</v>
      </c>
      <c r="I17" s="6" t="s">
        <v>180</v>
      </c>
      <c r="J17" s="1">
        <v>14.004666666666667</v>
      </c>
      <c r="K17" s="1">
        <v>3.8214514985219425</v>
      </c>
    </row>
    <row r="18" spans="1:11" x14ac:dyDescent="0.25">
      <c r="A18" s="6" t="s">
        <v>248</v>
      </c>
      <c r="B18" s="1">
        <v>107.09955656854321</v>
      </c>
      <c r="C18" s="1">
        <v>101.64224197588828</v>
      </c>
      <c r="E18" s="6" t="s">
        <v>248</v>
      </c>
      <c r="F18" s="1">
        <v>26.580549267595632</v>
      </c>
      <c r="G18" s="1">
        <v>28.447194054653878</v>
      </c>
      <c r="I18" s="6" t="s">
        <v>248</v>
      </c>
      <c r="J18" s="1">
        <v>23.239999999999995</v>
      </c>
      <c r="K18" s="1">
        <v>13.699394147187691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3.5121428571428579</v>
      </c>
      <c r="C25" s="1">
        <v>1.6785715805471044</v>
      </c>
      <c r="E25" s="6" t="s">
        <v>105</v>
      </c>
      <c r="F25" s="1">
        <v>2.0853846153846152</v>
      </c>
      <c r="G25" s="1">
        <v>0.69136003516608746</v>
      </c>
      <c r="I25" s="6" t="s">
        <v>105</v>
      </c>
      <c r="J25" s="1">
        <v>57.872410784764462</v>
      </c>
      <c r="K25" s="1">
        <v>74.053337881466106</v>
      </c>
    </row>
    <row r="26" spans="1:11" x14ac:dyDescent="0.25">
      <c r="A26" s="6" t="s">
        <v>222</v>
      </c>
      <c r="B26" s="1">
        <v>2.7450000000000001</v>
      </c>
      <c r="C26" s="1">
        <v>0.375</v>
      </c>
      <c r="E26" s="6" t="s">
        <v>222</v>
      </c>
      <c r="F26" s="1">
        <v>2.8250000000000002</v>
      </c>
      <c r="G26" s="1">
        <v>1.115</v>
      </c>
      <c r="I26" s="6" t="s">
        <v>222</v>
      </c>
      <c r="J26" s="1">
        <v>44.441935483870964</v>
      </c>
      <c r="K26" s="1">
        <v>24.541935483870979</v>
      </c>
    </row>
    <row r="27" spans="1:11" x14ac:dyDescent="0.25">
      <c r="A27" s="6" t="s">
        <v>122</v>
      </c>
      <c r="B27" s="1">
        <v>9.1485714285714277</v>
      </c>
      <c r="C27" s="1">
        <v>2.9910219398891082</v>
      </c>
      <c r="E27" s="6" t="s">
        <v>122</v>
      </c>
      <c r="F27" s="1">
        <v>1.9657142857142855</v>
      </c>
      <c r="G27" s="1">
        <v>0.4708611303575968</v>
      </c>
      <c r="I27" s="6" t="s">
        <v>122</v>
      </c>
      <c r="J27" s="1">
        <v>32.917213503138719</v>
      </c>
      <c r="K27" s="1">
        <v>16.172150416056329</v>
      </c>
    </row>
    <row r="28" spans="1:11" x14ac:dyDescent="0.25">
      <c r="A28" s="6" t="s">
        <v>190</v>
      </c>
      <c r="B28" s="1">
        <v>4.7885714285714283</v>
      </c>
      <c r="C28" s="1">
        <v>3.7446721335458872</v>
      </c>
      <c r="E28" s="6" t="s">
        <v>190</v>
      </c>
      <c r="F28" s="1">
        <v>2.3238461538461541</v>
      </c>
      <c r="G28" s="1">
        <v>0.621902026188623</v>
      </c>
      <c r="I28" s="6" t="s">
        <v>190</v>
      </c>
      <c r="J28" s="1">
        <v>27.8038315105597</v>
      </c>
      <c r="K28" s="1">
        <v>16.893711012868682</v>
      </c>
    </row>
    <row r="29" spans="1:11" x14ac:dyDescent="0.25">
      <c r="A29" s="6" t="s">
        <v>135</v>
      </c>
      <c r="B29" s="1">
        <v>6.621428571428571</v>
      </c>
      <c r="C29" s="1">
        <v>3.8464285051067781</v>
      </c>
      <c r="E29" s="6" t="s">
        <v>135</v>
      </c>
      <c r="F29" s="1">
        <v>2.46</v>
      </c>
      <c r="G29" s="1">
        <v>0.53399798328630943</v>
      </c>
      <c r="I29" s="6" t="s">
        <v>135</v>
      </c>
      <c r="J29" s="1">
        <v>37.560618705158888</v>
      </c>
      <c r="K29" s="1">
        <v>24.551530855483815</v>
      </c>
    </row>
    <row r="30" spans="1:11" x14ac:dyDescent="0.25">
      <c r="A30" s="6" t="s">
        <v>142</v>
      </c>
      <c r="B30" s="1">
        <v>7.4229999999999992</v>
      </c>
      <c r="C30" s="1">
        <v>4.1138742080914454</v>
      </c>
      <c r="E30" s="6" t="s">
        <v>142</v>
      </c>
      <c r="F30" s="1">
        <v>2.05125</v>
      </c>
      <c r="G30" s="1">
        <v>0.21577983571223858</v>
      </c>
      <c r="I30" s="6" t="s">
        <v>142</v>
      </c>
      <c r="J30" s="1">
        <v>19.954670634109291</v>
      </c>
      <c r="K30" s="1">
        <v>10.254640121163979</v>
      </c>
    </row>
    <row r="31" spans="1:11" x14ac:dyDescent="0.25">
      <c r="A31" s="6" t="s">
        <v>233</v>
      </c>
      <c r="B31" s="1">
        <v>4.2271428571428569</v>
      </c>
      <c r="C31" s="1">
        <v>3.3754141091373167</v>
      </c>
      <c r="E31" s="6" t="s">
        <v>233</v>
      </c>
      <c r="F31" s="1">
        <v>1.915</v>
      </c>
      <c r="G31" s="1">
        <v>0.40111303477531868</v>
      </c>
      <c r="I31" s="6" t="s">
        <v>233</v>
      </c>
      <c r="J31" s="1">
        <v>17.021998855612541</v>
      </c>
      <c r="K31" s="1">
        <v>17.22676526592381</v>
      </c>
    </row>
    <row r="32" spans="1:11" x14ac:dyDescent="0.25">
      <c r="A32" s="6" t="s">
        <v>153</v>
      </c>
      <c r="B32" s="1">
        <v>0.78666666666666674</v>
      </c>
      <c r="C32" s="1">
        <v>2.4129419572150694</v>
      </c>
      <c r="E32" s="6" t="s">
        <v>153</v>
      </c>
      <c r="F32" s="1">
        <v>-68.739999999999995</v>
      </c>
      <c r="G32" s="1">
        <v>126.90390169993459</v>
      </c>
      <c r="I32" s="6" t="s">
        <v>153</v>
      </c>
      <c r="J32" s="1">
        <v>-78.04045831154265</v>
      </c>
      <c r="K32" s="1">
        <v>104.94934112768394</v>
      </c>
    </row>
    <row r="33" spans="1:11" x14ac:dyDescent="0.25">
      <c r="A33" s="6" t="s">
        <v>156</v>
      </c>
      <c r="B33" s="1">
        <v>6.9331250000000013</v>
      </c>
      <c r="C33" s="1">
        <v>3.1727663772132648</v>
      </c>
      <c r="E33" s="6" t="s">
        <v>156</v>
      </c>
      <c r="F33" s="1">
        <v>2.0561764705882348</v>
      </c>
      <c r="G33" s="1">
        <v>0.56617402596875033</v>
      </c>
      <c r="I33" s="6" t="s">
        <v>156</v>
      </c>
      <c r="J33" s="1">
        <v>23.328162905123602</v>
      </c>
      <c r="K33" s="1">
        <v>10.761717463506166</v>
      </c>
    </row>
    <row r="34" spans="1:11" x14ac:dyDescent="0.25">
      <c r="A34" s="6" t="s">
        <v>247</v>
      </c>
      <c r="B34" s="1">
        <v>10.006666666666666</v>
      </c>
      <c r="C34" s="1">
        <v>5.2739696202723376</v>
      </c>
      <c r="E34" s="6" t="s">
        <v>247</v>
      </c>
      <c r="F34" s="1">
        <v>2.1433333333333331</v>
      </c>
      <c r="G34" s="1">
        <v>0.53630422543759826</v>
      </c>
      <c r="I34" s="6" t="s">
        <v>247</v>
      </c>
      <c r="J34" s="1">
        <v>10.230342972821873</v>
      </c>
      <c r="K34" s="1">
        <v>8.9199935633616843</v>
      </c>
    </row>
    <row r="35" spans="1:11" x14ac:dyDescent="0.25">
      <c r="A35" s="6" t="s">
        <v>228</v>
      </c>
      <c r="B35" s="1">
        <v>4.9380000000000006</v>
      </c>
      <c r="C35" s="1">
        <v>2.1134464743636157</v>
      </c>
      <c r="E35" s="6" t="s">
        <v>228</v>
      </c>
      <c r="F35" s="1">
        <v>2.88</v>
      </c>
      <c r="G35" s="1">
        <v>1.1540363945734129</v>
      </c>
      <c r="I35" s="6" t="s">
        <v>228</v>
      </c>
      <c r="J35" s="1">
        <v>12.894087522131329</v>
      </c>
      <c r="K35" s="1">
        <v>6.6312272630974993</v>
      </c>
    </row>
    <row r="36" spans="1:11" x14ac:dyDescent="0.25">
      <c r="A36" s="6" t="s">
        <v>203</v>
      </c>
      <c r="B36" s="1">
        <v>5.5691666666666677</v>
      </c>
      <c r="C36" s="1">
        <v>3.6824006172000847</v>
      </c>
      <c r="E36" s="6" t="s">
        <v>203</v>
      </c>
      <c r="F36" s="1">
        <v>2.3440909090909088</v>
      </c>
      <c r="G36" s="1">
        <v>0.54380527172299498</v>
      </c>
      <c r="I36" s="6" t="s">
        <v>203</v>
      </c>
      <c r="J36" s="1">
        <v>20.763348368316191</v>
      </c>
      <c r="K36" s="1">
        <v>11.942757243588991</v>
      </c>
    </row>
    <row r="37" spans="1:11" x14ac:dyDescent="0.25">
      <c r="A37" s="6" t="s">
        <v>180</v>
      </c>
      <c r="B37" s="1">
        <v>6.1137499999999996</v>
      </c>
      <c r="C37" s="1">
        <v>2.1351811252209965</v>
      </c>
      <c r="E37" s="6" t="s">
        <v>180</v>
      </c>
      <c r="F37" s="1">
        <v>2.4066666666666667</v>
      </c>
      <c r="G37" s="1">
        <v>0.88581914381862059</v>
      </c>
      <c r="I37" s="6" t="s">
        <v>180</v>
      </c>
      <c r="J37" s="1">
        <v>18.282016219827565</v>
      </c>
      <c r="K37" s="1">
        <v>7.367223598683613</v>
      </c>
    </row>
    <row r="38" spans="1:11" x14ac:dyDescent="0.25">
      <c r="A38" s="6" t="s">
        <v>248</v>
      </c>
      <c r="B38" s="1">
        <v>11.162500000000001</v>
      </c>
      <c r="C38" s="1">
        <v>5.679794780623677</v>
      </c>
      <c r="E38" s="6" t="s">
        <v>248</v>
      </c>
      <c r="F38" s="1">
        <v>2.165</v>
      </c>
      <c r="G38" s="1">
        <v>0.58071077138279437</v>
      </c>
      <c r="I38" s="6" t="s">
        <v>248</v>
      </c>
      <c r="J38" s="1">
        <v>79.891569188745422</v>
      </c>
      <c r="K38" s="1">
        <v>70.453801648196716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8"/>
  <sheetViews>
    <sheetView workbookViewId="0">
      <selection activeCell="F12" sqref="F12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5.0151011065100688</v>
      </c>
      <c r="C5" s="1">
        <v>22.204038303307843</v>
      </c>
      <c r="E5" s="6" t="s">
        <v>105</v>
      </c>
      <c r="F5" s="1">
        <v>1.6636563906059347</v>
      </c>
      <c r="G5" s="1">
        <v>2.2781947703186236</v>
      </c>
      <c r="I5" s="6" t="s">
        <v>105</v>
      </c>
      <c r="J5" s="1">
        <v>8.3510000000000009</v>
      </c>
      <c r="K5" s="1">
        <v>8.4187486599850452</v>
      </c>
    </row>
    <row r="6" spans="1:11" x14ac:dyDescent="0.25">
      <c r="A6" s="6" t="s">
        <v>222</v>
      </c>
      <c r="B6" s="1">
        <v>-3.1328379334748768</v>
      </c>
      <c r="C6" s="1">
        <v>39.376527188035652</v>
      </c>
      <c r="E6" s="6" t="s">
        <v>222</v>
      </c>
      <c r="F6" s="1">
        <v>2.3716470716186975</v>
      </c>
      <c r="G6" s="1">
        <v>1.0860631646032457</v>
      </c>
      <c r="I6" s="6" t="s">
        <v>222</v>
      </c>
      <c r="J6" s="1">
        <v>-38.906666666666666</v>
      </c>
      <c r="K6" s="1">
        <v>72.060430812540176</v>
      </c>
    </row>
    <row r="7" spans="1:11" x14ac:dyDescent="0.25">
      <c r="A7" s="6" t="s">
        <v>122</v>
      </c>
      <c r="B7" s="1">
        <v>11.794412891044457</v>
      </c>
      <c r="C7" s="1">
        <v>7.1462467931686424</v>
      </c>
      <c r="E7" s="6" t="s">
        <v>122</v>
      </c>
      <c r="F7" s="1">
        <v>1.427669517958243</v>
      </c>
      <c r="G7" s="1">
        <v>0.55829448931257764</v>
      </c>
      <c r="I7" s="6" t="s">
        <v>122</v>
      </c>
      <c r="J7" s="1">
        <v>9.718571428571428</v>
      </c>
      <c r="K7" s="1">
        <v>4.7916815675603841</v>
      </c>
    </row>
    <row r="8" spans="1:11" x14ac:dyDescent="0.25">
      <c r="A8" s="6" t="s">
        <v>190</v>
      </c>
      <c r="B8" s="1">
        <v>10.235678396029803</v>
      </c>
      <c r="C8" s="1">
        <v>7.4283676573195789</v>
      </c>
      <c r="E8" s="6" t="s">
        <v>190</v>
      </c>
      <c r="F8" s="1">
        <v>1.4934131346763537</v>
      </c>
      <c r="G8" s="1">
        <v>0.47005161663620865</v>
      </c>
      <c r="I8" s="6" t="s">
        <v>190</v>
      </c>
      <c r="J8" s="1">
        <v>1.1781818181818187</v>
      </c>
      <c r="K8" s="1">
        <v>13.532686905268777</v>
      </c>
    </row>
    <row r="9" spans="1:11" x14ac:dyDescent="0.25">
      <c r="A9" s="6" t="s">
        <v>135</v>
      </c>
      <c r="B9" s="1">
        <v>9.7767543029421038</v>
      </c>
      <c r="C9" s="1">
        <v>17.253263053495637</v>
      </c>
      <c r="E9" s="6" t="s">
        <v>135</v>
      </c>
      <c r="F9" s="1">
        <v>2.2522376353118636</v>
      </c>
      <c r="G9" s="1">
        <v>1.0889840084306421</v>
      </c>
      <c r="I9" s="6" t="s">
        <v>135</v>
      </c>
      <c r="J9" s="1">
        <v>6.0371428571428556</v>
      </c>
      <c r="K9" s="1">
        <v>11.771256413442893</v>
      </c>
    </row>
    <row r="10" spans="1:11" x14ac:dyDescent="0.25">
      <c r="A10" s="6" t="s">
        <v>142</v>
      </c>
      <c r="B10" s="1">
        <v>5.0444477915664097</v>
      </c>
      <c r="C10" s="1">
        <v>15.36096384480625</v>
      </c>
      <c r="E10" s="6" t="s">
        <v>142</v>
      </c>
      <c r="F10" s="1">
        <v>2.2866946930997138</v>
      </c>
      <c r="G10" s="1">
        <v>2.6641762784769019</v>
      </c>
      <c r="I10" s="6" t="s">
        <v>142</v>
      </c>
      <c r="J10" s="1">
        <v>-26.912352941176469</v>
      </c>
      <c r="K10" s="1">
        <v>40.891167251248163</v>
      </c>
    </row>
    <row r="11" spans="1:11" x14ac:dyDescent="0.25">
      <c r="A11" s="6" t="s">
        <v>233</v>
      </c>
      <c r="B11" s="1">
        <v>-1.2588054008766609</v>
      </c>
      <c r="C11" s="1">
        <v>13.192544023784098</v>
      </c>
      <c r="E11" s="6" t="s">
        <v>233</v>
      </c>
      <c r="F11" s="1">
        <v>1.2055372912363582</v>
      </c>
      <c r="G11" s="1">
        <v>0.20827505834775789</v>
      </c>
      <c r="I11" s="6" t="s">
        <v>233</v>
      </c>
      <c r="J11" s="1">
        <v>1.324444444444445</v>
      </c>
      <c r="K11" s="1">
        <v>11.929489242220177</v>
      </c>
    </row>
    <row r="12" spans="1:11" x14ac:dyDescent="0.25">
      <c r="A12" s="6" t="s">
        <v>153</v>
      </c>
      <c r="B12" s="1">
        <v>2.7473337950138506</v>
      </c>
      <c r="C12" s="1">
        <v>0</v>
      </c>
      <c r="E12" s="6" t="s">
        <v>153</v>
      </c>
      <c r="F12" s="1">
        <v>0.66832041778975748</v>
      </c>
      <c r="G12" s="1">
        <v>0</v>
      </c>
      <c r="I12" s="6" t="s">
        <v>153</v>
      </c>
      <c r="J12" s="1">
        <v>24.9</v>
      </c>
      <c r="K12" s="1">
        <v>0</v>
      </c>
    </row>
    <row r="13" spans="1:11" x14ac:dyDescent="0.25">
      <c r="A13" s="6" t="s">
        <v>156</v>
      </c>
      <c r="B13" s="1">
        <v>12.778923765402235</v>
      </c>
      <c r="C13" s="1">
        <v>11.47947324036115</v>
      </c>
      <c r="E13" s="6" t="s">
        <v>156</v>
      </c>
      <c r="F13" s="1">
        <v>1.8592550718948317</v>
      </c>
      <c r="G13" s="1">
        <v>1.1001907454246678</v>
      </c>
      <c r="I13" s="6" t="s">
        <v>156</v>
      </c>
      <c r="J13" s="1">
        <v>5.98470588235294</v>
      </c>
      <c r="K13" s="1">
        <v>10.502990956443879</v>
      </c>
    </row>
    <row r="14" spans="1:11" x14ac:dyDescent="0.25">
      <c r="A14" s="6" t="s">
        <v>247</v>
      </c>
      <c r="B14" s="1">
        <v>-0.79668623534423255</v>
      </c>
      <c r="C14" s="1">
        <v>8.5013547416701911</v>
      </c>
      <c r="E14" s="6" t="s">
        <v>247</v>
      </c>
      <c r="F14" s="1">
        <v>0.61468043682803386</v>
      </c>
      <c r="G14" s="1">
        <v>0.17480438507382645</v>
      </c>
      <c r="I14" s="6" t="s">
        <v>247</v>
      </c>
      <c r="J14" s="1">
        <v>11.497</v>
      </c>
      <c r="K14" s="1">
        <v>6.72285809756535</v>
      </c>
    </row>
    <row r="15" spans="1:11" x14ac:dyDescent="0.25">
      <c r="A15" s="6" t="s">
        <v>228</v>
      </c>
      <c r="B15" s="1">
        <v>0.93601029169343652</v>
      </c>
      <c r="C15" s="1">
        <v>7.989005456008524</v>
      </c>
      <c r="E15" s="6" t="s">
        <v>228</v>
      </c>
      <c r="F15" s="1">
        <v>0.99157844582784371</v>
      </c>
      <c r="G15" s="1">
        <v>0.5088580093941254</v>
      </c>
      <c r="I15" s="6" t="s">
        <v>228</v>
      </c>
      <c r="J15" s="1">
        <v>4.0299999999999994</v>
      </c>
      <c r="K15" s="1">
        <v>16.490986174271082</v>
      </c>
    </row>
    <row r="16" spans="1:11" x14ac:dyDescent="0.25">
      <c r="A16" s="6" t="s">
        <v>203</v>
      </c>
      <c r="B16" s="1">
        <v>6.8964195907080912</v>
      </c>
      <c r="C16" s="1">
        <v>16.279886080274366</v>
      </c>
      <c r="E16" s="6" t="s">
        <v>203</v>
      </c>
      <c r="F16" s="1">
        <v>3.0433460605125262</v>
      </c>
      <c r="G16" s="1">
        <v>2.2508409147165898</v>
      </c>
      <c r="I16" s="6" t="s">
        <v>203</v>
      </c>
      <c r="J16" s="1">
        <v>11.01608695652174</v>
      </c>
      <c r="K16" s="1">
        <v>20.243440534852045</v>
      </c>
    </row>
    <row r="17" spans="1:11" x14ac:dyDescent="0.25">
      <c r="A17" s="6" t="s">
        <v>180</v>
      </c>
      <c r="B17" s="1">
        <v>6.0351899405769096</v>
      </c>
      <c r="C17" s="1">
        <v>14.808898150425797</v>
      </c>
      <c r="E17" s="6" t="s">
        <v>180</v>
      </c>
      <c r="F17" s="1">
        <v>1.7969727685734347</v>
      </c>
      <c r="G17" s="1">
        <v>0.91656221299010654</v>
      </c>
      <c r="I17" s="6" t="s">
        <v>180</v>
      </c>
      <c r="J17" s="1">
        <v>6.5015789473684205</v>
      </c>
      <c r="K17" s="1">
        <v>9.8864922538720776</v>
      </c>
    </row>
    <row r="18" spans="1:11" x14ac:dyDescent="0.25">
      <c r="A18" s="6" t="s">
        <v>248</v>
      </c>
      <c r="B18" s="1">
        <v>5.3684931506849312</v>
      </c>
      <c r="C18" s="1">
        <v>8.1931506849315063</v>
      </c>
      <c r="E18" s="6" t="s">
        <v>248</v>
      </c>
      <c r="F18" s="1">
        <v>3.013635756078421</v>
      </c>
      <c r="G18" s="1">
        <v>0.52931957038205968</v>
      </c>
      <c r="I18" s="6" t="s">
        <v>248</v>
      </c>
      <c r="J18" s="1">
        <v>-7.7500000000000009</v>
      </c>
      <c r="K18" s="1">
        <v>23.51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-8.6973333333333347</v>
      </c>
      <c r="C25" s="1">
        <v>20.534419386862528</v>
      </c>
      <c r="E25" s="6" t="s">
        <v>105</v>
      </c>
      <c r="F25" s="1">
        <v>1.5610000000000002</v>
      </c>
      <c r="G25" s="1">
        <v>0.39715110474477983</v>
      </c>
      <c r="I25" s="6" t="s">
        <v>105</v>
      </c>
      <c r="J25" s="1">
        <v>12.854859406146586</v>
      </c>
      <c r="K25" s="1">
        <v>27.570707444184539</v>
      </c>
    </row>
    <row r="26" spans="1:11" x14ac:dyDescent="0.25">
      <c r="A26" s="6" t="s">
        <v>222</v>
      </c>
      <c r="B26" s="1">
        <v>3.1133333333333333</v>
      </c>
      <c r="C26" s="1">
        <v>1.3946883363517302</v>
      </c>
      <c r="E26" s="6" t="s">
        <v>222</v>
      </c>
      <c r="F26" s="1">
        <v>7.5266666666666664</v>
      </c>
      <c r="G26" s="1">
        <v>7.5023833250211602</v>
      </c>
      <c r="I26" s="6" t="s">
        <v>222</v>
      </c>
      <c r="J26" s="1">
        <v>9.835331924818794</v>
      </c>
      <c r="K26" s="1">
        <v>7.5993636297673639</v>
      </c>
    </row>
    <row r="27" spans="1:11" x14ac:dyDescent="0.25">
      <c r="A27" s="6" t="s">
        <v>122</v>
      </c>
      <c r="B27" s="1">
        <v>5.00875</v>
      </c>
      <c r="C27" s="1">
        <v>2.5665611111952904</v>
      </c>
      <c r="E27" s="6" t="s">
        <v>122</v>
      </c>
      <c r="F27" s="1">
        <v>1.9628571428571429</v>
      </c>
      <c r="G27" s="1">
        <v>0.45656213114080835</v>
      </c>
      <c r="I27" s="6" t="s">
        <v>122</v>
      </c>
      <c r="J27" s="1">
        <v>14.454289238459539</v>
      </c>
      <c r="K27" s="1">
        <v>9.7771393208948858</v>
      </c>
    </row>
    <row r="28" spans="1:11" x14ac:dyDescent="0.25">
      <c r="A28" s="6" t="s">
        <v>190</v>
      </c>
      <c r="B28" s="1">
        <v>3.6159090909090907</v>
      </c>
      <c r="C28" s="1">
        <v>2.4240605660954873</v>
      </c>
      <c r="E28" s="6" t="s">
        <v>190</v>
      </c>
      <c r="F28" s="1">
        <v>2.3636842105263161</v>
      </c>
      <c r="G28" s="1">
        <v>0.83632158588299577</v>
      </c>
      <c r="I28" s="6" t="s">
        <v>190</v>
      </c>
      <c r="J28" s="1">
        <v>9.1099811020756185</v>
      </c>
      <c r="K28" s="1">
        <v>18.890688584423469</v>
      </c>
    </row>
    <row r="29" spans="1:11" x14ac:dyDescent="0.25">
      <c r="A29" s="6" t="s">
        <v>135</v>
      </c>
      <c r="B29" s="1">
        <v>2.8421428571428571</v>
      </c>
      <c r="C29" s="1">
        <v>3.6863322433230659</v>
      </c>
      <c r="E29" s="6" t="s">
        <v>135</v>
      </c>
      <c r="F29" s="1">
        <v>3.0471428571428567</v>
      </c>
      <c r="G29" s="1">
        <v>0.85699165333015548</v>
      </c>
      <c r="I29" s="6" t="s">
        <v>135</v>
      </c>
      <c r="J29" s="1">
        <v>15.891510278580448</v>
      </c>
      <c r="K29" s="1">
        <v>24.912573516657027</v>
      </c>
    </row>
    <row r="30" spans="1:11" x14ac:dyDescent="0.25">
      <c r="A30" s="6" t="s">
        <v>142</v>
      </c>
      <c r="B30" s="1">
        <v>-5.237619047619047</v>
      </c>
      <c r="C30" s="1">
        <v>14.451160739263063</v>
      </c>
      <c r="E30" s="6" t="s">
        <v>142</v>
      </c>
      <c r="F30" s="1">
        <v>1.4446666666666668</v>
      </c>
      <c r="G30" s="1">
        <v>0.32567604899483876</v>
      </c>
      <c r="I30" s="6" t="s">
        <v>142</v>
      </c>
      <c r="J30" s="1">
        <v>3.8915980680040132</v>
      </c>
      <c r="K30" s="1">
        <v>16.088244154106729</v>
      </c>
    </row>
    <row r="31" spans="1:11" x14ac:dyDescent="0.25">
      <c r="A31" s="6" t="s">
        <v>233</v>
      </c>
      <c r="B31" s="1">
        <v>1.847777777777778</v>
      </c>
      <c r="C31" s="1">
        <v>3.0794363761996655</v>
      </c>
      <c r="E31" s="6" t="s">
        <v>233</v>
      </c>
      <c r="F31" s="1">
        <v>2.1012499999999998</v>
      </c>
      <c r="G31" s="1">
        <v>0.46503864086761693</v>
      </c>
      <c r="I31" s="6" t="s">
        <v>233</v>
      </c>
      <c r="J31" s="1">
        <v>1.3774060699381907</v>
      </c>
      <c r="K31" s="1">
        <v>13.077648607068728</v>
      </c>
    </row>
    <row r="32" spans="1:11" x14ac:dyDescent="0.25">
      <c r="A32" s="6" t="s">
        <v>153</v>
      </c>
      <c r="B32" s="1">
        <v>3.82</v>
      </c>
      <c r="C32" s="1">
        <v>0</v>
      </c>
      <c r="E32" s="6" t="s">
        <v>153</v>
      </c>
      <c r="F32" s="1">
        <v>3.16</v>
      </c>
      <c r="G32" s="1">
        <v>0</v>
      </c>
      <c r="I32" s="6" t="s">
        <v>153</v>
      </c>
      <c r="J32" s="1">
        <v>3.4860720562390157</v>
      </c>
      <c r="K32" s="1">
        <v>0</v>
      </c>
    </row>
    <row r="33" spans="1:11" x14ac:dyDescent="0.25">
      <c r="A33" s="6" t="s">
        <v>156</v>
      </c>
      <c r="B33" s="1">
        <v>3.4972727272727284</v>
      </c>
      <c r="C33" s="1">
        <v>2.7590361434333075</v>
      </c>
      <c r="E33" s="6" t="s">
        <v>156</v>
      </c>
      <c r="F33" s="1">
        <v>2.2172972972972973</v>
      </c>
      <c r="G33" s="1">
        <v>0.87443154862798644</v>
      </c>
      <c r="I33" s="6" t="s">
        <v>156</v>
      </c>
      <c r="J33" s="1">
        <v>15.479024888370915</v>
      </c>
      <c r="K33" s="1">
        <v>24.137431346407837</v>
      </c>
    </row>
    <row r="34" spans="1:11" x14ac:dyDescent="0.25">
      <c r="A34" s="6" t="s">
        <v>247</v>
      </c>
      <c r="B34" s="1">
        <v>5.1689999999999996</v>
      </c>
      <c r="C34" s="1">
        <v>2.1289549079301779</v>
      </c>
      <c r="E34" s="6" t="s">
        <v>247</v>
      </c>
      <c r="F34" s="1">
        <v>1.6655555555555557</v>
      </c>
      <c r="G34" s="1">
        <v>0.30100244041502783</v>
      </c>
      <c r="I34" s="6" t="s">
        <v>247</v>
      </c>
      <c r="J34" s="1">
        <v>6.9275945399357894</v>
      </c>
      <c r="K34" s="1">
        <v>4.5522416757765747</v>
      </c>
    </row>
    <row r="35" spans="1:11" x14ac:dyDescent="0.25">
      <c r="A35" s="6" t="s">
        <v>228</v>
      </c>
      <c r="B35" s="1">
        <v>0.46250000000000002</v>
      </c>
      <c r="C35" s="1">
        <v>3.1494354652858023</v>
      </c>
      <c r="E35" s="6" t="s">
        <v>228</v>
      </c>
      <c r="F35" s="1">
        <v>3.0362499999999999</v>
      </c>
      <c r="G35" s="1">
        <v>4.3539118545854825</v>
      </c>
      <c r="I35" s="6" t="s">
        <v>228</v>
      </c>
      <c r="J35" s="1">
        <v>-0.89546894516358855</v>
      </c>
      <c r="K35" s="1">
        <v>8.5009850349157219</v>
      </c>
    </row>
    <row r="36" spans="1:11" x14ac:dyDescent="0.25">
      <c r="A36" s="6" t="s">
        <v>203</v>
      </c>
      <c r="B36" s="1">
        <v>3.5378260869565215</v>
      </c>
      <c r="C36" s="1">
        <v>6.5566434655982073</v>
      </c>
      <c r="E36" s="6" t="s">
        <v>203</v>
      </c>
      <c r="F36" s="1">
        <v>2.4495454545454547</v>
      </c>
      <c r="G36" s="1">
        <v>0.64001049190780146</v>
      </c>
      <c r="I36" s="6" t="s">
        <v>203</v>
      </c>
      <c r="J36" s="1">
        <v>13.970269724056015</v>
      </c>
      <c r="K36" s="1">
        <v>23.704934898677433</v>
      </c>
    </row>
    <row r="37" spans="1:11" x14ac:dyDescent="0.25">
      <c r="A37" s="6" t="s">
        <v>180</v>
      </c>
      <c r="B37" s="1">
        <v>4.103529411764705</v>
      </c>
      <c r="C37" s="1">
        <v>2.1852579365225862</v>
      </c>
      <c r="E37" s="6" t="s">
        <v>180</v>
      </c>
      <c r="F37" s="1">
        <v>2.3133333333333335</v>
      </c>
      <c r="G37" s="1">
        <v>0.82087351847488188</v>
      </c>
      <c r="I37" s="6" t="s">
        <v>180</v>
      </c>
      <c r="J37" s="1">
        <v>13.4736349980819</v>
      </c>
      <c r="K37" s="1">
        <v>8.4653314994997331</v>
      </c>
    </row>
    <row r="38" spans="1:11" x14ac:dyDescent="0.25">
      <c r="A38" s="6" t="s">
        <v>248</v>
      </c>
      <c r="B38" s="1">
        <v>1.67</v>
      </c>
      <c r="C38" s="1">
        <v>4.43</v>
      </c>
      <c r="E38" s="6" t="s">
        <v>248</v>
      </c>
      <c r="F38" s="1">
        <v>4.18</v>
      </c>
      <c r="G38" s="1">
        <v>1.4600000000000009</v>
      </c>
      <c r="I38" s="6" t="s">
        <v>248</v>
      </c>
      <c r="J38" s="1">
        <v>3.4511599511599513</v>
      </c>
      <c r="K38" s="1">
        <v>12.263125763125764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6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26" sqref="L26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Industrials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4/5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572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8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6">_xlfn._xlws.FILTER(_xlfn._xlws.FILTER(Main_L[], Main_L[Preliminary Criteria]="YES"), COUNTIF($A$8:$S$8,Main_L[#Headers]))</f>
        <v>Aerospace &amp; Defense</v>
      </c>
      <c r="B9" t="str">
        <v>CW</v>
      </c>
      <c r="C9" s="9">
        <v>16587</v>
      </c>
      <c r="D9" s="1">
        <v>460.06</v>
      </c>
      <c r="E9" s="1">
        <v>12.8</v>
      </c>
      <c r="F9" s="1">
        <v>67.83</v>
      </c>
      <c r="G9" s="1">
        <v>11.24</v>
      </c>
      <c r="H9" s="1">
        <v>35.942187499999996</v>
      </c>
      <c r="I9" s="1">
        <v>6.7825445967860833</v>
      </c>
      <c r="J9" s="1">
        <v>17.399999999999999</v>
      </c>
      <c r="K9" s="1">
        <v>7.91</v>
      </c>
      <c r="L9" s="1">
        <v>1.93</v>
      </c>
      <c r="M9" s="1">
        <v>40.930604982206404</v>
      </c>
      <c r="N9" s="1">
        <v>-0.17455068572296348</v>
      </c>
      <c r="O9" s="1">
        <v>-0.3778845656272628</v>
      </c>
      <c r="P9" s="1">
        <v>-0.16514857155086834</v>
      </c>
      <c r="Q9" s="1">
        <v>0.73339458100252197</v>
      </c>
      <c r="R9" s="1">
        <v>-1.3267567235342608</v>
      </c>
      <c r="S9" s="1">
        <v>0.17854253680183291</v>
      </c>
      <c r="T9">
        <f t="shared" ref="T9:T18" si="0">SUM(IF($I9&lt;(0.7*VLOOKUP($A9, Mean_PB_L, 2, FALSE)),1,0), IF($J9&gt;VLOOKUP($A9, Mean_ROE_L, 2, FALSE),1,0), IF($K9&gt;VLOOKUP($A9, Mean_ROA_L, 2,FALSE),1,0), IF($M9&lt;VLOOKUP($A9, Mean_PE_L, 2, FALSE),1,0), IF(AND($M9&gt;1,$M9&lt;25),1,0))</f>
        <v>1</v>
      </c>
    </row>
    <row r="10" spans="1:20" x14ac:dyDescent="0.25">
      <c r="A10" t="str">
        <v>Aerospace &amp; Defense</v>
      </c>
      <c r="B10" t="str">
        <v>GD</v>
      </c>
      <c r="C10" s="2">
        <v>74746</v>
      </c>
      <c r="D10" s="1">
        <v>277.31</v>
      </c>
      <c r="E10" s="1">
        <v>12.23</v>
      </c>
      <c r="F10" s="1">
        <v>82.93</v>
      </c>
      <c r="G10" s="1">
        <v>14.41</v>
      </c>
      <c r="H10" s="1">
        <v>22.674570727718724</v>
      </c>
      <c r="I10" s="1">
        <v>3.3439044977692025</v>
      </c>
      <c r="J10" s="1">
        <v>18.23</v>
      </c>
      <c r="K10" s="1">
        <v>5.6</v>
      </c>
      <c r="L10" s="1">
        <v>2.5499999999999998</v>
      </c>
      <c r="M10" s="1">
        <v>19.244274809160306</v>
      </c>
      <c r="N10" s="1">
        <v>-0.84239689888485259</v>
      </c>
      <c r="O10" s="1">
        <v>-0.94729134253829939</v>
      </c>
      <c r="P10" s="1">
        <v>-5.7163685770684376E-2</v>
      </c>
      <c r="Q10" s="1">
        <v>-0.13071838805627325</v>
      </c>
      <c r="R10" s="1">
        <v>-7.6621208957906986E-2</v>
      </c>
      <c r="S10" s="1">
        <v>-0.92947081181976132</v>
      </c>
      <c r="T10">
        <f t="shared" si="0"/>
        <v>3</v>
      </c>
    </row>
    <row r="11" spans="1:20" x14ac:dyDescent="0.25">
      <c r="A11" t="str">
        <v>Air Freight &amp; Logistics</v>
      </c>
      <c r="B11" t="str">
        <v>ZTO</v>
      </c>
      <c r="C11" s="2">
        <v>14050</v>
      </c>
      <c r="D11" s="1">
        <v>17.8</v>
      </c>
      <c r="E11" s="1">
        <v>1</v>
      </c>
      <c r="F11" s="1">
        <v>10.72</v>
      </c>
      <c r="G11" s="1">
        <v>1.22</v>
      </c>
      <c r="H11" s="1">
        <v>17.8</v>
      </c>
      <c r="I11" s="1">
        <v>1.6604477611940298</v>
      </c>
      <c r="J11" s="1">
        <v>15.64</v>
      </c>
      <c r="K11" s="1">
        <v>8.15</v>
      </c>
      <c r="L11" s="1">
        <v>1.5</v>
      </c>
      <c r="M11" s="1">
        <v>14.590163934426231</v>
      </c>
      <c r="N11" s="1">
        <v>-7.2278706346440194E-2</v>
      </c>
      <c r="O11" s="1">
        <v>-1.2706529882960327</v>
      </c>
      <c r="P11" s="1">
        <v>-1.1600175891355125</v>
      </c>
      <c r="Q11" s="1">
        <v>4.8001536073733753E-2</v>
      </c>
      <c r="R11" s="1">
        <v>-1.3472856555292947</v>
      </c>
      <c r="S11" s="1">
        <v>-0.68033499129772335</v>
      </c>
      <c r="T11">
        <f t="shared" si="0"/>
        <v>4</v>
      </c>
    </row>
    <row r="12" spans="1:20" x14ac:dyDescent="0.25">
      <c r="A12" t="str">
        <v>Building Products</v>
      </c>
      <c r="B12" t="str">
        <v>BLDR</v>
      </c>
      <c r="C12" s="2">
        <v>11900</v>
      </c>
      <c r="D12" s="1">
        <v>112.96</v>
      </c>
      <c r="E12" s="1">
        <v>11.21</v>
      </c>
      <c r="F12" s="1">
        <v>38.46</v>
      </c>
      <c r="G12" s="1">
        <v>7.84</v>
      </c>
      <c r="H12" s="1">
        <v>10.076717216770739</v>
      </c>
      <c r="I12" s="1">
        <v>2.9370774830993236</v>
      </c>
      <c r="J12" s="1">
        <v>19.62</v>
      </c>
      <c r="K12" s="1">
        <v>7.77</v>
      </c>
      <c r="L12" s="1">
        <v>2.62</v>
      </c>
      <c r="M12" s="1">
        <v>14.408163265306122</v>
      </c>
      <c r="N12" s="1">
        <v>-1.3496339709655572</v>
      </c>
      <c r="O12" s="1">
        <v>-0.91232701095914859</v>
      </c>
      <c r="P12" s="1">
        <v>-0.37853909192462171</v>
      </c>
      <c r="Q12" s="1">
        <v>-0.4277196571555737</v>
      </c>
      <c r="R12" s="1">
        <v>-0.6318915947551681</v>
      </c>
      <c r="S12" s="1">
        <v>-1.1170517473570341</v>
      </c>
      <c r="T12">
        <f t="shared" si="0"/>
        <v>3</v>
      </c>
    </row>
    <row r="13" spans="1:20" x14ac:dyDescent="0.25">
      <c r="A13" t="str">
        <v>Electrical Equipment</v>
      </c>
      <c r="B13" t="str">
        <v>HUBB</v>
      </c>
      <c r="C13" s="2">
        <v>20793</v>
      </c>
      <c r="D13" s="1">
        <v>392.34</v>
      </c>
      <c r="E13" s="1">
        <v>14.36</v>
      </c>
      <c r="F13" s="1">
        <v>61.11</v>
      </c>
      <c r="G13" s="1">
        <v>14.79</v>
      </c>
      <c r="H13" s="1">
        <v>27.321727019498606</v>
      </c>
      <c r="I13" s="1">
        <v>6.4202258222876774</v>
      </c>
      <c r="J13" s="1">
        <v>25.92</v>
      </c>
      <c r="K13" s="1">
        <v>10.07</v>
      </c>
      <c r="L13" s="1">
        <v>2.12</v>
      </c>
      <c r="M13" s="1">
        <v>26.527383367139958</v>
      </c>
      <c r="N13" s="1">
        <v>-0.59841994639031348</v>
      </c>
      <c r="O13" s="1">
        <v>-0.50542684577223196</v>
      </c>
      <c r="P13" s="1">
        <v>0.54368753598429598</v>
      </c>
      <c r="Q13" s="1">
        <v>1.090336526977125</v>
      </c>
      <c r="R13" s="1">
        <v>-0.76089172344556644</v>
      </c>
      <c r="S13" s="1">
        <v>-1.0614471549541475</v>
      </c>
      <c r="T13">
        <f t="shared" si="0"/>
        <v>3</v>
      </c>
    </row>
    <row r="14" spans="1:20" x14ac:dyDescent="0.25">
      <c r="A14" t="str">
        <v>Ground Transportation</v>
      </c>
      <c r="B14" t="str">
        <v>JBHT</v>
      </c>
      <c r="C14" s="2">
        <v>13773</v>
      </c>
      <c r="D14" s="1">
        <v>141.63999999999999</v>
      </c>
      <c r="E14" s="1">
        <v>5.07</v>
      </c>
      <c r="F14" s="1">
        <v>38.979999999999997</v>
      </c>
      <c r="G14" s="1">
        <v>5.52</v>
      </c>
      <c r="H14" s="1">
        <v>27.936883629191318</v>
      </c>
      <c r="I14" s="1">
        <v>3.6336582863006668</v>
      </c>
      <c r="J14" s="1">
        <v>13.97</v>
      </c>
      <c r="K14" s="1">
        <v>6.11</v>
      </c>
      <c r="L14" s="1">
        <v>2.14</v>
      </c>
      <c r="M14" s="1">
        <v>25.659420289855071</v>
      </c>
      <c r="N14" s="1">
        <v>-0.4400529310866621</v>
      </c>
      <c r="O14" s="1">
        <v>-0.4236828355215122</v>
      </c>
      <c r="P14" s="1">
        <v>-0.25966845375080794</v>
      </c>
      <c r="Q14" s="1">
        <v>0.2651605956565552</v>
      </c>
      <c r="R14" s="1">
        <v>-0.33848153114777807</v>
      </c>
      <c r="S14" s="1">
        <v>0.12011958832041671</v>
      </c>
      <c r="T14">
        <f t="shared" si="0"/>
        <v>1</v>
      </c>
    </row>
    <row r="15" spans="1:20" x14ac:dyDescent="0.25">
      <c r="A15" t="str">
        <v>Ground Transportation</v>
      </c>
      <c r="B15" t="str">
        <v>YMM</v>
      </c>
      <c r="C15" s="2">
        <v>12164</v>
      </c>
      <c r="D15" s="1">
        <v>12.36</v>
      </c>
      <c r="E15" s="1">
        <v>0.38</v>
      </c>
      <c r="F15" s="1">
        <v>5.05</v>
      </c>
      <c r="G15" s="1">
        <v>0.49</v>
      </c>
      <c r="H15" s="1">
        <v>32.526315789473685</v>
      </c>
      <c r="I15" s="1">
        <v>2.4475247524752475</v>
      </c>
      <c r="J15" s="1">
        <v>10.32</v>
      </c>
      <c r="K15" s="1">
        <v>5.13</v>
      </c>
      <c r="L15" s="1">
        <v>1.1100000000000001</v>
      </c>
      <c r="M15" s="1">
        <v>25.224489795918366</v>
      </c>
      <c r="N15" s="1">
        <v>-5.3426945563498147E-2</v>
      </c>
      <c r="O15" s="1">
        <v>-0.88326023156567579</v>
      </c>
      <c r="P15" s="1">
        <v>-0.55647112270397603</v>
      </c>
      <c r="Q15" s="1">
        <v>-0.16727983114793374</v>
      </c>
      <c r="R15" s="1">
        <v>-1.269131983317952</v>
      </c>
      <c r="S15" s="1">
        <v>5.4972089871456811E-2</v>
      </c>
      <c r="T15">
        <f t="shared" si="0"/>
        <v>1</v>
      </c>
    </row>
    <row r="16" spans="1:20" x14ac:dyDescent="0.25">
      <c r="A16" t="str">
        <v>Machinery</v>
      </c>
      <c r="B16" t="str">
        <v>SNA</v>
      </c>
      <c r="C16" s="2">
        <v>16772</v>
      </c>
      <c r="D16" s="1">
        <v>320.76</v>
      </c>
      <c r="E16" s="1">
        <v>20.62</v>
      </c>
      <c r="F16" s="1">
        <v>105.58</v>
      </c>
      <c r="G16" s="1">
        <v>19.11</v>
      </c>
      <c r="H16" s="1">
        <v>15.555771096023276</v>
      </c>
      <c r="I16" s="1">
        <v>3.0380753930668685</v>
      </c>
      <c r="J16" s="1">
        <v>19.54</v>
      </c>
      <c r="K16" s="1">
        <v>10.83</v>
      </c>
      <c r="L16" s="1">
        <v>1.46</v>
      </c>
      <c r="M16" s="1">
        <v>16.784929356357928</v>
      </c>
      <c r="N16" s="1">
        <v>-1.7378905277578118</v>
      </c>
      <c r="O16" s="1">
        <v>-0.6176200962153009</v>
      </c>
      <c r="P16" s="1">
        <v>0.27752810266425165</v>
      </c>
      <c r="Q16" s="1">
        <v>1.2304952134011122</v>
      </c>
      <c r="R16" s="1">
        <v>-0.99723000885986923</v>
      </c>
      <c r="S16" s="1">
        <v>-1.0865647648936001</v>
      </c>
      <c r="T16">
        <f t="shared" si="0"/>
        <v>4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26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F30" sqref="F30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Industrials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572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18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26">_xlfn._xlws.FILTER(_xlfn._xlws.FILTER(Main_M[], Main_M[Preliminary Criteria]="YES"), COUNTIF($A$8:$S$8,Main_M[#Headers]))</f>
        <v>Building Products</v>
      </c>
      <c r="B9" t="str">
        <v>ZWS</v>
      </c>
      <c r="C9" s="2">
        <v>6089</v>
      </c>
      <c r="D9" s="1">
        <v>36.590000000000003</v>
      </c>
      <c r="E9" s="1">
        <v>1.52</v>
      </c>
      <c r="F9" s="1">
        <v>9.19</v>
      </c>
      <c r="G9" s="1">
        <v>0.96</v>
      </c>
      <c r="H9" s="1">
        <v>24.072368421052634</v>
      </c>
      <c r="I9" s="1">
        <v>3.9815016322089232</v>
      </c>
      <c r="J9" s="1">
        <v>10.49</v>
      </c>
      <c r="K9" s="1">
        <v>6.2</v>
      </c>
      <c r="L9" s="1">
        <v>1.68</v>
      </c>
      <c r="M9" s="1">
        <v>38.114583333333336</v>
      </c>
      <c r="N9" s="1">
        <v>-0.16566112253514739</v>
      </c>
      <c r="O9" s="1">
        <v>-0.37446872309466289</v>
      </c>
      <c r="P9" s="1">
        <v>-0.59922651849265895</v>
      </c>
      <c r="Q9" s="1">
        <v>-0.98580735542205533</v>
      </c>
      <c r="R9" s="1">
        <v>-0.60679097783522518</v>
      </c>
      <c r="S9" s="1">
        <v>0.32137778195746125</v>
      </c>
      <c r="T9">
        <f t="shared" ref="T9:T26" si="0">SUM(IF($I9 &lt; (0.7*VLOOKUP($A9, Mean_PB_M, 2, FALSE)),1,0), IF($J9&gt;VLOOKUP($A9, Mean_ROE_M, 2, FALSE),1,0), IF($K9&gt;VLOOKUP($A9, Mean_ROA_M, 2,FALSE),1,0), IF($M9&lt;VLOOKUP($A9, Mean_PE_M, 2, FALSE),1,0), IF(AND($M9&gt;1,$M9&lt;25),1,0))</f>
        <v>0</v>
      </c>
    </row>
    <row r="10" spans="1:20" x14ac:dyDescent="0.25">
      <c r="A10" t="str">
        <v>Commercial Services &amp; Supplies</v>
      </c>
      <c r="B10" t="str">
        <v>HNI</v>
      </c>
      <c r="C10" s="2">
        <v>2166</v>
      </c>
      <c r="D10" s="1">
        <v>47.94</v>
      </c>
      <c r="E10" s="1">
        <v>3.92</v>
      </c>
      <c r="F10" s="1">
        <v>17.260000000000002</v>
      </c>
      <c r="G10" s="1">
        <v>2.8</v>
      </c>
      <c r="H10" s="1">
        <v>12.229591836734693</v>
      </c>
      <c r="I10" s="1">
        <v>2.7775202780996522</v>
      </c>
      <c r="J10" s="1">
        <v>17.22</v>
      </c>
      <c r="K10" s="1">
        <v>7.25</v>
      </c>
      <c r="L10" s="1">
        <v>2.31</v>
      </c>
      <c r="M10" s="1">
        <v>17.12142857142857</v>
      </c>
      <c r="N10" s="1">
        <v>-1.0093954084387271</v>
      </c>
      <c r="O10" s="1">
        <v>-0.46942219140803754</v>
      </c>
      <c r="P10" s="1">
        <v>0.67770093682259858</v>
      </c>
      <c r="Q10" s="1">
        <v>0.6573148418998721</v>
      </c>
      <c r="R10" s="1">
        <v>-2.226420442945224E-2</v>
      </c>
      <c r="S10" s="1">
        <v>-0.63233015712142071</v>
      </c>
      <c r="T10">
        <f t="shared" si="0"/>
        <v>4</v>
      </c>
    </row>
    <row r="11" spans="1:20" x14ac:dyDescent="0.25">
      <c r="A11" t="str">
        <v>Commercial Services &amp; Supplies</v>
      </c>
      <c r="B11" t="str">
        <v>BRC</v>
      </c>
      <c r="C11" s="2">
        <v>3301</v>
      </c>
      <c r="D11" s="1">
        <v>70.03</v>
      </c>
      <c r="E11" s="1">
        <v>3.72</v>
      </c>
      <c r="F11" s="1">
        <v>24.68</v>
      </c>
      <c r="G11" s="1">
        <v>4.03</v>
      </c>
      <c r="H11" s="1">
        <v>18.8252688172043</v>
      </c>
      <c r="I11" s="1">
        <v>2.837520259319287</v>
      </c>
      <c r="J11" s="1">
        <v>17.8</v>
      </c>
      <c r="K11" s="1">
        <v>10.18</v>
      </c>
      <c r="L11" s="1">
        <v>1.45</v>
      </c>
      <c r="M11" s="1">
        <v>17.377171215880892</v>
      </c>
      <c r="N11" s="1">
        <v>-0.73205331813756191</v>
      </c>
      <c r="O11" s="1">
        <v>-0.43095977440737698</v>
      </c>
      <c r="P11" s="1">
        <v>0.71367830120788633</v>
      </c>
      <c r="Q11" s="1">
        <v>1.4397598452293192</v>
      </c>
      <c r="R11" s="1">
        <v>-1.4051186795476309</v>
      </c>
      <c r="S11" s="1">
        <v>-0.61719182284676011</v>
      </c>
      <c r="T11">
        <f t="shared" si="0"/>
        <v>4</v>
      </c>
    </row>
    <row r="12" spans="1:20" x14ac:dyDescent="0.25">
      <c r="A12" t="str">
        <v>Construction &amp; Engineering</v>
      </c>
      <c r="B12" t="str">
        <v>VMI</v>
      </c>
      <c r="C12" s="2">
        <v>6383</v>
      </c>
      <c r="D12" s="1">
        <v>324.7</v>
      </c>
      <c r="E12" s="1">
        <v>25.87</v>
      </c>
      <c r="F12" s="1">
        <v>81.459999999999994</v>
      </c>
      <c r="G12" s="1">
        <v>17.190000000000001</v>
      </c>
      <c r="H12" s="1">
        <v>12.551217626594511</v>
      </c>
      <c r="I12" s="1">
        <v>3.9860054014240118</v>
      </c>
      <c r="J12" s="1">
        <v>22.18</v>
      </c>
      <c r="K12" s="1">
        <v>9.51</v>
      </c>
      <c r="L12" s="1">
        <v>2.06</v>
      </c>
      <c r="M12" s="1">
        <v>18.888888888888886</v>
      </c>
      <c r="N12" s="1">
        <v>-0.90641205144959192</v>
      </c>
      <c r="O12" s="1">
        <v>-0.5845208998955963</v>
      </c>
      <c r="P12" s="1">
        <v>0.15549718301332324</v>
      </c>
      <c r="Q12" s="1">
        <v>0.75097494331075343</v>
      </c>
      <c r="R12" s="1">
        <v>-0.7490664993495586</v>
      </c>
      <c r="S12" s="1">
        <v>-0.76051183635661135</v>
      </c>
      <c r="T12">
        <f t="shared" si="0"/>
        <v>4</v>
      </c>
    </row>
    <row r="13" spans="1:20" x14ac:dyDescent="0.25">
      <c r="A13" t="str">
        <v>Electrical Equipment</v>
      </c>
      <c r="B13" t="str">
        <v>ATKR</v>
      </c>
      <c r="C13" s="2">
        <v>2191</v>
      </c>
      <c r="D13" s="1">
        <v>69.540000000000006</v>
      </c>
      <c r="E13" s="1">
        <v>9.25</v>
      </c>
      <c r="F13" s="1">
        <v>41.91</v>
      </c>
      <c r="G13" s="1">
        <v>5.38</v>
      </c>
      <c r="H13" s="1">
        <v>7.5178378378378383</v>
      </c>
      <c r="I13" s="1">
        <v>1.6592698639942738</v>
      </c>
      <c r="J13" s="1">
        <v>12.93</v>
      </c>
      <c r="K13" s="1">
        <v>8.8000000000000007</v>
      </c>
      <c r="L13" s="1">
        <v>2.0299999999999998</v>
      </c>
      <c r="M13" s="1">
        <v>12.92565055762082</v>
      </c>
      <c r="N13" s="1">
        <v>-1.1191502741722577</v>
      </c>
      <c r="O13" s="1">
        <v>-0.80735979500312527</v>
      </c>
      <c r="P13" s="1">
        <v>-0.29490296394249482</v>
      </c>
      <c r="Q13" s="1">
        <v>0.33472097841290943</v>
      </c>
      <c r="R13" s="1">
        <v>-9.8480008244787809E-2</v>
      </c>
      <c r="S13" s="1">
        <v>-0.68544775764306642</v>
      </c>
      <c r="T13">
        <f t="shared" si="0"/>
        <v>4</v>
      </c>
    </row>
    <row r="14" spans="1:20" x14ac:dyDescent="0.25">
      <c r="A14" t="str">
        <v>Electrical Equipment</v>
      </c>
      <c r="B14" t="str">
        <v>GNRC</v>
      </c>
      <c r="C14" s="2">
        <v>7216</v>
      </c>
      <c r="D14" s="1">
        <v>128.46</v>
      </c>
      <c r="E14" s="1">
        <v>9.2100000000000009</v>
      </c>
      <c r="F14" s="1">
        <v>41.79</v>
      </c>
      <c r="G14" s="1">
        <v>5.74</v>
      </c>
      <c r="H14" s="1">
        <v>13.947882736156352</v>
      </c>
      <c r="I14" s="1">
        <v>3.0739411342426419</v>
      </c>
      <c r="J14" s="1">
        <v>13.8</v>
      </c>
      <c r="K14" s="1">
        <v>6.79</v>
      </c>
      <c r="L14" s="1">
        <v>2.0499999999999998</v>
      </c>
      <c r="M14" s="1">
        <v>22.379790940766551</v>
      </c>
      <c r="N14" s="1">
        <v>-2.9867529004854402E-2</v>
      </c>
      <c r="O14" s="1">
        <v>-0.19789743892954489</v>
      </c>
      <c r="P14" s="1">
        <v>-0.22472638335442835</v>
      </c>
      <c r="Q14" s="1">
        <v>-0.153869556525324</v>
      </c>
      <c r="R14" s="1">
        <v>-5.7929416614589538E-3</v>
      </c>
      <c r="S14" s="1">
        <v>0.23649004528712705</v>
      </c>
      <c r="T14">
        <f t="shared" si="0"/>
        <v>1</v>
      </c>
    </row>
    <row r="15" spans="1:20" x14ac:dyDescent="0.25">
      <c r="A15" t="str">
        <v>Machinery</v>
      </c>
      <c r="B15" t="str">
        <v>ALG</v>
      </c>
      <c r="C15" s="2">
        <v>2394</v>
      </c>
      <c r="D15" s="1">
        <v>209.28</v>
      </c>
      <c r="E15" s="1">
        <v>16.55</v>
      </c>
      <c r="F15" s="1">
        <v>88.35</v>
      </c>
      <c r="G15" s="1">
        <v>9.6</v>
      </c>
      <c r="H15" s="1">
        <v>12.645317220543806</v>
      </c>
      <c r="I15" s="1">
        <v>2.3687606112054329</v>
      </c>
      <c r="J15" s="1">
        <v>11.48</v>
      </c>
      <c r="K15" s="1">
        <v>6.71</v>
      </c>
      <c r="L15" s="1">
        <v>1.42</v>
      </c>
      <c r="M15" s="1">
        <v>21.8</v>
      </c>
      <c r="N15" s="1">
        <v>-1.0682546572451204</v>
      </c>
      <c r="O15" s="1">
        <v>-0.56184501374661444</v>
      </c>
      <c r="P15" s="1">
        <v>-0.28006969436763479</v>
      </c>
      <c r="Q15" s="1">
        <v>-7.0325064461877806E-2</v>
      </c>
      <c r="R15" s="1">
        <v>-1.1236412152601085</v>
      </c>
      <c r="S15" s="1">
        <v>-0.1419999094294867</v>
      </c>
      <c r="T15">
        <f t="shared" si="0"/>
        <v>2</v>
      </c>
    </row>
    <row r="16" spans="1:20" x14ac:dyDescent="0.25">
      <c r="A16" t="str">
        <v>Machinery</v>
      </c>
      <c r="B16" t="str">
        <v>MIDD</v>
      </c>
      <c r="C16" s="2">
        <v>7815</v>
      </c>
      <c r="D16" s="1">
        <v>149.97</v>
      </c>
      <c r="E16" s="1">
        <v>11.48</v>
      </c>
      <c r="F16" s="1">
        <v>69.569999999999993</v>
      </c>
      <c r="G16" s="1">
        <v>8</v>
      </c>
      <c r="H16" s="1">
        <v>13.063588850174215</v>
      </c>
      <c r="I16" s="1">
        <v>2.1556705476498492</v>
      </c>
      <c r="J16" s="1">
        <v>12.33</v>
      </c>
      <c r="K16" s="1">
        <v>6.28</v>
      </c>
      <c r="L16" s="1">
        <v>1.98</v>
      </c>
      <c r="M16" s="1">
        <v>18.74625</v>
      </c>
      <c r="N16" s="1">
        <v>-1.0225169331830057</v>
      </c>
      <c r="O16" s="1">
        <v>-0.70321588790941669</v>
      </c>
      <c r="P16" s="1">
        <v>-0.22992850171815188</v>
      </c>
      <c r="Q16" s="1">
        <v>-0.20585348000745651</v>
      </c>
      <c r="R16" s="1">
        <v>-0.13454603548421942</v>
      </c>
      <c r="S16" s="1">
        <v>-0.42576037892290247</v>
      </c>
      <c r="T16">
        <f t="shared" si="0"/>
        <v>3</v>
      </c>
    </row>
    <row r="17" spans="1:20" x14ac:dyDescent="0.25">
      <c r="A17" t="str">
        <v>Machinery</v>
      </c>
      <c r="B17" t="str">
        <v>MLI</v>
      </c>
      <c r="C17" s="2">
        <v>8616</v>
      </c>
      <c r="D17" s="1">
        <v>77.44</v>
      </c>
      <c r="E17" s="1">
        <v>4.54</v>
      </c>
      <c r="F17" s="1">
        <v>24.1</v>
      </c>
      <c r="G17" s="1">
        <v>5.49</v>
      </c>
      <c r="H17" s="1">
        <v>17.057268722466961</v>
      </c>
      <c r="I17" s="1">
        <v>3.2132780082987549</v>
      </c>
      <c r="J17" s="1">
        <v>24.74</v>
      </c>
      <c r="K17" s="1">
        <v>15.76</v>
      </c>
      <c r="L17" s="1">
        <v>1.21</v>
      </c>
      <c r="M17" s="1">
        <v>14.105646630236793</v>
      </c>
      <c r="N17" s="1">
        <v>-0.58581069959802834</v>
      </c>
      <c r="O17" s="1">
        <v>-1.5647234287377201E-3</v>
      </c>
      <c r="P17" s="1">
        <v>0.50213291096429913</v>
      </c>
      <c r="Q17" s="1">
        <v>2.7820753092299548</v>
      </c>
      <c r="R17" s="1">
        <v>-1.4945519076760669</v>
      </c>
      <c r="S17" s="1">
        <v>-0.85697439150963495</v>
      </c>
      <c r="T17">
        <f t="shared" si="0"/>
        <v>4</v>
      </c>
    </row>
    <row r="18" spans="1:20" x14ac:dyDescent="0.25">
      <c r="A18" t="str">
        <v>Machinery</v>
      </c>
      <c r="B18" t="str">
        <v>FELE</v>
      </c>
      <c r="C18" s="2">
        <v>3939</v>
      </c>
      <c r="D18" s="1">
        <v>86.83</v>
      </c>
      <c r="E18" s="1">
        <v>4.45</v>
      </c>
      <c r="F18" s="1">
        <v>28.37</v>
      </c>
      <c r="G18" s="1">
        <v>3.83</v>
      </c>
      <c r="H18" s="1">
        <v>19.512359550561797</v>
      </c>
      <c r="I18" s="1">
        <v>3.0606274233345081</v>
      </c>
      <c r="J18" s="1">
        <v>14.25</v>
      </c>
      <c r="K18" s="1">
        <v>8.3699999999999992</v>
      </c>
      <c r="L18" s="1">
        <v>1.49</v>
      </c>
      <c r="M18" s="1">
        <v>22.6710182767624</v>
      </c>
      <c r="N18" s="1">
        <v>-0.31734815304173608</v>
      </c>
      <c r="O18" s="1">
        <v>-0.10283808304848142</v>
      </c>
      <c r="P18" s="1">
        <v>-0.11666839596873158</v>
      </c>
      <c r="Q18" s="1">
        <v>0.45287765601640295</v>
      </c>
      <c r="R18" s="1">
        <v>-1.0000043177881224</v>
      </c>
      <c r="S18" s="1">
        <v>-6.1063174218207388E-2</v>
      </c>
      <c r="T18">
        <f t="shared" si="0"/>
        <v>3</v>
      </c>
    </row>
    <row r="19" spans="1:20" x14ac:dyDescent="0.25">
      <c r="A19" t="str">
        <v>Machinery</v>
      </c>
      <c r="B19" t="str">
        <v>DFKCY</v>
      </c>
      <c r="C19" s="2">
        <v>9744</v>
      </c>
      <c r="D19" s="1">
        <v>13.07</v>
      </c>
      <c r="E19" s="1">
        <v>2.23</v>
      </c>
      <c r="F19" s="1">
        <v>6.88</v>
      </c>
      <c r="G19" s="1">
        <v>1.23</v>
      </c>
      <c r="H19" s="1">
        <v>5.8609865470852016</v>
      </c>
      <c r="I19" s="1">
        <v>1.8997093023255816</v>
      </c>
      <c r="J19" s="1">
        <v>19.329999999999998</v>
      </c>
      <c r="K19" s="1">
        <v>8.7100000000000009</v>
      </c>
      <c r="L19" s="1">
        <v>1.73</v>
      </c>
      <c r="M19" s="1">
        <v>10.626016260162602</v>
      </c>
      <c r="N19" s="1">
        <v>-1.8101166969033564</v>
      </c>
      <c r="O19" s="1">
        <v>-0.87302889748624446</v>
      </c>
      <c r="P19" s="1">
        <v>0.1829989671599429</v>
      </c>
      <c r="Q19" s="1">
        <v>0.56003965900593089</v>
      </c>
      <c r="R19" s="1">
        <v>-0.57610638359845556</v>
      </c>
      <c r="S19" s="1">
        <v>-1.1803085044775596</v>
      </c>
      <c r="T19">
        <f t="shared" si="0"/>
        <v>5</v>
      </c>
    </row>
    <row r="20" spans="1:20" x14ac:dyDescent="0.25">
      <c r="A20" t="str">
        <v>Machinery</v>
      </c>
      <c r="B20" t="str">
        <v>MSSMY</v>
      </c>
      <c r="C20" s="2">
        <v>3592</v>
      </c>
      <c r="D20" s="1">
        <v>6.45</v>
      </c>
      <c r="E20" s="1">
        <v>1.08</v>
      </c>
      <c r="F20" s="1">
        <v>8.52</v>
      </c>
      <c r="G20" s="1">
        <v>0.88</v>
      </c>
      <c r="H20" s="1">
        <v>5.9722222222222223</v>
      </c>
      <c r="I20" s="1">
        <v>0.75704225352112686</v>
      </c>
      <c r="J20" s="1">
        <v>10.48</v>
      </c>
      <c r="K20" s="1">
        <v>7.13</v>
      </c>
      <c r="L20" s="1">
        <v>1.2</v>
      </c>
      <c r="M20" s="1">
        <v>7.329545454545455</v>
      </c>
      <c r="N20" s="1">
        <v>-1.7979531499284502</v>
      </c>
      <c r="O20" s="1">
        <v>-1.6311113574146401</v>
      </c>
      <c r="P20" s="1">
        <v>-0.33905933277879124</v>
      </c>
      <c r="Q20" s="1">
        <v>6.2051527466361944E-2</v>
      </c>
      <c r="R20" s="1">
        <v>-1.5122143216006363</v>
      </c>
      <c r="S20" s="1">
        <v>-1.4866230696755163</v>
      </c>
      <c r="T20">
        <f t="shared" si="0"/>
        <v>4</v>
      </c>
    </row>
    <row r="21" spans="1:20" x14ac:dyDescent="0.25">
      <c r="A21" t="str">
        <v>Professional Services</v>
      </c>
      <c r="B21" t="str">
        <v>KFY</v>
      </c>
      <c r="C21" s="2">
        <v>3512</v>
      </c>
      <c r="D21" s="1">
        <v>69.790000000000006</v>
      </c>
      <c r="E21" s="1">
        <v>6.13</v>
      </c>
      <c r="F21" s="1">
        <v>34.76</v>
      </c>
      <c r="G21" s="1">
        <v>4.63</v>
      </c>
      <c r="H21" s="1">
        <v>11.38499184339315</v>
      </c>
      <c r="I21" s="1">
        <v>2.0077675489067897</v>
      </c>
      <c r="J21" s="1">
        <v>14.36</v>
      </c>
      <c r="K21" s="1">
        <v>5.45</v>
      </c>
      <c r="L21" s="1">
        <v>2.04</v>
      </c>
      <c r="M21" s="1">
        <v>15.07343412526998</v>
      </c>
      <c r="N21" s="1">
        <v>-0.7634682813504502</v>
      </c>
      <c r="O21" s="1">
        <v>-0.4502804336358599</v>
      </c>
      <c r="P21" s="1">
        <v>-0.19123185052368746</v>
      </c>
      <c r="Q21" s="1">
        <v>-3.2361135860681005E-2</v>
      </c>
      <c r="R21" s="1">
        <v>-0.55919080763492013</v>
      </c>
      <c r="S21" s="1">
        <v>-0.47643221133885322</v>
      </c>
      <c r="T21">
        <f t="shared" si="0"/>
        <v>2</v>
      </c>
    </row>
    <row r="22" spans="1:20" x14ac:dyDescent="0.25">
      <c r="A22" t="str">
        <v>Professional Services</v>
      </c>
      <c r="B22" t="str">
        <v>TCCPY</v>
      </c>
      <c r="C22" s="2">
        <v>2834</v>
      </c>
      <c r="D22" s="1">
        <v>5.5532000000000004</v>
      </c>
      <c r="E22" s="1">
        <v>1.49</v>
      </c>
      <c r="F22" s="1">
        <v>5.15</v>
      </c>
      <c r="G22" s="1">
        <v>1.1100000000000001</v>
      </c>
      <c r="H22" s="1">
        <v>3.7269798657718125</v>
      </c>
      <c r="I22" s="1">
        <v>1.0782912621359224</v>
      </c>
      <c r="J22" s="1">
        <v>21.75</v>
      </c>
      <c r="K22" s="1">
        <v>11.6</v>
      </c>
      <c r="L22" s="1">
        <v>1.88</v>
      </c>
      <c r="M22" s="1">
        <v>5.0028828828828829</v>
      </c>
      <c r="N22" s="1">
        <v>-1.5714399260249987</v>
      </c>
      <c r="O22" s="1">
        <v>-1.0361592401399693</v>
      </c>
      <c r="P22" s="1">
        <v>4.0236511323492284E-2</v>
      </c>
      <c r="Q22" s="1">
        <v>1.6377450365296971</v>
      </c>
      <c r="R22" s="1">
        <v>-0.85341377368498328</v>
      </c>
      <c r="S22" s="1">
        <v>-1.3196672396480056</v>
      </c>
      <c r="T22">
        <f t="shared" si="0"/>
        <v>5</v>
      </c>
    </row>
    <row r="23" spans="1:20" x14ac:dyDescent="0.25">
      <c r="A23" t="str">
        <v>Trading Companies &amp; Distributors</v>
      </c>
      <c r="B23" t="str">
        <v>MGRC</v>
      </c>
      <c r="C23" s="2">
        <v>2766</v>
      </c>
      <c r="D23" s="1">
        <v>116.12</v>
      </c>
      <c r="E23" s="1">
        <v>11.95</v>
      </c>
      <c r="F23" s="1">
        <v>46.18</v>
      </c>
      <c r="G23" s="1">
        <v>9.65</v>
      </c>
      <c r="H23" s="1">
        <v>9.7171548117154813</v>
      </c>
      <c r="I23" s="1">
        <v>2.5145084452143784</v>
      </c>
      <c r="J23" s="1">
        <v>22.8</v>
      </c>
      <c r="K23" s="1">
        <v>6.6</v>
      </c>
      <c r="L23" s="1">
        <v>1.97</v>
      </c>
      <c r="M23" s="1">
        <v>12.033160621761658</v>
      </c>
      <c r="N23" s="1">
        <v>-0.34035814111353851</v>
      </c>
      <c r="O23" s="1">
        <v>-4.8907971317603653E-2</v>
      </c>
      <c r="P23" s="1">
        <v>2.3015687459948619</v>
      </c>
      <c r="Q23" s="1">
        <v>0.22773243649279262</v>
      </c>
      <c r="R23" s="1">
        <v>-0.49295239295040361</v>
      </c>
      <c r="S23" s="1">
        <v>-0.84819681585101636</v>
      </c>
      <c r="T23">
        <f t="shared" si="0"/>
        <v>4</v>
      </c>
    </row>
    <row r="24" spans="1:20" x14ac:dyDescent="0.25">
      <c r="A24" t="str">
        <v>Trading Companies &amp; Distributors</v>
      </c>
      <c r="B24" t="str">
        <v>RUSHA</v>
      </c>
      <c r="C24" s="2">
        <v>3864</v>
      </c>
      <c r="D24" s="1">
        <v>51.31</v>
      </c>
      <c r="E24" s="1">
        <v>5.87</v>
      </c>
      <c r="F24" s="1">
        <v>27.32</v>
      </c>
      <c r="G24" s="1">
        <v>3.57</v>
      </c>
      <c r="H24" s="1">
        <v>8.7410562180579223</v>
      </c>
      <c r="I24" s="1">
        <v>1.8781112737920937</v>
      </c>
      <c r="J24" s="1">
        <v>14.2</v>
      </c>
      <c r="K24" s="1">
        <v>6.02</v>
      </c>
      <c r="L24" s="1">
        <v>2.16</v>
      </c>
      <c r="M24" s="1">
        <v>14.372549019607844</v>
      </c>
      <c r="N24" s="1">
        <v>-0.42820637093589931</v>
      </c>
      <c r="O24" s="1">
        <v>-0.56834497249402482</v>
      </c>
      <c r="P24" s="1">
        <v>5.1114958127529052E-2</v>
      </c>
      <c r="Q24" s="1">
        <v>-4.3907282100152815E-2</v>
      </c>
      <c r="R24" s="1">
        <v>-0.2784616570864874</v>
      </c>
      <c r="S24" s="1">
        <v>-0.53065678648850445</v>
      </c>
      <c r="T24">
        <f t="shared" si="0"/>
        <v>3</v>
      </c>
    </row>
    <row r="25" spans="1:20" x14ac:dyDescent="0.25">
      <c r="A25" t="str">
        <v>Trading Companies &amp; Distributors</v>
      </c>
      <c r="B25" t="str">
        <v>RUSHB</v>
      </c>
      <c r="C25" s="2">
        <v>4063</v>
      </c>
      <c r="D25" s="1">
        <v>51.53</v>
      </c>
      <c r="E25" s="1">
        <v>5.87</v>
      </c>
      <c r="F25" s="1">
        <v>27.32</v>
      </c>
      <c r="G25" s="1">
        <v>3.57</v>
      </c>
      <c r="H25" s="1">
        <v>8.7785349233390111</v>
      </c>
      <c r="I25" s="1">
        <v>1.8861639824304539</v>
      </c>
      <c r="J25" s="1">
        <v>14.2</v>
      </c>
      <c r="K25" s="1">
        <v>6.02</v>
      </c>
      <c r="L25" s="1">
        <v>2.16</v>
      </c>
      <c r="M25" s="1">
        <v>14.434173669467787</v>
      </c>
      <c r="N25" s="1">
        <v>-0.42483331217280812</v>
      </c>
      <c r="O25" s="1">
        <v>-0.56177222985107922</v>
      </c>
      <c r="P25" s="1">
        <v>5.1114958127529052E-2</v>
      </c>
      <c r="Q25" s="1">
        <v>-4.3907282100152815E-2</v>
      </c>
      <c r="R25" s="1">
        <v>-0.2784616570864874</v>
      </c>
      <c r="S25" s="1">
        <v>-0.52229208178876452</v>
      </c>
      <c r="T25">
        <f t="shared" si="0"/>
        <v>3</v>
      </c>
    </row>
    <row r="26" spans="1:20" x14ac:dyDescent="0.25">
      <c r="A26" t="str">
        <v>Transportation Infrastructure</v>
      </c>
      <c r="B26" t="str">
        <v>FLGZY</v>
      </c>
      <c r="C26" s="2">
        <v>8435</v>
      </c>
      <c r="D26" s="1">
        <v>10.99</v>
      </c>
      <c r="E26" s="1">
        <v>3.66</v>
      </c>
      <c r="F26" s="1">
        <v>103.22</v>
      </c>
      <c r="G26" s="1">
        <v>11.57</v>
      </c>
      <c r="H26" s="1">
        <v>3.0027322404371586</v>
      </c>
      <c r="I26" s="1">
        <v>0.1064716140282891</v>
      </c>
      <c r="J26" s="1">
        <v>11.32</v>
      </c>
      <c r="K26" s="1">
        <v>5.35</v>
      </c>
      <c r="L26" s="1">
        <v>1.75</v>
      </c>
      <c r="M26" s="1">
        <v>0.94987035436473644</v>
      </c>
      <c r="N26" s="1">
        <v>-1.0241492346538366</v>
      </c>
      <c r="O26" s="1">
        <v>-0.93063933134158305</v>
      </c>
      <c r="P26" s="1">
        <v>-0.87011147149503809</v>
      </c>
      <c r="Q26" s="1">
        <v>-1.0233644391218222</v>
      </c>
      <c r="R26" s="1">
        <v>-0.71464147119537291</v>
      </c>
      <c r="S26" s="1">
        <v>-1.120474651297986</v>
      </c>
      <c r="T26">
        <f t="shared" si="0"/>
        <v>2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1" sqref="J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Industrials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572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2025-06-09T20:39:42Z</dcterms:modified>
</cp:coreProperties>
</file>
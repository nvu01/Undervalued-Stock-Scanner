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tables/table7.xml" ContentType="application/vnd.openxmlformats-officedocument.spreadsheetml.table+xml"/>
  <Override PartName="/xl/queryTables/queryTable6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drawings/drawing2.xml" ContentType="application/vnd.openxmlformats-officedocument.drawing+xml"/>
  <Override PartName="/xl/activeX/activeX2.xml" ContentType="application/vnd.ms-office.activeX+xml"/>
  <Override PartName="/xl/drawings/drawing3.xml" ContentType="application/vnd.openxmlformats-officedocument.drawing+xml"/>
  <Override PartName="/xl/activeX/activeX3.xml" ContentType="application/vnd.ms-office.activeX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D:\PROJECTS\Undervalued Stock Scanner\Main\Results\"/>
    </mc:Choice>
  </mc:AlternateContent>
  <xr:revisionPtr revIDLastSave="0" documentId="13_ncr:1_{3AB4CF53-AECF-405B-BF0C-B675F7EF6266}" xr6:coauthVersionLast="47" xr6:coauthVersionMax="47" xr10:uidLastSave="{00000000-0000-0000-0000-000000000000}"/>
  <bookViews>
    <workbookView xWindow="-120" yWindow="-120" windowWidth="29040" windowHeight="15720" firstSheet="5" activeTab="8" xr2:uid="{4DD57E3E-5037-436A-BD0D-C524F435A914}"/>
  </bookViews>
  <sheets>
    <sheet name="Dynamic Path" sheetId="15" state="hidden" r:id="rId1"/>
    <sheet name="Main_L" sheetId="2" state="hidden" r:id="rId2"/>
    <sheet name="Main_M" sheetId="3" state="hidden" r:id="rId3"/>
    <sheet name="Main_S" sheetId="4" state="hidden" r:id="rId4"/>
    <sheet name="Quartile Tables" sheetId="1" state="hidden" r:id="rId5"/>
    <sheet name="Mean_L" sheetId="7" r:id="rId6"/>
    <sheet name="Mean_M" sheetId="14" r:id="rId7"/>
    <sheet name="Mean_S" sheetId="13" r:id="rId8"/>
    <sheet name="Result_L" sheetId="9" r:id="rId9"/>
    <sheet name="Result_M" sheetId="11" r:id="rId10"/>
    <sheet name="Result_S" sheetId="12" r:id="rId11"/>
  </sheets>
  <definedNames>
    <definedName name="_xlnm._FilterDatabase" localSheetId="8" hidden="1">Result_L!$A$8:$T$8</definedName>
    <definedName name="_xlnm._FilterDatabase" localSheetId="9" hidden="1">Result_M!$A$8:$T$8</definedName>
    <definedName name="_xlnm._FilterDatabase" localSheetId="10" hidden="1">Result_S!$A$8:$T$8</definedName>
    <definedName name="_xleta.LARGE" hidden="1" xlm="1">#NAME?</definedName>
    <definedName name="_xleta.LEFT" hidden="1" xlm="1">#NAME?</definedName>
    <definedName name="_xleta.MID" hidden="1" xlm="1">#NAME?</definedName>
    <definedName name="ExternalData_1" localSheetId="1" hidden="1">Main_L!$A$1:$M$119</definedName>
    <definedName name="ExternalData_1" localSheetId="2" hidden="1">Main_M!$A$1:$M$161</definedName>
    <definedName name="ExternalData_1" localSheetId="3" hidden="1">Main_S!$A$1:$M$194</definedName>
    <definedName name="ExternalData_5" localSheetId="4" hidden="1">'Quartile Tables'!$A$2:$Y$16</definedName>
    <definedName name="ExternalData_6" localSheetId="4" hidden="1">'Quartile Tables'!$A$20:$Y$34</definedName>
    <definedName name="ExternalData_7" localSheetId="4" hidden="1">'Quartile Tables'!$A$38:$Y$52</definedName>
    <definedName name="Mean_AE_L">Mean_L!$E$24:$G$38</definedName>
    <definedName name="Mean_AE_M">Mean_M!$E$24:$G$38</definedName>
    <definedName name="Mean_AE_S">Mean_S!$E$24:$G$38</definedName>
    <definedName name="Mean_PB_L">Mean_L!$E$4:$G$18</definedName>
    <definedName name="Mean_PB_M">Mean_M!$E$4:$G$18</definedName>
    <definedName name="Mean_PB_S">Mean_S!$E$4:$G$18</definedName>
    <definedName name="Mean_PE_L">Mean_L!$I$24:$K$38</definedName>
    <definedName name="Mean_PE_M">Mean_M!$I$24:$K$38</definedName>
    <definedName name="Mean_PE_S">Mean_S!$I$24:$K$38</definedName>
    <definedName name="Mean_PFCF_L">Mean_L!$A$4:$C$18</definedName>
    <definedName name="Mean_PFCF_M">Mean_M!$A$4:$C$18</definedName>
    <definedName name="Mean_PFCF_S">Mean_S!$A$4:$C$18</definedName>
    <definedName name="Mean_ROA_L">Mean_L!$A$24:$C$38</definedName>
    <definedName name="Mean_ROA_M">Mean_M!$A$24:$C$38</definedName>
    <definedName name="Mean_ROA_S">Mean_S!$A$24:$C$38</definedName>
    <definedName name="Mean_ROE_L">Mean_L!$I$4:$K$18</definedName>
    <definedName name="Mean_ROE_M">Mean_M!$I$4:$K$18</definedName>
    <definedName name="Mean_ROE_S">Mean_S!$I$4:$K$18</definedName>
  </definedNames>
  <calcPr calcId="191029"/>
  <pivotCaches>
    <pivotCache cacheId="92" r:id="rId12"/>
    <pivotCache cacheId="152" r:id="rId13"/>
    <pivotCache cacheId="212" r:id="rId1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52" i="1" l="1"/>
  <c r="Y51" i="1"/>
  <c r="Y50" i="1"/>
  <c r="Y49" i="1"/>
  <c r="Y48" i="1"/>
  <c r="Y47" i="1"/>
  <c r="Y46" i="1"/>
  <c r="Y45" i="1"/>
  <c r="Y44" i="1"/>
  <c r="Y43" i="1"/>
  <c r="Y42" i="1"/>
  <c r="Y41" i="1"/>
  <c r="Y40" i="1"/>
  <c r="Y39" i="1"/>
  <c r="X52" i="1"/>
  <c r="X51" i="1"/>
  <c r="X50" i="1"/>
  <c r="X49" i="1"/>
  <c r="X48" i="1"/>
  <c r="X47" i="1"/>
  <c r="X46" i="1"/>
  <c r="X45" i="1"/>
  <c r="X44" i="1"/>
  <c r="X43" i="1"/>
  <c r="X42" i="1"/>
  <c r="X41" i="1"/>
  <c r="X40" i="1"/>
  <c r="X39" i="1"/>
  <c r="W52" i="1" a="1"/>
  <c r="W52" i="1" s="1"/>
  <c r="W51" i="1" a="1"/>
  <c r="W51" i="1" s="1"/>
  <c r="W50" i="1" a="1"/>
  <c r="W50" i="1" s="1"/>
  <c r="W49" i="1" a="1"/>
  <c r="W49" i="1" s="1"/>
  <c r="W48" i="1" a="1"/>
  <c r="W48" i="1" s="1"/>
  <c r="W47" i="1" a="1"/>
  <c r="W47" i="1" s="1"/>
  <c r="W46" i="1" a="1"/>
  <c r="W46" i="1" s="1"/>
  <c r="W45" i="1" a="1"/>
  <c r="W45" i="1" s="1"/>
  <c r="W44" i="1" a="1"/>
  <c r="W44" i="1" s="1"/>
  <c r="W43" i="1" a="1"/>
  <c r="W43" i="1" s="1"/>
  <c r="W42" i="1" a="1"/>
  <c r="W42" i="1" s="1"/>
  <c r="W41" i="1" a="1"/>
  <c r="W41" i="1" s="1"/>
  <c r="W40" i="1" a="1"/>
  <c r="W40" i="1" s="1"/>
  <c r="W39" i="1" a="1"/>
  <c r="W39" i="1" s="1"/>
  <c r="V52" i="1" a="1"/>
  <c r="V52" i="1" s="1"/>
  <c r="V51" i="1" a="1"/>
  <c r="V51" i="1" s="1"/>
  <c r="V50" i="1" a="1"/>
  <c r="V50" i="1" s="1"/>
  <c r="V49" i="1" a="1"/>
  <c r="V49" i="1" s="1"/>
  <c r="V48" i="1" a="1"/>
  <c r="V48" i="1" s="1"/>
  <c r="V47" i="1" a="1"/>
  <c r="V47" i="1" s="1"/>
  <c r="V46" i="1" a="1"/>
  <c r="V46" i="1" s="1"/>
  <c r="V45" i="1" a="1"/>
  <c r="V45" i="1" s="1"/>
  <c r="V44" i="1" a="1"/>
  <c r="V44" i="1" s="1"/>
  <c r="V43" i="1" a="1"/>
  <c r="V43" i="1" s="1"/>
  <c r="V42" i="1" a="1"/>
  <c r="V42" i="1" s="1"/>
  <c r="V41" i="1" a="1"/>
  <c r="V41" i="1" s="1"/>
  <c r="V40" i="1" a="1"/>
  <c r="V40" i="1" s="1"/>
  <c r="V39" i="1" a="1"/>
  <c r="V39" i="1" s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P52" i="1"/>
  <c r="P51" i="1"/>
  <c r="P50" i="1"/>
  <c r="P49" i="1"/>
  <c r="P48" i="1"/>
  <c r="P47" i="1"/>
  <c r="P46" i="1"/>
  <c r="P45" i="1"/>
  <c r="P44" i="1"/>
  <c r="P43" i="1"/>
  <c r="P42" i="1"/>
  <c r="P41" i="1"/>
  <c r="P40" i="1"/>
  <c r="P39" i="1"/>
  <c r="O52" i="1" a="1"/>
  <c r="O52" i="1" s="1"/>
  <c r="O51" i="1" a="1"/>
  <c r="O51" i="1" s="1"/>
  <c r="O50" i="1" a="1"/>
  <c r="O50" i="1" s="1"/>
  <c r="O49" i="1" a="1"/>
  <c r="O49" i="1" s="1"/>
  <c r="O48" i="1" a="1"/>
  <c r="O48" i="1" s="1"/>
  <c r="O47" i="1" a="1"/>
  <c r="O47" i="1" s="1"/>
  <c r="O46" i="1" a="1"/>
  <c r="O46" i="1" s="1"/>
  <c r="O45" i="1" a="1"/>
  <c r="O45" i="1" s="1"/>
  <c r="O44" i="1" a="1"/>
  <c r="O44" i="1" s="1"/>
  <c r="O43" i="1" a="1"/>
  <c r="O43" i="1" s="1"/>
  <c r="O42" i="1" a="1"/>
  <c r="O42" i="1" s="1"/>
  <c r="O41" i="1" a="1"/>
  <c r="O41" i="1" s="1"/>
  <c r="O40" i="1" a="1"/>
  <c r="O40" i="1" s="1"/>
  <c r="O39" i="1" a="1"/>
  <c r="O39" i="1" s="1"/>
  <c r="N52" i="1" a="1"/>
  <c r="N52" i="1" s="1"/>
  <c r="N51" i="1" a="1"/>
  <c r="N51" i="1" s="1"/>
  <c r="N50" i="1" a="1"/>
  <c r="N50" i="1" s="1"/>
  <c r="N49" i="1" a="1"/>
  <c r="N49" i="1" s="1"/>
  <c r="N48" i="1" a="1"/>
  <c r="N48" i="1" s="1"/>
  <c r="N47" i="1" a="1"/>
  <c r="N47" i="1" s="1"/>
  <c r="N46" i="1" a="1"/>
  <c r="N46" i="1" s="1"/>
  <c r="N45" i="1" a="1"/>
  <c r="N45" i="1" s="1"/>
  <c r="N44" i="1" a="1"/>
  <c r="N44" i="1" s="1"/>
  <c r="N43" i="1" a="1"/>
  <c r="N43" i="1" s="1"/>
  <c r="N42" i="1" a="1"/>
  <c r="N42" i="1" s="1"/>
  <c r="N41" i="1" a="1"/>
  <c r="N41" i="1" s="1"/>
  <c r="N40" i="1" a="1"/>
  <c r="N40" i="1" s="1"/>
  <c r="N39" i="1" a="1"/>
  <c r="N39" i="1" s="1"/>
  <c r="M52" i="1"/>
  <c r="M51" i="1"/>
  <c r="M50" i="1"/>
  <c r="M49" i="1"/>
  <c r="M48" i="1"/>
  <c r="M47" i="1"/>
  <c r="M46" i="1"/>
  <c r="M45" i="1"/>
  <c r="M44" i="1"/>
  <c r="M43" i="1"/>
  <c r="M42" i="1"/>
  <c r="M41" i="1"/>
  <c r="M40" i="1"/>
  <c r="M39" i="1"/>
  <c r="L52" i="1"/>
  <c r="L51" i="1"/>
  <c r="L50" i="1"/>
  <c r="L49" i="1"/>
  <c r="L48" i="1"/>
  <c r="L47" i="1"/>
  <c r="L46" i="1"/>
  <c r="L45" i="1"/>
  <c r="L44" i="1"/>
  <c r="L43" i="1"/>
  <c r="L42" i="1"/>
  <c r="L41" i="1"/>
  <c r="L40" i="1"/>
  <c r="L39" i="1"/>
  <c r="K52" i="1" a="1"/>
  <c r="K52" i="1" s="1"/>
  <c r="K51" i="1" a="1"/>
  <c r="K51" i="1" s="1"/>
  <c r="K50" i="1" a="1"/>
  <c r="K50" i="1" s="1"/>
  <c r="K49" i="1" a="1"/>
  <c r="K49" i="1" s="1"/>
  <c r="K48" i="1" a="1"/>
  <c r="K48" i="1" s="1"/>
  <c r="K47" i="1" a="1"/>
  <c r="K47" i="1" s="1"/>
  <c r="K46" i="1" a="1"/>
  <c r="K46" i="1" s="1"/>
  <c r="K45" i="1" a="1"/>
  <c r="K45" i="1" s="1"/>
  <c r="K44" i="1" a="1"/>
  <c r="K44" i="1" s="1"/>
  <c r="K43" i="1" a="1"/>
  <c r="K43" i="1" s="1"/>
  <c r="K42" i="1" a="1"/>
  <c r="K42" i="1" s="1"/>
  <c r="K41" i="1" a="1"/>
  <c r="K41" i="1" s="1"/>
  <c r="K40" i="1" a="1"/>
  <c r="K40" i="1" s="1"/>
  <c r="K39" i="1" a="1"/>
  <c r="K39" i="1" s="1"/>
  <c r="J52" i="1" a="1"/>
  <c r="J52" i="1" s="1"/>
  <c r="J51" i="1" a="1"/>
  <c r="J51" i="1" s="1"/>
  <c r="J50" i="1" a="1"/>
  <c r="J50" i="1" s="1"/>
  <c r="J49" i="1" a="1"/>
  <c r="J49" i="1" s="1"/>
  <c r="J48" i="1" a="1"/>
  <c r="J48" i="1" s="1"/>
  <c r="J47" i="1" a="1"/>
  <c r="J47" i="1" s="1"/>
  <c r="J46" i="1" a="1"/>
  <c r="J46" i="1" s="1"/>
  <c r="J45" i="1" a="1"/>
  <c r="J45" i="1" s="1"/>
  <c r="J44" i="1" a="1"/>
  <c r="J44" i="1" s="1"/>
  <c r="J43" i="1" a="1"/>
  <c r="J43" i="1" s="1"/>
  <c r="J42" i="1" a="1"/>
  <c r="J42" i="1" s="1"/>
  <c r="J41" i="1" a="1"/>
  <c r="J41" i="1" s="1"/>
  <c r="J40" i="1" a="1"/>
  <c r="J40" i="1" s="1"/>
  <c r="J39" i="1" a="1"/>
  <c r="J39" i="1" s="1"/>
  <c r="Y34" i="1"/>
  <c r="Y33" i="1"/>
  <c r="Y32" i="1"/>
  <c r="Y31" i="1"/>
  <c r="Y30" i="1"/>
  <c r="Y29" i="1"/>
  <c r="Y28" i="1"/>
  <c r="Y27" i="1"/>
  <c r="Y26" i="1"/>
  <c r="Y25" i="1"/>
  <c r="Y24" i="1"/>
  <c r="Y23" i="1"/>
  <c r="Y22" i="1"/>
  <c r="Y21" i="1"/>
  <c r="X34" i="1"/>
  <c r="X33" i="1"/>
  <c r="X32" i="1"/>
  <c r="X31" i="1"/>
  <c r="X30" i="1"/>
  <c r="X29" i="1"/>
  <c r="X28" i="1"/>
  <c r="X27" i="1"/>
  <c r="X26" i="1"/>
  <c r="X25" i="1"/>
  <c r="X24" i="1"/>
  <c r="X23" i="1"/>
  <c r="X22" i="1"/>
  <c r="X21" i="1"/>
  <c r="W34" i="1" a="1"/>
  <c r="W34" i="1" s="1"/>
  <c r="W33" i="1" a="1"/>
  <c r="W33" i="1" s="1"/>
  <c r="W32" i="1" a="1"/>
  <c r="W32" i="1" s="1"/>
  <c r="W31" i="1" a="1"/>
  <c r="W31" i="1" s="1"/>
  <c r="W30" i="1" a="1"/>
  <c r="W30" i="1" s="1"/>
  <c r="W29" i="1" a="1"/>
  <c r="W29" i="1" s="1"/>
  <c r="W28" i="1" a="1"/>
  <c r="W28" i="1" s="1"/>
  <c r="W27" i="1" a="1"/>
  <c r="W27" i="1" s="1"/>
  <c r="W26" i="1" a="1"/>
  <c r="W26" i="1" s="1"/>
  <c r="W25" i="1" a="1"/>
  <c r="W25" i="1" s="1"/>
  <c r="W24" i="1" a="1"/>
  <c r="W24" i="1" s="1"/>
  <c r="W23" i="1" a="1"/>
  <c r="W23" i="1" s="1"/>
  <c r="W22" i="1" a="1"/>
  <c r="W22" i="1" s="1"/>
  <c r="W21" i="1" a="1"/>
  <c r="W21" i="1" s="1"/>
  <c r="V34" i="1" a="1"/>
  <c r="V34" i="1" s="1"/>
  <c r="V33" i="1" a="1"/>
  <c r="V33" i="1" s="1"/>
  <c r="V32" i="1" a="1"/>
  <c r="V32" i="1" s="1"/>
  <c r="V31" i="1" a="1"/>
  <c r="V31" i="1" s="1"/>
  <c r="V30" i="1" a="1"/>
  <c r="V30" i="1" s="1"/>
  <c r="V29" i="1" a="1"/>
  <c r="V29" i="1" s="1"/>
  <c r="V28" i="1" a="1"/>
  <c r="V28" i="1" s="1"/>
  <c r="V27" i="1" a="1"/>
  <c r="V27" i="1" s="1"/>
  <c r="V26" i="1" a="1"/>
  <c r="V26" i="1" s="1"/>
  <c r="V25" i="1" a="1"/>
  <c r="V25" i="1" s="1"/>
  <c r="V24" i="1" a="1"/>
  <c r="V24" i="1" s="1"/>
  <c r="V23" i="1" a="1"/>
  <c r="V23" i="1" s="1"/>
  <c r="V22" i="1" a="1"/>
  <c r="V22" i="1" s="1"/>
  <c r="V21" i="1" a="1"/>
  <c r="V21" i="1" s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P34" i="1"/>
  <c r="P33" i="1"/>
  <c r="P32" i="1"/>
  <c r="P31" i="1"/>
  <c r="P30" i="1"/>
  <c r="P29" i="1"/>
  <c r="P28" i="1"/>
  <c r="P27" i="1"/>
  <c r="P26" i="1"/>
  <c r="P25" i="1"/>
  <c r="P24" i="1"/>
  <c r="P23" i="1"/>
  <c r="P22" i="1"/>
  <c r="P21" i="1"/>
  <c r="O34" i="1" a="1"/>
  <c r="O34" i="1" s="1"/>
  <c r="O33" i="1" a="1"/>
  <c r="O33" i="1" s="1"/>
  <c r="O32" i="1" a="1"/>
  <c r="O32" i="1" s="1"/>
  <c r="O31" i="1" a="1"/>
  <c r="O31" i="1" s="1"/>
  <c r="O30" i="1" a="1"/>
  <c r="O30" i="1" s="1"/>
  <c r="O29" i="1" a="1"/>
  <c r="O29" i="1" s="1"/>
  <c r="O28" i="1" a="1"/>
  <c r="O28" i="1" s="1"/>
  <c r="O27" i="1" a="1"/>
  <c r="O27" i="1" s="1"/>
  <c r="O26" i="1" a="1"/>
  <c r="O26" i="1" s="1"/>
  <c r="O25" i="1" a="1"/>
  <c r="O25" i="1" s="1"/>
  <c r="O24" i="1" a="1"/>
  <c r="O24" i="1" s="1"/>
  <c r="O23" i="1" a="1"/>
  <c r="O23" i="1" s="1"/>
  <c r="O22" i="1" a="1"/>
  <c r="O22" i="1" s="1"/>
  <c r="O21" i="1" a="1"/>
  <c r="O21" i="1" s="1"/>
  <c r="N34" i="1" a="1"/>
  <c r="N34" i="1" s="1"/>
  <c r="N33" i="1" a="1"/>
  <c r="N33" i="1"/>
  <c r="N32" i="1" a="1"/>
  <c r="N32" i="1" s="1"/>
  <c r="N31" i="1" a="1"/>
  <c r="N31" i="1" s="1"/>
  <c r="N30" i="1" a="1"/>
  <c r="N30" i="1" s="1"/>
  <c r="N29" i="1" a="1"/>
  <c r="N29" i="1" s="1"/>
  <c r="N28" i="1" a="1"/>
  <c r="N28" i="1" s="1"/>
  <c r="N27" i="1" a="1"/>
  <c r="N27" i="1" s="1"/>
  <c r="N26" i="1" a="1"/>
  <c r="N26" i="1" s="1"/>
  <c r="N25" i="1" a="1"/>
  <c r="N25" i="1" s="1"/>
  <c r="N24" i="1" a="1"/>
  <c r="N24" i="1" s="1"/>
  <c r="N23" i="1" a="1"/>
  <c r="N23" i="1" s="1"/>
  <c r="N22" i="1" a="1"/>
  <c r="N22" i="1" s="1"/>
  <c r="N21" i="1" a="1"/>
  <c r="N21" i="1" s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M21" i="1"/>
  <c r="L34" i="1"/>
  <c r="L33" i="1"/>
  <c r="L32" i="1"/>
  <c r="L31" i="1"/>
  <c r="L30" i="1"/>
  <c r="L29" i="1"/>
  <c r="L28" i="1"/>
  <c r="L27" i="1"/>
  <c r="L26" i="1"/>
  <c r="L25" i="1"/>
  <c r="L24" i="1"/>
  <c r="L23" i="1"/>
  <c r="L22" i="1"/>
  <c r="L21" i="1"/>
  <c r="K34" i="1" a="1"/>
  <c r="K34" i="1" s="1"/>
  <c r="K33" i="1" a="1"/>
  <c r="K33" i="1" s="1"/>
  <c r="K32" i="1" a="1"/>
  <c r="K32" i="1" s="1"/>
  <c r="K31" i="1" a="1"/>
  <c r="K31" i="1" s="1"/>
  <c r="K30" i="1" a="1"/>
  <c r="K30" i="1"/>
  <c r="K29" i="1" a="1"/>
  <c r="K29" i="1" s="1"/>
  <c r="K28" i="1" a="1"/>
  <c r="K28" i="1" s="1"/>
  <c r="K27" i="1" a="1"/>
  <c r="K27" i="1" s="1"/>
  <c r="K26" i="1" a="1"/>
  <c r="K26" i="1" s="1"/>
  <c r="K25" i="1" a="1"/>
  <c r="K25" i="1" s="1"/>
  <c r="K24" i="1" a="1"/>
  <c r="K24" i="1" s="1"/>
  <c r="K23" i="1" a="1"/>
  <c r="K23" i="1" s="1"/>
  <c r="K22" i="1" a="1"/>
  <c r="K22" i="1" s="1"/>
  <c r="K21" i="1" a="1"/>
  <c r="K21" i="1" s="1"/>
  <c r="J34" i="1" a="1"/>
  <c r="J34" i="1" s="1"/>
  <c r="J33" i="1" a="1"/>
  <c r="J33" i="1" s="1"/>
  <c r="J32" i="1" a="1"/>
  <c r="J32" i="1" s="1"/>
  <c r="J31" i="1" a="1"/>
  <c r="J31" i="1" s="1"/>
  <c r="J30" i="1" a="1"/>
  <c r="J30" i="1" s="1"/>
  <c r="J29" i="1" a="1"/>
  <c r="J29" i="1" s="1"/>
  <c r="J28" i="1" a="1"/>
  <c r="J28" i="1" s="1"/>
  <c r="J27" i="1" a="1"/>
  <c r="J27" i="1" s="1"/>
  <c r="J26" i="1" a="1"/>
  <c r="J26" i="1" s="1"/>
  <c r="J25" i="1" a="1"/>
  <c r="J25" i="1" s="1"/>
  <c r="J24" i="1" a="1"/>
  <c r="J24" i="1" s="1"/>
  <c r="J23" i="1" a="1"/>
  <c r="J23" i="1" s="1"/>
  <c r="J22" i="1" a="1"/>
  <c r="J22" i="1" s="1"/>
  <c r="J21" i="1" a="1"/>
  <c r="J21" i="1" s="1"/>
  <c r="Y16" i="1"/>
  <c r="Y15" i="1"/>
  <c r="Y14" i="1"/>
  <c r="Y13" i="1"/>
  <c r="Y12" i="1"/>
  <c r="Y11" i="1"/>
  <c r="Y10" i="1"/>
  <c r="Y9" i="1"/>
  <c r="Y8" i="1"/>
  <c r="Y7" i="1"/>
  <c r="Y6" i="1"/>
  <c r="Y5" i="1"/>
  <c r="Y4" i="1"/>
  <c r="Y3" i="1"/>
  <c r="X16" i="1"/>
  <c r="X15" i="1"/>
  <c r="X14" i="1"/>
  <c r="X13" i="1"/>
  <c r="X12" i="1"/>
  <c r="X11" i="1"/>
  <c r="X10" i="1"/>
  <c r="X9" i="1"/>
  <c r="X8" i="1"/>
  <c r="X7" i="1"/>
  <c r="X6" i="1"/>
  <c r="X5" i="1"/>
  <c r="X4" i="1"/>
  <c r="X3" i="1"/>
  <c r="W16" i="1" a="1"/>
  <c r="W16" i="1" s="1"/>
  <c r="W15" i="1" a="1"/>
  <c r="W15" i="1" s="1"/>
  <c r="W14" i="1" a="1"/>
  <c r="W14" i="1" s="1"/>
  <c r="W13" i="1" a="1"/>
  <c r="W13" i="1" s="1"/>
  <c r="W12" i="1" a="1"/>
  <c r="W12" i="1" s="1"/>
  <c r="W11" i="1" a="1"/>
  <c r="W11" i="1" s="1"/>
  <c r="W10" i="1" a="1"/>
  <c r="W10" i="1" s="1"/>
  <c r="W9" i="1" a="1"/>
  <c r="W9" i="1" s="1"/>
  <c r="W8" i="1" a="1"/>
  <c r="W8" i="1" s="1"/>
  <c r="W7" i="1" a="1"/>
  <c r="W7" i="1" s="1"/>
  <c r="W6" i="1" a="1"/>
  <c r="W6" i="1" s="1"/>
  <c r="W5" i="1" a="1"/>
  <c r="W5" i="1" s="1"/>
  <c r="W4" i="1" a="1"/>
  <c r="W4" i="1" s="1"/>
  <c r="W3" i="1" a="1"/>
  <c r="W3" i="1" s="1"/>
  <c r="V16" i="1" a="1"/>
  <c r="V16" i="1" s="1"/>
  <c r="V15" i="1" a="1"/>
  <c r="V15" i="1" s="1"/>
  <c r="V14" i="1" a="1"/>
  <c r="V14" i="1" s="1"/>
  <c r="V13" i="1" a="1"/>
  <c r="V13" i="1" s="1"/>
  <c r="V12" i="1" a="1"/>
  <c r="V12" i="1" s="1"/>
  <c r="V11" i="1" a="1"/>
  <c r="V11" i="1" s="1"/>
  <c r="V10" i="1" a="1"/>
  <c r="V10" i="1" s="1"/>
  <c r="V9" i="1" a="1"/>
  <c r="V9" i="1" s="1"/>
  <c r="V8" i="1" a="1"/>
  <c r="V8" i="1" s="1"/>
  <c r="V7" i="1" a="1"/>
  <c r="V7" i="1" s="1"/>
  <c r="V6" i="1" a="1"/>
  <c r="V6" i="1" s="1"/>
  <c r="V5" i="1" a="1"/>
  <c r="V5" i="1" s="1"/>
  <c r="V4" i="1" a="1"/>
  <c r="V4" i="1" s="1"/>
  <c r="V3" i="1" a="1"/>
  <c r="V3" i="1" s="1"/>
  <c r="Q16" i="1"/>
  <c r="Q15" i="1"/>
  <c r="Q14" i="1"/>
  <c r="Q13" i="1"/>
  <c r="Q12" i="1"/>
  <c r="Q11" i="1"/>
  <c r="Q10" i="1"/>
  <c r="Q9" i="1"/>
  <c r="Q8" i="1"/>
  <c r="Q7" i="1"/>
  <c r="Q6" i="1"/>
  <c r="Q5" i="1"/>
  <c r="Q4" i="1"/>
  <c r="Q3" i="1"/>
  <c r="P16" i="1"/>
  <c r="P15" i="1"/>
  <c r="P14" i="1"/>
  <c r="P13" i="1"/>
  <c r="P12" i="1"/>
  <c r="P11" i="1"/>
  <c r="P10" i="1"/>
  <c r="P9" i="1"/>
  <c r="P8" i="1"/>
  <c r="P7" i="1"/>
  <c r="P6" i="1"/>
  <c r="P5" i="1"/>
  <c r="P4" i="1"/>
  <c r="P3" i="1"/>
  <c r="O16" i="1" a="1"/>
  <c r="O16" i="1" s="1"/>
  <c r="O15" i="1" a="1"/>
  <c r="O15" i="1" s="1"/>
  <c r="O14" i="1" a="1"/>
  <c r="O14" i="1" s="1"/>
  <c r="O13" i="1" a="1"/>
  <c r="O13" i="1"/>
  <c r="O12" i="1" a="1"/>
  <c r="O12" i="1" s="1"/>
  <c r="O11" i="1" a="1"/>
  <c r="O11" i="1" s="1"/>
  <c r="O10" i="1" a="1"/>
  <c r="O10" i="1" s="1"/>
  <c r="O9" i="1" a="1"/>
  <c r="O9" i="1" s="1"/>
  <c r="O8" i="1" a="1"/>
  <c r="O8" i="1" s="1"/>
  <c r="O7" i="1" a="1"/>
  <c r="O7" i="1" s="1"/>
  <c r="O6" i="1" a="1"/>
  <c r="O6" i="1" s="1"/>
  <c r="O5" i="1" a="1"/>
  <c r="O5" i="1" s="1"/>
  <c r="O4" i="1" a="1"/>
  <c r="O4" i="1" s="1"/>
  <c r="O3" i="1" a="1"/>
  <c r="O3" i="1" s="1"/>
  <c r="N16" i="1" a="1"/>
  <c r="N16" i="1" s="1"/>
  <c r="N15" i="1" a="1"/>
  <c r="N15" i="1" s="1"/>
  <c r="N14" i="1" a="1"/>
  <c r="N14" i="1" s="1"/>
  <c r="N13" i="1" a="1"/>
  <c r="N13" i="1" s="1"/>
  <c r="N12" i="1" a="1"/>
  <c r="N12" i="1" s="1"/>
  <c r="N11" i="1" a="1"/>
  <c r="N11" i="1" s="1"/>
  <c r="N10" i="1" a="1"/>
  <c r="N10" i="1" s="1"/>
  <c r="N9" i="1" a="1"/>
  <c r="N9" i="1" s="1"/>
  <c r="N8" i="1" a="1"/>
  <c r="N8" i="1" s="1"/>
  <c r="N7" i="1" a="1"/>
  <c r="N7" i="1" s="1"/>
  <c r="N6" i="1" a="1"/>
  <c r="N6" i="1" s="1"/>
  <c r="N5" i="1" a="1"/>
  <c r="N5" i="1" s="1"/>
  <c r="N4" i="1" a="1"/>
  <c r="N4" i="1" s="1"/>
  <c r="N3" i="1" a="1"/>
  <c r="N3" i="1" s="1"/>
  <c r="M16" i="1"/>
  <c r="M15" i="1"/>
  <c r="M14" i="1"/>
  <c r="M13" i="1"/>
  <c r="M12" i="1"/>
  <c r="M11" i="1"/>
  <c r="M10" i="1"/>
  <c r="M9" i="1"/>
  <c r="M8" i="1"/>
  <c r="M7" i="1"/>
  <c r="M6" i="1"/>
  <c r="M5" i="1"/>
  <c r="M4" i="1"/>
  <c r="M3" i="1"/>
  <c r="L16" i="1"/>
  <c r="L15" i="1"/>
  <c r="L14" i="1"/>
  <c r="L13" i="1"/>
  <c r="L12" i="1"/>
  <c r="L11" i="1"/>
  <c r="L10" i="1"/>
  <c r="L9" i="1"/>
  <c r="L8" i="1"/>
  <c r="L7" i="1"/>
  <c r="L6" i="1"/>
  <c r="L5" i="1"/>
  <c r="L4" i="1"/>
  <c r="L3" i="1"/>
  <c r="K16" i="1" a="1"/>
  <c r="K16" i="1" s="1"/>
  <c r="K15" i="1" a="1"/>
  <c r="K15" i="1" s="1"/>
  <c r="K14" i="1" a="1"/>
  <c r="K14" i="1" s="1"/>
  <c r="K13" i="1" a="1"/>
  <c r="K13" i="1" s="1"/>
  <c r="K12" i="1" a="1"/>
  <c r="K12" i="1" s="1"/>
  <c r="K11" i="1" a="1"/>
  <c r="K11" i="1" s="1"/>
  <c r="K10" i="1" a="1"/>
  <c r="K10" i="1"/>
  <c r="K9" i="1" a="1"/>
  <c r="K9" i="1" s="1"/>
  <c r="K8" i="1" a="1"/>
  <c r="K8" i="1" s="1"/>
  <c r="K7" i="1" a="1"/>
  <c r="K7" i="1" s="1"/>
  <c r="K6" i="1" a="1"/>
  <c r="K6" i="1" s="1"/>
  <c r="K5" i="1" a="1"/>
  <c r="K5" i="1" s="1"/>
  <c r="K4" i="1" a="1"/>
  <c r="K4" i="1" s="1"/>
  <c r="K3" i="1" a="1"/>
  <c r="K3" i="1" s="1"/>
  <c r="J16" i="1" a="1"/>
  <c r="J16" i="1" s="1"/>
  <c r="J15" i="1" a="1"/>
  <c r="J15" i="1" s="1"/>
  <c r="J14" i="1" a="1"/>
  <c r="J14" i="1" s="1"/>
  <c r="J13" i="1" a="1"/>
  <c r="J13" i="1" s="1"/>
  <c r="J12" i="1" a="1"/>
  <c r="J12" i="1" s="1"/>
  <c r="J11" i="1" a="1"/>
  <c r="J11" i="1" s="1"/>
  <c r="J10" i="1" a="1"/>
  <c r="J10" i="1" s="1"/>
  <c r="J9" i="1" a="1"/>
  <c r="J9" i="1"/>
  <c r="J8" i="1" a="1"/>
  <c r="J8" i="1" s="1"/>
  <c r="J7" i="1" a="1"/>
  <c r="J7" i="1" s="1"/>
  <c r="J6" i="1" a="1"/>
  <c r="J6" i="1" s="1"/>
  <c r="J5" i="1" a="1"/>
  <c r="J5" i="1" s="1"/>
  <c r="J4" i="1" a="1"/>
  <c r="J4" i="1" s="1"/>
  <c r="J3" i="1" a="1"/>
  <c r="J3" i="1" s="1"/>
  <c r="M193" i="4"/>
  <c r="T193" i="4" s="1"/>
  <c r="M192" i="4"/>
  <c r="T192" i="4" s="1"/>
  <c r="M191" i="4"/>
  <c r="M190" i="4"/>
  <c r="T190" i="4" s="1"/>
  <c r="M189" i="4"/>
  <c r="T189" i="4" s="1"/>
  <c r="M188" i="4"/>
  <c r="M187" i="4"/>
  <c r="M178" i="4"/>
  <c r="T178" i="4" s="1"/>
  <c r="M177" i="4"/>
  <c r="T177" i="4" s="1"/>
  <c r="M173" i="4"/>
  <c r="M165" i="4"/>
  <c r="T165" i="4" s="1"/>
  <c r="M164" i="4"/>
  <c r="M158" i="4"/>
  <c r="M157" i="4"/>
  <c r="T157" i="4" s="1"/>
  <c r="M153" i="4"/>
  <c r="T153" i="4" s="1"/>
  <c r="M152" i="4"/>
  <c r="M151" i="4"/>
  <c r="T151" i="4" s="1"/>
  <c r="M150" i="4"/>
  <c r="M149" i="4"/>
  <c r="M148" i="4"/>
  <c r="M147" i="4"/>
  <c r="T147" i="4" s="1"/>
  <c r="M138" i="4"/>
  <c r="M133" i="4"/>
  <c r="M130" i="4"/>
  <c r="M129" i="4"/>
  <c r="M128" i="4"/>
  <c r="M127" i="4"/>
  <c r="M126" i="4"/>
  <c r="M125" i="4"/>
  <c r="M124" i="4"/>
  <c r="M118" i="4"/>
  <c r="M117" i="4"/>
  <c r="T117" i="4" s="1"/>
  <c r="M113" i="4"/>
  <c r="T113" i="4" s="1"/>
  <c r="M112" i="4"/>
  <c r="T112" i="4" s="1"/>
  <c r="M111" i="4"/>
  <c r="M110" i="4"/>
  <c r="M100" i="4"/>
  <c r="M98" i="4"/>
  <c r="M97" i="4"/>
  <c r="M93" i="4"/>
  <c r="M92" i="4"/>
  <c r="M91" i="4"/>
  <c r="T91" i="4" s="1"/>
  <c r="M90" i="4"/>
  <c r="M89" i="4"/>
  <c r="M88" i="4"/>
  <c r="M87" i="4"/>
  <c r="T87" i="4" s="1"/>
  <c r="M86" i="4"/>
  <c r="T86" i="4" s="1"/>
  <c r="M84" i="4"/>
  <c r="T84" i="4" s="1"/>
  <c r="M78" i="4"/>
  <c r="T78" i="4" s="1"/>
  <c r="M73" i="4"/>
  <c r="M66" i="4"/>
  <c r="T66" i="4" s="1"/>
  <c r="M65" i="4"/>
  <c r="T65" i="4" s="1"/>
  <c r="M64" i="4"/>
  <c r="M58" i="4"/>
  <c r="M55" i="4"/>
  <c r="M53" i="4"/>
  <c r="M52" i="4"/>
  <c r="M51" i="4"/>
  <c r="M50" i="4"/>
  <c r="M49" i="4"/>
  <c r="T49" i="4" s="1"/>
  <c r="M48" i="4"/>
  <c r="M38" i="4"/>
  <c r="T38" i="4" s="1"/>
  <c r="M33" i="4"/>
  <c r="M31" i="4"/>
  <c r="M30" i="4"/>
  <c r="T30" i="4" s="1"/>
  <c r="M29" i="4"/>
  <c r="T29" i="4" s="1"/>
  <c r="M28" i="4"/>
  <c r="T28" i="4" s="1"/>
  <c r="M27" i="4"/>
  <c r="M26" i="4"/>
  <c r="M25" i="4"/>
  <c r="M24" i="4"/>
  <c r="M18" i="4"/>
  <c r="T18" i="4" s="1"/>
  <c r="M13" i="4"/>
  <c r="M12" i="4"/>
  <c r="I191" i="4"/>
  <c r="N191" i="4" s="1"/>
  <c r="I190" i="4"/>
  <c r="I182" i="4"/>
  <c r="I181" i="4"/>
  <c r="P181" i="4" s="1"/>
  <c r="I180" i="4"/>
  <c r="I179" i="4"/>
  <c r="I178" i="4"/>
  <c r="I177" i="4"/>
  <c r="P177" i="4" s="1"/>
  <c r="I162" i="4"/>
  <c r="I161" i="4"/>
  <c r="I160" i="4"/>
  <c r="P160" i="4" s="1"/>
  <c r="I159" i="4"/>
  <c r="I158" i="4"/>
  <c r="I151" i="4"/>
  <c r="I150" i="4"/>
  <c r="I144" i="4"/>
  <c r="I143" i="4"/>
  <c r="I142" i="4"/>
  <c r="I141" i="4"/>
  <c r="I140" i="4"/>
  <c r="I139" i="4"/>
  <c r="I138" i="4"/>
  <c r="I122" i="4"/>
  <c r="I121" i="4"/>
  <c r="I120" i="4"/>
  <c r="I119" i="4"/>
  <c r="P119" i="4" s="1"/>
  <c r="I118" i="4"/>
  <c r="P118" i="4" s="1"/>
  <c r="I117" i="4"/>
  <c r="P117" i="4" s="1"/>
  <c r="I111" i="4"/>
  <c r="I110" i="4"/>
  <c r="P110" i="4" s="1"/>
  <c r="I102" i="4"/>
  <c r="I101" i="4"/>
  <c r="P101" i="4" s="1"/>
  <c r="I100" i="4"/>
  <c r="I99" i="4"/>
  <c r="I98" i="4"/>
  <c r="I91" i="4"/>
  <c r="N91" i="4" s="1"/>
  <c r="I90" i="4"/>
  <c r="P90" i="4" s="1"/>
  <c r="I86" i="4"/>
  <c r="P86" i="4" s="1"/>
  <c r="I82" i="4"/>
  <c r="I81" i="4"/>
  <c r="I80" i="4"/>
  <c r="P80" i="4" s="1"/>
  <c r="I79" i="4"/>
  <c r="I78" i="4"/>
  <c r="P78" i="4" s="1"/>
  <c r="I62" i="4"/>
  <c r="I61" i="4"/>
  <c r="I60" i="4"/>
  <c r="I59" i="4"/>
  <c r="P59" i="4" s="1"/>
  <c r="I58" i="4"/>
  <c r="I57" i="4"/>
  <c r="P57" i="4" s="1"/>
  <c r="I55" i="4"/>
  <c r="I51" i="4"/>
  <c r="I50" i="4"/>
  <c r="I46" i="4"/>
  <c r="I44" i="4"/>
  <c r="I42" i="4"/>
  <c r="I41" i="4"/>
  <c r="I40" i="4"/>
  <c r="P40" i="4" s="1"/>
  <c r="I39" i="4"/>
  <c r="P39" i="4" s="1"/>
  <c r="I38" i="4"/>
  <c r="I22" i="4"/>
  <c r="P22" i="4" s="1"/>
  <c r="I21" i="4"/>
  <c r="I20" i="4"/>
  <c r="P20" i="4" s="1"/>
  <c r="I19" i="4"/>
  <c r="P19" i="4" s="1"/>
  <c r="I18" i="4"/>
  <c r="P18" i="4" s="1"/>
  <c r="I11" i="4"/>
  <c r="P11" i="4" s="1"/>
  <c r="I10" i="4"/>
  <c r="N10" i="4" s="1"/>
  <c r="I6" i="4"/>
  <c r="P6" i="4" s="1"/>
  <c r="I2" i="4"/>
  <c r="H194" i="4"/>
  <c r="H193" i="4"/>
  <c r="H192" i="4"/>
  <c r="H191" i="4"/>
  <c r="H190" i="4"/>
  <c r="N190" i="4" s="1"/>
  <c r="H179" i="4"/>
  <c r="H178" i="4"/>
  <c r="H175" i="4"/>
  <c r="H174" i="4"/>
  <c r="H173" i="4"/>
  <c r="N173" i="4" s="1"/>
  <c r="H172" i="4"/>
  <c r="N172" i="4" s="1"/>
  <c r="H171" i="4"/>
  <c r="N171" i="4" s="1"/>
  <c r="H159" i="4"/>
  <c r="H158" i="4"/>
  <c r="H155" i="4"/>
  <c r="O155" i="4" s="1"/>
  <c r="H154" i="4"/>
  <c r="H153" i="4"/>
  <c r="N153" i="4" s="1"/>
  <c r="H152" i="4"/>
  <c r="H151" i="4"/>
  <c r="O151" i="4" s="1"/>
  <c r="H150" i="4"/>
  <c r="N150" i="4" s="1"/>
  <c r="H139" i="4"/>
  <c r="O139" i="4" s="1"/>
  <c r="H138" i="4"/>
  <c r="O138" i="4" s="1"/>
  <c r="H135" i="4"/>
  <c r="H134" i="4"/>
  <c r="H133" i="4"/>
  <c r="H119" i="4"/>
  <c r="H118" i="4"/>
  <c r="H117" i="4"/>
  <c r="H115" i="4"/>
  <c r="H114" i="4"/>
  <c r="H113" i="4"/>
  <c r="H112" i="4"/>
  <c r="H111" i="4"/>
  <c r="H110" i="4"/>
  <c r="N110" i="4" s="1"/>
  <c r="H104" i="4"/>
  <c r="H103" i="4"/>
  <c r="H100" i="4"/>
  <c r="H99" i="4"/>
  <c r="H98" i="4"/>
  <c r="H95" i="4"/>
  <c r="H94" i="4"/>
  <c r="H93" i="4"/>
  <c r="H92" i="4"/>
  <c r="H91" i="4"/>
  <c r="H90" i="4"/>
  <c r="H79" i="4"/>
  <c r="H78" i="4"/>
  <c r="H77" i="4"/>
  <c r="H76" i="4"/>
  <c r="H75" i="4"/>
  <c r="O75" i="4" s="1"/>
  <c r="H74" i="4"/>
  <c r="O74" i="4" s="1"/>
  <c r="H73" i="4"/>
  <c r="O73" i="4" s="1"/>
  <c r="H72" i="4"/>
  <c r="O72" i="4" s="1"/>
  <c r="H59" i="4"/>
  <c r="H58" i="4"/>
  <c r="H55" i="4"/>
  <c r="O55" i="4" s="1"/>
  <c r="H54" i="4"/>
  <c r="H53" i="4"/>
  <c r="N53" i="4" s="1"/>
  <c r="H52" i="4"/>
  <c r="H51" i="4"/>
  <c r="H50" i="4"/>
  <c r="H39" i="4"/>
  <c r="N39" i="4" s="1"/>
  <c r="H38" i="4"/>
  <c r="O38" i="4" s="1"/>
  <c r="H36" i="4"/>
  <c r="O36" i="4" s="1"/>
  <c r="H35" i="4"/>
  <c r="H34" i="4"/>
  <c r="O34" i="4" s="1"/>
  <c r="H33" i="4"/>
  <c r="H19" i="4"/>
  <c r="O19" i="4" s="1"/>
  <c r="H18" i="4"/>
  <c r="H17" i="4"/>
  <c r="H16" i="4"/>
  <c r="H15" i="4"/>
  <c r="N15" i="4" s="1"/>
  <c r="H14" i="4"/>
  <c r="H13" i="4"/>
  <c r="H12" i="4"/>
  <c r="H11" i="4"/>
  <c r="H10" i="4"/>
  <c r="D194" i="4"/>
  <c r="I194" i="4" s="1"/>
  <c r="D193" i="4"/>
  <c r="I193" i="4" s="1"/>
  <c r="D192" i="4"/>
  <c r="I192" i="4" s="1"/>
  <c r="D191" i="4"/>
  <c r="D190" i="4"/>
  <c r="D189" i="4"/>
  <c r="D188" i="4"/>
  <c r="D187" i="4"/>
  <c r="D186" i="4"/>
  <c r="H186" i="4" s="1"/>
  <c r="D185" i="4"/>
  <c r="H185" i="4" s="1"/>
  <c r="D184" i="4"/>
  <c r="I184" i="4" s="1"/>
  <c r="D183" i="4"/>
  <c r="D182" i="4"/>
  <c r="M182" i="4" s="1"/>
  <c r="T182" i="4" s="1"/>
  <c r="D181" i="4"/>
  <c r="M181" i="4" s="1"/>
  <c r="T181" i="4" s="1"/>
  <c r="D180" i="4"/>
  <c r="M180" i="4" s="1"/>
  <c r="T180" i="4" s="1"/>
  <c r="D179" i="4"/>
  <c r="M179" i="4" s="1"/>
  <c r="D178" i="4"/>
  <c r="D177" i="4"/>
  <c r="H177" i="4" s="1"/>
  <c r="O177" i="4" s="1"/>
  <c r="D176" i="4"/>
  <c r="D175" i="4"/>
  <c r="I175" i="4" s="1"/>
  <c r="D174" i="4"/>
  <c r="I174" i="4" s="1"/>
  <c r="D173" i="4"/>
  <c r="I173" i="4" s="1"/>
  <c r="D172" i="4"/>
  <c r="I172" i="4" s="1"/>
  <c r="D171" i="4"/>
  <c r="I171" i="4" s="1"/>
  <c r="D170" i="4"/>
  <c r="H170" i="4" s="1"/>
  <c r="D169" i="4"/>
  <c r="D168" i="4"/>
  <c r="D167" i="4"/>
  <c r="D166" i="4"/>
  <c r="D165" i="4"/>
  <c r="D164" i="4"/>
  <c r="D163" i="4"/>
  <c r="D162" i="4"/>
  <c r="M162" i="4" s="1"/>
  <c r="D161" i="4"/>
  <c r="M161" i="4" s="1"/>
  <c r="T161" i="4" s="1"/>
  <c r="D160" i="4"/>
  <c r="M160" i="4" s="1"/>
  <c r="D159" i="4"/>
  <c r="M159" i="4" s="1"/>
  <c r="T159" i="4" s="1"/>
  <c r="D158" i="4"/>
  <c r="D157" i="4"/>
  <c r="H157" i="4" s="1"/>
  <c r="D156" i="4"/>
  <c r="D155" i="4"/>
  <c r="I155" i="4" s="1"/>
  <c r="P155" i="4" s="1"/>
  <c r="D154" i="4"/>
  <c r="I154" i="4" s="1"/>
  <c r="D153" i="4"/>
  <c r="I153" i="4" s="1"/>
  <c r="D152" i="4"/>
  <c r="I152" i="4" s="1"/>
  <c r="D151" i="4"/>
  <c r="D150" i="4"/>
  <c r="D149" i="4"/>
  <c r="D148" i="4"/>
  <c r="D147" i="4"/>
  <c r="D146" i="4"/>
  <c r="D145" i="4"/>
  <c r="D144" i="4"/>
  <c r="M144" i="4" s="1"/>
  <c r="T144" i="4" s="1"/>
  <c r="D143" i="4"/>
  <c r="M143" i="4" s="1"/>
  <c r="T143" i="4" s="1"/>
  <c r="D142" i="4"/>
  <c r="M142" i="4" s="1"/>
  <c r="T142" i="4" s="1"/>
  <c r="D141" i="4"/>
  <c r="M141" i="4" s="1"/>
  <c r="T141" i="4" s="1"/>
  <c r="D140" i="4"/>
  <c r="M140" i="4" s="1"/>
  <c r="T140" i="4" s="1"/>
  <c r="D139" i="4"/>
  <c r="M139" i="4" s="1"/>
  <c r="D138" i="4"/>
  <c r="D137" i="4"/>
  <c r="D136" i="4"/>
  <c r="D135" i="4"/>
  <c r="I135" i="4" s="1"/>
  <c r="D134" i="4"/>
  <c r="I134" i="4" s="1"/>
  <c r="D133" i="4"/>
  <c r="I133" i="4" s="1"/>
  <c r="D132" i="4"/>
  <c r="I132" i="4" s="1"/>
  <c r="D131" i="4"/>
  <c r="H131" i="4" s="1"/>
  <c r="O131" i="4" s="1"/>
  <c r="D130" i="4"/>
  <c r="H130" i="4" s="1"/>
  <c r="D129" i="4"/>
  <c r="D128" i="4"/>
  <c r="D127" i="4"/>
  <c r="D126" i="4"/>
  <c r="D125" i="4"/>
  <c r="D124" i="4"/>
  <c r="H124" i="4" s="1"/>
  <c r="D123" i="4"/>
  <c r="D122" i="4"/>
  <c r="M122" i="4" s="1"/>
  <c r="T122" i="4" s="1"/>
  <c r="D121" i="4"/>
  <c r="M121" i="4" s="1"/>
  <c r="D120" i="4"/>
  <c r="M120" i="4" s="1"/>
  <c r="D119" i="4"/>
  <c r="M119" i="4" s="1"/>
  <c r="D118" i="4"/>
  <c r="D117" i="4"/>
  <c r="D116" i="4"/>
  <c r="H116" i="4" s="1"/>
  <c r="O116" i="4" s="1"/>
  <c r="D115" i="4"/>
  <c r="I115" i="4" s="1"/>
  <c r="D114" i="4"/>
  <c r="I114" i="4" s="1"/>
  <c r="P114" i="4" s="1"/>
  <c r="D113" i="4"/>
  <c r="I113" i="4" s="1"/>
  <c r="P113" i="4" s="1"/>
  <c r="D112" i="4"/>
  <c r="I112" i="4" s="1"/>
  <c r="P112" i="4" s="1"/>
  <c r="D111" i="4"/>
  <c r="D110" i="4"/>
  <c r="D109" i="4"/>
  <c r="D108" i="4"/>
  <c r="D107" i="4"/>
  <c r="D106" i="4"/>
  <c r="D105" i="4"/>
  <c r="D104" i="4"/>
  <c r="D103" i="4"/>
  <c r="D102" i="4"/>
  <c r="M102" i="4" s="1"/>
  <c r="D101" i="4"/>
  <c r="M101" i="4" s="1"/>
  <c r="D100" i="4"/>
  <c r="D99" i="4"/>
  <c r="M99" i="4" s="1"/>
  <c r="D98" i="4"/>
  <c r="D97" i="4"/>
  <c r="D96" i="4"/>
  <c r="D95" i="4"/>
  <c r="I95" i="4" s="1"/>
  <c r="D94" i="4"/>
  <c r="I94" i="4" s="1"/>
  <c r="D93" i="4"/>
  <c r="I93" i="4" s="1"/>
  <c r="D92" i="4"/>
  <c r="I92" i="4" s="1"/>
  <c r="D91" i="4"/>
  <c r="D90" i="4"/>
  <c r="D89" i="4"/>
  <c r="D88" i="4"/>
  <c r="D87" i="4"/>
  <c r="D86" i="4"/>
  <c r="H86" i="4" s="1"/>
  <c r="D85" i="4"/>
  <c r="H85" i="4" s="1"/>
  <c r="D84" i="4"/>
  <c r="I84" i="4" s="1"/>
  <c r="P84" i="4" s="1"/>
  <c r="D83" i="4"/>
  <c r="D82" i="4"/>
  <c r="M82" i="4" s="1"/>
  <c r="T82" i="4" s="1"/>
  <c r="D81" i="4"/>
  <c r="M81" i="4" s="1"/>
  <c r="T81" i="4" s="1"/>
  <c r="D80" i="4"/>
  <c r="M80" i="4" s="1"/>
  <c r="T80" i="4" s="1"/>
  <c r="D79" i="4"/>
  <c r="M79" i="4" s="1"/>
  <c r="D78" i="4"/>
  <c r="D77" i="4"/>
  <c r="M77" i="4" s="1"/>
  <c r="D76" i="4"/>
  <c r="D75" i="4"/>
  <c r="I75" i="4" s="1"/>
  <c r="D74" i="4"/>
  <c r="I74" i="4" s="1"/>
  <c r="D73" i="4"/>
  <c r="I73" i="4" s="1"/>
  <c r="D72" i="4"/>
  <c r="I72" i="4" s="1"/>
  <c r="D71" i="4"/>
  <c r="I71" i="4" s="1"/>
  <c r="D70" i="4"/>
  <c r="I70" i="4" s="1"/>
  <c r="D69" i="4"/>
  <c r="D68" i="4"/>
  <c r="D67" i="4"/>
  <c r="D66" i="4"/>
  <c r="D65" i="4"/>
  <c r="D64" i="4"/>
  <c r="D63" i="4"/>
  <c r="D62" i="4"/>
  <c r="M62" i="4" s="1"/>
  <c r="T62" i="4" s="1"/>
  <c r="D61" i="4"/>
  <c r="M61" i="4" s="1"/>
  <c r="D60" i="4"/>
  <c r="M60" i="4" s="1"/>
  <c r="D59" i="4"/>
  <c r="M59" i="4" s="1"/>
  <c r="T59" i="4" s="1"/>
  <c r="D58" i="4"/>
  <c r="D57" i="4"/>
  <c r="H57" i="4" s="1"/>
  <c r="D56" i="4"/>
  <c r="D55" i="4"/>
  <c r="D54" i="4"/>
  <c r="I54" i="4" s="1"/>
  <c r="P54" i="4" s="1"/>
  <c r="D53" i="4"/>
  <c r="I53" i="4" s="1"/>
  <c r="D52" i="4"/>
  <c r="I52" i="4" s="1"/>
  <c r="D51" i="4"/>
  <c r="D50" i="4"/>
  <c r="D49" i="4"/>
  <c r="D48" i="4"/>
  <c r="D47" i="4"/>
  <c r="D46" i="4"/>
  <c r="D45" i="4"/>
  <c r="D44" i="4"/>
  <c r="D43" i="4"/>
  <c r="M43" i="4" s="1"/>
  <c r="T43" i="4" s="1"/>
  <c r="D42" i="4"/>
  <c r="M42" i="4" s="1"/>
  <c r="T42" i="4" s="1"/>
  <c r="D41" i="4"/>
  <c r="M41" i="4" s="1"/>
  <c r="D40" i="4"/>
  <c r="M40" i="4" s="1"/>
  <c r="D39" i="4"/>
  <c r="M39" i="4" s="1"/>
  <c r="D38" i="4"/>
  <c r="D37" i="4"/>
  <c r="H37" i="4" s="1"/>
  <c r="O37" i="4" s="1"/>
  <c r="D36" i="4"/>
  <c r="D35" i="4"/>
  <c r="I35" i="4" s="1"/>
  <c r="D34" i="4"/>
  <c r="I34" i="4" s="1"/>
  <c r="D33" i="4"/>
  <c r="I33" i="4" s="1"/>
  <c r="D32" i="4"/>
  <c r="I32" i="4" s="1"/>
  <c r="D31" i="4"/>
  <c r="H31" i="4" s="1"/>
  <c r="D30" i="4"/>
  <c r="H30" i="4" s="1"/>
  <c r="D29" i="4"/>
  <c r="D28" i="4"/>
  <c r="D27" i="4"/>
  <c r="D26" i="4"/>
  <c r="D25" i="4"/>
  <c r="H25" i="4" s="1"/>
  <c r="D24" i="4"/>
  <c r="D23" i="4"/>
  <c r="D22" i="4"/>
  <c r="M22" i="4" s="1"/>
  <c r="T22" i="4" s="1"/>
  <c r="D21" i="4"/>
  <c r="M21" i="4" s="1"/>
  <c r="T21" i="4" s="1"/>
  <c r="D20" i="4"/>
  <c r="M20" i="4" s="1"/>
  <c r="T20" i="4" s="1"/>
  <c r="D19" i="4"/>
  <c r="M19" i="4" s="1"/>
  <c r="D18" i="4"/>
  <c r="D17" i="4"/>
  <c r="M17" i="4" s="1"/>
  <c r="T17" i="4" s="1"/>
  <c r="D16" i="4"/>
  <c r="D15" i="4"/>
  <c r="I15" i="4" s="1"/>
  <c r="P15" i="4" s="1"/>
  <c r="D14" i="4"/>
  <c r="I14" i="4" s="1"/>
  <c r="D13" i="4"/>
  <c r="I13" i="4" s="1"/>
  <c r="D12" i="4"/>
  <c r="I12" i="4" s="1"/>
  <c r="D11" i="4"/>
  <c r="M11" i="4" s="1"/>
  <c r="D10" i="4"/>
  <c r="M10" i="4" s="1"/>
  <c r="D9" i="4"/>
  <c r="D8" i="4"/>
  <c r="D7" i="4"/>
  <c r="D6" i="4"/>
  <c r="D5" i="4"/>
  <c r="D4" i="4"/>
  <c r="D3" i="4"/>
  <c r="D2" i="4"/>
  <c r="M2" i="4" s="1"/>
  <c r="M157" i="3"/>
  <c r="M156" i="3"/>
  <c r="M145" i="3"/>
  <c r="M131" i="3"/>
  <c r="T131" i="3" s="1"/>
  <c r="M127" i="3"/>
  <c r="M125" i="3"/>
  <c r="M124" i="3"/>
  <c r="M123" i="3"/>
  <c r="M118" i="3"/>
  <c r="M117" i="3"/>
  <c r="M105" i="3"/>
  <c r="M104" i="3"/>
  <c r="M103" i="3"/>
  <c r="M85" i="3"/>
  <c r="T85" i="3" s="1"/>
  <c r="M66" i="3"/>
  <c r="M65" i="3"/>
  <c r="M64" i="3"/>
  <c r="M63" i="3"/>
  <c r="T63" i="3" s="1"/>
  <c r="M57" i="3"/>
  <c r="T57" i="3" s="1"/>
  <c r="M56" i="3"/>
  <c r="T56" i="3" s="1"/>
  <c r="M45" i="3"/>
  <c r="M25" i="3"/>
  <c r="M24" i="3"/>
  <c r="M23" i="3"/>
  <c r="M17" i="3"/>
  <c r="M16" i="3"/>
  <c r="T16" i="3" s="1"/>
  <c r="M11" i="3"/>
  <c r="M5" i="3"/>
  <c r="M4" i="3"/>
  <c r="M3" i="3"/>
  <c r="T3" i="3" s="1"/>
  <c r="I145" i="3"/>
  <c r="I125" i="3"/>
  <c r="I124" i="3"/>
  <c r="I123" i="3"/>
  <c r="I118" i="3"/>
  <c r="I117" i="3"/>
  <c r="I105" i="3"/>
  <c r="I90" i="3"/>
  <c r="I87" i="3"/>
  <c r="I86" i="3"/>
  <c r="P86" i="3" s="1"/>
  <c r="I85" i="3"/>
  <c r="N85" i="3" s="1"/>
  <c r="I84" i="3"/>
  <c r="N84" i="3" s="1"/>
  <c r="I83" i="3"/>
  <c r="P83" i="3" s="1"/>
  <c r="I77" i="3"/>
  <c r="P77" i="3" s="1"/>
  <c r="I65" i="3"/>
  <c r="I64" i="3"/>
  <c r="I63" i="3"/>
  <c r="P63" i="3" s="1"/>
  <c r="I57" i="3"/>
  <c r="P57" i="3" s="1"/>
  <c r="I25" i="3"/>
  <c r="I24" i="3"/>
  <c r="I23" i="3"/>
  <c r="I17" i="3"/>
  <c r="I16" i="3"/>
  <c r="I12" i="3"/>
  <c r="P12" i="3" s="1"/>
  <c r="I11" i="3"/>
  <c r="P11" i="3" s="1"/>
  <c r="I10" i="3"/>
  <c r="P10" i="3" s="1"/>
  <c r="I5" i="3"/>
  <c r="H147" i="3"/>
  <c r="O147" i="3" s="1"/>
  <c r="H145" i="3"/>
  <c r="H144" i="3"/>
  <c r="N144" i="3" s="1"/>
  <c r="H143" i="3"/>
  <c r="N143" i="3" s="1"/>
  <c r="H137" i="3"/>
  <c r="H125" i="3"/>
  <c r="H124" i="3"/>
  <c r="H123" i="3"/>
  <c r="H118" i="3"/>
  <c r="H117" i="3"/>
  <c r="O117" i="3" s="1"/>
  <c r="H105" i="3"/>
  <c r="H90" i="3"/>
  <c r="O90" i="3" s="1"/>
  <c r="H85" i="3"/>
  <c r="O85" i="3" s="1"/>
  <c r="H84" i="3"/>
  <c r="H83" i="3"/>
  <c r="H77" i="3"/>
  <c r="H76" i="3"/>
  <c r="H72" i="3"/>
  <c r="H71" i="3"/>
  <c r="H65" i="3"/>
  <c r="H63" i="3"/>
  <c r="O63" i="3" s="1"/>
  <c r="H57" i="3"/>
  <c r="O57" i="3" s="1"/>
  <c r="H45" i="3"/>
  <c r="H44" i="3"/>
  <c r="H43" i="3"/>
  <c r="O43" i="3" s="1"/>
  <c r="H25" i="3"/>
  <c r="O25" i="3" s="1"/>
  <c r="H24" i="3"/>
  <c r="N24" i="3" s="1"/>
  <c r="H23" i="3"/>
  <c r="O23" i="3" s="1"/>
  <c r="H17" i="3"/>
  <c r="H16" i="3"/>
  <c r="H12" i="3"/>
  <c r="H11" i="3"/>
  <c r="H10" i="3"/>
  <c r="H5" i="3"/>
  <c r="D161" i="3"/>
  <c r="M161" i="3" s="1"/>
  <c r="D160" i="3"/>
  <c r="M160" i="3" s="1"/>
  <c r="T160" i="3" s="1"/>
  <c r="D159" i="3"/>
  <c r="M159" i="3" s="1"/>
  <c r="D158" i="3"/>
  <c r="M158" i="3" s="1"/>
  <c r="D157" i="3"/>
  <c r="H157" i="3" s="1"/>
  <c r="D156" i="3"/>
  <c r="D155" i="3"/>
  <c r="M155" i="3" s="1"/>
  <c r="T155" i="3" s="1"/>
  <c r="D154" i="3"/>
  <c r="M154" i="3" s="1"/>
  <c r="D153" i="3"/>
  <c r="M153" i="3" s="1"/>
  <c r="D152" i="3"/>
  <c r="D151" i="3"/>
  <c r="D150" i="3"/>
  <c r="D149" i="3"/>
  <c r="D148" i="3"/>
  <c r="M148" i="3" s="1"/>
  <c r="T148" i="3" s="1"/>
  <c r="D147" i="3"/>
  <c r="D146" i="3"/>
  <c r="D145" i="3"/>
  <c r="D144" i="3"/>
  <c r="I144" i="3" s="1"/>
  <c r="D143" i="3"/>
  <c r="I143" i="3" s="1"/>
  <c r="D142" i="3"/>
  <c r="M142" i="3" s="1"/>
  <c r="D141" i="3"/>
  <c r="M141" i="3" s="1"/>
  <c r="T141" i="3" s="1"/>
  <c r="D140" i="3"/>
  <c r="M140" i="3" s="1"/>
  <c r="D139" i="3"/>
  <c r="M139" i="3" s="1"/>
  <c r="D138" i="3"/>
  <c r="M138" i="3" s="1"/>
  <c r="D137" i="3"/>
  <c r="D136" i="3"/>
  <c r="D135" i="3"/>
  <c r="D134" i="3"/>
  <c r="D133" i="3"/>
  <c r="M133" i="3" s="1"/>
  <c r="D132" i="3"/>
  <c r="D131" i="3"/>
  <c r="D130" i="3"/>
  <c r="D129" i="3"/>
  <c r="D128" i="3"/>
  <c r="M128" i="3" s="1"/>
  <c r="T128" i="3" s="1"/>
  <c r="D127" i="3"/>
  <c r="D126" i="3"/>
  <c r="D125" i="3"/>
  <c r="D124" i="3"/>
  <c r="D123" i="3"/>
  <c r="D122" i="3"/>
  <c r="M122" i="3" s="1"/>
  <c r="D121" i="3"/>
  <c r="M121" i="3" s="1"/>
  <c r="T121" i="3" s="1"/>
  <c r="D120" i="3"/>
  <c r="M120" i="3" s="1"/>
  <c r="D119" i="3"/>
  <c r="M119" i="3" s="1"/>
  <c r="D118" i="3"/>
  <c r="D117" i="3"/>
  <c r="D116" i="3"/>
  <c r="M116" i="3" s="1"/>
  <c r="T116" i="3" s="1"/>
  <c r="D115" i="3"/>
  <c r="D114" i="3"/>
  <c r="D113" i="3"/>
  <c r="M113" i="3" s="1"/>
  <c r="D112" i="3"/>
  <c r="M112" i="3" s="1"/>
  <c r="T112" i="3" s="1"/>
  <c r="D111" i="3"/>
  <c r="D110" i="3"/>
  <c r="D109" i="3"/>
  <c r="D108" i="3"/>
  <c r="D107" i="3"/>
  <c r="D106" i="3"/>
  <c r="D105" i="3"/>
  <c r="D104" i="3"/>
  <c r="H104" i="3" s="1"/>
  <c r="D103" i="3"/>
  <c r="H103" i="3" s="1"/>
  <c r="D102" i="3"/>
  <c r="M102" i="3" s="1"/>
  <c r="D101" i="3"/>
  <c r="D100" i="3"/>
  <c r="M100" i="3" s="1"/>
  <c r="D99" i="3"/>
  <c r="D98" i="3"/>
  <c r="M98" i="3" s="1"/>
  <c r="T98" i="3" s="1"/>
  <c r="D97" i="3"/>
  <c r="D96" i="3"/>
  <c r="D95" i="3"/>
  <c r="D94" i="3"/>
  <c r="D93" i="3"/>
  <c r="M93" i="3" s="1"/>
  <c r="D92" i="3"/>
  <c r="D91" i="3"/>
  <c r="I91" i="3" s="1"/>
  <c r="P91" i="3" s="1"/>
  <c r="D90" i="3"/>
  <c r="M90" i="3" s="1"/>
  <c r="T90" i="3" s="1"/>
  <c r="D89" i="3"/>
  <c r="D88" i="3"/>
  <c r="D87" i="3"/>
  <c r="D86" i="3"/>
  <c r="M86" i="3" s="1"/>
  <c r="T86" i="3" s="1"/>
  <c r="D85" i="3"/>
  <c r="D84" i="3"/>
  <c r="M84" i="3" s="1"/>
  <c r="D83" i="3"/>
  <c r="M83" i="3" s="1"/>
  <c r="D82" i="3"/>
  <c r="M82" i="3" s="1"/>
  <c r="D81" i="3"/>
  <c r="D80" i="3"/>
  <c r="M80" i="3" s="1"/>
  <c r="D79" i="3"/>
  <c r="D78" i="3"/>
  <c r="M78" i="3" s="1"/>
  <c r="D77" i="3"/>
  <c r="M77" i="3" s="1"/>
  <c r="D76" i="3"/>
  <c r="D75" i="3"/>
  <c r="D74" i="3"/>
  <c r="D73" i="3"/>
  <c r="M73" i="3" s="1"/>
  <c r="D72" i="3"/>
  <c r="D71" i="3"/>
  <c r="D70" i="3"/>
  <c r="D69" i="3"/>
  <c r="D68" i="3"/>
  <c r="D67" i="3"/>
  <c r="M67" i="3" s="1"/>
  <c r="T67" i="3" s="1"/>
  <c r="D66" i="3"/>
  <c r="D65" i="3"/>
  <c r="D64" i="3"/>
  <c r="H64" i="3" s="1"/>
  <c r="O64" i="3" s="1"/>
  <c r="D63" i="3"/>
  <c r="D62" i="3"/>
  <c r="M62" i="3" s="1"/>
  <c r="D61" i="3"/>
  <c r="D60" i="3"/>
  <c r="M60" i="3" s="1"/>
  <c r="D59" i="3"/>
  <c r="D58" i="3"/>
  <c r="M58" i="3" s="1"/>
  <c r="D57" i="3"/>
  <c r="D56" i="3"/>
  <c r="H56" i="3" s="1"/>
  <c r="D55" i="3"/>
  <c r="D54" i="3"/>
  <c r="D53" i="3"/>
  <c r="M53" i="3" s="1"/>
  <c r="D52" i="3"/>
  <c r="D51" i="3"/>
  <c r="D50" i="3"/>
  <c r="D49" i="3"/>
  <c r="D48" i="3"/>
  <c r="D47" i="3"/>
  <c r="D46" i="3"/>
  <c r="D45" i="3"/>
  <c r="I45" i="3" s="1"/>
  <c r="P45" i="3" s="1"/>
  <c r="D44" i="3"/>
  <c r="I44" i="3" s="1"/>
  <c r="D43" i="3"/>
  <c r="I43" i="3" s="1"/>
  <c r="D42" i="3"/>
  <c r="M42" i="3" s="1"/>
  <c r="D41" i="3"/>
  <c r="D40" i="3"/>
  <c r="M40" i="3" s="1"/>
  <c r="T40" i="3" s="1"/>
  <c r="D39" i="3"/>
  <c r="D38" i="3"/>
  <c r="M38" i="3" s="1"/>
  <c r="D37" i="3"/>
  <c r="D36" i="3"/>
  <c r="D35" i="3"/>
  <c r="D34" i="3"/>
  <c r="D33" i="3"/>
  <c r="D32" i="3"/>
  <c r="D31" i="3"/>
  <c r="D30" i="3"/>
  <c r="D29" i="3"/>
  <c r="D28" i="3"/>
  <c r="D27" i="3"/>
  <c r="D26" i="3"/>
  <c r="D25" i="3"/>
  <c r="D24" i="3"/>
  <c r="D23" i="3"/>
  <c r="D22" i="3"/>
  <c r="M22" i="3" s="1"/>
  <c r="D21" i="3"/>
  <c r="D20" i="3"/>
  <c r="M20" i="3" s="1"/>
  <c r="D19" i="3"/>
  <c r="D18" i="3"/>
  <c r="D17" i="3"/>
  <c r="D16" i="3"/>
  <c r="D15" i="3"/>
  <c r="D14" i="3"/>
  <c r="D13" i="3"/>
  <c r="D12" i="3"/>
  <c r="M12" i="3" s="1"/>
  <c r="T12" i="3" s="1"/>
  <c r="D11" i="3"/>
  <c r="D10" i="3"/>
  <c r="M10" i="3" s="1"/>
  <c r="T10" i="3" s="1"/>
  <c r="D9" i="3"/>
  <c r="D8" i="3"/>
  <c r="D7" i="3"/>
  <c r="D6" i="3"/>
  <c r="D5" i="3"/>
  <c r="D4" i="3"/>
  <c r="H4" i="3" s="1"/>
  <c r="D3" i="3"/>
  <c r="H3" i="3" s="1"/>
  <c r="D2" i="3"/>
  <c r="M114" i="2"/>
  <c r="M113" i="2"/>
  <c r="M110" i="2"/>
  <c r="M109" i="2"/>
  <c r="M108" i="2"/>
  <c r="M107" i="2"/>
  <c r="M106" i="2"/>
  <c r="M105" i="2"/>
  <c r="M104" i="2"/>
  <c r="M93" i="2"/>
  <c r="T93" i="2" s="1"/>
  <c r="M92" i="2"/>
  <c r="T92" i="2" s="1"/>
  <c r="M91" i="2"/>
  <c r="T91" i="2" s="1"/>
  <c r="M90" i="2"/>
  <c r="T90" i="2" s="1"/>
  <c r="M89" i="2"/>
  <c r="M88" i="2"/>
  <c r="M87" i="2"/>
  <c r="M86" i="2"/>
  <c r="M85" i="2"/>
  <c r="M84" i="2"/>
  <c r="T84" i="2" s="1"/>
  <c r="M70" i="2"/>
  <c r="M69" i="2"/>
  <c r="M68" i="2"/>
  <c r="M67" i="2"/>
  <c r="T67" i="2" s="1"/>
  <c r="M66" i="2"/>
  <c r="M65" i="2"/>
  <c r="M64" i="2"/>
  <c r="M61" i="2"/>
  <c r="T61" i="2" s="1"/>
  <c r="M50" i="2"/>
  <c r="M49" i="2"/>
  <c r="M48" i="2"/>
  <c r="M47" i="2"/>
  <c r="M46" i="2"/>
  <c r="T46" i="2" s="1"/>
  <c r="M45" i="2"/>
  <c r="T45" i="2" s="1"/>
  <c r="M44" i="2"/>
  <c r="M41" i="2"/>
  <c r="T41" i="2" s="1"/>
  <c r="M40" i="2"/>
  <c r="M30" i="2"/>
  <c r="M29" i="2"/>
  <c r="M28" i="2"/>
  <c r="M27" i="2"/>
  <c r="M26" i="2"/>
  <c r="M25" i="2"/>
  <c r="M24" i="2"/>
  <c r="M20" i="2"/>
  <c r="M10" i="2"/>
  <c r="M9" i="2"/>
  <c r="T9" i="2" s="1"/>
  <c r="M8" i="2"/>
  <c r="T8" i="2" s="1"/>
  <c r="M7" i="2"/>
  <c r="M6" i="2"/>
  <c r="M5" i="2"/>
  <c r="T5" i="2" s="1"/>
  <c r="M4" i="2"/>
  <c r="T4" i="2" s="1"/>
  <c r="I119" i="2"/>
  <c r="N119" i="2" s="1"/>
  <c r="I118" i="2"/>
  <c r="P118" i="2" s="1"/>
  <c r="I110" i="2"/>
  <c r="I107" i="2"/>
  <c r="I106" i="2"/>
  <c r="I105" i="2"/>
  <c r="I104" i="2"/>
  <c r="I101" i="2"/>
  <c r="I100" i="2"/>
  <c r="I99" i="2"/>
  <c r="I96" i="2"/>
  <c r="I95" i="2"/>
  <c r="I90" i="2"/>
  <c r="I87" i="2"/>
  <c r="I86" i="2"/>
  <c r="P86" i="2" s="1"/>
  <c r="I85" i="2"/>
  <c r="I84" i="2"/>
  <c r="I81" i="2"/>
  <c r="I80" i="2"/>
  <c r="I70" i="2"/>
  <c r="I66" i="2"/>
  <c r="I65" i="2"/>
  <c r="I64" i="2"/>
  <c r="I61" i="2"/>
  <c r="P61" i="2" s="1"/>
  <c r="I60" i="2"/>
  <c r="P60" i="2" s="1"/>
  <c r="I59" i="2"/>
  <c r="P59" i="2" s="1"/>
  <c r="I58" i="2"/>
  <c r="P58" i="2" s="1"/>
  <c r="I57" i="2"/>
  <c r="I56" i="2"/>
  <c r="I55" i="2"/>
  <c r="I50" i="2"/>
  <c r="I47" i="2"/>
  <c r="I46" i="2"/>
  <c r="I45" i="2"/>
  <c r="I44" i="2"/>
  <c r="I41" i="2"/>
  <c r="I40" i="2"/>
  <c r="I38" i="2"/>
  <c r="I37" i="2"/>
  <c r="I35" i="2"/>
  <c r="I30" i="2"/>
  <c r="I27" i="2"/>
  <c r="N27" i="2" s="1"/>
  <c r="I26" i="2"/>
  <c r="I25" i="2"/>
  <c r="N25" i="2" s="1"/>
  <c r="I24" i="2"/>
  <c r="N24" i="2" s="1"/>
  <c r="I16" i="2"/>
  <c r="I15" i="2"/>
  <c r="I10" i="2"/>
  <c r="I7" i="2"/>
  <c r="I6" i="2"/>
  <c r="P6" i="2" s="1"/>
  <c r="I5" i="2"/>
  <c r="I4" i="2"/>
  <c r="H119" i="2"/>
  <c r="H118" i="2"/>
  <c r="N118" i="2" s="1"/>
  <c r="H117" i="2"/>
  <c r="H116" i="2"/>
  <c r="H115" i="2"/>
  <c r="H114" i="2"/>
  <c r="N114" i="2" s="1"/>
  <c r="H110" i="2"/>
  <c r="H107" i="2"/>
  <c r="H105" i="2"/>
  <c r="H104" i="2"/>
  <c r="H101" i="2"/>
  <c r="H100" i="2"/>
  <c r="H99" i="2"/>
  <c r="O99" i="2" s="1"/>
  <c r="H98" i="2"/>
  <c r="O98" i="2" s="1"/>
  <c r="H94" i="2"/>
  <c r="H93" i="2"/>
  <c r="H90" i="2"/>
  <c r="H87" i="2"/>
  <c r="H85" i="2"/>
  <c r="H84" i="2"/>
  <c r="H81" i="2"/>
  <c r="H80" i="2"/>
  <c r="H79" i="2"/>
  <c r="H78" i="2"/>
  <c r="H77" i="2"/>
  <c r="O77" i="2" s="1"/>
  <c r="H74" i="2"/>
  <c r="H73" i="2"/>
  <c r="H70" i="2"/>
  <c r="H65" i="2"/>
  <c r="N65" i="2" s="1"/>
  <c r="H64" i="2"/>
  <c r="N64" i="2" s="1"/>
  <c r="H61" i="2"/>
  <c r="O61" i="2" s="1"/>
  <c r="H60" i="2"/>
  <c r="H59" i="2"/>
  <c r="H54" i="2"/>
  <c r="H53" i="2"/>
  <c r="H50" i="2"/>
  <c r="H47" i="2"/>
  <c r="H45" i="2"/>
  <c r="H44" i="2"/>
  <c r="N44" i="2" s="1"/>
  <c r="H41" i="2"/>
  <c r="O41" i="2" s="1"/>
  <c r="H40" i="2"/>
  <c r="O40" i="2" s="1"/>
  <c r="H39" i="2"/>
  <c r="H38" i="2"/>
  <c r="H37" i="2"/>
  <c r="H36" i="2"/>
  <c r="H35" i="2"/>
  <c r="N35" i="2" s="1"/>
  <c r="H34" i="2"/>
  <c r="H30" i="2"/>
  <c r="H27" i="2"/>
  <c r="H25" i="2"/>
  <c r="H24" i="2"/>
  <c r="H21" i="2"/>
  <c r="H20" i="2"/>
  <c r="H19" i="2"/>
  <c r="H18" i="2"/>
  <c r="H17" i="2"/>
  <c r="H16" i="2"/>
  <c r="H15" i="2"/>
  <c r="N15" i="2" s="1"/>
  <c r="H14" i="2"/>
  <c r="H13" i="2"/>
  <c r="H10" i="2"/>
  <c r="N10" i="2" s="1"/>
  <c r="H7" i="2"/>
  <c r="H5" i="2"/>
  <c r="H4" i="2"/>
  <c r="D119" i="2"/>
  <c r="M119" i="2" s="1"/>
  <c r="D118" i="2"/>
  <c r="M118" i="2" s="1"/>
  <c r="D117" i="2"/>
  <c r="M117" i="2" s="1"/>
  <c r="D116" i="2"/>
  <c r="D115" i="2"/>
  <c r="M115" i="2" s="1"/>
  <c r="D114" i="2"/>
  <c r="I114" i="2" s="1"/>
  <c r="D113" i="2"/>
  <c r="I113" i="2" s="1"/>
  <c r="D112" i="2"/>
  <c r="D111" i="2"/>
  <c r="D110" i="2"/>
  <c r="D109" i="2"/>
  <c r="H109" i="2" s="1"/>
  <c r="D108" i="2"/>
  <c r="H108" i="2" s="1"/>
  <c r="D107" i="2"/>
  <c r="D106" i="2"/>
  <c r="H106" i="2" s="1"/>
  <c r="N106" i="2" s="1"/>
  <c r="D105" i="2"/>
  <c r="D104" i="2"/>
  <c r="D103" i="2"/>
  <c r="D102" i="2"/>
  <c r="D101" i="2"/>
  <c r="M101" i="2" s="1"/>
  <c r="D100" i="2"/>
  <c r="M100" i="2" s="1"/>
  <c r="D99" i="2"/>
  <c r="M99" i="2" s="1"/>
  <c r="D98" i="2"/>
  <c r="M98" i="2" s="1"/>
  <c r="D97" i="2"/>
  <c r="D96" i="2"/>
  <c r="M96" i="2" s="1"/>
  <c r="D95" i="2"/>
  <c r="M95" i="2" s="1"/>
  <c r="T95" i="2" s="1"/>
  <c r="D94" i="2"/>
  <c r="D93" i="2"/>
  <c r="I93" i="2" s="1"/>
  <c r="D92" i="2"/>
  <c r="D91" i="2"/>
  <c r="D90" i="2"/>
  <c r="D89" i="2"/>
  <c r="H89" i="2" s="1"/>
  <c r="O89" i="2" s="1"/>
  <c r="D88" i="2"/>
  <c r="H88" i="2" s="1"/>
  <c r="O88" i="2" s="1"/>
  <c r="D87" i="2"/>
  <c r="D86" i="2"/>
  <c r="H86" i="2" s="1"/>
  <c r="D85" i="2"/>
  <c r="D84" i="2"/>
  <c r="D83" i="2"/>
  <c r="D82" i="2"/>
  <c r="D81" i="2"/>
  <c r="M81" i="2" s="1"/>
  <c r="D80" i="2"/>
  <c r="M80" i="2" s="1"/>
  <c r="D79" i="2"/>
  <c r="M79" i="2" s="1"/>
  <c r="D78" i="2"/>
  <c r="M78" i="2" s="1"/>
  <c r="D77" i="2"/>
  <c r="D76" i="2"/>
  <c r="D75" i="2"/>
  <c r="D74" i="2"/>
  <c r="D73" i="2"/>
  <c r="D72" i="2"/>
  <c r="D71" i="2"/>
  <c r="D70" i="2"/>
  <c r="D69" i="2"/>
  <c r="H69" i="2" s="1"/>
  <c r="D68" i="2"/>
  <c r="H68" i="2" s="1"/>
  <c r="D67" i="2"/>
  <c r="I67" i="2" s="1"/>
  <c r="P67" i="2" s="1"/>
  <c r="D66" i="2"/>
  <c r="H66" i="2" s="1"/>
  <c r="N66" i="2" s="1"/>
  <c r="D65" i="2"/>
  <c r="D64" i="2"/>
  <c r="D63" i="2"/>
  <c r="D62" i="2"/>
  <c r="D61" i="2"/>
  <c r="D60" i="2"/>
  <c r="M60" i="2" s="1"/>
  <c r="D59" i="2"/>
  <c r="M59" i="2" s="1"/>
  <c r="D58" i="2"/>
  <c r="M58" i="2" s="1"/>
  <c r="D57" i="2"/>
  <c r="D56" i="2"/>
  <c r="D55" i="2"/>
  <c r="D54" i="2"/>
  <c r="D53" i="2"/>
  <c r="D52" i="2"/>
  <c r="D51" i="2"/>
  <c r="D50" i="2"/>
  <c r="D49" i="2"/>
  <c r="H49" i="2" s="1"/>
  <c r="O49" i="2" s="1"/>
  <c r="D48" i="2"/>
  <c r="H48" i="2" s="1"/>
  <c r="O48" i="2" s="1"/>
  <c r="D47" i="2"/>
  <c r="D46" i="2"/>
  <c r="H46" i="2" s="1"/>
  <c r="N46" i="2" s="1"/>
  <c r="D45" i="2"/>
  <c r="D44" i="2"/>
  <c r="D43" i="2"/>
  <c r="D42" i="2"/>
  <c r="D41" i="2"/>
  <c r="D40" i="2"/>
  <c r="D39" i="2"/>
  <c r="M39" i="2" s="1"/>
  <c r="D38" i="2"/>
  <c r="M38" i="2" s="1"/>
  <c r="D37" i="2"/>
  <c r="M37" i="2" s="1"/>
  <c r="D36" i="2"/>
  <c r="M36" i="2" s="1"/>
  <c r="D35" i="2"/>
  <c r="M35" i="2" s="1"/>
  <c r="D34" i="2"/>
  <c r="D33" i="2"/>
  <c r="D32" i="2"/>
  <c r="D31" i="2"/>
  <c r="D30" i="2"/>
  <c r="D29" i="2"/>
  <c r="H29" i="2" s="1"/>
  <c r="D28" i="2"/>
  <c r="H28" i="2" s="1"/>
  <c r="D27" i="2"/>
  <c r="D26" i="2"/>
  <c r="H26" i="2" s="1"/>
  <c r="D25" i="2"/>
  <c r="D24" i="2"/>
  <c r="D23" i="2"/>
  <c r="I23" i="2" s="1"/>
  <c r="P23" i="2" s="1"/>
  <c r="D22" i="2"/>
  <c r="I22" i="2" s="1"/>
  <c r="P22" i="2" s="1"/>
  <c r="D21" i="2"/>
  <c r="I21" i="2" s="1"/>
  <c r="D20" i="2"/>
  <c r="I20" i="2" s="1"/>
  <c r="D19" i="2"/>
  <c r="I19" i="2" s="1"/>
  <c r="D18" i="2"/>
  <c r="M18" i="2" s="1"/>
  <c r="D17" i="2"/>
  <c r="D16" i="2"/>
  <c r="M16" i="2" s="1"/>
  <c r="D15" i="2"/>
  <c r="M15" i="2" s="1"/>
  <c r="D14" i="2"/>
  <c r="D13" i="2"/>
  <c r="D12" i="2"/>
  <c r="D11" i="2"/>
  <c r="D10" i="2"/>
  <c r="D9" i="2"/>
  <c r="H9" i="2" s="1"/>
  <c r="D8" i="2"/>
  <c r="H8" i="2" s="1"/>
  <c r="D7" i="2"/>
  <c r="D6" i="2"/>
  <c r="H6" i="2" s="1"/>
  <c r="O6" i="2" s="1"/>
  <c r="D5" i="2"/>
  <c r="D4" i="2"/>
  <c r="D3" i="2"/>
  <c r="D2" i="2"/>
  <c r="N11" i="4"/>
  <c r="N51" i="4"/>
  <c r="N52" i="4"/>
  <c r="N57" i="4"/>
  <c r="N72" i="4"/>
  <c r="N74" i="4"/>
  <c r="N75" i="4"/>
  <c r="N78" i="4"/>
  <c r="N94" i="4"/>
  <c r="N95" i="4"/>
  <c r="N98" i="4"/>
  <c r="N99" i="4"/>
  <c r="N100" i="4"/>
  <c r="N113" i="4"/>
  <c r="N117" i="4"/>
  <c r="N118" i="4"/>
  <c r="N119" i="4"/>
  <c r="N133" i="4"/>
  <c r="N192" i="4"/>
  <c r="N193" i="4"/>
  <c r="N33" i="4"/>
  <c r="N34" i="4"/>
  <c r="N35" i="4"/>
  <c r="N38" i="4"/>
  <c r="N154" i="4"/>
  <c r="N155" i="4"/>
  <c r="N174" i="4"/>
  <c r="N175" i="4"/>
  <c r="N19" i="4"/>
  <c r="N134" i="4"/>
  <c r="N138" i="4"/>
  <c r="N139" i="4"/>
  <c r="N92" i="4"/>
  <c r="N93" i="4"/>
  <c r="N194" i="4"/>
  <c r="O10" i="4"/>
  <c r="O11" i="4"/>
  <c r="O15" i="4"/>
  <c r="O51" i="4"/>
  <c r="O52" i="4"/>
  <c r="O53" i="4"/>
  <c r="O57" i="4"/>
  <c r="O58" i="4"/>
  <c r="O59" i="4"/>
  <c r="O77" i="4"/>
  <c r="O78" i="4"/>
  <c r="O94" i="4"/>
  <c r="O95" i="4"/>
  <c r="O98" i="4"/>
  <c r="O99" i="4"/>
  <c r="O100" i="4"/>
  <c r="O113" i="4"/>
  <c r="O117" i="4"/>
  <c r="O118" i="4"/>
  <c r="O119" i="4"/>
  <c r="O130" i="4"/>
  <c r="O133" i="4"/>
  <c r="O178" i="4"/>
  <c r="O185" i="4"/>
  <c r="O186" i="4"/>
  <c r="O190" i="4"/>
  <c r="O191" i="4"/>
  <c r="O192" i="4"/>
  <c r="O193" i="4"/>
  <c r="O30" i="4"/>
  <c r="O31" i="4"/>
  <c r="O33" i="4"/>
  <c r="O35" i="4"/>
  <c r="O39" i="4"/>
  <c r="O50" i="4"/>
  <c r="O153" i="4"/>
  <c r="O154" i="4"/>
  <c r="O157" i="4"/>
  <c r="O158" i="4"/>
  <c r="O159" i="4"/>
  <c r="O171" i="4"/>
  <c r="O173" i="4"/>
  <c r="O174" i="4"/>
  <c r="O175" i="4"/>
  <c r="O134" i="4"/>
  <c r="O135" i="4"/>
  <c r="O90" i="4"/>
  <c r="O91" i="4"/>
  <c r="O92" i="4"/>
  <c r="O93" i="4"/>
  <c r="O194" i="4"/>
  <c r="P10" i="4"/>
  <c r="P12" i="4"/>
  <c r="P13" i="4"/>
  <c r="P14" i="4"/>
  <c r="P51" i="4"/>
  <c r="P52" i="4"/>
  <c r="P53" i="4"/>
  <c r="P55" i="4"/>
  <c r="P60" i="4"/>
  <c r="P61" i="4"/>
  <c r="P62" i="4"/>
  <c r="P70" i="4"/>
  <c r="P71" i="4"/>
  <c r="P72" i="4"/>
  <c r="P73" i="4"/>
  <c r="P74" i="4"/>
  <c r="P75" i="4"/>
  <c r="P79" i="4"/>
  <c r="P81" i="4"/>
  <c r="P82" i="4"/>
  <c r="P94" i="4"/>
  <c r="P95" i="4"/>
  <c r="P98" i="4"/>
  <c r="P99" i="4"/>
  <c r="P100" i="4"/>
  <c r="P102" i="4"/>
  <c r="P111" i="4"/>
  <c r="P115" i="4"/>
  <c r="P120" i="4"/>
  <c r="P121" i="4"/>
  <c r="P122" i="4"/>
  <c r="P132" i="4"/>
  <c r="P133" i="4"/>
  <c r="P179" i="4"/>
  <c r="P180" i="4"/>
  <c r="P182" i="4"/>
  <c r="P184" i="4"/>
  <c r="P190" i="4"/>
  <c r="P191" i="4"/>
  <c r="P192" i="4"/>
  <c r="P193" i="4"/>
  <c r="P32" i="4"/>
  <c r="P33" i="4"/>
  <c r="P34" i="4"/>
  <c r="P35" i="4"/>
  <c r="P38" i="4"/>
  <c r="P41" i="4"/>
  <c r="P42" i="4"/>
  <c r="P44" i="4"/>
  <c r="P46" i="4"/>
  <c r="P152" i="4"/>
  <c r="P153" i="4"/>
  <c r="P154" i="4"/>
  <c r="P161" i="4"/>
  <c r="P162" i="4"/>
  <c r="P171" i="4"/>
  <c r="P172" i="4"/>
  <c r="P173" i="4"/>
  <c r="P174" i="4"/>
  <c r="P175" i="4"/>
  <c r="P21" i="4"/>
  <c r="P150" i="4"/>
  <c r="P151" i="4"/>
  <c r="P134" i="4"/>
  <c r="P135" i="4"/>
  <c r="P138" i="4"/>
  <c r="P139" i="4"/>
  <c r="P140" i="4"/>
  <c r="P141" i="4"/>
  <c r="P142" i="4"/>
  <c r="P143" i="4"/>
  <c r="P144" i="4"/>
  <c r="P91" i="4"/>
  <c r="P92" i="4"/>
  <c r="P93" i="4"/>
  <c r="P194" i="4"/>
  <c r="Q2" i="4"/>
  <c r="Q3" i="4"/>
  <c r="Q4" i="4"/>
  <c r="Q5" i="4"/>
  <c r="Q6" i="4"/>
  <c r="Q7" i="4"/>
  <c r="Q8" i="4"/>
  <c r="Q9" i="4"/>
  <c r="Q10" i="4"/>
  <c r="Q11" i="4"/>
  <c r="Q12" i="4"/>
  <c r="Q13" i="4"/>
  <c r="Q14" i="4"/>
  <c r="Q15" i="4"/>
  <c r="Q16" i="4"/>
  <c r="Q17" i="4"/>
  <c r="Q18" i="4"/>
  <c r="Q22" i="4"/>
  <c r="Q23" i="4"/>
  <c r="Q24" i="4"/>
  <c r="Q25" i="4"/>
  <c r="Q26" i="4"/>
  <c r="Q27" i="4"/>
  <c r="Q28" i="4"/>
  <c r="Q29" i="4"/>
  <c r="Q51" i="4"/>
  <c r="Q52" i="4"/>
  <c r="Q53" i="4"/>
  <c r="Q54" i="4"/>
  <c r="Q55" i="4"/>
  <c r="Q56" i="4"/>
  <c r="Q57" i="4"/>
  <c r="Q58" i="4"/>
  <c r="Q59" i="4"/>
  <c r="Q60" i="4"/>
  <c r="Q61" i="4"/>
  <c r="Q62" i="4"/>
  <c r="Q63" i="4"/>
  <c r="Q64" i="4"/>
  <c r="Q65" i="4"/>
  <c r="Q66" i="4"/>
  <c r="Q67" i="4"/>
  <c r="Q68" i="4"/>
  <c r="Q69" i="4"/>
  <c r="Q70" i="4"/>
  <c r="Q71" i="4"/>
  <c r="Q72" i="4"/>
  <c r="Q73" i="4"/>
  <c r="Q74" i="4"/>
  <c r="Q75" i="4"/>
  <c r="Q76" i="4"/>
  <c r="Q77" i="4"/>
  <c r="Q78" i="4"/>
  <c r="Q79" i="4"/>
  <c r="Q80" i="4"/>
  <c r="Q81" i="4"/>
  <c r="Q82" i="4"/>
  <c r="Q83" i="4"/>
  <c r="Q84" i="4"/>
  <c r="Q94" i="4"/>
  <c r="Q95" i="4"/>
  <c r="Q96" i="4"/>
  <c r="Q97" i="4"/>
  <c r="Q98" i="4"/>
  <c r="Q99" i="4"/>
  <c r="Q100" i="4"/>
  <c r="Q101" i="4"/>
  <c r="Q102" i="4"/>
  <c r="Q103" i="4"/>
  <c r="Q104" i="4"/>
  <c r="Q105" i="4"/>
  <c r="Q106" i="4"/>
  <c r="Q107" i="4"/>
  <c r="Q108" i="4"/>
  <c r="Q109" i="4"/>
  <c r="Q110" i="4"/>
  <c r="Q111" i="4"/>
  <c r="Q112" i="4"/>
  <c r="Q113" i="4"/>
  <c r="Q114" i="4"/>
  <c r="Q115" i="4"/>
  <c r="Q116" i="4"/>
  <c r="Q117" i="4"/>
  <c r="Q118" i="4"/>
  <c r="Q119" i="4"/>
  <c r="Q120" i="4"/>
  <c r="Q121" i="4"/>
  <c r="Q122" i="4"/>
  <c r="Q123" i="4"/>
  <c r="Q124" i="4"/>
  <c r="Q125" i="4"/>
  <c r="Q126" i="4"/>
  <c r="Q127" i="4"/>
  <c r="Q128" i="4"/>
  <c r="Q129" i="4"/>
  <c r="Q130" i="4"/>
  <c r="Q131" i="4"/>
  <c r="Q132" i="4"/>
  <c r="Q133" i="4"/>
  <c r="Q178" i="4"/>
  <c r="Q179" i="4"/>
  <c r="Q180" i="4"/>
  <c r="Q181" i="4"/>
  <c r="Q182" i="4"/>
  <c r="Q183" i="4"/>
  <c r="Q184" i="4"/>
  <c r="Q185" i="4"/>
  <c r="Q186" i="4"/>
  <c r="Q187" i="4"/>
  <c r="Q188" i="4"/>
  <c r="Q189" i="4"/>
  <c r="Q190" i="4"/>
  <c r="Q191" i="4"/>
  <c r="Q192" i="4"/>
  <c r="Q193" i="4"/>
  <c r="Q30" i="4"/>
  <c r="Q31" i="4"/>
  <c r="Q32" i="4"/>
  <c r="Q33" i="4"/>
  <c r="Q34" i="4"/>
  <c r="Q35" i="4"/>
  <c r="Q36" i="4"/>
  <c r="Q37" i="4"/>
  <c r="Q38" i="4"/>
  <c r="Q39" i="4"/>
  <c r="Q40" i="4"/>
  <c r="Q41" i="4"/>
  <c r="Q42" i="4"/>
  <c r="Q43" i="4"/>
  <c r="Q44" i="4"/>
  <c r="Q45" i="4"/>
  <c r="Q46" i="4"/>
  <c r="Q47" i="4"/>
  <c r="Q48" i="4"/>
  <c r="Q49" i="4"/>
  <c r="Q50" i="4"/>
  <c r="Q152" i="4"/>
  <c r="Q153" i="4"/>
  <c r="Q154" i="4"/>
  <c r="Q155" i="4"/>
  <c r="Q156" i="4"/>
  <c r="Q157" i="4"/>
  <c r="Q158" i="4"/>
  <c r="Q159" i="4"/>
  <c r="Q160" i="4"/>
  <c r="Q161" i="4"/>
  <c r="Q162" i="4"/>
  <c r="Q163" i="4"/>
  <c r="Q164" i="4"/>
  <c r="Q165" i="4"/>
  <c r="Q166" i="4"/>
  <c r="Q167" i="4"/>
  <c r="Q168" i="4"/>
  <c r="Q169" i="4"/>
  <c r="Q170" i="4"/>
  <c r="Q171" i="4"/>
  <c r="Q172" i="4"/>
  <c r="Q173" i="4"/>
  <c r="Q174" i="4"/>
  <c r="Q175" i="4"/>
  <c r="Q176" i="4"/>
  <c r="Q177" i="4"/>
  <c r="Q19" i="4"/>
  <c r="Q20" i="4"/>
  <c r="Q21" i="4"/>
  <c r="Q145" i="4"/>
  <c r="Q146" i="4"/>
  <c r="Q147" i="4"/>
  <c r="Q148" i="4"/>
  <c r="Q149" i="4"/>
  <c r="Q150" i="4"/>
  <c r="Q151" i="4"/>
  <c r="Q134" i="4"/>
  <c r="Q135" i="4"/>
  <c r="Q136" i="4"/>
  <c r="Q137" i="4"/>
  <c r="Q138" i="4"/>
  <c r="Q139" i="4"/>
  <c r="Q140" i="4"/>
  <c r="Q141" i="4"/>
  <c r="Q142" i="4"/>
  <c r="Q143" i="4"/>
  <c r="Q144" i="4"/>
  <c r="Q85" i="4"/>
  <c r="Q86" i="4"/>
  <c r="Q87" i="4"/>
  <c r="Q88" i="4"/>
  <c r="Q89" i="4"/>
  <c r="Q90" i="4"/>
  <c r="Q91" i="4"/>
  <c r="Q92" i="4"/>
  <c r="Q93" i="4"/>
  <c r="Q194" i="4"/>
  <c r="R2" i="4"/>
  <c r="R3" i="4"/>
  <c r="R4" i="4"/>
  <c r="R5" i="4"/>
  <c r="R6" i="4"/>
  <c r="R7" i="4"/>
  <c r="R8" i="4"/>
  <c r="R9" i="4"/>
  <c r="R10" i="4"/>
  <c r="R11" i="4"/>
  <c r="R12" i="4"/>
  <c r="R13" i="4"/>
  <c r="R14" i="4"/>
  <c r="R15" i="4"/>
  <c r="R16" i="4"/>
  <c r="R17" i="4"/>
  <c r="R18" i="4"/>
  <c r="R22" i="4"/>
  <c r="R23" i="4"/>
  <c r="R24" i="4"/>
  <c r="R25" i="4"/>
  <c r="R26" i="4"/>
  <c r="R27" i="4"/>
  <c r="R28" i="4"/>
  <c r="R29" i="4"/>
  <c r="R51" i="4"/>
  <c r="R52" i="4"/>
  <c r="R53" i="4"/>
  <c r="R54" i="4"/>
  <c r="R55" i="4"/>
  <c r="R56" i="4"/>
  <c r="R57" i="4"/>
  <c r="R58" i="4"/>
  <c r="R59" i="4"/>
  <c r="R60" i="4"/>
  <c r="R61" i="4"/>
  <c r="R62" i="4"/>
  <c r="R63" i="4"/>
  <c r="R64" i="4"/>
  <c r="R65" i="4"/>
  <c r="R66" i="4"/>
  <c r="R67" i="4"/>
  <c r="R68" i="4"/>
  <c r="R69" i="4"/>
  <c r="R70" i="4"/>
  <c r="R71" i="4"/>
  <c r="R72" i="4"/>
  <c r="R73" i="4"/>
  <c r="R74" i="4"/>
  <c r="R75" i="4"/>
  <c r="R76" i="4"/>
  <c r="R77" i="4"/>
  <c r="R78" i="4"/>
  <c r="R79" i="4"/>
  <c r="R80" i="4"/>
  <c r="R81" i="4"/>
  <c r="R82" i="4"/>
  <c r="R83" i="4"/>
  <c r="R84" i="4"/>
  <c r="R94" i="4"/>
  <c r="R95" i="4"/>
  <c r="R96" i="4"/>
  <c r="R97" i="4"/>
  <c r="R98" i="4"/>
  <c r="R99" i="4"/>
  <c r="R100" i="4"/>
  <c r="R101" i="4"/>
  <c r="R102" i="4"/>
  <c r="R103" i="4"/>
  <c r="R104" i="4"/>
  <c r="R105" i="4"/>
  <c r="R106" i="4"/>
  <c r="R107" i="4"/>
  <c r="R108" i="4"/>
  <c r="R109" i="4"/>
  <c r="R110" i="4"/>
  <c r="R111" i="4"/>
  <c r="R112" i="4"/>
  <c r="R113" i="4"/>
  <c r="R114" i="4"/>
  <c r="R115" i="4"/>
  <c r="R116" i="4"/>
  <c r="R117" i="4"/>
  <c r="R118" i="4"/>
  <c r="R119" i="4"/>
  <c r="R120" i="4"/>
  <c r="R121" i="4"/>
  <c r="R122" i="4"/>
  <c r="R123" i="4"/>
  <c r="R124" i="4"/>
  <c r="R125" i="4"/>
  <c r="R126" i="4"/>
  <c r="R127" i="4"/>
  <c r="R128" i="4"/>
  <c r="R129" i="4"/>
  <c r="R130" i="4"/>
  <c r="R131" i="4"/>
  <c r="R132" i="4"/>
  <c r="R133" i="4"/>
  <c r="R178" i="4"/>
  <c r="R179" i="4"/>
  <c r="R180" i="4"/>
  <c r="R181" i="4"/>
  <c r="R182" i="4"/>
  <c r="R183" i="4"/>
  <c r="R184" i="4"/>
  <c r="R185" i="4"/>
  <c r="R186" i="4"/>
  <c r="R187" i="4"/>
  <c r="R188" i="4"/>
  <c r="R189" i="4"/>
  <c r="R190" i="4"/>
  <c r="R191" i="4"/>
  <c r="R192" i="4"/>
  <c r="R193" i="4"/>
  <c r="R30" i="4"/>
  <c r="R31" i="4"/>
  <c r="R32" i="4"/>
  <c r="R33" i="4"/>
  <c r="R34" i="4"/>
  <c r="R35" i="4"/>
  <c r="R36" i="4"/>
  <c r="R37" i="4"/>
  <c r="R38" i="4"/>
  <c r="R39" i="4"/>
  <c r="R40" i="4"/>
  <c r="R41" i="4"/>
  <c r="R42" i="4"/>
  <c r="R43" i="4"/>
  <c r="R44" i="4"/>
  <c r="R45" i="4"/>
  <c r="R46" i="4"/>
  <c r="R47" i="4"/>
  <c r="R48" i="4"/>
  <c r="R49" i="4"/>
  <c r="R50" i="4"/>
  <c r="R152" i="4"/>
  <c r="R153" i="4"/>
  <c r="R154" i="4"/>
  <c r="R155" i="4"/>
  <c r="R156" i="4"/>
  <c r="R157" i="4"/>
  <c r="R158" i="4"/>
  <c r="R159" i="4"/>
  <c r="R160" i="4"/>
  <c r="R161" i="4"/>
  <c r="R162" i="4"/>
  <c r="R163" i="4"/>
  <c r="R164" i="4"/>
  <c r="R165" i="4"/>
  <c r="R166" i="4"/>
  <c r="R167" i="4"/>
  <c r="R168" i="4"/>
  <c r="R169" i="4"/>
  <c r="R170" i="4"/>
  <c r="R171" i="4"/>
  <c r="R172" i="4"/>
  <c r="R173" i="4"/>
  <c r="R174" i="4"/>
  <c r="R175" i="4"/>
  <c r="R176" i="4"/>
  <c r="R177" i="4"/>
  <c r="R19" i="4"/>
  <c r="R20" i="4"/>
  <c r="R21" i="4"/>
  <c r="R145" i="4"/>
  <c r="R146" i="4"/>
  <c r="R147" i="4"/>
  <c r="R148" i="4"/>
  <c r="R149" i="4"/>
  <c r="R150" i="4"/>
  <c r="R151" i="4"/>
  <c r="R134" i="4"/>
  <c r="R135" i="4"/>
  <c r="R136" i="4"/>
  <c r="R137" i="4"/>
  <c r="R138" i="4"/>
  <c r="R139" i="4"/>
  <c r="R140" i="4"/>
  <c r="R141" i="4"/>
  <c r="R142" i="4"/>
  <c r="R143" i="4"/>
  <c r="R144" i="4"/>
  <c r="R85" i="4"/>
  <c r="R86" i="4"/>
  <c r="R87" i="4"/>
  <c r="R88" i="4"/>
  <c r="R89" i="4"/>
  <c r="R90" i="4"/>
  <c r="R91" i="4"/>
  <c r="R92" i="4"/>
  <c r="R93" i="4"/>
  <c r="R194" i="4"/>
  <c r="S2" i="4"/>
  <c r="S3" i="4"/>
  <c r="S4" i="4"/>
  <c r="S5" i="4"/>
  <c r="S6" i="4"/>
  <c r="S7" i="4"/>
  <c r="S8" i="4"/>
  <c r="S9" i="4"/>
  <c r="S10" i="4"/>
  <c r="S11" i="4"/>
  <c r="S12" i="4"/>
  <c r="S13" i="4"/>
  <c r="S14" i="4"/>
  <c r="S15" i="4"/>
  <c r="S16" i="4"/>
  <c r="S17" i="4"/>
  <c r="S18" i="4"/>
  <c r="S22" i="4"/>
  <c r="S23" i="4"/>
  <c r="S24" i="4"/>
  <c r="S25" i="4"/>
  <c r="S26" i="4"/>
  <c r="S27" i="4"/>
  <c r="S28" i="4"/>
  <c r="S29" i="4"/>
  <c r="S51" i="4"/>
  <c r="S52" i="4"/>
  <c r="S53" i="4"/>
  <c r="S54" i="4"/>
  <c r="S55" i="4"/>
  <c r="S56" i="4"/>
  <c r="S57" i="4"/>
  <c r="S58" i="4"/>
  <c r="S59" i="4"/>
  <c r="S60" i="4"/>
  <c r="S61" i="4"/>
  <c r="S62" i="4"/>
  <c r="S63" i="4"/>
  <c r="S64" i="4"/>
  <c r="S65" i="4"/>
  <c r="S66" i="4"/>
  <c r="S67" i="4"/>
  <c r="S68" i="4"/>
  <c r="S69" i="4"/>
  <c r="S70" i="4"/>
  <c r="S71" i="4"/>
  <c r="S72" i="4"/>
  <c r="S73" i="4"/>
  <c r="S74" i="4"/>
  <c r="S75" i="4"/>
  <c r="S76" i="4"/>
  <c r="S77" i="4"/>
  <c r="S78" i="4"/>
  <c r="S79" i="4"/>
  <c r="S80" i="4"/>
  <c r="S81" i="4"/>
  <c r="S82" i="4"/>
  <c r="S83" i="4"/>
  <c r="S84" i="4"/>
  <c r="S94" i="4"/>
  <c r="S95" i="4"/>
  <c r="S96" i="4"/>
  <c r="S97" i="4"/>
  <c r="S98" i="4"/>
  <c r="S99" i="4"/>
  <c r="S100" i="4"/>
  <c r="S101" i="4"/>
  <c r="S102" i="4"/>
  <c r="S103" i="4"/>
  <c r="S104" i="4"/>
  <c r="S105" i="4"/>
  <c r="S106" i="4"/>
  <c r="S107" i="4"/>
  <c r="S108" i="4"/>
  <c r="S109" i="4"/>
  <c r="S110" i="4"/>
  <c r="S111" i="4"/>
  <c r="S112" i="4"/>
  <c r="S113" i="4"/>
  <c r="S114" i="4"/>
  <c r="S115" i="4"/>
  <c r="S116" i="4"/>
  <c r="S117" i="4"/>
  <c r="S118" i="4"/>
  <c r="S119" i="4"/>
  <c r="S120" i="4"/>
  <c r="S121" i="4"/>
  <c r="S122" i="4"/>
  <c r="S123" i="4"/>
  <c r="S124" i="4"/>
  <c r="S125" i="4"/>
  <c r="S126" i="4"/>
  <c r="S127" i="4"/>
  <c r="S128" i="4"/>
  <c r="S129" i="4"/>
  <c r="S130" i="4"/>
  <c r="S131" i="4"/>
  <c r="S132" i="4"/>
  <c r="S133" i="4"/>
  <c r="S178" i="4"/>
  <c r="S179" i="4"/>
  <c r="S180" i="4"/>
  <c r="S181" i="4"/>
  <c r="S182" i="4"/>
  <c r="S183" i="4"/>
  <c r="S184" i="4"/>
  <c r="S185" i="4"/>
  <c r="S186" i="4"/>
  <c r="S187" i="4"/>
  <c r="S188" i="4"/>
  <c r="S189" i="4"/>
  <c r="S190" i="4"/>
  <c r="S191" i="4"/>
  <c r="S192" i="4"/>
  <c r="S193" i="4"/>
  <c r="S30" i="4"/>
  <c r="S31" i="4"/>
  <c r="S32" i="4"/>
  <c r="S33" i="4"/>
  <c r="S34" i="4"/>
  <c r="S35" i="4"/>
  <c r="S36" i="4"/>
  <c r="S37" i="4"/>
  <c r="S38" i="4"/>
  <c r="S39" i="4"/>
  <c r="S40" i="4"/>
  <c r="S41" i="4"/>
  <c r="S42" i="4"/>
  <c r="S43" i="4"/>
  <c r="S44" i="4"/>
  <c r="S45" i="4"/>
  <c r="S46" i="4"/>
  <c r="S47" i="4"/>
  <c r="S48" i="4"/>
  <c r="S49" i="4"/>
  <c r="S50" i="4"/>
  <c r="S152" i="4"/>
  <c r="S153" i="4"/>
  <c r="S154" i="4"/>
  <c r="S155" i="4"/>
  <c r="S156" i="4"/>
  <c r="S157" i="4"/>
  <c r="S158" i="4"/>
  <c r="S159" i="4"/>
  <c r="S160" i="4"/>
  <c r="S161" i="4"/>
  <c r="S162" i="4"/>
  <c r="S163" i="4"/>
  <c r="S164" i="4"/>
  <c r="S165" i="4"/>
  <c r="S166" i="4"/>
  <c r="S167" i="4"/>
  <c r="S168" i="4"/>
  <c r="S169" i="4"/>
  <c r="S170" i="4"/>
  <c r="S171" i="4"/>
  <c r="S172" i="4"/>
  <c r="S173" i="4"/>
  <c r="S174" i="4"/>
  <c r="S175" i="4"/>
  <c r="S176" i="4"/>
  <c r="S177" i="4"/>
  <c r="S19" i="4"/>
  <c r="S20" i="4"/>
  <c r="S21" i="4"/>
  <c r="S145" i="4"/>
  <c r="S146" i="4"/>
  <c r="S147" i="4"/>
  <c r="S148" i="4"/>
  <c r="S149" i="4"/>
  <c r="S150" i="4"/>
  <c r="S151" i="4"/>
  <c r="S134" i="4"/>
  <c r="S135" i="4"/>
  <c r="S136" i="4"/>
  <c r="S137" i="4"/>
  <c r="S138" i="4"/>
  <c r="S139" i="4"/>
  <c r="S140" i="4"/>
  <c r="S141" i="4"/>
  <c r="S142" i="4"/>
  <c r="S143" i="4"/>
  <c r="S144" i="4"/>
  <c r="S85" i="4"/>
  <c r="S86" i="4"/>
  <c r="S87" i="4"/>
  <c r="S88" i="4"/>
  <c r="S89" i="4"/>
  <c r="S90" i="4"/>
  <c r="S91" i="4"/>
  <c r="S92" i="4"/>
  <c r="S93" i="4"/>
  <c r="S194" i="4"/>
  <c r="T10" i="4"/>
  <c r="T11" i="4"/>
  <c r="T12" i="4"/>
  <c r="T13" i="4"/>
  <c r="T24" i="4"/>
  <c r="T25" i="4"/>
  <c r="T26" i="4"/>
  <c r="T27" i="4"/>
  <c r="T51" i="4"/>
  <c r="T52" i="4"/>
  <c r="T53" i="4"/>
  <c r="T55" i="4"/>
  <c r="T58" i="4"/>
  <c r="T60" i="4"/>
  <c r="T61" i="4"/>
  <c r="T64" i="4"/>
  <c r="T73" i="4"/>
  <c r="T77" i="4"/>
  <c r="T79" i="4"/>
  <c r="T97" i="4"/>
  <c r="T98" i="4"/>
  <c r="T99" i="4"/>
  <c r="T100" i="4"/>
  <c r="T101" i="4"/>
  <c r="T102" i="4"/>
  <c r="T110" i="4"/>
  <c r="T111" i="4"/>
  <c r="T118" i="4"/>
  <c r="T119" i="4"/>
  <c r="T120" i="4"/>
  <c r="T121" i="4"/>
  <c r="T124" i="4"/>
  <c r="T125" i="4"/>
  <c r="T126" i="4"/>
  <c r="T127" i="4"/>
  <c r="T128" i="4"/>
  <c r="T129" i="4"/>
  <c r="T130" i="4"/>
  <c r="T133" i="4"/>
  <c r="T179" i="4"/>
  <c r="T187" i="4"/>
  <c r="T188" i="4"/>
  <c r="T191" i="4"/>
  <c r="T31" i="4"/>
  <c r="T33" i="4"/>
  <c r="T39" i="4"/>
  <c r="T40" i="4"/>
  <c r="T41" i="4"/>
  <c r="T48" i="4"/>
  <c r="T50" i="4"/>
  <c r="T152" i="4"/>
  <c r="T158" i="4"/>
  <c r="T160" i="4"/>
  <c r="T162" i="4"/>
  <c r="T164" i="4"/>
  <c r="T173" i="4"/>
  <c r="T19" i="4"/>
  <c r="T148" i="4"/>
  <c r="T149" i="4"/>
  <c r="T150" i="4"/>
  <c r="T138" i="4"/>
  <c r="T139" i="4"/>
  <c r="T88" i="4"/>
  <c r="T89" i="4"/>
  <c r="T90" i="4"/>
  <c r="T92" i="4"/>
  <c r="T93" i="4"/>
  <c r="N5" i="3"/>
  <c r="N25" i="3"/>
  <c r="N57" i="3"/>
  <c r="N90" i="3"/>
  <c r="N105" i="3"/>
  <c r="N43" i="3"/>
  <c r="N44" i="3"/>
  <c r="N45" i="3"/>
  <c r="N123" i="3"/>
  <c r="N124" i="3"/>
  <c r="N125" i="3"/>
  <c r="N117" i="3"/>
  <c r="N118" i="3"/>
  <c r="O3" i="3"/>
  <c r="O4" i="3"/>
  <c r="O5" i="3"/>
  <c r="O10" i="3"/>
  <c r="O11" i="3"/>
  <c r="O56" i="3"/>
  <c r="O65" i="3"/>
  <c r="O71" i="3"/>
  <c r="O83" i="3"/>
  <c r="O84" i="3"/>
  <c r="O103" i="3"/>
  <c r="O104" i="3"/>
  <c r="O105" i="3"/>
  <c r="O145" i="3"/>
  <c r="O157" i="3"/>
  <c r="O44" i="3"/>
  <c r="O45" i="3"/>
  <c r="O123" i="3"/>
  <c r="O124" i="3"/>
  <c r="O125" i="3"/>
  <c r="O137" i="3"/>
  <c r="O118" i="3"/>
  <c r="O72" i="3"/>
  <c r="O76" i="3"/>
  <c r="O77" i="3"/>
  <c r="P5" i="3"/>
  <c r="P16" i="3"/>
  <c r="P24" i="3"/>
  <c r="P25" i="3"/>
  <c r="P64" i="3"/>
  <c r="P87" i="3"/>
  <c r="P90" i="3"/>
  <c r="P105" i="3"/>
  <c r="P144" i="3"/>
  <c r="P145" i="3"/>
  <c r="P43" i="3"/>
  <c r="P44" i="3"/>
  <c r="P123" i="3"/>
  <c r="P124" i="3"/>
  <c r="P125" i="3"/>
  <c r="P143" i="3"/>
  <c r="P17" i="3"/>
  <c r="P117" i="3"/>
  <c r="P118" i="3"/>
  <c r="Q2" i="3"/>
  <c r="Q3" i="3"/>
  <c r="Q4" i="3"/>
  <c r="Q5" i="3"/>
  <c r="Q6" i="3"/>
  <c r="Q7" i="3"/>
  <c r="Q8" i="3"/>
  <c r="Q9" i="3"/>
  <c r="Q10" i="3"/>
  <c r="Q11" i="3"/>
  <c r="Q12" i="3"/>
  <c r="Q13" i="3"/>
  <c r="Q14" i="3"/>
  <c r="Q15" i="3"/>
  <c r="Q16" i="3"/>
  <c r="Q18" i="3"/>
  <c r="Q19" i="3"/>
  <c r="Q20" i="3"/>
  <c r="Q21" i="3"/>
  <c r="Q22" i="3"/>
  <c r="Q23" i="3"/>
  <c r="Q24" i="3"/>
  <c r="Q25" i="3"/>
  <c r="Q26" i="3"/>
  <c r="Q27" i="3"/>
  <c r="Q28" i="3"/>
  <c r="Q29" i="3"/>
  <c r="Q30" i="3"/>
  <c r="Q31" i="3"/>
  <c r="Q32" i="3"/>
  <c r="Q33" i="3"/>
  <c r="Q48" i="3"/>
  <c r="Q49" i="3"/>
  <c r="Q50" i="3"/>
  <c r="Q51" i="3"/>
  <c r="Q52" i="3"/>
  <c r="Q53" i="3"/>
  <c r="Q54" i="3"/>
  <c r="Q55" i="3"/>
  <c r="Q56" i="3"/>
  <c r="Q57" i="3"/>
  <c r="Q58" i="3"/>
  <c r="Q59" i="3"/>
  <c r="Q60" i="3"/>
  <c r="Q61" i="3"/>
  <c r="Q62" i="3"/>
  <c r="Q63" i="3"/>
  <c r="Q64" i="3"/>
  <c r="Q65" i="3"/>
  <c r="Q66" i="3"/>
  <c r="Q67" i="3"/>
  <c r="Q68" i="3"/>
  <c r="Q69" i="3"/>
  <c r="Q70" i="3"/>
  <c r="Q71" i="3"/>
  <c r="Q81" i="3"/>
  <c r="Q82" i="3"/>
  <c r="Q83" i="3"/>
  <c r="Q84" i="3"/>
  <c r="Q85" i="3"/>
  <c r="Q86" i="3"/>
  <c r="Q87" i="3"/>
  <c r="Q88" i="3"/>
  <c r="Q89" i="3"/>
  <c r="Q90" i="3"/>
  <c r="Q91" i="3"/>
  <c r="Q92" i="3"/>
  <c r="Q93" i="3"/>
  <c r="Q94" i="3"/>
  <c r="Q95" i="3"/>
  <c r="Q96" i="3"/>
  <c r="Q97" i="3"/>
  <c r="Q98" i="3"/>
  <c r="Q99" i="3"/>
  <c r="Q100" i="3"/>
  <c r="Q101" i="3"/>
  <c r="Q102" i="3"/>
  <c r="Q103" i="3"/>
  <c r="Q104" i="3"/>
  <c r="Q105" i="3"/>
  <c r="Q106" i="3"/>
  <c r="Q107" i="3"/>
  <c r="Q108" i="3"/>
  <c r="Q109" i="3"/>
  <c r="Q110" i="3"/>
  <c r="Q111" i="3"/>
  <c r="Q144" i="3"/>
  <c r="Q145" i="3"/>
  <c r="Q146" i="3"/>
  <c r="Q147" i="3"/>
  <c r="Q148" i="3"/>
  <c r="Q149" i="3"/>
  <c r="Q150" i="3"/>
  <c r="Q151" i="3"/>
  <c r="Q152" i="3"/>
  <c r="Q153" i="3"/>
  <c r="Q154" i="3"/>
  <c r="Q155" i="3"/>
  <c r="Q156" i="3"/>
  <c r="Q157" i="3"/>
  <c r="Q158" i="3"/>
  <c r="Q34" i="3"/>
  <c r="Q35" i="3"/>
  <c r="Q36" i="3"/>
  <c r="Q37" i="3"/>
  <c r="Q38" i="3"/>
  <c r="Q39" i="3"/>
  <c r="Q40" i="3"/>
  <c r="Q41" i="3"/>
  <c r="Q42" i="3"/>
  <c r="Q43" i="3"/>
  <c r="Q44" i="3"/>
  <c r="Q45" i="3"/>
  <c r="Q46" i="3"/>
  <c r="Q47" i="3"/>
  <c r="Q120" i="3"/>
  <c r="Q121" i="3"/>
  <c r="Q122" i="3"/>
  <c r="Q123" i="3"/>
  <c r="Q124" i="3"/>
  <c r="Q125" i="3"/>
  <c r="Q126" i="3"/>
  <c r="Q127" i="3"/>
  <c r="Q128" i="3"/>
  <c r="Q129" i="3"/>
  <c r="Q130" i="3"/>
  <c r="Q131" i="3"/>
  <c r="Q132" i="3"/>
  <c r="Q133" i="3"/>
  <c r="Q134" i="3"/>
  <c r="Q135" i="3"/>
  <c r="Q136" i="3"/>
  <c r="Q137" i="3"/>
  <c r="Q138" i="3"/>
  <c r="Q139" i="3"/>
  <c r="Q140" i="3"/>
  <c r="Q141" i="3"/>
  <c r="Q142" i="3"/>
  <c r="Q143" i="3"/>
  <c r="Q17" i="3"/>
  <c r="Q114" i="3"/>
  <c r="Q115" i="3"/>
  <c r="Q116" i="3"/>
  <c r="Q117" i="3"/>
  <c r="Q118" i="3"/>
  <c r="Q119" i="3"/>
  <c r="Q112" i="3"/>
  <c r="Q113" i="3"/>
  <c r="Q72" i="3"/>
  <c r="Q73" i="3"/>
  <c r="Q74" i="3"/>
  <c r="Q75" i="3"/>
  <c r="Q76" i="3"/>
  <c r="Q77" i="3"/>
  <c r="Q78" i="3"/>
  <c r="Q79" i="3"/>
  <c r="Q80" i="3"/>
  <c r="Q159" i="3"/>
  <c r="Q160" i="3"/>
  <c r="Q161" i="3"/>
  <c r="R2" i="3"/>
  <c r="R3" i="3"/>
  <c r="R4" i="3"/>
  <c r="R5" i="3"/>
  <c r="R6" i="3"/>
  <c r="R7" i="3"/>
  <c r="R8" i="3"/>
  <c r="R9" i="3"/>
  <c r="R10" i="3"/>
  <c r="R11" i="3"/>
  <c r="R12" i="3"/>
  <c r="R13" i="3"/>
  <c r="R14" i="3"/>
  <c r="R15" i="3"/>
  <c r="R16" i="3"/>
  <c r="R18" i="3"/>
  <c r="R19" i="3"/>
  <c r="R20" i="3"/>
  <c r="R21" i="3"/>
  <c r="R22" i="3"/>
  <c r="R23" i="3"/>
  <c r="R24" i="3"/>
  <c r="R25" i="3"/>
  <c r="R26" i="3"/>
  <c r="R27" i="3"/>
  <c r="R28" i="3"/>
  <c r="R29" i="3"/>
  <c r="R30" i="3"/>
  <c r="R31" i="3"/>
  <c r="R32" i="3"/>
  <c r="R33" i="3"/>
  <c r="R48" i="3"/>
  <c r="R49" i="3"/>
  <c r="R50" i="3"/>
  <c r="R51" i="3"/>
  <c r="R52" i="3"/>
  <c r="R53" i="3"/>
  <c r="R54" i="3"/>
  <c r="R55" i="3"/>
  <c r="R56" i="3"/>
  <c r="R57" i="3"/>
  <c r="R58" i="3"/>
  <c r="R59" i="3"/>
  <c r="R60" i="3"/>
  <c r="R61" i="3"/>
  <c r="R62" i="3"/>
  <c r="R63" i="3"/>
  <c r="R64" i="3"/>
  <c r="R65" i="3"/>
  <c r="R66" i="3"/>
  <c r="R67" i="3"/>
  <c r="R68" i="3"/>
  <c r="R69" i="3"/>
  <c r="R70" i="3"/>
  <c r="R71" i="3"/>
  <c r="R81" i="3"/>
  <c r="R82" i="3"/>
  <c r="R83" i="3"/>
  <c r="R84" i="3"/>
  <c r="R85" i="3"/>
  <c r="R86" i="3"/>
  <c r="R87" i="3"/>
  <c r="R88" i="3"/>
  <c r="R89" i="3"/>
  <c r="R90" i="3"/>
  <c r="R91" i="3"/>
  <c r="R92" i="3"/>
  <c r="R93" i="3"/>
  <c r="R94" i="3"/>
  <c r="R95" i="3"/>
  <c r="R96" i="3"/>
  <c r="R97" i="3"/>
  <c r="R98" i="3"/>
  <c r="R99" i="3"/>
  <c r="R100" i="3"/>
  <c r="R101" i="3"/>
  <c r="R102" i="3"/>
  <c r="R103" i="3"/>
  <c r="R104" i="3"/>
  <c r="R105" i="3"/>
  <c r="R106" i="3"/>
  <c r="R107" i="3"/>
  <c r="R108" i="3"/>
  <c r="R109" i="3"/>
  <c r="R110" i="3"/>
  <c r="R111" i="3"/>
  <c r="R144" i="3"/>
  <c r="R145" i="3"/>
  <c r="R146" i="3"/>
  <c r="R147" i="3"/>
  <c r="R148" i="3"/>
  <c r="R149" i="3"/>
  <c r="R150" i="3"/>
  <c r="R151" i="3"/>
  <c r="R152" i="3"/>
  <c r="R153" i="3"/>
  <c r="R154" i="3"/>
  <c r="R155" i="3"/>
  <c r="R156" i="3"/>
  <c r="R157" i="3"/>
  <c r="R158" i="3"/>
  <c r="R34" i="3"/>
  <c r="R35" i="3"/>
  <c r="R36" i="3"/>
  <c r="R37" i="3"/>
  <c r="R38" i="3"/>
  <c r="R39" i="3"/>
  <c r="R40" i="3"/>
  <c r="R41" i="3"/>
  <c r="R42" i="3"/>
  <c r="R43" i="3"/>
  <c r="R44" i="3"/>
  <c r="R45" i="3"/>
  <c r="R46" i="3"/>
  <c r="R47" i="3"/>
  <c r="R120" i="3"/>
  <c r="R121" i="3"/>
  <c r="R122" i="3"/>
  <c r="R123" i="3"/>
  <c r="R124" i="3"/>
  <c r="R125" i="3"/>
  <c r="R126" i="3"/>
  <c r="R127" i="3"/>
  <c r="R128" i="3"/>
  <c r="R129" i="3"/>
  <c r="R130" i="3"/>
  <c r="R131" i="3"/>
  <c r="R132" i="3"/>
  <c r="R133" i="3"/>
  <c r="R134" i="3"/>
  <c r="R135" i="3"/>
  <c r="R136" i="3"/>
  <c r="R137" i="3"/>
  <c r="R138" i="3"/>
  <c r="R139" i="3"/>
  <c r="R140" i="3"/>
  <c r="R141" i="3"/>
  <c r="R142" i="3"/>
  <c r="R143" i="3"/>
  <c r="R17" i="3"/>
  <c r="R114" i="3"/>
  <c r="R115" i="3"/>
  <c r="R116" i="3"/>
  <c r="R117" i="3"/>
  <c r="R118" i="3"/>
  <c r="R119" i="3"/>
  <c r="R112" i="3"/>
  <c r="R113" i="3"/>
  <c r="R72" i="3"/>
  <c r="R73" i="3"/>
  <c r="R74" i="3"/>
  <c r="R75" i="3"/>
  <c r="R76" i="3"/>
  <c r="R77" i="3"/>
  <c r="R78" i="3"/>
  <c r="R79" i="3"/>
  <c r="R80" i="3"/>
  <c r="R159" i="3"/>
  <c r="R160" i="3"/>
  <c r="R161" i="3"/>
  <c r="S2" i="3"/>
  <c r="S3" i="3"/>
  <c r="S4" i="3"/>
  <c r="S5" i="3"/>
  <c r="S6" i="3"/>
  <c r="S7" i="3"/>
  <c r="S8" i="3"/>
  <c r="S9" i="3"/>
  <c r="S10" i="3"/>
  <c r="S11" i="3"/>
  <c r="S12" i="3"/>
  <c r="S13" i="3"/>
  <c r="S14" i="3"/>
  <c r="S15" i="3"/>
  <c r="S16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7" i="3"/>
  <c r="S114" i="3"/>
  <c r="S115" i="3"/>
  <c r="S116" i="3"/>
  <c r="S117" i="3"/>
  <c r="S118" i="3"/>
  <c r="S119" i="3"/>
  <c r="S112" i="3"/>
  <c r="S113" i="3"/>
  <c r="S72" i="3"/>
  <c r="S73" i="3"/>
  <c r="S74" i="3"/>
  <c r="S75" i="3"/>
  <c r="S76" i="3"/>
  <c r="S77" i="3"/>
  <c r="S78" i="3"/>
  <c r="S79" i="3"/>
  <c r="S80" i="3"/>
  <c r="S159" i="3"/>
  <c r="S160" i="3"/>
  <c r="S161" i="3"/>
  <c r="T4" i="3"/>
  <c r="T5" i="3"/>
  <c r="T11" i="3"/>
  <c r="T20" i="3"/>
  <c r="T22" i="3"/>
  <c r="T23" i="3"/>
  <c r="T24" i="3"/>
  <c r="T25" i="3"/>
  <c r="T53" i="3"/>
  <c r="T58" i="3"/>
  <c r="T60" i="3"/>
  <c r="T62" i="3"/>
  <c r="T64" i="3"/>
  <c r="T65" i="3"/>
  <c r="T66" i="3"/>
  <c r="T82" i="3"/>
  <c r="T83" i="3"/>
  <c r="T84" i="3"/>
  <c r="T93" i="3"/>
  <c r="T100" i="3"/>
  <c r="T102" i="3"/>
  <c r="T103" i="3"/>
  <c r="T104" i="3"/>
  <c r="T105" i="3"/>
  <c r="T145" i="3"/>
  <c r="T153" i="3"/>
  <c r="T154" i="3"/>
  <c r="T156" i="3"/>
  <c r="T157" i="3"/>
  <c r="T158" i="3"/>
  <c r="T38" i="3"/>
  <c r="T42" i="3"/>
  <c r="T45" i="3"/>
  <c r="T120" i="3"/>
  <c r="T122" i="3"/>
  <c r="T123" i="3"/>
  <c r="T124" i="3"/>
  <c r="T125" i="3"/>
  <c r="T127" i="3"/>
  <c r="T133" i="3"/>
  <c r="T138" i="3"/>
  <c r="T139" i="3"/>
  <c r="T140" i="3"/>
  <c r="T142" i="3"/>
  <c r="T17" i="3"/>
  <c r="T117" i="3"/>
  <c r="T118" i="3"/>
  <c r="T119" i="3"/>
  <c r="T113" i="3"/>
  <c r="T73" i="3"/>
  <c r="T77" i="3"/>
  <c r="T78" i="3"/>
  <c r="T80" i="3"/>
  <c r="T159" i="3"/>
  <c r="T161" i="3"/>
  <c r="N4" i="2"/>
  <c r="N5" i="2"/>
  <c r="N6" i="2"/>
  <c r="N7" i="2"/>
  <c r="N30" i="2"/>
  <c r="N45" i="2"/>
  <c r="N47" i="2"/>
  <c r="N50" i="2"/>
  <c r="N70" i="2"/>
  <c r="N80" i="2"/>
  <c r="N81" i="2"/>
  <c r="N87" i="2"/>
  <c r="N90" i="2"/>
  <c r="N37" i="2"/>
  <c r="N38" i="2"/>
  <c r="N99" i="2"/>
  <c r="N105" i="2"/>
  <c r="N107" i="2"/>
  <c r="N110" i="2"/>
  <c r="N19" i="2"/>
  <c r="N20" i="2"/>
  <c r="N21" i="2"/>
  <c r="N93" i="2"/>
  <c r="N59" i="2"/>
  <c r="N60" i="2"/>
  <c r="N61" i="2"/>
  <c r="O4" i="2"/>
  <c r="O5" i="2"/>
  <c r="O7" i="2"/>
  <c r="O10" i="2"/>
  <c r="O24" i="2"/>
  <c r="O25" i="2"/>
  <c r="O27" i="2"/>
  <c r="O29" i="2"/>
  <c r="O30" i="2"/>
  <c r="O44" i="2"/>
  <c r="O45" i="2"/>
  <c r="O46" i="2"/>
  <c r="O47" i="2"/>
  <c r="O50" i="2"/>
  <c r="O53" i="2"/>
  <c r="O54" i="2"/>
  <c r="O70" i="2"/>
  <c r="O73" i="2"/>
  <c r="O74" i="2"/>
  <c r="O80" i="2"/>
  <c r="O81" i="2"/>
  <c r="O87" i="2"/>
  <c r="O90" i="2"/>
  <c r="O114" i="2"/>
  <c r="O115" i="2"/>
  <c r="O116" i="2"/>
  <c r="O117" i="2"/>
  <c r="O118" i="2"/>
  <c r="O34" i="2"/>
  <c r="O35" i="2"/>
  <c r="O36" i="2"/>
  <c r="O37" i="2"/>
  <c r="O38" i="2"/>
  <c r="O100" i="2"/>
  <c r="O101" i="2"/>
  <c r="O105" i="2"/>
  <c r="O106" i="2"/>
  <c r="O107" i="2"/>
  <c r="O110" i="2"/>
  <c r="O19" i="2"/>
  <c r="O20" i="2"/>
  <c r="O21" i="2"/>
  <c r="O93" i="2"/>
  <c r="O94" i="2"/>
  <c r="O59" i="2"/>
  <c r="O60" i="2"/>
  <c r="O64" i="2"/>
  <c r="O65" i="2"/>
  <c r="O66" i="2"/>
  <c r="O68" i="2"/>
  <c r="O119" i="2"/>
  <c r="P4" i="2"/>
  <c r="P5" i="2"/>
  <c r="P7" i="2"/>
  <c r="P10" i="2"/>
  <c r="P15" i="2"/>
  <c r="P16" i="2"/>
  <c r="P24" i="2"/>
  <c r="P25" i="2"/>
  <c r="P26" i="2"/>
  <c r="P27" i="2"/>
  <c r="P30" i="2"/>
  <c r="P44" i="2"/>
  <c r="P45" i="2"/>
  <c r="P46" i="2"/>
  <c r="P47" i="2"/>
  <c r="P50" i="2"/>
  <c r="P55" i="2"/>
  <c r="P56" i="2"/>
  <c r="P57" i="2"/>
  <c r="P70" i="2"/>
  <c r="P80" i="2"/>
  <c r="P81" i="2"/>
  <c r="P84" i="2"/>
  <c r="P85" i="2"/>
  <c r="P87" i="2"/>
  <c r="P90" i="2"/>
  <c r="P113" i="2"/>
  <c r="P114" i="2"/>
  <c r="P35" i="2"/>
  <c r="P37" i="2"/>
  <c r="P38" i="2"/>
  <c r="P40" i="2"/>
  <c r="P41" i="2"/>
  <c r="P96" i="2"/>
  <c r="P99" i="2"/>
  <c r="P100" i="2"/>
  <c r="P101" i="2"/>
  <c r="P104" i="2"/>
  <c r="P105" i="2"/>
  <c r="P106" i="2"/>
  <c r="P107" i="2"/>
  <c r="P110" i="2"/>
  <c r="P19" i="2"/>
  <c r="P20" i="2"/>
  <c r="P21" i="2"/>
  <c r="P93" i="2"/>
  <c r="P95" i="2"/>
  <c r="P64" i="2"/>
  <c r="P65" i="2"/>
  <c r="P66" i="2"/>
  <c r="P119" i="2"/>
  <c r="Q2" i="2"/>
  <c r="Q3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24" i="2"/>
  <c r="Q25" i="2"/>
  <c r="Q26" i="2"/>
  <c r="Q27" i="2"/>
  <c r="Q28" i="2"/>
  <c r="Q29" i="2"/>
  <c r="Q30" i="2"/>
  <c r="Q31" i="2"/>
  <c r="Q32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112" i="2"/>
  <c r="Q113" i="2"/>
  <c r="Q114" i="2"/>
  <c r="Q115" i="2"/>
  <c r="Q116" i="2"/>
  <c r="Q117" i="2"/>
  <c r="Q118" i="2"/>
  <c r="Q33" i="2"/>
  <c r="Q34" i="2"/>
  <c r="Q35" i="2"/>
  <c r="Q36" i="2"/>
  <c r="Q37" i="2"/>
  <c r="Q38" i="2"/>
  <c r="Q39" i="2"/>
  <c r="Q40" i="2"/>
  <c r="Q41" i="2"/>
  <c r="Q42" i="2"/>
  <c r="Q43" i="2"/>
  <c r="Q96" i="2"/>
  <c r="Q97" i="2"/>
  <c r="Q98" i="2"/>
  <c r="Q99" i="2"/>
  <c r="Q100" i="2"/>
  <c r="Q101" i="2"/>
  <c r="Q102" i="2"/>
  <c r="Q103" i="2"/>
  <c r="Q104" i="2"/>
  <c r="Q105" i="2"/>
  <c r="Q106" i="2"/>
  <c r="Q107" i="2"/>
  <c r="Q108" i="2"/>
  <c r="Q109" i="2"/>
  <c r="Q110" i="2"/>
  <c r="Q111" i="2"/>
  <c r="Q19" i="2"/>
  <c r="Q20" i="2"/>
  <c r="Q21" i="2"/>
  <c r="Q22" i="2"/>
  <c r="Q23" i="2"/>
  <c r="Q92" i="2"/>
  <c r="Q93" i="2"/>
  <c r="Q94" i="2"/>
  <c r="Q95" i="2"/>
  <c r="Q58" i="2"/>
  <c r="Q59" i="2"/>
  <c r="Q60" i="2"/>
  <c r="Q61" i="2"/>
  <c r="Q62" i="2"/>
  <c r="Q63" i="2"/>
  <c r="Q64" i="2"/>
  <c r="Q65" i="2"/>
  <c r="Q66" i="2"/>
  <c r="Q67" i="2"/>
  <c r="Q68" i="2"/>
  <c r="Q69" i="2"/>
  <c r="Q119" i="2"/>
  <c r="R2" i="2"/>
  <c r="R3" i="2"/>
  <c r="R4" i="2"/>
  <c r="R5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24" i="2"/>
  <c r="R25" i="2"/>
  <c r="R26" i="2"/>
  <c r="R27" i="2"/>
  <c r="R28" i="2"/>
  <c r="R29" i="2"/>
  <c r="R30" i="2"/>
  <c r="R31" i="2"/>
  <c r="R32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112" i="2"/>
  <c r="R113" i="2"/>
  <c r="R114" i="2"/>
  <c r="R115" i="2"/>
  <c r="R116" i="2"/>
  <c r="R117" i="2"/>
  <c r="R118" i="2"/>
  <c r="R33" i="2"/>
  <c r="R34" i="2"/>
  <c r="R35" i="2"/>
  <c r="R36" i="2"/>
  <c r="R37" i="2"/>
  <c r="R38" i="2"/>
  <c r="R39" i="2"/>
  <c r="R40" i="2"/>
  <c r="R41" i="2"/>
  <c r="R42" i="2"/>
  <c r="R43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9" i="2"/>
  <c r="R20" i="2"/>
  <c r="R21" i="2"/>
  <c r="R22" i="2"/>
  <c r="R23" i="2"/>
  <c r="R92" i="2"/>
  <c r="R93" i="2"/>
  <c r="R94" i="2"/>
  <c r="R95" i="2"/>
  <c r="R58" i="2"/>
  <c r="R59" i="2"/>
  <c r="R60" i="2"/>
  <c r="R61" i="2"/>
  <c r="R62" i="2"/>
  <c r="R63" i="2"/>
  <c r="R64" i="2"/>
  <c r="R65" i="2"/>
  <c r="R66" i="2"/>
  <c r="R67" i="2"/>
  <c r="R68" i="2"/>
  <c r="R69" i="2"/>
  <c r="R119" i="2"/>
  <c r="S2" i="2"/>
  <c r="S3" i="2"/>
  <c r="S4" i="2"/>
  <c r="S5" i="2"/>
  <c r="S6" i="2"/>
  <c r="S7" i="2"/>
  <c r="S8" i="2"/>
  <c r="S9" i="2"/>
  <c r="S10" i="2"/>
  <c r="S11" i="2"/>
  <c r="S12" i="2"/>
  <c r="S13" i="2"/>
  <c r="S14" i="2"/>
  <c r="S15" i="2"/>
  <c r="S16" i="2"/>
  <c r="S17" i="2"/>
  <c r="S18" i="2"/>
  <c r="S24" i="2"/>
  <c r="S25" i="2"/>
  <c r="S26" i="2"/>
  <c r="S27" i="2"/>
  <c r="S28" i="2"/>
  <c r="S29" i="2"/>
  <c r="S30" i="2"/>
  <c r="S31" i="2"/>
  <c r="S32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S70" i="2"/>
  <c r="S71" i="2"/>
  <c r="S72" i="2"/>
  <c r="S73" i="2"/>
  <c r="S74" i="2"/>
  <c r="S75" i="2"/>
  <c r="S76" i="2"/>
  <c r="S77" i="2"/>
  <c r="S78" i="2"/>
  <c r="S79" i="2"/>
  <c r="S80" i="2"/>
  <c r="S81" i="2"/>
  <c r="S82" i="2"/>
  <c r="S83" i="2"/>
  <c r="S84" i="2"/>
  <c r="S85" i="2"/>
  <c r="S86" i="2"/>
  <c r="S87" i="2"/>
  <c r="S88" i="2"/>
  <c r="S89" i="2"/>
  <c r="S90" i="2"/>
  <c r="S91" i="2"/>
  <c r="S112" i="2"/>
  <c r="S113" i="2"/>
  <c r="S114" i="2"/>
  <c r="S115" i="2"/>
  <c r="S116" i="2"/>
  <c r="S117" i="2"/>
  <c r="S118" i="2"/>
  <c r="S33" i="2"/>
  <c r="S34" i="2"/>
  <c r="S35" i="2"/>
  <c r="S36" i="2"/>
  <c r="S37" i="2"/>
  <c r="S38" i="2"/>
  <c r="S39" i="2"/>
  <c r="S40" i="2"/>
  <c r="S41" i="2"/>
  <c r="S42" i="2"/>
  <c r="S43" i="2"/>
  <c r="S96" i="2"/>
  <c r="S97" i="2"/>
  <c r="S98" i="2"/>
  <c r="S99" i="2"/>
  <c r="S100" i="2"/>
  <c r="S101" i="2"/>
  <c r="S102" i="2"/>
  <c r="S103" i="2"/>
  <c r="S104" i="2"/>
  <c r="S105" i="2"/>
  <c r="S106" i="2"/>
  <c r="S107" i="2"/>
  <c r="S108" i="2"/>
  <c r="S109" i="2"/>
  <c r="S110" i="2"/>
  <c r="S111" i="2"/>
  <c r="S19" i="2"/>
  <c r="S20" i="2"/>
  <c r="S21" i="2"/>
  <c r="S22" i="2"/>
  <c r="S23" i="2"/>
  <c r="S92" i="2"/>
  <c r="S93" i="2"/>
  <c r="S94" i="2"/>
  <c r="S95" i="2"/>
  <c r="S58" i="2"/>
  <c r="S59" i="2"/>
  <c r="S60" i="2"/>
  <c r="S61" i="2"/>
  <c r="S62" i="2"/>
  <c r="S63" i="2"/>
  <c r="S64" i="2"/>
  <c r="S65" i="2"/>
  <c r="S66" i="2"/>
  <c r="S67" i="2"/>
  <c r="S68" i="2"/>
  <c r="S69" i="2"/>
  <c r="S119" i="2"/>
  <c r="T6" i="2"/>
  <c r="T7" i="2"/>
  <c r="T10" i="2"/>
  <c r="T15" i="2"/>
  <c r="T16" i="2"/>
  <c r="T18" i="2"/>
  <c r="T24" i="2"/>
  <c r="T25" i="2"/>
  <c r="T26" i="2"/>
  <c r="T27" i="2"/>
  <c r="T28" i="2"/>
  <c r="T29" i="2"/>
  <c r="T30" i="2"/>
  <c r="T44" i="2"/>
  <c r="T47" i="2"/>
  <c r="T48" i="2"/>
  <c r="T49" i="2"/>
  <c r="T50" i="2"/>
  <c r="T70" i="2"/>
  <c r="T78" i="2"/>
  <c r="T79" i="2"/>
  <c r="T80" i="2"/>
  <c r="T81" i="2"/>
  <c r="T85" i="2"/>
  <c r="T86" i="2"/>
  <c r="T87" i="2"/>
  <c r="T88" i="2"/>
  <c r="T89" i="2"/>
  <c r="T113" i="2"/>
  <c r="T114" i="2"/>
  <c r="T115" i="2"/>
  <c r="T117" i="2"/>
  <c r="T118" i="2"/>
  <c r="T35" i="2"/>
  <c r="T36" i="2"/>
  <c r="T37" i="2"/>
  <c r="T38" i="2"/>
  <c r="T39" i="2"/>
  <c r="T40" i="2"/>
  <c r="T96" i="2"/>
  <c r="T98" i="2"/>
  <c r="T99" i="2"/>
  <c r="T100" i="2"/>
  <c r="T101" i="2"/>
  <c r="T104" i="2"/>
  <c r="T105" i="2"/>
  <c r="T106" i="2"/>
  <c r="T107" i="2"/>
  <c r="T108" i="2"/>
  <c r="T109" i="2"/>
  <c r="T110" i="2"/>
  <c r="T20" i="2"/>
  <c r="T58" i="2"/>
  <c r="T59" i="2"/>
  <c r="T60" i="2"/>
  <c r="T64" i="2"/>
  <c r="T65" i="2"/>
  <c r="T66" i="2"/>
  <c r="T68" i="2"/>
  <c r="T69" i="2"/>
  <c r="T119" i="2"/>
  <c r="X4" i="4"/>
  <c r="C1" i="12" a="1"/>
  <c r="C1" i="12" s="1"/>
  <c r="C1" i="11" a="1"/>
  <c r="C1" i="11" s="1"/>
  <c r="C1" i="9" a="1"/>
  <c r="C1" i="9" s="1"/>
  <c r="H67" i="2" l="1"/>
  <c r="I8" i="3"/>
  <c r="P8" i="3" s="1"/>
  <c r="M8" i="3"/>
  <c r="T8" i="3" s="1"/>
  <c r="H8" i="3"/>
  <c r="H3" i="2"/>
  <c r="I3" i="2"/>
  <c r="P3" i="2" s="1"/>
  <c r="I43" i="2"/>
  <c r="P43" i="2" s="1"/>
  <c r="M43" i="2"/>
  <c r="T43" i="2" s="1"/>
  <c r="H63" i="2"/>
  <c r="M63" i="2"/>
  <c r="T63" i="2" s="1"/>
  <c r="I63" i="2"/>
  <c r="P63" i="2" s="1"/>
  <c r="H83" i="2"/>
  <c r="I83" i="2"/>
  <c r="P83" i="2" s="1"/>
  <c r="M83" i="2"/>
  <c r="T83" i="2" s="1"/>
  <c r="I103" i="2"/>
  <c r="P103" i="2" s="1"/>
  <c r="M103" i="2"/>
  <c r="T103" i="2" s="1"/>
  <c r="I9" i="3"/>
  <c r="P9" i="3" s="1"/>
  <c r="M9" i="3"/>
  <c r="T9" i="3" s="1"/>
  <c r="H9" i="3"/>
  <c r="H69" i="3"/>
  <c r="I69" i="3"/>
  <c r="P69" i="3" s="1"/>
  <c r="M69" i="3"/>
  <c r="T69" i="3" s="1"/>
  <c r="I89" i="3"/>
  <c r="P89" i="3" s="1"/>
  <c r="M89" i="3"/>
  <c r="T89" i="3" s="1"/>
  <c r="I109" i="3"/>
  <c r="P109" i="3" s="1"/>
  <c r="M109" i="3"/>
  <c r="T109" i="3" s="1"/>
  <c r="H109" i="3"/>
  <c r="H129" i="3"/>
  <c r="I129" i="3"/>
  <c r="P129" i="3" s="1"/>
  <c r="M129" i="3"/>
  <c r="T129" i="3" s="1"/>
  <c r="M149" i="3"/>
  <c r="T149" i="3" s="1"/>
  <c r="H149" i="3"/>
  <c r="N104" i="4"/>
  <c r="M42" i="2"/>
  <c r="T42" i="2" s="1"/>
  <c r="I42" i="2"/>
  <c r="P42" i="2" s="1"/>
  <c r="H68" i="3"/>
  <c r="I68" i="3"/>
  <c r="P68" i="3" s="1"/>
  <c r="N26" i="2"/>
  <c r="O26" i="2"/>
  <c r="O28" i="2"/>
  <c r="N151" i="4"/>
  <c r="O13" i="4"/>
  <c r="N13" i="4"/>
  <c r="H82" i="2"/>
  <c r="M82" i="2"/>
  <c r="T82" i="2" s="1"/>
  <c r="I82" i="2"/>
  <c r="P82" i="2" s="1"/>
  <c r="H28" i="3"/>
  <c r="M28" i="3"/>
  <c r="T28" i="3" s="1"/>
  <c r="I28" i="3"/>
  <c r="P28" i="3" s="1"/>
  <c r="N40" i="2"/>
  <c r="O14" i="4"/>
  <c r="N14" i="4"/>
  <c r="O111" i="4"/>
  <c r="N111" i="4"/>
  <c r="M102" i="2"/>
  <c r="T102" i="2" s="1"/>
  <c r="I102" i="2"/>
  <c r="P102" i="2" s="1"/>
  <c r="M48" i="3"/>
  <c r="T48" i="3" s="1"/>
  <c r="I48" i="3"/>
  <c r="P48" i="3" s="1"/>
  <c r="H48" i="3"/>
  <c r="M3" i="2"/>
  <c r="T3" i="2" s="1"/>
  <c r="O39" i="2"/>
  <c r="O15" i="2"/>
  <c r="P84" i="3"/>
  <c r="O104" i="4"/>
  <c r="O112" i="4"/>
  <c r="N112" i="4"/>
  <c r="M49" i="3"/>
  <c r="T49" i="3" s="1"/>
  <c r="I49" i="3"/>
  <c r="P49" i="3" s="1"/>
  <c r="H49" i="3"/>
  <c r="H42" i="2"/>
  <c r="O42" i="2" s="1"/>
  <c r="O78" i="2"/>
  <c r="O17" i="2"/>
  <c r="O14" i="2"/>
  <c r="N77" i="3"/>
  <c r="H2" i="2"/>
  <c r="M2" i="2"/>
  <c r="I2" i="2"/>
  <c r="P65" i="3"/>
  <c r="N65" i="3"/>
  <c r="O79" i="2"/>
  <c r="N109" i="2"/>
  <c r="O150" i="4"/>
  <c r="P85" i="3"/>
  <c r="N177" i="4"/>
  <c r="T2" i="4"/>
  <c r="O17" i="4"/>
  <c r="H62" i="2"/>
  <c r="I62" i="2"/>
  <c r="P62" i="2" s="1"/>
  <c r="M62" i="2"/>
  <c r="T62" i="2" s="1"/>
  <c r="H29" i="3"/>
  <c r="M29" i="3"/>
  <c r="T29" i="3" s="1"/>
  <c r="I29" i="3"/>
  <c r="P29" i="3" s="1"/>
  <c r="N16" i="2"/>
  <c r="O16" i="2"/>
  <c r="N54" i="4"/>
  <c r="O54" i="4"/>
  <c r="H148" i="3"/>
  <c r="M88" i="3"/>
  <c r="T88" i="3" s="1"/>
  <c r="H88" i="3"/>
  <c r="I88" i="3"/>
  <c r="P88" i="3" s="1"/>
  <c r="N41" i="2"/>
  <c r="H43" i="2"/>
  <c r="O8" i="2"/>
  <c r="O69" i="2"/>
  <c r="O18" i="2"/>
  <c r="O13" i="2"/>
  <c r="O16" i="4"/>
  <c r="N55" i="4"/>
  <c r="H102" i="2"/>
  <c r="H128" i="3"/>
  <c r="I128" i="3"/>
  <c r="P128" i="3" s="1"/>
  <c r="N58" i="4"/>
  <c r="P58" i="4"/>
  <c r="N86" i="2"/>
  <c r="O86" i="2"/>
  <c r="N152" i="4"/>
  <c r="O152" i="4"/>
  <c r="O9" i="2"/>
  <c r="H103" i="2"/>
  <c r="N11" i="3"/>
  <c r="H86" i="3"/>
  <c r="M22" i="2"/>
  <c r="T22" i="2" s="1"/>
  <c r="H22" i="2"/>
  <c r="M23" i="2"/>
  <c r="T23" i="2" s="1"/>
  <c r="H23" i="2"/>
  <c r="O109" i="2"/>
  <c r="N10" i="3"/>
  <c r="O104" i="2"/>
  <c r="N104" i="2"/>
  <c r="O12" i="3"/>
  <c r="N12" i="3"/>
  <c r="H89" i="3"/>
  <c r="M68" i="3"/>
  <c r="T68" i="3" s="1"/>
  <c r="I108" i="3"/>
  <c r="P108" i="3" s="1"/>
  <c r="M108" i="3"/>
  <c r="T108" i="3" s="1"/>
  <c r="H108" i="3"/>
  <c r="O24" i="3"/>
  <c r="O103" i="4"/>
  <c r="O108" i="2"/>
  <c r="H6" i="3"/>
  <c r="I6" i="3"/>
  <c r="P6" i="3" s="1"/>
  <c r="M6" i="3"/>
  <c r="T6" i="3" s="1"/>
  <c r="M26" i="3"/>
  <c r="T26" i="3" s="1"/>
  <c r="I26" i="3"/>
  <c r="P26" i="3" s="1"/>
  <c r="H26" i="3"/>
  <c r="M46" i="3"/>
  <c r="T46" i="3" s="1"/>
  <c r="H46" i="3"/>
  <c r="I46" i="3"/>
  <c r="P46" i="3" s="1"/>
  <c r="H66" i="3"/>
  <c r="I66" i="3"/>
  <c r="P66" i="3" s="1"/>
  <c r="H106" i="3"/>
  <c r="I106" i="3"/>
  <c r="P106" i="3" s="1"/>
  <c r="M106" i="3"/>
  <c r="T106" i="3" s="1"/>
  <c r="H126" i="3"/>
  <c r="M126" i="3"/>
  <c r="T126" i="3" s="1"/>
  <c r="I126" i="3"/>
  <c r="P126" i="3" s="1"/>
  <c r="M146" i="3"/>
  <c r="T146" i="3" s="1"/>
  <c r="H146" i="3"/>
  <c r="I146" i="3"/>
  <c r="P146" i="3" s="1"/>
  <c r="N16" i="3"/>
  <c r="O16" i="3"/>
  <c r="I148" i="3"/>
  <c r="P148" i="3" s="1"/>
  <c r="P158" i="4"/>
  <c r="N158" i="4"/>
  <c r="N83" i="3"/>
  <c r="N74" i="2"/>
  <c r="I7" i="3"/>
  <c r="P7" i="3" s="1"/>
  <c r="M7" i="3"/>
  <c r="T7" i="3" s="1"/>
  <c r="H7" i="3"/>
  <c r="H27" i="3"/>
  <c r="M27" i="3"/>
  <c r="T27" i="3" s="1"/>
  <c r="I27" i="3"/>
  <c r="P27" i="3" s="1"/>
  <c r="M47" i="3"/>
  <c r="T47" i="3" s="1"/>
  <c r="I47" i="3"/>
  <c r="P47" i="3" s="1"/>
  <c r="H47" i="3"/>
  <c r="H67" i="3"/>
  <c r="I67" i="3"/>
  <c r="P67" i="3" s="1"/>
  <c r="M87" i="3"/>
  <c r="T87" i="3" s="1"/>
  <c r="H87" i="3"/>
  <c r="I107" i="3"/>
  <c r="M107" i="3"/>
  <c r="T107" i="3" s="1"/>
  <c r="H107" i="3"/>
  <c r="O107" i="3" s="1"/>
  <c r="H127" i="3"/>
  <c r="I127" i="3"/>
  <c r="P127" i="3" s="1"/>
  <c r="M147" i="3"/>
  <c r="T147" i="3" s="1"/>
  <c r="I147" i="3"/>
  <c r="N17" i="3"/>
  <c r="O17" i="3"/>
  <c r="I149" i="3"/>
  <c r="P149" i="3" s="1"/>
  <c r="N50" i="4"/>
  <c r="P50" i="4"/>
  <c r="P159" i="4"/>
  <c r="N159" i="4"/>
  <c r="M3" i="4"/>
  <c r="T3" i="4" s="1"/>
  <c r="I3" i="4"/>
  <c r="H3" i="4"/>
  <c r="M23" i="4"/>
  <c r="T23" i="4" s="1"/>
  <c r="H23" i="4"/>
  <c r="I23" i="4"/>
  <c r="P23" i="4" s="1"/>
  <c r="M63" i="4"/>
  <c r="T63" i="4" s="1"/>
  <c r="H63" i="4"/>
  <c r="N63" i="4" s="1"/>
  <c r="I63" i="4"/>
  <c r="P63" i="4" s="1"/>
  <c r="M83" i="4"/>
  <c r="T83" i="4" s="1"/>
  <c r="H83" i="4"/>
  <c r="M103" i="4"/>
  <c r="T103" i="4" s="1"/>
  <c r="I103" i="4"/>
  <c r="P103" i="4" s="1"/>
  <c r="M123" i="4"/>
  <c r="T123" i="4" s="1"/>
  <c r="H123" i="4"/>
  <c r="M163" i="4"/>
  <c r="T163" i="4" s="1"/>
  <c r="H163" i="4"/>
  <c r="I163" i="4"/>
  <c r="P163" i="4" s="1"/>
  <c r="M183" i="4"/>
  <c r="T183" i="4" s="1"/>
  <c r="I183" i="4"/>
  <c r="P183" i="4" s="1"/>
  <c r="O18" i="4"/>
  <c r="N18" i="4"/>
  <c r="M85" i="4"/>
  <c r="T85" i="4" s="1"/>
  <c r="H30" i="3"/>
  <c r="I30" i="3"/>
  <c r="P30" i="3" s="1"/>
  <c r="M50" i="3"/>
  <c r="T50" i="3" s="1"/>
  <c r="I50" i="3"/>
  <c r="P50" i="3" s="1"/>
  <c r="H50" i="3"/>
  <c r="H70" i="3"/>
  <c r="I70" i="3"/>
  <c r="P70" i="3" s="1"/>
  <c r="M70" i="3"/>
  <c r="T70" i="3" s="1"/>
  <c r="M110" i="3"/>
  <c r="T110" i="3" s="1"/>
  <c r="H110" i="3"/>
  <c r="I110" i="3"/>
  <c r="P110" i="3" s="1"/>
  <c r="H130" i="3"/>
  <c r="I130" i="3"/>
  <c r="P130" i="3" s="1"/>
  <c r="M130" i="3"/>
  <c r="T130" i="3" s="1"/>
  <c r="M150" i="3"/>
  <c r="T150" i="3" s="1"/>
  <c r="H150" i="3"/>
  <c r="I150" i="3"/>
  <c r="P150" i="3" s="1"/>
  <c r="I4" i="4"/>
  <c r="P4" i="4" s="1"/>
  <c r="M4" i="4"/>
  <c r="T4" i="4" s="1"/>
  <c r="H4" i="4"/>
  <c r="H24" i="4"/>
  <c r="I24" i="4"/>
  <c r="P24" i="4" s="1"/>
  <c r="M44" i="4"/>
  <c r="T44" i="4" s="1"/>
  <c r="H44" i="4"/>
  <c r="H64" i="4"/>
  <c r="I64" i="4"/>
  <c r="P64" i="4" s="1"/>
  <c r="I104" i="4"/>
  <c r="P104" i="4" s="1"/>
  <c r="M104" i="4"/>
  <c r="T104" i="4" s="1"/>
  <c r="N124" i="4"/>
  <c r="H164" i="4"/>
  <c r="I164" i="4"/>
  <c r="P164" i="4" s="1"/>
  <c r="O76" i="4"/>
  <c r="O114" i="4"/>
  <c r="N114" i="4"/>
  <c r="H11" i="2"/>
  <c r="I11" i="2"/>
  <c r="P11" i="2" s="1"/>
  <c r="M11" i="2"/>
  <c r="T11" i="2" s="1"/>
  <c r="H71" i="2"/>
  <c r="I71" i="2"/>
  <c r="P71" i="2" s="1"/>
  <c r="H91" i="2"/>
  <c r="I91" i="2"/>
  <c r="P91" i="2" s="1"/>
  <c r="H111" i="2"/>
  <c r="I111" i="2"/>
  <c r="P111" i="2" s="1"/>
  <c r="M111" i="2"/>
  <c r="T111" i="2" s="1"/>
  <c r="M51" i="3"/>
  <c r="T51" i="3" s="1"/>
  <c r="I51" i="3"/>
  <c r="P51" i="3" s="1"/>
  <c r="H51" i="3"/>
  <c r="I71" i="3"/>
  <c r="M71" i="3"/>
  <c r="T71" i="3" s="1"/>
  <c r="H91" i="3"/>
  <c r="M91" i="3"/>
  <c r="T91" i="3" s="1"/>
  <c r="M111" i="3"/>
  <c r="T111" i="3" s="1"/>
  <c r="I111" i="3"/>
  <c r="P111" i="3" s="1"/>
  <c r="H131" i="3"/>
  <c r="I131" i="3"/>
  <c r="P131" i="3" s="1"/>
  <c r="M151" i="3"/>
  <c r="T151" i="3" s="1"/>
  <c r="H151" i="3"/>
  <c r="I151" i="3"/>
  <c r="P151" i="3" s="1"/>
  <c r="H111" i="3"/>
  <c r="N23" i="3"/>
  <c r="P23" i="3"/>
  <c r="H5" i="4"/>
  <c r="I5" i="4"/>
  <c r="P5" i="4" s="1"/>
  <c r="M5" i="4"/>
  <c r="T5" i="4" s="1"/>
  <c r="N25" i="4"/>
  <c r="O25" i="4"/>
  <c r="H45" i="4"/>
  <c r="M45" i="4"/>
  <c r="T45" i="4" s="1"/>
  <c r="H65" i="4"/>
  <c r="I65" i="4"/>
  <c r="P65" i="4" s="1"/>
  <c r="O85" i="4"/>
  <c r="N85" i="4"/>
  <c r="H105" i="4"/>
  <c r="M105" i="4"/>
  <c r="T105" i="4" s="1"/>
  <c r="I105" i="4"/>
  <c r="P105" i="4" s="1"/>
  <c r="H125" i="4"/>
  <c r="I125" i="4"/>
  <c r="P125" i="4" s="1"/>
  <c r="H145" i="4"/>
  <c r="M145" i="4"/>
  <c r="T145" i="4" s="1"/>
  <c r="I145" i="4"/>
  <c r="P145" i="4" s="1"/>
  <c r="H165" i="4"/>
  <c r="I165" i="4"/>
  <c r="P165" i="4" s="1"/>
  <c r="O115" i="4"/>
  <c r="N115" i="4"/>
  <c r="M184" i="4"/>
  <c r="T184" i="4" s="1"/>
  <c r="N115" i="2"/>
  <c r="H12" i="2"/>
  <c r="I12" i="2"/>
  <c r="P12" i="2" s="1"/>
  <c r="M12" i="2"/>
  <c r="T12" i="2" s="1"/>
  <c r="H32" i="2"/>
  <c r="I32" i="2"/>
  <c r="P32" i="2" s="1"/>
  <c r="M32" i="2"/>
  <c r="T32" i="2" s="1"/>
  <c r="H52" i="2"/>
  <c r="I52" i="2"/>
  <c r="P52" i="2" s="1"/>
  <c r="M52" i="2"/>
  <c r="T52" i="2" s="1"/>
  <c r="H92" i="2"/>
  <c r="I92" i="2"/>
  <c r="P92" i="2" s="1"/>
  <c r="H112" i="2"/>
  <c r="I112" i="2"/>
  <c r="P112" i="2" s="1"/>
  <c r="N85" i="2"/>
  <c r="N116" i="2"/>
  <c r="H32" i="3"/>
  <c r="I32" i="3"/>
  <c r="P32" i="3" s="1"/>
  <c r="M32" i="3"/>
  <c r="T32" i="3" s="1"/>
  <c r="I52" i="3"/>
  <c r="P52" i="3" s="1"/>
  <c r="H52" i="3"/>
  <c r="I72" i="3"/>
  <c r="P72" i="3" s="1"/>
  <c r="M72" i="3"/>
  <c r="T72" i="3" s="1"/>
  <c r="H92" i="3"/>
  <c r="M92" i="3"/>
  <c r="T92" i="3" s="1"/>
  <c r="I92" i="3"/>
  <c r="P92" i="3" s="1"/>
  <c r="H132" i="3"/>
  <c r="I132" i="3"/>
  <c r="P132" i="3" s="1"/>
  <c r="M132" i="3"/>
  <c r="T132" i="3" s="1"/>
  <c r="M152" i="3"/>
  <c r="T152" i="3" s="1"/>
  <c r="H152" i="3"/>
  <c r="I152" i="3"/>
  <c r="P152" i="3" s="1"/>
  <c r="H112" i="3"/>
  <c r="I112" i="3"/>
  <c r="P112" i="3" s="1"/>
  <c r="H6" i="4"/>
  <c r="M6" i="4"/>
  <c r="T6" i="4" s="1"/>
  <c r="H26" i="4"/>
  <c r="I26" i="4"/>
  <c r="P26" i="4" s="1"/>
  <c r="H46" i="4"/>
  <c r="M46" i="4"/>
  <c r="T46" i="4" s="1"/>
  <c r="H66" i="4"/>
  <c r="I66" i="4"/>
  <c r="P66" i="4" s="1"/>
  <c r="O86" i="4"/>
  <c r="N86" i="4"/>
  <c r="H106" i="4"/>
  <c r="M106" i="4"/>
  <c r="T106" i="4" s="1"/>
  <c r="I106" i="4"/>
  <c r="P106" i="4" s="1"/>
  <c r="H126" i="4"/>
  <c r="I126" i="4"/>
  <c r="P126" i="4" s="1"/>
  <c r="H146" i="4"/>
  <c r="I146" i="4"/>
  <c r="P146" i="4" s="1"/>
  <c r="H166" i="4"/>
  <c r="I166" i="4"/>
  <c r="P166" i="4" s="1"/>
  <c r="M166" i="4"/>
  <c r="T166" i="4" s="1"/>
  <c r="M185" i="4"/>
  <c r="T185" i="4" s="1"/>
  <c r="H72" i="2"/>
  <c r="I72" i="2"/>
  <c r="P72" i="2" s="1"/>
  <c r="M72" i="2"/>
  <c r="T72" i="2" s="1"/>
  <c r="N90" i="4"/>
  <c r="I36" i="2"/>
  <c r="M13" i="3"/>
  <c r="T13" i="3" s="1"/>
  <c r="I13" i="3"/>
  <c r="P13" i="3" s="1"/>
  <c r="H13" i="3"/>
  <c r="M33" i="3"/>
  <c r="T33" i="3" s="1"/>
  <c r="I33" i="3"/>
  <c r="P33" i="3" s="1"/>
  <c r="H33" i="3"/>
  <c r="O33" i="3" s="1"/>
  <c r="H116" i="3"/>
  <c r="I116" i="3"/>
  <c r="P116" i="3" s="1"/>
  <c r="I25" i="4"/>
  <c r="P25" i="4" s="1"/>
  <c r="P178" i="4"/>
  <c r="N178" i="4"/>
  <c r="M186" i="4"/>
  <c r="T186" i="4" s="1"/>
  <c r="H31" i="2"/>
  <c r="I31" i="2"/>
  <c r="P31" i="2" s="1"/>
  <c r="M31" i="2"/>
  <c r="T31" i="2" s="1"/>
  <c r="M14" i="3"/>
  <c r="T14" i="3" s="1"/>
  <c r="I14" i="3"/>
  <c r="P14" i="3" s="1"/>
  <c r="H14" i="3"/>
  <c r="M34" i="3"/>
  <c r="T34" i="3" s="1"/>
  <c r="I34" i="3"/>
  <c r="P34" i="3" s="1"/>
  <c r="H34" i="3"/>
  <c r="M54" i="3"/>
  <c r="T54" i="3" s="1"/>
  <c r="I54" i="3"/>
  <c r="P54" i="3" s="1"/>
  <c r="H54" i="3"/>
  <c r="M74" i="3"/>
  <c r="T74" i="3" s="1"/>
  <c r="I74" i="3"/>
  <c r="P74" i="3" s="1"/>
  <c r="H74" i="3"/>
  <c r="M94" i="3"/>
  <c r="T94" i="3" s="1"/>
  <c r="I94" i="3"/>
  <c r="P94" i="3" s="1"/>
  <c r="H94" i="3"/>
  <c r="M114" i="3"/>
  <c r="T114" i="3" s="1"/>
  <c r="I114" i="3"/>
  <c r="P114" i="3" s="1"/>
  <c r="H114" i="3"/>
  <c r="M134" i="3"/>
  <c r="T134" i="3" s="1"/>
  <c r="I134" i="3"/>
  <c r="H134" i="3"/>
  <c r="O134" i="3" s="1"/>
  <c r="H84" i="4"/>
  <c r="H31" i="3"/>
  <c r="I31" i="3"/>
  <c r="P31" i="3" s="1"/>
  <c r="M55" i="2"/>
  <c r="T55" i="2" s="1"/>
  <c r="H55" i="2"/>
  <c r="M75" i="2"/>
  <c r="T75" i="2" s="1"/>
  <c r="I75" i="2"/>
  <c r="P75" i="2" s="1"/>
  <c r="H75" i="2"/>
  <c r="M15" i="3"/>
  <c r="T15" i="3" s="1"/>
  <c r="I15" i="3"/>
  <c r="P15" i="3" s="1"/>
  <c r="H15" i="3"/>
  <c r="M35" i="3"/>
  <c r="T35" i="3" s="1"/>
  <c r="I35" i="3"/>
  <c r="P35" i="3" s="1"/>
  <c r="H35" i="3"/>
  <c r="M55" i="3"/>
  <c r="T55" i="3" s="1"/>
  <c r="I55" i="3"/>
  <c r="P55" i="3" s="1"/>
  <c r="H55" i="3"/>
  <c r="M75" i="3"/>
  <c r="T75" i="3" s="1"/>
  <c r="I75" i="3"/>
  <c r="P75" i="3" s="1"/>
  <c r="H75" i="3"/>
  <c r="M95" i="3"/>
  <c r="T95" i="3" s="1"/>
  <c r="I95" i="3"/>
  <c r="P95" i="3" s="1"/>
  <c r="H95" i="3"/>
  <c r="M115" i="3"/>
  <c r="T115" i="3" s="1"/>
  <c r="I115" i="3"/>
  <c r="P115" i="3" s="1"/>
  <c r="H115" i="3"/>
  <c r="M135" i="3"/>
  <c r="T135" i="3" s="1"/>
  <c r="I135" i="3"/>
  <c r="P135" i="3" s="1"/>
  <c r="H135" i="3"/>
  <c r="O143" i="3"/>
  <c r="M56" i="2"/>
  <c r="T56" i="2" s="1"/>
  <c r="H56" i="2"/>
  <c r="M76" i="2"/>
  <c r="T76" i="2" s="1"/>
  <c r="I76" i="2"/>
  <c r="P76" i="2" s="1"/>
  <c r="H76" i="2"/>
  <c r="I116" i="2"/>
  <c r="P116" i="2" s="1"/>
  <c r="M116" i="2"/>
  <c r="T116" i="2" s="1"/>
  <c r="H36" i="3"/>
  <c r="I36" i="3"/>
  <c r="P36" i="3" s="1"/>
  <c r="M36" i="3"/>
  <c r="T36" i="3" s="1"/>
  <c r="I76" i="3"/>
  <c r="P76" i="3" s="1"/>
  <c r="M76" i="3"/>
  <c r="T76" i="3" s="1"/>
  <c r="H96" i="3"/>
  <c r="M96" i="3"/>
  <c r="T96" i="3" s="1"/>
  <c r="I96" i="3"/>
  <c r="P96" i="3" s="1"/>
  <c r="H136" i="3"/>
  <c r="I136" i="3"/>
  <c r="P136" i="3" s="1"/>
  <c r="M136" i="3"/>
  <c r="T136" i="3" s="1"/>
  <c r="H156" i="3"/>
  <c r="I156" i="3"/>
  <c r="P156" i="3" s="1"/>
  <c r="M30" i="3"/>
  <c r="T30" i="3" s="1"/>
  <c r="O170" i="4"/>
  <c r="O179" i="4"/>
  <c r="N179" i="4"/>
  <c r="I123" i="4"/>
  <c r="P123" i="4" s="1"/>
  <c r="M146" i="4"/>
  <c r="T146" i="4" s="1"/>
  <c r="H51" i="2"/>
  <c r="I51" i="2"/>
  <c r="P51" i="2" s="1"/>
  <c r="M51" i="2"/>
  <c r="T51" i="2" s="1"/>
  <c r="M17" i="2"/>
  <c r="T17" i="2" s="1"/>
  <c r="I17" i="2"/>
  <c r="P17" i="2" s="1"/>
  <c r="M57" i="2"/>
  <c r="T57" i="2" s="1"/>
  <c r="H57" i="2"/>
  <c r="M77" i="2"/>
  <c r="T77" i="2" s="1"/>
  <c r="I77" i="2"/>
  <c r="M97" i="2"/>
  <c r="T97" i="2" s="1"/>
  <c r="I97" i="2"/>
  <c r="P97" i="2" s="1"/>
  <c r="H95" i="2"/>
  <c r="I115" i="2"/>
  <c r="P115" i="2" s="1"/>
  <c r="M31" i="3"/>
  <c r="T31" i="3" s="1"/>
  <c r="H43" i="4"/>
  <c r="H183" i="4"/>
  <c r="I83" i="4"/>
  <c r="P83" i="4" s="1"/>
  <c r="I124" i="4"/>
  <c r="P124" i="4" s="1"/>
  <c r="N84" i="2"/>
  <c r="O85" i="2"/>
  <c r="O172" i="4"/>
  <c r="H96" i="2"/>
  <c r="I117" i="2"/>
  <c r="I56" i="3"/>
  <c r="P56" i="3" s="1"/>
  <c r="H184" i="4"/>
  <c r="I185" i="4"/>
  <c r="P185" i="4" s="1"/>
  <c r="O84" i="2"/>
  <c r="O144" i="3"/>
  <c r="O124" i="4"/>
  <c r="H97" i="2"/>
  <c r="M71" i="2"/>
  <c r="T71" i="2" s="1"/>
  <c r="M112" i="2"/>
  <c r="T112" i="2" s="1"/>
  <c r="M52" i="3"/>
  <c r="T52" i="3" s="1"/>
  <c r="I43" i="4"/>
  <c r="P43" i="4" s="1"/>
  <c r="I85" i="4"/>
  <c r="P85" i="4" s="1"/>
  <c r="I186" i="4"/>
  <c r="P186" i="4" s="1"/>
  <c r="H143" i="4"/>
  <c r="H144" i="4"/>
  <c r="I45" i="4"/>
  <c r="P45" i="4" s="1"/>
  <c r="I13" i="2"/>
  <c r="P13" i="2" s="1"/>
  <c r="M13" i="2"/>
  <c r="T13" i="2" s="1"/>
  <c r="I33" i="2"/>
  <c r="P33" i="2" s="1"/>
  <c r="M33" i="2"/>
  <c r="T33" i="2" s="1"/>
  <c r="I53" i="2"/>
  <c r="M53" i="2"/>
  <c r="T53" i="2" s="1"/>
  <c r="I73" i="2"/>
  <c r="P73" i="2" s="1"/>
  <c r="M73" i="2"/>
  <c r="T73" i="2" s="1"/>
  <c r="N100" i="2"/>
  <c r="I39" i="2"/>
  <c r="P39" i="2" s="1"/>
  <c r="H37" i="3"/>
  <c r="I37" i="3"/>
  <c r="P37" i="3" s="1"/>
  <c r="M37" i="3"/>
  <c r="T37" i="3" s="1"/>
  <c r="H97" i="3"/>
  <c r="I97" i="3"/>
  <c r="P97" i="3" s="1"/>
  <c r="I137" i="3"/>
  <c r="P137" i="3" s="1"/>
  <c r="M137" i="3"/>
  <c r="T137" i="3" s="1"/>
  <c r="N157" i="3"/>
  <c r="N145" i="3"/>
  <c r="N79" i="4"/>
  <c r="O79" i="4"/>
  <c r="I14" i="2"/>
  <c r="P14" i="2" s="1"/>
  <c r="M14" i="2"/>
  <c r="T14" i="2" s="1"/>
  <c r="I34" i="2"/>
  <c r="M34" i="2"/>
  <c r="T34" i="2" s="1"/>
  <c r="I54" i="2"/>
  <c r="M54" i="2"/>
  <c r="T54" i="2" s="1"/>
  <c r="I74" i="2"/>
  <c r="P74" i="2" s="1"/>
  <c r="M74" i="2"/>
  <c r="T74" i="2" s="1"/>
  <c r="I94" i="2"/>
  <c r="M94" i="2"/>
  <c r="T94" i="2" s="1"/>
  <c r="N101" i="2"/>
  <c r="I98" i="2"/>
  <c r="I17" i="4"/>
  <c r="P17" i="4" s="1"/>
  <c r="I18" i="2"/>
  <c r="P18" i="2" s="1"/>
  <c r="M19" i="2"/>
  <c r="T19" i="2" s="1"/>
  <c r="I16" i="4"/>
  <c r="P16" i="4" s="1"/>
  <c r="M16" i="4"/>
  <c r="T16" i="4" s="1"/>
  <c r="I36" i="4"/>
  <c r="M36" i="4"/>
  <c r="T36" i="4" s="1"/>
  <c r="I56" i="4"/>
  <c r="P56" i="4" s="1"/>
  <c r="M56" i="4"/>
  <c r="T56" i="4" s="1"/>
  <c r="H56" i="4"/>
  <c r="I76" i="4"/>
  <c r="P76" i="4" s="1"/>
  <c r="M76" i="4"/>
  <c r="T76" i="4" s="1"/>
  <c r="I96" i="4"/>
  <c r="M96" i="4"/>
  <c r="T96" i="4" s="1"/>
  <c r="H96" i="4"/>
  <c r="O96" i="4" s="1"/>
  <c r="I116" i="4"/>
  <c r="M116" i="4"/>
  <c r="T116" i="4" s="1"/>
  <c r="I136" i="4"/>
  <c r="P136" i="4" s="1"/>
  <c r="M136" i="4"/>
  <c r="T136" i="4" s="1"/>
  <c r="I156" i="4"/>
  <c r="P156" i="4" s="1"/>
  <c r="M156" i="4"/>
  <c r="T156" i="4" s="1"/>
  <c r="H156" i="4"/>
  <c r="I176" i="4"/>
  <c r="P176" i="4" s="1"/>
  <c r="M176" i="4"/>
  <c r="T176" i="4" s="1"/>
  <c r="I37" i="4"/>
  <c r="M37" i="4"/>
  <c r="T37" i="4" s="1"/>
  <c r="H97" i="4"/>
  <c r="I97" i="4"/>
  <c r="P97" i="4" s="1"/>
  <c r="M137" i="4"/>
  <c r="T137" i="4" s="1"/>
  <c r="I137" i="4"/>
  <c r="P137" i="4" s="1"/>
  <c r="N135" i="4"/>
  <c r="H176" i="4"/>
  <c r="N59" i="4"/>
  <c r="I78" i="2"/>
  <c r="P78" i="2" s="1"/>
  <c r="M21" i="2"/>
  <c r="T21" i="2" s="1"/>
  <c r="M97" i="3"/>
  <c r="T97" i="3" s="1"/>
  <c r="H136" i="4"/>
  <c r="M57" i="4"/>
  <c r="T57" i="4" s="1"/>
  <c r="H33" i="2"/>
  <c r="H58" i="2"/>
  <c r="H113" i="2"/>
  <c r="I79" i="2"/>
  <c r="P79" i="2" s="1"/>
  <c r="I157" i="3"/>
  <c r="P157" i="3" s="1"/>
  <c r="N12" i="4"/>
  <c r="O12" i="4"/>
  <c r="H137" i="4"/>
  <c r="I77" i="4"/>
  <c r="P77" i="4" s="1"/>
  <c r="I157" i="4"/>
  <c r="M18" i="3"/>
  <c r="T18" i="3" s="1"/>
  <c r="I18" i="3"/>
  <c r="P18" i="3" s="1"/>
  <c r="H18" i="3"/>
  <c r="H7" i="4"/>
  <c r="I7" i="4"/>
  <c r="P7" i="4" s="1"/>
  <c r="H27" i="4"/>
  <c r="I27" i="4"/>
  <c r="P27" i="4" s="1"/>
  <c r="H47" i="4"/>
  <c r="I47" i="4"/>
  <c r="P47" i="4" s="1"/>
  <c r="H67" i="4"/>
  <c r="I67" i="4"/>
  <c r="P67" i="4" s="1"/>
  <c r="H87" i="4"/>
  <c r="I87" i="4"/>
  <c r="P87" i="4" s="1"/>
  <c r="H107" i="4"/>
  <c r="I107" i="4"/>
  <c r="P107" i="4" s="1"/>
  <c r="H127" i="4"/>
  <c r="I127" i="4"/>
  <c r="P127" i="4" s="1"/>
  <c r="H147" i="4"/>
  <c r="I147" i="4"/>
  <c r="P147" i="4" s="1"/>
  <c r="H167" i="4"/>
  <c r="I167" i="4"/>
  <c r="P167" i="4" s="1"/>
  <c r="H187" i="4"/>
  <c r="I187" i="4"/>
  <c r="P187" i="4" s="1"/>
  <c r="M32" i="4"/>
  <c r="T32" i="4" s="1"/>
  <c r="M67" i="4"/>
  <c r="T67" i="4" s="1"/>
  <c r="I8" i="2"/>
  <c r="P8" i="2" s="1"/>
  <c r="I28" i="2"/>
  <c r="P28" i="2" s="1"/>
  <c r="I48" i="2"/>
  <c r="P48" i="2" s="1"/>
  <c r="I68" i="2"/>
  <c r="P68" i="2" s="1"/>
  <c r="I88" i="2"/>
  <c r="P88" i="2" s="1"/>
  <c r="I108" i="2"/>
  <c r="P108" i="2" s="1"/>
  <c r="M19" i="3"/>
  <c r="T19" i="3" s="1"/>
  <c r="I19" i="3"/>
  <c r="P19" i="3" s="1"/>
  <c r="H19" i="3"/>
  <c r="M39" i="3"/>
  <c r="T39" i="3" s="1"/>
  <c r="I39" i="3"/>
  <c r="P39" i="3" s="1"/>
  <c r="H39" i="3"/>
  <c r="M59" i="3"/>
  <c r="T59" i="3" s="1"/>
  <c r="I59" i="3"/>
  <c r="P59" i="3" s="1"/>
  <c r="H59" i="3"/>
  <c r="M79" i="3"/>
  <c r="T79" i="3" s="1"/>
  <c r="I79" i="3"/>
  <c r="P79" i="3" s="1"/>
  <c r="H79" i="3"/>
  <c r="M99" i="3"/>
  <c r="T99" i="3" s="1"/>
  <c r="I99" i="3"/>
  <c r="P99" i="3" s="1"/>
  <c r="H99" i="3"/>
  <c r="I3" i="3"/>
  <c r="I103" i="3"/>
  <c r="H8" i="4"/>
  <c r="I8" i="4"/>
  <c r="P8" i="4" s="1"/>
  <c r="H28" i="4"/>
  <c r="I28" i="4"/>
  <c r="P28" i="4" s="1"/>
  <c r="H48" i="4"/>
  <c r="I48" i="4"/>
  <c r="P48" i="4" s="1"/>
  <c r="H68" i="4"/>
  <c r="I68" i="4"/>
  <c r="P68" i="4" s="1"/>
  <c r="H88" i="4"/>
  <c r="I88" i="4"/>
  <c r="P88" i="4" s="1"/>
  <c r="H108" i="4"/>
  <c r="I108" i="4"/>
  <c r="P108" i="4" s="1"/>
  <c r="H128" i="4"/>
  <c r="I128" i="4"/>
  <c r="P128" i="4" s="1"/>
  <c r="H148" i="4"/>
  <c r="I148" i="4"/>
  <c r="P148" i="4" s="1"/>
  <c r="H168" i="4"/>
  <c r="I168" i="4"/>
  <c r="P168" i="4" s="1"/>
  <c r="H188" i="4"/>
  <c r="I188" i="4"/>
  <c r="P188" i="4" s="1"/>
  <c r="I30" i="4"/>
  <c r="P30" i="4" s="1"/>
  <c r="M68" i="4"/>
  <c r="T68" i="4" s="1"/>
  <c r="M131" i="4"/>
  <c r="T131" i="4" s="1"/>
  <c r="M167" i="4"/>
  <c r="T167" i="4" s="1"/>
  <c r="I9" i="2"/>
  <c r="P9" i="2" s="1"/>
  <c r="I29" i="2"/>
  <c r="P29" i="2" s="1"/>
  <c r="I49" i="2"/>
  <c r="I69" i="2"/>
  <c r="P69" i="2" s="1"/>
  <c r="I89" i="2"/>
  <c r="P89" i="2" s="1"/>
  <c r="I109" i="2"/>
  <c r="P109" i="2" s="1"/>
  <c r="I4" i="3"/>
  <c r="I104" i="3"/>
  <c r="M43" i="3"/>
  <c r="T43" i="3" s="1"/>
  <c r="H9" i="4"/>
  <c r="I9" i="4"/>
  <c r="P9" i="4" s="1"/>
  <c r="H29" i="4"/>
  <c r="I29" i="4"/>
  <c r="P29" i="4" s="1"/>
  <c r="H49" i="4"/>
  <c r="O49" i="4" s="1"/>
  <c r="I49" i="4"/>
  <c r="H69" i="4"/>
  <c r="I69" i="4"/>
  <c r="P69" i="4" s="1"/>
  <c r="H89" i="4"/>
  <c r="O89" i="4" s="1"/>
  <c r="I89" i="4"/>
  <c r="P89" i="4" s="1"/>
  <c r="H109" i="4"/>
  <c r="I109" i="4"/>
  <c r="P109" i="4" s="1"/>
  <c r="H129" i="4"/>
  <c r="I129" i="4"/>
  <c r="P129" i="4" s="1"/>
  <c r="H149" i="4"/>
  <c r="I149" i="4"/>
  <c r="P149" i="4" s="1"/>
  <c r="H169" i="4"/>
  <c r="I169" i="4"/>
  <c r="P169" i="4" s="1"/>
  <c r="H189" i="4"/>
  <c r="I189" i="4"/>
  <c r="P189" i="4" s="1"/>
  <c r="I31" i="4"/>
  <c r="I130" i="4"/>
  <c r="M69" i="4"/>
  <c r="T69" i="4" s="1"/>
  <c r="M132" i="4"/>
  <c r="T132" i="4" s="1"/>
  <c r="M168" i="4"/>
  <c r="T168" i="4" s="1"/>
  <c r="M21" i="3"/>
  <c r="T21" i="3" s="1"/>
  <c r="I21" i="3"/>
  <c r="P21" i="3" s="1"/>
  <c r="H21" i="3"/>
  <c r="M41" i="3"/>
  <c r="T41" i="3" s="1"/>
  <c r="I41" i="3"/>
  <c r="P41" i="3" s="1"/>
  <c r="H41" i="3"/>
  <c r="M61" i="3"/>
  <c r="T61" i="3" s="1"/>
  <c r="I61" i="3"/>
  <c r="P61" i="3" s="1"/>
  <c r="H61" i="3"/>
  <c r="M81" i="3"/>
  <c r="T81" i="3" s="1"/>
  <c r="I81" i="3"/>
  <c r="P81" i="3" s="1"/>
  <c r="H81" i="3"/>
  <c r="M101" i="3"/>
  <c r="T101" i="3" s="1"/>
  <c r="I101" i="3"/>
  <c r="P101" i="3" s="1"/>
  <c r="H101" i="3"/>
  <c r="M44" i="3"/>
  <c r="T44" i="3" s="1"/>
  <c r="M143" i="3"/>
  <c r="T143" i="3" s="1"/>
  <c r="I131" i="4"/>
  <c r="M7" i="4"/>
  <c r="T7" i="4" s="1"/>
  <c r="M70" i="4"/>
  <c r="T70" i="4" s="1"/>
  <c r="M169" i="4"/>
  <c r="T169" i="4" s="1"/>
  <c r="M2" i="3"/>
  <c r="I2" i="3"/>
  <c r="H2" i="3"/>
  <c r="M144" i="3"/>
  <c r="T144" i="3" s="1"/>
  <c r="H32" i="4"/>
  <c r="P2" i="4"/>
  <c r="M8" i="4"/>
  <c r="T8" i="4" s="1"/>
  <c r="M71" i="4"/>
  <c r="T71" i="4" s="1"/>
  <c r="M170" i="4"/>
  <c r="T170" i="4" s="1"/>
  <c r="H132" i="4"/>
  <c r="M9" i="4"/>
  <c r="T9" i="4" s="1"/>
  <c r="M72" i="4"/>
  <c r="T72" i="4" s="1"/>
  <c r="M107" i="4"/>
  <c r="T107" i="4" s="1"/>
  <c r="M171" i="4"/>
  <c r="T171" i="4" s="1"/>
  <c r="N73" i="4"/>
  <c r="H70" i="4"/>
  <c r="O70" i="4" s="1"/>
  <c r="I170" i="4"/>
  <c r="P170" i="4" s="1"/>
  <c r="M108" i="4"/>
  <c r="T108" i="4" s="1"/>
  <c r="M172" i="4"/>
  <c r="T172" i="4" s="1"/>
  <c r="H71" i="4"/>
  <c r="M47" i="4"/>
  <c r="T47" i="4" s="1"/>
  <c r="M109" i="4"/>
  <c r="T109" i="4" s="1"/>
  <c r="H53" i="3"/>
  <c r="H73" i="3"/>
  <c r="H93" i="3"/>
  <c r="H113" i="3"/>
  <c r="H133" i="3"/>
  <c r="H153" i="3"/>
  <c r="I53" i="3"/>
  <c r="P53" i="3" s="1"/>
  <c r="I73" i="3"/>
  <c r="P73" i="3" s="1"/>
  <c r="I93" i="3"/>
  <c r="P93" i="3" s="1"/>
  <c r="I113" i="3"/>
  <c r="P113" i="3" s="1"/>
  <c r="I133" i="3"/>
  <c r="P133" i="3" s="1"/>
  <c r="I153" i="3"/>
  <c r="P153" i="3" s="1"/>
  <c r="H20" i="4"/>
  <c r="H40" i="4"/>
  <c r="H60" i="4"/>
  <c r="H80" i="4"/>
  <c r="H120" i="4"/>
  <c r="H140" i="4"/>
  <c r="H160" i="4"/>
  <c r="H180" i="4"/>
  <c r="M14" i="4"/>
  <c r="T14" i="4" s="1"/>
  <c r="M34" i="4"/>
  <c r="T34" i="4" s="1"/>
  <c r="M54" i="4"/>
  <c r="T54" i="4" s="1"/>
  <c r="M74" i="4"/>
  <c r="T74" i="4" s="1"/>
  <c r="M94" i="4"/>
  <c r="T94" i="4" s="1"/>
  <c r="M114" i="4"/>
  <c r="T114" i="4" s="1"/>
  <c r="M134" i="4"/>
  <c r="T134" i="4" s="1"/>
  <c r="M154" i="4"/>
  <c r="T154" i="4" s="1"/>
  <c r="M174" i="4"/>
  <c r="T174" i="4" s="1"/>
  <c r="M194" i="4"/>
  <c r="T194" i="4" s="1"/>
  <c r="H154" i="3"/>
  <c r="I154" i="3"/>
  <c r="P154" i="3" s="1"/>
  <c r="H21" i="4"/>
  <c r="H41" i="4"/>
  <c r="H61" i="4"/>
  <c r="H81" i="4"/>
  <c r="O81" i="4" s="1"/>
  <c r="H101" i="4"/>
  <c r="H121" i="4"/>
  <c r="H141" i="4"/>
  <c r="H161" i="4"/>
  <c r="O161" i="4" s="1"/>
  <c r="H181" i="4"/>
  <c r="M15" i="4"/>
  <c r="T15" i="4" s="1"/>
  <c r="M35" i="4"/>
  <c r="T35" i="4" s="1"/>
  <c r="M75" i="4"/>
  <c r="T75" i="4" s="1"/>
  <c r="M95" i="4"/>
  <c r="T95" i="4" s="1"/>
  <c r="M115" i="4"/>
  <c r="T115" i="4" s="1"/>
  <c r="M135" i="4"/>
  <c r="T135" i="4" s="1"/>
  <c r="M155" i="4"/>
  <c r="T155" i="4" s="1"/>
  <c r="M175" i="4"/>
  <c r="T175" i="4" s="1"/>
  <c r="H155" i="3"/>
  <c r="O155" i="3" s="1"/>
  <c r="I155" i="3"/>
  <c r="N155" i="3" s="1"/>
  <c r="H2" i="4"/>
  <c r="H22" i="4"/>
  <c r="O22" i="4" s="1"/>
  <c r="H42" i="4"/>
  <c r="H62" i="4"/>
  <c r="H82" i="4"/>
  <c r="H102" i="4"/>
  <c r="N102" i="4" s="1"/>
  <c r="H122" i="4"/>
  <c r="H142" i="4"/>
  <c r="H162" i="4"/>
  <c r="H182" i="4"/>
  <c r="H38" i="3"/>
  <c r="O38" i="3" s="1"/>
  <c r="H58" i="3"/>
  <c r="H78" i="3"/>
  <c r="H98" i="3"/>
  <c r="H138" i="3"/>
  <c r="H158" i="3"/>
  <c r="O158" i="3" s="1"/>
  <c r="I38" i="3"/>
  <c r="P38" i="3" s="1"/>
  <c r="I58" i="3"/>
  <c r="P58" i="3" s="1"/>
  <c r="I78" i="3"/>
  <c r="P78" i="3" s="1"/>
  <c r="I98" i="3"/>
  <c r="P98" i="3" s="1"/>
  <c r="I138" i="3"/>
  <c r="P138" i="3" s="1"/>
  <c r="I158" i="3"/>
  <c r="N158" i="3" s="1"/>
  <c r="H119" i="3"/>
  <c r="H139" i="3"/>
  <c r="H159" i="3"/>
  <c r="I119" i="3"/>
  <c r="P119" i="3" s="1"/>
  <c r="I139" i="3"/>
  <c r="P139" i="3" s="1"/>
  <c r="I159" i="3"/>
  <c r="P159" i="3" s="1"/>
  <c r="H20" i="3"/>
  <c r="H40" i="3"/>
  <c r="H60" i="3"/>
  <c r="H80" i="3"/>
  <c r="H100" i="3"/>
  <c r="H120" i="3"/>
  <c r="O120" i="3" s="1"/>
  <c r="H140" i="3"/>
  <c r="H160" i="3"/>
  <c r="I20" i="3"/>
  <c r="P20" i="3" s="1"/>
  <c r="I40" i="3"/>
  <c r="P40" i="3" s="1"/>
  <c r="I60" i="3"/>
  <c r="P60" i="3" s="1"/>
  <c r="I80" i="3"/>
  <c r="P80" i="3" s="1"/>
  <c r="I100" i="3"/>
  <c r="P100" i="3" s="1"/>
  <c r="I120" i="3"/>
  <c r="I140" i="3"/>
  <c r="P140" i="3" s="1"/>
  <c r="I160" i="3"/>
  <c r="P160" i="3" s="1"/>
  <c r="H121" i="3"/>
  <c r="H141" i="3"/>
  <c r="H161" i="3"/>
  <c r="I121" i="3"/>
  <c r="P121" i="3" s="1"/>
  <c r="I141" i="3"/>
  <c r="P141" i="3" s="1"/>
  <c r="I161" i="3"/>
  <c r="P161" i="3" s="1"/>
  <c r="H22" i="3"/>
  <c r="H42" i="3"/>
  <c r="H62" i="3"/>
  <c r="H82" i="3"/>
  <c r="H102" i="3"/>
  <c r="H122" i="3"/>
  <c r="H142" i="3"/>
  <c r="I22" i="3"/>
  <c r="P22" i="3" s="1"/>
  <c r="I42" i="3"/>
  <c r="P42" i="3" s="1"/>
  <c r="I62" i="3"/>
  <c r="P62" i="3" s="1"/>
  <c r="I82" i="3"/>
  <c r="P82" i="3" s="1"/>
  <c r="I102" i="3"/>
  <c r="P102" i="3" s="1"/>
  <c r="I122" i="3"/>
  <c r="P122" i="3" s="1"/>
  <c r="I142" i="3"/>
  <c r="P142" i="3" s="1"/>
  <c r="N161" i="4"/>
  <c r="N89" i="4"/>
  <c r="N30" i="4"/>
  <c r="N2" i="4"/>
  <c r="O110" i="4"/>
  <c r="P134" i="3"/>
  <c r="N64" i="3"/>
  <c r="N63" i="3"/>
  <c r="N38" i="3"/>
  <c r="N33" i="3"/>
  <c r="N42" i="2"/>
  <c r="W68" i="4"/>
  <c r="X40" i="4"/>
  <c r="X88" i="4"/>
  <c r="W75" i="4"/>
  <c r="W182" i="4"/>
  <c r="Y150" i="4"/>
  <c r="Y149" i="4"/>
  <c r="X162" i="4"/>
  <c r="W76" i="4"/>
  <c r="X150" i="4"/>
  <c r="X55" i="4"/>
  <c r="Y194" i="4"/>
  <c r="Y20" i="4"/>
  <c r="X160" i="4"/>
  <c r="W146" i="4"/>
  <c r="X71" i="4"/>
  <c r="Y95" i="4"/>
  <c r="X95" i="4"/>
  <c r="Y181" i="4"/>
  <c r="W158" i="4"/>
  <c r="Y45" i="4"/>
  <c r="W20" i="4"/>
  <c r="X36" i="4"/>
  <c r="Y169" i="4"/>
  <c r="X137" i="4"/>
  <c r="W138" i="4"/>
  <c r="Y180" i="4"/>
  <c r="Y182" i="4"/>
  <c r="Y184" i="4"/>
  <c r="Y185" i="4"/>
  <c r="Y186" i="4"/>
  <c r="Y187" i="4"/>
  <c r="X144" i="4"/>
  <c r="Y30" i="4"/>
  <c r="Y48" i="4"/>
  <c r="Y47" i="4"/>
  <c r="X194" i="4"/>
  <c r="W145" i="4"/>
  <c r="W148" i="4"/>
  <c r="W45" i="4"/>
  <c r="Y82" i="4"/>
  <c r="W85" i="4"/>
  <c r="W86" i="4"/>
  <c r="W87" i="4"/>
  <c r="W88" i="4"/>
  <c r="W89" i="4"/>
  <c r="W91" i="4"/>
  <c r="W93" i="4"/>
  <c r="Y145" i="4"/>
  <c r="Y146" i="4"/>
  <c r="Y147" i="4"/>
  <c r="Y148" i="4"/>
  <c r="W194" i="4"/>
  <c r="Y151" i="4"/>
  <c r="X169" i="4"/>
  <c r="W84" i="4"/>
  <c r="X171" i="4"/>
  <c r="W167" i="4"/>
  <c r="Y172" i="4"/>
  <c r="X17" i="4"/>
  <c r="W83" i="4"/>
  <c r="W82" i="4"/>
  <c r="Y21" i="4"/>
  <c r="X8" i="4"/>
  <c r="X6" i="4"/>
  <c r="W74" i="4"/>
  <c r="X173" i="4"/>
  <c r="Y171" i="4"/>
  <c r="X11" i="4"/>
  <c r="X166" i="4"/>
  <c r="X167" i="4"/>
  <c r="X168" i="4"/>
  <c r="X170" i="4"/>
  <c r="X152" i="4"/>
  <c r="X172" i="4"/>
  <c r="X154" i="4"/>
  <c r="X175" i="4"/>
  <c r="X156" i="4"/>
  <c r="X5" i="4"/>
  <c r="W38" i="4"/>
  <c r="Y168" i="4"/>
  <c r="X83" i="4"/>
  <c r="X7" i="4"/>
  <c r="W69" i="4"/>
  <c r="W70" i="4"/>
  <c r="W71" i="4"/>
  <c r="W72" i="4"/>
  <c r="W73" i="4"/>
  <c r="W78" i="4"/>
  <c r="W79" i="4"/>
  <c r="Y165" i="4"/>
  <c r="X158" i="4"/>
  <c r="X72" i="4"/>
  <c r="W65" i="4"/>
  <c r="X59" i="4"/>
  <c r="X60" i="4"/>
  <c r="X62" i="4"/>
  <c r="X53" i="4"/>
  <c r="X76" i="4"/>
  <c r="X77" i="4"/>
  <c r="X78" i="4"/>
  <c r="X82" i="4"/>
  <c r="X64" i="4"/>
  <c r="W81" i="4"/>
  <c r="X161" i="4"/>
  <c r="Y160" i="4"/>
  <c r="X153" i="4"/>
  <c r="W92" i="4"/>
  <c r="W64" i="4"/>
  <c r="W24" i="4"/>
  <c r="W90" i="4"/>
  <c r="W63" i="4"/>
  <c r="X12" i="4"/>
  <c r="X13" i="4"/>
  <c r="X14" i="4"/>
  <c r="X15" i="4"/>
  <c r="X16" i="4"/>
  <c r="X18" i="4"/>
  <c r="X2" i="4"/>
  <c r="X3" i="4"/>
  <c r="X9" i="4"/>
  <c r="X10" i="4"/>
  <c r="Y19" i="4"/>
  <c r="X94" i="4"/>
  <c r="X69" i="4"/>
  <c r="X68" i="4"/>
  <c r="W13" i="4"/>
  <c r="Y175" i="4"/>
  <c r="Y157" i="4"/>
  <c r="Y177" i="4"/>
  <c r="Y159" i="4"/>
  <c r="Y161" i="4"/>
  <c r="Y162" i="4"/>
  <c r="Y163" i="4"/>
  <c r="Y164" i="4"/>
  <c r="Y170" i="4"/>
  <c r="X43" i="4"/>
  <c r="W154" i="3"/>
  <c r="X71" i="3"/>
  <c r="W47" i="3"/>
  <c r="W133" i="3"/>
  <c r="W81" i="3"/>
  <c r="Y100" i="3"/>
  <c r="X55" i="3"/>
  <c r="Y14" i="3"/>
  <c r="Y154" i="3"/>
  <c r="Y42" i="3"/>
  <c r="Y123" i="3"/>
  <c r="W55" i="3"/>
  <c r="W56" i="3"/>
  <c r="W104" i="3"/>
  <c r="W105" i="3"/>
  <c r="X23" i="3"/>
  <c r="X19" i="3"/>
  <c r="X20" i="3"/>
  <c r="X21" i="3"/>
  <c r="X22" i="3"/>
  <c r="X57" i="3"/>
  <c r="X52" i="3"/>
  <c r="X53" i="3"/>
  <c r="X54" i="3"/>
  <c r="X85" i="3"/>
  <c r="X84" i="3"/>
  <c r="X104" i="3"/>
  <c r="Y105" i="3"/>
  <c r="X81" i="3"/>
  <c r="Y61" i="3"/>
  <c r="Y17" i="3"/>
  <c r="W85" i="3"/>
  <c r="W17" i="3"/>
  <c r="Y161" i="3"/>
  <c r="W3" i="3"/>
  <c r="W21" i="3"/>
  <c r="Y56" i="3"/>
  <c r="W68" i="3"/>
  <c r="W84" i="3"/>
  <c r="Y54" i="3"/>
  <c r="Y59" i="3"/>
  <c r="Y60" i="3"/>
  <c r="Y48" i="3"/>
  <c r="Y53" i="3"/>
  <c r="Y85" i="3"/>
  <c r="Y23" i="3"/>
  <c r="Y24" i="3"/>
  <c r="Y25" i="3"/>
  <c r="Y26" i="3"/>
  <c r="Y27" i="3"/>
  <c r="Y19" i="3"/>
  <c r="Y20" i="3"/>
  <c r="Y28" i="3"/>
  <c r="Y29" i="3"/>
  <c r="Y30" i="3"/>
  <c r="Y31" i="3"/>
  <c r="Y32" i="3"/>
  <c r="Y33" i="3"/>
  <c r="Y18" i="3"/>
  <c r="Y84" i="3"/>
  <c r="Y22" i="3"/>
  <c r="Y21" i="3"/>
  <c r="Y12" i="3"/>
  <c r="Y15" i="3"/>
  <c r="Y86" i="3"/>
  <c r="Y106" i="3"/>
  <c r="Y87" i="3"/>
  <c r="Y107" i="3"/>
  <c r="Y88" i="3"/>
  <c r="Y108" i="3"/>
  <c r="Y102" i="3"/>
  <c r="Y90" i="3"/>
  <c r="Y110" i="3"/>
  <c r="Y91" i="3"/>
  <c r="Y111" i="3"/>
  <c r="Y92" i="3"/>
  <c r="Y93" i="3"/>
  <c r="Y97" i="3"/>
  <c r="Y94" i="3"/>
  <c r="Y95" i="3"/>
  <c r="Y96" i="3"/>
  <c r="Y82" i="3"/>
  <c r="Y103" i="3"/>
  <c r="Y99" i="3"/>
  <c r="Y98" i="3"/>
  <c r="Y101" i="3"/>
  <c r="W57" i="3"/>
  <c r="W58" i="3"/>
  <c r="W59" i="3"/>
  <c r="W60" i="3"/>
  <c r="W48" i="3"/>
  <c r="W53" i="3"/>
  <c r="W52" i="3"/>
  <c r="W49" i="3"/>
  <c r="W50" i="3"/>
  <c r="W51" i="3"/>
  <c r="W54" i="3"/>
  <c r="Y40" i="3"/>
  <c r="Y41" i="3"/>
  <c r="W138" i="3"/>
  <c r="W121" i="3"/>
  <c r="W139" i="3"/>
  <c r="W120" i="3"/>
  <c r="W141" i="3"/>
  <c r="W142" i="3"/>
  <c r="W140" i="3"/>
  <c r="W122" i="3"/>
  <c r="Y81" i="3"/>
  <c r="X61" i="3"/>
  <c r="W86" i="3"/>
  <c r="W143" i="3"/>
  <c r="X99" i="3"/>
  <c r="X101" i="3"/>
  <c r="X100" i="3"/>
  <c r="X83" i="3"/>
  <c r="X102" i="3"/>
  <c r="X103" i="3"/>
  <c r="X82" i="3"/>
  <c r="Y104" i="3"/>
  <c r="W159" i="3"/>
  <c r="W158" i="3"/>
  <c r="Y114" i="3"/>
  <c r="W124" i="3"/>
  <c r="Y77" i="3"/>
  <c r="Y79" i="3"/>
  <c r="Y78" i="3"/>
  <c r="Y80" i="3"/>
  <c r="W83" i="3"/>
  <c r="W103" i="3"/>
  <c r="W102" i="3"/>
  <c r="W82" i="3"/>
  <c r="W66" i="3"/>
  <c r="W71" i="3"/>
  <c r="X86" i="3"/>
  <c r="W34" i="3"/>
  <c r="Y112" i="3"/>
  <c r="W123" i="3"/>
  <c r="Y72" i="3"/>
  <c r="W157" i="3"/>
  <c r="W125" i="3"/>
  <c r="X105" i="3"/>
  <c r="W156" i="3"/>
  <c r="W100" i="3"/>
  <c r="Y76" i="3"/>
  <c r="X98" i="3"/>
  <c r="X69" i="3"/>
  <c r="X49" i="3"/>
  <c r="W137" i="3"/>
  <c r="W45" i="3"/>
  <c r="W98" i="3"/>
  <c r="X70" i="3"/>
  <c r="W44" i="3"/>
  <c r="Y74" i="3"/>
  <c r="X96" i="3"/>
  <c r="X67" i="3"/>
  <c r="X33" i="3"/>
  <c r="W135" i="3"/>
  <c r="W43" i="3"/>
  <c r="W96" i="3"/>
  <c r="Y75" i="3"/>
  <c r="Y73" i="3"/>
  <c r="X95" i="3"/>
  <c r="X66" i="3"/>
  <c r="X32" i="3"/>
  <c r="W134" i="3"/>
  <c r="W42" i="3"/>
  <c r="W147" i="3"/>
  <c r="W95" i="3"/>
  <c r="W99" i="3"/>
  <c r="X94" i="3"/>
  <c r="X65" i="3"/>
  <c r="X31" i="3"/>
  <c r="W41" i="3"/>
  <c r="W94" i="3"/>
  <c r="X50" i="3"/>
  <c r="X97" i="3"/>
  <c r="W97" i="3"/>
  <c r="Y113" i="3"/>
  <c r="X93" i="3"/>
  <c r="X64" i="3"/>
  <c r="X30" i="3"/>
  <c r="W132" i="3"/>
  <c r="W40" i="3"/>
  <c r="W145" i="3"/>
  <c r="W93" i="3"/>
  <c r="W151" i="3"/>
  <c r="X48" i="3"/>
  <c r="X17" i="3"/>
  <c r="X92" i="3"/>
  <c r="X63" i="3"/>
  <c r="X29" i="3"/>
  <c r="W131" i="3"/>
  <c r="W39" i="3"/>
  <c r="W144" i="3"/>
  <c r="W92" i="3"/>
  <c r="Y119" i="3"/>
  <c r="X111" i="3"/>
  <c r="X91" i="3"/>
  <c r="X62" i="3"/>
  <c r="X28" i="3"/>
  <c r="W130" i="3"/>
  <c r="W38" i="3"/>
  <c r="W111" i="3"/>
  <c r="W91" i="3"/>
  <c r="W101" i="3"/>
  <c r="W46" i="3"/>
  <c r="X68" i="3"/>
  <c r="W136" i="3"/>
  <c r="Y118" i="3"/>
  <c r="X110" i="3"/>
  <c r="X90" i="3"/>
  <c r="X27" i="3"/>
  <c r="W129" i="3"/>
  <c r="W37" i="3"/>
  <c r="W110" i="3"/>
  <c r="W90" i="3"/>
  <c r="Y117" i="3"/>
  <c r="X109" i="3"/>
  <c r="X89" i="3"/>
  <c r="X60" i="3"/>
  <c r="X26" i="3"/>
  <c r="W128" i="3"/>
  <c r="W36" i="3"/>
  <c r="W109" i="3"/>
  <c r="W89" i="3"/>
  <c r="Y116" i="3"/>
  <c r="X108" i="3"/>
  <c r="X88" i="3"/>
  <c r="X59" i="3"/>
  <c r="X25" i="3"/>
  <c r="W127" i="3"/>
  <c r="W35" i="3"/>
  <c r="W108" i="3"/>
  <c r="W88" i="3"/>
  <c r="X18" i="3"/>
  <c r="X51" i="3"/>
  <c r="Y115" i="3"/>
  <c r="X107" i="3"/>
  <c r="X87" i="3"/>
  <c r="X58" i="3"/>
  <c r="X24" i="3"/>
  <c r="W126" i="3"/>
  <c r="W107" i="3"/>
  <c r="W87" i="3"/>
  <c r="X106" i="3"/>
  <c r="W106" i="3"/>
  <c r="W109" i="2"/>
  <c r="X37" i="2"/>
  <c r="Y97" i="2"/>
  <c r="W112" i="2"/>
  <c r="X106" i="2"/>
  <c r="Y119" i="2"/>
  <c r="W56" i="2"/>
  <c r="W71" i="2"/>
  <c r="X23" i="2"/>
  <c r="Y22" i="2"/>
  <c r="Y20" i="2"/>
  <c r="Y21" i="2"/>
  <c r="Y19" i="2"/>
  <c r="W96" i="2"/>
  <c r="X112" i="2"/>
  <c r="X33" i="2"/>
  <c r="X38" i="2"/>
  <c r="X39" i="2"/>
  <c r="X40" i="2"/>
  <c r="X43" i="2"/>
  <c r="X2" i="2"/>
  <c r="X96" i="2"/>
  <c r="X109" i="2"/>
  <c r="X108" i="2"/>
  <c r="X110" i="2"/>
  <c r="X111" i="2"/>
  <c r="Y23" i="2"/>
  <c r="X50" i="2"/>
  <c r="W119" i="2"/>
  <c r="X52" i="2"/>
  <c r="X71" i="2"/>
  <c r="Y14" i="2"/>
  <c r="W25" i="2"/>
  <c r="X84" i="2"/>
  <c r="X19" i="2"/>
  <c r="Y91" i="2"/>
  <c r="Y44" i="2"/>
  <c r="W36" i="2"/>
  <c r="W34" i="2"/>
  <c r="W38" i="2"/>
  <c r="Y42" i="2"/>
  <c r="Y41" i="2"/>
  <c r="Y29" i="2"/>
  <c r="Y30" i="2"/>
  <c r="Y31" i="2"/>
  <c r="Y32" i="2"/>
  <c r="Y25" i="2"/>
  <c r="Y24" i="2"/>
  <c r="Y26" i="2"/>
  <c r="Y28" i="2"/>
  <c r="Y27" i="2"/>
  <c r="X92" i="2"/>
  <c r="Y54" i="2"/>
  <c r="Y55" i="2"/>
  <c r="Y56" i="2"/>
  <c r="X66" i="2"/>
  <c r="X67" i="2"/>
  <c r="X69" i="2"/>
  <c r="X58" i="2"/>
  <c r="X59" i="2"/>
  <c r="X65" i="2"/>
  <c r="X68" i="2"/>
  <c r="X60" i="2"/>
  <c r="X61" i="2"/>
  <c r="X62" i="2"/>
  <c r="X63" i="2"/>
  <c r="X64" i="2"/>
  <c r="Y52" i="2"/>
  <c r="X49" i="2"/>
  <c r="W70" i="2"/>
  <c r="Y72" i="2"/>
  <c r="Y67" i="2"/>
  <c r="Y58" i="2"/>
  <c r="Y59" i="2"/>
  <c r="Y68" i="2"/>
  <c r="Y60" i="2"/>
  <c r="Y61" i="2"/>
  <c r="Y62" i="2"/>
  <c r="Y63" i="2"/>
  <c r="Y64" i="2"/>
  <c r="Y65" i="2"/>
  <c r="Y66" i="2"/>
  <c r="Y69" i="2"/>
  <c r="Y112" i="2"/>
  <c r="Y39" i="2"/>
  <c r="W50" i="2"/>
  <c r="X57" i="2"/>
  <c r="Y90" i="2"/>
  <c r="X21" i="2"/>
  <c r="X22" i="2"/>
  <c r="X42" i="2"/>
  <c r="W42" i="2"/>
  <c r="Y43" i="2"/>
  <c r="Y89" i="2"/>
  <c r="Y57" i="2"/>
  <c r="X20" i="2"/>
  <c r="X41" i="2"/>
  <c r="X55" i="2"/>
  <c r="W111" i="2"/>
  <c r="X95" i="2"/>
  <c r="X15" i="2"/>
  <c r="Y38" i="2"/>
  <c r="X54" i="2"/>
  <c r="Y37" i="2"/>
  <c r="Y83" i="2"/>
  <c r="Y51" i="2"/>
  <c r="X107" i="2"/>
  <c r="X35" i="2"/>
  <c r="X13" i="2"/>
  <c r="W105" i="2"/>
  <c r="Y85" i="2"/>
  <c r="Y110" i="2"/>
  <c r="Y36" i="2"/>
  <c r="Y82" i="2"/>
  <c r="Y50" i="2"/>
  <c r="X34" i="2"/>
  <c r="X12" i="2"/>
  <c r="W104" i="2"/>
  <c r="Y87" i="2"/>
  <c r="W94" i="2"/>
  <c r="X36" i="2"/>
  <c r="Y107" i="2"/>
  <c r="Y35" i="2"/>
  <c r="Y81" i="2"/>
  <c r="Y49" i="2"/>
  <c r="X105" i="2"/>
  <c r="X11" i="2"/>
  <c r="W103" i="2"/>
  <c r="Y40" i="2"/>
  <c r="Y53" i="2"/>
  <c r="X14" i="2"/>
  <c r="Y34" i="2"/>
  <c r="Y80" i="2"/>
  <c r="Y48" i="2"/>
  <c r="X104" i="2"/>
  <c r="X118" i="2"/>
  <c r="X10" i="2"/>
  <c r="W102" i="2"/>
  <c r="W116" i="2"/>
  <c r="W110" i="2"/>
  <c r="Y105" i="2"/>
  <c r="Y33" i="2"/>
  <c r="Y79" i="2"/>
  <c r="Y47" i="2"/>
  <c r="X103" i="2"/>
  <c r="X117" i="2"/>
  <c r="X9" i="2"/>
  <c r="W101" i="2"/>
  <c r="X119" i="2"/>
  <c r="Y104" i="2"/>
  <c r="Y118" i="2"/>
  <c r="Y78" i="2"/>
  <c r="Y46" i="2"/>
  <c r="X102" i="2"/>
  <c r="X116" i="2"/>
  <c r="X8" i="2"/>
  <c r="W100" i="2"/>
  <c r="W114" i="2"/>
  <c r="X17" i="2"/>
  <c r="W108" i="2"/>
  <c r="W106" i="2"/>
  <c r="Y117" i="2"/>
  <c r="Y77" i="2"/>
  <c r="Y45" i="2"/>
  <c r="X101" i="2"/>
  <c r="X115" i="2"/>
  <c r="X7" i="2"/>
  <c r="W99" i="2"/>
  <c r="W113" i="2"/>
  <c r="Y102" i="2"/>
  <c r="Y116" i="2"/>
  <c r="Y76" i="2"/>
  <c r="X100" i="2"/>
  <c r="X114" i="2"/>
  <c r="X6" i="2"/>
  <c r="W98" i="2"/>
  <c r="Y101" i="2"/>
  <c r="Y115" i="2"/>
  <c r="Y75" i="2"/>
  <c r="X99" i="2"/>
  <c r="X113" i="2"/>
  <c r="X5" i="2"/>
  <c r="W97" i="2"/>
  <c r="W107" i="2"/>
  <c r="Y100" i="2"/>
  <c r="Y114" i="2"/>
  <c r="Y74" i="2"/>
  <c r="X98" i="2"/>
  <c r="X4" i="2"/>
  <c r="X18" i="2"/>
  <c r="Y84" i="2"/>
  <c r="Y99" i="2"/>
  <c r="Y113" i="2"/>
  <c r="Y73" i="2"/>
  <c r="X97" i="2"/>
  <c r="X3" i="2"/>
  <c r="Y88" i="2"/>
  <c r="Y86" i="2"/>
  <c r="X16" i="2"/>
  <c r="A2" i="15" a="1"/>
  <c r="A2" i="15" s="1"/>
  <c r="O67" i="2" l="1"/>
  <c r="N67" i="2"/>
  <c r="G52" i="1" a="1"/>
  <c r="G52" i="1" s="1"/>
  <c r="G43" i="1" a="1"/>
  <c r="G43" i="1" s="1"/>
  <c r="G39" i="1" a="1"/>
  <c r="G39" i="1" s="1"/>
  <c r="O128" i="4"/>
  <c r="N128" i="4"/>
  <c r="N127" i="3"/>
  <c r="O127" i="3"/>
  <c r="F50" i="1" a="1"/>
  <c r="F50" i="1" s="1"/>
  <c r="N131" i="4"/>
  <c r="P131" i="4"/>
  <c r="N99" i="3"/>
  <c r="O99" i="3"/>
  <c r="N136" i="3"/>
  <c r="O136" i="3"/>
  <c r="N75" i="2"/>
  <c r="O75" i="2"/>
  <c r="N54" i="3"/>
  <c r="O54" i="3"/>
  <c r="N106" i="4"/>
  <c r="O106" i="4"/>
  <c r="N32" i="2"/>
  <c r="O32" i="2"/>
  <c r="N76" i="4"/>
  <c r="N7" i="3"/>
  <c r="O7" i="3"/>
  <c r="N66" i="3"/>
  <c r="O66" i="3"/>
  <c r="N89" i="3"/>
  <c r="O89" i="3"/>
  <c r="O148" i="3"/>
  <c r="N148" i="3"/>
  <c r="S48" i="1" a="1"/>
  <c r="S48" i="1" s="1"/>
  <c r="S40" i="1" a="1"/>
  <c r="S40" i="1" s="1"/>
  <c r="N13" i="2"/>
  <c r="N120" i="4"/>
  <c r="O120" i="4"/>
  <c r="G40" i="1" a="1"/>
  <c r="G40" i="1" s="1"/>
  <c r="I40" i="1" s="1"/>
  <c r="N34" i="2"/>
  <c r="P34" i="2"/>
  <c r="N187" i="4"/>
  <c r="O187" i="4"/>
  <c r="G42" i="1" a="1"/>
  <c r="G42" i="1" s="1"/>
  <c r="O28" i="3"/>
  <c r="N28" i="3"/>
  <c r="N20" i="3"/>
  <c r="O20" i="3"/>
  <c r="F51" i="1" a="1"/>
  <c r="F51" i="1" s="1"/>
  <c r="O29" i="4"/>
  <c r="N29" i="4"/>
  <c r="N168" i="4"/>
  <c r="O168" i="4"/>
  <c r="G46" i="1" a="1"/>
  <c r="G46" i="1" s="1"/>
  <c r="O27" i="4"/>
  <c r="N27" i="4"/>
  <c r="N57" i="2"/>
  <c r="O57" i="2"/>
  <c r="N13" i="3"/>
  <c r="O13" i="3"/>
  <c r="O92" i="3"/>
  <c r="N92" i="3"/>
  <c r="N130" i="3"/>
  <c r="O130" i="3"/>
  <c r="N123" i="4"/>
  <c r="O123" i="4"/>
  <c r="S46" i="1" a="1"/>
  <c r="S46" i="1" s="1"/>
  <c r="S41" i="1" a="1"/>
  <c r="S41" i="1" s="1"/>
  <c r="N49" i="3"/>
  <c r="O49" i="3"/>
  <c r="N68" i="3"/>
  <c r="O68" i="3"/>
  <c r="N7" i="4"/>
  <c r="O7" i="4"/>
  <c r="N18" i="3"/>
  <c r="O18" i="3"/>
  <c r="P71" i="3"/>
  <c r="N71" i="3"/>
  <c r="O139" i="3"/>
  <c r="N139" i="3"/>
  <c r="O51" i="3"/>
  <c r="N51" i="3"/>
  <c r="O83" i="4"/>
  <c r="N83" i="4"/>
  <c r="N162" i="4"/>
  <c r="O162" i="4"/>
  <c r="O180" i="4"/>
  <c r="N180" i="4"/>
  <c r="N22" i="4"/>
  <c r="O142" i="4"/>
  <c r="N142" i="4"/>
  <c r="N141" i="4"/>
  <c r="O141" i="4"/>
  <c r="O160" i="4"/>
  <c r="N160" i="4"/>
  <c r="N161" i="3"/>
  <c r="O161" i="3"/>
  <c r="O122" i="4"/>
  <c r="N122" i="4"/>
  <c r="N121" i="4"/>
  <c r="O121" i="4"/>
  <c r="N140" i="4"/>
  <c r="O140" i="4"/>
  <c r="N71" i="4"/>
  <c r="O71" i="4"/>
  <c r="F52" i="1" a="1"/>
  <c r="F52" i="1" s="1"/>
  <c r="H52" i="1" s="1"/>
  <c r="P130" i="4"/>
  <c r="N130" i="4"/>
  <c r="N96" i="4"/>
  <c r="P96" i="4"/>
  <c r="P54" i="2"/>
  <c r="N54" i="2"/>
  <c r="O115" i="3"/>
  <c r="N115" i="3"/>
  <c r="N91" i="3"/>
  <c r="O91" i="3"/>
  <c r="N46" i="3"/>
  <c r="O46" i="3"/>
  <c r="S47" i="1" a="1"/>
  <c r="S47" i="1" s="1"/>
  <c r="U47" i="1" s="1"/>
  <c r="N108" i="2"/>
  <c r="N102" i="2"/>
  <c r="O102" i="2"/>
  <c r="O119" i="3"/>
  <c r="N119" i="3"/>
  <c r="N167" i="4"/>
  <c r="O167" i="4"/>
  <c r="N51" i="2"/>
  <c r="O51" i="2"/>
  <c r="O84" i="4"/>
  <c r="N84" i="4"/>
  <c r="N70" i="3"/>
  <c r="O70" i="3"/>
  <c r="N23" i="2"/>
  <c r="O23" i="2"/>
  <c r="O29" i="3"/>
  <c r="N29" i="3"/>
  <c r="R42" i="1" a="1"/>
  <c r="R42" i="1" s="1"/>
  <c r="O110" i="3"/>
  <c r="N110" i="3"/>
  <c r="O32" i="3"/>
  <c r="N32" i="3"/>
  <c r="N77" i="4"/>
  <c r="N64" i="4"/>
  <c r="O64" i="4"/>
  <c r="O50" i="3"/>
  <c r="N50" i="3"/>
  <c r="R43" i="1" a="1"/>
  <c r="R43" i="1" s="1"/>
  <c r="O63" i="2"/>
  <c r="N63" i="2"/>
  <c r="P31" i="4"/>
  <c r="N31" i="4"/>
  <c r="N96" i="3"/>
  <c r="O96" i="3"/>
  <c r="O121" i="3"/>
  <c r="N121" i="3"/>
  <c r="N128" i="3"/>
  <c r="O128" i="3"/>
  <c r="O61" i="4"/>
  <c r="N61" i="4"/>
  <c r="O81" i="3"/>
  <c r="N81" i="3"/>
  <c r="G44" i="1" a="1"/>
  <c r="G44" i="1" s="1"/>
  <c r="G51" i="1" a="1"/>
  <c r="G51" i="1" s="1"/>
  <c r="F39" i="1" a="1"/>
  <c r="F39" i="1" s="1"/>
  <c r="H39" i="1" s="1"/>
  <c r="N61" i="3"/>
  <c r="O61" i="3"/>
  <c r="N149" i="4"/>
  <c r="O149" i="4"/>
  <c r="N88" i="4"/>
  <c r="O88" i="4"/>
  <c r="O39" i="3"/>
  <c r="N39" i="3"/>
  <c r="N147" i="4"/>
  <c r="O147" i="4"/>
  <c r="N137" i="4"/>
  <c r="O137" i="4"/>
  <c r="N36" i="4"/>
  <c r="P36" i="4"/>
  <c r="O144" i="4"/>
  <c r="N144" i="4"/>
  <c r="N36" i="3"/>
  <c r="O36" i="3"/>
  <c r="N134" i="3"/>
  <c r="N185" i="4"/>
  <c r="O44" i="4"/>
  <c r="N44" i="4"/>
  <c r="N107" i="3"/>
  <c r="P107" i="3"/>
  <c r="O6" i="3"/>
  <c r="N6" i="3"/>
  <c r="O22" i="2"/>
  <c r="N22" i="2"/>
  <c r="S49" i="1" a="1"/>
  <c r="S49" i="1" s="1"/>
  <c r="G16" i="1" a="1"/>
  <c r="G16" i="1" s="1"/>
  <c r="F11" i="1" a="1"/>
  <c r="F11" i="1" s="1"/>
  <c r="G15" i="1" a="1"/>
  <c r="G15" i="1" s="1"/>
  <c r="F10" i="1" a="1"/>
  <c r="F10" i="1" s="1"/>
  <c r="H10" i="1" s="1"/>
  <c r="G14" i="1" a="1"/>
  <c r="G14" i="1" s="1"/>
  <c r="G13" i="1" a="1"/>
  <c r="G13" i="1" s="1"/>
  <c r="F9" i="1" a="1"/>
  <c r="F9" i="1" s="1"/>
  <c r="H9" i="1" s="1"/>
  <c r="G12" i="1" a="1"/>
  <c r="G12" i="1" s="1"/>
  <c r="F8" i="1" a="1"/>
  <c r="F8" i="1" s="1"/>
  <c r="G11" i="1" a="1"/>
  <c r="G11" i="1" s="1"/>
  <c r="F7" i="1" a="1"/>
  <c r="F7" i="1" s="1"/>
  <c r="G9" i="1" a="1"/>
  <c r="G9" i="1" s="1"/>
  <c r="F6" i="1" a="1"/>
  <c r="F6" i="1" s="1"/>
  <c r="G8" i="1" a="1"/>
  <c r="G8" i="1" s="1"/>
  <c r="F5" i="1" a="1"/>
  <c r="F5" i="1" s="1"/>
  <c r="G7" i="1" a="1"/>
  <c r="G7" i="1" s="1"/>
  <c r="F4" i="1" a="1"/>
  <c r="F4" i="1" s="1"/>
  <c r="G10" i="1" a="1"/>
  <c r="G10" i="1" s="1"/>
  <c r="G6" i="1" a="1"/>
  <c r="G6" i="1" s="1"/>
  <c r="G5" i="1" a="1"/>
  <c r="G5" i="1" s="1"/>
  <c r="G4" i="1" a="1"/>
  <c r="G4" i="1" s="1"/>
  <c r="G3" i="1" a="1"/>
  <c r="G3" i="1" s="1"/>
  <c r="F16" i="1" a="1"/>
  <c r="F16" i="1" s="1"/>
  <c r="F13" i="1" a="1"/>
  <c r="F13" i="1" s="1"/>
  <c r="F12" i="1" a="1"/>
  <c r="F12" i="1" s="1"/>
  <c r="F3" i="1" a="1"/>
  <c r="F3" i="1" s="1"/>
  <c r="F15" i="1" a="1"/>
  <c r="F15" i="1" s="1"/>
  <c r="F14" i="1" a="1"/>
  <c r="F14" i="1" s="1"/>
  <c r="P2" i="2"/>
  <c r="N82" i="2"/>
  <c r="O82" i="2"/>
  <c r="N129" i="3"/>
  <c r="O129" i="3"/>
  <c r="R39" i="1" a="1"/>
  <c r="R39" i="1" s="1"/>
  <c r="R41" i="1" a="1"/>
  <c r="R41" i="1" s="1"/>
  <c r="T41" i="1" s="1"/>
  <c r="G45" i="1" a="1"/>
  <c r="G45" i="1" s="1"/>
  <c r="P49" i="2"/>
  <c r="N49" i="2"/>
  <c r="P37" i="4"/>
  <c r="N37" i="4"/>
  <c r="N143" i="4"/>
  <c r="O143" i="4"/>
  <c r="N186" i="4"/>
  <c r="O6" i="4"/>
  <c r="N6" i="4"/>
  <c r="O5" i="4"/>
  <c r="N5" i="4"/>
  <c r="N111" i="2"/>
  <c r="O111" i="2"/>
  <c r="O87" i="3"/>
  <c r="N87" i="3"/>
  <c r="N73" i="2"/>
  <c r="N18" i="2"/>
  <c r="N62" i="2"/>
  <c r="O62" i="2"/>
  <c r="R46" i="1" a="1"/>
  <c r="R46" i="1" s="1"/>
  <c r="T46" i="1" s="1"/>
  <c r="S6" i="1" a="1"/>
  <c r="S6" i="1" s="1"/>
  <c r="U6" i="1" s="1"/>
  <c r="S5" i="1" a="1"/>
  <c r="S5" i="1" s="1"/>
  <c r="S4" i="1" a="1"/>
  <c r="S4" i="1" s="1"/>
  <c r="S3" i="1" a="1"/>
  <c r="S3" i="1" s="1"/>
  <c r="R16" i="1" a="1"/>
  <c r="R16" i="1" s="1"/>
  <c r="R15" i="1" a="1"/>
  <c r="R15" i="1" s="1"/>
  <c r="T15" i="1" s="1"/>
  <c r="R14" i="1" a="1"/>
  <c r="R14" i="1" s="1"/>
  <c r="S16" i="1" a="1"/>
  <c r="S16" i="1" s="1"/>
  <c r="U16" i="1" s="1"/>
  <c r="R13" i="1" a="1"/>
  <c r="R13" i="1" s="1"/>
  <c r="S7" i="1" a="1"/>
  <c r="S7" i="1" s="1"/>
  <c r="R12" i="1" a="1"/>
  <c r="R12" i="1" s="1"/>
  <c r="R11" i="1" a="1"/>
  <c r="R11" i="1" s="1"/>
  <c r="R10" i="1" a="1"/>
  <c r="R10" i="1" s="1"/>
  <c r="R9" i="1" a="1"/>
  <c r="R9" i="1" s="1"/>
  <c r="R8" i="1" a="1"/>
  <c r="R8" i="1" s="1"/>
  <c r="R7" i="1" a="1"/>
  <c r="R7" i="1" s="1"/>
  <c r="S15" i="1" a="1"/>
  <c r="S15" i="1" s="1"/>
  <c r="S14" i="1" a="1"/>
  <c r="S14" i="1" s="1"/>
  <c r="S13" i="1" a="1"/>
  <c r="S13" i="1" s="1"/>
  <c r="S10" i="1" a="1"/>
  <c r="S10" i="1" s="1"/>
  <c r="S9" i="1" a="1"/>
  <c r="S9" i="1" s="1"/>
  <c r="U9" i="1" s="1"/>
  <c r="S8" i="1" a="1"/>
  <c r="S8" i="1" s="1"/>
  <c r="R6" i="1" a="1"/>
  <c r="R6" i="1" s="1"/>
  <c r="R5" i="1" a="1"/>
  <c r="R5" i="1" s="1"/>
  <c r="R4" i="1" a="1"/>
  <c r="R4" i="1" s="1"/>
  <c r="T4" i="1" s="1"/>
  <c r="R3" i="1" a="1"/>
  <c r="R3" i="1" s="1"/>
  <c r="T2" i="2"/>
  <c r="S11" i="1" a="1"/>
  <c r="S11" i="1" s="1"/>
  <c r="S12" i="1" a="1"/>
  <c r="S12" i="1" s="1"/>
  <c r="N9" i="2"/>
  <c r="O109" i="3"/>
  <c r="N109" i="3"/>
  <c r="N101" i="3"/>
  <c r="O101" i="3"/>
  <c r="O9" i="4"/>
  <c r="N9" i="4"/>
  <c r="N148" i="4"/>
  <c r="O148" i="4"/>
  <c r="N184" i="4"/>
  <c r="O184" i="4"/>
  <c r="G41" i="1" a="1"/>
  <c r="G41" i="1" s="1"/>
  <c r="N117" i="2"/>
  <c r="P117" i="2"/>
  <c r="O95" i="3"/>
  <c r="N95" i="3"/>
  <c r="N40" i="4"/>
  <c r="O40" i="4"/>
  <c r="O31" i="3"/>
  <c r="N31" i="3"/>
  <c r="N46" i="4"/>
  <c r="O46" i="4"/>
  <c r="N120" i="3"/>
  <c r="P120" i="3"/>
  <c r="O20" i="4"/>
  <c r="N20" i="4"/>
  <c r="O26" i="4"/>
  <c r="N26" i="4"/>
  <c r="N129" i="4"/>
  <c r="O129" i="4"/>
  <c r="O68" i="4"/>
  <c r="N68" i="4"/>
  <c r="O127" i="4"/>
  <c r="N127" i="4"/>
  <c r="N55" i="3"/>
  <c r="O55" i="3"/>
  <c r="N114" i="3"/>
  <c r="O114" i="3"/>
  <c r="N31" i="2"/>
  <c r="O31" i="2"/>
  <c r="N165" i="4"/>
  <c r="O165" i="4"/>
  <c r="N23" i="4"/>
  <c r="O23" i="4"/>
  <c r="N146" i="3"/>
  <c r="O146" i="3"/>
  <c r="O86" i="3"/>
  <c r="N86" i="3"/>
  <c r="N69" i="2"/>
  <c r="S51" i="1" a="1"/>
  <c r="S51" i="1" s="1"/>
  <c r="C15" i="1" a="1"/>
  <c r="C15" i="1" s="1"/>
  <c r="B10" i="1" a="1"/>
  <c r="B10" i="1" s="1"/>
  <c r="C14" i="1" a="1"/>
  <c r="C14" i="1" s="1"/>
  <c r="E14" i="1" s="1"/>
  <c r="B9" i="1" a="1"/>
  <c r="B9" i="1" s="1"/>
  <c r="C13" i="1" a="1"/>
  <c r="C13" i="1" s="1"/>
  <c r="B8" i="1" a="1"/>
  <c r="B8" i="1" s="1"/>
  <c r="C12" i="1" a="1"/>
  <c r="C12" i="1" s="1"/>
  <c r="B7" i="1" a="1"/>
  <c r="B7" i="1" s="1"/>
  <c r="D7" i="1" s="1"/>
  <c r="B6" i="1" a="1"/>
  <c r="B6" i="1" s="1"/>
  <c r="C11" i="1" a="1"/>
  <c r="C11" i="1" s="1"/>
  <c r="C9" i="1" a="1"/>
  <c r="C9" i="1" s="1"/>
  <c r="E9" i="1" s="1"/>
  <c r="B4" i="1" a="1"/>
  <c r="B4" i="1" s="1"/>
  <c r="C8" i="1" a="1"/>
  <c r="C8" i="1" s="1"/>
  <c r="B3" i="1" a="1"/>
  <c r="B3" i="1" s="1"/>
  <c r="C7" i="1" a="1"/>
  <c r="C7" i="1" s="1"/>
  <c r="B16" i="1" a="1"/>
  <c r="B16" i="1" s="1"/>
  <c r="B15" i="1" a="1"/>
  <c r="B15" i="1" s="1"/>
  <c r="B14" i="1" a="1"/>
  <c r="B14" i="1" s="1"/>
  <c r="B13" i="1" a="1"/>
  <c r="B13" i="1" s="1"/>
  <c r="B12" i="1" a="1"/>
  <c r="B12" i="1" s="1"/>
  <c r="B11" i="1" a="1"/>
  <c r="B11" i="1" s="1"/>
  <c r="B5" i="1" a="1"/>
  <c r="B5" i="1" s="1"/>
  <c r="C4" i="1" a="1"/>
  <c r="C4" i="1" s="1"/>
  <c r="C3" i="1" a="1"/>
  <c r="C3" i="1" s="1"/>
  <c r="C5" i="1" a="1"/>
  <c r="C5" i="1" s="1"/>
  <c r="O2" i="2"/>
  <c r="C10" i="1" a="1"/>
  <c r="C10" i="1" s="1"/>
  <c r="N2" i="2"/>
  <c r="C6" i="1" a="1"/>
  <c r="C6" i="1" s="1"/>
  <c r="C16" i="1" a="1"/>
  <c r="C16" i="1" s="1"/>
  <c r="O26" i="3"/>
  <c r="N26" i="3"/>
  <c r="N41" i="4"/>
  <c r="O41" i="4"/>
  <c r="O108" i="4"/>
  <c r="N108" i="4"/>
  <c r="C41" i="1" a="1"/>
  <c r="C41" i="1" s="1"/>
  <c r="C40" i="1" a="1"/>
  <c r="C40" i="1" s="1"/>
  <c r="C39" i="1" a="1"/>
  <c r="C39" i="1" s="1"/>
  <c r="B52" i="1" a="1"/>
  <c r="B52" i="1" s="1"/>
  <c r="B51" i="1" a="1"/>
  <c r="B51" i="1" s="1"/>
  <c r="B50" i="1" a="1"/>
  <c r="B50" i="1" s="1"/>
  <c r="D50" i="1" s="1"/>
  <c r="B49" i="1" a="1"/>
  <c r="B49" i="1" s="1"/>
  <c r="B48" i="1" a="1"/>
  <c r="B48" i="1" s="1"/>
  <c r="B47" i="1" a="1"/>
  <c r="B47" i="1" s="1"/>
  <c r="C52" i="1" a="1"/>
  <c r="C52" i="1" s="1"/>
  <c r="B46" i="1" a="1"/>
  <c r="B46" i="1" s="1"/>
  <c r="D46" i="1" s="1"/>
  <c r="C49" i="1" a="1"/>
  <c r="C49" i="1" s="1"/>
  <c r="B44" i="1" a="1"/>
  <c r="B44" i="1" s="1"/>
  <c r="D44" i="1" s="1"/>
  <c r="B42" i="1" a="1"/>
  <c r="B42" i="1" s="1"/>
  <c r="B41" i="1" a="1"/>
  <c r="B41" i="1" s="1"/>
  <c r="D41" i="1" s="1"/>
  <c r="B40" i="1" a="1"/>
  <c r="B40" i="1" s="1"/>
  <c r="D40" i="1" s="1"/>
  <c r="B39" i="1" a="1"/>
  <c r="B39" i="1" s="1"/>
  <c r="C51" i="1" a="1"/>
  <c r="C51" i="1" s="1"/>
  <c r="C50" i="1" a="1"/>
  <c r="C50" i="1" s="1"/>
  <c r="C48" i="1" a="1"/>
  <c r="C48" i="1" s="1"/>
  <c r="E48" i="1" s="1"/>
  <c r="C47" i="1" a="1"/>
  <c r="C47" i="1" s="1"/>
  <c r="C46" i="1" a="1"/>
  <c r="C46" i="1" s="1"/>
  <c r="B43" i="1" a="1"/>
  <c r="B43" i="1" s="1"/>
  <c r="C45" i="1" a="1"/>
  <c r="C45" i="1" s="1"/>
  <c r="B45" i="1" a="1"/>
  <c r="B45" i="1" s="1"/>
  <c r="C44" i="1" a="1"/>
  <c r="C44" i="1" s="1"/>
  <c r="C43" i="1" a="1"/>
  <c r="C43" i="1" s="1"/>
  <c r="E43" i="1" s="1"/>
  <c r="C42" i="1" a="1"/>
  <c r="C42" i="1" s="1"/>
  <c r="O2" i="4"/>
  <c r="N142" i="3"/>
  <c r="O142" i="3"/>
  <c r="O32" i="4"/>
  <c r="N32" i="4"/>
  <c r="N41" i="3"/>
  <c r="O41" i="3"/>
  <c r="N19" i="3"/>
  <c r="O19" i="3"/>
  <c r="O183" i="4"/>
  <c r="N183" i="4"/>
  <c r="O76" i="2"/>
  <c r="N76" i="2"/>
  <c r="O112" i="3"/>
  <c r="N112" i="3"/>
  <c r="N112" i="2"/>
  <c r="O112" i="2"/>
  <c r="O91" i="2"/>
  <c r="N91" i="2"/>
  <c r="N24" i="4"/>
  <c r="O24" i="4"/>
  <c r="O30" i="3"/>
  <c r="N30" i="3"/>
  <c r="N88" i="2"/>
  <c r="N17" i="4"/>
  <c r="R47" i="1" a="1"/>
  <c r="R47" i="1" s="1"/>
  <c r="N16" i="4"/>
  <c r="N3" i="2"/>
  <c r="O3" i="2"/>
  <c r="P147" i="3"/>
  <c r="N147" i="3"/>
  <c r="O80" i="4"/>
  <c r="N80" i="4"/>
  <c r="P157" i="4"/>
  <c r="N157" i="4"/>
  <c r="N97" i="4"/>
  <c r="O97" i="4"/>
  <c r="O122" i="3"/>
  <c r="N122" i="3"/>
  <c r="G47" i="1" a="1"/>
  <c r="G47" i="1" s="1"/>
  <c r="N48" i="4"/>
  <c r="O48" i="4"/>
  <c r="O107" i="4"/>
  <c r="N107" i="4"/>
  <c r="O156" i="4"/>
  <c r="N156" i="4"/>
  <c r="N43" i="4"/>
  <c r="O43" i="4"/>
  <c r="N170" i="4"/>
  <c r="O166" i="4"/>
  <c r="N166" i="4"/>
  <c r="O111" i="3"/>
  <c r="N111" i="3"/>
  <c r="O4" i="4"/>
  <c r="N4" i="4"/>
  <c r="O3" i="4"/>
  <c r="N3" i="4"/>
  <c r="N67" i="3"/>
  <c r="O67" i="3"/>
  <c r="O103" i="2"/>
  <c r="N103" i="2"/>
  <c r="S52" i="1" a="1"/>
  <c r="S52" i="1" s="1"/>
  <c r="N48" i="3"/>
  <c r="O48" i="3"/>
  <c r="N48" i="2"/>
  <c r="N8" i="3"/>
  <c r="O8" i="3"/>
  <c r="N79" i="3"/>
  <c r="O79" i="3"/>
  <c r="O82" i="4"/>
  <c r="N82" i="4"/>
  <c r="N62" i="4"/>
  <c r="O62" i="4"/>
  <c r="N189" i="4"/>
  <c r="O189" i="4"/>
  <c r="O45" i="4"/>
  <c r="N45" i="4"/>
  <c r="N152" i="3"/>
  <c r="O152" i="3"/>
  <c r="N145" i="4"/>
  <c r="O145" i="4"/>
  <c r="O71" i="2"/>
  <c r="N71" i="2"/>
  <c r="F49" i="1" a="1"/>
  <c r="F49" i="1" s="1"/>
  <c r="F45" i="1" a="1"/>
  <c r="F45" i="1" s="1"/>
  <c r="H45" i="1" s="1"/>
  <c r="F48" i="1" a="1"/>
  <c r="F48" i="1" s="1"/>
  <c r="F46" i="1" a="1"/>
  <c r="F46" i="1" s="1"/>
  <c r="H46" i="1" s="1"/>
  <c r="F44" i="1" a="1"/>
  <c r="F44" i="1" s="1"/>
  <c r="H44" i="1" s="1"/>
  <c r="F41" i="1" a="1"/>
  <c r="F41" i="1" s="1"/>
  <c r="F40" i="1" a="1"/>
  <c r="F40" i="1" s="1"/>
  <c r="P3" i="4"/>
  <c r="F43" i="1" a="1"/>
  <c r="F43" i="1" s="1"/>
  <c r="H43" i="1" s="1"/>
  <c r="F42" i="1" a="1"/>
  <c r="F42" i="1" s="1"/>
  <c r="N47" i="3"/>
  <c r="O47" i="3"/>
  <c r="N103" i="4"/>
  <c r="N8" i="2"/>
  <c r="R44" i="1" a="1"/>
  <c r="R44" i="1" s="1"/>
  <c r="R48" i="1" a="1"/>
  <c r="R48" i="1" s="1"/>
  <c r="T48" i="1" s="1"/>
  <c r="N29" i="2"/>
  <c r="P53" i="2"/>
  <c r="N53" i="2"/>
  <c r="N34" i="3"/>
  <c r="O34" i="3"/>
  <c r="N65" i="4"/>
  <c r="O65" i="4"/>
  <c r="P36" i="2"/>
  <c r="N36" i="2"/>
  <c r="O149" i="3"/>
  <c r="N149" i="3"/>
  <c r="N14" i="3"/>
  <c r="O14" i="3"/>
  <c r="N72" i="2"/>
  <c r="O72" i="2"/>
  <c r="O109" i="4"/>
  <c r="N109" i="4"/>
  <c r="N102" i="3"/>
  <c r="O102" i="3"/>
  <c r="O140" i="3"/>
  <c r="N140" i="3"/>
  <c r="O138" i="3"/>
  <c r="N138" i="3"/>
  <c r="N153" i="3"/>
  <c r="O153" i="3"/>
  <c r="O132" i="4"/>
  <c r="N132" i="4"/>
  <c r="C26" i="1" a="1"/>
  <c r="C26" i="1" s="1"/>
  <c r="E26" i="1" s="1"/>
  <c r="B21" i="1" a="1"/>
  <c r="B21" i="1" s="1"/>
  <c r="D21" i="1" s="1"/>
  <c r="C25" i="1" a="1"/>
  <c r="C25" i="1" s="1"/>
  <c r="C24" i="1" a="1"/>
  <c r="C24" i="1" s="1"/>
  <c r="C23" i="1" a="1"/>
  <c r="C23" i="1" s="1"/>
  <c r="C22" i="1" a="1"/>
  <c r="C22" i="1" s="1"/>
  <c r="C21" i="1" a="1"/>
  <c r="C21" i="1" s="1"/>
  <c r="B34" i="1" a="1"/>
  <c r="B34" i="1" s="1"/>
  <c r="B33" i="1" a="1"/>
  <c r="B33" i="1" s="1"/>
  <c r="B32" i="1" a="1"/>
  <c r="B32" i="1" s="1"/>
  <c r="C34" i="1" a="1"/>
  <c r="C34" i="1" s="1"/>
  <c r="E34" i="1" s="1"/>
  <c r="C33" i="1" a="1"/>
  <c r="C33" i="1" s="1"/>
  <c r="E33" i="1" s="1"/>
  <c r="C32" i="1" a="1"/>
  <c r="C32" i="1" s="1"/>
  <c r="E32" i="1" s="1"/>
  <c r="C31" i="1" a="1"/>
  <c r="C31" i="1" s="1"/>
  <c r="C30" i="1" a="1"/>
  <c r="C30" i="1" s="1"/>
  <c r="C29" i="1" a="1"/>
  <c r="C29" i="1" s="1"/>
  <c r="C28" i="1" a="1"/>
  <c r="C28" i="1" s="1"/>
  <c r="C27" i="1" a="1"/>
  <c r="C27" i="1" s="1"/>
  <c r="B31" i="1" a="1"/>
  <c r="B31" i="1" s="1"/>
  <c r="D31" i="1" s="1"/>
  <c r="B30" i="1" a="1"/>
  <c r="B30" i="1" s="1"/>
  <c r="B29" i="1" a="1"/>
  <c r="B29" i="1" s="1"/>
  <c r="B28" i="1" a="1"/>
  <c r="B28" i="1" s="1"/>
  <c r="B27" i="1" a="1"/>
  <c r="B27" i="1" s="1"/>
  <c r="B26" i="1" a="1"/>
  <c r="B26" i="1" s="1"/>
  <c r="B25" i="1" a="1"/>
  <c r="B25" i="1" s="1"/>
  <c r="B22" i="1" a="1"/>
  <c r="B22" i="1" s="1"/>
  <c r="O2" i="3"/>
  <c r="N2" i="3"/>
  <c r="B24" i="1" a="1"/>
  <c r="B24" i="1" s="1"/>
  <c r="B23" i="1" a="1"/>
  <c r="B23" i="1" s="1"/>
  <c r="N113" i="2"/>
  <c r="O113" i="2"/>
  <c r="O97" i="3"/>
  <c r="N97" i="3"/>
  <c r="N70" i="4"/>
  <c r="N35" i="3"/>
  <c r="O35" i="3"/>
  <c r="O94" i="3"/>
  <c r="N94" i="3"/>
  <c r="O92" i="2"/>
  <c r="N92" i="2"/>
  <c r="P155" i="3"/>
  <c r="O82" i="3"/>
  <c r="N82" i="3"/>
  <c r="N98" i="3"/>
  <c r="O98" i="3"/>
  <c r="N133" i="3"/>
  <c r="O133" i="3"/>
  <c r="G50" i="1" a="1"/>
  <c r="G50" i="1" s="1"/>
  <c r="I50" i="1" s="1"/>
  <c r="G29" i="1" a="1"/>
  <c r="G29" i="1" s="1"/>
  <c r="F24" i="1" a="1"/>
  <c r="F24" i="1" s="1"/>
  <c r="G28" i="1" a="1"/>
  <c r="G28" i="1" s="1"/>
  <c r="I28" i="1" s="1"/>
  <c r="F23" i="1" a="1"/>
  <c r="F23" i="1" s="1"/>
  <c r="G27" i="1" a="1"/>
  <c r="G27" i="1" s="1"/>
  <c r="F22" i="1" a="1"/>
  <c r="F22" i="1" s="1"/>
  <c r="G26" i="1" a="1"/>
  <c r="G26" i="1" s="1"/>
  <c r="F21" i="1" a="1"/>
  <c r="F21" i="1" s="1"/>
  <c r="G25" i="1" a="1"/>
  <c r="G25" i="1" s="1"/>
  <c r="G24" i="1" a="1"/>
  <c r="G24" i="1" s="1"/>
  <c r="I24" i="1" s="1"/>
  <c r="G23" i="1" a="1"/>
  <c r="G23" i="1" s="1"/>
  <c r="G22" i="1" a="1"/>
  <c r="G22" i="1" s="1"/>
  <c r="G21" i="1" a="1"/>
  <c r="G21" i="1" s="1"/>
  <c r="I21" i="1" s="1"/>
  <c r="F33" i="1" a="1"/>
  <c r="F33" i="1" s="1"/>
  <c r="F32" i="1" a="1"/>
  <c r="F32" i="1" s="1"/>
  <c r="F31" i="1" a="1"/>
  <c r="F31" i="1" s="1"/>
  <c r="F30" i="1" a="1"/>
  <c r="F30" i="1" s="1"/>
  <c r="F29" i="1" a="1"/>
  <c r="F29" i="1" s="1"/>
  <c r="H29" i="1" s="1"/>
  <c r="F28" i="1" a="1"/>
  <c r="F28" i="1" s="1"/>
  <c r="F27" i="1" a="1"/>
  <c r="F27" i="1" s="1"/>
  <c r="F26" i="1" a="1"/>
  <c r="F26" i="1" s="1"/>
  <c r="G34" i="1" a="1"/>
  <c r="G34" i="1" s="1"/>
  <c r="G33" i="1" a="1"/>
  <c r="G33" i="1" s="1"/>
  <c r="G30" i="1" a="1"/>
  <c r="G30" i="1" s="1"/>
  <c r="F34" i="1" a="1"/>
  <c r="F34" i="1" s="1"/>
  <c r="F25" i="1" a="1"/>
  <c r="F25" i="1" s="1"/>
  <c r="P2" i="3"/>
  <c r="G32" i="1" a="1"/>
  <c r="G32" i="1" s="1"/>
  <c r="G31" i="1" a="1"/>
  <c r="G31" i="1" s="1"/>
  <c r="I31" i="1" s="1"/>
  <c r="N21" i="3"/>
  <c r="O21" i="3"/>
  <c r="O28" i="4"/>
  <c r="N28" i="4"/>
  <c r="O87" i="4"/>
  <c r="N87" i="4"/>
  <c r="O58" i="2"/>
  <c r="N58" i="2"/>
  <c r="N98" i="2"/>
  <c r="P98" i="2"/>
  <c r="N137" i="3"/>
  <c r="N56" i="2"/>
  <c r="O56" i="2"/>
  <c r="O146" i="4"/>
  <c r="N146" i="4"/>
  <c r="N151" i="3"/>
  <c r="O151" i="3"/>
  <c r="N126" i="3"/>
  <c r="O126" i="3"/>
  <c r="N89" i="2"/>
  <c r="O43" i="2"/>
  <c r="N43" i="2"/>
  <c r="R45" i="1" a="1"/>
  <c r="R45" i="1" s="1"/>
  <c r="R49" i="1" a="1"/>
  <c r="R49" i="1" s="1"/>
  <c r="T49" i="1" s="1"/>
  <c r="N28" i="2"/>
  <c r="I52" i="1"/>
  <c r="O60" i="4"/>
  <c r="N60" i="4"/>
  <c r="P104" i="3"/>
  <c r="N104" i="3"/>
  <c r="N83" i="2"/>
  <c r="O83" i="2"/>
  <c r="N59" i="3"/>
  <c r="O59" i="3"/>
  <c r="N56" i="3"/>
  <c r="N169" i="4"/>
  <c r="O169" i="4"/>
  <c r="O154" i="3"/>
  <c r="N154" i="3"/>
  <c r="O160" i="3"/>
  <c r="N160" i="3"/>
  <c r="P158" i="3"/>
  <c r="O62" i="3"/>
  <c r="N62" i="3"/>
  <c r="N78" i="3"/>
  <c r="O78" i="3"/>
  <c r="O113" i="3"/>
  <c r="N113" i="3"/>
  <c r="S23" i="1" a="1"/>
  <c r="S23" i="1" s="1"/>
  <c r="S22" i="1" a="1"/>
  <c r="S22" i="1" s="1"/>
  <c r="S21" i="1" a="1"/>
  <c r="S21" i="1" s="1"/>
  <c r="R34" i="1" a="1"/>
  <c r="R34" i="1" s="1"/>
  <c r="R33" i="1" a="1"/>
  <c r="R33" i="1" s="1"/>
  <c r="R32" i="1" a="1"/>
  <c r="R32" i="1" s="1"/>
  <c r="R31" i="1" a="1"/>
  <c r="R31" i="1" s="1"/>
  <c r="S34" i="1" a="1"/>
  <c r="S34" i="1" s="1"/>
  <c r="R30" i="1" a="1"/>
  <c r="R30" i="1" s="1"/>
  <c r="S33" i="1" a="1"/>
  <c r="S33" i="1" s="1"/>
  <c r="U33" i="1" s="1"/>
  <c r="R29" i="1" a="1"/>
  <c r="R29" i="1" s="1"/>
  <c r="S32" i="1" a="1"/>
  <c r="S32" i="1" s="1"/>
  <c r="R28" i="1" a="1"/>
  <c r="R28" i="1" s="1"/>
  <c r="T28" i="1" s="1"/>
  <c r="S30" i="1" a="1"/>
  <c r="S30" i="1" s="1"/>
  <c r="S25" i="1" a="1"/>
  <c r="S25" i="1" s="1"/>
  <c r="U25" i="1" s="1"/>
  <c r="S24" i="1" a="1"/>
  <c r="S24" i="1" s="1"/>
  <c r="U24" i="1" s="1"/>
  <c r="R27" i="1" a="1"/>
  <c r="R27" i="1" s="1"/>
  <c r="R26" i="1" a="1"/>
  <c r="R26" i="1" s="1"/>
  <c r="R25" i="1" a="1"/>
  <c r="R25" i="1" s="1"/>
  <c r="R24" i="1" a="1"/>
  <c r="R24" i="1" s="1"/>
  <c r="R23" i="1" a="1"/>
  <c r="R23" i="1" s="1"/>
  <c r="T23" i="1" s="1"/>
  <c r="R22" i="1" a="1"/>
  <c r="R22" i="1" s="1"/>
  <c r="T22" i="1" s="1"/>
  <c r="S28" i="1" a="1"/>
  <c r="S28" i="1" s="1"/>
  <c r="S27" i="1" a="1"/>
  <c r="S27" i="1" s="1"/>
  <c r="S26" i="1" a="1"/>
  <c r="S26" i="1" s="1"/>
  <c r="S31" i="1" a="1"/>
  <c r="S31" i="1" s="1"/>
  <c r="S29" i="1" a="1"/>
  <c r="S29" i="1" s="1"/>
  <c r="R21" i="1" a="1"/>
  <c r="R21" i="1" s="1"/>
  <c r="T21" i="1" s="1"/>
  <c r="T2" i="3"/>
  <c r="N33" i="2"/>
  <c r="O33" i="2"/>
  <c r="N95" i="2"/>
  <c r="O95" i="2"/>
  <c r="N125" i="4"/>
  <c r="O125" i="4"/>
  <c r="O108" i="3"/>
  <c r="N108" i="3"/>
  <c r="N72" i="3"/>
  <c r="S42" i="1" a="1"/>
  <c r="S42" i="1" s="1"/>
  <c r="R50" i="1" a="1"/>
  <c r="R50" i="1" s="1"/>
  <c r="N17" i="2"/>
  <c r="N14" i="2"/>
  <c r="O141" i="3"/>
  <c r="N141" i="3"/>
  <c r="N101" i="4"/>
  <c r="O101" i="4"/>
  <c r="N55" i="2"/>
  <c r="O55" i="2"/>
  <c r="N12" i="2"/>
  <c r="O12" i="2"/>
  <c r="N164" i="4"/>
  <c r="O164" i="4"/>
  <c r="R40" i="1" a="1"/>
  <c r="R40" i="1" s="1"/>
  <c r="T40" i="1" s="1"/>
  <c r="P4" i="3"/>
  <c r="N4" i="3"/>
  <c r="N96" i="2"/>
  <c r="O96" i="2"/>
  <c r="N76" i="3"/>
  <c r="O21" i="4"/>
  <c r="N21" i="4"/>
  <c r="N75" i="3"/>
  <c r="O75" i="3"/>
  <c r="N42" i="3"/>
  <c r="O42" i="3"/>
  <c r="S43" i="1" a="1"/>
  <c r="S43" i="1" s="1"/>
  <c r="U43" i="1" s="1"/>
  <c r="R51" i="1" a="1"/>
  <c r="R51" i="1" s="1"/>
  <c r="T51" i="1" s="1"/>
  <c r="N68" i="2"/>
  <c r="N69" i="3"/>
  <c r="O69" i="3"/>
  <c r="N79" i="2"/>
  <c r="I39" i="1"/>
  <c r="O176" i="4"/>
  <c r="N176" i="4"/>
  <c r="N159" i="3"/>
  <c r="O159" i="3"/>
  <c r="O52" i="3"/>
  <c r="N52" i="3"/>
  <c r="N67" i="4"/>
  <c r="O67" i="4"/>
  <c r="N37" i="3"/>
  <c r="O37" i="3"/>
  <c r="N156" i="3"/>
  <c r="O156" i="3"/>
  <c r="N15" i="3"/>
  <c r="O15" i="3"/>
  <c r="N74" i="3"/>
  <c r="O74" i="3"/>
  <c r="O116" i="3"/>
  <c r="N116" i="3"/>
  <c r="N126" i="4"/>
  <c r="O126" i="4"/>
  <c r="O52" i="2"/>
  <c r="N52" i="2"/>
  <c r="N11" i="2"/>
  <c r="O11" i="2"/>
  <c r="O150" i="3"/>
  <c r="N150" i="3"/>
  <c r="O102" i="4"/>
  <c r="O22" i="3"/>
  <c r="N22" i="3"/>
  <c r="N60" i="3"/>
  <c r="O60" i="3"/>
  <c r="O73" i="3"/>
  <c r="N73" i="3"/>
  <c r="G48" i="1" a="1"/>
  <c r="G48" i="1" s="1"/>
  <c r="N49" i="4"/>
  <c r="P49" i="4"/>
  <c r="P103" i="3"/>
  <c r="N103" i="3"/>
  <c r="N136" i="4"/>
  <c r="O136" i="4"/>
  <c r="N94" i="2"/>
  <c r="P94" i="2"/>
  <c r="O97" i="2"/>
  <c r="N97" i="2"/>
  <c r="N81" i="4"/>
  <c r="N132" i="3"/>
  <c r="O132" i="3"/>
  <c r="O131" i="3"/>
  <c r="N131" i="3"/>
  <c r="O106" i="3"/>
  <c r="N106" i="3"/>
  <c r="O88" i="3"/>
  <c r="N88" i="3"/>
  <c r="S44" i="1" a="1"/>
  <c r="S44" i="1" s="1"/>
  <c r="R52" i="1" a="1"/>
  <c r="R52" i="1" s="1"/>
  <c r="T52" i="1" s="1"/>
  <c r="N9" i="3"/>
  <c r="O9" i="3"/>
  <c r="N39" i="2"/>
  <c r="S50" i="1" a="1"/>
  <c r="S50" i="1" s="1"/>
  <c r="N66" i="4"/>
  <c r="O66" i="4"/>
  <c r="O56" i="4"/>
  <c r="N56" i="4"/>
  <c r="O42" i="4"/>
  <c r="N42" i="4"/>
  <c r="N100" i="3"/>
  <c r="O100" i="3"/>
  <c r="O63" i="4"/>
  <c r="N80" i="3"/>
  <c r="O80" i="3"/>
  <c r="N58" i="3"/>
  <c r="O58" i="3"/>
  <c r="N93" i="3"/>
  <c r="O93" i="3"/>
  <c r="N69" i="4"/>
  <c r="O69" i="4"/>
  <c r="N8" i="4"/>
  <c r="O8" i="4"/>
  <c r="N40" i="3"/>
  <c r="O40" i="3"/>
  <c r="N182" i="4"/>
  <c r="O182" i="4"/>
  <c r="O181" i="4"/>
  <c r="N181" i="4"/>
  <c r="N53" i="3"/>
  <c r="O53" i="3"/>
  <c r="F47" i="1" a="1"/>
  <c r="F47" i="1" s="1"/>
  <c r="H47" i="1" s="1"/>
  <c r="O188" i="4"/>
  <c r="N188" i="4"/>
  <c r="P3" i="3"/>
  <c r="N3" i="3"/>
  <c r="N47" i="4"/>
  <c r="O47" i="4"/>
  <c r="P116" i="4"/>
  <c r="N116" i="4"/>
  <c r="P77" i="2"/>
  <c r="N77" i="2"/>
  <c r="N135" i="3"/>
  <c r="O135" i="3"/>
  <c r="N105" i="4"/>
  <c r="O105" i="4"/>
  <c r="N163" i="4"/>
  <c r="O163" i="4"/>
  <c r="O27" i="3"/>
  <c r="N27" i="3"/>
  <c r="S45" i="1" a="1"/>
  <c r="S45" i="1" s="1"/>
  <c r="S39" i="1" a="1"/>
  <c r="S39" i="1" s="1"/>
  <c r="U39" i="1" s="1"/>
  <c r="G49" i="1" a="1"/>
  <c r="G49" i="1" s="1"/>
  <c r="N78" i="2"/>
  <c r="Y50" i="4"/>
  <c r="Y49" i="4"/>
  <c r="Y43" i="4"/>
  <c r="W36" i="4"/>
  <c r="Y42" i="4"/>
  <c r="Y178" i="4"/>
  <c r="W155" i="4"/>
  <c r="Y38" i="4"/>
  <c r="W26" i="4"/>
  <c r="W23" i="4"/>
  <c r="Y36" i="4"/>
  <c r="Y40" i="4"/>
  <c r="X75" i="4"/>
  <c r="X73" i="4"/>
  <c r="X159" i="4"/>
  <c r="W150" i="4"/>
  <c r="W4" i="4"/>
  <c r="W29" i="4"/>
  <c r="W22" i="4"/>
  <c r="X35" i="4"/>
  <c r="X67" i="4"/>
  <c r="X163" i="4"/>
  <c r="X81" i="4"/>
  <c r="W151" i="4"/>
  <c r="W7" i="4"/>
  <c r="W28" i="4"/>
  <c r="W175" i="4"/>
  <c r="X74" i="4"/>
  <c r="W25" i="4"/>
  <c r="X34" i="4"/>
  <c r="X66" i="4"/>
  <c r="W67" i="4"/>
  <c r="X177" i="4"/>
  <c r="W149" i="4"/>
  <c r="Y94" i="4"/>
  <c r="Y41" i="4"/>
  <c r="X33" i="4"/>
  <c r="X65" i="4"/>
  <c r="W66" i="4"/>
  <c r="X157" i="4"/>
  <c r="W147" i="4"/>
  <c r="W183" i="4"/>
  <c r="Y75" i="4"/>
  <c r="X86" i="4"/>
  <c r="X31" i="4"/>
  <c r="X84" i="4"/>
  <c r="W80" i="4"/>
  <c r="X176" i="4"/>
  <c r="X164" i="4"/>
  <c r="W184" i="4"/>
  <c r="X49" i="4"/>
  <c r="X47" i="4"/>
  <c r="W19" i="4"/>
  <c r="X20" i="4"/>
  <c r="X46" i="4"/>
  <c r="X80" i="4"/>
  <c r="W77" i="4"/>
  <c r="X155" i="4"/>
  <c r="W21" i="4"/>
  <c r="Y179" i="4"/>
  <c r="W59" i="4"/>
  <c r="X139" i="4"/>
  <c r="X63" i="4"/>
  <c r="X45" i="4"/>
  <c r="X70" i="4"/>
  <c r="X79" i="4"/>
  <c r="X174" i="4"/>
  <c r="X165" i="4"/>
  <c r="Y193" i="4"/>
  <c r="X52" i="4"/>
  <c r="X51" i="4"/>
  <c r="X61" i="4"/>
  <c r="Y80" i="4"/>
  <c r="X93" i="4"/>
  <c r="W171" i="4"/>
  <c r="X92" i="4"/>
  <c r="X135" i="4"/>
  <c r="Y71" i="4"/>
  <c r="W154" i="4"/>
  <c r="W189" i="4"/>
  <c r="X143" i="4"/>
  <c r="X41" i="4"/>
  <c r="X89" i="4"/>
  <c r="X57" i="4"/>
  <c r="X56" i="4"/>
  <c r="Y67" i="4"/>
  <c r="W160" i="4"/>
  <c r="W181" i="4"/>
  <c r="X141" i="4"/>
  <c r="X38" i="4"/>
  <c r="W178" i="4"/>
  <c r="X140" i="4"/>
  <c r="X37" i="4"/>
  <c r="X85" i="4"/>
  <c r="Y73" i="4"/>
  <c r="W187" i="4"/>
  <c r="W135" i="4"/>
  <c r="Y84" i="4"/>
  <c r="X21" i="4"/>
  <c r="Y34" i="4"/>
  <c r="W180" i="4"/>
  <c r="X138" i="4"/>
  <c r="X32" i="4"/>
  <c r="Y81" i="4"/>
  <c r="Y74" i="4"/>
  <c r="W143" i="4"/>
  <c r="Y64" i="4"/>
  <c r="X19" i="4"/>
  <c r="Y33" i="4"/>
  <c r="W179" i="4"/>
  <c r="X136" i="4"/>
  <c r="X30" i="4"/>
  <c r="Y69" i="4"/>
  <c r="W141" i="4"/>
  <c r="Y65" i="4"/>
  <c r="Y155" i="4"/>
  <c r="Y32" i="4"/>
  <c r="W193" i="4"/>
  <c r="X134" i="4"/>
  <c r="X44" i="4"/>
  <c r="W137" i="4"/>
  <c r="Y166" i="4"/>
  <c r="X145" i="4"/>
  <c r="Y46" i="4"/>
  <c r="W192" i="4"/>
  <c r="Y192" i="4"/>
  <c r="Y72" i="4"/>
  <c r="W191" i="4"/>
  <c r="W136" i="4"/>
  <c r="W139" i="4"/>
  <c r="Y83" i="4"/>
  <c r="Y77" i="4"/>
  <c r="X50" i="4"/>
  <c r="Y66" i="4"/>
  <c r="Y35" i="4"/>
  <c r="Y153" i="4"/>
  <c r="X48" i="4"/>
  <c r="Y158" i="4"/>
  <c r="X39" i="4"/>
  <c r="Y79" i="4"/>
  <c r="X149" i="4"/>
  <c r="Y31" i="4"/>
  <c r="W6" i="4"/>
  <c r="W190" i="4"/>
  <c r="Y189" i="4"/>
  <c r="W54" i="4"/>
  <c r="Y152" i="4"/>
  <c r="Y174" i="4"/>
  <c r="Y154" i="4"/>
  <c r="Y167" i="4"/>
  <c r="Y156" i="4"/>
  <c r="Y68" i="4"/>
  <c r="W32" i="4"/>
  <c r="X148" i="4"/>
  <c r="Y39" i="4"/>
  <c r="W5" i="4"/>
  <c r="W188" i="4"/>
  <c r="Y188" i="4"/>
  <c r="W62" i="4"/>
  <c r="X87" i="4"/>
  <c r="X142" i="4"/>
  <c r="W142" i="4"/>
  <c r="W159" i="4"/>
  <c r="Y78" i="4"/>
  <c r="Y173" i="4"/>
  <c r="Y176" i="4"/>
  <c r="W51" i="4"/>
  <c r="Y70" i="4"/>
  <c r="W43" i="4"/>
  <c r="X147" i="4"/>
  <c r="Y37" i="4"/>
  <c r="X91" i="4"/>
  <c r="W186" i="4"/>
  <c r="Y183" i="4"/>
  <c r="W61" i="4"/>
  <c r="X58" i="4"/>
  <c r="W161" i="4"/>
  <c r="W144" i="4"/>
  <c r="Y63" i="4"/>
  <c r="X146" i="4"/>
  <c r="Y190" i="4"/>
  <c r="X42" i="4"/>
  <c r="Y76" i="4"/>
  <c r="W31" i="4"/>
  <c r="X151" i="4"/>
  <c r="Y44" i="4"/>
  <c r="X90" i="4"/>
  <c r="W185" i="4"/>
  <c r="Y191" i="4"/>
  <c r="W134" i="4"/>
  <c r="W140" i="4"/>
  <c r="X54" i="4"/>
  <c r="W50" i="4"/>
  <c r="W34" i="4"/>
  <c r="W174" i="4"/>
  <c r="W165" i="4"/>
  <c r="W11" i="4"/>
  <c r="Y3" i="4"/>
  <c r="Y5" i="4"/>
  <c r="Y7" i="4"/>
  <c r="Y8" i="4"/>
  <c r="Y9" i="4"/>
  <c r="Y10" i="4"/>
  <c r="Y16" i="4"/>
  <c r="Y17" i="4"/>
  <c r="Y11" i="4"/>
  <c r="Y18" i="4"/>
  <c r="Y15" i="4"/>
  <c r="Y12" i="4"/>
  <c r="Y6" i="4"/>
  <c r="Y4" i="4"/>
  <c r="Y2" i="4"/>
  <c r="Y13" i="4"/>
  <c r="Y14" i="4"/>
  <c r="W30" i="4"/>
  <c r="W173" i="4"/>
  <c r="W163" i="4"/>
  <c r="W9" i="4"/>
  <c r="W33" i="4"/>
  <c r="W164" i="4"/>
  <c r="W162" i="4"/>
  <c r="W8" i="4"/>
  <c r="W35" i="4"/>
  <c r="W152" i="4"/>
  <c r="W12" i="4"/>
  <c r="W56" i="4"/>
  <c r="Y22" i="4"/>
  <c r="Y23" i="4"/>
  <c r="Y24" i="4"/>
  <c r="Y26" i="4"/>
  <c r="Y28" i="4"/>
  <c r="Y29" i="4"/>
  <c r="Y25" i="4"/>
  <c r="Y27" i="4"/>
  <c r="W153" i="4"/>
  <c r="W49" i="4"/>
  <c r="W172" i="4"/>
  <c r="W10" i="4"/>
  <c r="W60" i="4"/>
  <c r="X105" i="4"/>
  <c r="X125" i="4"/>
  <c r="X106" i="4"/>
  <c r="X126" i="4"/>
  <c r="X107" i="4"/>
  <c r="X127" i="4"/>
  <c r="X128" i="4"/>
  <c r="X108" i="4"/>
  <c r="X109" i="4"/>
  <c r="X129" i="4"/>
  <c r="X111" i="4"/>
  <c r="X131" i="4"/>
  <c r="X113" i="4"/>
  <c r="X133" i="4"/>
  <c r="X114" i="4"/>
  <c r="X115" i="4"/>
  <c r="X96" i="4"/>
  <c r="X116" i="4"/>
  <c r="X102" i="4"/>
  <c r="X122" i="4"/>
  <c r="X103" i="4"/>
  <c r="X123" i="4"/>
  <c r="X120" i="4"/>
  <c r="X98" i="4"/>
  <c r="X104" i="4"/>
  <c r="X112" i="4"/>
  <c r="X121" i="4"/>
  <c r="X124" i="4"/>
  <c r="X110" i="4"/>
  <c r="X130" i="4"/>
  <c r="X132" i="4"/>
  <c r="X97" i="4"/>
  <c r="X101" i="4"/>
  <c r="X119" i="4"/>
  <c r="X99" i="4"/>
  <c r="X100" i="4"/>
  <c r="X117" i="4"/>
  <c r="X118" i="4"/>
  <c r="Y51" i="4"/>
  <c r="Y52" i="4"/>
  <c r="Y53" i="4"/>
  <c r="Y54" i="4"/>
  <c r="Y60" i="4"/>
  <c r="Y55" i="4"/>
  <c r="Y58" i="4"/>
  <c r="Y56" i="4"/>
  <c r="Y57" i="4"/>
  <c r="Y59" i="4"/>
  <c r="Y61" i="4"/>
  <c r="Y62" i="4"/>
  <c r="W58" i="4"/>
  <c r="W157" i="4"/>
  <c r="W57" i="4"/>
  <c r="W98" i="4"/>
  <c r="W118" i="4"/>
  <c r="W99" i="4"/>
  <c r="W119" i="4"/>
  <c r="W100" i="4"/>
  <c r="W120" i="4"/>
  <c r="W121" i="4"/>
  <c r="W101" i="4"/>
  <c r="W102" i="4"/>
  <c r="W122" i="4"/>
  <c r="W104" i="4"/>
  <c r="W124" i="4"/>
  <c r="W106" i="4"/>
  <c r="W126" i="4"/>
  <c r="W107" i="4"/>
  <c r="W127" i="4"/>
  <c r="W108" i="4"/>
  <c r="W128" i="4"/>
  <c r="W109" i="4"/>
  <c r="W129" i="4"/>
  <c r="W115" i="4"/>
  <c r="W96" i="4"/>
  <c r="W116" i="4"/>
  <c r="W113" i="4"/>
  <c r="W114" i="4"/>
  <c r="W117" i="4"/>
  <c r="W123" i="4"/>
  <c r="W125" i="4"/>
  <c r="W133" i="4"/>
  <c r="W130" i="4"/>
  <c r="W103" i="4"/>
  <c r="W105" i="4"/>
  <c r="W131" i="4"/>
  <c r="W97" i="4"/>
  <c r="W132" i="4"/>
  <c r="W112" i="4"/>
  <c r="W110" i="4"/>
  <c r="W111" i="4"/>
  <c r="W44" i="4"/>
  <c r="W176" i="4"/>
  <c r="W3" i="4"/>
  <c r="W55" i="4"/>
  <c r="W48" i="4"/>
  <c r="W47" i="4"/>
  <c r="W177" i="4"/>
  <c r="W18" i="4"/>
  <c r="Y139" i="4"/>
  <c r="Y140" i="4"/>
  <c r="Y141" i="4"/>
  <c r="Y143" i="4"/>
  <c r="Y136" i="4"/>
  <c r="Y137" i="4"/>
  <c r="Y138" i="4"/>
  <c r="Y142" i="4"/>
  <c r="Y144" i="4"/>
  <c r="Y135" i="4"/>
  <c r="Y134" i="4"/>
  <c r="W46" i="4"/>
  <c r="W17" i="4"/>
  <c r="X23" i="4"/>
  <c r="X24" i="4"/>
  <c r="X25" i="4"/>
  <c r="X26" i="4"/>
  <c r="X27" i="4"/>
  <c r="X29" i="4"/>
  <c r="X28" i="4"/>
  <c r="X22" i="4"/>
  <c r="W95" i="4"/>
  <c r="W94" i="4"/>
  <c r="W42" i="4"/>
  <c r="W156" i="4"/>
  <c r="W2" i="4"/>
  <c r="W53" i="4"/>
  <c r="W16" i="4"/>
  <c r="W41" i="4"/>
  <c r="W169" i="4"/>
  <c r="W39" i="4"/>
  <c r="W168" i="4"/>
  <c r="W14" i="4"/>
  <c r="W27" i="4"/>
  <c r="Y112" i="4"/>
  <c r="Y132" i="4"/>
  <c r="Y113" i="4"/>
  <c r="Y133" i="4"/>
  <c r="Y114" i="4"/>
  <c r="Y96" i="4"/>
  <c r="Y116" i="4"/>
  <c r="Y98" i="4"/>
  <c r="Y118" i="4"/>
  <c r="Y100" i="4"/>
  <c r="Y120" i="4"/>
  <c r="Y101" i="4"/>
  <c r="Y121" i="4"/>
  <c r="Y102" i="4"/>
  <c r="Y122" i="4"/>
  <c r="Y103" i="4"/>
  <c r="Y123" i="4"/>
  <c r="Y109" i="4"/>
  <c r="Y129" i="4"/>
  <c r="Y130" i="4"/>
  <c r="Y108" i="4"/>
  <c r="Y119" i="4"/>
  <c r="Y131" i="4"/>
  <c r="Y117" i="4"/>
  <c r="Y107" i="4"/>
  <c r="Y97" i="4"/>
  <c r="Y99" i="4"/>
  <c r="Y104" i="4"/>
  <c r="Y105" i="4"/>
  <c r="Y125" i="4"/>
  <c r="Y106" i="4"/>
  <c r="Y124" i="4"/>
  <c r="Y110" i="4"/>
  <c r="Y111" i="4"/>
  <c r="Y128" i="4"/>
  <c r="Y115" i="4"/>
  <c r="Y126" i="4"/>
  <c r="Y127" i="4"/>
  <c r="W166" i="4"/>
  <c r="W170" i="4"/>
  <c r="W52" i="4"/>
  <c r="X189" i="4"/>
  <c r="X190" i="4"/>
  <c r="X191" i="4"/>
  <c r="X193" i="4"/>
  <c r="X178" i="4"/>
  <c r="X179" i="4"/>
  <c r="X180" i="4"/>
  <c r="X186" i="4"/>
  <c r="X184" i="4"/>
  <c r="X185" i="4"/>
  <c r="X181" i="4"/>
  <c r="X182" i="4"/>
  <c r="X183" i="4"/>
  <c r="X187" i="4"/>
  <c r="X188" i="4"/>
  <c r="X192" i="4"/>
  <c r="W40" i="4"/>
  <c r="W15" i="4"/>
  <c r="Y85" i="4"/>
  <c r="Y87" i="4"/>
  <c r="Y88" i="4"/>
  <c r="Y89" i="4"/>
  <c r="Y90" i="4"/>
  <c r="Y86" i="4"/>
  <c r="Y91" i="4"/>
  <c r="Y92" i="4"/>
  <c r="Y93" i="4"/>
  <c r="W37" i="4"/>
  <c r="Y46" i="3"/>
  <c r="Y135" i="3"/>
  <c r="Y39" i="3"/>
  <c r="Y152" i="3"/>
  <c r="Y160" i="3"/>
  <c r="Y47" i="3"/>
  <c r="Y151" i="3"/>
  <c r="Y130" i="3"/>
  <c r="Y143" i="3"/>
  <c r="Y38" i="3"/>
  <c r="Y150" i="3"/>
  <c r="W14" i="3"/>
  <c r="Y44" i="3"/>
  <c r="Y136" i="3"/>
  <c r="Y159" i="3"/>
  <c r="Y37" i="3"/>
  <c r="Y153" i="3"/>
  <c r="W12" i="3"/>
  <c r="Y141" i="3"/>
  <c r="Y36" i="3"/>
  <c r="Y148" i="3"/>
  <c r="W11" i="3"/>
  <c r="W10" i="3"/>
  <c r="Y147" i="3"/>
  <c r="Y129" i="3"/>
  <c r="Y34" i="3"/>
  <c r="Y146" i="3"/>
  <c r="W13" i="3"/>
  <c r="Y127" i="3"/>
  <c r="W150" i="3"/>
  <c r="Y145" i="3"/>
  <c r="W5" i="3"/>
  <c r="Y124" i="3"/>
  <c r="Y132" i="3"/>
  <c r="Y155" i="3"/>
  <c r="W2" i="3"/>
  <c r="Y35" i="3"/>
  <c r="Y134" i="3"/>
  <c r="Y144" i="3"/>
  <c r="Y156" i="3"/>
  <c r="Y128" i="3"/>
  <c r="Y140" i="3"/>
  <c r="W152" i="3"/>
  <c r="Y121" i="3"/>
  <c r="W62" i="3"/>
  <c r="Y149" i="3"/>
  <c r="Y109" i="3"/>
  <c r="Y69" i="3"/>
  <c r="Y122" i="3"/>
  <c r="Y125" i="3"/>
  <c r="Y157" i="3"/>
  <c r="Y139" i="3"/>
  <c r="Y131" i="3"/>
  <c r="Y120" i="3"/>
  <c r="Y158" i="3"/>
  <c r="Y89" i="3"/>
  <c r="Y67" i="3"/>
  <c r="Y142" i="3"/>
  <c r="Y133" i="3"/>
  <c r="W146" i="3"/>
  <c r="Y137" i="3"/>
  <c r="Y45" i="3"/>
  <c r="W153" i="3"/>
  <c r="Y83" i="3"/>
  <c r="Y66" i="3"/>
  <c r="Y51" i="3"/>
  <c r="Y138" i="3"/>
  <c r="W148" i="3"/>
  <c r="Y43" i="3"/>
  <c r="W155" i="3"/>
  <c r="Y65" i="3"/>
  <c r="Y49" i="3"/>
  <c r="X11" i="3"/>
  <c r="X56" i="3"/>
  <c r="Y126" i="3"/>
  <c r="W149" i="3"/>
  <c r="Y63" i="3"/>
  <c r="Y50" i="3"/>
  <c r="Y2" i="3"/>
  <c r="Y11" i="3"/>
  <c r="X14" i="3"/>
  <c r="Y10" i="3"/>
  <c r="X15" i="3"/>
  <c r="X4" i="3"/>
  <c r="X10" i="3"/>
  <c r="W69" i="3"/>
  <c r="W19" i="3"/>
  <c r="Y9" i="3"/>
  <c r="Y71" i="3"/>
  <c r="W9" i="3"/>
  <c r="X7" i="3"/>
  <c r="W70" i="3"/>
  <c r="W33" i="3"/>
  <c r="Y13" i="3"/>
  <c r="Y70" i="3"/>
  <c r="W8" i="3"/>
  <c r="X13" i="3"/>
  <c r="W67" i="3"/>
  <c r="W32" i="3"/>
  <c r="Y8" i="3"/>
  <c r="Y64" i="3"/>
  <c r="W16" i="3"/>
  <c r="W20" i="3"/>
  <c r="Y7" i="3"/>
  <c r="X6" i="3"/>
  <c r="W65" i="3"/>
  <c r="W31" i="3"/>
  <c r="Y16" i="3"/>
  <c r="Y62" i="3"/>
  <c r="W7" i="3"/>
  <c r="X9" i="3"/>
  <c r="X12" i="3"/>
  <c r="W64" i="3"/>
  <c r="W30" i="3"/>
  <c r="Y6" i="3"/>
  <c r="Y68" i="3"/>
  <c r="W15" i="3"/>
  <c r="W63" i="3"/>
  <c r="W18" i="3"/>
  <c r="Y5" i="3"/>
  <c r="W6" i="3"/>
  <c r="W29" i="3"/>
  <c r="Y4" i="3"/>
  <c r="X2" i="3"/>
  <c r="X16" i="3"/>
  <c r="X3" i="3"/>
  <c r="W61" i="3"/>
  <c r="W28" i="3"/>
  <c r="Y3" i="3"/>
  <c r="W4" i="3"/>
  <c r="W27" i="3"/>
  <c r="Y52" i="3"/>
  <c r="W26" i="3"/>
  <c r="X8" i="3"/>
  <c r="W25" i="3"/>
  <c r="X5" i="3"/>
  <c r="W24" i="3"/>
  <c r="W23" i="3"/>
  <c r="Y58" i="3"/>
  <c r="W22" i="3"/>
  <c r="Y55" i="3"/>
  <c r="Y57" i="3"/>
  <c r="X114" i="3"/>
  <c r="X115" i="3"/>
  <c r="X116" i="3"/>
  <c r="X117" i="3"/>
  <c r="X118" i="3"/>
  <c r="X119" i="3"/>
  <c r="X34" i="3"/>
  <c r="X35" i="3"/>
  <c r="X36" i="3"/>
  <c r="X37" i="3"/>
  <c r="X44" i="3"/>
  <c r="X38" i="3"/>
  <c r="X39" i="3"/>
  <c r="X40" i="3"/>
  <c r="X41" i="3"/>
  <c r="X42" i="3"/>
  <c r="X43" i="3"/>
  <c r="X45" i="3"/>
  <c r="X46" i="3"/>
  <c r="X47" i="3"/>
  <c r="X159" i="3"/>
  <c r="X160" i="3"/>
  <c r="X161" i="3"/>
  <c r="X112" i="3"/>
  <c r="X113" i="3"/>
  <c r="X78" i="3"/>
  <c r="X79" i="3"/>
  <c r="X77" i="3"/>
  <c r="X80" i="3"/>
  <c r="X72" i="3"/>
  <c r="X73" i="3"/>
  <c r="X75" i="3"/>
  <c r="X74" i="3"/>
  <c r="X76" i="3"/>
  <c r="W80" i="3"/>
  <c r="W75" i="3"/>
  <c r="W72" i="3"/>
  <c r="W79" i="3"/>
  <c r="W73" i="3"/>
  <c r="W78" i="3"/>
  <c r="W74" i="3"/>
  <c r="W77" i="3"/>
  <c r="W76" i="3"/>
  <c r="W160" i="3"/>
  <c r="W161" i="3"/>
  <c r="X158" i="3"/>
  <c r="X151" i="3"/>
  <c r="X154" i="3"/>
  <c r="X152" i="3"/>
  <c r="X144" i="3"/>
  <c r="X149" i="3"/>
  <c r="X145" i="3"/>
  <c r="X155" i="3"/>
  <c r="X146" i="3"/>
  <c r="X147" i="3"/>
  <c r="X148" i="3"/>
  <c r="X150" i="3"/>
  <c r="X153" i="3"/>
  <c r="X156" i="3"/>
  <c r="X157" i="3"/>
  <c r="W114" i="3"/>
  <c r="W115" i="3"/>
  <c r="W116" i="3"/>
  <c r="W117" i="3"/>
  <c r="W118" i="3"/>
  <c r="W119" i="3"/>
  <c r="X125" i="3"/>
  <c r="X126" i="3"/>
  <c r="X127" i="3"/>
  <c r="X128" i="3"/>
  <c r="X142" i="3"/>
  <c r="X129" i="3"/>
  <c r="X130" i="3"/>
  <c r="X131" i="3"/>
  <c r="X138" i="3"/>
  <c r="X139" i="3"/>
  <c r="X132" i="3"/>
  <c r="X133" i="3"/>
  <c r="X134" i="3"/>
  <c r="X135" i="3"/>
  <c r="X136" i="3"/>
  <c r="X140" i="3"/>
  <c r="X137" i="3"/>
  <c r="X120" i="3"/>
  <c r="X141" i="3"/>
  <c r="X122" i="3"/>
  <c r="X121" i="3"/>
  <c r="X123" i="3"/>
  <c r="X124" i="3"/>
  <c r="X143" i="3"/>
  <c r="W112" i="3"/>
  <c r="W113" i="3"/>
  <c r="X83" i="2"/>
  <c r="X76" i="2"/>
  <c r="X85" i="2"/>
  <c r="W55" i="2"/>
  <c r="X72" i="2"/>
  <c r="W52" i="2"/>
  <c r="W35" i="2"/>
  <c r="X81" i="2"/>
  <c r="W92" i="2"/>
  <c r="W47" i="2"/>
  <c r="W43" i="2"/>
  <c r="X87" i="2"/>
  <c r="W44" i="2"/>
  <c r="W32" i="2"/>
  <c r="W45" i="2"/>
  <c r="W48" i="2"/>
  <c r="W31" i="2"/>
  <c r="X82" i="2"/>
  <c r="X86" i="2"/>
  <c r="W118" i="2"/>
  <c r="W54" i="2"/>
  <c r="W30" i="2"/>
  <c r="W24" i="2"/>
  <c r="W29" i="2"/>
  <c r="X74" i="2"/>
  <c r="X78" i="2"/>
  <c r="W51" i="2"/>
  <c r="Y109" i="2"/>
  <c r="W28" i="2"/>
  <c r="X90" i="2"/>
  <c r="W57" i="2"/>
  <c r="X73" i="2"/>
  <c r="W115" i="2"/>
  <c r="Y106" i="2"/>
  <c r="X80" i="2"/>
  <c r="Y111" i="2"/>
  <c r="W27" i="2"/>
  <c r="X88" i="2"/>
  <c r="W26" i="2"/>
  <c r="W93" i="2"/>
  <c r="X91" i="2"/>
  <c r="X89" i="2"/>
  <c r="X75" i="2"/>
  <c r="Y103" i="2"/>
  <c r="X77" i="2"/>
  <c r="X79" i="2"/>
  <c r="W117" i="2"/>
  <c r="Y98" i="2"/>
  <c r="Y96" i="2"/>
  <c r="Y108" i="2"/>
  <c r="W53" i="2"/>
  <c r="Y18" i="2"/>
  <c r="Y11" i="2"/>
  <c r="Y10" i="2"/>
  <c r="Y9" i="2"/>
  <c r="Y8" i="2"/>
  <c r="Y6" i="2"/>
  <c r="X48" i="2"/>
  <c r="Y5" i="2"/>
  <c r="X47" i="2"/>
  <c r="Y16" i="2"/>
  <c r="X70" i="2"/>
  <c r="Y12" i="2"/>
  <c r="X46" i="2"/>
  <c r="Y4" i="2"/>
  <c r="X45" i="2"/>
  <c r="Y7" i="2"/>
  <c r="X44" i="2"/>
  <c r="W41" i="2"/>
  <c r="Y17" i="2"/>
  <c r="Y13" i="2"/>
  <c r="Y3" i="2"/>
  <c r="W40" i="2"/>
  <c r="X51" i="2"/>
  <c r="X56" i="2"/>
  <c r="X53" i="2"/>
  <c r="Y2" i="2"/>
  <c r="W39" i="2"/>
  <c r="X94" i="2"/>
  <c r="Y15" i="2"/>
  <c r="W33" i="2"/>
  <c r="X93" i="2"/>
  <c r="W37" i="2"/>
  <c r="W46" i="2"/>
  <c r="W49" i="2"/>
  <c r="Y70" i="2"/>
  <c r="Y71" i="2"/>
  <c r="X27" i="2"/>
  <c r="X28" i="2"/>
  <c r="X29" i="2"/>
  <c r="X30" i="2"/>
  <c r="X31" i="2"/>
  <c r="X32" i="2"/>
  <c r="X24" i="2"/>
  <c r="X26" i="2"/>
  <c r="X25" i="2"/>
  <c r="W88" i="2"/>
  <c r="W80" i="2"/>
  <c r="W81" i="2"/>
  <c r="W89" i="2"/>
  <c r="W90" i="2"/>
  <c r="W91" i="2"/>
  <c r="W72" i="2"/>
  <c r="W73" i="2"/>
  <c r="W74" i="2"/>
  <c r="W84" i="2"/>
  <c r="W75" i="2"/>
  <c r="W83" i="2"/>
  <c r="W76" i="2"/>
  <c r="W77" i="2"/>
  <c r="W82" i="2"/>
  <c r="W78" i="2"/>
  <c r="W79" i="2"/>
  <c r="W85" i="2"/>
  <c r="W86" i="2"/>
  <c r="W87" i="2"/>
  <c r="W67" i="2"/>
  <c r="W63" i="2"/>
  <c r="W65" i="2"/>
  <c r="W64" i="2"/>
  <c r="W58" i="2"/>
  <c r="W59" i="2"/>
  <c r="W60" i="2"/>
  <c r="W61" i="2"/>
  <c r="W62" i="2"/>
  <c r="W66" i="2"/>
  <c r="W68" i="2"/>
  <c r="W69" i="2"/>
  <c r="W21" i="2"/>
  <c r="W22" i="2"/>
  <c r="W23" i="2"/>
  <c r="W20" i="2"/>
  <c r="W19" i="2"/>
  <c r="Y93" i="2"/>
  <c r="Y94" i="2"/>
  <c r="Y95" i="2"/>
  <c r="Y92" i="2"/>
  <c r="W16" i="2"/>
  <c r="W2" i="2"/>
  <c r="W15" i="2"/>
  <c r="W3" i="2"/>
  <c r="W4" i="2"/>
  <c r="W14" i="2"/>
  <c r="W5" i="2"/>
  <c r="W6" i="2"/>
  <c r="W7" i="2"/>
  <c r="W13" i="2"/>
  <c r="W8" i="2"/>
  <c r="W9" i="2"/>
  <c r="W12" i="2"/>
  <c r="W10" i="2"/>
  <c r="W11" i="2"/>
  <c r="W17" i="2"/>
  <c r="W18" i="2"/>
  <c r="W95" i="2"/>
  <c r="D28" i="1" l="1"/>
  <c r="H15" i="1"/>
  <c r="I22" i="1"/>
  <c r="D29" i="1"/>
  <c r="U7" i="1"/>
  <c r="H3" i="1"/>
  <c r="U29" i="1"/>
  <c r="T31" i="1"/>
  <c r="I30" i="1"/>
  <c r="U5" i="1"/>
  <c r="E15" i="1"/>
  <c r="E6" i="1"/>
  <c r="H7" i="1"/>
  <c r="T26" i="1"/>
  <c r="E24" i="1"/>
  <c r="D3" i="1"/>
  <c r="E25" i="1"/>
  <c r="I13" i="1"/>
  <c r="U30" i="1"/>
  <c r="I23" i="1"/>
  <c r="D30" i="1"/>
  <c r="H48" i="1"/>
  <c r="D42" i="1"/>
  <c r="E16" i="1"/>
  <c r="E11" i="1"/>
  <c r="T13" i="1"/>
  <c r="U32" i="1"/>
  <c r="I25" i="1"/>
  <c r="T14" i="1"/>
  <c r="I32" i="1"/>
  <c r="E12" i="1"/>
  <c r="T3" i="1"/>
  <c r="I26" i="1"/>
  <c r="U34" i="1"/>
  <c r="H34" i="1"/>
  <c r="I27" i="1"/>
  <c r="T44" i="1"/>
  <c r="D5" i="1"/>
  <c r="H4" i="1"/>
  <c r="D45" i="1"/>
  <c r="H5" i="1"/>
  <c r="D13" i="1"/>
  <c r="T50" i="1"/>
  <c r="D22" i="1"/>
  <c r="E23" i="1"/>
  <c r="T27" i="1"/>
  <c r="H33" i="1"/>
  <c r="D27" i="1"/>
  <c r="E51" i="1"/>
  <c r="T10" i="1"/>
  <c r="H8" i="1"/>
  <c r="U45" i="1"/>
  <c r="H41" i="1"/>
  <c r="D39" i="1"/>
  <c r="E8" i="1"/>
  <c r="T11" i="1"/>
  <c r="H14" i="1"/>
  <c r="I12" i="1"/>
  <c r="D4" i="1"/>
  <c r="T12" i="1"/>
  <c r="E49" i="1"/>
  <c r="H16" i="1"/>
  <c r="E52" i="1"/>
  <c r="I5" i="1"/>
  <c r="I6" i="1"/>
  <c r="D10" i="1"/>
  <c r="H42" i="1"/>
  <c r="E47" i="1"/>
  <c r="T8" i="1"/>
  <c r="I49" i="1"/>
  <c r="U42" i="1"/>
  <c r="I11" i="1"/>
  <c r="I51" i="1"/>
  <c r="T24" i="1"/>
  <c r="H30" i="1"/>
  <c r="V17" i="3" s="1"/>
  <c r="E22" i="1"/>
  <c r="D16" i="1"/>
  <c r="I42" i="1"/>
  <c r="T25" i="1"/>
  <c r="H31" i="1"/>
  <c r="D25" i="1"/>
  <c r="E50" i="1"/>
  <c r="E7" i="1"/>
  <c r="T9" i="1"/>
  <c r="H32" i="1"/>
  <c r="D26" i="1"/>
  <c r="H40" i="1"/>
  <c r="I44" i="1"/>
  <c r="I14" i="1"/>
  <c r="D6" i="1"/>
  <c r="U11" i="1"/>
  <c r="H13" i="1"/>
  <c r="T42" i="1"/>
  <c r="T45" i="1"/>
  <c r="H49" i="1"/>
  <c r="I15" i="1"/>
  <c r="E27" i="1"/>
  <c r="T29" i="1"/>
  <c r="E28" i="1"/>
  <c r="E10" i="1"/>
  <c r="I3" i="1"/>
  <c r="H11" i="1"/>
  <c r="U40" i="1"/>
  <c r="U52" i="1"/>
  <c r="Z194" i="4" s="1"/>
  <c r="D8" i="1"/>
  <c r="T16" i="1"/>
  <c r="Z119" i="2" s="1"/>
  <c r="I4" i="1"/>
  <c r="I16" i="1"/>
  <c r="I46" i="1"/>
  <c r="U48" i="1"/>
  <c r="U12" i="1"/>
  <c r="H21" i="1"/>
  <c r="U50" i="1"/>
  <c r="E29" i="1"/>
  <c r="T30" i="1"/>
  <c r="H25" i="1"/>
  <c r="V81" i="3" s="1"/>
  <c r="H22" i="1"/>
  <c r="E30" i="1"/>
  <c r="D47" i="1"/>
  <c r="E5" i="1"/>
  <c r="E13" i="1"/>
  <c r="T5" i="1"/>
  <c r="U3" i="1"/>
  <c r="U49" i="1"/>
  <c r="T47" i="1"/>
  <c r="E31" i="1"/>
  <c r="I47" i="1"/>
  <c r="E42" i="1"/>
  <c r="D48" i="1"/>
  <c r="E3" i="1"/>
  <c r="D9" i="1"/>
  <c r="T6" i="1"/>
  <c r="U4" i="1"/>
  <c r="D49" i="1"/>
  <c r="E4" i="1"/>
  <c r="U8" i="1"/>
  <c r="I10" i="1"/>
  <c r="U31" i="1"/>
  <c r="I41" i="1"/>
  <c r="H50" i="1"/>
  <c r="H12" i="1"/>
  <c r="I33" i="1"/>
  <c r="I48" i="1"/>
  <c r="U26" i="1"/>
  <c r="T33" i="1"/>
  <c r="I34" i="1"/>
  <c r="H24" i="1"/>
  <c r="D51" i="1"/>
  <c r="D11" i="1"/>
  <c r="U10" i="1"/>
  <c r="I45" i="1"/>
  <c r="I7" i="1"/>
  <c r="H51" i="1"/>
  <c r="H23" i="1"/>
  <c r="E44" i="1"/>
  <c r="U44" i="1"/>
  <c r="U27" i="1"/>
  <c r="T34" i="1"/>
  <c r="H26" i="1"/>
  <c r="I29" i="1"/>
  <c r="D23" i="1"/>
  <c r="D32" i="1"/>
  <c r="E45" i="1"/>
  <c r="D52" i="1"/>
  <c r="D12" i="1"/>
  <c r="U51" i="1"/>
  <c r="U13" i="1"/>
  <c r="U41" i="1"/>
  <c r="U28" i="1"/>
  <c r="H27" i="1"/>
  <c r="D33" i="1"/>
  <c r="D43" i="1"/>
  <c r="E39" i="1"/>
  <c r="U14" i="1"/>
  <c r="T39" i="1"/>
  <c r="I8" i="1"/>
  <c r="T43" i="1"/>
  <c r="U46" i="1"/>
  <c r="T32" i="1"/>
  <c r="U21" i="1"/>
  <c r="D24" i="1"/>
  <c r="U22" i="1"/>
  <c r="H28" i="1"/>
  <c r="D34" i="1"/>
  <c r="E46" i="1"/>
  <c r="E40" i="1"/>
  <c r="D14" i="1"/>
  <c r="U15" i="1"/>
  <c r="H6" i="1"/>
  <c r="U23" i="1"/>
  <c r="E21" i="1"/>
  <c r="E41" i="1"/>
  <c r="D15" i="1"/>
  <c r="T7" i="1"/>
  <c r="I9" i="1"/>
  <c r="I43" i="1"/>
  <c r="V194" i="4"/>
  <c r="U81" i="3"/>
  <c r="Z81" i="3"/>
  <c r="U17" i="3"/>
  <c r="Z17" i="3" l="1"/>
  <c r="U194" i="4"/>
  <c r="Z86" i="4"/>
  <c r="Z87" i="4"/>
  <c r="Z88" i="4"/>
  <c r="Z90" i="4"/>
  <c r="Z92" i="4"/>
  <c r="Z85" i="4"/>
  <c r="Z89" i="4"/>
  <c r="Z91" i="4"/>
  <c r="Z93" i="4"/>
  <c r="V152" i="4"/>
  <c r="V172" i="4"/>
  <c r="V153" i="4"/>
  <c r="V173" i="4"/>
  <c r="V154" i="4"/>
  <c r="V174" i="4"/>
  <c r="V175" i="4"/>
  <c r="V155" i="4"/>
  <c r="V156" i="4"/>
  <c r="V176" i="4"/>
  <c r="V158" i="4"/>
  <c r="V160" i="4"/>
  <c r="V161" i="4"/>
  <c r="V162" i="4"/>
  <c r="V163" i="4"/>
  <c r="V169" i="4"/>
  <c r="V170" i="4"/>
  <c r="V171" i="4"/>
  <c r="V159" i="4"/>
  <c r="V164" i="4"/>
  <c r="V157" i="4"/>
  <c r="V177" i="4"/>
  <c r="V165" i="4"/>
  <c r="V166" i="4"/>
  <c r="V168" i="4"/>
  <c r="V167" i="4"/>
  <c r="Z70" i="4"/>
  <c r="Z71" i="4"/>
  <c r="Z72" i="4"/>
  <c r="Z74" i="4"/>
  <c r="Z76" i="4"/>
  <c r="Z78" i="4"/>
  <c r="Z79" i="4"/>
  <c r="Z80" i="4"/>
  <c r="Z81" i="4"/>
  <c r="Z67" i="4"/>
  <c r="Z68" i="4"/>
  <c r="Z77" i="4"/>
  <c r="Z82" i="4"/>
  <c r="Z75" i="4"/>
  <c r="Z63" i="4"/>
  <c r="Z64" i="4"/>
  <c r="Z65" i="4"/>
  <c r="Z83" i="4"/>
  <c r="Z66" i="4"/>
  <c r="Z69" i="4"/>
  <c r="Z73" i="4"/>
  <c r="Z84" i="4"/>
  <c r="U188" i="4"/>
  <c r="U189" i="4"/>
  <c r="U190" i="4"/>
  <c r="U191" i="4"/>
  <c r="U192" i="4"/>
  <c r="U193" i="4"/>
  <c r="U178" i="4"/>
  <c r="U179" i="4"/>
  <c r="U180" i="4"/>
  <c r="U185" i="4"/>
  <c r="U186" i="4"/>
  <c r="U181" i="4"/>
  <c r="U182" i="4"/>
  <c r="U183" i="4"/>
  <c r="U184" i="4"/>
  <c r="U187" i="4"/>
  <c r="U75" i="4"/>
  <c r="U76" i="4"/>
  <c r="U77" i="4"/>
  <c r="U78" i="4"/>
  <c r="U79" i="4"/>
  <c r="U80" i="4"/>
  <c r="U81" i="4"/>
  <c r="U63" i="4"/>
  <c r="U83" i="4"/>
  <c r="U64" i="4"/>
  <c r="U84" i="4"/>
  <c r="U65" i="4"/>
  <c r="U66" i="4"/>
  <c r="U67" i="4"/>
  <c r="U72" i="4"/>
  <c r="U73" i="4"/>
  <c r="U68" i="4"/>
  <c r="U69" i="4"/>
  <c r="U70" i="4"/>
  <c r="U82" i="4"/>
  <c r="U71" i="4"/>
  <c r="U74" i="4"/>
  <c r="V18" i="4"/>
  <c r="V2" i="4"/>
  <c r="V4" i="4"/>
  <c r="V6" i="4"/>
  <c r="V7" i="4"/>
  <c r="V8" i="4"/>
  <c r="V9" i="4"/>
  <c r="V15" i="4"/>
  <c r="V16" i="4"/>
  <c r="V10" i="4"/>
  <c r="V12" i="4"/>
  <c r="V11" i="4"/>
  <c r="V13" i="4"/>
  <c r="V3" i="4"/>
  <c r="V5" i="4"/>
  <c r="V14" i="4"/>
  <c r="V17" i="4"/>
  <c r="Z160" i="4"/>
  <c r="Z161" i="4"/>
  <c r="Z162" i="4"/>
  <c r="Z164" i="4"/>
  <c r="Z166" i="4"/>
  <c r="Z168" i="4"/>
  <c r="Z169" i="4"/>
  <c r="Z170" i="4"/>
  <c r="Z171" i="4"/>
  <c r="Z157" i="4"/>
  <c r="Z177" i="4"/>
  <c r="Z158" i="4"/>
  <c r="Z159" i="4"/>
  <c r="Z156" i="4"/>
  <c r="Z163" i="4"/>
  <c r="Z165" i="4"/>
  <c r="Z167" i="4"/>
  <c r="Z176" i="4"/>
  <c r="Z172" i="4"/>
  <c r="Z175" i="4"/>
  <c r="Z153" i="4"/>
  <c r="Z173" i="4"/>
  <c r="Z152" i="4"/>
  <c r="Z174" i="4"/>
  <c r="Z154" i="4"/>
  <c r="Z155" i="4"/>
  <c r="U11" i="4"/>
  <c r="U12" i="4"/>
  <c r="U13" i="4"/>
  <c r="U14" i="4"/>
  <c r="U15" i="4"/>
  <c r="U16" i="4"/>
  <c r="U17" i="4"/>
  <c r="U2" i="4"/>
  <c r="U3" i="4"/>
  <c r="U8" i="4"/>
  <c r="U9" i="4"/>
  <c r="U7" i="4"/>
  <c r="U18" i="4"/>
  <c r="U10" i="4"/>
  <c r="U4" i="4"/>
  <c r="U6" i="4"/>
  <c r="U5" i="4"/>
  <c r="Z21" i="4"/>
  <c r="Z19" i="4"/>
  <c r="Z20" i="4"/>
  <c r="U165" i="4"/>
  <c r="U166" i="4"/>
  <c r="U167" i="4"/>
  <c r="U168" i="4"/>
  <c r="U169" i="4"/>
  <c r="U170" i="4"/>
  <c r="U171" i="4"/>
  <c r="U153" i="4"/>
  <c r="U173" i="4"/>
  <c r="U154" i="4"/>
  <c r="U174" i="4"/>
  <c r="U155" i="4"/>
  <c r="U175" i="4"/>
  <c r="U156" i="4"/>
  <c r="U176" i="4"/>
  <c r="U157" i="4"/>
  <c r="U177" i="4"/>
  <c r="U162" i="4"/>
  <c r="U163" i="4"/>
  <c r="U158" i="4"/>
  <c r="U160" i="4"/>
  <c r="U159" i="4"/>
  <c r="U161" i="4"/>
  <c r="U152" i="4"/>
  <c r="U164" i="4"/>
  <c r="U172" i="4"/>
  <c r="V145" i="4"/>
  <c r="V146" i="4"/>
  <c r="V147" i="4"/>
  <c r="V151" i="4"/>
  <c r="V150" i="4"/>
  <c r="V148" i="4"/>
  <c r="V149" i="4"/>
  <c r="Z95" i="4"/>
  <c r="Z94" i="4"/>
  <c r="U104" i="4"/>
  <c r="U124" i="4"/>
  <c r="U105" i="4"/>
  <c r="U125" i="4"/>
  <c r="U106" i="4"/>
  <c r="U126" i="4"/>
  <c r="U127" i="4"/>
  <c r="U107" i="4"/>
  <c r="U108" i="4"/>
  <c r="U128" i="4"/>
  <c r="U109" i="4"/>
  <c r="U129" i="4"/>
  <c r="U110" i="4"/>
  <c r="U130" i="4"/>
  <c r="U112" i="4"/>
  <c r="U132" i="4"/>
  <c r="U113" i="4"/>
  <c r="U133" i="4"/>
  <c r="U114" i="4"/>
  <c r="U115" i="4"/>
  <c r="U96" i="4"/>
  <c r="U116" i="4"/>
  <c r="U101" i="4"/>
  <c r="U121" i="4"/>
  <c r="U102" i="4"/>
  <c r="U122" i="4"/>
  <c r="U131" i="4"/>
  <c r="U117" i="4"/>
  <c r="U103" i="4"/>
  <c r="U111" i="4"/>
  <c r="U118" i="4"/>
  <c r="U123" i="4"/>
  <c r="U97" i="4"/>
  <c r="U98" i="4"/>
  <c r="U99" i="4"/>
  <c r="U100" i="4"/>
  <c r="U119" i="4"/>
  <c r="U120" i="4"/>
  <c r="Z183" i="4"/>
  <c r="Z184" i="4"/>
  <c r="Z185" i="4"/>
  <c r="Z187" i="4"/>
  <c r="Z189" i="4"/>
  <c r="Z191" i="4"/>
  <c r="Z192" i="4"/>
  <c r="Z193" i="4"/>
  <c r="Z180" i="4"/>
  <c r="Z181" i="4"/>
  <c r="Z190" i="4"/>
  <c r="Z182" i="4"/>
  <c r="Z186" i="4"/>
  <c r="Z188" i="4"/>
  <c r="Z179" i="4"/>
  <c r="Z178" i="4"/>
  <c r="V31" i="4"/>
  <c r="V32" i="4"/>
  <c r="V33" i="4"/>
  <c r="V34" i="4"/>
  <c r="V35" i="4"/>
  <c r="V37" i="4"/>
  <c r="V39" i="4"/>
  <c r="V40" i="4"/>
  <c r="V41" i="4"/>
  <c r="V42" i="4"/>
  <c r="V48" i="4"/>
  <c r="V49" i="4"/>
  <c r="V38" i="4"/>
  <c r="V43" i="4"/>
  <c r="V44" i="4"/>
  <c r="V45" i="4"/>
  <c r="V46" i="4"/>
  <c r="V47" i="4"/>
  <c r="V50" i="4"/>
  <c r="V30" i="4"/>
  <c r="V36" i="4"/>
  <c r="Z99" i="4"/>
  <c r="Z119" i="4"/>
  <c r="Z100" i="4"/>
  <c r="Z120" i="4"/>
  <c r="Z101" i="4"/>
  <c r="Z121" i="4"/>
  <c r="Z103" i="4"/>
  <c r="Z123" i="4"/>
  <c r="Z105" i="4"/>
  <c r="Z125" i="4"/>
  <c r="Z107" i="4"/>
  <c r="Z127" i="4"/>
  <c r="Z108" i="4"/>
  <c r="Z128" i="4"/>
  <c r="Z109" i="4"/>
  <c r="Z129" i="4"/>
  <c r="Z110" i="4"/>
  <c r="Z130" i="4"/>
  <c r="Z96" i="4"/>
  <c r="Z116" i="4"/>
  <c r="Z97" i="4"/>
  <c r="Z131" i="4"/>
  <c r="Z98" i="4"/>
  <c r="Z102" i="4"/>
  <c r="Z104" i="4"/>
  <c r="Z114" i="4"/>
  <c r="Z132" i="4"/>
  <c r="Z106" i="4"/>
  <c r="Z111" i="4"/>
  <c r="Z124" i="4"/>
  <c r="Z126" i="4"/>
  <c r="Z112" i="4"/>
  <c r="Z113" i="4"/>
  <c r="Z115" i="4"/>
  <c r="Z117" i="4"/>
  <c r="Z118" i="4"/>
  <c r="Z122" i="4"/>
  <c r="Z133" i="4"/>
  <c r="V94" i="4"/>
  <c r="V95" i="4"/>
  <c r="V82" i="4"/>
  <c r="V63" i="4"/>
  <c r="V83" i="4"/>
  <c r="V64" i="4"/>
  <c r="V84" i="4"/>
  <c r="V65" i="4"/>
  <c r="V66" i="4"/>
  <c r="V68" i="4"/>
  <c r="V70" i="4"/>
  <c r="V71" i="4"/>
  <c r="V72" i="4"/>
  <c r="V73" i="4"/>
  <c r="V79" i="4"/>
  <c r="V80" i="4"/>
  <c r="V81" i="4"/>
  <c r="V74" i="4"/>
  <c r="V67" i="4"/>
  <c r="V69" i="4"/>
  <c r="V75" i="4"/>
  <c r="V76" i="4"/>
  <c r="V78" i="4"/>
  <c r="V77" i="4"/>
  <c r="U55" i="4"/>
  <c r="U56" i="4"/>
  <c r="U57" i="4"/>
  <c r="U58" i="4"/>
  <c r="U59" i="4"/>
  <c r="U60" i="4"/>
  <c r="U61" i="4"/>
  <c r="U52" i="4"/>
  <c r="U53" i="4"/>
  <c r="U51" i="4"/>
  <c r="U54" i="4"/>
  <c r="U62" i="4"/>
  <c r="V19" i="4"/>
  <c r="V21" i="4"/>
  <c r="V20" i="4"/>
  <c r="U44" i="4"/>
  <c r="U45" i="4"/>
  <c r="U46" i="4"/>
  <c r="U47" i="4"/>
  <c r="U48" i="4"/>
  <c r="U49" i="4"/>
  <c r="U30" i="4"/>
  <c r="U50" i="4"/>
  <c r="U32" i="4"/>
  <c r="U33" i="4"/>
  <c r="U34" i="4"/>
  <c r="U35" i="4"/>
  <c r="U36" i="4"/>
  <c r="U41" i="4"/>
  <c r="U42" i="4"/>
  <c r="U38" i="4"/>
  <c r="U39" i="4"/>
  <c r="U31" i="4"/>
  <c r="U37" i="4"/>
  <c r="U40" i="4"/>
  <c r="U43" i="4"/>
  <c r="V138" i="4"/>
  <c r="V139" i="4"/>
  <c r="V140" i="4"/>
  <c r="V141" i="4"/>
  <c r="V142" i="4"/>
  <c r="V144" i="4"/>
  <c r="V135" i="4"/>
  <c r="V136" i="4"/>
  <c r="V134" i="4"/>
  <c r="V137" i="4"/>
  <c r="V143" i="4"/>
  <c r="U134" i="4"/>
  <c r="U135" i="4"/>
  <c r="U137" i="4"/>
  <c r="U139" i="4"/>
  <c r="U140" i="4"/>
  <c r="U141" i="4"/>
  <c r="U142" i="4"/>
  <c r="U143" i="4"/>
  <c r="U136" i="4"/>
  <c r="U138" i="4"/>
  <c r="U144" i="4"/>
  <c r="U22" i="4"/>
  <c r="U23" i="4"/>
  <c r="U24" i="4"/>
  <c r="U25" i="4"/>
  <c r="U26" i="4"/>
  <c r="U29" i="4"/>
  <c r="U27" i="4"/>
  <c r="U28" i="4"/>
  <c r="V178" i="4"/>
  <c r="V179" i="4"/>
  <c r="V181" i="4"/>
  <c r="V183" i="4"/>
  <c r="V184" i="4"/>
  <c r="V185" i="4"/>
  <c r="V186" i="4"/>
  <c r="V192" i="4"/>
  <c r="V193" i="4"/>
  <c r="V190" i="4"/>
  <c r="V187" i="4"/>
  <c r="V188" i="4"/>
  <c r="V180" i="4"/>
  <c r="V182" i="4"/>
  <c r="V189" i="4"/>
  <c r="V191" i="4"/>
  <c r="V111" i="4"/>
  <c r="V131" i="4"/>
  <c r="V112" i="4"/>
  <c r="V132" i="4"/>
  <c r="V113" i="4"/>
  <c r="V133" i="4"/>
  <c r="V114" i="4"/>
  <c r="V115" i="4"/>
  <c r="V97" i="4"/>
  <c r="V117" i="4"/>
  <c r="V99" i="4"/>
  <c r="V119" i="4"/>
  <c r="V100" i="4"/>
  <c r="V120" i="4"/>
  <c r="V101" i="4"/>
  <c r="V121" i="4"/>
  <c r="V102" i="4"/>
  <c r="V122" i="4"/>
  <c r="V108" i="4"/>
  <c r="V128" i="4"/>
  <c r="V109" i="4"/>
  <c r="V129" i="4"/>
  <c r="V106" i="4"/>
  <c r="V96" i="4"/>
  <c r="V107" i="4"/>
  <c r="V110" i="4"/>
  <c r="V116" i="4"/>
  <c r="V118" i="4"/>
  <c r="V123" i="4"/>
  <c r="V126" i="4"/>
  <c r="V124" i="4"/>
  <c r="V125" i="4"/>
  <c r="V127" i="4"/>
  <c r="V130" i="4"/>
  <c r="V98" i="4"/>
  <c r="V105" i="4"/>
  <c r="V103" i="4"/>
  <c r="V104" i="4"/>
  <c r="V22" i="4"/>
  <c r="V23" i="4"/>
  <c r="V24" i="4"/>
  <c r="V25" i="4"/>
  <c r="V27" i="4"/>
  <c r="V29" i="4"/>
  <c r="V28" i="4"/>
  <c r="V26" i="4"/>
  <c r="Z39" i="4"/>
  <c r="Z40" i="4"/>
  <c r="Z41" i="4"/>
  <c r="Z43" i="4"/>
  <c r="Z45" i="4"/>
  <c r="Z47" i="4"/>
  <c r="Z48" i="4"/>
  <c r="Z49" i="4"/>
  <c r="Z30" i="4"/>
  <c r="Z50" i="4"/>
  <c r="Z36" i="4"/>
  <c r="Z37" i="4"/>
  <c r="Z34" i="4"/>
  <c r="Z46" i="4"/>
  <c r="Z31" i="4"/>
  <c r="Z32" i="4"/>
  <c r="Z35" i="4"/>
  <c r="Z44" i="4"/>
  <c r="Z33" i="4"/>
  <c r="Z38" i="4"/>
  <c r="Z42" i="4"/>
  <c r="Z6" i="4"/>
  <c r="Z7" i="4"/>
  <c r="Z8" i="4"/>
  <c r="Z10" i="4"/>
  <c r="Z12" i="4"/>
  <c r="Z14" i="4"/>
  <c r="Z15" i="4"/>
  <c r="Z16" i="4"/>
  <c r="Z17" i="4"/>
  <c r="Z3" i="4"/>
  <c r="Z4" i="4"/>
  <c r="Z2" i="4"/>
  <c r="Z11" i="4"/>
  <c r="Z13" i="4"/>
  <c r="Z5" i="4"/>
  <c r="Z18" i="4"/>
  <c r="Z9" i="4"/>
  <c r="Z134" i="4"/>
  <c r="Z135" i="4"/>
  <c r="Z136" i="4"/>
  <c r="Z137" i="4"/>
  <c r="Z143" i="4"/>
  <c r="Z144" i="4"/>
  <c r="Z142" i="4"/>
  <c r="Z138" i="4"/>
  <c r="Z139" i="4"/>
  <c r="Z140" i="4"/>
  <c r="Z141" i="4"/>
  <c r="V86" i="4"/>
  <c r="V87" i="4"/>
  <c r="V88" i="4"/>
  <c r="V89" i="4"/>
  <c r="V85" i="4"/>
  <c r="V90" i="4"/>
  <c r="V93" i="4"/>
  <c r="V91" i="4"/>
  <c r="V92" i="4"/>
  <c r="Z145" i="4"/>
  <c r="Z146" i="4"/>
  <c r="Z148" i="4"/>
  <c r="Z150" i="4"/>
  <c r="Z149" i="4"/>
  <c r="Z147" i="4"/>
  <c r="Z151" i="4"/>
  <c r="U20" i="4"/>
  <c r="U21" i="4"/>
  <c r="U19" i="4"/>
  <c r="U91" i="4"/>
  <c r="U92" i="4"/>
  <c r="U93" i="4"/>
  <c r="U88" i="4"/>
  <c r="U89" i="4"/>
  <c r="U86" i="4"/>
  <c r="U85" i="4"/>
  <c r="U87" i="4"/>
  <c r="U90" i="4"/>
  <c r="Z29" i="4"/>
  <c r="Z26" i="4"/>
  <c r="Z27" i="4"/>
  <c r="Z28" i="4"/>
  <c r="Z22" i="4"/>
  <c r="Z23" i="4"/>
  <c r="Z24" i="4"/>
  <c r="Z25" i="4"/>
  <c r="U94" i="4"/>
  <c r="U95" i="4"/>
  <c r="V62" i="4"/>
  <c r="V51" i="4"/>
  <c r="V52" i="4"/>
  <c r="V53" i="4"/>
  <c r="V59" i="4"/>
  <c r="V60" i="4"/>
  <c r="V54" i="4"/>
  <c r="V55" i="4"/>
  <c r="V56" i="4"/>
  <c r="V57" i="4"/>
  <c r="V58" i="4"/>
  <c r="V61" i="4"/>
  <c r="Z51" i="4"/>
  <c r="Z52" i="4"/>
  <c r="Z54" i="4"/>
  <c r="Z56" i="4"/>
  <c r="Z58" i="4"/>
  <c r="Z59" i="4"/>
  <c r="Z60" i="4"/>
  <c r="Z61" i="4"/>
  <c r="Z53" i="4"/>
  <c r="Z55" i="4"/>
  <c r="Z57" i="4"/>
  <c r="Z62" i="4"/>
  <c r="U149" i="4"/>
  <c r="U150" i="4"/>
  <c r="U151" i="4"/>
  <c r="U146" i="4"/>
  <c r="U147" i="4"/>
  <c r="U145" i="4"/>
  <c r="U148" i="4"/>
  <c r="V61" i="3"/>
  <c r="V71" i="3"/>
  <c r="V62" i="3"/>
  <c r="V70" i="3"/>
  <c r="V63" i="3"/>
  <c r="V68" i="3"/>
  <c r="V64" i="3"/>
  <c r="V65" i="3"/>
  <c r="V66" i="3"/>
  <c r="V67" i="3"/>
  <c r="V69" i="3"/>
  <c r="Z86" i="3"/>
  <c r="Z106" i="3"/>
  <c r="Z87" i="3"/>
  <c r="Z107" i="3"/>
  <c r="Z88" i="3"/>
  <c r="Z108" i="3"/>
  <c r="Z102" i="3"/>
  <c r="Z89" i="3"/>
  <c r="Z109" i="3"/>
  <c r="Z100" i="3"/>
  <c r="Z83" i="3"/>
  <c r="Z90" i="3"/>
  <c r="Z110" i="3"/>
  <c r="Z101" i="3"/>
  <c r="Z91" i="3"/>
  <c r="Z111" i="3"/>
  <c r="Z92" i="3"/>
  <c r="Z97" i="3"/>
  <c r="Z93" i="3"/>
  <c r="Z99" i="3"/>
  <c r="Z94" i="3"/>
  <c r="Z103" i="3"/>
  <c r="Z95" i="3"/>
  <c r="Z96" i="3"/>
  <c r="Z98" i="3"/>
  <c r="Z82" i="3"/>
  <c r="Z84" i="3"/>
  <c r="Z85" i="3"/>
  <c r="Z104" i="3"/>
  <c r="Z105" i="3"/>
  <c r="V2" i="3"/>
  <c r="V15" i="3"/>
  <c r="V3" i="3"/>
  <c r="V4" i="3"/>
  <c r="V16" i="3"/>
  <c r="V5" i="3"/>
  <c r="V6" i="3"/>
  <c r="V13" i="3"/>
  <c r="V7" i="3"/>
  <c r="V8" i="3"/>
  <c r="V9" i="3"/>
  <c r="V10" i="3"/>
  <c r="V11" i="3"/>
  <c r="V12" i="3"/>
  <c r="V14" i="3"/>
  <c r="V159" i="3"/>
  <c r="V160" i="3"/>
  <c r="V161" i="3"/>
  <c r="V78" i="3"/>
  <c r="V77" i="3"/>
  <c r="V72" i="3"/>
  <c r="V80" i="3"/>
  <c r="V73" i="3"/>
  <c r="V75" i="3"/>
  <c r="V74" i="3"/>
  <c r="V76" i="3"/>
  <c r="V79" i="3"/>
  <c r="V86" i="3"/>
  <c r="V106" i="3"/>
  <c r="V87" i="3"/>
  <c r="V107" i="3"/>
  <c r="V99" i="3"/>
  <c r="V88" i="3"/>
  <c r="V108" i="3"/>
  <c r="V103" i="3"/>
  <c r="V89" i="3"/>
  <c r="V109" i="3"/>
  <c r="V82" i="3"/>
  <c r="V90" i="3"/>
  <c r="V110" i="3"/>
  <c r="V97" i="3"/>
  <c r="V91" i="3"/>
  <c r="V111" i="3"/>
  <c r="V92" i="3"/>
  <c r="V93" i="3"/>
  <c r="V94" i="3"/>
  <c r="V100" i="3"/>
  <c r="V101" i="3"/>
  <c r="V95" i="3"/>
  <c r="V96" i="3"/>
  <c r="V102" i="3"/>
  <c r="V83" i="3"/>
  <c r="V98" i="3"/>
  <c r="V84" i="3"/>
  <c r="V85" i="3"/>
  <c r="V104" i="3"/>
  <c r="V105" i="3"/>
  <c r="U159" i="3"/>
  <c r="U160" i="3"/>
  <c r="U161" i="3"/>
  <c r="U112" i="3"/>
  <c r="U113" i="3"/>
  <c r="U34" i="3"/>
  <c r="U35" i="3"/>
  <c r="U36" i="3"/>
  <c r="U47" i="3"/>
  <c r="U37" i="3"/>
  <c r="U38" i="3"/>
  <c r="U39" i="3"/>
  <c r="U44" i="3"/>
  <c r="U40" i="3"/>
  <c r="U46" i="3"/>
  <c r="U41" i="3"/>
  <c r="U42" i="3"/>
  <c r="U43" i="3"/>
  <c r="U45" i="3"/>
  <c r="Z125" i="3"/>
  <c r="Z126" i="3"/>
  <c r="Z127" i="3"/>
  <c r="Z142" i="3"/>
  <c r="Z128" i="3"/>
  <c r="Z136" i="3"/>
  <c r="Z129" i="3"/>
  <c r="Z130" i="3"/>
  <c r="Z141" i="3"/>
  <c r="Z131" i="3"/>
  <c r="Z132" i="3"/>
  <c r="Z133" i="3"/>
  <c r="Z140" i="3"/>
  <c r="Z134" i="3"/>
  <c r="Z139" i="3"/>
  <c r="Z121" i="3"/>
  <c r="Z135" i="3"/>
  <c r="Z138" i="3"/>
  <c r="Z137" i="3"/>
  <c r="Z120" i="3"/>
  <c r="Z122" i="3"/>
  <c r="Z124" i="3"/>
  <c r="Z123" i="3"/>
  <c r="Z143" i="3"/>
  <c r="V23" i="3"/>
  <c r="V24" i="3"/>
  <c r="V25" i="3"/>
  <c r="V26" i="3"/>
  <c r="V27" i="3"/>
  <c r="V28" i="3"/>
  <c r="V19" i="3"/>
  <c r="V29" i="3"/>
  <c r="V30" i="3"/>
  <c r="V31" i="3"/>
  <c r="V32" i="3"/>
  <c r="V33" i="3"/>
  <c r="V18" i="3"/>
  <c r="V20" i="3"/>
  <c r="V21" i="3"/>
  <c r="V22" i="3"/>
  <c r="Z159" i="3"/>
  <c r="Z161" i="3"/>
  <c r="Z160" i="3"/>
  <c r="Z57" i="3"/>
  <c r="Z58" i="3"/>
  <c r="Z59" i="3"/>
  <c r="Z60" i="3"/>
  <c r="Z48" i="3"/>
  <c r="Z51" i="3"/>
  <c r="Z53" i="3"/>
  <c r="Z50" i="3"/>
  <c r="Z49" i="3"/>
  <c r="Z52" i="3"/>
  <c r="Z54" i="3"/>
  <c r="Z55" i="3"/>
  <c r="Z56" i="3"/>
  <c r="U2" i="3"/>
  <c r="U3" i="3"/>
  <c r="U4" i="3"/>
  <c r="U16" i="3"/>
  <c r="U5" i="3"/>
  <c r="U6" i="3"/>
  <c r="U7" i="3"/>
  <c r="U8" i="3"/>
  <c r="U9" i="3"/>
  <c r="U15" i="3"/>
  <c r="U10" i="3"/>
  <c r="U11" i="3"/>
  <c r="U13" i="3"/>
  <c r="U12" i="3"/>
  <c r="U14" i="3"/>
  <c r="V114" i="3"/>
  <c r="V115" i="3"/>
  <c r="V116" i="3"/>
  <c r="V117" i="3"/>
  <c r="V118" i="3"/>
  <c r="V119" i="3"/>
  <c r="U57" i="3"/>
  <c r="U58" i="3"/>
  <c r="U59" i="3"/>
  <c r="U60" i="3"/>
  <c r="U53" i="3"/>
  <c r="U48" i="3"/>
  <c r="U51" i="3"/>
  <c r="U50" i="3"/>
  <c r="U49" i="3"/>
  <c r="U52" i="3"/>
  <c r="U54" i="3"/>
  <c r="U55" i="3"/>
  <c r="U56" i="3"/>
  <c r="U23" i="3"/>
  <c r="U24" i="3"/>
  <c r="U25" i="3"/>
  <c r="U26" i="3"/>
  <c r="U27" i="3"/>
  <c r="U28" i="3"/>
  <c r="U29" i="3"/>
  <c r="U18" i="3"/>
  <c r="U30" i="3"/>
  <c r="U31" i="3"/>
  <c r="U20" i="3"/>
  <c r="U32" i="3"/>
  <c r="U33" i="3"/>
  <c r="U19" i="3"/>
  <c r="U21" i="3"/>
  <c r="U22" i="3"/>
  <c r="U77" i="3"/>
  <c r="U78" i="3"/>
  <c r="U75" i="3"/>
  <c r="U79" i="3"/>
  <c r="U80" i="3"/>
  <c r="U72" i="3"/>
  <c r="U73" i="3"/>
  <c r="U74" i="3"/>
  <c r="U76" i="3"/>
  <c r="Z61" i="3"/>
  <c r="Z62" i="3"/>
  <c r="Z70" i="3"/>
  <c r="Z63" i="3"/>
  <c r="Z64" i="3"/>
  <c r="Z65" i="3"/>
  <c r="Z66" i="3"/>
  <c r="Z67" i="3"/>
  <c r="Z68" i="3"/>
  <c r="Z69" i="3"/>
  <c r="Z71" i="3"/>
  <c r="V158" i="3"/>
  <c r="V153" i="3"/>
  <c r="V154" i="3"/>
  <c r="V149" i="3"/>
  <c r="V144" i="3"/>
  <c r="V145" i="3"/>
  <c r="V146" i="3"/>
  <c r="V147" i="3"/>
  <c r="V148" i="3"/>
  <c r="V151" i="3"/>
  <c r="V150" i="3"/>
  <c r="V152" i="3"/>
  <c r="V155" i="3"/>
  <c r="V156" i="3"/>
  <c r="V157" i="3"/>
  <c r="Z114" i="3"/>
  <c r="Z115" i="3"/>
  <c r="Z116" i="3"/>
  <c r="Z117" i="3"/>
  <c r="Z118" i="3"/>
  <c r="Z119" i="3"/>
  <c r="Z77" i="3"/>
  <c r="Z75" i="3"/>
  <c r="Z80" i="3"/>
  <c r="Z72" i="3"/>
  <c r="Z73" i="3"/>
  <c r="Z74" i="3"/>
  <c r="Z79" i="3"/>
  <c r="Z76" i="3"/>
  <c r="Z78" i="3"/>
  <c r="V125" i="3"/>
  <c r="V126" i="3"/>
  <c r="V127" i="3"/>
  <c r="V128" i="3"/>
  <c r="V139" i="3"/>
  <c r="V122" i="3"/>
  <c r="V129" i="3"/>
  <c r="V130" i="3"/>
  <c r="V120" i="3"/>
  <c r="V142" i="3"/>
  <c r="V131" i="3"/>
  <c r="V136" i="3"/>
  <c r="V138" i="3"/>
  <c r="V132" i="3"/>
  <c r="V133" i="3"/>
  <c r="V134" i="3"/>
  <c r="V135" i="3"/>
  <c r="V137" i="3"/>
  <c r="V140" i="3"/>
  <c r="V121" i="3"/>
  <c r="V141" i="3"/>
  <c r="V124" i="3"/>
  <c r="V123" i="3"/>
  <c r="V143" i="3"/>
  <c r="Z158" i="3"/>
  <c r="Z151" i="3"/>
  <c r="Z144" i="3"/>
  <c r="Z145" i="3"/>
  <c r="Z149" i="3"/>
  <c r="Z146" i="3"/>
  <c r="Z152" i="3"/>
  <c r="Z147" i="3"/>
  <c r="Z148" i="3"/>
  <c r="Z154" i="3"/>
  <c r="Z150" i="3"/>
  <c r="Z155" i="3"/>
  <c r="Z153" i="3"/>
  <c r="Z156" i="3"/>
  <c r="Z157" i="3"/>
  <c r="V112" i="3"/>
  <c r="V113" i="3"/>
  <c r="U158" i="3"/>
  <c r="U144" i="3"/>
  <c r="U151" i="3"/>
  <c r="U145" i="3"/>
  <c r="U146" i="3"/>
  <c r="U155" i="3"/>
  <c r="U147" i="3"/>
  <c r="U148" i="3"/>
  <c r="U149" i="3"/>
  <c r="U154" i="3"/>
  <c r="U153" i="3"/>
  <c r="U150" i="3"/>
  <c r="U152" i="3"/>
  <c r="U156" i="3"/>
  <c r="U157" i="3"/>
  <c r="V34" i="3"/>
  <c r="V35" i="3"/>
  <c r="V47" i="3"/>
  <c r="V36" i="3"/>
  <c r="V37" i="3"/>
  <c r="V38" i="3"/>
  <c r="V39" i="3"/>
  <c r="V40" i="3"/>
  <c r="V41" i="3"/>
  <c r="V42" i="3"/>
  <c r="V46" i="3"/>
  <c r="V43" i="3"/>
  <c r="V44" i="3"/>
  <c r="V45" i="3"/>
  <c r="Z112" i="3"/>
  <c r="Z113" i="3"/>
  <c r="U61" i="3"/>
  <c r="U68" i="3"/>
  <c r="U62" i="3"/>
  <c r="U63" i="3"/>
  <c r="U64" i="3"/>
  <c r="U65" i="3"/>
  <c r="U66" i="3"/>
  <c r="U67" i="3"/>
  <c r="U69" i="3"/>
  <c r="U70" i="3"/>
  <c r="U71" i="3"/>
  <c r="Z2" i="3"/>
  <c r="Z3" i="3"/>
  <c r="Z16" i="3"/>
  <c r="Z4" i="3"/>
  <c r="Z5" i="3"/>
  <c r="Z6" i="3"/>
  <c r="Z15" i="3"/>
  <c r="Z7" i="3"/>
  <c r="Z13" i="3"/>
  <c r="Z8" i="3"/>
  <c r="Z9" i="3"/>
  <c r="Z10" i="3"/>
  <c r="Z11" i="3"/>
  <c r="Z12" i="3"/>
  <c r="Z14" i="3"/>
  <c r="Z23" i="3"/>
  <c r="Z24" i="3"/>
  <c r="Z25" i="3"/>
  <c r="Z18" i="3"/>
  <c r="Z26" i="3"/>
  <c r="Z27" i="3"/>
  <c r="Z28" i="3"/>
  <c r="Z29" i="3"/>
  <c r="Z30" i="3"/>
  <c r="Z31" i="3"/>
  <c r="Z32" i="3"/>
  <c r="Z33" i="3"/>
  <c r="Z20" i="3"/>
  <c r="Z19" i="3"/>
  <c r="Z22" i="3"/>
  <c r="Z21" i="3"/>
  <c r="U114" i="3"/>
  <c r="U115" i="3"/>
  <c r="U116" i="3"/>
  <c r="U117" i="3"/>
  <c r="U118" i="3"/>
  <c r="U119" i="3"/>
  <c r="Z34" i="3"/>
  <c r="Z35" i="3"/>
  <c r="Z47" i="3"/>
  <c r="Z36" i="3"/>
  <c r="Z37" i="3"/>
  <c r="Z44" i="3"/>
  <c r="Z38" i="3"/>
  <c r="Z39" i="3"/>
  <c r="Z40" i="3"/>
  <c r="Z41" i="3"/>
  <c r="Z42" i="3"/>
  <c r="Z43" i="3"/>
  <c r="Z46" i="3"/>
  <c r="Z45" i="3"/>
  <c r="U86" i="3"/>
  <c r="U106" i="3"/>
  <c r="U87" i="3"/>
  <c r="U107" i="3"/>
  <c r="U100" i="3"/>
  <c r="U82" i="3"/>
  <c r="U88" i="3"/>
  <c r="U108" i="3"/>
  <c r="U103" i="3"/>
  <c r="U89" i="3"/>
  <c r="U109" i="3"/>
  <c r="U90" i="3"/>
  <c r="U110" i="3"/>
  <c r="U99" i="3"/>
  <c r="U91" i="3"/>
  <c r="U111" i="3"/>
  <c r="U92" i="3"/>
  <c r="U93" i="3"/>
  <c r="U94" i="3"/>
  <c r="U101" i="3"/>
  <c r="U95" i="3"/>
  <c r="U97" i="3"/>
  <c r="U96" i="3"/>
  <c r="U83" i="3"/>
  <c r="U98" i="3"/>
  <c r="U102" i="3"/>
  <c r="U84" i="3"/>
  <c r="U104" i="3"/>
  <c r="U85" i="3"/>
  <c r="U105" i="3"/>
  <c r="U125" i="3"/>
  <c r="U126" i="3"/>
  <c r="U127" i="3"/>
  <c r="U128" i="3"/>
  <c r="U120" i="3"/>
  <c r="U129" i="3"/>
  <c r="U140" i="3"/>
  <c r="U130" i="3"/>
  <c r="U136" i="3"/>
  <c r="U139" i="3"/>
  <c r="U131" i="3"/>
  <c r="U122" i="3"/>
  <c r="U132" i="3"/>
  <c r="U133" i="3"/>
  <c r="U121" i="3"/>
  <c r="U134" i="3"/>
  <c r="U142" i="3"/>
  <c r="U135" i="3"/>
  <c r="U138" i="3"/>
  <c r="U137" i="3"/>
  <c r="U141" i="3"/>
  <c r="U123" i="3"/>
  <c r="U124" i="3"/>
  <c r="U143" i="3"/>
  <c r="V57" i="3"/>
  <c r="V58" i="3"/>
  <c r="V59" i="3"/>
  <c r="V60" i="3"/>
  <c r="V50" i="3"/>
  <c r="V52" i="3"/>
  <c r="V48" i="3"/>
  <c r="V51" i="3"/>
  <c r="V49" i="3"/>
  <c r="V53" i="3"/>
  <c r="V54" i="3"/>
  <c r="V55" i="3"/>
  <c r="V56" i="3"/>
  <c r="V119" i="2"/>
  <c r="U92" i="2"/>
  <c r="U93" i="2"/>
  <c r="U94" i="2"/>
  <c r="U95" i="2"/>
  <c r="V24" i="2"/>
  <c r="V25" i="2"/>
  <c r="V26" i="2"/>
  <c r="V27" i="2"/>
  <c r="V28" i="2"/>
  <c r="V29" i="2"/>
  <c r="V30" i="2"/>
  <c r="V31" i="2"/>
  <c r="V32" i="2"/>
  <c r="U110" i="2"/>
  <c r="U102" i="2"/>
  <c r="U111" i="2"/>
  <c r="U104" i="2"/>
  <c r="U96" i="2"/>
  <c r="U105" i="2"/>
  <c r="U97" i="2"/>
  <c r="U103" i="2"/>
  <c r="U98" i="2"/>
  <c r="U106" i="2"/>
  <c r="U99" i="2"/>
  <c r="U100" i="2"/>
  <c r="U101" i="2"/>
  <c r="U107" i="2"/>
  <c r="U108" i="2"/>
  <c r="U109" i="2"/>
  <c r="V70" i="2"/>
  <c r="V71" i="2"/>
  <c r="Z31" i="2"/>
  <c r="Z32" i="2"/>
  <c r="Z25" i="2"/>
  <c r="Z24" i="2"/>
  <c r="Z26" i="2"/>
  <c r="Z27" i="2"/>
  <c r="Z28" i="2"/>
  <c r="Z30" i="2"/>
  <c r="Z29" i="2"/>
  <c r="V54" i="2"/>
  <c r="V55" i="2"/>
  <c r="V56" i="2"/>
  <c r="V57" i="2"/>
  <c r="V51" i="2"/>
  <c r="V53" i="2"/>
  <c r="V52" i="2"/>
  <c r="Z114" i="2"/>
  <c r="Z115" i="2"/>
  <c r="Z116" i="2"/>
  <c r="Z117" i="2"/>
  <c r="Z118" i="2"/>
  <c r="Z113" i="2"/>
  <c r="Z112" i="2"/>
  <c r="U117" i="2"/>
  <c r="U116" i="2"/>
  <c r="U112" i="2"/>
  <c r="U113" i="2"/>
  <c r="U118" i="2"/>
  <c r="U114" i="2"/>
  <c r="U115" i="2"/>
  <c r="Z54" i="2"/>
  <c r="Z51" i="2"/>
  <c r="Z55" i="2"/>
  <c r="Z56" i="2"/>
  <c r="Z52" i="2"/>
  <c r="Z57" i="2"/>
  <c r="Z53" i="2"/>
  <c r="U119" i="2"/>
  <c r="U45" i="2"/>
  <c r="U46" i="2"/>
  <c r="U47" i="2"/>
  <c r="U44" i="2"/>
  <c r="U48" i="2"/>
  <c r="U49" i="2"/>
  <c r="U50" i="2"/>
  <c r="V18" i="2"/>
  <c r="V12" i="2"/>
  <c r="V13" i="2"/>
  <c r="V2" i="2"/>
  <c r="V3" i="2"/>
  <c r="V14" i="2"/>
  <c r="V4" i="2"/>
  <c r="V5" i="2"/>
  <c r="V6" i="2"/>
  <c r="V11" i="2"/>
  <c r="V7" i="2"/>
  <c r="V8" i="2"/>
  <c r="V10" i="2"/>
  <c r="V9" i="2"/>
  <c r="V15" i="2"/>
  <c r="V16" i="2"/>
  <c r="V17" i="2"/>
  <c r="U24" i="2"/>
  <c r="U25" i="2"/>
  <c r="U26" i="2"/>
  <c r="U27" i="2"/>
  <c r="U28" i="2"/>
  <c r="U29" i="2"/>
  <c r="U30" i="2"/>
  <c r="U31" i="2"/>
  <c r="U32" i="2"/>
  <c r="U38" i="2"/>
  <c r="U39" i="2"/>
  <c r="U34" i="2"/>
  <c r="U40" i="2"/>
  <c r="U41" i="2"/>
  <c r="U42" i="2"/>
  <c r="U43" i="2"/>
  <c r="U33" i="2"/>
  <c r="U35" i="2"/>
  <c r="U36" i="2"/>
  <c r="U37" i="2"/>
  <c r="Z100" i="2"/>
  <c r="Z96" i="2"/>
  <c r="Z101" i="2"/>
  <c r="Z102" i="2"/>
  <c r="Z103" i="2"/>
  <c r="Z104" i="2"/>
  <c r="Z105" i="2"/>
  <c r="Z106" i="2"/>
  <c r="Z107" i="2"/>
  <c r="Z108" i="2"/>
  <c r="Z109" i="2"/>
  <c r="Z110" i="2"/>
  <c r="Z111" i="2"/>
  <c r="Z97" i="2"/>
  <c r="Z98" i="2"/>
  <c r="Z99" i="2"/>
  <c r="Z74" i="2"/>
  <c r="Z75" i="2"/>
  <c r="Z89" i="2"/>
  <c r="Z76" i="2"/>
  <c r="Z77" i="2"/>
  <c r="Z78" i="2"/>
  <c r="Z79" i="2"/>
  <c r="Z88" i="2"/>
  <c r="Z80" i="2"/>
  <c r="Z90" i="2"/>
  <c r="Z81" i="2"/>
  <c r="Z82" i="2"/>
  <c r="Z86" i="2"/>
  <c r="Z87" i="2"/>
  <c r="Z83" i="2"/>
  <c r="Z84" i="2"/>
  <c r="Z85" i="2"/>
  <c r="Z91" i="2"/>
  <c r="Z72" i="2"/>
  <c r="Z73" i="2"/>
  <c r="U16" i="2"/>
  <c r="U17" i="2"/>
  <c r="U18" i="2"/>
  <c r="U10" i="2"/>
  <c r="U11" i="2"/>
  <c r="U12" i="2"/>
  <c r="U2" i="2"/>
  <c r="U3" i="2"/>
  <c r="U4" i="2"/>
  <c r="U9" i="2"/>
  <c r="U5" i="2"/>
  <c r="U6" i="2"/>
  <c r="U8" i="2"/>
  <c r="U7" i="2"/>
  <c r="U13" i="2"/>
  <c r="U14" i="2"/>
  <c r="U15" i="2"/>
  <c r="Z70" i="2"/>
  <c r="Z71" i="2"/>
  <c r="U70" i="2"/>
  <c r="U71" i="2"/>
  <c r="Z41" i="2"/>
  <c r="Z40" i="2"/>
  <c r="Z33" i="2"/>
  <c r="Z34" i="2"/>
  <c r="Z43" i="2"/>
  <c r="Z35" i="2"/>
  <c r="Z36" i="2"/>
  <c r="Z37" i="2"/>
  <c r="Z38" i="2"/>
  <c r="Z42" i="2"/>
  <c r="Z39" i="2"/>
  <c r="U67" i="2"/>
  <c r="U68" i="2"/>
  <c r="U59" i="2"/>
  <c r="U69" i="2"/>
  <c r="U60" i="2"/>
  <c r="U62" i="2"/>
  <c r="U63" i="2"/>
  <c r="U61" i="2"/>
  <c r="U58" i="2"/>
  <c r="U64" i="2"/>
  <c r="U65" i="2"/>
  <c r="U66" i="2"/>
  <c r="V19" i="2"/>
  <c r="V20" i="2"/>
  <c r="V21" i="2"/>
  <c r="V22" i="2"/>
  <c r="V23" i="2"/>
  <c r="V86" i="2"/>
  <c r="V79" i="2"/>
  <c r="V82" i="2"/>
  <c r="V87" i="2"/>
  <c r="V80" i="2"/>
  <c r="V88" i="2"/>
  <c r="V89" i="2"/>
  <c r="V90" i="2"/>
  <c r="V91" i="2"/>
  <c r="V72" i="2"/>
  <c r="V73" i="2"/>
  <c r="V78" i="2"/>
  <c r="V74" i="2"/>
  <c r="V75" i="2"/>
  <c r="V81" i="2"/>
  <c r="V76" i="2"/>
  <c r="V77" i="2"/>
  <c r="V83" i="2"/>
  <c r="V84" i="2"/>
  <c r="V85" i="2"/>
  <c r="Z44" i="2"/>
  <c r="Z45" i="2"/>
  <c r="Z46" i="2"/>
  <c r="Z47" i="2"/>
  <c r="Z48" i="2"/>
  <c r="Z49" i="2"/>
  <c r="Z50" i="2"/>
  <c r="Z6" i="2"/>
  <c r="Z7" i="2"/>
  <c r="Z8" i="2"/>
  <c r="Z9" i="2"/>
  <c r="Z10" i="2"/>
  <c r="Z11" i="2"/>
  <c r="Z12" i="2"/>
  <c r="Z13" i="2"/>
  <c r="Z2" i="2"/>
  <c r="Z14" i="2"/>
  <c r="Z15" i="2"/>
  <c r="Z18" i="2"/>
  <c r="Z16" i="2"/>
  <c r="Z17" i="2"/>
  <c r="Z3" i="2"/>
  <c r="Z4" i="2"/>
  <c r="Z5" i="2"/>
  <c r="V40" i="2"/>
  <c r="V35" i="2"/>
  <c r="V41" i="2"/>
  <c r="V33" i="2"/>
  <c r="V42" i="2"/>
  <c r="V43" i="2"/>
  <c r="V34" i="2"/>
  <c r="V36" i="2"/>
  <c r="V37" i="2"/>
  <c r="V39" i="2"/>
  <c r="V38" i="2"/>
  <c r="V92" i="2"/>
  <c r="V93" i="2"/>
  <c r="V94" i="2"/>
  <c r="V95" i="2"/>
  <c r="V48" i="2"/>
  <c r="V49" i="2"/>
  <c r="V50" i="2"/>
  <c r="V46" i="2"/>
  <c r="V44" i="2"/>
  <c r="V45" i="2"/>
  <c r="V47" i="2"/>
  <c r="U19" i="2"/>
  <c r="U20" i="2"/>
  <c r="U21" i="2"/>
  <c r="U22" i="2"/>
  <c r="U23" i="2"/>
  <c r="Z58" i="2"/>
  <c r="Z59" i="2"/>
  <c r="Z60" i="2"/>
  <c r="Z61" i="2"/>
  <c r="Z62" i="2"/>
  <c r="Z63" i="2"/>
  <c r="Z64" i="2"/>
  <c r="Z65" i="2"/>
  <c r="Z66" i="2"/>
  <c r="Z67" i="2"/>
  <c r="Z68" i="2"/>
  <c r="Z69" i="2"/>
  <c r="Z21" i="2"/>
  <c r="Z22" i="2"/>
  <c r="Z19" i="2"/>
  <c r="Z20" i="2"/>
  <c r="Z23" i="2"/>
  <c r="U52" i="2"/>
  <c r="U53" i="2"/>
  <c r="U54" i="2"/>
  <c r="U55" i="2"/>
  <c r="U56" i="2"/>
  <c r="U57" i="2"/>
  <c r="U51" i="2"/>
  <c r="V112" i="2"/>
  <c r="V113" i="2"/>
  <c r="V114" i="2"/>
  <c r="V118" i="2"/>
  <c r="V115" i="2"/>
  <c r="V116" i="2"/>
  <c r="V117" i="2"/>
  <c r="Z95" i="2"/>
  <c r="Z94" i="2"/>
  <c r="Z92" i="2"/>
  <c r="Z93" i="2"/>
  <c r="U84" i="2"/>
  <c r="U80" i="2"/>
  <c r="U85" i="2"/>
  <c r="U86" i="2"/>
  <c r="U87" i="2"/>
  <c r="U88" i="2"/>
  <c r="U89" i="2"/>
  <c r="U90" i="2"/>
  <c r="U91" i="2"/>
  <c r="U78" i="2"/>
  <c r="U72" i="2"/>
  <c r="U73" i="2"/>
  <c r="U77" i="2"/>
  <c r="U79" i="2"/>
  <c r="U74" i="2"/>
  <c r="U75" i="2"/>
  <c r="U76" i="2"/>
  <c r="U81" i="2"/>
  <c r="U82" i="2"/>
  <c r="U83" i="2"/>
  <c r="V96" i="2"/>
  <c r="V97" i="2"/>
  <c r="V105" i="2"/>
  <c r="V107" i="2"/>
  <c r="V98" i="2"/>
  <c r="V106" i="2"/>
  <c r="V99" i="2"/>
  <c r="V100" i="2"/>
  <c r="V101" i="2"/>
  <c r="V102" i="2"/>
  <c r="V104" i="2"/>
  <c r="V108" i="2"/>
  <c r="V103" i="2"/>
  <c r="V109" i="2"/>
  <c r="V110" i="2"/>
  <c r="V111" i="2"/>
  <c r="V69" i="2"/>
  <c r="V61" i="2"/>
  <c r="V62" i="2"/>
  <c r="V58" i="2"/>
  <c r="V59" i="2"/>
  <c r="V63" i="2"/>
  <c r="V60" i="2"/>
  <c r="V64" i="2"/>
  <c r="V65" i="2"/>
  <c r="V66" i="2"/>
  <c r="V67" i="2"/>
  <c r="V68" i="2"/>
  <c r="A9" i="11" l="1" a="1"/>
  <c r="A9" i="12" a="1"/>
  <c r="A6" i="12" s="1"/>
  <c r="A9" i="9" a="1"/>
  <c r="T10" i="9" l="1"/>
  <c r="T14" i="9"/>
  <c r="T11" i="9"/>
  <c r="T12" i="9"/>
  <c r="T13" i="9"/>
  <c r="T15" i="9"/>
  <c r="T17" i="9"/>
  <c r="T16" i="9"/>
  <c r="T18" i="9"/>
  <c r="A6" i="11"/>
  <c r="T21" i="11"/>
  <c r="T22" i="11"/>
  <c r="T23" i="11"/>
  <c r="T14" i="11"/>
  <c r="T15" i="11"/>
  <c r="T16" i="11"/>
  <c r="T24" i="11"/>
  <c r="T19" i="11"/>
  <c r="T20" i="11"/>
  <c r="T10" i="11"/>
  <c r="T11" i="11"/>
  <c r="T17" i="11"/>
  <c r="T18" i="11"/>
  <c r="T12" i="11"/>
  <c r="T13" i="11"/>
  <c r="A9" i="11"/>
  <c r="T9" i="11" s="1"/>
  <c r="A9" i="12"/>
  <c r="T9" i="12" s="1"/>
  <c r="A9" i="9"/>
  <c r="T9" i="9" s="1"/>
  <c r="A6" i="9"/>
  <c r="T2" i="12" l="1"/>
  <c r="T2" i="11"/>
  <c r="T2" i="9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02F7248-1599-41F5-872F-43DE63CC1D80}" keepAlive="1" name="Query - A/E LB" description="Connection to the 'A/E LB' query in the workbook." type="5" refreshedVersion="0" background="1">
    <dbPr connection="Provider=Microsoft.Mashup.OleDb.1;Data Source=$Workbook$;Location=&quot;A/E LB&quot;;Extended Properties=&quot;&quot;" command="SELECT * FROM [A/E LB]"/>
  </connection>
  <connection id="2" xr16:uid="{7352744C-3CD2-4A55-B1D1-F2A3A752D6CA}" keepAlive="1" name="Query - A/E UB" description="Connection to the 'A/E UB' query in the workbook." type="5" refreshedVersion="0" background="1">
    <dbPr connection="Provider=Microsoft.Mashup.OleDb.1;Data Source=$Workbook$;Location=&quot;A/E UB&quot;;Extended Properties=&quot;&quot;" command="SELECT * FROM [A/E UB]"/>
  </connection>
  <connection id="3" xr16:uid="{89E07994-A6AF-4E49-BF23-AB2D4F2C2578}" keepAlive="1" name="Query - Current Price" description="Connection to the 'Current Price' query in the workbook." type="5" refreshedVersion="0" background="1">
    <dbPr connection="Provider=Microsoft.Mashup.OleDb.1;Data Source=$Workbook$;Location=&quot;Current Price&quot;;Extended Properties=&quot;&quot;" command="SELECT * FROM [Current Price]"/>
  </connection>
  <connection id="4" xr16:uid="{A5FD463A-200B-46E1-B0FD-2D544A6B5774}" keepAlive="1" name="Query - FileName" description="Connection to the 'FileName' query in the workbook." type="5" refreshedVersion="0" background="1">
    <dbPr connection="Provider=Microsoft.Mashup.OleDb.1;Data Source=$Workbook$;Location=FileName;Extended Properties=&quot;&quot;" command="SELECT * FROM [FileName]"/>
  </connection>
  <connection id="5" xr16:uid="{8F6414D8-7688-4127-BBA8-BDE875D0FCCC}" keepAlive="1" name="Query - L_A/E Q1" description="Connection to the 'L_A/E Q1' query in the workbook." type="5" refreshedVersion="0" background="1">
    <dbPr connection="Provider=Microsoft.Mashup.OleDb.1;Data Source=$Workbook$;Location=&quot;L_A/E Q1&quot;;Extended Properties=&quot;&quot;" command="SELECT * FROM [L_A/E Q1]"/>
  </connection>
  <connection id="6" xr16:uid="{8F5D3B78-38BC-4BAE-80C9-222CAF869EC0}" keepAlive="1" name="Query - L_A/E Q3" description="Connection to the 'L_A/E Q3' query in the workbook." type="5" refreshedVersion="0" background="1">
    <dbPr connection="Provider=Microsoft.Mashup.OleDb.1;Data Source=$Workbook$;Location=&quot;L_A/E Q3&quot;;Extended Properties=&quot;&quot;" command="SELECT * FROM [L_A/E Q3]"/>
  </connection>
  <connection id="7" xr16:uid="{7976D156-18D1-4D9E-AF90-F491B65081EB}" keepAlive="1" name="Query - L_P/B Q1" description="Connection to the 'L_P/B Q1' query in the workbook." type="5" refreshedVersion="0" background="1">
    <dbPr connection="Provider=Microsoft.Mashup.OleDb.1;Data Source=$Workbook$;Location=&quot;L_P/B Q1&quot;;Extended Properties=&quot;&quot;" command="SELECT * FROM [L_P/B Q1]"/>
  </connection>
  <connection id="8" xr16:uid="{AF37842F-8AC7-44A6-9E85-DA45C4E89B77}" keepAlive="1" name="Query - L_P/B Q3" description="Connection to the 'L_P/B Q3' query in the workbook." type="5" refreshedVersion="0" background="1">
    <dbPr connection="Provider=Microsoft.Mashup.OleDb.1;Data Source=$Workbook$;Location=&quot;L_P/B Q3&quot;;Extended Properties=&quot;&quot;" command="SELECT * FROM [L_P/B Q3]"/>
  </connection>
  <connection id="9" xr16:uid="{DC2C7C9A-B063-413D-88A4-5569D5BA1EC0}" keepAlive="1" name="Query - L_P/E Q1" description="Connection to the 'L_P/E Q1' query in the workbook." type="5" refreshedVersion="0" background="1">
    <dbPr connection="Provider=Microsoft.Mashup.OleDb.1;Data Source=$Workbook$;Location=&quot;L_P/E Q1&quot;;Extended Properties=&quot;&quot;" command="SELECT * FROM [L_P/E Q1]"/>
  </connection>
  <connection id="10" xr16:uid="{AC603448-C045-49E0-A887-F24B829281E0}" keepAlive="1" name="Query - L_P/E Q3" description="Connection to the 'L_P/E Q3' query in the workbook." type="5" refreshedVersion="0" background="1">
    <dbPr connection="Provider=Microsoft.Mashup.OleDb.1;Data Source=$Workbook$;Location=&quot;L_P/E Q3&quot;;Extended Properties=&quot;&quot;" command="SELECT * FROM [L_P/E Q3]"/>
  </connection>
  <connection id="11" xr16:uid="{7EF7D169-7C60-4FA6-8C8C-4FC0B5A7D8EF}" keepAlive="1" name="Query - L_P/FCF Q1" description="Connection to the 'L_P/FCF Q1' query in the workbook." type="5" refreshedVersion="0" background="1">
    <dbPr connection="Provider=Microsoft.Mashup.OleDb.1;Data Source=$Workbook$;Location=&quot;L_P/FCF Q1&quot;;Extended Properties=&quot;&quot;" command="SELECT * FROM [L_P/FCF Q1]"/>
  </connection>
  <connection id="12" xr16:uid="{53300647-8231-438B-A2B5-452EF55DC44C}" keepAlive="1" name="Query - L_P/FCF Q3" description="Connection to the 'L_P/FCF Q3' query in the workbook." type="5" refreshedVersion="0" background="1">
    <dbPr connection="Provider=Microsoft.Mashup.OleDb.1;Data Source=$Workbook$;Location=&quot;L_P/FCF Q3&quot;;Extended Properties=&quot;&quot;" command="SELECT * FROM [L_P/FCF Q3]"/>
  </connection>
  <connection id="13" xr16:uid="{C0006842-4341-4B5D-A500-4292508822B7}" keepAlive="1" name="Query - L_ROA Q1" description="Connection to the 'L_ROA Q1' query in the workbook." type="5" refreshedVersion="0" background="1">
    <dbPr connection="Provider=Microsoft.Mashup.OleDb.1;Data Source=$Workbook$;Location=&quot;L_ROA Q1&quot;;Extended Properties=&quot;&quot;" command="SELECT * FROM [L_ROA Q1]"/>
  </connection>
  <connection id="14" xr16:uid="{9185592E-90EB-462B-B18D-4A6073DF275B}" keepAlive="1" name="Query - L_ROA Q3" description="Connection to the 'L_ROA Q3' query in the workbook." type="5" refreshedVersion="0" background="1">
    <dbPr connection="Provider=Microsoft.Mashup.OleDb.1;Data Source=$Workbook$;Location=&quot;L_ROA Q3&quot;;Extended Properties=&quot;&quot;" command="SELECT * FROM [L_ROA Q3]"/>
  </connection>
  <connection id="15" xr16:uid="{BD9F7199-0EF4-4E9D-A19E-B37DF6C44251}" keepAlive="1" name="Query - L_ROE Q1" description="Connection to the 'L_ROE Q1' query in the workbook." type="5" refreshedVersion="0" background="1">
    <dbPr connection="Provider=Microsoft.Mashup.OleDb.1;Data Source=$Workbook$;Location=&quot;L_ROE Q1&quot;;Extended Properties=&quot;&quot;" command="SELECT * FROM [L_ROE Q1]"/>
  </connection>
  <connection id="16" xr16:uid="{64EE08C2-B107-4DC0-AFA5-46467F57F013}" keepAlive="1" name="Query - L_ROE Q3" description="Connection to the 'L_ROE Q3' query in the workbook." type="5" refreshedVersion="0" background="1">
    <dbPr connection="Provider=Microsoft.Mashup.OleDb.1;Data Source=$Workbook$;Location=&quot;L_ROE Q3&quot;;Extended Properties=&quot;&quot;" command="SELECT * FROM [L_ROE Q3]"/>
  </connection>
  <connection id="17" xr16:uid="{5AA9ED2A-89CA-4A05-92A9-127940BE4365}" keepAlive="1" name="Query - M_A/E Q1" description="Connection to the 'M_A/E Q1' query in the workbook." type="5" refreshedVersion="0" background="1">
    <dbPr connection="Provider=Microsoft.Mashup.OleDb.1;Data Source=$Workbook$;Location=&quot;M_A/E Q1&quot;;Extended Properties=&quot;&quot;" command="SELECT * FROM [M_A/E Q1]"/>
  </connection>
  <connection id="18" xr16:uid="{7500DFAD-DAEA-419D-B8B3-E17191EFB922}" keepAlive="1" name="Query - M_A/E Q3" description="Connection to the 'M_A/E Q3' query in the workbook." type="5" refreshedVersion="0" background="1">
    <dbPr connection="Provider=Microsoft.Mashup.OleDb.1;Data Source=$Workbook$;Location=&quot;M_A/E Q3&quot;;Extended Properties=&quot;&quot;" command="SELECT * FROM [M_A/E Q3]"/>
  </connection>
  <connection id="19" xr16:uid="{12B254E2-FDD0-4672-A591-AD373AE577AA}" keepAlive="1" name="Query - M_P/B Q1" description="Connection to the 'M_P/B Q1' query in the workbook." type="5" refreshedVersion="0" background="1">
    <dbPr connection="Provider=Microsoft.Mashup.OleDb.1;Data Source=$Workbook$;Location=&quot;M_P/B Q1&quot;;Extended Properties=&quot;&quot;" command="SELECT * FROM [M_P/B Q1]"/>
  </connection>
  <connection id="20" xr16:uid="{A8F557FB-E157-4CAC-8226-2A3BE2290F29}" keepAlive="1" name="Query - M_P/B Q3" description="Connection to the 'M_P/B Q3' query in the workbook." type="5" refreshedVersion="0" background="1">
    <dbPr connection="Provider=Microsoft.Mashup.OleDb.1;Data Source=$Workbook$;Location=&quot;M_P/B Q3&quot;;Extended Properties=&quot;&quot;" command="SELECT * FROM [M_P/B Q3]"/>
  </connection>
  <connection id="21" xr16:uid="{D1FDE65E-6399-471C-AC76-D64BD746D229}" keepAlive="1" name="Query - M_P/E Q1" description="Connection to the 'M_P/E Q1' query in the workbook." type="5" refreshedVersion="0" background="1">
    <dbPr connection="Provider=Microsoft.Mashup.OleDb.1;Data Source=$Workbook$;Location=&quot;M_P/E Q1&quot;;Extended Properties=&quot;&quot;" command="SELECT * FROM [M_P/E Q1]"/>
  </connection>
  <connection id="22" xr16:uid="{310C80E6-69BE-4890-AA29-B2C576B782E2}" keepAlive="1" name="Query - M_P/E Q3" description="Connection to the 'M_P/E Q3' query in the workbook." type="5" refreshedVersion="0" background="1">
    <dbPr connection="Provider=Microsoft.Mashup.OleDb.1;Data Source=$Workbook$;Location=&quot;M_P/E Q3&quot;;Extended Properties=&quot;&quot;" command="SELECT * FROM [M_P/E Q3]"/>
  </connection>
  <connection id="23" xr16:uid="{12F6CADF-8BF7-4296-BE2F-FC551CF42082}" keepAlive="1" name="Query - M_P/FCF Q1" description="Connection to the 'M_P/FCF Q1' query in the workbook." type="5" refreshedVersion="0" background="1">
    <dbPr connection="Provider=Microsoft.Mashup.OleDb.1;Data Source=$Workbook$;Location=&quot;M_P/FCF Q1&quot;;Extended Properties=&quot;&quot;" command="SELECT * FROM [M_P/FCF Q1]"/>
  </connection>
  <connection id="24" xr16:uid="{A273217E-82A6-4C1C-9E5B-9758866AFC05}" keepAlive="1" name="Query - M_P/FCF Q3" description="Connection to the 'M_P/FCF Q3' query in the workbook." type="5" refreshedVersion="0" background="1">
    <dbPr connection="Provider=Microsoft.Mashup.OleDb.1;Data Source=$Workbook$;Location=&quot;M_P/FCF Q3&quot;;Extended Properties=&quot;&quot;" command="SELECT * FROM [M_P/FCF Q3]"/>
  </connection>
  <connection id="25" xr16:uid="{A961C549-E9F2-4582-AD90-542B8A2DF8D6}" keepAlive="1" name="Query - M_ROA Q1" description="Connection to the 'M_ROA Q1' query in the workbook." type="5" refreshedVersion="0" background="1">
    <dbPr connection="Provider=Microsoft.Mashup.OleDb.1;Data Source=$Workbook$;Location=&quot;M_ROA Q1&quot;;Extended Properties=&quot;&quot;" command="SELECT * FROM [M_ROA Q1]"/>
  </connection>
  <connection id="26" xr16:uid="{F84929B3-3245-40ED-A522-C32C272E21C2}" keepAlive="1" name="Query - M_ROA Q3" description="Connection to the 'M_ROA Q3' query in the workbook." type="5" refreshedVersion="0" background="1">
    <dbPr connection="Provider=Microsoft.Mashup.OleDb.1;Data Source=$Workbook$;Location=&quot;M_ROA Q3&quot;;Extended Properties=&quot;&quot;" command="SELECT * FROM [M_ROA Q3]"/>
  </connection>
  <connection id="27" xr16:uid="{C8B04757-CC02-449A-A17B-92B2333219DD}" keepAlive="1" name="Query - M_ROE Q1" description="Connection to the 'M_ROE Q1' query in the workbook." type="5" refreshedVersion="0" background="1">
    <dbPr connection="Provider=Microsoft.Mashup.OleDb.1;Data Source=$Workbook$;Location=&quot;M_ROE Q1&quot;;Extended Properties=&quot;&quot;" command="SELECT * FROM [M_ROE Q1]"/>
  </connection>
  <connection id="28" xr16:uid="{E914265A-F3A6-4877-BFFE-EAB75F4385E6}" keepAlive="1" name="Query - M_ROE Q3" description="Connection to the 'M_ROE Q3' query in the workbook." type="5" refreshedVersion="0" background="1">
    <dbPr connection="Provider=Microsoft.Mashup.OleDb.1;Data Source=$Workbook$;Location=&quot;M_ROE Q3&quot;;Extended Properties=&quot;&quot;" command="SELECT * FROM [M_ROE Q3]"/>
  </connection>
  <connection id="29" xr16:uid="{CDE2AB40-03BB-4E85-A364-BE7158498E57}" keepAlive="1" name="Query - Main_L" description="Connection to the 'Main_L' query in the workbook." type="5" refreshedVersion="8" background="1" saveData="1">
    <dbPr connection="Provider=Microsoft.Mashup.OleDb.1;Data Source=$Workbook$;Location=Main_L;Extended Properties=&quot;&quot;" command="SELECT * FROM [Main_L]"/>
  </connection>
  <connection id="30" xr16:uid="{92827891-F650-4461-969A-5281B14CC67C}" keepAlive="1" name="Query - Main_M" description="Connection to the 'Main_M' query in the workbook." type="5" refreshedVersion="8" background="1" saveData="1">
    <dbPr connection="Provider=Microsoft.Mashup.OleDb.1;Data Source=$Workbook$;Location=Main_M;Extended Properties=&quot;&quot;" command="SELECT * FROM [Main_M]"/>
  </connection>
  <connection id="31" xr16:uid="{AE4AC620-A60D-4667-B234-1492FA4F9C44}" keepAlive="1" name="Query - Main_S" description="Connection to the 'Main_S' query in the workbook." type="5" refreshedVersion="8" background="1" saveData="1">
    <dbPr connection="Provider=Microsoft.Mashup.OleDb.1;Data Source=$Workbook$;Location=Main_S;Extended Properties=&quot;&quot;" command="SELECT * FROM [Main_S]"/>
  </connection>
  <connection id="32" xr16:uid="{627BF07A-2AE9-4599-9B72-75AB04F6D252}" keepAlive="1" name="Query - P/B" description="Connection to the 'P/B' query in the workbook." type="5" refreshedVersion="0" background="1">
    <dbPr connection="Provider=Microsoft.Mashup.OleDb.1;Data Source=$Workbook$;Location=P/B;Extended Properties=&quot;&quot;" command="SELECT * FROM [P/B]"/>
  </connection>
  <connection id="33" xr16:uid="{E4BA60D9-BFC8-401B-B0A1-EF441CB7E867}" keepAlive="1" name="Query - P/B LB" description="Connection to the 'P/B LB' query in the workbook." type="5" refreshedVersion="0" background="1">
    <dbPr connection="Provider=Microsoft.Mashup.OleDb.1;Data Source=$Workbook$;Location=&quot;P/B LB&quot;;Extended Properties=&quot;&quot;" command="SELECT * FROM [P/B LB]"/>
  </connection>
  <connection id="34" xr16:uid="{D446C18C-F5FB-4931-9D08-9460AB87F88D}" keepAlive="1" name="Query - P/B UB" description="Connection to the 'P/B UB' query in the workbook." type="5" refreshedVersion="0" background="1">
    <dbPr connection="Provider=Microsoft.Mashup.OleDb.1;Data Source=$Workbook$;Location=&quot;P/B UB&quot;;Extended Properties=&quot;&quot;" command="SELECT * FROM [P/B UB]"/>
  </connection>
  <connection id="35" xr16:uid="{54E51695-4AC3-42F6-A71C-6D5C0B94366D}" keepAlive="1" name="Query - P/E" description="Connection to the 'P/E' query in the workbook." type="5" refreshedVersion="0" background="1">
    <dbPr connection="Provider=Microsoft.Mashup.OleDb.1;Data Source=$Workbook$;Location=P/E;Extended Properties=&quot;&quot;" command="SELECT * FROM [P/E]"/>
  </connection>
  <connection id="36" xr16:uid="{E1D25C74-8E63-475D-AEB0-3EF1CBA274F2}" keepAlive="1" name="Query - P/E LB" description="Connection to the 'P/E LB' query in the workbook." type="5" refreshedVersion="0" background="1">
    <dbPr connection="Provider=Microsoft.Mashup.OleDb.1;Data Source=$Workbook$;Location=&quot;P/E LB&quot;;Extended Properties=&quot;&quot;" command="SELECT * FROM [P/E LB]"/>
  </connection>
  <connection id="37" xr16:uid="{FF5E838B-CEA1-42F7-AE46-37297C47D203}" keepAlive="1" name="Query - P/E UB" description="Connection to the 'P/E UB' query in the workbook." type="5" refreshedVersion="0" background="1">
    <dbPr connection="Provider=Microsoft.Mashup.OleDb.1;Data Source=$Workbook$;Location=&quot;P/E UB&quot;;Extended Properties=&quot;&quot;" command="SELECT * FROM [P/E UB]"/>
  </connection>
  <connection id="38" xr16:uid="{6DD17A4C-9203-4DAC-B3F1-5BE914B61962}" keepAlive="1" name="Query - P/FCF" description="Connection to the 'P/FCF' query in the workbook." type="5" refreshedVersion="0" background="1">
    <dbPr connection="Provider=Microsoft.Mashup.OleDb.1;Data Source=$Workbook$;Location=P/FCF;Extended Properties=&quot;&quot;" command="SELECT * FROM [P/FCF]"/>
  </connection>
  <connection id="39" xr16:uid="{ED1BC823-1B10-4015-8C9B-4026B498C8E4}" keepAlive="1" name="Query - P/FCF LB" description="Connection to the 'P/FCF LB' query in the workbook." type="5" refreshedVersion="0" background="1">
    <dbPr connection="Provider=Microsoft.Mashup.OleDb.1;Data Source=$Workbook$;Location=&quot;P/FCF LB&quot;;Extended Properties=&quot;&quot;" command="SELECT * FROM [P/FCF LB]"/>
  </connection>
  <connection id="40" xr16:uid="{77F87E7C-4F98-4E55-8BC1-D73052D39933}" keepAlive="1" name="Query - P/FCF UB" description="Connection to the 'P/FCF UB' query in the workbook." type="5" refreshedVersion="0" background="1">
    <dbPr connection="Provider=Microsoft.Mashup.OleDb.1;Data Source=$Workbook$;Location=&quot;P/FCF UB&quot;;Extended Properties=&quot;&quot;" command="SELECT * FROM [P/FCF UB]"/>
  </connection>
  <connection id="41" xr16:uid="{825B6038-9066-46FB-97C2-7511C1C36627}" keepAlive="1" name="Query - Quartile_L" description="Connection to the 'Quartile_L' query in the workbook." type="5" refreshedVersion="8" background="1" saveData="1">
    <dbPr connection="Provider=Microsoft.Mashup.OleDb.1;Data Source=$Workbook$;Location=Quartile_L;Extended Properties=&quot;&quot;" command="SELECT * FROM [Quartile_L]"/>
  </connection>
  <connection id="42" xr16:uid="{BC12B107-1C9F-443C-9878-4391CA921439}" keepAlive="1" name="Query - Quartile_M" description="Connection to the 'Quartile_M' query in the workbook." type="5" refreshedVersion="8" background="1" saveData="1">
    <dbPr connection="Provider=Microsoft.Mashup.OleDb.1;Data Source=$Workbook$;Location=Quartile_M;Extended Properties=&quot;&quot;" command="SELECT * FROM [Quartile_M]"/>
  </connection>
  <connection id="43" xr16:uid="{0BAC9000-D3DC-468C-84BE-9876AD7DC20E}" keepAlive="1" name="Query - Quartile_S" description="Connection to the 'Quartile_S' query in the workbook." type="5" refreshedVersion="8" background="1" saveData="1">
    <dbPr connection="Provider=Microsoft.Mashup.OleDb.1;Data Source=$Workbook$;Location=Quartile_S;Extended Properties=&quot;&quot;" command="SELECT * FROM [Quartile_S]"/>
  </connection>
  <connection id="44" xr16:uid="{32A4EE5B-8ECE-47ED-A25E-516D8F1963E0}" keepAlive="1" name="Query - ROA LB" description="Connection to the 'ROA LB' query in the workbook." type="5" refreshedVersion="0" background="1">
    <dbPr connection="Provider=Microsoft.Mashup.OleDb.1;Data Source=$Workbook$;Location=&quot;ROA LB&quot;;Extended Properties=&quot;&quot;" command="SELECT * FROM [ROA LB]"/>
  </connection>
  <connection id="45" xr16:uid="{3CB1A2E7-29EF-463B-9B8F-50B9BB799DF9}" keepAlive="1" name="Query - ROA UB" description="Connection to the 'ROA UB' query in the workbook." type="5" refreshedVersion="0" background="1">
    <dbPr connection="Provider=Microsoft.Mashup.OleDb.1;Data Source=$Workbook$;Location=&quot;ROA UB&quot;;Extended Properties=&quot;&quot;" command="SELECT * FROM [ROA UB]"/>
  </connection>
  <connection id="46" xr16:uid="{259AC3C8-A1E8-4A93-8DC7-A79DC2446E18}" keepAlive="1" name="Query - ROE LB" description="Connection to the 'ROE LB' query in the workbook." type="5" refreshedVersion="0" background="1">
    <dbPr connection="Provider=Microsoft.Mashup.OleDb.1;Data Source=$Workbook$;Location=&quot;ROE LB&quot;;Extended Properties=&quot;&quot;" command="SELECT * FROM [ROE LB]"/>
  </connection>
  <connection id="47" xr16:uid="{3354C7C5-E00D-4F96-8A48-30E7BB6E3B52}" keepAlive="1" name="Query - ROE UB" description="Connection to the 'ROE UB' query in the workbook." type="5" refreshedVersion="0" background="1">
    <dbPr connection="Provider=Microsoft.Mashup.OleDb.1;Data Source=$Workbook$;Location=&quot;ROE UB&quot;;Extended Properties=&quot;&quot;" command="SELECT * FROM [ROE UB]"/>
  </connection>
  <connection id="48" xr16:uid="{6AA428F4-DCB2-4249-8244-34CC930F360F}" keepAlive="1" name="Query - S_A/E Q1" description="Connection to the 'S_A/E Q1' query in the workbook." type="5" refreshedVersion="0" background="1">
    <dbPr connection="Provider=Microsoft.Mashup.OleDb.1;Data Source=$Workbook$;Location=&quot;S_A/E Q1&quot;;Extended Properties=&quot;&quot;" command="SELECT * FROM [S_A/E Q1]"/>
  </connection>
  <connection id="49" xr16:uid="{F329DF8A-065D-44EF-A2F0-DCA45E926EEF}" keepAlive="1" name="Query - S_A/E Q3" description="Connection to the 'S_A/E Q3' query in the workbook." type="5" refreshedVersion="0" background="1">
    <dbPr connection="Provider=Microsoft.Mashup.OleDb.1;Data Source=$Workbook$;Location=&quot;S_A/E Q3&quot;;Extended Properties=&quot;&quot;" command="SELECT * FROM [S_A/E Q3]"/>
  </connection>
  <connection id="50" xr16:uid="{DF16565B-3E7C-4861-8F2C-973CEF0B4115}" keepAlive="1" name="Query - S_P/B Q1" description="Connection to the 'S_P/B Q1' query in the workbook." type="5" refreshedVersion="0" background="1">
    <dbPr connection="Provider=Microsoft.Mashup.OleDb.1;Data Source=$Workbook$;Location=&quot;S_P/B Q1&quot;;Extended Properties=&quot;&quot;" command="SELECT * FROM [S_P/B Q1]"/>
  </connection>
  <connection id="51" xr16:uid="{278FB231-D87C-4E37-A358-3EBAC32E8893}" keepAlive="1" name="Query - S_P/B Q3" description="Connection to the 'S_P/B Q3' query in the workbook." type="5" refreshedVersion="0" background="1">
    <dbPr connection="Provider=Microsoft.Mashup.OleDb.1;Data Source=$Workbook$;Location=&quot;S_P/B Q3&quot;;Extended Properties=&quot;&quot;" command="SELECT * FROM [S_P/B Q3]"/>
  </connection>
  <connection id="52" xr16:uid="{D7EDA865-E03C-45AF-800C-ABF1A6910F71}" keepAlive="1" name="Query - S_P/E Q1" description="Connection to the 'S_P/E Q1' query in the workbook." type="5" refreshedVersion="0" background="1">
    <dbPr connection="Provider=Microsoft.Mashup.OleDb.1;Data Source=$Workbook$;Location=&quot;S_P/E Q1&quot;;Extended Properties=&quot;&quot;" command="SELECT * FROM [S_P/E Q1]"/>
  </connection>
  <connection id="53" xr16:uid="{8FD3B37C-F51A-4D18-B833-FCD1ABE6B024}" keepAlive="1" name="Query - S_P/E Q3" description="Connection to the 'S_P/E Q3' query in the workbook." type="5" refreshedVersion="0" background="1">
    <dbPr connection="Provider=Microsoft.Mashup.OleDb.1;Data Source=$Workbook$;Location=&quot;S_P/E Q3&quot;;Extended Properties=&quot;&quot;" command="SELECT * FROM [S_P/E Q3]"/>
  </connection>
  <connection id="54" xr16:uid="{952CB9AB-E981-4AF7-AEA1-CA6F2A1AFC42}" keepAlive="1" name="Query - S_P/FCF Q1" description="Connection to the 'S_P/FCF Q1' query in the workbook." type="5" refreshedVersion="0" background="1">
    <dbPr connection="Provider=Microsoft.Mashup.OleDb.1;Data Source=$Workbook$;Location=&quot;S_P/FCF Q1&quot;;Extended Properties=&quot;&quot;" command="SELECT * FROM [S_P/FCF Q1]"/>
  </connection>
  <connection id="55" xr16:uid="{D8F6EC2D-76DE-48E3-B762-4DC4E07D15FD}" keepAlive="1" name="Query - S_P/FCF Q3" description="Connection to the 'S_P/FCF Q3' query in the workbook." type="5" refreshedVersion="0" background="1">
    <dbPr connection="Provider=Microsoft.Mashup.OleDb.1;Data Source=$Workbook$;Location=&quot;S_P/FCF Q3&quot;;Extended Properties=&quot;&quot;" command="SELECT * FROM [S_P/FCF Q3]"/>
  </connection>
  <connection id="56" xr16:uid="{811EE5D1-4D19-40D7-A8CD-93B62064D851}" keepAlive="1" name="Query - S_ROA Q1" description="Connection to the 'S_ROA Q1' query in the workbook." type="5" refreshedVersion="0" background="1">
    <dbPr connection="Provider=Microsoft.Mashup.OleDb.1;Data Source=$Workbook$;Location=&quot;S_ROA Q1&quot;;Extended Properties=&quot;&quot;" command="SELECT * FROM [S_ROA Q1]"/>
  </connection>
  <connection id="57" xr16:uid="{34B3F74D-F492-4853-8143-8CCE93981422}" keepAlive="1" name="Query - S_ROA Q3" description="Connection to the 'S_ROA Q3' query in the workbook." type="5" refreshedVersion="0" background="1">
    <dbPr connection="Provider=Microsoft.Mashup.OleDb.1;Data Source=$Workbook$;Location=&quot;S_ROA Q3&quot;;Extended Properties=&quot;&quot;" command="SELECT * FROM [S_ROA Q3]"/>
  </connection>
  <connection id="58" xr16:uid="{81F95821-726F-43C8-808F-F69920F82EC8}" keepAlive="1" name="Query - S_ROE Q1" description="Connection to the 'S_ROE Q1' query in the workbook." type="5" refreshedVersion="0" background="1">
    <dbPr connection="Provider=Microsoft.Mashup.OleDb.1;Data Source=$Workbook$;Location=&quot;S_ROE Q1&quot;;Extended Properties=&quot;&quot;" command="SELECT * FROM [S_ROE Q1]"/>
  </connection>
  <connection id="59" xr16:uid="{974A7E5D-22A4-44DE-B56F-011601E78962}" keepAlive="1" name="Query - S_ROE Q3" description="Connection to the 'S_ROE Q3' query in the workbook." type="5" refreshedVersion="0" background="1">
    <dbPr connection="Provider=Microsoft.Mashup.OleDb.1;Data Source=$Workbook$;Location=&quot;S_ROE Q3&quot;;Extended Properties=&quot;&quot;" command="SELECT * FROM [S_ROE Q3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<sst xmlns="http://schemas.openxmlformats.org/spreadsheetml/2006/main" count="1630" uniqueCount="590">
  <si>
    <t>Quartile_L</t>
  </si>
  <si>
    <t>Industry</t>
  </si>
  <si>
    <t>P/FCF Q1</t>
  </si>
  <si>
    <t>P/FCF Q3</t>
  </si>
  <si>
    <t>P/FCF LB</t>
  </si>
  <si>
    <t>P/FCF UB</t>
  </si>
  <si>
    <t>ROE Q1</t>
  </si>
  <si>
    <t>ROE Q3</t>
  </si>
  <si>
    <t>ROE LB</t>
  </si>
  <si>
    <t>ROE UB</t>
  </si>
  <si>
    <t>ROA Q1</t>
  </si>
  <si>
    <t>ROA Q3</t>
  </si>
  <si>
    <t>ROA LB</t>
  </si>
  <si>
    <t>ROA UB</t>
  </si>
  <si>
    <t>P/E Q1</t>
  </si>
  <si>
    <t>P/E Q3</t>
  </si>
  <si>
    <t>P/E LB</t>
  </si>
  <si>
    <t>P/E UB</t>
  </si>
  <si>
    <t>A/E Q1</t>
  </si>
  <si>
    <t>A/E Q3</t>
  </si>
  <si>
    <t>A/E LB</t>
  </si>
  <si>
    <t>A/E UB</t>
  </si>
  <si>
    <t>Quartile_M</t>
  </si>
  <si>
    <t>Quartile_S</t>
  </si>
  <si>
    <t>Symbol</t>
  </si>
  <si>
    <t>Current Price</t>
  </si>
  <si>
    <t>Free CF</t>
  </si>
  <si>
    <t>BVPS</t>
  </si>
  <si>
    <t>EPS</t>
  </si>
  <si>
    <t>P/FCF</t>
  </si>
  <si>
    <t>ROE</t>
  </si>
  <si>
    <t>ROA</t>
  </si>
  <si>
    <t>P/E</t>
  </si>
  <si>
    <t>A/E</t>
  </si>
  <si>
    <t>Preliminary Criteria</t>
  </si>
  <si>
    <t>P/FCF Outlier</t>
  </si>
  <si>
    <t>ROE Outlier</t>
  </si>
  <si>
    <t>ROA Outlier</t>
  </si>
  <si>
    <t>P/E Outlier</t>
  </si>
  <si>
    <t>A/E Outlier</t>
  </si>
  <si>
    <t>Row Labels</t>
  </si>
  <si>
    <t>No</t>
  </si>
  <si>
    <t>Average of P/FCF</t>
  </si>
  <si>
    <t>StdDevp of P/FCF</t>
  </si>
  <si>
    <t>Average of ROE</t>
  </si>
  <si>
    <t>StdDevp of ROE</t>
  </si>
  <si>
    <t>Average of ROA</t>
  </si>
  <si>
    <t>StdDevp of ROA</t>
  </si>
  <si>
    <t>Average of A/E</t>
  </si>
  <si>
    <t>StdDevp of A/E</t>
  </si>
  <si>
    <t>Average of P/E</t>
  </si>
  <si>
    <t>StdDevp of P/E</t>
  </si>
  <si>
    <t>SCORE</t>
  </si>
  <si>
    <t>1 &lt; P/E &lt; 25</t>
  </si>
  <si>
    <t>Market Cap (M)</t>
  </si>
  <si>
    <t>Mean_PFCF_L</t>
  </si>
  <si>
    <t>Mean_ROE_L</t>
  </si>
  <si>
    <t>Mean_ROA_L</t>
  </si>
  <si>
    <t>Mean_AE_L</t>
  </si>
  <si>
    <t>Mean_PE_L</t>
  </si>
  <si>
    <t>Mean_PFCF_M</t>
  </si>
  <si>
    <t>Mean_PFCF_S</t>
  </si>
  <si>
    <t>Mean_ROE_M</t>
  </si>
  <si>
    <t>Mean_ROE_S</t>
  </si>
  <si>
    <t>Mean_ROA_M</t>
  </si>
  <si>
    <t>Mean_ROA_S</t>
  </si>
  <si>
    <t>Mean_AE_M</t>
  </si>
  <si>
    <t>Mean_AE_S</t>
  </si>
  <si>
    <t>Mean_PE_S</t>
  </si>
  <si>
    <t>Additional Criteria</t>
  </si>
  <si>
    <t>Path</t>
  </si>
  <si>
    <t>P/B</t>
  </si>
  <si>
    <t>P/B Q1</t>
  </si>
  <si>
    <t>P/B Q3</t>
  </si>
  <si>
    <t>P/B LB</t>
  </si>
  <si>
    <t>P/B UB</t>
  </si>
  <si>
    <t>P/B Outlier</t>
  </si>
  <si>
    <t>Average of P/B</t>
  </si>
  <si>
    <t>StdDevp of P/B</t>
  </si>
  <si>
    <t>Mean_PB_M</t>
  </si>
  <si>
    <t>Mean_PB_L</t>
  </si>
  <si>
    <t>Mean_PB_S</t>
  </si>
  <si>
    <t>&lt; 0.7 x Mean</t>
  </si>
  <si>
    <t xml:space="preserve">ROA </t>
  </si>
  <si>
    <t>&lt; Mean</t>
  </si>
  <si>
    <t>&lt; Mean &amp;
1 &lt; P/E &lt; 25</t>
  </si>
  <si>
    <t>Z Score Criteria</t>
  </si>
  <si>
    <t>&gt; Mean</t>
  </si>
  <si>
    <t>All the stocks below are mid cap stocks that meet the preliminary criteria. Five additional criteria are used to compare these stocks. For each additional criterion met, a stock gets 1 point. The metrics that meet criteria are in bold and color coded. The additional criteria and corresponding text format are shown in the table on the right.</t>
  </si>
  <si>
    <t>All the stocks below are small cap stocks that meet the preliminary criteria. Five additional criteria are used to compare these stocks. For each additional criterion met, a stock gets 1 point. The metrics that meet criteria are in bold and color coded. The additional criteria and corresponding text format are shown in the table on the right.</t>
  </si>
  <si>
    <t>P/FCF Z-Score</t>
  </si>
  <si>
    <t>P/B Z-Score</t>
  </si>
  <si>
    <t>ROE Z-Score</t>
  </si>
  <si>
    <t>ROA Z-Score</t>
  </si>
  <si>
    <t>A/E Z-Score</t>
  </si>
  <si>
    <t>P/E Z-Score</t>
  </si>
  <si>
    <t>P/FCF z-score</t>
  </si>
  <si>
    <t>P/BV z-score</t>
  </si>
  <si>
    <t>ROE z-score</t>
  </si>
  <si>
    <t>ROA z-score</t>
  </si>
  <si>
    <t>A/E z-score</t>
  </si>
  <si>
    <t>P/E z-score</t>
  </si>
  <si>
    <t>&lt; 0</t>
  </si>
  <si>
    <t>&gt; 0</t>
  </si>
  <si>
    <t>All the stocks below are large cap stocks that meet the preliminary criteria. Five additional criteria are used to compare these stocks. For each additional criterion met, a stock gets 1 point. The metrics that meet criteria are in bold and color coded. The additional criteria and corresponding text format are shown in the table on the right.</t>
  </si>
  <si>
    <t>Aerospace &amp; Defense</t>
  </si>
  <si>
    <t>AXON</t>
  </si>
  <si>
    <t>BA</t>
  </si>
  <si>
    <t>BWXT</t>
  </si>
  <si>
    <t>CW</t>
  </si>
  <si>
    <t>GD</t>
  </si>
  <si>
    <t>GE</t>
  </si>
  <si>
    <t>HEI</t>
  </si>
  <si>
    <t>HWM</t>
  </si>
  <si>
    <t>LHX</t>
  </si>
  <si>
    <t>LMT</t>
  </si>
  <si>
    <t>NOC</t>
  </si>
  <si>
    <t>RKLB</t>
  </si>
  <si>
    <t>RTX</t>
  </si>
  <si>
    <t>TDG</t>
  </si>
  <si>
    <t>TXT</t>
  </si>
  <si>
    <t>WWD</t>
  </si>
  <si>
    <t>Building Products</t>
  </si>
  <si>
    <t>AAON</t>
  </si>
  <si>
    <t>ALLE</t>
  </si>
  <si>
    <t>AOS</t>
  </si>
  <si>
    <t>BLDR</t>
  </si>
  <si>
    <t>CARR</t>
  </si>
  <si>
    <t>CSL</t>
  </si>
  <si>
    <t>JCI</t>
  </si>
  <si>
    <t>LII</t>
  </si>
  <si>
    <t>MAS</t>
  </si>
  <si>
    <t>OC</t>
  </si>
  <si>
    <t>TT</t>
  </si>
  <si>
    <t>WMS</t>
  </si>
  <si>
    <t>Construction &amp; Engineering</t>
  </si>
  <si>
    <t>ACM</t>
  </si>
  <si>
    <t>APG</t>
  </si>
  <si>
    <t>EME</t>
  </si>
  <si>
    <t>FIX</t>
  </si>
  <si>
    <t>MTZ</t>
  </si>
  <si>
    <t>PWR</t>
  </si>
  <si>
    <t>Electrical Equipment</t>
  </si>
  <si>
    <t>AME</t>
  </si>
  <si>
    <t>AYI</t>
  </si>
  <si>
    <t>EMR</t>
  </si>
  <si>
    <t>ETN</t>
  </si>
  <si>
    <t>GNRC</t>
  </si>
  <si>
    <t>HUBB</t>
  </si>
  <si>
    <t>NVT</t>
  </si>
  <si>
    <t>ROK</t>
  </si>
  <si>
    <t>RRX</t>
  </si>
  <si>
    <t>VRT</t>
  </si>
  <si>
    <t>GEV</t>
  </si>
  <si>
    <t>Industrial Conglomerates</t>
  </si>
  <si>
    <t>HON</t>
  </si>
  <si>
    <t>MMM</t>
  </si>
  <si>
    <t>Machinery</t>
  </si>
  <si>
    <t>ALSN</t>
  </si>
  <si>
    <t>CAT</t>
  </si>
  <si>
    <t>CMI</t>
  </si>
  <si>
    <t>PCAR</t>
  </si>
  <si>
    <t>WAB</t>
  </si>
  <si>
    <t>DE</t>
  </si>
  <si>
    <t>CR</t>
  </si>
  <si>
    <t>DOV</t>
  </si>
  <si>
    <t>FTV</t>
  </si>
  <si>
    <t>GGG</t>
  </si>
  <si>
    <t>IEX</t>
  </si>
  <si>
    <t>IR</t>
  </si>
  <si>
    <t>ITT</t>
  </si>
  <si>
    <t>ITW</t>
  </si>
  <si>
    <t>LECO</t>
  </si>
  <si>
    <t>NDSN</t>
  </si>
  <si>
    <t>OTIS</t>
  </si>
  <si>
    <t>PH</t>
  </si>
  <si>
    <t>PNR</t>
  </si>
  <si>
    <t>RBC</t>
  </si>
  <si>
    <t>SNA</t>
  </si>
  <si>
    <t>SWK</t>
  </si>
  <si>
    <t>XYL</t>
  </si>
  <si>
    <t>Trading Companies &amp; Distributors</t>
  </si>
  <si>
    <t>AER</t>
  </si>
  <si>
    <t>AIT</t>
  </si>
  <si>
    <t>CNM</t>
  </si>
  <si>
    <t>FAST</t>
  </si>
  <si>
    <t>FERG</t>
  </si>
  <si>
    <t>GWW</t>
  </si>
  <si>
    <t>URI</t>
  </si>
  <si>
    <t>WCC</t>
  </si>
  <si>
    <t>WSO</t>
  </si>
  <si>
    <t>Commercial Services &amp; Supplies</t>
  </si>
  <si>
    <t>CLH</t>
  </si>
  <si>
    <t>GFL</t>
  </si>
  <si>
    <t>ROL</t>
  </si>
  <si>
    <t>RSG</t>
  </si>
  <si>
    <t>RTO</t>
  </si>
  <si>
    <t>TTEK</t>
  </si>
  <si>
    <t>VLTO</t>
  </si>
  <si>
    <t>WCN</t>
  </si>
  <si>
    <t>WM</t>
  </si>
  <si>
    <t>CPRT</t>
  </si>
  <si>
    <t>CTAS</t>
  </si>
  <si>
    <t>RBA</t>
  </si>
  <si>
    <t>Professional Services</t>
  </si>
  <si>
    <t>ADP</t>
  </si>
  <si>
    <t>DAY</t>
  </si>
  <si>
    <t>PAYC</t>
  </si>
  <si>
    <t>PAYX</t>
  </si>
  <si>
    <t>PCTY</t>
  </si>
  <si>
    <t>BAH</t>
  </si>
  <si>
    <t>CACI</t>
  </si>
  <si>
    <t>EFX</t>
  </si>
  <si>
    <t>J</t>
  </si>
  <si>
    <t>LDOS</t>
  </si>
  <si>
    <t>PSN</t>
  </si>
  <si>
    <t>RELX</t>
  </si>
  <si>
    <t>TRI</t>
  </si>
  <si>
    <t>TRU</t>
  </si>
  <si>
    <t>ULS</t>
  </si>
  <si>
    <t>VRSK</t>
  </si>
  <si>
    <t>BR</t>
  </si>
  <si>
    <t>SSNC</t>
  </si>
  <si>
    <t>Air Freight &amp; Logistics</t>
  </si>
  <si>
    <t>CHRW</t>
  </si>
  <si>
    <t>EXPD</t>
  </si>
  <si>
    <t>FDX</t>
  </si>
  <si>
    <t>UPS</t>
  </si>
  <si>
    <t>ZTO</t>
  </si>
  <si>
    <t>Passenger Airlines</t>
  </si>
  <si>
    <t>AAL</t>
  </si>
  <si>
    <t>DAL</t>
  </si>
  <si>
    <t>LUV</t>
  </si>
  <si>
    <t>RYAAY</t>
  </si>
  <si>
    <t>UAL</t>
  </si>
  <si>
    <t>Ground Transportation</t>
  </si>
  <si>
    <t>CNI</t>
  </si>
  <si>
    <t>CP</t>
  </si>
  <si>
    <t>CSX</t>
  </si>
  <si>
    <t>NSC</t>
  </si>
  <si>
    <t>UNP</t>
  </si>
  <si>
    <t>JBHT</t>
  </si>
  <si>
    <t>ODFL</t>
  </si>
  <si>
    <t>SAIA</t>
  </si>
  <si>
    <t>TFII</t>
  </si>
  <si>
    <t>UHAL</t>
  </si>
  <si>
    <t>XPO</t>
  </si>
  <si>
    <t>YMM</t>
  </si>
  <si>
    <t>UBER</t>
  </si>
  <si>
    <t>Marine Transportation</t>
  </si>
  <si>
    <t>Transportation Infrastructure</t>
  </si>
  <si>
    <t>ACHR</t>
  </si>
  <si>
    <t>AIR</t>
  </si>
  <si>
    <t>AVAV</t>
  </si>
  <si>
    <t>CAE</t>
  </si>
  <si>
    <t>DRS</t>
  </si>
  <si>
    <t>ERJ</t>
  </si>
  <si>
    <t>HII</t>
  </si>
  <si>
    <t>HXL</t>
  </si>
  <si>
    <t>KTOS</t>
  </si>
  <si>
    <t>LOAR</t>
  </si>
  <si>
    <t>MRCY</t>
  </si>
  <si>
    <t>SARO</t>
  </si>
  <si>
    <t>SPR</t>
  </si>
  <si>
    <t>AWI</t>
  </si>
  <si>
    <t>AZEK</t>
  </si>
  <si>
    <t>AZZ</t>
  </si>
  <si>
    <t>CSWI</t>
  </si>
  <si>
    <t>FBIN</t>
  </si>
  <si>
    <t>GFF</t>
  </si>
  <si>
    <t>HAYW</t>
  </si>
  <si>
    <t>MBC</t>
  </si>
  <si>
    <t>REZI</t>
  </si>
  <si>
    <t>ROCK</t>
  </si>
  <si>
    <t>SSD</t>
  </si>
  <si>
    <t>TGLS</t>
  </si>
  <si>
    <t>TREX</t>
  </si>
  <si>
    <t>UFPI</t>
  </si>
  <si>
    <t>ZWS</t>
  </si>
  <si>
    <t>ACA</t>
  </si>
  <si>
    <t>CDLR</t>
  </si>
  <si>
    <t>DY</t>
  </si>
  <si>
    <t>ECG</t>
  </si>
  <si>
    <t>FLR</t>
  </si>
  <si>
    <t>GVA</t>
  </si>
  <si>
    <t>IESC</t>
  </si>
  <si>
    <t>MYRG</t>
  </si>
  <si>
    <t>PRIM</t>
  </si>
  <si>
    <t>ROAD</t>
  </si>
  <si>
    <t>STN</t>
  </si>
  <si>
    <t>STRL</t>
  </si>
  <si>
    <t>VMI</t>
  </si>
  <si>
    <t>WSC</t>
  </si>
  <si>
    <t>ATKR</t>
  </si>
  <si>
    <t>ENS</t>
  </si>
  <si>
    <t>FLNC</t>
  </si>
  <si>
    <t>NXT</t>
  </si>
  <si>
    <t>PLUG</t>
  </si>
  <si>
    <t>POWL</t>
  </si>
  <si>
    <t>RUN</t>
  </si>
  <si>
    <t>ST</t>
  </si>
  <si>
    <t>VICR</t>
  </si>
  <si>
    <t>BE</t>
  </si>
  <si>
    <t>SMR</t>
  </si>
  <si>
    <t>IEP</t>
  </si>
  <si>
    <t>ATMU</t>
  </si>
  <si>
    <t>FSS</t>
  </si>
  <si>
    <t>GBX</t>
  </si>
  <si>
    <t>OSK</t>
  </si>
  <si>
    <t>TEX</t>
  </si>
  <si>
    <t>TRN</t>
  </si>
  <si>
    <t>AGCO</t>
  </si>
  <si>
    <t>ALG</t>
  </si>
  <si>
    <t>TTC</t>
  </si>
  <si>
    <t>AIN</t>
  </si>
  <si>
    <t>ATS</t>
  </si>
  <si>
    <t>DCI</t>
  </si>
  <si>
    <t>EPAC</t>
  </si>
  <si>
    <t>ESAB</t>
  </si>
  <si>
    <t>ESE</t>
  </si>
  <si>
    <t>FELE</t>
  </si>
  <si>
    <t>FLS</t>
  </si>
  <si>
    <t>GTES</t>
  </si>
  <si>
    <t>GTLS</t>
  </si>
  <si>
    <t>HI</t>
  </si>
  <si>
    <t>HLMN</t>
  </si>
  <si>
    <t>KAI</t>
  </si>
  <si>
    <t>KMT</t>
  </si>
  <si>
    <t>MIDD</t>
  </si>
  <si>
    <t>MLI</t>
  </si>
  <si>
    <t>MWA</t>
  </si>
  <si>
    <t>NPO</t>
  </si>
  <si>
    <t>SPXC</t>
  </si>
  <si>
    <t>SXI</t>
  </si>
  <si>
    <t>TKR</t>
  </si>
  <si>
    <t>WTS</t>
  </si>
  <si>
    <t>AL</t>
  </si>
  <si>
    <t>BCC</t>
  </si>
  <si>
    <t>GATX</t>
  </si>
  <si>
    <t>GMS</t>
  </si>
  <si>
    <t>HEES</t>
  </si>
  <si>
    <t>HRI</t>
  </si>
  <si>
    <t>MGRC</t>
  </si>
  <si>
    <t>MSM</t>
  </si>
  <si>
    <t>RUSHA</t>
  </si>
  <si>
    <t>RUSHB</t>
  </si>
  <si>
    <t>SITE</t>
  </si>
  <si>
    <t>BRC</t>
  </si>
  <si>
    <t>ABM</t>
  </si>
  <si>
    <t>CWST</t>
  </si>
  <si>
    <t>HNI</t>
  </si>
  <si>
    <t>MSA</t>
  </si>
  <si>
    <t>ACVA</t>
  </si>
  <si>
    <t>DRVN</t>
  </si>
  <si>
    <t>KAR</t>
  </si>
  <si>
    <t>UNF</t>
  </si>
  <si>
    <t>VSEC</t>
  </si>
  <si>
    <t>VSTS</t>
  </si>
  <si>
    <t>BCO</t>
  </si>
  <si>
    <t>CXW</t>
  </si>
  <si>
    <t>GEO</t>
  </si>
  <si>
    <t>ALIT</t>
  </si>
  <si>
    <t>FA</t>
  </si>
  <si>
    <t>KFY</t>
  </si>
  <si>
    <t>MAN</t>
  </si>
  <si>
    <t>NSP</t>
  </si>
  <si>
    <t>RHI</t>
  </si>
  <si>
    <t>TNET</t>
  </si>
  <si>
    <t>UPWK</t>
  </si>
  <si>
    <t>AMTM</t>
  </si>
  <si>
    <t>CBZ</t>
  </si>
  <si>
    <t>CLVT</t>
  </si>
  <si>
    <t>DNB</t>
  </si>
  <si>
    <t>EXPO</t>
  </si>
  <si>
    <t>FCN</t>
  </si>
  <si>
    <t>HURN</t>
  </si>
  <si>
    <t>ICFI</t>
  </si>
  <si>
    <t>KBR</t>
  </si>
  <si>
    <t>SAIC</t>
  </si>
  <si>
    <t>CNXC</t>
  </si>
  <si>
    <t>EXLS</t>
  </si>
  <si>
    <t>G</t>
  </si>
  <si>
    <t>MMS</t>
  </si>
  <si>
    <t>VRRM</t>
  </si>
  <si>
    <t>WNS</t>
  </si>
  <si>
    <t>GXO</t>
  </si>
  <si>
    <t>HUBG</t>
  </si>
  <si>
    <t>ALK</t>
  </si>
  <si>
    <t>CPA</t>
  </si>
  <si>
    <t>JBLU</t>
  </si>
  <si>
    <t>JOBY</t>
  </si>
  <si>
    <t>LTM</t>
  </si>
  <si>
    <t>SKYW</t>
  </si>
  <si>
    <t>KEX</t>
  </si>
  <si>
    <t>MATX</t>
  </si>
  <si>
    <t>ZIM</t>
  </si>
  <si>
    <t>ARCB</t>
  </si>
  <si>
    <t>KNX</t>
  </si>
  <si>
    <t>LSTR</t>
  </si>
  <si>
    <t>R</t>
  </si>
  <si>
    <t>RXO</t>
  </si>
  <si>
    <t>SNDR</t>
  </si>
  <si>
    <t>WERN</t>
  </si>
  <si>
    <t>CAR</t>
  </si>
  <si>
    <t>LYFT</t>
  </si>
  <si>
    <t>ASR</t>
  </si>
  <si>
    <t>CAAP</t>
  </si>
  <si>
    <t>OMAB</t>
  </si>
  <si>
    <t>PAC</t>
  </si>
  <si>
    <t>ASLE</t>
  </si>
  <si>
    <t>ATRO</t>
  </si>
  <si>
    <t>BYRN</t>
  </si>
  <si>
    <t>CDRE</t>
  </si>
  <si>
    <t>DCO</t>
  </si>
  <si>
    <t>EH</t>
  </si>
  <si>
    <t>EVEX</t>
  </si>
  <si>
    <t>LUNR</t>
  </si>
  <si>
    <t>NPK</t>
  </si>
  <si>
    <t>PKE</t>
  </si>
  <si>
    <t>RDW</t>
  </si>
  <si>
    <t>TGI</t>
  </si>
  <si>
    <t>VVX</t>
  </si>
  <si>
    <t>AMWD</t>
  </si>
  <si>
    <t>APOG</t>
  </si>
  <si>
    <t>IIIN</t>
  </si>
  <si>
    <t>JBI</t>
  </si>
  <si>
    <t>JELD</t>
  </si>
  <si>
    <t>NX</t>
  </si>
  <si>
    <t>AGX</t>
  </si>
  <si>
    <t>AMRC</t>
  </si>
  <si>
    <t>BBCP</t>
  </si>
  <si>
    <t>BWMN</t>
  </si>
  <si>
    <t>CTRI</t>
  </si>
  <si>
    <t>GLDD</t>
  </si>
  <si>
    <t>LMB</t>
  </si>
  <si>
    <t>MTRX</t>
  </si>
  <si>
    <t>NWPX</t>
  </si>
  <si>
    <t>ORN</t>
  </si>
  <si>
    <t>TPC</t>
  </si>
  <si>
    <t>ALNT</t>
  </si>
  <si>
    <t>AMSC</t>
  </si>
  <si>
    <t>ARRY</t>
  </si>
  <si>
    <t>BLDP</t>
  </si>
  <si>
    <t>CHPT</t>
  </si>
  <si>
    <t>ENVX</t>
  </si>
  <si>
    <t>EOSE</t>
  </si>
  <si>
    <t>KULR</t>
  </si>
  <si>
    <t>LYTS</t>
  </si>
  <si>
    <t>PLPC</t>
  </si>
  <si>
    <t>SHLS</t>
  </si>
  <si>
    <t>THR</t>
  </si>
  <si>
    <t>NNE</t>
  </si>
  <si>
    <t>BBU</t>
  </si>
  <si>
    <t>BBUC</t>
  </si>
  <si>
    <t>ASTE</t>
  </si>
  <si>
    <t>BLBD</t>
  </si>
  <si>
    <t>CYD</t>
  </si>
  <si>
    <t>HYLN</t>
  </si>
  <si>
    <t>MLR</t>
  </si>
  <si>
    <t>MTW</t>
  </si>
  <si>
    <t>MVST</t>
  </si>
  <si>
    <t>PLOW</t>
  </si>
  <si>
    <t>REVG</t>
  </si>
  <si>
    <t>SHYF</t>
  </si>
  <si>
    <t>WNC</t>
  </si>
  <si>
    <t>LNN</t>
  </si>
  <si>
    <t>TWI</t>
  </si>
  <si>
    <t>AIRJ</t>
  </si>
  <si>
    <t>CMCO</t>
  </si>
  <si>
    <t>DDD</t>
  </si>
  <si>
    <t>ERII</t>
  </si>
  <si>
    <t>GHM</t>
  </si>
  <si>
    <t>GRC</t>
  </si>
  <si>
    <t>HLIO</t>
  </si>
  <si>
    <t>HY</t>
  </si>
  <si>
    <t>LXFR</t>
  </si>
  <si>
    <t>MEC</t>
  </si>
  <si>
    <t>NNDM</t>
  </si>
  <si>
    <t>OFLX</t>
  </si>
  <si>
    <t>PKOH</t>
  </si>
  <si>
    <t>PRLB</t>
  </si>
  <si>
    <t>TNC</t>
  </si>
  <si>
    <t>BXC</t>
  </si>
  <si>
    <t>CTOS</t>
  </si>
  <si>
    <t>DNOW</t>
  </si>
  <si>
    <t>DSGR</t>
  </si>
  <si>
    <t>DXPE</t>
  </si>
  <si>
    <t>GIC</t>
  </si>
  <si>
    <t>HDSN</t>
  </si>
  <si>
    <t>KRT</t>
  </si>
  <si>
    <t>MRC</t>
  </si>
  <si>
    <t>TITN</t>
  </si>
  <si>
    <t>TRNS</t>
  </si>
  <si>
    <t>WLFC</t>
  </si>
  <si>
    <t>XMTR</t>
  </si>
  <si>
    <t>ZKH</t>
  </si>
  <si>
    <t>DLX</t>
  </si>
  <si>
    <t>EBF</t>
  </si>
  <si>
    <t>QUAD</t>
  </si>
  <si>
    <t>BV</t>
  </si>
  <si>
    <t>CECO</t>
  </si>
  <si>
    <t>MEG</t>
  </si>
  <si>
    <t>NVRI</t>
  </si>
  <si>
    <t>ACCO</t>
  </si>
  <si>
    <t>CIX</t>
  </si>
  <si>
    <t>MLKN</t>
  </si>
  <si>
    <t>NL</t>
  </si>
  <si>
    <t>PBI</t>
  </si>
  <si>
    <t>SCS</t>
  </si>
  <si>
    <t>TILE</t>
  </si>
  <si>
    <t>CVEO</t>
  </si>
  <si>
    <t>HCSG</t>
  </si>
  <si>
    <t>LQDT</t>
  </si>
  <si>
    <t>BBSI</t>
  </si>
  <si>
    <t>FVRR</t>
  </si>
  <si>
    <t>HSII</t>
  </si>
  <si>
    <t>KELYA</t>
  </si>
  <si>
    <t>KELYB</t>
  </si>
  <si>
    <t>KFRC</t>
  </si>
  <si>
    <t>BKSY</t>
  </si>
  <si>
    <t>CRAI</t>
  </si>
  <si>
    <t>FC</t>
  </si>
  <si>
    <t>INOD</t>
  </si>
  <si>
    <t>LZ</t>
  </si>
  <si>
    <t>MG</t>
  </si>
  <si>
    <t>NVEE</t>
  </si>
  <si>
    <t>PL</t>
  </si>
  <si>
    <t>SPIR</t>
  </si>
  <si>
    <t>WLDN</t>
  </si>
  <si>
    <t>CNDT</t>
  </si>
  <si>
    <t>CSGS</t>
  </si>
  <si>
    <t>TASK</t>
  </si>
  <si>
    <t>TIXT</t>
  </si>
  <si>
    <t>FWRD</t>
  </si>
  <si>
    <t>RLGT</t>
  </si>
  <si>
    <t>ALGT</t>
  </si>
  <si>
    <t>SNCY</t>
  </si>
  <si>
    <t>ULCC</t>
  </si>
  <si>
    <t>UP</t>
  </si>
  <si>
    <t>VLRS</t>
  </si>
  <si>
    <t>CMRE</t>
  </si>
  <si>
    <t>DAC</t>
  </si>
  <si>
    <t>GNK</t>
  </si>
  <si>
    <t>GSL</t>
  </si>
  <si>
    <t>NMM</t>
  </si>
  <si>
    <t>SB</t>
  </si>
  <si>
    <t>FIP</t>
  </si>
  <si>
    <t>CVLG</t>
  </si>
  <si>
    <t>HTLD</t>
  </si>
  <si>
    <t>MRTN</t>
  </si>
  <si>
    <t>PAMT</t>
  </si>
  <si>
    <t>ULH</t>
  </si>
  <si>
    <t>HTZ</t>
  </si>
  <si>
    <t>SKYH</t>
  </si>
  <si>
    <t>ESLT</t>
  </si>
  <si>
    <t>FTAI</t>
  </si>
  <si>
    <t>GRAB</t>
  </si>
  <si>
    <t>ATI</t>
  </si>
  <si>
    <t>KRMN</t>
  </si>
  <si>
    <t>JBTM</t>
  </si>
  <si>
    <t>SYM</t>
  </si>
  <si>
    <t>WOR</t>
  </si>
  <si>
    <t>QXO</t>
  </si>
  <si>
    <t>AZ</t>
  </si>
  <si>
    <t>EVTL</t>
  </si>
  <si>
    <t>SATL</t>
  </si>
  <si>
    <t>TATT</t>
  </si>
  <si>
    <t>CTNGY</t>
  </si>
  <si>
    <t>ADSE</t>
  </si>
  <si>
    <t>AMPX</t>
  </si>
  <si>
    <t>SES</t>
  </si>
  <si>
    <t>PSIX</t>
  </si>
  <si>
    <t>HCAI</t>
  </si>
  <si>
    <t>KRNT</t>
  </si>
  <si>
    <t>SSYS</t>
  </si>
  <si>
    <t>ZJK</t>
  </si>
  <si>
    <t>LVRO</t>
  </si>
  <si>
    <t>WJXFF</t>
  </si>
  <si>
    <t>CMPR</t>
  </si>
  <si>
    <t>BDIMF</t>
  </si>
  <si>
    <t>PRSU</t>
  </si>
  <si>
    <t>ASUR</t>
  </si>
  <si>
    <t>FBYD</t>
  </si>
  <si>
    <t>TIC</t>
  </si>
  <si>
    <t>IBEX</t>
  </si>
  <si>
    <t>GOLLQ</t>
  </si>
  <si>
    <t>CCEC</t>
  </si>
  <si>
    <t>HSHP</t>
  </si>
  <si>
    <t>PANL</t>
  </si>
  <si>
    <t>SBLK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</si>
</sst>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1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00B050"/>
      <name val="Aptos Narrow"/>
      <family val="2"/>
      <scheme val="minor"/>
    </font>
    <font>
      <b/>
      <sz val="11"/>
      <color rgb="FF00B050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rgb="FF00B0F0"/>
      <name val="Aptos Narrow"/>
      <family val="2"/>
      <scheme val="minor"/>
    </font>
    <font>
      <b/>
      <sz val="11"/>
      <color theme="5" tint="-0.249977111117893"/>
      <name val="Aptos Narrow"/>
      <family val="2"/>
      <scheme val="minor"/>
    </font>
    <font>
      <b/>
      <sz val="1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8"/>
      <color theme="9" tint="-0.249977111117893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/>
        <bgColor theme="9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-0.499984740745262"/>
        <bgColor theme="9"/>
      </patternFill>
    </fill>
  </fills>
  <borders count="41">
    <border>
      <left/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69">
    <xf numFmtId="0" fontId="0" fillId="0" borderId="0" xfId="0"/>
    <xf numFmtId="2" fontId="0" fillId="0" borderId="0" xfId="0" applyNumberFormat="1"/>
    <xf numFmtId="3" fontId="0" fillId="0" borderId="0" xfId="0" applyNumberFormat="1"/>
    <xf numFmtId="0" fontId="0" fillId="0" borderId="0" xfId="0" pivotButton="1"/>
    <xf numFmtId="0" fontId="3" fillId="2" borderId="1" xfId="0" applyFont="1" applyFill="1" applyBorder="1"/>
    <xf numFmtId="0" fontId="3" fillId="2" borderId="2" xfId="0" applyFont="1" applyFill="1" applyBorder="1"/>
    <xf numFmtId="0" fontId="0" fillId="0" borderId="0" xfId="0" applyAlignment="1">
      <alignment horizontal="left"/>
    </xf>
    <xf numFmtId="2" fontId="3" fillId="2" borderId="2" xfId="0" applyNumberFormat="1" applyFont="1" applyFill="1" applyBorder="1"/>
    <xf numFmtId="3" fontId="3" fillId="2" borderId="2" xfId="0" applyNumberFormat="1" applyFont="1" applyFill="1" applyBorder="1"/>
    <xf numFmtId="3" fontId="0" fillId="0" borderId="0" xfId="1" applyNumberFormat="1" applyFont="1"/>
    <xf numFmtId="0" fontId="0" fillId="0" borderId="0" xfId="0" applyAlignment="1">
      <alignment vertical="center"/>
    </xf>
    <xf numFmtId="2" fontId="3" fillId="4" borderId="2" xfId="0" applyNumberFormat="1" applyFont="1" applyFill="1" applyBorder="1"/>
    <xf numFmtId="0" fontId="3" fillId="4" borderId="0" xfId="0" applyFont="1" applyFill="1"/>
    <xf numFmtId="2" fontId="0" fillId="0" borderId="0" xfId="0" applyNumberFormat="1" applyAlignment="1">
      <alignment horizontal="center" vertical="center"/>
    </xf>
    <xf numFmtId="2" fontId="9" fillId="0" borderId="3" xfId="0" applyNumberFormat="1" applyFont="1" applyBorder="1" applyAlignment="1">
      <alignment horizontal="center" vertical="center"/>
    </xf>
    <xf numFmtId="2" fontId="9" fillId="0" borderId="6" xfId="0" applyNumberFormat="1" applyFont="1" applyBorder="1" applyAlignment="1">
      <alignment horizontal="center" vertical="center" wrapText="1"/>
    </xf>
    <xf numFmtId="2" fontId="9" fillId="0" borderId="10" xfId="0" applyNumberFormat="1" applyFont="1" applyBorder="1" applyAlignment="1">
      <alignment horizontal="center" vertical="center" wrapText="1"/>
    </xf>
    <xf numFmtId="0" fontId="9" fillId="0" borderId="11" xfId="0" applyFont="1" applyBorder="1" applyAlignment="1">
      <alignment horizontal="center" vertical="center"/>
    </xf>
    <xf numFmtId="2" fontId="7" fillId="0" borderId="11" xfId="0" applyNumberFormat="1" applyFont="1" applyBorder="1" applyAlignment="1">
      <alignment horizontal="center" vertical="center"/>
    </xf>
    <xf numFmtId="2" fontId="8" fillId="0" borderId="11" xfId="0" applyNumberFormat="1" applyFont="1" applyBorder="1" applyAlignment="1">
      <alignment horizontal="center" vertical="center"/>
    </xf>
    <xf numFmtId="2" fontId="0" fillId="0" borderId="14" xfId="0" applyNumberFormat="1" applyBorder="1" applyAlignment="1">
      <alignment horizontal="center" vertical="center"/>
    </xf>
    <xf numFmtId="2" fontId="5" fillId="0" borderId="15" xfId="0" applyNumberFormat="1" applyFont="1" applyBorder="1" applyAlignment="1">
      <alignment horizontal="center" vertical="center" wrapText="1"/>
    </xf>
    <xf numFmtId="2" fontId="9" fillId="0" borderId="27" xfId="0" applyNumberFormat="1" applyFont="1" applyBorder="1" applyAlignment="1">
      <alignment horizontal="center" vertical="center"/>
    </xf>
    <xf numFmtId="2" fontId="9" fillId="0" borderId="6" xfId="0" applyNumberFormat="1" applyFont="1" applyBorder="1" applyAlignment="1">
      <alignment horizontal="center" vertical="center"/>
    </xf>
    <xf numFmtId="2" fontId="9" fillId="0" borderId="28" xfId="0" applyNumberFormat="1" applyFont="1" applyBorder="1" applyAlignment="1">
      <alignment horizontal="center" vertical="center"/>
    </xf>
    <xf numFmtId="0" fontId="11" fillId="0" borderId="0" xfId="0" applyFont="1" applyAlignment="1">
      <alignment vertical="center" wrapText="1"/>
    </xf>
    <xf numFmtId="0" fontId="1" fillId="0" borderId="0" xfId="0" applyFont="1" applyAlignment="1">
      <alignment vertical="center"/>
    </xf>
    <xf numFmtId="0" fontId="1" fillId="3" borderId="0" xfId="0" applyFont="1" applyFill="1" applyAlignment="1">
      <alignment horizontal="center"/>
    </xf>
    <xf numFmtId="0" fontId="11" fillId="0" borderId="35" xfId="0" applyFont="1" applyBorder="1" applyAlignment="1">
      <alignment horizontal="center" vertical="center" wrapText="1"/>
    </xf>
    <xf numFmtId="0" fontId="11" fillId="0" borderId="36" xfId="0" applyFont="1" applyBorder="1" applyAlignment="1">
      <alignment horizontal="center" vertical="center" wrapText="1"/>
    </xf>
    <xf numFmtId="0" fontId="11" fillId="0" borderId="37" xfId="0" applyFont="1" applyBorder="1" applyAlignment="1">
      <alignment horizontal="center" vertical="center" wrapText="1"/>
    </xf>
    <xf numFmtId="2" fontId="4" fillId="0" borderId="4" xfId="0" applyNumberFormat="1" applyFont="1" applyBorder="1" applyAlignment="1">
      <alignment horizontal="center" vertical="center"/>
    </xf>
    <xf numFmtId="2" fontId="4" fillId="0" borderId="5" xfId="0" applyNumberFormat="1" applyFont="1" applyBorder="1" applyAlignment="1">
      <alignment horizontal="center" vertical="center"/>
    </xf>
    <xf numFmtId="2" fontId="4" fillId="0" borderId="23" xfId="0" applyNumberFormat="1" applyFont="1" applyBorder="1" applyAlignment="1">
      <alignment horizontal="center" vertical="center"/>
    </xf>
    <xf numFmtId="2" fontId="4" fillId="0" borderId="30" xfId="0" applyNumberFormat="1" applyFont="1" applyBorder="1" applyAlignment="1">
      <alignment horizontal="center" vertical="center"/>
    </xf>
    <xf numFmtId="2" fontId="4" fillId="0" borderId="32" xfId="0" applyNumberFormat="1" applyFont="1" applyBorder="1" applyAlignment="1">
      <alignment horizontal="center" vertical="center"/>
    </xf>
    <xf numFmtId="2" fontId="4" fillId="0" borderId="34" xfId="0" applyNumberFormat="1" applyFont="1" applyBorder="1" applyAlignment="1">
      <alignment horizontal="center" vertical="center"/>
    </xf>
    <xf numFmtId="3" fontId="10" fillId="0" borderId="19" xfId="0" applyNumberFormat="1" applyFont="1" applyBorder="1" applyAlignment="1">
      <alignment horizontal="left" vertical="center" wrapText="1"/>
    </xf>
    <xf numFmtId="3" fontId="10" fillId="0" borderId="0" xfId="0" applyNumberFormat="1" applyFont="1" applyAlignment="1">
      <alignment horizontal="left" vertical="center" wrapText="1"/>
    </xf>
    <xf numFmtId="3" fontId="10" fillId="0" borderId="20" xfId="0" applyNumberFormat="1" applyFont="1" applyBorder="1" applyAlignment="1">
      <alignment horizontal="left" vertical="center" wrapText="1"/>
    </xf>
    <xf numFmtId="3" fontId="10" fillId="0" borderId="21" xfId="0" applyNumberFormat="1" applyFont="1" applyBorder="1" applyAlignment="1">
      <alignment horizontal="left" vertical="center" wrapText="1"/>
    </xf>
    <xf numFmtId="3" fontId="10" fillId="0" borderId="14" xfId="0" applyNumberFormat="1" applyFont="1" applyBorder="1" applyAlignment="1">
      <alignment horizontal="left" vertical="center" wrapText="1"/>
    </xf>
    <xf numFmtId="3" fontId="10" fillId="0" borderId="22" xfId="0" applyNumberFormat="1" applyFont="1" applyBorder="1" applyAlignment="1">
      <alignment horizontal="left" vertical="center" wrapText="1"/>
    </xf>
    <xf numFmtId="0" fontId="0" fillId="0" borderId="25" xfId="0" applyBorder="1" applyAlignment="1">
      <alignment horizontal="center" vertical="center" wrapText="1"/>
    </xf>
    <xf numFmtId="0" fontId="0" fillId="0" borderId="26" xfId="0" applyBorder="1" applyAlignment="1">
      <alignment horizontal="center" vertical="center" wrapText="1"/>
    </xf>
    <xf numFmtId="2" fontId="1" fillId="0" borderId="38" xfId="0" applyNumberFormat="1" applyFont="1" applyBorder="1" applyAlignment="1">
      <alignment horizontal="center" vertical="center" wrapText="1"/>
    </xf>
    <xf numFmtId="2" fontId="1" fillId="0" borderId="39" xfId="0" applyNumberFormat="1" applyFont="1" applyBorder="1" applyAlignment="1">
      <alignment horizontal="center" vertical="center" wrapText="1"/>
    </xf>
    <xf numFmtId="2" fontId="1" fillId="0" borderId="40" xfId="0" applyNumberFormat="1" applyFont="1" applyBorder="1" applyAlignment="1">
      <alignment horizontal="center" vertical="center" wrapText="1"/>
    </xf>
    <xf numFmtId="2" fontId="1" fillId="0" borderId="38" xfId="0" applyNumberFormat="1" applyFont="1" applyBorder="1" applyAlignment="1">
      <alignment horizontal="center"/>
    </xf>
    <xf numFmtId="2" fontId="1" fillId="0" borderId="39" xfId="0" applyNumberFormat="1" applyFont="1" applyBorder="1" applyAlignment="1">
      <alignment horizontal="center"/>
    </xf>
    <xf numFmtId="2" fontId="1" fillId="0" borderId="40" xfId="0" applyNumberFormat="1" applyFont="1" applyBorder="1" applyAlignment="1">
      <alignment horizontal="center"/>
    </xf>
    <xf numFmtId="2" fontId="5" fillId="0" borderId="6" xfId="0" applyNumberFormat="1" applyFont="1" applyBorder="1" applyAlignment="1">
      <alignment horizontal="center" vertical="center" wrapText="1"/>
    </xf>
    <xf numFmtId="2" fontId="5" fillId="0" borderId="13" xfId="0" applyNumberFormat="1" applyFont="1" applyBorder="1" applyAlignment="1">
      <alignment horizontal="center" vertical="center" wrapText="1"/>
    </xf>
    <xf numFmtId="2" fontId="5" fillId="0" borderId="10" xfId="0" applyNumberFormat="1" applyFont="1" applyBorder="1" applyAlignment="1">
      <alignment horizontal="center" vertical="center" wrapText="1"/>
    </xf>
    <xf numFmtId="2" fontId="5" fillId="0" borderId="12" xfId="0" applyNumberFormat="1" applyFont="1" applyBorder="1" applyAlignment="1">
      <alignment horizontal="center" vertical="center" wrapText="1"/>
    </xf>
    <xf numFmtId="2" fontId="4" fillId="0" borderId="29" xfId="0" applyNumberFormat="1" applyFont="1" applyBorder="1" applyAlignment="1">
      <alignment horizontal="center" vertical="center"/>
    </xf>
    <xf numFmtId="2" fontId="4" fillId="0" borderId="31" xfId="0" applyNumberFormat="1" applyFont="1" applyBorder="1" applyAlignment="1">
      <alignment horizontal="center" vertical="center"/>
    </xf>
    <xf numFmtId="2" fontId="4" fillId="0" borderId="33" xfId="0" applyNumberFormat="1" applyFont="1" applyBorder="1" applyAlignment="1">
      <alignment horizontal="center" vertical="center"/>
    </xf>
    <xf numFmtId="3" fontId="10" fillId="0" borderId="16" xfId="0" applyNumberFormat="1" applyFont="1" applyBorder="1" applyAlignment="1">
      <alignment horizontal="left" vertical="center" wrapText="1"/>
    </xf>
    <xf numFmtId="3" fontId="10" fillId="0" borderId="17" xfId="0" applyNumberFormat="1" applyFont="1" applyBorder="1" applyAlignment="1">
      <alignment horizontal="left" vertical="center" wrapText="1"/>
    </xf>
    <xf numFmtId="3" fontId="10" fillId="0" borderId="18" xfId="0" applyNumberFormat="1" applyFont="1" applyBorder="1" applyAlignment="1">
      <alignment horizontal="left" vertical="center" wrapText="1"/>
    </xf>
    <xf numFmtId="2" fontId="1" fillId="0" borderId="7" xfId="0" applyNumberFormat="1" applyFont="1" applyBorder="1" applyAlignment="1">
      <alignment horizontal="center" vertical="center" wrapText="1"/>
    </xf>
    <xf numFmtId="2" fontId="1" fillId="0" borderId="8" xfId="0" applyNumberFormat="1" applyFont="1" applyBorder="1" applyAlignment="1">
      <alignment horizontal="center" vertical="center" wrapText="1"/>
    </xf>
    <xf numFmtId="2" fontId="1" fillId="0" borderId="9" xfId="0" applyNumberFormat="1" applyFont="1" applyBorder="1" applyAlignment="1">
      <alignment horizontal="center" vertical="center" wrapText="1"/>
    </xf>
    <xf numFmtId="0" fontId="0" fillId="0" borderId="24" xfId="0" applyBorder="1" applyAlignment="1">
      <alignment horizontal="center" vertical="center" wrapText="1"/>
    </xf>
    <xf numFmtId="2" fontId="1" fillId="0" borderId="7" xfId="0" applyNumberFormat="1" applyFont="1" applyBorder="1" applyAlignment="1">
      <alignment horizontal="center"/>
    </xf>
    <xf numFmtId="2" fontId="1" fillId="0" borderId="8" xfId="0" applyNumberFormat="1" applyFont="1" applyBorder="1" applyAlignment="1">
      <alignment horizontal="center"/>
    </xf>
    <xf numFmtId="2" fontId="1" fillId="0" borderId="9" xfId="0" applyNumberFormat="1" applyFont="1" applyBorder="1" applyAlignment="1">
      <alignment horizontal="center"/>
    </xf>
    <xf numFmtId="0" fontId="0" fillId="0" borderId="0" xfId="0" applyNumberFormat="1"/>
  </cellXfs>
  <cellStyles count="2">
    <cellStyle name="Comma" xfId="1" builtinId="3"/>
    <cellStyle name="Normal" xfId="0" builtinId="0"/>
  </cellStyles>
  <dxfs count="147"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" formatCode="#,##0"/>
    </dxf>
    <dxf>
      <numFmt numFmtId="0" formatCode="General"/>
    </dxf>
    <dxf>
      <numFmt numFmtId="0" formatCode="General"/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b/>
        <i val="0"/>
        <color rgb="FF00B0F0"/>
      </font>
    </dxf>
    <dxf>
      <font>
        <b/>
        <i val="0"/>
        <color theme="5" tint="-0.24994659260841701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b/>
        <i val="0"/>
        <color rgb="FF00B0F0"/>
      </font>
    </dxf>
    <dxf>
      <font>
        <b/>
        <i val="0"/>
        <color theme="5" tint="-0.24994659260841701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b/>
        <i val="0"/>
        <color rgb="FF00B0F0"/>
      </font>
    </dxf>
    <dxf>
      <font>
        <b/>
        <i val="0"/>
        <color theme="5" tint="-0.24994659260841701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" formatCode="#,##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" formatCode="#,##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tos.rtd">
      <tp>
        <v>105.58</v>
        <stp/>
        <stp>LAST</stp>
        <stp>VRT</stp>
        <tr r="D56" s="2"/>
      </tp>
      <tp>
        <v>52</v>
        <stp/>
        <stp>LAST</stp>
        <stp>VVX</stp>
        <tr r="D18" s="4"/>
      </tp>
      <tp>
        <v>322.33999999999997</v>
        <stp/>
        <stp>LAST</stp>
        <stp>VMI</stp>
        <tr r="D59" s="3"/>
      </tp>
      <tp>
        <v>30.3</v>
        <stp/>
        <stp>LAST</stp>
        <stp>WSC</stp>
        <tr r="D60" s="3"/>
      </tp>
      <tp>
        <v>481.29</v>
        <stp/>
        <stp>LAST</stp>
        <stp>WSO</stp>
        <tr r="D118" s="2"/>
      </tp>
      <tp>
        <v>203.33</v>
        <stp/>
        <stp>LAST</stp>
        <stp>WWD</stp>
        <tr r="D18" s="2"/>
      </tp>
      <tp>
        <v>243.38</v>
        <stp/>
        <stp>LAST</stp>
        <stp>WTS</stp>
        <tr r="D111" s="3"/>
      </tp>
      <tp>
        <v>54.82</v>
        <stp/>
        <stp>LAST</stp>
        <stp>WNS</stp>
        <tr r="D143" s="3"/>
      </tp>
      <tp>
        <v>9.77</v>
        <stp/>
        <stp>LAST</stp>
        <stp>WNC</stp>
        <tr r="D108" s="4"/>
      </tp>
      <tp>
        <v>61.3</v>
        <stp/>
        <stp>LAST</stp>
        <stp>WOR</stp>
        <tr r="D110" s="3"/>
      </tp>
      <tp>
        <v>123.55</v>
        <stp/>
        <stp>LAST</stp>
        <stp>WMS</stp>
        <tr r="D32" s="3"/>
      </tp>
      <tp>
        <v>173.88</v>
        <stp/>
        <stp>LAST</stp>
        <stp>WCC</stp>
        <tr r="D158" s="3"/>
      </tp>
      <tp>
        <v>185.77</v>
        <stp/>
        <stp>LAST</stp>
        <stp>WCN</stp>
        <tr r="D39" s="2"/>
      </tp>
      <tp>
        <v>203.85</v>
        <stp/>
        <stp>LAST</stp>
        <stp>WAB</stp>
        <tr r="D75" s="2"/>
      </tp>
      <tp>
        <v>76.52</v>
        <stp/>
        <stp>LAST</stp>
        <stp>TXT</stp>
        <tr r="D17" s="2"/>
      </tp>
      <tp>
        <v>91.47</v>
        <stp/>
        <stp>LAST</stp>
        <stp>TRU</stp>
        <tr r="D107" s="2"/>
      </tp>
      <tp>
        <v>26.79</v>
        <stp/>
        <stp>LAST</stp>
        <stp>TRN</stp>
        <tr r="D107" s="4"/>
      </tp>
      <tp>
        <v>184.26</v>
        <stp/>
        <stp>LAST</stp>
        <stp>TRI</stp>
        <tr r="D106" s="2"/>
      </tp>
      <tp>
        <v>35.83</v>
        <stp/>
        <stp>LAST</stp>
        <stp>TPC</stp>
        <tr r="D62" s="4"/>
      </tp>
      <tp>
        <v>7.76</v>
        <stp/>
        <stp>LAST</stp>
        <stp>TWI</stp>
        <tr r="D110" s="4"/>
      </tp>
      <tp>
        <v>75.900000000000006</v>
        <stp/>
        <stp>LAST</stp>
        <stp>TTC</stp>
        <tr r="D89" s="3"/>
      </tp>
      <tp>
        <v>73.3</v>
        <stp/>
        <stp>LAST</stp>
        <stp>TKR</stp>
        <tr r="D109" s="3"/>
      </tp>
      <tp>
        <v>30.51</v>
        <stp/>
        <stp>LAST</stp>
        <stp>THR</stp>
        <tr r="D81" s="4"/>
      </tp>
      <tp>
        <v>10.74</v>
        <stp/>
        <stp>LAST</stp>
        <stp>TIC</stp>
        <tr r="D171" s="4"/>
      </tp>
      <tp>
        <v>76.959999999999994</v>
        <stp/>
        <stp>LAST</stp>
        <stp>TNC</stp>
        <tr r="D132" s="4"/>
      </tp>
      <tp>
        <v>25.65</v>
        <stp/>
        <stp>LAST</stp>
        <stp>TGI</stp>
        <tr r="D17" s="4"/>
      </tp>
      <tp>
        <v>1415.84</v>
        <stp/>
        <stp>LAST</stp>
        <stp>TDG</stp>
        <tr r="D16" s="2"/>
      </tp>
      <tp>
        <v>46.85</v>
        <stp/>
        <stp>LAST</stp>
        <stp>TEX</stp>
        <tr r="D86" s="3"/>
      </tp>
      <tp>
        <v>721.95</v>
        <stp/>
        <stp>LAST</stp>
        <stp>URI</stp>
        <tr r="D117" s="2"/>
      </tp>
      <tp>
        <v>99.81</v>
        <stp/>
        <stp>LAST</stp>
        <stp>UPS</stp>
        <tr r="D22" s="2"/>
      </tp>
      <tp>
        <v>228.25</v>
        <stp/>
        <stp>LAST</stp>
        <stp>UNP</stp>
        <tr r="D62" s="2"/>
      </tp>
      <tp>
        <v>186.05</v>
        <stp/>
        <stp>LAST</stp>
        <stp>UNF</stp>
        <tr r="D43" s="3"/>
      </tp>
      <tp>
        <v>71.14</v>
        <stp/>
        <stp>LAST</stp>
        <stp>ULS</stp>
        <tr r="D108" s="2"/>
      </tp>
      <tp>
        <v>25.83</v>
        <stp/>
        <stp>LAST</stp>
        <stp>ULH</stp>
        <tr r="D91" s="4"/>
      </tp>
      <tp>
        <v>82.6</v>
        <stp/>
        <stp>LAST</stp>
        <stp>UAL</stp>
        <tr r="D95" s="2"/>
      </tp>
      <tp>
        <v>16.62</v>
        <stp/>
        <stp>LAST</stp>
        <stp>RXO</stp>
        <tr r="D75" s="3"/>
      </tp>
      <tp>
        <v>144.34</v>
        <stp/>
        <stp>LAST</stp>
        <stp>RRX</stp>
        <tr r="D68" s="3"/>
      </tp>
      <tp>
        <v>237.99</v>
        <stp/>
        <stp>LAST</stp>
        <stp>RSG</stp>
        <tr r="D36" s="2"/>
      </tp>
      <tp>
        <v>130.72</v>
        <stp/>
        <stp>LAST</stp>
        <stp>RTX</stp>
        <tr r="D15" s="2"/>
      </tp>
      <tp>
        <v>23.28</v>
        <stp/>
        <stp>LAST</stp>
        <stp>RTO</stp>
        <tr r="D37" s="2"/>
      </tp>
      <tp>
        <v>11.9</v>
        <stp/>
        <stp>LAST</stp>
        <stp>RUN</stp>
        <tr r="D78" s="4"/>
      </tp>
      <tp>
        <v>47.69</v>
        <stp/>
        <stp>LAST</stp>
        <stp>RHI</stp>
        <tr r="D125" s="3"/>
      </tp>
      <tp>
        <v>54.85</v>
        <stp/>
        <stp>LAST</stp>
        <stp>ROL</stp>
        <tr r="D35" s="2"/>
      </tp>
      <tp>
        <v>308.51</v>
        <stp/>
        <stp>LAST</stp>
        <stp>ROK</stp>
        <tr r="D55" s="2"/>
      </tp>
      <tp>
        <v>370</v>
        <stp/>
        <stp>LAST</stp>
        <stp>RBC</stp>
        <tr r="D89" s="2"/>
      </tp>
      <tp>
        <v>104.72</v>
        <stp/>
        <stp>LAST</stp>
        <stp>RBA</stp>
        <tr r="D43" s="2"/>
      </tp>
      <tp>
        <v>11.39</v>
        <stp/>
        <stp>LAST</stp>
        <stp>RDW</stp>
        <tr r="D14" s="4"/>
      </tp>
      <tp>
        <v>51.77</v>
        <stp/>
        <stp>LAST</stp>
        <stp>RUSHA</stp>
        <tr r="D155" s="3"/>
      </tp>
      <tp>
        <v>56.22</v>
        <stp/>
        <stp>LAST</stp>
        <stp>RUSHB</stp>
        <tr r="D156" s="3"/>
      </tp>
      <tp>
        <v>156.66</v>
        <stp/>
        <stp>LAST</stp>
        <stp>SXI</stp>
        <tr r="D131" s="4"/>
      </tp>
      <tp>
        <v>26.7</v>
        <stp/>
        <stp>LAST</stp>
        <stp>SYM</stp>
        <tr r="D108" s="3"/>
      </tp>
      <tp>
        <v>165.8</v>
        <stp/>
        <stp>LAST</stp>
        <stp>SSD</stp>
        <tr r="D28" s="3"/>
      </tp>
      <tp>
        <v>37.299999999999997</v>
        <stp/>
        <stp>LAST</stp>
        <stp>SPR</stp>
        <tr r="D16" s="3"/>
      </tp>
      <tp>
        <v>73.819999999999993</v>
        <stp/>
        <stp>LAST</stp>
        <stp>SWK</stp>
        <tr r="D107" s="3"/>
      </tp>
      <tp>
        <v>94.63</v>
        <stp/>
        <stp>LAST</stp>
        <stp>STN</stp>
        <tr r="D50" s="2"/>
      </tp>
      <tp>
        <v>327.32</v>
        <stp/>
        <stp>LAST</stp>
        <stp>SNA</stp>
        <tr r="D90" s="2"/>
      </tp>
      <tp>
        <v>21.64</v>
        <stp/>
        <stp>LAST</stp>
        <stp>SMR</stp>
        <tr r="D71" s="3"/>
      </tp>
      <tp>
        <v>10.71</v>
        <stp/>
        <stp>LAST</stp>
        <stp>SCS</stp>
        <tr r="D43" s="4"/>
      </tp>
      <tp>
        <v>0.89339999999999997</v>
        <stp/>
        <stp>LAST</stp>
        <stp>SES</stp>
        <tr r="D79" s="4"/>
      </tp>
      <tp>
        <v>65.3</v>
        <stp/>
        <stp>LAST</stp>
        <stp>PSN</stp>
        <tr r="D136" s="3"/>
      </tp>
      <tp>
        <v>343.58</v>
        <stp/>
        <stp>LAST</stp>
        <stp>PWR</stp>
        <tr r="D49" s="2"/>
      </tp>
      <tp>
        <v>13.6</v>
        <stp/>
        <stp>LAST</stp>
        <stp>PKE</stp>
        <tr r="D13" s="4"/>
      </tp>
      <tp>
        <v>98.46</v>
        <stp/>
        <stp>LAST</stp>
        <stp>PNR</stp>
        <tr r="D88" s="2"/>
      </tp>
      <tp>
        <v>9.56</v>
        <stp/>
        <stp>LAST</stp>
        <stp>PBI</stp>
        <tr r="D42" s="4"/>
      </tp>
      <tp>
        <v>214.95</v>
        <stp/>
        <stp>LAST</stp>
        <stp>PAC</stp>
        <tr r="D119" s="2"/>
      </tp>
      <tp>
        <v>15.73</v>
        <stp/>
        <stp>LAST</stp>
        <stp>QXO</stp>
        <tr r="D154" s="3"/>
      </tp>
      <tp>
        <v>37.46</v>
        <stp/>
        <stp>LAST</stp>
        <stp>ZWS</stp>
        <tr r="D33" s="3"/>
      </tp>
      <tp>
        <v>18.47</v>
        <stp/>
        <stp>LAST</stp>
        <stp>ZTO</stp>
        <tr r="D23" s="2"/>
      </tp>
      <tp>
        <v>4.93</v>
        <stp/>
        <stp>LAST</stp>
        <stp>ZJK</stp>
        <tr r="D133" s="4"/>
      </tp>
      <tp>
        <v>2.82</v>
        <stp/>
        <stp>LAST</stp>
        <stp>ZKH</stp>
        <tr r="D193" s="4"/>
      </tp>
      <tp>
        <v>17.11</v>
        <stp/>
        <stp>LAST</stp>
        <stp>ZIM</stp>
        <tr r="D144" s="4"/>
      </tp>
      <tp>
        <v>16.334743</v>
        <stp/>
        <stp>LAST</stp>
        <stp>WJXFF</stp>
        <tr r="D190" s="4"/>
      </tp>
      <tp>
        <v>126.93</v>
        <stp/>
        <stp>LAST</stp>
        <stp>XYL</stp>
        <tr r="D91" s="2"/>
      </tp>
      <tp>
        <v>126</v>
        <stp/>
        <stp>LAST</stp>
        <stp>XPO</stp>
        <tr r="D66" s="2"/>
      </tp>
      <tp>
        <v>12.68</v>
        <stp/>
        <stp>LAST</stp>
        <stp>YMM</stp>
        <tr r="D67" s="2"/>
      </tp>
      <tp>
        <v>94.4</v>
        <stp/>
        <stp>LAST</stp>
        <stp>FSS</stp>
        <tr r="D84" s="3"/>
      </tp>
      <tp>
        <v>73.650000000000006</v>
        <stp/>
        <stp>LAST</stp>
        <stp>FTV</stp>
        <tr r="D78" s="2"/>
      </tp>
      <tp>
        <v>5.14</v>
        <stp/>
        <stp>LAST</stp>
        <stp>FIP</stp>
        <tr r="D85" s="4"/>
      </tp>
      <tp>
        <v>465.23</v>
        <stp/>
        <stp>LAST</stp>
        <stp>FIX</stp>
        <tr r="D47" s="2"/>
      </tp>
      <tp>
        <v>38.770000000000003</v>
        <stp/>
        <stp>LAST</stp>
        <stp>FLR</stp>
        <tr r="D52" s="3"/>
      </tp>
      <tp>
        <v>52.11</v>
        <stp/>
        <stp>LAST</stp>
        <stp>FLS</stp>
        <tr r="D97" s="3"/>
      </tp>
      <tp>
        <v>162.91</v>
        <stp/>
        <stp>LAST</stp>
        <stp>FCN</stp>
        <tr r="D133" s="3"/>
      </tp>
      <tp>
        <v>231.15</v>
        <stp/>
        <stp>LAST</stp>
        <stp>FDX</stp>
        <tr r="D21" s="2"/>
      </tp>
      <tp>
        <v>40.56</v>
        <stp/>
        <stp>LAST</stp>
        <stp>GXO</stp>
        <tr r="D17" s="3"/>
      </tp>
      <tp>
        <v>39.03</v>
        <stp/>
        <stp>LAST</stp>
        <stp>GRC</stp>
        <tr r="D117" s="4"/>
      </tp>
      <tp>
        <v>24.4</v>
        <stp/>
        <stp>LAST</stp>
        <stp>GSL</stp>
        <tr r="D138" s="4"/>
      </tp>
      <tp>
        <v>85.62</v>
        <stp/>
        <stp>LAST</stp>
        <stp>GVA</stp>
        <tr r="D53" s="3"/>
      </tp>
      <tp>
        <v>1066.3699999999999</v>
        <stp/>
        <stp>LAST</stp>
        <stp>GWW</stp>
        <tr r="D116" s="2"/>
      </tp>
      <tp>
        <v>37.35</v>
        <stp/>
        <stp>LAST</stp>
        <stp>GHM</stp>
        <tr r="D116" s="4"/>
      </tp>
      <tp>
        <v>26.96</v>
        <stp/>
        <stp>LAST</stp>
        <stp>GIC</stp>
        <tr r="D183" s="4"/>
      </tp>
      <tp>
        <v>14.56</v>
        <stp/>
        <stp>LAST</stp>
        <stp>GNK</stp>
        <tr r="D137" s="4"/>
      </tp>
      <tp>
        <v>77.45</v>
        <stp/>
        <stp>LAST</stp>
        <stp>GMS</stp>
        <tr r="D149" s="3"/>
      </tp>
      <tp>
        <v>47.55</v>
        <stp/>
        <stp>LAST</stp>
        <stp>GBX</stp>
        <tr r="D99" s="4"/>
      </tp>
      <tp>
        <v>73.52</v>
        <stp/>
        <stp>LAST</stp>
        <stp>GFF</stp>
        <tr r="D25" s="3"/>
      </tp>
      <tp>
        <v>48.1</v>
        <stp/>
        <stp>LAST</stp>
        <stp>GFL</stp>
        <tr r="D34" s="2"/>
      </tp>
      <tp>
        <v>85.74</v>
        <stp/>
        <stp>LAST</stp>
        <stp>GGG</stp>
        <tr r="D79" s="2"/>
      </tp>
      <tp>
        <v>433.33</v>
        <stp/>
        <stp>LAST</stp>
        <stp>GEV</stp>
        <tr r="D57" s="2"/>
      </tp>
      <tp>
        <v>26.59</v>
        <stp/>
        <stp>LAST</stp>
        <stp>GEO</stp>
        <tr r="D47" s="3"/>
      </tp>
      <tp>
        <v>40.64</v>
        <stp/>
        <stp>LAST</stp>
        <stp>DRS</stp>
        <tr r="D5" s="2"/>
      </tp>
      <tp>
        <v>8.9700000000000006</v>
        <stp/>
        <stp>LAST</stp>
        <stp>DNB</stp>
        <tr r="D131" s="3"/>
      </tp>
      <tp>
        <v>185.59</v>
        <stp/>
        <stp>LAST</stp>
        <stp>DOV</stp>
        <tr r="D77" s="2"/>
      </tp>
      <tp>
        <v>16.22</v>
        <stp/>
        <stp>LAST</stp>
        <stp>DLX</stp>
        <tr r="D31" s="4"/>
      </tp>
      <tp>
        <v>66.06</v>
        <stp/>
        <stp>LAST</stp>
        <stp>DCO</stp>
        <tr r="D7" s="4"/>
      </tp>
      <tp>
        <v>70.319999999999993</v>
        <stp/>
        <stp>LAST</stp>
        <stp>DCI</stp>
        <tr r="D92" s="3"/>
      </tp>
      <tp>
        <v>59.26</v>
        <stp/>
        <stp>LAST</stp>
        <stp>DAY</stp>
        <tr r="D121" s="3"/>
      </tp>
      <tp>
        <v>88.8</v>
        <stp/>
        <stp>LAST</stp>
        <stp>DAC</stp>
        <tr r="D136" s="4"/>
      </tp>
      <tp>
        <v>52.99</v>
        <stp/>
        <stp>LAST</stp>
        <stp>DAL</stp>
        <tr r="D92" s="2"/>
      </tp>
      <tp>
        <v>1.87</v>
        <stp/>
        <stp>LAST</stp>
        <stp>DDD</stp>
        <tr r="D114" s="4"/>
      </tp>
      <tp>
        <v>49.4</v>
        <stp/>
        <stp>LAST</stp>
        <stp>ERJ</stp>
        <tr r="D8" s="3"/>
      </tp>
      <tp>
        <v>185.41</v>
        <stp/>
        <stp>LAST</stp>
        <stp>ESE</stp>
        <tr r="D95" s="3"/>
      </tp>
      <tp>
        <v>330.75</v>
        <stp/>
        <stp>LAST</stp>
        <stp>ETN</stp>
        <tr r="D53" s="2"/>
      </tp>
      <tp>
        <v>100.4</v>
        <stp/>
        <stp>LAST</stp>
        <stp>ENS</stp>
        <tr r="D63" s="3"/>
      </tp>
      <tp>
        <v>121.49</v>
        <stp/>
        <stp>LAST</stp>
        <stp>EMR</stp>
        <tr r="D52" s="2"/>
      </tp>
      <tp>
        <v>472.38</v>
        <stp/>
        <stp>LAST</stp>
        <stp>EME</stp>
        <tr r="D46" s="2"/>
      </tp>
      <tp>
        <v>19.47</v>
        <stp/>
        <stp>LAST</stp>
        <stp>EBF</stp>
        <tr r="D32" s="4"/>
      </tp>
      <tp>
        <v>51.42</v>
        <stp/>
        <stp>LAST</stp>
        <stp>ECG</stp>
        <tr r="D51" s="3"/>
      </tp>
      <tp>
        <v>273.76</v>
        <stp/>
        <stp>LAST</stp>
        <stp>EFX</stp>
        <tr r="D102" s="2"/>
      </tp>
      <tp>
        <v>73.77</v>
        <stp/>
        <stp>LAST</stp>
        <stp>BXC</stp>
        <tr r="D178" s="4"/>
      </tp>
      <tp>
        <v>75.010000000000005</v>
        <stp/>
        <stp>LAST</stp>
        <stp>BRC</stp>
        <tr r="D34" s="3"/>
      </tp>
      <tp>
        <v>24.69</v>
        <stp/>
        <stp>LAST</stp>
        <stp>BBU</stp>
        <tr r="D94" s="4"/>
      </tp>
      <tp>
        <v>93.71</v>
        <stp/>
        <stp>LAST</stp>
        <stp>BCC</stp>
        <tr r="D146" s="3"/>
      </tp>
      <tp>
        <v>89.87</v>
        <stp/>
        <stp>LAST</stp>
        <stp>BCO</stp>
        <tr r="D45" s="3"/>
      </tp>
      <tp>
        <v>123.72</v>
        <stp/>
        <stp>LAST</stp>
        <stp>BAH</stp>
        <tr r="D100" s="2"/>
      </tp>
      <tp>
        <v>21.72</v>
        <stp/>
        <stp>LAST</stp>
        <stp>CXW</stp>
        <tr r="D46" s="3"/>
      </tp>
      <tp>
        <v>17.989999999999998</v>
        <stp/>
        <stp>LAST</stp>
        <stp>CYD</stp>
        <tr r="D98" s="4"/>
      </tp>
      <tp>
        <v>30.54</v>
        <stp/>
        <stp>LAST</stp>
        <stp>CSX</stp>
        <tr r="D60" s="2"/>
      </tp>
      <tp>
        <v>400.39</v>
        <stp/>
        <stp>LAST</stp>
        <stp>CSL</stp>
        <tr r="D27" s="2"/>
      </tp>
      <tp>
        <v>101.9</v>
        <stp/>
        <stp>LAST</stp>
        <stp>CPA</stp>
        <tr r="D116" s="3"/>
      </tp>
      <tp>
        <v>25.78</v>
        <stp/>
        <stp>LAST</stp>
        <stp>CIX</stp>
        <tr r="D39" s="4"/>
      </tp>
      <tp>
        <v>54.12</v>
        <stp/>
        <stp>LAST</stp>
        <stp>CNM</stp>
        <tr r="D147" s="3"/>
      </tp>
      <tp>
        <v>105.2</v>
        <stp/>
        <stp>LAST</stp>
        <stp>CNI</stp>
        <tr r="D58" s="2"/>
      </tp>
      <tp>
        <v>228.8</v>
        <stp/>
        <stp>LAST</stp>
        <stp>CLH</stp>
        <tr r="D33" s="2"/>
      </tp>
      <tp>
        <v>334.58</v>
        <stp/>
        <stp>LAST</stp>
        <stp>CMI</stp>
        <tr r="D73" s="2"/>
      </tp>
      <tp>
        <v>73.83</v>
        <stp/>
        <stp>LAST</stp>
        <stp>CBZ</stp>
        <tr r="D129" s="3"/>
      </tp>
      <tp>
        <v>352.54</v>
        <stp/>
        <stp>LAST</stp>
        <stp>CAT</stp>
        <tr r="D72" s="2"/>
      </tp>
      <tp>
        <v>106.35</v>
        <stp/>
        <stp>LAST</stp>
        <stp>CAR</stp>
        <tr r="D79" s="3"/>
      </tp>
      <tp>
        <v>25.99</v>
        <stp/>
        <stp>LAST</stp>
        <stp>CAE</stp>
        <tr r="D7" s="3"/>
      </tp>
      <tp>
        <v>49.86</v>
        <stp/>
        <stp>LAST</stp>
        <stp>RYAAY</stp>
        <tr r="D94" s="2"/>
      </tp>
      <tp>
        <v>94.15</v>
        <stp/>
        <stp>LAST</stp>
        <stp>AZZ</stp>
        <tr r="D22" s="3"/>
      </tp>
      <tp>
        <v>274.05</v>
        <stp/>
        <stp>LAST</stp>
        <stp>AYI</stp>
        <tr r="D62" s="3"/>
      </tp>
      <tp>
        <v>338.47</v>
        <stp/>
        <stp>LAST</stp>
        <stp>ASR</stp>
        <tr r="D159" s="3"/>
      </tp>
      <tp>
        <v>45.81</v>
        <stp/>
        <stp>LAST</stp>
        <stp>APG</stp>
        <tr r="D45" s="2"/>
      </tp>
      <tp>
        <v>157.65</v>
        <stp/>
        <stp>LAST</stp>
        <stp>AWI</stp>
        <tr r="D20" s="3"/>
      </tp>
      <tp>
        <v>28.09</v>
        <stp/>
        <stp>LAST</stp>
        <stp>ATS</stp>
        <tr r="D90" s="3"/>
      </tp>
      <tp>
        <v>73.930000000000007</v>
        <stp/>
        <stp>LAST</stp>
        <stp>ATI</stp>
        <tr r="D4" s="3"/>
      </tp>
      <tp>
        <v>232.1</v>
        <stp/>
        <stp>LAST</stp>
        <stp>AIT</stp>
        <tr r="D144" s="3"/>
      </tp>
      <tp>
        <v>61.38</v>
        <stp/>
        <stp>LAST</stp>
        <stp>AIR</stp>
        <tr r="D3" s="3"/>
      </tp>
      <tp>
        <v>68.290000000000006</v>
        <stp/>
        <stp>LAST</stp>
        <stp>AIN</stp>
        <tr r="D111" s="4"/>
      </tp>
      <tp>
        <v>70.12</v>
        <stp/>
        <stp>LAST</stp>
        <stp>AOS</stp>
        <tr r="D19" s="3"/>
      </tp>
      <tp>
        <v>202.64</v>
        <stp/>
        <stp>LAST</stp>
        <stp>ALG</stp>
        <tr r="D88" s="3"/>
      </tp>
      <tp>
        <v>54.88</v>
        <stp/>
        <stp>LAST</stp>
        <stp>ALK</stp>
        <tr r="D115" s="3"/>
      </tp>
      <tp>
        <v>180.5</v>
        <stp/>
        <stp>LAST</stp>
        <stp>AME</stp>
        <tr r="D51" s="2"/>
      </tp>
      <tp>
        <v>51.95</v>
        <stp/>
        <stp>LAST</stp>
        <stp>ABM</stp>
        <tr r="D35" s="3"/>
      </tp>
      <tp>
        <v>90.5</v>
        <stp/>
        <stp>LAST</stp>
        <stp>ACA</stp>
        <tr r="D48" s="3"/>
      </tp>
      <tp>
        <v>106.68</v>
        <stp/>
        <stp>LAST</stp>
        <stp>ACM</stp>
        <tr r="D44" s="2"/>
      </tp>
      <tp>
        <v>12.3</v>
        <stp/>
        <stp>LAST</stp>
        <stp>AAL</stp>
        <tr r="D114" s="3"/>
      </tp>
      <tp>
        <v>175.52</v>
        <stp/>
        <stp>LAST</stp>
        <stp>AGX</stp>
        <tr r="D49" s="3"/>
      </tp>
      <tp>
        <v>308.19</v>
        <stp/>
        <stp>LAST</stp>
        <stp>ADP</stp>
        <tr r="D96" s="2"/>
      </tp>
      <tp>
        <v>112.09</v>
        <stp/>
        <stp>LAST</stp>
        <stp>AER</stp>
        <tr r="D112" s="2"/>
      </tp>
      <tp>
        <v>3.33</v>
        <stp/>
        <stp>LAST</stp>
        <stp>CTNGY</stp>
        <tr r="D55" s="4"/>
      </tp>
      <tp>
        <v>54.09</v>
        <stp/>
        <stp>LAST</stp>
        <stp>NXT</stp>
        <tr r="D66" s="3"/>
      </tp>
      <tp>
        <v>69.319999999999993</v>
        <stp/>
        <stp>LAST</stp>
        <stp>NSP</stp>
        <tr r="D124" s="3"/>
      </tp>
      <tp>
        <v>240.26</v>
        <stp/>
        <stp>LAST</stp>
        <stp>NSC</stp>
        <tr r="D61" s="2"/>
      </tp>
      <tp>
        <v>186.5</v>
        <stp/>
        <stp>LAST</stp>
        <stp>NPO</stp>
        <tr r="D105" s="3"/>
      </tp>
      <tp>
        <v>85.64</v>
        <stp/>
        <stp>LAST</stp>
        <stp>NPK</stp>
        <tr r="D12" s="4"/>
      </tp>
      <tp>
        <v>68.099999999999994</v>
        <stp/>
        <stp>LAST</stp>
        <stp>NVT</stp>
        <tr r="D65" s="3"/>
      </tp>
      <tp>
        <v>27.32</v>
        <stp/>
        <stp>LAST</stp>
        <stp>NNE</stp>
        <tr r="D83" s="4"/>
      </tp>
      <tp>
        <v>470.67</v>
        <stp/>
        <stp>LAST</stp>
        <stp>NOC</stp>
        <tr r="D13" s="2"/>
      </tp>
      <tp>
        <v>39.67</v>
        <stp/>
        <stp>LAST</stp>
        <stp>NMM</stp>
        <tr r="D140" s="4"/>
      </tp>
      <tp>
        <v>8.4700000000000006</v>
        <stp/>
        <stp>LAST</stp>
        <stp>ORN</stp>
        <tr r="D61" s="4"/>
      </tp>
      <tp>
        <v>100.16</v>
        <stp/>
        <stp>LAST</stp>
        <stp>OSK</stp>
        <tr r="D85" s="3"/>
      </tp>
      <tp>
        <v>12.38</v>
        <stp/>
        <stp>LAST</stp>
        <stp>KELYA</stp>
        <tr r="D156" s="4"/>
      </tp>
      <tp>
        <v>12.071</v>
        <stp/>
        <stp>LAST</stp>
        <stp>KELYB</stp>
        <tr r="D157" s="4"/>
      </tp>
      <tp>
        <v>1E-4</v>
        <stp/>
        <stp>LAST</stp>
        <stp>GOLLQ</stp>
        <tr r="D146" s="4"/>
      </tp>
      <tp>
        <v>35.25</v>
        <stp/>
        <stp>LAST</stp>
        <stp>LTM</stp>
        <tr r="D118" s="3"/>
      </tp>
      <tp>
        <v>31.29</v>
        <stp/>
        <stp>LAST</stp>
        <stp>LUV</stp>
        <tr r="D93" s="2"/>
      </tp>
      <tp>
        <v>218.37</v>
        <stp/>
        <stp>LAST</stp>
        <stp>LHX</stp>
        <tr r="D11" s="2"/>
      </tp>
      <tp>
        <v>602.34</v>
        <stp/>
        <stp>LAST</stp>
        <stp>LII</stp>
        <tr r="D29" s="2"/>
      </tp>
      <tp>
        <v>138.9</v>
        <stp/>
        <stp>LAST</stp>
        <stp>LNN</stp>
        <tr r="D109" s="4"/>
      </tp>
      <tp>
        <v>459.83</v>
        <stp/>
        <stp>LAST</stp>
        <stp>LMT</stp>
        <tr r="D12" s="2"/>
      </tp>
      <tp>
        <v>122.17</v>
        <stp/>
        <stp>LAST</stp>
        <stp>LMB</stp>
        <tr r="D58" s="4"/>
      </tp>
      <tp>
        <v>13.13</v>
        <stp/>
        <stp>LAST</stp>
        <stp>MRC</stp>
        <tr r="D187" s="4"/>
      </tp>
      <tp>
        <v>161</v>
        <stp/>
        <stp>LAST</stp>
        <stp>MSA</stp>
        <tr r="D39" s="3"/>
      </tp>
      <tp>
        <v>79.03</v>
        <stp/>
        <stp>LAST</stp>
        <stp>MSM</stp>
        <tr r="D153" s="3"/>
      </tp>
      <tp>
        <v>25.95</v>
        <stp/>
        <stp>LAST</stp>
        <stp>MWA</stp>
        <tr r="D104" s="3"/>
      </tp>
      <tp>
        <v>11.39</v>
        <stp/>
        <stp>LAST</stp>
        <stp>MTW</stp>
        <tr r="D102" s="4"/>
      </tp>
      <tp>
        <v>156.75</v>
        <stp/>
        <stp>LAST</stp>
        <stp>MTZ</stp>
        <tr r="D48" s="2"/>
      </tp>
      <tp>
        <v>47.29</v>
        <stp/>
        <stp>LAST</stp>
        <stp>MLR</stp>
        <tr r="D101" s="4"/>
      </tp>
      <tp>
        <v>79.05</v>
        <stp/>
        <stp>LAST</stp>
        <stp>MLI</stp>
        <tr r="D103" s="3"/>
      </tp>
      <tp>
        <v>75.36</v>
        <stp/>
        <stp>LAST</stp>
        <stp>MMS</stp>
        <tr r="D141" s="3"/>
      </tp>
      <tp>
        <v>150.74</v>
        <stp/>
        <stp>LAST</stp>
        <stp>MMM</stp>
        <tr r="D71" s="2"/>
      </tp>
      <tp>
        <v>11.16</v>
        <stp/>
        <stp>LAST</stp>
        <stp>MBC</stp>
        <tr r="D27" s="4"/>
      </tp>
      <tp>
        <v>68.069999999999993</v>
        <stp/>
        <stp>LAST</stp>
        <stp>MAS</stp>
        <tr r="D30" s="2"/>
      </tp>
      <tp>
        <v>43.81</v>
        <stp/>
        <stp>LAST</stp>
        <stp>MAN</stp>
        <tr r="D159" s="4"/>
      </tp>
      <tp>
        <v>18.600000000000001</v>
        <stp/>
        <stp>LAST</stp>
        <stp>MEG</stp>
        <tr r="D36" s="4"/>
      </tp>
      <tp>
        <v>15.44</v>
        <stp/>
        <stp>LAST</stp>
        <stp>MEC</stp>
        <tr r="D125" s="4"/>
      </tp>
      <tp>
        <v>8.5</v>
        <stp/>
        <stp>LAST</stp>
        <stp>JBI</stp>
        <tr r="D25" s="4"/>
      </tp>
      <tp>
        <v>96.06</v>
        <stp/>
        <stp>LAST</stp>
        <stp>JCI</stp>
        <tr r="D28" s="2"/>
      </tp>
      <tp>
        <v>30.27</v>
        <stp/>
        <stp>LAST</stp>
        <stp>KRT</stp>
        <tr r="D185" s="4"/>
      </tp>
      <tp>
        <v>46.05</v>
        <stp/>
        <stp>LAST</stp>
        <stp>KNX</stp>
        <tr r="D72" s="3"/>
      </tp>
      <tp>
        <v>22.16</v>
        <stp/>
        <stp>LAST</stp>
        <stp>KMT</stp>
        <tr r="D122" s="4"/>
      </tp>
      <tp>
        <v>55.96</v>
        <stp/>
        <stp>LAST</stp>
        <stp>KBR</stp>
        <tr r="D135" s="3"/>
      </tp>
      <tp>
        <v>22.33</v>
        <stp/>
        <stp>LAST</stp>
        <stp>KAR</stp>
        <tr r="D42" s="3"/>
      </tp>
      <tp>
        <v>327.69</v>
        <stp/>
        <stp>LAST</stp>
        <stp>KAI</stp>
        <tr r="D101" s="3"/>
      </tp>
      <tp>
        <v>68.459999999999994</v>
        <stp/>
        <stp>LAST</stp>
        <stp>KFY</stp>
        <tr r="D123" s="3"/>
      </tp>
      <tp>
        <v>108.53</v>
        <stp/>
        <stp>LAST</stp>
        <stp>KEX</stp>
        <tr r="D112" s="3"/>
      </tp>
      <tp>
        <v>53.58</v>
        <stp/>
        <stp>LAST</stp>
        <stp>HXL</stp>
        <tr r="D10" s="3"/>
      </tp>
      <tp>
        <v>136.77000000000001</v>
        <stp/>
        <stp>LAST</stp>
        <stp>HRI</stp>
        <tr r="D151" s="3"/>
      </tp>
      <tp>
        <v>158.30000000000001</v>
        <stp/>
        <stp>LAST</stp>
        <stp>HWM</stp>
        <tr r="D10" s="2"/>
      </tp>
      <tp>
        <v>5.7649999999999997</v>
        <stp/>
        <stp>LAST</stp>
        <stp>HTZ</stp>
        <tr r="D93" s="4"/>
      </tp>
      <tp>
        <v>225.73</v>
        <stp/>
        <stp>LAST</stp>
        <stp>HII</stp>
        <tr r="D9" s="3"/>
      </tp>
      <tp>
        <v>48.76</v>
        <stp/>
        <stp>LAST</stp>
        <stp>HNI</stp>
        <tr r="D38" s="3"/>
      </tp>
      <tp>
        <v>218.22</v>
        <stp/>
        <stp>LAST</stp>
        <stp>HON</stp>
        <tr r="D70" s="2"/>
      </tp>
      <tp>
        <v>268.36</v>
        <stp/>
        <stp>LAST</stp>
        <stp>HEI</stp>
        <tr r="D9" s="2"/>
      </tp>
      <tp>
        <v>6.673349</v>
        <stp/>
        <stp>LAST</stp>
        <stp>BDIMF</stp>
        <tr r="D45" s="4"/>
      </tp>
      <tp>
        <v>249.14</v>
        <stp/>
        <stp>LAST</stp>
        <stp>ITW</stp>
        <tr r="D83" s="2"/>
      </tp>
      <tp>
        <v>150.44999999999999</v>
        <stp/>
        <stp>LAST</stp>
        <stp>ITT</stp>
        <tr r="D82" s="2"/>
      </tp>
      <tp>
        <v>9.19</v>
        <stp/>
        <stp>LAST</stp>
        <stp>IEP</stp>
        <tr r="D81" s="3"/>
      </tp>
      <tp>
        <v>190.31</v>
        <stp/>
        <stp>LAST</stp>
        <stp>IEX</stp>
        <tr r="D80" s="2"/>
      </tp>
      <tp>
        <v>51.91</v>
        <stp/>
        <stp>LAST</stp>
        <stp>AZEK</stp>
        <tr r="D21" s="3"/>
      </tp>
      <tp>
        <v>89.88</v>
        <stp/>
        <stp>LAST</stp>
        <stp>DXPE</stp>
        <tr r="D182" s="4"/>
      </tp>
      <tp>
        <v>115.31</v>
        <stp/>
        <stp>LAST</stp>
        <stp>EXPD</stp>
        <tr r="D20" s="2"/>
      </tp>
      <tp>
        <v>79.14</v>
        <stp/>
        <stp>LAST</stp>
        <stp>EXPO</stp>
        <tr r="D132" s="3"/>
      </tp>
      <tp>
        <v>12.45</v>
        <stp/>
        <stp>LAST</stp>
        <stp>LXFR</stp>
        <tr r="D124" s="4"/>
      </tp>
      <tp>
        <v>724.77</v>
        <stp/>
        <stp>LAST</stp>
        <stp>AXON</stp>
        <tr r="D2" s="2"/>
      </tp>
      <tp>
        <v>46.86</v>
        <stp/>
        <stp>LAST</stp>
        <stp>EXLS</stp>
        <tr r="D139" s="3"/>
      </tp>
      <tp>
        <v>16.7</v>
        <stp/>
        <stp>LAST</stp>
        <stp>LYTS</stp>
        <tr r="D75" s="4"/>
      </tp>
      <tp>
        <v>164.3</v>
        <stp/>
        <stp>LAST</stp>
        <stp>MYRG</stp>
        <tr r="D55" s="3"/>
      </tp>
      <tp>
        <v>24.66</v>
        <stp/>
        <stp>LAST</stp>
        <stp>BYRN</stp>
        <tr r="D5" s="4"/>
      </tp>
      <tp>
        <v>17.03</v>
        <stp/>
        <stp>LAST</stp>
        <stp>LYFT</stp>
        <tr r="D80" s="3"/>
      </tp>
      <tp>
        <v>1.91</v>
        <stp/>
        <stp>LAST</stp>
        <stp>HYLN</stp>
        <tr r="D73" s="4"/>
      </tp>
      <tp>
        <v>17.850000000000001</v>
        <stp/>
        <stp>LAST</stp>
        <stp>DRVN</stp>
        <tr r="D41" s="3"/>
      </tp>
      <tp>
        <v>13.78</v>
        <stp/>
        <stp>LAST</stp>
        <stp>MRTN</stp>
        <tr r="D89" s="4"/>
      </tp>
      <tp>
        <v>8.25</v>
        <stp/>
        <stp>LAST</stp>
        <stp>ARRY</stp>
        <tr r="D67" s="4"/>
      </tp>
      <tp>
        <v>23.55</v>
        <stp/>
        <stp>LAST</stp>
        <stp>VRRM</stp>
        <tr r="D142" s="3"/>
      </tp>
      <tp>
        <v>30.85</v>
        <stp/>
        <stp>LAST</stp>
        <stp>PRSU</stp>
        <tr r="D49" s="4"/>
      </tp>
      <tp>
        <v>301.57</v>
        <stp/>
        <stp>LAST</stp>
        <stp>VRSK</stp>
        <tr r="D109" s="2"/>
      </tp>
      <tp>
        <v>61.67</v>
        <stp/>
        <stp>LAST</stp>
        <stp>TREX</stp>
        <tr r="D30" s="3"/>
      </tp>
      <tp>
        <v>46.73</v>
        <stp/>
        <stp>LAST</stp>
        <stp>MRCY</stp>
        <tr r="D14" s="3"/>
      </tp>
      <tp>
        <v>69.97</v>
        <stp/>
        <stp>LAST</stp>
        <stp>ARCB</stp>
        <tr r="D86" s="4"/>
      </tp>
      <tp>
        <v>5.03</v>
        <stp/>
        <stp>LAST</stp>
        <stp>GRAB</stp>
        <tr r="D68" s="2"/>
      </tp>
      <tp>
        <v>189.98</v>
        <stp/>
        <stp>LAST</stp>
        <stp>CRAI</stp>
        <tr r="D161" s="4"/>
      </tp>
      <tp>
        <v>81.430000000000007</v>
        <stp/>
        <stp>LAST</stp>
        <stp>TRNS</stp>
        <tr r="D189" s="4"/>
      </tp>
      <tp>
        <v>19.25</v>
        <stp/>
        <stp>LAST</stp>
        <stp>KRNT</stp>
        <tr r="D123" s="4"/>
      </tp>
      <tp>
        <v>41.36</v>
        <stp/>
        <stp>LAST</stp>
        <stp>PRLB</stp>
        <tr r="D129" s="4"/>
      </tp>
      <tp>
        <v>40.159999999999997</v>
        <stp/>
        <stp>LAST</stp>
        <stp>KRMN</stp>
        <tr r="D11" s="3"/>
      </tp>
      <tp>
        <v>12.26</v>
        <stp/>
        <stp>LAST</stp>
        <stp>ERII</stp>
        <tr r="D115" s="4"/>
      </tp>
      <tp>
        <v>76.53</v>
        <stp/>
        <stp>LAST</stp>
        <stp>PRIM</stp>
        <tr r="D56" s="3"/>
      </tp>
      <tp>
        <v>336.3</v>
        <stp/>
        <stp>LAST</stp>
        <stp>CSWI</stp>
        <tr r="D23" s="3"/>
      </tp>
      <tp>
        <v>6.42</v>
        <stp/>
        <stp>LAST</stp>
        <stp>VSTS</stp>
        <tr r="D50" s="4"/>
      </tp>
      <tp>
        <v>140.21</v>
        <stp/>
        <stp>LAST</stp>
        <stp>LSTR</stp>
        <tr r="D73" s="3"/>
      </tp>
      <tp>
        <v>42.44</v>
        <stp/>
        <stp>LAST</stp>
        <stp>ASTE</stp>
        <tr r="D96" s="4"/>
      </tp>
      <tp>
        <v>9.91</v>
        <stp/>
        <stp>LAST</stp>
        <stp>ASUR</stp>
        <tr r="D152" s="4"/>
      </tp>
      <tp>
        <v>11.01</v>
        <stp/>
        <stp>LAST</stp>
        <stp>SSYS</stp>
        <tr r="D130" s="4"/>
      </tp>
      <tp>
        <v>65.45</v>
        <stp/>
        <stp>LAST</stp>
        <stp>CSGS</stp>
        <tr r="D174" s="4"/>
      </tp>
      <tp>
        <v>27.24</v>
        <stp/>
        <stp>LAST</stp>
        <stp>DSGR</stp>
        <tr r="D181" s="4"/>
      </tp>
      <tp>
        <v>132.54</v>
        <stp/>
        <stp>LAST</stp>
        <stp>VSEC</stp>
        <tr r="D44" s="3"/>
      </tp>
      <tp>
        <v>129.44</v>
        <stp/>
        <stp>LAST</stp>
        <stp>ESAB</stp>
        <tr r="D94" s="3"/>
      </tp>
      <tp>
        <v>79.66</v>
        <stp/>
        <stp>LAST</stp>
        <stp>SSNC</stp>
        <tr r="D111" s="2"/>
      </tp>
      <tp>
        <v>381.51</v>
        <stp/>
        <stp>LAST</stp>
        <stp>ESLT</stp>
        <tr r="D6" s="2"/>
      </tp>
      <tp>
        <v>6.1</v>
        <stp/>
        <stp>LAST</stp>
        <stp>ASLE</stp>
        <tr r="D2" s="4"/>
      </tp>
      <tp>
        <v>5.65</v>
        <stp/>
        <stp>LAST</stp>
        <stp>HSHP</stp>
        <tr r="D139" s="4"/>
      </tp>
      <tp>
        <v>35.06</v>
        <stp/>
        <stp>LAST</stp>
        <stp>PSIX</stp>
        <tr r="D84" s="4"/>
      </tp>
      <tp>
        <v>43.43</v>
        <stp/>
        <stp>LAST</stp>
        <stp>HSII</stp>
        <tr r="D155" s="4"/>
      </tp>
      <tp>
        <v>17.5</v>
        <stp/>
        <stp>LAST</stp>
        <stp>UPWK</stp>
        <tr r="D127" s="3"/>
      </tp>
      <tp>
        <v>62.39</v>
        <stp/>
        <stp>LAST</stp>
        <stp>CPRT</stp>
        <tr r="D41" s="2"/>
      </tp>
      <tp>
        <v>157.06</v>
        <stp/>
        <stp>LAST</stp>
        <stp>SPXC</stp>
        <tr r="D106" s="3"/>
      </tp>
      <tp>
        <v>46.08</v>
        <stp/>
        <stp>LAST</stp>
        <stp>EPAC</stp>
        <tr r="D93" s="3"/>
      </tp>
      <tp>
        <v>42.2</v>
        <stp/>
        <stp>LAST</stp>
        <stp>APOG</stp>
        <tr r="D23" s="4"/>
      </tp>
      <tp>
        <v>9.9600000000000009</v>
        <stp/>
        <stp>LAST</stp>
        <stp>SPIR</stp>
        <tr r="D170" s="4"/>
      </tp>
      <tp>
        <v>24.89</v>
        <stp/>
        <stp>LAST</stp>
        <stp>LQDT</stp>
        <tr r="D48" s="4"/>
      </tp>
      <tp>
        <v>4.84</v>
        <stp/>
        <stp>LAST</stp>
        <stp>EVTL</stp>
        <tr r="D10" s="4"/>
      </tp>
      <tp>
        <v>32.4</v>
        <stp/>
        <stp>LAST</stp>
        <stp>FVRR</stp>
        <tr r="D154" s="4"/>
      </tp>
      <tp>
        <v>7.65</v>
        <stp/>
        <stp>LAST</stp>
        <stp>NVRI</stp>
        <tr r="D37" s="4"/>
      </tp>
      <tp>
        <v>2.44</v>
        <stp/>
        <stp>LAST</stp>
        <stp>LVRO</stp>
        <tr r="D186" s="4"/>
      </tp>
      <tp>
        <v>3.11</v>
        <stp/>
        <stp>LAST</stp>
        <stp>MVST</stp>
        <tr r="D103" s="4"/>
      </tp>
      <tp>
        <v>3.93</v>
        <stp/>
        <stp>LAST</stp>
        <stp>EVEX</stp>
        <tr r="D9" s="4"/>
      </tp>
      <tp>
        <v>19.47</v>
        <stp/>
        <stp>LAST</stp>
        <stp>NVEE</stp>
        <tr r="D168" s="4"/>
      </tp>
      <tp>
        <v>20.79</v>
        <stp/>
        <stp>LAST</stp>
        <stp>CVEO</stp>
        <tr r="D46" s="4"/>
      </tp>
      <tp>
        <v>166.6</v>
        <stp/>
        <stp>LAST</stp>
        <stp>AVAV</stp>
        <tr r="D5" s="3"/>
      </tp>
      <tp>
        <v>23.05</v>
        <stp/>
        <stp>LAST</stp>
        <stp>CVLG</stp>
        <tr r="D87" s="4"/>
      </tp>
      <tp>
        <v>18.899999999999999</v>
        <stp/>
        <stp>LAST</stp>
        <stp>FWRD</stp>
        <tr r="D19" s="4"/>
      </tp>
      <tp>
        <v>112.23</v>
        <stp/>
        <stp>LAST</stp>
        <stp>CWST</stp>
        <tr r="D36" s="3"/>
      </tp>
      <tp>
        <v>40.799999999999997</v>
        <stp/>
        <stp>LAST</stp>
        <stp>NWPX</stp>
        <tr r="D60" s="4"/>
      </tp>
      <tp>
        <v>107.19</v>
        <stp/>
        <stp>LAST</stp>
        <stp>BWXT</stp>
        <tr r="D6" s="3"/>
      </tp>
      <tp>
        <v>25.72</v>
        <stp/>
        <stp>LAST</stp>
        <stp>BWMN</stp>
        <tr r="D53" s="4"/>
      </tp>
      <tp>
        <v>12.97</v>
        <stp/>
        <stp>LAST</stp>
        <stp>MTRX</stp>
        <tr r="D59" s="4"/>
      </tp>
      <tp>
        <v>20.13</v>
        <stp/>
        <stp>LAST</stp>
        <stp>CTRI</stp>
        <tr r="D56" s="4"/>
      </tp>
      <tp>
        <v>29.78</v>
        <stp/>
        <stp>LAST</stp>
        <stp>ATRO</stp>
        <tr r="D3" s="4"/>
      </tp>
      <tp>
        <v>187.48</v>
        <stp/>
        <stp>LAST</stp>
        <stp>STRL</stp>
        <tr r="D58" s="3"/>
      </tp>
      <tp>
        <v>22.6</v>
        <stp/>
        <stp>LAST</stp>
        <stp>GTES</stp>
        <tr r="D98" s="3"/>
      </tp>
      <tp>
        <v>35.04</v>
        <stp/>
        <stp>LAST</stp>
        <stp>TTEK</stp>
        <tr r="D37" s="3"/>
      </tp>
      <tp>
        <v>215.33</v>
        <stp/>
        <stp>LAST</stp>
        <stp>CTAS</stp>
        <tr r="D42" s="2"/>
      </tp>
      <tp>
        <v>117.81</v>
        <stp/>
        <stp>LAST</stp>
        <stp>FTAI</stp>
        <tr r="D115" s="2"/>
      </tp>
      <tp>
        <v>4.5599999999999996</v>
        <stp/>
        <stp>LAST</stp>
        <stp>CTOS</stp>
        <tr r="D179" s="4"/>
      </tp>
      <tp>
        <v>33.78</v>
        <stp/>
        <stp>LAST</stp>
        <stp>KTOS</stp>
        <tr r="D12" s="3"/>
      </tp>
      <tp>
        <v>175.1</v>
        <stp/>
        <stp>LAST</stp>
        <stp>GTLS</stp>
        <tr r="D99" s="3"/>
      </tp>
      <tp>
        <v>8.91</v>
        <stp/>
        <stp>LAST</stp>
        <stp>HTLD</stp>
        <tr r="D88" s="4"/>
      </tp>
      <tp>
        <v>38.82</v>
        <stp/>
        <stp>LAST</stp>
        <stp>ATMU</stp>
        <tr r="D83" s="3"/>
      </tp>
      <tp>
        <v>70.16</v>
        <stp/>
        <stp>LAST</stp>
        <stp>ATKR</stp>
        <tr r="D61" s="3"/>
      </tp>
      <tp>
        <v>96.99</v>
        <stp/>
        <stp>LAST</stp>
        <stp>OTIS</stp>
        <tr r="D86" s="2"/>
      </tp>
      <tp>
        <v>149.80000000000001</v>
        <stp/>
        <stp>LAST</stp>
        <stp>HURN</stp>
        <tr r="D134" s="3"/>
      </tp>
      <tp>
        <v>386.66</v>
        <stp/>
        <stp>LAST</stp>
        <stp>HUBB</stp>
        <tr r="D54" s="2"/>
      </tp>
      <tp>
        <v>35.53</v>
        <stp/>
        <stp>LAST</stp>
        <stp>HUBG</stp>
        <tr r="D20" s="4"/>
      </tp>
      <tp>
        <v>5.87</v>
        <stp/>
        <stp>LAST</stp>
        <stp>QUAD</stp>
        <tr r="D33" s="4"/>
      </tp>
      <tp>
        <v>11.63</v>
        <stp/>
        <stp>LAST</stp>
        <stp>LUNR</stp>
        <tr r="D11" s="4"/>
      </tp>
      <tp>
        <v>1.57</v>
        <stp/>
        <stp>LAST</stp>
        <stp>KULR</stp>
        <tr r="D74" s="4"/>
      </tp>
      <tp>
        <v>11.84</v>
        <stp/>
        <stp>LAST</stp>
        <stp>BKSY</stp>
        <tr r="D160" s="4"/>
      </tp>
      <tp>
        <v>103.84</v>
        <stp/>
        <stp>LAST</stp>
        <stp>SKYW</stp>
        <tr r="D119" s="3"/>
      </tp>
      <tp>
        <v>11.94</v>
        <stp/>
        <stp>LAST</stp>
        <stp>SKYH</stp>
        <tr r="D194" s="4"/>
      </tp>
      <tp>
        <v>19.989999999999998</v>
        <stp/>
        <stp>LAST</stp>
        <stp>PKOH</stp>
        <tr r="D128" s="4"/>
      </tp>
      <tp>
        <v>21.83</v>
        <stp/>
        <stp>LAST</stp>
        <stp>RKLB</stp>
        <tr r="D14" s="2"/>
      </tp>
      <tp>
        <v>96.28</v>
        <stp/>
        <stp>LAST</stp>
        <stp>CHRW</stp>
        <tr r="D19" s="2"/>
      </tp>
      <tp>
        <v>0.69389999999999996</v>
        <stp/>
        <stp>LAST</stp>
        <stp>CHPT</stp>
        <tr r="D69" s="4"/>
      </tp>
      <tp>
        <v>10.119999999999999</v>
        <stp/>
        <stp>LAST</stp>
        <stp>SHYF</stp>
        <tr r="D106" s="4"/>
      </tp>
      <tp>
        <v>65.72</v>
        <stp/>
        <stp>LAST</stp>
        <stp>UHAL</stp>
        <tr r="D65" s="2"/>
      </tp>
      <tp>
        <v>6.03</v>
        <stp/>
        <stp>LAST</stp>
        <stp>SHLS</stp>
        <tr r="D80" s="4"/>
      </tp>
      <tp>
        <v>126.94</v>
        <stp/>
        <stp>LAST</stp>
        <stp>SITE</stp>
        <tr r="D157" s="3"/>
      </tp>
      <tp>
        <v>21.23</v>
        <stp/>
        <stp>LAST</stp>
        <stp>TITN</stp>
        <tr r="D188" s="4"/>
      </tp>
      <tp>
        <v>4.55</v>
        <stp/>
        <stp>LAST</stp>
        <stp>AIRJ</stp>
        <tr r="D112" s="4"/>
      </tp>
      <tp>
        <v>2.96</v>
        <stp/>
        <stp>LAST</stp>
        <stp>TIXT</stp>
        <tr r="D177" s="4"/>
      </tp>
      <tp>
        <v>149.91</v>
        <stp/>
        <stp>LAST</stp>
        <stp>MIDD</stp>
        <tr r="D102" s="3"/>
      </tp>
      <tp>
        <v>44.57</v>
        <stp/>
        <stp>LAST</stp>
        <stp>VICR</stp>
        <tr r="D82" s="4"/>
      </tp>
      <tp>
        <v>21.01</v>
        <stp/>
        <stp>LAST</stp>
        <stp>TILE</stp>
        <tr r="D44" s="4"/>
      </tp>
      <tp>
        <v>37.369999999999997</v>
        <stp/>
        <stp>LAST</stp>
        <stp>IIIN</stp>
        <tr r="D24" s="4"/>
      </tp>
      <tp>
        <v>7.93</v>
        <stp/>
        <stp>LAST</stp>
        <stp>ENVX</stp>
        <tr r="D70" s="4"/>
      </tp>
      <tp>
        <v>129.07</v>
        <stp/>
        <stp>LAST</stp>
        <stp>GNRC</stp>
        <tr r="D64" s="3"/>
      </tp>
      <tp>
        <v>55.17</v>
        <stp/>
        <stp>LAST</stp>
        <stp>CNXC</stp>
        <tr r="D138" s="3"/>
      </tp>
      <tp>
        <v>24.37</v>
        <stp/>
        <stp>LAST</stp>
        <stp>SNDR</stp>
        <tr r="D77" s="3"/>
      </tp>
      <tp>
        <v>2.2999999999999998</v>
        <stp/>
        <stp>LAST</stp>
        <stp>CNDT</stp>
        <tr r="D173" s="4"/>
      </tp>
      <tp>
        <v>1.59</v>
        <stp/>
        <stp>LAST</stp>
        <stp>NNDM</stp>
        <tr r="D126" s="4"/>
      </tp>
      <tp>
        <v>83.85</v>
        <stp/>
        <stp>LAST</stp>
        <stp>TNET</stp>
        <tr r="D126" s="3"/>
      </tp>
      <tp>
        <v>12.77</v>
        <stp/>
        <stp>LAST</stp>
        <stp>SNCY</stp>
        <tr r="D148" s="4"/>
      </tp>
      <tp>
        <v>15.57</v>
        <stp/>
        <stp>LAST</stp>
        <stp>DNOW</stp>
        <tr r="D180" s="4"/>
      </tp>
      <tp>
        <v>36.32</v>
        <stp/>
        <stp>LAST</stp>
        <stp>INOD</stp>
        <tr r="D165" s="4"/>
      </tp>
      <tp>
        <v>194.88</v>
        <stp/>
        <stp>LAST</stp>
        <stp>POWL</stp>
        <tr r="D67" s="3"/>
      </tp>
      <tp>
        <v>6.8</v>
        <stp/>
        <stp>LAST</stp>
        <stp>EOSE</stp>
        <tr r="D71" s="4"/>
      </tp>
      <tp>
        <v>7.19</v>
        <stp/>
        <stp>LAST</stp>
        <stp>JOBY</stp>
        <tr r="D117" s="3"/>
      </tp>
      <tp>
        <v>63.09</v>
        <stp/>
        <stp>LAST</stp>
        <stp>ROCK</stp>
        <tr r="D29" s="4"/>
      </tp>
      <tp>
        <v>93.14</v>
        <stp/>
        <stp>LAST</stp>
        <stp>LOAR</stp>
        <tr r="D13" s="3"/>
      </tp>
      <tp>
        <v>103.36</v>
        <stp/>
        <stp>LAST</stp>
        <stp>ROAD</stp>
        <tr r="D57" s="3"/>
      </tp>
      <tp>
        <v>4.4400000000000004</v>
        <stp/>
        <stp>LAST</stp>
        <stp>CLVT</stp>
        <tr r="D130" s="3"/>
      </tp>
      <tp>
        <v>100.25</v>
        <stp/>
        <stp>LAST</stp>
        <stp>VLTO</stp>
        <tr r="D38" s="2"/>
      </tp>
      <tp>
        <v>0.81169999999999998</v>
        <stp/>
        <stp>LAST</stp>
        <stp>PLUG</stp>
        <tr r="D77" s="4"/>
      </tp>
      <tp>
        <v>4.28</v>
        <stp/>
        <stp>LAST</stp>
        <stp>VLRS</stp>
        <tr r="D151" s="4"/>
      </tp>
      <tp>
        <v>104.98</v>
        <stp/>
        <stp>LAST</stp>
        <stp>ALSN</stp>
        <tr r="D82" s="3"/>
      </tp>
      <tp>
        <v>141.80000000000001</v>
        <stp/>
        <stp>LAST</stp>
        <stp>PLPC</stp>
        <tr r="D76" s="4"/>
      </tp>
      <tp>
        <v>145.74</v>
        <stp/>
        <stp>LAST</stp>
        <stp>WLFC</stp>
        <tr r="D191" s="4"/>
      </tp>
      <tp>
        <v>6.54</v>
        <stp/>
        <stp>LAST</stp>
        <stp>RLGT</stp>
        <tr r="D21" s="4"/>
      </tp>
      <tp>
        <v>58.34</v>
        <stp/>
        <stp>LAST</stp>
        <stp>ALGT</stp>
        <tr r="D145" s="4"/>
      </tp>
      <tp>
        <v>123.81</v>
        <stp/>
        <stp>LAST</stp>
        <stp>BLDR</stp>
        <tr r="D25" s="2"/>
      </tp>
      <tp>
        <v>1.39</v>
        <stp/>
        <stp>LAST</stp>
        <stp>BLDP</stp>
        <tr r="D68" s="4"/>
      </tp>
      <tp>
        <v>11.42</v>
        <stp/>
        <stp>LAST</stp>
        <stp>GLDD</stp>
        <tr r="D57" s="4"/>
      </tp>
      <tp>
        <v>45.99</v>
        <stp/>
        <stp>LAST</stp>
        <stp>WLDN</stp>
        <tr r="D172" s="4"/>
      </tp>
      <tp>
        <v>40.590000000000003</v>
        <stp/>
        <stp>LAST</stp>
        <stp>BLBD</stp>
        <tr r="D97" s="4"/>
      </tp>
      <tp>
        <v>4.3899999999999997</v>
        <stp/>
        <stp>LAST</stp>
        <stp>ULCC</stp>
        <tr r="D149" s="4"/>
      </tp>
      <tp>
        <v>31.35</v>
        <stp/>
        <stp>LAST</stp>
        <stp>ALNT</stp>
        <tr r="D64" s="4"/>
      </tp>
      <tp>
        <v>5.78</v>
        <stp/>
        <stp>LAST</stp>
        <stp>FLNC</stp>
        <tr r="D72" s="4"/>
      </tp>
      <tp>
        <v>29.31</v>
        <stp/>
        <stp>LAST</stp>
        <stp>PLOW</stp>
        <tr r="D104" s="4"/>
      </tp>
      <tp>
        <v>142.85</v>
        <stp/>
        <stp>LAST</stp>
        <stp>ALLE</stp>
        <tr r="D24" s="2"/>
      </tp>
      <tp>
        <v>8.36</v>
        <stp/>
        <stp>LAST</stp>
        <stp>HLMN</stp>
        <tr r="D120" s="4"/>
      </tp>
      <tp>
        <v>17.829999999999998</v>
        <stp/>
        <stp>LAST</stp>
        <stp>MLKN</stp>
        <tr r="D40" s="4"/>
      </tp>
      <tp>
        <v>5.89</v>
        <stp/>
        <stp>LAST</stp>
        <stp>ALIT</stp>
        <tr r="D120" s="3"/>
      </tp>
      <tp>
        <v>33.72</v>
        <stp/>
        <stp>LAST</stp>
        <stp>HLIO</stp>
        <tr r="D119" s="4"/>
      </tp>
      <tp>
        <v>61.67</v>
        <stp/>
        <stp>LAST</stp>
        <stp>AMWD</stp>
        <tr r="D22" s="4"/>
      </tp>
      <tp>
        <v>30.56</v>
        <stp/>
        <stp>LAST</stp>
        <stp>XMTR</stp>
        <tr r="D192" s="4"/>
      </tp>
      <tp>
        <v>21.15</v>
        <stp/>
        <stp>LAST</stp>
        <stp>AMTM</stp>
        <tr r="D128" s="3"/>
      </tp>
      <tp>
        <v>14.57</v>
        <stp/>
        <stp>LAST</stp>
        <stp>AMRC</stp>
        <tr r="D51" s="4"/>
      </tp>
      <tp>
        <v>8.67</v>
        <stp/>
        <stp>LAST</stp>
        <stp>CMRE</stp>
        <tr r="D135" s="4"/>
      </tp>
      <tp>
        <v>23.58</v>
        <stp/>
        <stp>LAST</stp>
        <stp>AMSC</stp>
        <tr r="D66" s="4"/>
      </tp>
      <tp>
        <v>45.57</v>
        <stp/>
        <stp>LAST</stp>
        <stp>CMPR</stp>
        <tr r="D30" s="4"/>
      </tp>
      <tp>
        <v>2.87</v>
        <stp/>
        <stp>LAST</stp>
        <stp>AMPX</stp>
        <tr r="D65" s="4"/>
      </tp>
      <tp>
        <v>18.23</v>
        <stp/>
        <stp>LAST</stp>
        <stp>CMCO</stp>
        <tr r="D113" s="4"/>
      </tp>
      <tp>
        <v>98.8</v>
        <stp/>
        <stp>LAST</stp>
        <stp>OMAB</stp>
        <tr r="D161" s="3"/>
      </tp>
      <tp>
        <v>118.78</v>
        <stp/>
        <stp>LAST</stp>
        <stp>JBTM</stp>
        <tr r="D100" s="3"/>
      </tp>
      <tp>
        <v>28.9</v>
        <stp/>
        <stp>LAST</stp>
        <stp>BBUC</stp>
        <tr r="D95" s="4"/>
      </tp>
      <tp>
        <v>41.71</v>
        <stp/>
        <stp>LAST</stp>
        <stp>BBSI</stp>
        <tr r="D153" s="4"/>
      </tp>
      <tp>
        <v>7.78</v>
        <stp/>
        <stp>LAST</stp>
        <stp>FBYD</stp>
        <tr r="D162" s="4"/>
      </tp>
      <tp>
        <v>91.72</v>
        <stp/>
        <stp>LAST</stp>
        <stp>UBER</stp>
        <tr r="D69" s="2"/>
      </tp>
      <tp>
        <v>27.64</v>
        <stp/>
        <stp>LAST</stp>
        <stp>IBEX</stp>
        <tr r="D175" s="4"/>
      </tp>
      <tp>
        <v>7.05</v>
        <stp/>
        <stp>LAST</stp>
        <stp>BBCP</stp>
        <tr r="D52" s="4"/>
      </tp>
      <tp>
        <v>4.93</v>
        <stp/>
        <stp>LAST</stp>
        <stp>JBLU</stp>
        <tr r="D147" s="4"/>
      </tp>
      <tp>
        <v>16.43</v>
        <stp/>
        <stp>LAST</stp>
        <stp>SBLK</stp>
        <tr r="D143" s="4"/>
      </tp>
      <tp>
        <v>147.32</v>
        <stp/>
        <stp>LAST</stp>
        <stp>JBHT</stp>
        <tr r="D63" s="2"/>
      </tp>
      <tp>
        <v>56.44</v>
        <stp/>
        <stp>LAST</stp>
        <stp>FBIN</stp>
        <tr r="D24" s="3"/>
      </tp>
      <tp>
        <v>16.920000000000002</v>
        <stp/>
        <stp>LAST</stp>
        <stp>ACVA</stp>
        <tr r="D40" s="3"/>
      </tp>
      <tp>
        <v>199.23</v>
        <stp/>
        <stp>LAST</stp>
        <stp>PCTY</stp>
        <tr r="D99" s="2"/>
      </tp>
      <tp>
        <v>14.52</v>
        <stp/>
        <stp>LAST</stp>
        <stp>HCSG</stp>
        <tr r="D47" s="4"/>
      </tp>
      <tp>
        <v>86.1</v>
        <stp/>
        <stp>LAST</stp>
        <stp>ICFI</stp>
        <tr r="D164" s="4"/>
      </tp>
      <tp>
        <v>19.95</v>
        <stp/>
        <stp>LAST</stp>
        <stp>CCEC</stp>
        <tr r="D134" s="4"/>
      </tp>
      <tp>
        <v>3.92</v>
        <stp/>
        <stp>LAST</stp>
        <stp>ACCO</stp>
        <tr r="D38" s="4"/>
      </tp>
      <tp>
        <v>96.26</v>
        <stp/>
        <stp>LAST</stp>
        <stp>PCAR</stp>
        <tr r="D74" s="2"/>
      </tp>
      <tp>
        <v>8.61</v>
        <stp/>
        <stp>LAST</stp>
        <stp>HCAI</stp>
        <tr r="D100" s="4"/>
      </tp>
      <tp>
        <v>11.16</v>
        <stp/>
        <stp>LAST</stp>
        <stp>ACHR</stp>
        <tr r="D2" s="3"/>
      </tp>
      <tp>
        <v>33.47</v>
        <stp/>
        <stp>LAST</stp>
        <stp>TATT</stp>
        <tr r="D16" s="4"/>
      </tp>
      <tp>
        <v>149.24</v>
        <stp/>
        <stp>LAST</stp>
        <stp>GATX</stp>
        <tr r="D148" s="3"/>
      </tp>
      <tp>
        <v>117.62</v>
        <stp/>
        <stp>LAST</stp>
        <stp>MATX</stp>
        <tr r="D113" s="3"/>
      </tp>
      <tp>
        <v>4.09</v>
        <stp/>
        <stp>LAST</stp>
        <stp>SATL</stp>
        <tr r="D15" s="4"/>
      </tp>
      <tp>
        <v>74.650000000000006</v>
        <stp/>
        <stp>LAST</stp>
        <stp>CARR</stp>
        <tr r="D26" s="2"/>
      </tp>
      <tp>
        <v>29.85</v>
        <stp/>
        <stp>LAST</stp>
        <stp>SARO</stp>
        <tr r="D15" s="3"/>
      </tp>
      <tp>
        <v>79.97</v>
        <stp/>
        <stp>LAST</stp>
        <stp>FAST</stp>
        <tr r="D113" s="2"/>
      </tp>
      <tp>
        <v>16.77</v>
        <stp/>
        <stp>LAST</stp>
        <stp>TASK</stp>
        <tr r="D176" s="4"/>
      </tp>
      <tp>
        <v>14.76</v>
        <stp/>
        <stp>LAST</stp>
        <stp>HAYW</stp>
        <tr r="D26" s="3"/>
      </tp>
      <tp>
        <v>151.26</v>
        <stp/>
        <stp>LAST</stp>
        <stp>PAYX</stp>
        <tr r="D98" s="2"/>
      </tp>
      <tp>
        <v>260.20999999999998</v>
        <stp/>
        <stp>LAST</stp>
        <stp>PAYC</stp>
        <tr r="D97" s="2"/>
      </tp>
      <tp>
        <v>462.04</v>
        <stp/>
        <stp>LAST</stp>
        <stp>CACI</stp>
        <tr r="D101" s="2"/>
      </tp>
      <tp>
        <v>21.87</v>
        <stp/>
        <stp>LAST</stp>
        <stp>CAAP</stp>
        <tr r="D160" s="3"/>
      </tp>
      <tp>
        <v>4.32</v>
        <stp/>
        <stp>LAST</stp>
        <stp>PANL</stp>
        <tr r="D141" s="4"/>
      </tp>
      <tp>
        <v>105.95</v>
        <stp/>
        <stp>LAST</stp>
        <stp>AAON</stp>
        <tr r="D18" s="3"/>
      </tp>
      <tp>
        <v>15.09</v>
        <stp/>
        <stp>LAST</stp>
        <stp>PAMT</stp>
        <tr r="D90" s="4"/>
      </tp>
      <tp>
        <v>119.08</v>
        <stp/>
        <stp>LAST</stp>
        <stp>SAIC</stp>
        <tr r="D137" s="3"/>
      </tp>
      <tp>
        <v>285.05</v>
        <stp/>
        <stp>LAST</stp>
        <stp>SAIA</stp>
        <tr r="D76" s="3"/>
      </tp>
      <tp>
        <v>41.61</v>
        <stp/>
        <stp>LAST</stp>
        <stp>KFRC</stp>
        <tr r="D158" s="4"/>
      </tp>
      <tp>
        <v>103.59</v>
        <stp/>
        <stp>LAST</stp>
        <stp>UFPI</stp>
        <tr r="D31" s="3"/>
      </tp>
      <tp>
        <v>34.17</v>
        <stp/>
        <stp>LAST</stp>
        <stp>OFLX</stp>
        <tr r="D127" s="4"/>
      </tp>
      <tp>
        <v>90.27</v>
        <stp/>
        <stp>LAST</stp>
        <stp>TFII</stp>
        <tr r="D78" s="3"/>
      </tp>
      <tp>
        <v>115.46</v>
        <stp/>
        <stp>LAST</stp>
        <stp>MGRC</stp>
        <tr r="D152" s="3"/>
      </tp>
      <tp>
        <v>105.99</v>
        <stp/>
        <stp>LAST</stp>
        <stp>AGCO</stp>
        <tr r="D87" s="3"/>
      </tp>
      <tp>
        <v>87.5</v>
        <stp/>
        <stp>LAST</stp>
        <stp>TGLS</stp>
        <tr r="D29" s="3"/>
      </tp>
      <tp>
        <v>36.01</v>
        <stp/>
        <stp>LAST</stp>
        <stp>CDRE</stp>
        <tr r="D6" s="4"/>
      </tp>
      <tp>
        <v>13.15</v>
        <stp/>
        <stp>LAST</stp>
        <stp>ADSE</stp>
        <tr r="D63" s="4"/>
      </tp>
      <tp>
        <v>202.6</v>
        <stp/>
        <stp>LAST</stp>
        <stp>NDSN</stp>
        <tr r="D85" s="2"/>
      </tp>
      <tp>
        <v>7.61</v>
        <stp/>
        <stp>LAST</stp>
        <stp>HDSN</stp>
        <tr r="D184" s="4"/>
      </tp>
      <tp>
        <v>171.34</v>
        <stp/>
        <stp>LAST</stp>
        <stp>ODFL</stp>
        <tr r="D64" s="2"/>
      </tp>
      <tp>
        <v>155.43</v>
        <stp/>
        <stp>LAST</stp>
        <stp>LDOS</stp>
        <tr r="D104" s="2"/>
      </tp>
      <tp>
        <v>20.440000000000001</v>
        <stp/>
        <stp>LAST</stp>
        <stp>CDLR</stp>
        <tr r="D54" s="4"/>
      </tp>
      <tp>
        <v>38.409999999999997</v>
        <stp/>
        <stp>LAST</stp>
        <stp>REVG</stp>
        <tr r="D105" s="4"/>
      </tp>
      <tp>
        <v>177.01</v>
        <stp/>
        <stp>LAST</stp>
        <stp>FERG</stp>
        <tr r="D114" s="2"/>
      </tp>
      <tp>
        <v>28.04</v>
        <stp/>
        <stp>LAST</stp>
        <stp>WERN</stp>
        <tr r="D92" s="4"/>
      </tp>
      <tp>
        <v>272.97000000000003</v>
        <stp/>
        <stp>LAST</stp>
        <stp>IESC</stp>
        <tr r="D54" s="3"/>
      </tp>
      <tp>
        <v>21.51</v>
        <stp/>
        <stp>LAST</stp>
        <stp>REZI</stp>
        <tr r="D27" s="3"/>
      </tp>
      <tp>
        <v>95.18</v>
        <stp/>
        <stp>LAST</stp>
        <stp>HEES</stp>
        <tr r="D150" s="3"/>
      </tp>
      <tp>
        <v>26.33</v>
        <stp/>
        <stp>LAST</stp>
        <stp>CECO</stp>
        <tr r="D35" s="4"/>
      </tp>
      <tp>
        <v>195.57</v>
        <stp/>
        <stp>LAST</stp>
        <stp>LECO</stp>
        <tr r="D84" s="2"/>
      </tp>
      <tp>
        <v>52.4</v>
        <stp/>
        <stp>LAST</stp>
        <stp>RELX</stp>
        <tr r="D105" s="2"/>
      </tp>
      <tp>
        <v>89.68</v>
        <stp/>
        <stp>LAST</stp>
        <stp>FELE</stp>
        <tr r="D96" s="3"/>
      </tp>
      <tp>
        <v>4.4400000000000004</v>
        <stp/>
        <stp>LAST</stp>
        <stp>JELD</stp>
        <tr r="D26" s="4"/>
      </tp>
      <tp>
        <v>222.38</v>
        <stp/>
        <stp>LAST</stp>
        <stp>WM</stp>
        <tr r="D40" s="2"/>
      </tp>
      <tp>
        <v>421.87</v>
        <stp/>
        <stp>LAST</stp>
        <stp>TT</stp>
        <tr r="D32" s="2"/>
      </tp>
      <tp>
        <v>1.67</v>
        <stp/>
        <stp>LAST</stp>
        <stp>UP</stp>
        <tr r="D150" s="4"/>
      </tp>
      <tp>
        <v>28.23</v>
        <stp/>
        <stp>LAST</stp>
        <stp>ST</stp>
        <tr r="D69" s="3"/>
      </tp>
      <tp>
        <v>3.61</v>
        <stp/>
        <stp>LAST</stp>
        <stp>SB</stp>
        <tr r="D142" s="4"/>
      </tp>
      <tp>
        <v>678.42</v>
        <stp/>
        <stp>LAST</stp>
        <stp>PH</stp>
        <tr r="D87" s="2"/>
      </tp>
      <tp>
        <v>3.78</v>
        <stp/>
        <stp>LAST</stp>
        <stp>PL</stp>
        <tr r="D169" s="4"/>
      </tp>
      <tp>
        <v>23.19</v>
        <stp/>
        <stp>LAST</stp>
        <stp>FC</stp>
        <tr r="D163" s="4"/>
      </tp>
      <tp>
        <v>17.829999999999998</v>
        <stp/>
        <stp>LAST</stp>
        <stp>FA</stp>
        <tr r="D122" s="3"/>
      </tp>
      <tp>
        <v>273.02</v>
        <stp/>
        <stp>LAST</stp>
        <stp>GD</stp>
        <tr r="D7" s="2"/>
      </tp>
      <tp>
        <v>221.58</v>
        <stp/>
        <stp>LAST</stp>
        <stp>GE</stp>
        <tr r="D8" s="2"/>
      </tp>
      <tp>
        <v>193.99</v>
        <stp/>
        <stp>LAST</stp>
        <stp>DY</stp>
        <tr r="D50" s="3"/>
      </tp>
      <tp>
        <v>498.57</v>
        <stp/>
        <stp>LAST</stp>
        <stp>DE</stp>
        <tr r="D76" s="2"/>
      </tp>
      <tp>
        <v>19.239999999999998</v>
        <stp/>
        <stp>LAST</stp>
        <stp>EH</stp>
        <tr r="D8" s="4"/>
      </tp>
      <tp>
        <v>237.31</v>
        <stp/>
        <stp>LAST</stp>
        <stp>BR</stp>
        <tr r="D110" s="2"/>
      </tp>
      <tp>
        <v>16.7</v>
        <stp/>
        <stp>LAST</stp>
        <stp>BV</stp>
        <tr r="D34" s="4"/>
      </tp>
      <tp>
        <v>203.42</v>
        <stp/>
        <stp>LAST</stp>
        <stp>BA</stp>
        <tr r="D3" s="2"/>
      </tp>
      <tp>
        <v>19.16</v>
        <stp/>
        <stp>LAST</stp>
        <stp>BE</stp>
        <tr r="D70" s="3"/>
      </tp>
      <tp>
        <v>175.89</v>
        <stp/>
        <stp>LAST</stp>
        <stp>CR</stp>
        <tr r="D91" s="3"/>
      </tp>
      <tp>
        <v>78.53</v>
        <stp/>
        <stp>LAST</stp>
        <stp>CP</stp>
        <tr r="D59" s="2"/>
      </tp>
      <tp>
        <v>395.15</v>
        <stp/>
        <stp>LAST</stp>
        <stp>CW</stp>
        <tr r="D4" s="2"/>
      </tp>
      <tp>
        <v>9.07</v>
        <stp/>
        <stp>LAST</stp>
        <stp>AZ</stp>
        <tr r="D4" s="4"/>
      </tp>
      <tp>
        <v>56.94</v>
        <stp/>
        <stp>LAST</stp>
        <stp>AL</stp>
        <tr r="D145" s="3"/>
      </tp>
      <tp>
        <v>18.79</v>
        <stp/>
        <stp>LAST</stp>
        <stp>NX</stp>
        <tr r="D28" s="4"/>
      </tp>
      <tp>
        <v>7.52</v>
        <stp/>
        <stp>LAST</stp>
        <stp>NL</stp>
        <tr r="D41" s="4"/>
      </tp>
      <tp>
        <v>142.61000000000001</v>
        <stp/>
        <stp>LAST</stp>
        <stp>OC</stp>
        <tr r="D31" s="2"/>
      </tp>
      <tp>
        <v>9.51</v>
        <stp/>
        <stp>LAST</stp>
        <stp>LZ</stp>
        <tr r="D166" s="4"/>
      </tp>
      <tp>
        <v>7.96</v>
        <stp/>
        <stp>LAST</stp>
        <stp>MG</stp>
        <tr r="D167" s="4"/>
      </tp>
      <tp>
        <v>43.32</v>
        <stp/>
        <stp>LAST</stp>
        <stp>HY</stp>
        <tr r="D121" s="4"/>
      </tp>
      <tp>
        <v>23.12</v>
        <stp/>
        <stp>LAST</stp>
        <stp>HI</stp>
        <tr r="D118" s="4"/>
      </tp>
      <tp>
        <v>84.5</v>
        <stp/>
        <stp>LAST</stp>
        <stp>IR</stp>
        <tr r="D81" s="2"/>
      </tp>
      <tp>
        <v>159.81</v>
        <stp/>
        <stp>LAST</stp>
        <stp>R</stp>
        <tr r="D74" s="3"/>
      </tp>
      <tp>
        <v>43.72</v>
        <stp/>
        <stp>LAST</stp>
        <stp>G</stp>
        <tr r="D140" s="3"/>
      </tp>
      <tp>
        <v>126.94</v>
        <stp/>
        <stp>LAST</stp>
        <stp>J</stp>
        <tr r="D103" s="2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2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3.xml"/><Relationship Id="rId22" Type="http://schemas.openxmlformats.org/officeDocument/2006/relationships/volatileDependencies" Target="volatileDependenci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9525</xdr:colOff>
          <xdr:row>2</xdr:row>
          <xdr:rowOff>0</xdr:rowOff>
        </xdr:to>
        <xdr:sp macro="" textlink="">
          <xdr:nvSpPr>
            <xdr:cNvPr id="9219" name="CommandButton1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8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2</xdr:row>
          <xdr:rowOff>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9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9525</xdr:colOff>
          <xdr:row>2</xdr:row>
          <xdr:rowOff>0</xdr:rowOff>
        </xdr:to>
        <xdr:sp macro="" textlink="">
          <xdr:nvSpPr>
            <xdr:cNvPr id="11269" name="CommandButton1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A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ne Vu" refreshedDate="45790.962896412035" createdVersion="8" refreshedVersion="8" minRefreshableVersion="3" recordCount="118" xr:uid="{3432845B-C090-4238-AA0B-FA56B072311B}">
  <cacheSource type="worksheet">
    <worksheetSource name="Main_L"/>
  </cacheSource>
  <cacheFields count="26">
    <cacheField name="Industry" numFmtId="0">
      <sharedItems count="58">
        <s v="Aerospace &amp; Defense"/>
        <s v="Air Freight &amp; Logistics"/>
        <s v="Building Products"/>
        <s v="Commercial Services &amp; Supplies"/>
        <s v="Construction &amp; Engineering"/>
        <s v="Electrical Equipment"/>
        <s v="Ground Transportation"/>
        <s v="Industrial Conglomerates"/>
        <s v="Machinery"/>
        <s v="Passenger Airlines"/>
        <s v="Professional Services"/>
        <s v="Trading Companies &amp; Distributors"/>
        <s v="Transportation Infrastructure"/>
        <s v="Banks" u="1"/>
        <s v="Capital Markets" u="1"/>
        <s v="Consumer Finance" u="1"/>
        <s v="Financial Services" u="1"/>
        <s v="Insurance" u="1"/>
        <s v="Mortgage Real Estate Investment Trusts (REITs)" u="1"/>
        <s v="Communications Equipment" u="1"/>
        <s v="Electronic Equipment, Instruments &amp; Components" u="1"/>
        <s v="IT Services" u="1"/>
        <s v="Semiconductors &amp; Semiconductor Equipment" u="1"/>
        <s v="Software" u="1"/>
        <s v="Technology Hardware, Storage &amp; Peripherals" u="1"/>
        <s v="Biotechnology" u="1"/>
        <s v="Health Care Equipment &amp; Supplies" u="1"/>
        <s v="Health Care Providers &amp; Services" u="1"/>
        <s v="Health Care Technology" u="1"/>
        <s v="Life Sciences Tools &amp; Services" u="1"/>
        <s v="Pharmaceuticals" u="1"/>
        <s v="Energy Equipment &amp; Services" u="1"/>
        <s v="Oil, Gas &amp; Consumable Fuels" u="1"/>
        <s v="Beverages" u="1"/>
        <s v="Consumer Staples Distribution &amp; Retail" u="1"/>
        <s v="Food Products" u="1"/>
        <s v="Household Products" u="1"/>
        <s v="Personal Care Products" u="1"/>
        <s v="Tobacco" u="1"/>
        <s v="Automobile Components" u="1"/>
        <s v="Automobiles" u="1"/>
        <s v="Broadline Retail" u="1"/>
        <s v="Distributors" u="1"/>
        <s v="Diversified Consumer Services" u="1"/>
        <s v="Hotels, Restaurants &amp; Leisure" u="1"/>
        <s v="Household Durables" u="1"/>
        <s v="Specialty Retail" u="1"/>
        <s v="Textiles, Apparel &amp; Luxury Goods" u="1"/>
        <s v="Diversified Telecommunication Services" u="1"/>
        <s v="Entertainment" u="1"/>
        <s v="Interactive Media &amp; Services" u="1"/>
        <s v="Media" u="1"/>
        <s v="Wireless Telecommunication Services" u="1"/>
        <s v="Electric Utilities" u="1"/>
        <s v="Gas Utilities" u="1"/>
        <s v="Independent Power &amp; Renewable Electricity Producers" u="1"/>
        <s v="Multi-Utilities" u="1"/>
        <s v="Water Utilities" u="1"/>
      </sharedItems>
    </cacheField>
    <cacheField name="Symbol" numFmtId="0">
      <sharedItems/>
    </cacheField>
    <cacheField name="Market Cap (M)" numFmtId="3">
      <sharedItems containsSemiMixedTypes="0" containsString="0" containsNumber="1" containsInteger="1" minValue="10131" maxValue="223856"/>
    </cacheField>
    <cacheField name="Current Price" numFmtId="0">
      <sharedItems containsSemiMixedTypes="0" containsString="0" containsNumber="1" minValue="5.03" maxValue="1415.84"/>
    </cacheField>
    <cacheField name="Free CF" numFmtId="0">
      <sharedItems containsSemiMixedTypes="0" containsString="0" containsNumber="1" minValue="-18.809999999999999" maxValue="34.340000000000003"/>
    </cacheField>
    <cacheField name="BVPS" numFmtId="0">
      <sharedItems containsSemiMixedTypes="0" containsString="0" containsNumber="1" minValue="-111.59" maxValue="168.46"/>
    </cacheField>
    <cacheField name="EPS" numFmtId="0">
      <sharedItems containsSemiMixedTypes="0" containsString="0" containsNumber="1" minValue="-17.09" maxValue="38.950000000000003"/>
    </cacheField>
    <cacheField name="P/FCF" numFmtId="2">
      <sharedItems containsSemiMixedTypes="0" containsString="0" containsNumber="1" minValue="-1159.5384615384617" maxValue="6691.5999999999995"/>
    </cacheField>
    <cacheField name="P/B" numFmtId="2">
      <sharedItems containsSemiMixedTypes="0" containsString="0" containsNumber="1" minValue="-56.724999999999994" maxValue="424.74647887323943"/>
    </cacheField>
    <cacheField name="ROE" numFmtId="0">
      <sharedItems containsSemiMixedTypes="0" containsString="0" containsNumber="1" minValue="-40.590000000000003" maxValue="1116.5999999999999"/>
    </cacheField>
    <cacheField name="ROA" numFmtId="0">
      <sharedItems containsSemiMixedTypes="0" containsString="0" containsNumber="1" minValue="-11.16" maxValue="20.12"/>
    </cacheField>
    <cacheField name="A/E" numFmtId="0">
      <sharedItems containsSemiMixedTypes="0" containsString="0" containsNumber="1" minValue="-46.98" maxValue="151"/>
    </cacheField>
    <cacheField name="P/E" numFmtId="2">
      <sharedItems containsMixedTypes="1" containsNumber="1" minValue="-57.447368421052623" maxValue="471.24"/>
    </cacheField>
    <cacheField name="Preliminary Criteria" numFmtId="0">
      <sharedItems/>
    </cacheField>
    <cacheField name="P/FCF Z-Score" numFmtId="2">
      <sharedItems containsMixedTypes="1" containsNumber="1" minValue="-7.2434053328351675" maxValue="1481.2699740710354"/>
    </cacheField>
    <cacheField name="P/B Z-Score" numFmtId="2">
      <sharedItems containsMixedTypes="1" containsNumber="1" minValue="-18.980781092653149" maxValue="91.335648468756503"/>
    </cacheField>
    <cacheField name="ROE Z-Score" numFmtId="2">
      <sharedItems containsMixedTypes="1" containsNumber="1" minValue="-8.453683986835772" maxValue="83.814711261637115"/>
    </cacheField>
    <cacheField name="ROA Z-Score" numFmtId="2">
      <sharedItems containsMixedTypes="1" containsNumber="1" minValue="-6.430957178071683" maxValue="9.6848002033132499"/>
    </cacheField>
    <cacheField name="A/E Z-Score" numFmtId="2">
      <sharedItems containsMixedTypes="1" containsNumber="1" minValue="-234.34148770201426" maxValue="152.99777885078672"/>
    </cacheField>
    <cacheField name="P/E Z-Score" numFmtId="2">
      <sharedItems containsMixedTypes="1" containsNumber="1" minValue="-5.4364962339642657" maxValue="42.993918983291472"/>
    </cacheField>
    <cacheField name="P/FCF Outlier" numFmtId="0">
      <sharedItems count="4">
        <s v="Yes"/>
        <s v="No"/>
        <e v="#VALUE!" u="1"/>
        <e v="#NUM!" u="1"/>
      </sharedItems>
    </cacheField>
    <cacheField name="P/B Outlier" numFmtId="0">
      <sharedItems count="4">
        <s v="No"/>
        <s v="Yes"/>
        <e v="#VALUE!" u="1"/>
        <e v="#REF!" u="1"/>
      </sharedItems>
    </cacheField>
    <cacheField name="ROE Outlier" numFmtId="0">
      <sharedItems count="2">
        <s v="No"/>
        <s v="Yes"/>
      </sharedItems>
    </cacheField>
    <cacheField name="ROA Outlier" numFmtId="0">
      <sharedItems count="2">
        <s v="No"/>
        <s v="Yes"/>
      </sharedItems>
    </cacheField>
    <cacheField name="A/E Outlier" numFmtId="0">
      <sharedItems count="2">
        <s v="No"/>
        <s v="Yes"/>
      </sharedItems>
    </cacheField>
    <cacheField name="P/E Outlier" numFmtId="0">
      <sharedItems count="4">
        <s v="Yes"/>
        <s v="No"/>
        <e v="#VALUE!" u="1"/>
        <e v="#NUM!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ne Vu" refreshedDate="45790.962898379628" createdVersion="8" refreshedVersion="8" minRefreshableVersion="3" recordCount="160" xr:uid="{A2646FF5-8A5C-4026-A340-9C8CC354FDFF}">
  <cacheSource type="worksheet">
    <worksheetSource name="Main_M"/>
  </cacheSource>
  <cacheFields count="26">
    <cacheField name="Industry" numFmtId="0">
      <sharedItems count="59">
        <s v="Aerospace &amp; Defense"/>
        <s v="Air Freight &amp; Logistics"/>
        <s v="Building Products"/>
        <s v="Commercial Services &amp; Supplies"/>
        <s v="Construction &amp; Engineering"/>
        <s v="Electrical Equipment"/>
        <s v="Ground Transportation"/>
        <s v="Industrial Conglomerates"/>
        <s v="Machinery"/>
        <s v="Marine Transportation"/>
        <s v="Passenger Airlines"/>
        <s v="Professional Services"/>
        <s v="Trading Companies &amp; Distributors"/>
        <s v="Transportation Infrastructure"/>
        <s v="Banks" u="1"/>
        <s v="Capital Markets" u="1"/>
        <s v="Consumer Finance" u="1"/>
        <s v="Financial Services" u="1"/>
        <s v="Insurance" u="1"/>
        <s v="Mortgage Real Estate Investment Trusts (REITs)" u="1"/>
        <s v="Communications Equipment" u="1"/>
        <s v="Electronic Equipment, Instruments &amp; Components" u="1"/>
        <s v="IT Services" u="1"/>
        <s v="Semiconductors &amp; Semiconductor Equipment" u="1"/>
        <s v="Software" u="1"/>
        <s v="Technology Hardware, Storage &amp; Peripherals" u="1"/>
        <s v="Biotechnology" u="1"/>
        <s v="Health Care Equipment &amp; Supplies" u="1"/>
        <s v="Health Care Providers &amp; Services" u="1"/>
        <s v="Health Care Technology" u="1"/>
        <s v="Life Sciences Tools &amp; Services" u="1"/>
        <s v="Pharmaceuticals" u="1"/>
        <s v="Energy Equipment &amp; Services" u="1"/>
        <s v="Oil, Gas &amp; Consumable Fuels" u="1"/>
        <s v="Beverages" u="1"/>
        <s v="Consumer Staples Distribution &amp; Retail" u="1"/>
        <s v="Food Products" u="1"/>
        <s v="Household Products" u="1"/>
        <s v="Personal Care Products" u="1"/>
        <s v="Tobacco" u="1"/>
        <s v="Automobile Components" u="1"/>
        <s v="Automobiles" u="1"/>
        <s v="Broadline Retail" u="1"/>
        <s v="Diversified Consumer Services" u="1"/>
        <s v="Hotels, Restaurants &amp; Leisure" u="1"/>
        <s v="Household Durables" u="1"/>
        <s v="Leisure Products" u="1"/>
        <s v="Specialty Retail" u="1"/>
        <s v="Textiles, Apparel &amp; Luxury Goods" u="1"/>
        <s v="Diversified Telecommunication Services" u="1"/>
        <s v="Entertainment" u="1"/>
        <s v="Interactive Media &amp; Services" u="1"/>
        <s v="Media" u="1"/>
        <s v="Wireless Telecommunication Services" u="1"/>
        <s v="Electric Utilities" u="1"/>
        <s v="Gas Utilities" u="1"/>
        <s v="Independent Power &amp; Renewable Electricity Producers" u="1"/>
        <s v="Multi-Utilities" u="1"/>
        <s v="Water Utilities" u="1"/>
      </sharedItems>
    </cacheField>
    <cacheField name="Symbol" numFmtId="0">
      <sharedItems/>
    </cacheField>
    <cacheField name="Market Cap (M)" numFmtId="3">
      <sharedItems containsSemiMixedTypes="0" containsString="0" containsNumber="1" containsInteger="1" minValue="2055" maxValue="9963"/>
    </cacheField>
    <cacheField name="Current Price" numFmtId="0">
      <sharedItems containsSemiMixedTypes="0" containsString="0" containsNumber="1" minValue="4.4400000000000004" maxValue="338.47"/>
    </cacheField>
    <cacheField name="Free CF" numFmtId="0">
      <sharedItems containsString="0" containsBlank="1" containsNumber="1" minValue="-27.31" maxValue="25.87"/>
    </cacheField>
    <cacheField name="BVPS" numFmtId="0">
      <sharedItems containsString="0" containsBlank="1" containsNumber="1" minValue="-66.3" maxValue="121.64"/>
    </cacheField>
    <cacheField name="EPS" numFmtId="0">
      <sharedItems containsString="0" containsBlank="1" containsNumber="1" minValue="-51.3" maxValue="17.190000000000001"/>
    </cacheField>
    <cacheField name="P/FCF" numFmtId="2">
      <sharedItems containsMixedTypes="1" containsNumber="1" minValue="-594.33333333333326" maxValue="385.11111111111109"/>
    </cacheField>
    <cacheField name="P/B" numFmtId="2">
      <sharedItems containsMixedTypes="1" containsNumber="1" minValue="-1.7982456140350878" maxValue="66.756756756756758"/>
    </cacheField>
    <cacheField name="ROE" numFmtId="0">
      <sharedItems containsSemiMixedTypes="0" containsString="0" containsNumber="1" minValue="-119.63" maxValue="162.13999999999999"/>
    </cacheField>
    <cacheField name="ROA" numFmtId="0">
      <sharedItems containsSemiMixedTypes="0" containsString="0" containsNumber="1" minValue="-40.96" maxValue="19.010000000000002"/>
    </cacheField>
    <cacheField name="A/E" numFmtId="0">
      <sharedItems containsSemiMixedTypes="0" containsString="0" containsNumber="1" minValue="-13.89" maxValue="59.92"/>
    </cacheField>
    <cacheField name="P/E" numFmtId="2">
      <sharedItems containsMixedTypes="1" containsNumber="1" minValue="-190.71428571428569" maxValue="958"/>
    </cacheField>
    <cacheField name="Preliminary Criteria" numFmtId="0">
      <sharedItems/>
    </cacheField>
    <cacheField name="P/FCF Z-Score" numFmtId="2">
      <sharedItems containsMixedTypes="1" containsNumber="1" minValue="-80.951195460993773" maxValue="48.544446773546007"/>
    </cacheField>
    <cacheField name="P/B Z-Score" numFmtId="2">
      <sharedItems containsMixedTypes="1" containsNumber="1" minValue="-59.380115580540945" maxValue="76.270006804740589"/>
    </cacheField>
    <cacheField name="ROE Z-Score" numFmtId="2">
      <sharedItems containsMixedTypes="1" containsNumber="1" minValue="-10.328009553323982" maxValue="9.2991413672805976"/>
    </cacheField>
    <cacheField name="ROA Z-Score" numFmtId="2">
      <sharedItems containsMixedTypes="1" containsNumber="1" minValue="-19.759556636276027" maxValue="2.9496907039524296"/>
    </cacheField>
    <cacheField name="A/E Z-Score" numFmtId="2">
      <sharedItems containsMixedTypes="1" containsNumber="1" minValue="-35.698726140546363" maxValue="80.762981099419349"/>
    </cacheField>
    <cacheField name="P/E Z-Score" numFmtId="2">
      <sharedItems containsMixedTypes="1" containsNumber="1" minValue="-20.5378054820663" maxValue="55.440216806490461"/>
    </cacheField>
    <cacheField name="P/FCF Outlier" numFmtId="0">
      <sharedItems count="4">
        <s v="No"/>
        <s v="Yes"/>
        <e v="#VALUE!" u="1"/>
        <e v="#NUM!" u="1"/>
      </sharedItems>
    </cacheField>
    <cacheField name="P/B Outlier" numFmtId="0">
      <sharedItems count="4">
        <s v="No"/>
        <s v="Yes"/>
        <e v="#VALUE!" u="1"/>
        <e v="#REF!" u="1"/>
      </sharedItems>
    </cacheField>
    <cacheField name="ROE Outlier" numFmtId="0">
      <sharedItems count="2">
        <s v="Yes"/>
        <s v="No"/>
      </sharedItems>
    </cacheField>
    <cacheField name="ROA Outlier" numFmtId="0">
      <sharedItems count="2">
        <s v="Yes"/>
        <s v="No"/>
      </sharedItems>
    </cacheField>
    <cacheField name="A/E Outlier" numFmtId="0">
      <sharedItems count="2">
        <s v="No"/>
        <s v="Yes"/>
      </sharedItems>
    </cacheField>
    <cacheField name="P/E Outlier" numFmtId="0">
      <sharedItems count="4">
        <s v="No"/>
        <s v="Yes"/>
        <e v="#VALUE!" u="1"/>
        <e v="#NUM!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ne Vu" refreshedDate="45790.962900115737" createdVersion="8" refreshedVersion="8" minRefreshableVersion="3" recordCount="193" xr:uid="{FEEDC4AE-CB7E-4F82-B64E-6462C5DE2153}">
  <cacheSource type="worksheet">
    <worksheetSource name="Main_S"/>
  </cacheSource>
  <cacheFields count="26">
    <cacheField name="Industry" numFmtId="0">
      <sharedItems count="60">
        <s v="Aerospace &amp; Defense"/>
        <s v="Air Freight &amp; Logistics"/>
        <s v="Building Products"/>
        <s v="Commercial Services &amp; Supplies"/>
        <s v="Construction &amp; Engineering"/>
        <s v="Electrical Equipment"/>
        <s v="Ground Transportation"/>
        <s v="Industrial Conglomerates"/>
        <s v="Machinery"/>
        <s v="Marine Transportation"/>
        <s v="Passenger Airlines"/>
        <s v="Professional Services"/>
        <s v="Trading Companies &amp; Distributors"/>
        <s v="Transportation Infrastructure"/>
        <s v="Banks" u="1"/>
        <s v="Capital Markets" u="1"/>
        <s v="Consumer Finance" u="1"/>
        <s v="Financial Services" u="1"/>
        <s v="Insurance" u="1"/>
        <s v="Mortgage Real Estate Investment Trusts (REITs)" u="1"/>
        <s v="Communications Equipment" u="1"/>
        <s v="Electronic Equipment, Instruments &amp; Components" u="1"/>
        <s v="IT Services" u="1"/>
        <s v="Semiconductors &amp; Semiconductor Equipment" u="1"/>
        <s v="Software" u="1"/>
        <s v="Technology Hardware, Storage &amp; Peripherals" u="1"/>
        <s v="Biotechnology" u="1"/>
        <s v="Health Care Equipment &amp; Supplies" u="1"/>
        <s v="Health Care Providers &amp; Services" u="1"/>
        <s v="Health Care Technology" u="1"/>
        <s v="Life Sciences Tools &amp; Services" u="1"/>
        <s v="Pharmaceuticals" u="1"/>
        <s v="Energy Equipment &amp; Services" u="1"/>
        <s v="Oil, Gas &amp; Consumable Fuels" u="1"/>
        <s v="Beverages" u="1"/>
        <s v="Consumer Staples Distribution &amp; Retail" u="1"/>
        <s v="Food Products" u="1"/>
        <s v="Household Products" u="1"/>
        <s v="Personal Care Products" u="1"/>
        <s v="Tobacco" u="1"/>
        <s v="Automobile Components" u="1"/>
        <s v="Automobiles" u="1"/>
        <s v="Broadline Retail" u="1"/>
        <s v="Distributors" u="1"/>
        <s v="Diversified Consumer Services" u="1"/>
        <s v="Hotels, Restaurants &amp; Leisure" u="1"/>
        <s v="Household Durables" u="1"/>
        <s v="Leisure Products" u="1"/>
        <s v="Specialty Retail" u="1"/>
        <s v="Textiles, Apparel &amp; Luxury Goods" u="1"/>
        <s v="Diversified Telecommunication Services" u="1"/>
        <s v="Entertainment" u="1"/>
        <s v="Interactive Media &amp; Services" u="1"/>
        <s v="Media" u="1"/>
        <s v="Wireless Telecommunication Services" u="1"/>
        <s v="Electric Utilities" u="1"/>
        <s v="Gas Utilities" u="1"/>
        <s v="Independent Power &amp; Renewable Electricity Producers" u="1"/>
        <s v="Multi-Utilities" u="1"/>
        <s v="Water Utilities" u="1"/>
      </sharedItems>
    </cacheField>
    <cacheField name="Symbol" numFmtId="0">
      <sharedItems/>
    </cacheField>
    <cacheField name="Market Cap (M)" numFmtId="3">
      <sharedItems containsSemiMixedTypes="0" containsString="0" containsNumber="1" containsInteger="1" minValue="251" maxValue="1976"/>
    </cacheField>
    <cacheField name="Current Price" numFmtId="0">
      <sharedItems containsSemiMixedTypes="0" containsString="0" containsNumber="1" minValue="1E-4" maxValue="189.98"/>
    </cacheField>
    <cacheField name="Free CF" numFmtId="0">
      <sharedItems containsString="0" containsBlank="1" containsNumber="1" minValue="-60.28" maxValue="29.4"/>
    </cacheField>
    <cacheField name="BVPS" numFmtId="0">
      <sharedItems containsString="0" containsBlank="1" containsNumber="1" minValue="-22.42" maxValue="180.37"/>
    </cacheField>
    <cacheField name="EPS" numFmtId="0">
      <sharedItems containsString="0" containsBlank="1" containsNumber="1" minValue="-48.14" maxValue="26.05"/>
    </cacheField>
    <cacheField name="P/FCF" numFmtId="2">
      <sharedItems containsMixedTypes="1" containsNumber="1" minValue="-616.5" maxValue="908"/>
    </cacheField>
    <cacheField name="P/B" numFmtId="2">
      <sharedItems containsMixedTypes="1" containsNumber="1" minValue="-328.75" maxValue="19.297872340425535"/>
    </cacheField>
    <cacheField name="ROE" numFmtId="0">
      <sharedItems containsSemiMixedTypes="0" containsString="0" containsNumber="1" minValue="-24959" maxValue="17137"/>
    </cacheField>
    <cacheField name="ROA" numFmtId="0">
      <sharedItems containsSemiMixedTypes="0" containsString="0" containsNumber="1" minValue="-58.9" maxValue="17.600000000000001"/>
    </cacheField>
    <cacheField name="A/E" numFmtId="0">
      <sharedItems containsSemiMixedTypes="0" containsString="0" containsNumber="1" minValue="-247.42" maxValue="142.5"/>
    </cacheField>
    <cacheField name="P/E" numFmtId="2">
      <sharedItems containsMixedTypes="1" containsNumber="1" minValue="-619" maxValue="1362"/>
    </cacheField>
    <cacheField name="Preliminary Criteria" numFmtId="0">
      <sharedItems/>
    </cacheField>
    <cacheField name="P/FCF Z-Score" numFmtId="2">
      <sharedItems containsMixedTypes="1" containsNumber="1" minValue="-40.71084811875744" maxValue="75.353743182432311"/>
    </cacheField>
    <cacheField name="P/B Z-Score" numFmtId="2">
      <sharedItems containsMixedTypes="1" containsNumber="1" minValue="-140.46506541040733" maxValue="55.621810908395219"/>
    </cacheField>
    <cacheField name="ROE Z-Score" numFmtId="2">
      <sharedItems containsMixedTypes="1" containsNumber="1" minValue="-2628.5104140311141" maxValue="1803.4637266209174"/>
    </cacheField>
    <cacheField name="ROA Z-Score" numFmtId="2">
      <sharedItems containsMixedTypes="1" containsNumber="1" minValue="-6.4955070370353747" maxValue="4.924092887905454"/>
    </cacheField>
    <cacheField name="A/E Z-Score" numFmtId="2">
      <sharedItems containsMixedTypes="1" containsNumber="1" minValue="-125.02603870946797" maxValue="284.23766965319658"/>
    </cacheField>
    <cacheField name="P/E Z-Score" numFmtId="2">
      <sharedItems containsMixedTypes="1" containsNumber="1" minValue="-30.354308744281166" maxValue="67.219099287155771"/>
    </cacheField>
    <cacheField name="P/FCF Outlier" numFmtId="0">
      <sharedItems count="4">
        <s v="No"/>
        <s v="Yes"/>
        <e v="#VALUE!" u="1"/>
        <e v="#NUM!" u="1"/>
      </sharedItems>
    </cacheField>
    <cacheField name="P/B Outlier" numFmtId="0">
      <sharedItems count="3">
        <s v="No"/>
        <s v="Yes"/>
        <e v="#VALUE!" u="1"/>
      </sharedItems>
    </cacheField>
    <cacheField name="ROE Outlier" numFmtId="0">
      <sharedItems count="2">
        <s v="No"/>
        <s v="Yes"/>
      </sharedItems>
    </cacheField>
    <cacheField name="ROA Outlier" numFmtId="0">
      <sharedItems count="2">
        <s v="No"/>
        <s v="Yes"/>
      </sharedItems>
    </cacheField>
    <cacheField name="A/E Outlier" numFmtId="0">
      <sharedItems count="2">
        <s v="No"/>
        <s v="Yes"/>
      </sharedItems>
    </cacheField>
    <cacheField name="P/E Outlier" numFmtId="0">
      <sharedItems count="4">
        <s v="No"/>
        <s v="Yes"/>
        <e v="#VALUE!" u="1"/>
        <e v="#NUM!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8">
  <r>
    <x v="0"/>
    <s v="AXON"/>
    <n v="46851"/>
    <n v="724.77"/>
    <n v="4.3499999999999996"/>
    <n v="30.38"/>
    <n v="4.8"/>
    <n v="166.61379310344827"/>
    <n v="23.856813693219223"/>
    <n v="19.12"/>
    <n v="1.22"/>
    <n v="1.92"/>
    <n v="150.99375000000001"/>
    <s v="NO"/>
    <n v="7.3253479162322543"/>
    <n v="2.578118081688197"/>
    <n v="0.38272155726076745"/>
    <n v="-1.7418227820927628"/>
    <n v="-0.92045867482054999"/>
    <n v="6.2807286926271395"/>
    <x v="0"/>
    <x v="0"/>
    <x v="0"/>
    <x v="0"/>
    <x v="0"/>
    <x v="0"/>
  </r>
  <r>
    <x v="0"/>
    <s v="BA"/>
    <n v="139913"/>
    <n v="203.42"/>
    <n v="-18.809999999999999"/>
    <n v="-4.42"/>
    <n v="-17.09"/>
    <n v="-10.814460393407762"/>
    <n v="-46.022624434389137"/>
    <n v="113.12"/>
    <n v="-4.0999999999999996"/>
    <n v="-46.98"/>
    <n v="-11.90286717378584"/>
    <s v="NO"/>
    <n v="-2.5585648722018823"/>
    <n v="-8.7302305534873668"/>
    <n v="14.293659777744351"/>
    <n v="-3.7568627648559167"/>
    <n v="-93.94678293291652"/>
    <n v="-2.4116078776360563"/>
    <x v="1"/>
    <x v="1"/>
    <x v="1"/>
    <x v="1"/>
    <x v="1"/>
    <x v="1"/>
  </r>
  <r>
    <x v="0"/>
    <s v="CW"/>
    <n v="13646"/>
    <n v="395.15"/>
    <n v="12.67"/>
    <n v="65.069999999999993"/>
    <n v="10.55"/>
    <n v="31.187845303867402"/>
    <n v="6.0726909482096207"/>
    <n v="16.95"/>
    <n v="7.48"/>
    <n v="2.04"/>
    <n v="37.45497630331753"/>
    <s v="YES"/>
    <n v="-0.21876206040012897"/>
    <n v="-0.29982520978581889"/>
    <n v="6.1586068553858994E-2"/>
    <n v="0.62925809988042347"/>
    <n v="-0.69217321651847374"/>
    <n v="0.22217909307578734"/>
    <x v="1"/>
    <x v="0"/>
    <x v="0"/>
    <x v="0"/>
    <x v="0"/>
    <x v="1"/>
  </r>
  <r>
    <x v="0"/>
    <s v="DRS"/>
    <n v="11057"/>
    <n v="40.64"/>
    <n v="1.1000000000000001"/>
    <n v="9.67"/>
    <n v="0.88"/>
    <n v="36.945454545454545"/>
    <n v="4.2026887280248193"/>
    <n v="9.5"/>
    <n v="4.97"/>
    <n v="1.59"/>
    <n v="46.18181818181818"/>
    <s v="NO"/>
    <n v="0.10197438654200433"/>
    <n v="-0.60244122418172374"/>
    <n v="-1.0409297797717014"/>
    <n v="-0.3214468543931705"/>
    <n v="-1.5482436851512587"/>
    <n v="0.68785264799355517"/>
    <x v="1"/>
    <x v="0"/>
    <x v="0"/>
    <x v="0"/>
    <x v="0"/>
    <x v="1"/>
  </r>
  <r>
    <x v="0"/>
    <s v="ESLT"/>
    <n v="18536"/>
    <n v="381.51"/>
    <n v="7.18"/>
    <n v="73.569999999999993"/>
    <n v="7.18"/>
    <n v="53.135097493036213"/>
    <n v="5.1856735082234611"/>
    <n v="10.33"/>
    <n v="3.08"/>
    <n v="3.35"/>
    <n v="53.135097493036213"/>
    <s v="NO"/>
    <n v="1.0038432592614239"/>
    <n v="-0.44336818502450248"/>
    <n v="-0.91809915505892081"/>
    <n v="-1.0373163219537649"/>
    <n v="1.7999430366125226"/>
    <n v="1.0588870199085623"/>
    <x v="1"/>
    <x v="0"/>
    <x v="0"/>
    <x v="0"/>
    <x v="0"/>
    <x v="1"/>
  </r>
  <r>
    <x v="0"/>
    <s v="GD"/>
    <n v="72319"/>
    <n v="273.02"/>
    <n v="12.23"/>
    <n v="82.93"/>
    <n v="14.41"/>
    <n v="22.323793949304985"/>
    <n v="3.2921741227541297"/>
    <n v="18.23"/>
    <n v="5.6"/>
    <n v="2.5499999999999998"/>
    <n v="18.946564885496183"/>
    <s v="NO"/>
    <n v="-0.71254762619362222"/>
    <n v="-0.74978666469625266"/>
    <n v="0.25101161027959307"/>
    <n v="-8.2823698539639071E-2"/>
    <n v="0.27803998126534885"/>
    <n v="-0.76544940539063278"/>
    <x v="1"/>
    <x v="0"/>
    <x v="0"/>
    <x v="0"/>
    <x v="0"/>
    <x v="1"/>
  </r>
  <r>
    <x v="0"/>
    <s v="GE"/>
    <n v="223856"/>
    <n v="221.58"/>
    <n v="3.88"/>
    <n v="18.05"/>
    <n v="6.34"/>
    <n v="57.108247422680414"/>
    <n v="12.27590027700831"/>
    <n v="27.2"/>
    <n v="3.72"/>
    <n v="6.45"/>
    <n v="34.949526813880126"/>
    <s v="NO"/>
    <n v="1.2251736653608809"/>
    <n v="0.70401877675182456"/>
    <n v="1.5784702894044624"/>
    <n v="-0.79490549695970114"/>
    <n v="7.6973173760828191"/>
    <n v="8.8485646276029908E-2"/>
    <x v="1"/>
    <x v="0"/>
    <x v="0"/>
    <x v="0"/>
    <x v="1"/>
    <x v="1"/>
  </r>
  <r>
    <x v="0"/>
    <s v="HEI"/>
    <n v="37263"/>
    <n v="268.36"/>
    <n v="5.0599999999999996"/>
    <n v="26.96"/>
    <n v="4.05"/>
    <n v="53.035573122529648"/>
    <n v="9.9540059347181007"/>
    <n v="15.54"/>
    <n v="7.15"/>
    <n v="2.11"/>
    <n v="66.261728395061738"/>
    <s v="NO"/>
    <n v="0.99829910167082858"/>
    <n v="0.32827461766583921"/>
    <n v="-0.14707800475339478"/>
    <n v="0.5042650182428593"/>
    <n v="-0.55900669917559642"/>
    <n v="1.7593379919032415"/>
    <x v="1"/>
    <x v="0"/>
    <x v="0"/>
    <x v="0"/>
    <x v="0"/>
    <x v="1"/>
  </r>
  <r>
    <x v="0"/>
    <s v="HWM"/>
    <n v="63425"/>
    <n v="158.30000000000001"/>
    <n v="2.4900000000000002"/>
    <n v="11.73"/>
    <n v="3.06"/>
    <n v="63.574297188755018"/>
    <n v="13.49531116794544"/>
    <n v="28.3"/>
    <n v="10.199999999999999"/>
    <n v="2.27"/>
    <n v="51.732026143790854"/>
    <s v="NO"/>
    <n v="1.5853748774789318"/>
    <n v="0.90135183857561552"/>
    <n v="1.7412578643250152"/>
    <n v="1.6595041061051938"/>
    <n v="-0.25462608810616144"/>
    <n v="0.98401764194767616"/>
    <x v="1"/>
    <x v="0"/>
    <x v="0"/>
    <x v="0"/>
    <x v="0"/>
    <x v="1"/>
  </r>
  <r>
    <x v="0"/>
    <s v="LHX"/>
    <n v="40754"/>
    <n v="218.37"/>
    <n v="11.98"/>
    <n v="101.98"/>
    <n v="8.43"/>
    <n v="18.227879799666109"/>
    <n v="2.141302216120808"/>
    <n v="8.52"/>
    <n v="4.0599999999999996"/>
    <n v="2.16"/>
    <n v="25.903914590747334"/>
    <s v="NO"/>
    <n v="-0.94071680131691437"/>
    <n v="-0.93602829890734673"/>
    <n v="-1.1859587101554665"/>
    <n v="-0.666124746181605"/>
    <n v="-0.46388775821639755"/>
    <n v="-0.39419783292521943"/>
    <x v="1"/>
    <x v="0"/>
    <x v="0"/>
    <x v="0"/>
    <x v="0"/>
    <x v="1"/>
  </r>
  <r>
    <x v="0"/>
    <s v="LMT"/>
    <n v="110428"/>
    <n v="459.83"/>
    <n v="21.06"/>
    <n v="28.68"/>
    <n v="23.17"/>
    <n v="21.834283000949668"/>
    <n v="16.033124128312412"/>
    <n v="82.55"/>
    <n v="8.32"/>
    <n v="8.48"/>
    <n v="19.845921450151057"/>
    <s v="NO"/>
    <n v="-0.73981658379858095"/>
    <n v="1.312037363469073"/>
    <n v="9.7696450819977212"/>
    <n v="0.94742230768513203"/>
    <n v="11.559146379026274"/>
    <n v="-0.71745878353311598"/>
    <x v="1"/>
    <x v="0"/>
    <x v="1"/>
    <x v="0"/>
    <x v="1"/>
    <x v="1"/>
  </r>
  <r>
    <x v="0"/>
    <s v="NOC"/>
    <n v="69955"/>
    <n v="470.67"/>
    <n v="12.17"/>
    <n v="104"/>
    <n v="25.39"/>
    <n v="38.674609695973707"/>
    <n v="4.5256730769230771"/>
    <n v="25.41"/>
    <n v="6.4"/>
    <n v="3.23"/>
    <n v="18.53761323355652"/>
    <s v="NO"/>
    <n v="0.19829962431314627"/>
    <n v="-0.55017378015366902"/>
    <n v="1.3135705083973814"/>
    <n v="0.22018983270294085"/>
    <n v="1.5716575783104465"/>
    <n v="-0.78727150004980118"/>
    <x v="1"/>
    <x v="0"/>
    <x v="0"/>
    <x v="0"/>
    <x v="0"/>
    <x v="1"/>
  </r>
  <r>
    <x v="0"/>
    <s v="RKLB"/>
    <n v="10285"/>
    <n v="21.83"/>
    <n v="-0.23"/>
    <n v="0.76"/>
    <n v="-0.38"/>
    <n v="-94.91304347826086"/>
    <n v="28.723684210526311"/>
    <n v="-40.590000000000003"/>
    <n v="-11.16"/>
    <n v="3.1"/>
    <n v="-57.447368421052623"/>
    <s v="NO"/>
    <n v="-7.2434053328351675"/>
    <n v="3.3657069640066677"/>
    <n v="-8.453683986835772"/>
    <n v="-6.430957178071683"/>
    <n v="1.324348331816531"/>
    <n v="-4.8419108552826859"/>
    <x v="0"/>
    <x v="1"/>
    <x v="1"/>
    <x v="1"/>
    <x v="0"/>
    <x v="0"/>
  </r>
  <r>
    <x v="0"/>
    <s v="RTX"/>
    <n v="170334"/>
    <n v="130.72"/>
    <n v="3.67"/>
    <n v="46.05"/>
    <n v="3.41"/>
    <n v="35.618528610354225"/>
    <n v="2.8386536373507059"/>
    <n v="7.8"/>
    <n v="3.47"/>
    <n v="2.68"/>
    <n v="38.334310850439884"/>
    <s v="NO"/>
    <n v="2.8055943674192556E-2"/>
    <n v="-0.82317832180675454"/>
    <n v="-1.2925105773761916"/>
    <n v="-0.88959722547300724"/>
    <n v="0.52534922775926518"/>
    <n v="0.26910131880434895"/>
    <x v="1"/>
    <x v="0"/>
    <x v="0"/>
    <x v="0"/>
    <x v="0"/>
    <x v="1"/>
  </r>
  <r>
    <x v="0"/>
    <s v="TDG"/>
    <n v="77552"/>
    <n v="1415.84"/>
    <n v="34.340000000000003"/>
    <n v="-111.59"/>
    <n v="28.37"/>
    <n v="41.230052417006398"/>
    <n v="-12.687875257639572"/>
    <n v="-37.43"/>
    <n v="11.23"/>
    <n v="-3.44"/>
    <n v="49.906238984843142"/>
    <s v="NO"/>
    <n v="0.34065447757203549"/>
    <n v="-3.3357829812496065"/>
    <n v="-7.9860396807003662"/>
    <n v="2.0496340275800158"/>
    <n v="-11.117209145646612"/>
    <n v="0.88659169924496861"/>
    <x v="1"/>
    <x v="1"/>
    <x v="1"/>
    <x v="0"/>
    <x v="1"/>
    <x v="1"/>
  </r>
  <r>
    <x v="0"/>
    <s v="TXT"/>
    <n v="12638"/>
    <n v="76.52"/>
    <n v="2.92"/>
    <n v="40.29"/>
    <n v="4.4400000000000004"/>
    <n v="26.205479452054792"/>
    <n v="1.8992305783072723"/>
    <n v="11.7"/>
    <n v="4.26"/>
    <n v="2.33"/>
    <n v="17.234234234234233"/>
    <s v="NO"/>
    <n v="-0.49631238617313672"/>
    <n v="-0.97520191776336163"/>
    <n v="-0.7153546299305964"/>
    <n v="-0.59037136337095997"/>
    <n v="-0.14048335895512337"/>
    <n v="-0.85682118829553944"/>
    <x v="1"/>
    <x v="0"/>
    <x v="0"/>
    <x v="0"/>
    <x v="0"/>
    <x v="1"/>
  </r>
  <r>
    <x v="0"/>
    <s v="WWD"/>
    <n v="11556"/>
    <n v="203.33"/>
    <n v="5.29"/>
    <n v="39.229999999999997"/>
    <n v="6.19"/>
    <n v="38.436672967863899"/>
    <n v="5.1830231965332665"/>
    <n v="16.34"/>
    <n v="6.12"/>
    <n v="1.92"/>
    <n v="32.848142164781905"/>
    <s v="NO"/>
    <n v="0.18504499421081938"/>
    <n v="-0.44379707583112105"/>
    <n v="-2.8687041174810978E-2"/>
    <n v="0.11413509676803789"/>
    <n v="-0.92045867482054999"/>
    <n v="-2.3646471323804541E-2"/>
    <x v="1"/>
    <x v="0"/>
    <x v="0"/>
    <x v="0"/>
    <x v="0"/>
    <x v="1"/>
  </r>
  <r>
    <x v="1"/>
    <s v="CHRW"/>
    <n v="10394"/>
    <n v="96.28"/>
    <n v="4.83"/>
    <n v="14.58"/>
    <n v="4.1900000000000004"/>
    <n v="19.93374741200828"/>
    <n v="6.603566529492455"/>
    <n v="32.11"/>
    <n v="8.8699999999999992"/>
    <n v="3.01"/>
    <n v="22.978520286396179"/>
    <s v="NO"/>
    <n v="0.28206396577766119"/>
    <n v="0.882740116762608"/>
    <n v="0.57592901803610252"/>
    <n v="1.2051221972448602"/>
    <n v="0.17558554432286627"/>
    <n v="1.5736072540803971"/>
    <x v="1"/>
    <x v="0"/>
    <x v="0"/>
    <x v="0"/>
    <x v="0"/>
    <x v="1"/>
  </r>
  <r>
    <x v="1"/>
    <s v="EXPD"/>
    <n v="14876"/>
    <n v="115.31"/>
    <n v="4.84"/>
    <n v="16.11"/>
    <n v="5.72"/>
    <n v="23.824380165289256"/>
    <n v="7.157666045934203"/>
    <n v="35.159999999999997"/>
    <n v="14.03"/>
    <n v="2.14"/>
    <n v="20.15909090909091"/>
    <s v="NO"/>
    <n v="1.6335490856435624"/>
    <n v="1.1266550115619611"/>
    <n v="0.88793319299349349"/>
    <n v="9.6848002033132499"/>
    <n v="-0.7125506391707026"/>
    <n v="0.72694443593474267"/>
    <x v="1"/>
    <x v="0"/>
    <x v="0"/>
    <x v="1"/>
    <x v="0"/>
    <x v="1"/>
  </r>
  <r>
    <x v="1"/>
    <s v="FDX"/>
    <n v="51648"/>
    <n v="231.15"/>
    <n v="14.13"/>
    <n v="111.28"/>
    <n v="15.95"/>
    <n v="16.358811040339702"/>
    <n v="2.0771926671459382"/>
    <n v="14.76"/>
    <n v="4.88"/>
    <n v="3.18"/>
    <n v="14.49216300940439"/>
    <s v="NO"/>
    <n v="-0.95975802492631634"/>
    <n v="-1.1097720073169317"/>
    <n v="-1.1989144034428283"/>
    <n v="-5.3518381214010446"/>
    <n v="0.34912939626988593"/>
    <n v="-0.97481024690912943"/>
    <x v="1"/>
    <x v="0"/>
    <x v="0"/>
    <x v="1"/>
    <x v="0"/>
    <x v="1"/>
  </r>
  <r>
    <x v="1"/>
    <s v="UPS"/>
    <n v="79634"/>
    <n v="99.81"/>
    <n v="6.3"/>
    <n v="18.420000000000002"/>
    <n v="6.85"/>
    <n v="15.842857142857143"/>
    <n v="5.4185667752442992"/>
    <n v="35.909999999999997"/>
    <n v="7.38"/>
    <n v="4.37"/>
    <n v="14.570802919708031"/>
    <s v="NO"/>
    <n v="-1.1389844025371196"/>
    <n v="0.36110260974795444"/>
    <n v="0.96465553109777002"/>
    <n v="-1.2434669944299257"/>
    <n v="1.5639363598990208"/>
    <n v="-0.95119501163764375"/>
    <x v="1"/>
    <x v="0"/>
    <x v="0"/>
    <x v="0"/>
    <x v="0"/>
    <x v="1"/>
  </r>
  <r>
    <x v="1"/>
    <s v="ZTO"/>
    <n v="15079"/>
    <n v="18.47"/>
    <n v="0.94"/>
    <n v="10.65"/>
    <n v="1.1200000000000001"/>
    <n v="19.648936170212767"/>
    <n v="1.7342723004694833"/>
    <n v="14.46"/>
    <n v="8.16"/>
    <n v="1.49"/>
    <n v="16.491071428571427"/>
    <s v="NO"/>
    <n v="0.18312937604220927"/>
    <n v="-1.2607257307555924"/>
    <n v="-1.2296033386845386"/>
    <n v="3.8344797185063936E-2"/>
    <n v="-1.3761006613210707"/>
    <n v="-0.37454643146836519"/>
    <x v="1"/>
    <x v="0"/>
    <x v="0"/>
    <x v="0"/>
    <x v="0"/>
    <x v="1"/>
  </r>
  <r>
    <x v="2"/>
    <s v="ALLE"/>
    <n v="12067"/>
    <n v="142.85"/>
    <n v="7.39"/>
    <n v="18.670000000000002"/>
    <n v="7.12"/>
    <n v="19.330175913396481"/>
    <n v="7.651312265666844"/>
    <n v="42.05"/>
    <n v="11.53"/>
    <n v="2.84"/>
    <n v="20.063202247191011"/>
    <s v="NO"/>
    <n v="-0.2898677739246619"/>
    <n v="0.47915332460904164"/>
    <n v="1.4134044947798639"/>
    <n v="0.56438570417736478"/>
    <n v="1.7044085882145303"/>
    <n v="-0.68504314807107392"/>
    <x v="1"/>
    <x v="0"/>
    <x v="0"/>
    <x v="0"/>
    <x v="0"/>
    <x v="1"/>
  </r>
  <r>
    <x v="2"/>
    <s v="BLDR"/>
    <n v="11713"/>
    <n v="123.81"/>
    <n v="11.21"/>
    <n v="38.46"/>
    <n v="7.84"/>
    <n v="11.044603033006243"/>
    <n v="3.219188767550702"/>
    <n v="19.62"/>
    <n v="7.77"/>
    <n v="2.62"/>
    <n v="15.792091836734695"/>
    <s v="YES"/>
    <n v="-1.292688851503256"/>
    <n v="-0.86060705567830542"/>
    <n v="-0.30662836621367562"/>
    <n v="-0.37355473679805645"/>
    <n v="-0.55834074441511139"/>
    <n v="-1.0516224722291216"/>
    <x v="1"/>
    <x v="0"/>
    <x v="0"/>
    <x v="0"/>
    <x v="0"/>
    <x v="1"/>
  </r>
  <r>
    <x v="2"/>
    <s v="CARR"/>
    <n v="60003"/>
    <n v="74.650000000000006"/>
    <n v="0.59"/>
    <n v="16.11"/>
    <n v="1.5"/>
    <n v="126.52542372881358"/>
    <n v="4.6337678460583493"/>
    <n v="11.12"/>
    <n v="3.24"/>
    <n v="2.63"/>
    <n v="49.766666666666673"/>
    <s v="NO"/>
    <n v="12.684208427852473"/>
    <n v="-0.433002318361424"/>
    <n v="-0.95844643658572604"/>
    <n v="-1.5035734063774868"/>
    <n v="-0.45548850202285707"/>
    <n v="1.8643350851365952"/>
    <x v="0"/>
    <x v="0"/>
    <x v="0"/>
    <x v="0"/>
    <x v="0"/>
    <x v="1"/>
  </r>
  <r>
    <x v="2"/>
    <s v="CSL"/>
    <n v="16625"/>
    <n v="400.39"/>
    <n v="17.02"/>
    <n v="50.15"/>
    <n v="18.05"/>
    <n v="23.524676850763807"/>
    <n v="7.9838484546360915"/>
    <n v="33.200000000000003"/>
    <n v="11.14"/>
    <n v="2.52"/>
    <n v="22.182271468144041"/>
    <s v="NO"/>
    <n v="0.21780188400211911"/>
    <n v="0.57967372102446424"/>
    <n v="0.734746856804259"/>
    <n v="0.46709932865065917"/>
    <n v="-1.5868631683376779"/>
    <n v="-0.50316843910561548"/>
    <x v="1"/>
    <x v="0"/>
    <x v="0"/>
    <x v="0"/>
    <x v="0"/>
    <x v="1"/>
  </r>
  <r>
    <x v="2"/>
    <s v="JCI"/>
    <n v="59247"/>
    <n v="96.06"/>
    <n v="3.08"/>
    <n v="24.07"/>
    <n v="2.13"/>
    <n v="31.188311688311689"/>
    <n v="3.9908599916909018"/>
    <n v="8.18"/>
    <n v="3.69"/>
    <n v="2.65"/>
    <n v="45.098591549295776"/>
    <s v="NO"/>
    <n v="1.1453484347237461"/>
    <n v="-0.62734312854488672"/>
    <n v="-1.183898804455588"/>
    <n v="-1.3913198961543647"/>
    <n v="-0.24978401723834376"/>
    <n v="1.4636852172578578"/>
    <x v="1"/>
    <x v="0"/>
    <x v="0"/>
    <x v="0"/>
    <x v="0"/>
    <x v="1"/>
  </r>
  <r>
    <x v="2"/>
    <s v="LII"/>
    <n v="20154"/>
    <n v="602.34"/>
    <n v="21.73"/>
    <n v="24.02"/>
    <n v="22.45"/>
    <n v="27.719282098481361"/>
    <n v="25.076602830974188"/>
    <n v="131.47999999999999"/>
    <n v="19.84"/>
    <n v="4.05"/>
    <n v="26.830289532293989"/>
    <s v="NO"/>
    <n v="0.7254841668396127"/>
    <n v="5.7465412763023336"/>
    <n v="8.2712974398825061"/>
    <n v="2.6373338596310223"/>
    <n v="14.149529917677572"/>
    <n v="-0.10424002075820785"/>
    <x v="1"/>
    <x v="1"/>
    <x v="1"/>
    <x v="1"/>
    <x v="1"/>
    <x v="1"/>
  </r>
  <r>
    <x v="2"/>
    <s v="MAS"/>
    <n v="12745"/>
    <n v="68.069999999999993"/>
    <n v="3.9"/>
    <n v="-1.2"/>
    <n v="3.66"/>
    <n v="17.453846153846154"/>
    <n v="-56.724999999999994"/>
    <n v="1116.5999999999999"/>
    <n v="16.04"/>
    <n v="-20.11"/>
    <n v="18.598360655737704"/>
    <s v="NO"/>
    <n v="-0.51696408440650532"/>
    <n v="-18.980781092653149"/>
    <n v="83.814711261637115"/>
    <n v="1.6894153288579898"/>
    <n v="-234.34148770201426"/>
    <n v="-0.81076704396450339"/>
    <x v="1"/>
    <x v="1"/>
    <x v="1"/>
    <x v="0"/>
    <x v="1"/>
    <x v="1"/>
  </r>
  <r>
    <x v="2"/>
    <s v="OC"/>
    <n v="11154"/>
    <n v="142.61000000000001"/>
    <n v="14.33"/>
    <n v="59.45"/>
    <n v="7.37"/>
    <n v="9.9518492672714594"/>
    <n v="2.3988225399495375"/>
    <n v="12.53"/>
    <n v="9.3699999999999992"/>
    <n v="2.77"/>
    <n v="19.350067842605156"/>
    <s v="NO"/>
    <n v="-1.4249472390283695"/>
    <n v="-1.1085907072017791"/>
    <n v="-0.85032132138283301"/>
    <n v="2.5568855106378071E-2"/>
    <n v="0.98444289146873598"/>
    <n v="-0.74624979059357543"/>
    <x v="1"/>
    <x v="0"/>
    <x v="0"/>
    <x v="0"/>
    <x v="0"/>
    <x v="1"/>
  </r>
  <r>
    <x v="2"/>
    <s v="TT"/>
    <n v="90822"/>
    <n v="421.87"/>
    <n v="12.56"/>
    <n v="33.520000000000003"/>
    <n v="12.15"/>
    <n v="33.58837579617834"/>
    <n v="12.585620525059666"/>
    <n v="38.630000000000003"/>
    <n v="11.36"/>
    <n v="2.69"/>
    <n v="34.721810699588474"/>
    <s v="NO"/>
    <n v="1.4358334632973146"/>
    <n v="1.9707161641528894"/>
    <n v="1.1511435770536982"/>
    <n v="0.52197882253751871"/>
    <n v="0.16162495233068283"/>
    <n v="0.573070612327644"/>
    <x v="1"/>
    <x v="0"/>
    <x v="0"/>
    <x v="0"/>
    <x v="0"/>
    <x v="1"/>
  </r>
  <r>
    <x v="3"/>
    <s v="CLH"/>
    <n v="11929"/>
    <n v="228.8"/>
    <n v="6.28"/>
    <n v="47.94"/>
    <n v="7.22"/>
    <n v="36.433121019108277"/>
    <n v="4.7726324572382151"/>
    <n v="16.02"/>
    <n v="5.78"/>
    <n v="2.82"/>
    <n v="31.689750692520779"/>
    <s v="NO"/>
    <n v="-0.47744044916501305"/>
    <n v="-0.77231422904982483"/>
    <n v="-0.27000577880156745"/>
    <n v="-0.4727513193185548"/>
    <n v="1.1298436179009332"/>
    <n v="-0.93428394662801761"/>
    <x v="1"/>
    <x v="0"/>
    <x v="0"/>
    <x v="0"/>
    <x v="0"/>
    <x v="1"/>
  </r>
  <r>
    <x v="3"/>
    <s v="GFL"/>
    <n v="18790"/>
    <n v="48.1"/>
    <n v="0.43"/>
    <n v="15.25"/>
    <n v="-1.47"/>
    <n v="111.86046511627907"/>
    <n v="3.154098360655738"/>
    <n v="-9.64"/>
    <n v="1.6"/>
    <n v="2.42"/>
    <n v="-32.721088435374149"/>
    <s v="NO"/>
    <n v="7.5978494822158424"/>
    <n v="-1.1334722074669477"/>
    <n v="-1.8333253916124475"/>
    <n v="-1.3691268105460659"/>
    <n v="-0.29233715987646719"/>
    <n v="-5.4364962339642657"/>
    <x v="0"/>
    <x v="0"/>
    <x v="0"/>
    <x v="0"/>
    <x v="0"/>
    <x v="0"/>
  </r>
  <r>
    <x v="3"/>
    <s v="ROL"/>
    <n v="27581"/>
    <n v="54.85"/>
    <n v="1.24"/>
    <n v="2.8"/>
    <n v="0.99"/>
    <n v="44.233870967741936"/>
    <n v="19.589285714285715"/>
    <n v="37.83"/>
    <n v="14.88"/>
    <n v="2.17"/>
    <n v="55.404040404040408"/>
    <s v="NO"/>
    <n v="0.35771181917243094"/>
    <n v="2.5338580341861929"/>
    <n v="1.0587549677068226"/>
    <n v="1.4786881472293762"/>
    <n v="-1.1812001459873427"/>
    <n v="0.72330611073263673"/>
    <x v="1"/>
    <x v="1"/>
    <x v="0"/>
    <x v="0"/>
    <x v="0"/>
    <x v="1"/>
  </r>
  <r>
    <x v="3"/>
    <s v="RSG"/>
    <n v="78690"/>
    <n v="237.99"/>
    <n v="7.49"/>
    <n v="37.380000000000003"/>
    <n v="6.63"/>
    <n v="31.774365821094793"/>
    <n v="6.36677367576244"/>
    <n v="18.54"/>
    <n v="6.39"/>
    <n v="2.84"/>
    <n v="35.895927601809959"/>
    <s v="NO"/>
    <n v="-0.9762091569007747"/>
    <n v="-0.41659925152214605"/>
    <n v="-0.1164763390399378"/>
    <n v="-0.34194054189061668"/>
    <n v="1.2009526567898032"/>
    <n v="-0.64027906142368096"/>
    <x v="1"/>
    <x v="0"/>
    <x v="0"/>
    <x v="0"/>
    <x v="0"/>
    <x v="1"/>
  </r>
  <r>
    <x v="3"/>
    <s v="RTO"/>
    <n v="11736"/>
    <n v="23.28"/>
    <n v="0.23"/>
    <n v="2.11"/>
    <n v="0.15"/>
    <n v="101.21739130434783"/>
    <n v="11.033175355450238"/>
    <n v="7.38"/>
    <n v="3.87"/>
    <n v="2.5"/>
    <n v="155.20000000000002"/>
    <s v="NO"/>
    <n v="6.4583965713230755"/>
    <n v="0.624656660649755"/>
    <n v="-0.79639242941286925"/>
    <n v="-0.88233916339619745"/>
    <n v="-7.9010043209867941E-3"/>
    <n v="7.6988804333602383"/>
    <x v="0"/>
    <x v="0"/>
    <x v="0"/>
    <x v="0"/>
    <x v="0"/>
    <x v="0"/>
  </r>
  <r>
    <x v="3"/>
    <s v="VLTO"/>
    <n v="23817"/>
    <n v="100.25"/>
    <n v="3.47"/>
    <n v="9.2899999999999991"/>
    <n v="3.5"/>
    <n v="28.890489913544666"/>
    <n v="10.791173304628634"/>
    <n v="46.04"/>
    <n v="12.53"/>
    <n v="2.89"/>
    <n v="28.642857142857142"/>
    <s v="NO"/>
    <n v="-1.2849583825077371"/>
    <n v="0.57065658018677623"/>
    <n v="1.5589441345492749"/>
    <n v="0.97474498828567946"/>
    <n v="1.3787252540119794"/>
    <n v="-1.1472568214303942"/>
    <x v="1"/>
    <x v="0"/>
    <x v="0"/>
    <x v="0"/>
    <x v="0"/>
    <x v="1"/>
  </r>
  <r>
    <x v="3"/>
    <s v="WCN"/>
    <n v="51263"/>
    <n v="185.77"/>
    <n v="4.58"/>
    <n v="31.02"/>
    <n v="2.4300000000000002"/>
    <n v="40.561135371179041"/>
    <n v="5.9887169568020635"/>
    <n v="7.96"/>
    <n v="4"/>
    <n v="2.5299999999999998"/>
    <n v="76.44855967078189"/>
    <s v="NO"/>
    <n v="-3.5493127104616315E-2"/>
    <n v="-0.500958426058561"/>
    <n v="-0.76105628851535123"/>
    <n v="-0.85446145673122709"/>
    <n v="9.8762554012317566E-2"/>
    <n v="2.1942835813983632"/>
    <x v="1"/>
    <x v="0"/>
    <x v="0"/>
    <x v="0"/>
    <x v="0"/>
    <x v="1"/>
  </r>
  <r>
    <x v="3"/>
    <s v="WM"/>
    <n v="94771"/>
    <n v="222.38"/>
    <n v="4.57"/>
    <n v="21.5"/>
    <n v="6.64"/>
    <n v="48.660831509846822"/>
    <n v="10.343255813953489"/>
    <n v="34.01"/>
    <n v="7"/>
    <n v="5.14"/>
    <n v="33.49096385542169"/>
    <s v="NO"/>
    <n v="0.83166447281784595"/>
    <n v="0.47070874728570866"/>
    <n v="0.82602383283006653"/>
    <n v="-0.21112976446267839"/>
    <n v="9.3784921290098566"/>
    <n v="-0.80838209309026043"/>
    <x v="1"/>
    <x v="0"/>
    <x v="0"/>
    <x v="0"/>
    <x v="1"/>
    <x v="1"/>
  </r>
  <r>
    <x v="3"/>
    <s v="CPRT"/>
    <n v="59164"/>
    <n v="62.39"/>
    <n v="1.06"/>
    <n v="8.59"/>
    <n v="1.49"/>
    <n v="58.85849056603773"/>
    <n v="7.2630966239813741"/>
    <n v="19.18"/>
    <n v="12.13"/>
    <n v="1.1100000000000001"/>
    <n v="41.872483221476507"/>
    <s v="NO"/>
    <n v="1.9234310527735898"/>
    <n v="-0.2165947013114673"/>
    <n v="-7.7484735290952442E-2"/>
    <n v="0.88896742931653994"/>
    <n v="-4.9499792070974538"/>
    <n v="-0.22252760047185349"/>
    <x v="1"/>
    <x v="0"/>
    <x v="0"/>
    <x v="0"/>
    <x v="1"/>
    <x v="1"/>
  </r>
  <r>
    <x v="3"/>
    <s v="CTAS"/>
    <n v="86859"/>
    <n v="215.33"/>
    <n v="4.5199999999999996"/>
    <n v="11.38"/>
    <n v="4.3099999999999996"/>
    <n v="47.639380530973462"/>
    <n v="18.921792618629173"/>
    <n v="40.299999999999997"/>
    <n v="15.53"/>
    <n v="2.09"/>
    <n v="49.960556844547568"/>
    <s v="NO"/>
    <n v="0.72230741002018384"/>
    <n v="2.3849143341160355"/>
    <n v="1.2092381884255627"/>
    <n v="1.6180766805542282"/>
    <n v="-1.4656363015428231"/>
    <n v="0.34281551475082223"/>
    <x v="1"/>
    <x v="0"/>
    <x v="0"/>
    <x v="0"/>
    <x v="0"/>
    <x v="1"/>
  </r>
  <r>
    <x v="3"/>
    <s v="RBA"/>
    <n v="18933"/>
    <n v="104.72"/>
    <n v="3.38"/>
    <n v="28.28"/>
    <n v="2.0099999999999998"/>
    <n v="30.982248520710058"/>
    <n v="3.7029702970297027"/>
    <n v="7.35"/>
    <n v="4.12"/>
    <n v="2.2599999999999998"/>
    <n v="52.099502487562191"/>
    <s v="NO"/>
    <n v="-1.061013639105914"/>
    <n v="-1.0109975068293318"/>
    <n v="-0.79822016083860292"/>
    <n v="-0.82872818904048506"/>
    <n v="-0.86120947098742795"/>
    <n v="0.4923243161623882"/>
    <x v="1"/>
    <x v="0"/>
    <x v="0"/>
    <x v="0"/>
    <x v="0"/>
    <x v="1"/>
  </r>
  <r>
    <x v="4"/>
    <s v="ACM"/>
    <n v="13468"/>
    <n v="106.68"/>
    <n v="5.43"/>
    <n v="16.62"/>
    <n v="4.67"/>
    <n v="19.646408839779006"/>
    <n v="6.418772563176895"/>
    <n v="26.68"/>
    <n v="5.13"/>
    <n v="5.36"/>
    <n v="22.843683083511777"/>
    <s v="NO"/>
    <n v="-0.57196083471886405"/>
    <n v="0.12405646906318497"/>
    <n v="0.47358866311554859"/>
    <n v="-0.50098030089977619"/>
    <n v="12.367871854864759"/>
    <n v="-0.98835018026113564"/>
    <x v="1"/>
    <x v="0"/>
    <x v="0"/>
    <x v="0"/>
    <x v="1"/>
    <x v="1"/>
  </r>
  <r>
    <x v="4"/>
    <s v="APG"/>
    <n v="12012"/>
    <n v="45.81"/>
    <n v="2.19"/>
    <n v="10.77"/>
    <n v="0.51"/>
    <n v="20.917808219178085"/>
    <n v="4.2534818941504184"/>
    <n v="9.09"/>
    <n v="3.87"/>
    <n v="2.72"/>
    <n v="89.82352941176471"/>
    <s v="NO"/>
    <n v="-0.41302756144424752"/>
    <n v="-1.1828784998230464"/>
    <n v="-0.99933308705917978"/>
    <n v="-0.87043232882084853"/>
    <n v="0.22236099429081096"/>
    <n v="1.9420314528677325"/>
    <x v="1"/>
    <x v="0"/>
    <x v="0"/>
    <x v="0"/>
    <x v="0"/>
    <x v="1"/>
  </r>
  <r>
    <x v="4"/>
    <s v="EME"/>
    <n v="19432"/>
    <n v="472.38"/>
    <n v="28.19"/>
    <n v="65.08"/>
    <n v="22.63"/>
    <n v="16.75700603050727"/>
    <n v="7.2584511370620772"/>
    <n v="37.74"/>
    <n v="11.97"/>
    <n v="2.74"/>
    <n v="20.874060980998674"/>
    <s v="NO"/>
    <n v="-0.93315516415410338"/>
    <n v="0.63087308566480893"/>
    <n v="1.3997122877279704"/>
    <n v="1.5046164221003318"/>
    <n v="0.31437244020425004"/>
    <n v="-1.0745215400030357"/>
    <x v="1"/>
    <x v="0"/>
    <x v="0"/>
    <x v="0"/>
    <x v="0"/>
    <x v="1"/>
  </r>
  <r>
    <x v="4"/>
    <s v="FIX"/>
    <n v="15244"/>
    <n v="465.23"/>
    <n v="14.21"/>
    <n v="50.44"/>
    <n v="16.66"/>
    <n v="32.739619985925401"/>
    <n v="9.2234337827121333"/>
    <n v="37.81"/>
    <n v="12.1"/>
    <n v="2.57"/>
    <n v="27.924969987995198"/>
    <s v="NO"/>
    <n v="1.0647765578353867"/>
    <n v="1.8169053212395692"/>
    <n v="1.4055738296558971"/>
    <n v="1.5427344884731404"/>
    <n v="-0.46772485005998321"/>
    <n v="-0.76604286494447416"/>
    <x v="1"/>
    <x v="0"/>
    <x v="0"/>
    <x v="0"/>
    <x v="0"/>
    <x v="1"/>
  </r>
  <r>
    <x v="4"/>
    <s v="MTZ"/>
    <n v="11464"/>
    <n v="156.75"/>
    <n v="11.8"/>
    <n v="36.99"/>
    <n v="2.7"/>
    <n v="13.283898305084746"/>
    <n v="4.2376317923763178"/>
    <n v="8.7200000000000006"/>
    <n v="3.35"/>
    <n v="3.07"/>
    <n v="58.05555555555555"/>
    <s v="NO"/>
    <n v="-1.3673164420191726"/>
    <n v="-1.1924453688652943"/>
    <n v="-1.0303155229639354"/>
    <n v="-1.0229045943120847"/>
    <n v="1.832561297775992"/>
    <n v="0.55217626189387836"/>
    <x v="1"/>
    <x v="0"/>
    <x v="0"/>
    <x v="0"/>
    <x v="0"/>
    <x v="1"/>
  </r>
  <r>
    <x v="4"/>
    <s v="PWR"/>
    <n v="47956"/>
    <n v="343.58"/>
    <n v="9.7100000000000009"/>
    <n v="50.29"/>
    <n v="6.19"/>
    <n v="35.38414006179196"/>
    <n v="6.8319745476237816"/>
    <n v="13.73"/>
    <n v="5.01"/>
    <n v="2.57"/>
    <n v="55.505654281098543"/>
    <s v="NO"/>
    <n v="1.3953589371476713"/>
    <n v="0.37345860726646812"/>
    <n v="-0.61079659355089444"/>
    <n v="-0.53616620832083073"/>
    <n v="-0.46772485005998321"/>
    <n v="0.44061757266755136"/>
    <x v="1"/>
    <x v="0"/>
    <x v="0"/>
    <x v="0"/>
    <x v="0"/>
    <x v="1"/>
  </r>
  <r>
    <x v="4"/>
    <s v="STN"/>
    <n v="10419"/>
    <n v="94.63"/>
    <n v="3.07"/>
    <n v="17.96"/>
    <n v="2.2000000000000002"/>
    <n v="30.824104234527688"/>
    <n v="5.2689309576837413"/>
    <n v="13.4"/>
    <n v="6.44"/>
    <n v="2.36"/>
    <n v="43.013636363636358"/>
    <s v="NO"/>
    <n v="0.82532450735332885"/>
    <n v="-0.56996961454569128"/>
    <n v="-0.63842957692540603"/>
    <n v="-0.11686747821993082"/>
    <n v="-1.4338450321510925"/>
    <n v="-0.10591070222051589"/>
    <x v="1"/>
    <x v="0"/>
    <x v="0"/>
    <x v="0"/>
    <x v="0"/>
    <x v="1"/>
  </r>
  <r>
    <x v="5"/>
    <s v="AME"/>
    <n v="39182"/>
    <n v="180.5"/>
    <n v="7.41"/>
    <n v="43.18"/>
    <n v="6.11"/>
    <n v="24.358974358974358"/>
    <n v="4.1801760074108385"/>
    <n v="14.96"/>
    <n v="7.52"/>
    <n v="1.49"/>
    <n v="29.541734860883796"/>
    <s v="YES"/>
    <n v="-0.99920386252083415"/>
    <n v="-1.0330312520554814"/>
    <n v="-0.79937978428419176"/>
    <n v="0.15372569589324689"/>
    <n v="-1.3140321772289763"/>
    <n v="-0.81262939665578893"/>
    <x v="1"/>
    <x v="0"/>
    <x v="0"/>
    <x v="0"/>
    <x v="0"/>
    <x v="1"/>
  </r>
  <r>
    <x v="5"/>
    <s v="EMR"/>
    <n v="61950"/>
    <n v="121.49"/>
    <n v="5.73"/>
    <n v="36.340000000000003"/>
    <n v="3.55"/>
    <n v="21.20244328097731"/>
    <n v="3.3431480462300489"/>
    <n v="7.7"/>
    <n v="4.45"/>
    <n v="2.08"/>
    <n v="34.222535211267605"/>
    <s v="NO"/>
    <n v="-1.5009161232237553"/>
    <n v="-1.2301267433320593"/>
    <n v="-1.7670901377220825"/>
    <n v="-0.90510930562786684"/>
    <n v="-0.48926730003206564"/>
    <n v="-0.47636578479689484"/>
    <x v="1"/>
    <x v="0"/>
    <x v="0"/>
    <x v="0"/>
    <x v="0"/>
    <x v="1"/>
  </r>
  <r>
    <x v="5"/>
    <s v="ETN"/>
    <n v="118251"/>
    <n v="330.75"/>
    <n v="8.39"/>
    <n v="47.29"/>
    <n v="9.91"/>
    <n v="39.421930870083429"/>
    <n v="6.9940790864876297"/>
    <n v="20.81"/>
    <n v="7.82"/>
    <n v="2.12"/>
    <n v="33.375378405650856"/>
    <s v="NO"/>
    <n v="1.3949654889983421"/>
    <n v="-0.37043975512038085"/>
    <n v="-1.9613177175148069E-2"/>
    <n v="0.25719491428293251"/>
    <n v="-0.43335103717125811"/>
    <n v="-0.53722460934474647"/>
    <x v="1"/>
    <x v="0"/>
    <x v="0"/>
    <x v="0"/>
    <x v="0"/>
    <x v="1"/>
  </r>
  <r>
    <x v="5"/>
    <s v="HUBB"/>
    <n v="18808"/>
    <n v="386.66"/>
    <n v="14.36"/>
    <n v="61.11"/>
    <n v="14.79"/>
    <n v="26.926183844011145"/>
    <n v="6.3272786777941423"/>
    <n v="25.92"/>
    <n v="10.07"/>
    <n v="2.12"/>
    <n v="26.143340094658555"/>
    <s v="YES"/>
    <n v="-0.5911608423161735"/>
    <n v="-0.527451659417422"/>
    <n v="0.66151628647053007"/>
    <n v="1.0332140522055731"/>
    <n v="-0.43335103717125811"/>
    <n v="-1.0567663845791384"/>
    <x v="1"/>
    <x v="0"/>
    <x v="0"/>
    <x v="0"/>
    <x v="0"/>
    <x v="1"/>
  </r>
  <r>
    <x v="5"/>
    <s v="ROK"/>
    <n v="32019"/>
    <n v="308.51"/>
    <n v="8.51"/>
    <n v="29.94"/>
    <n v="8.0299999999999994"/>
    <n v="36.252643948296125"/>
    <n v="10.304275217100868"/>
    <n v="24.85"/>
    <n v="7.11"/>
    <n v="3.23"/>
    <n v="38.419676214196762"/>
    <s v="NO"/>
    <n v="0.89122576109581275"/>
    <n v="0.40901417335373058"/>
    <n v="0.51889230875998693"/>
    <n v="1.231776409401043E-2"/>
    <n v="1.1183252572161495"/>
    <n v="-0.17484773500220649"/>
    <x v="1"/>
    <x v="0"/>
    <x v="0"/>
    <x v="0"/>
    <x v="0"/>
    <x v="1"/>
  </r>
  <r>
    <x v="5"/>
    <s v="VRT"/>
    <n v="36403"/>
    <n v="105.58"/>
    <n v="3.45"/>
    <n v="7"/>
    <n v="1.71"/>
    <n v="30.602898550724635"/>
    <n v="15.082857142857142"/>
    <n v="32.82"/>
    <n v="10.8"/>
    <n v="3.54"/>
    <n v="61.742690058479532"/>
    <s v="NO"/>
    <n v="-6.7684185180169106E-3"/>
    <n v="1.534229812427083"/>
    <n v="1.5812410025478638"/>
    <n v="1.2849891502871409"/>
    <n v="1.5516762943874076"/>
    <n v="1.5006522409945147"/>
    <x v="1"/>
    <x v="0"/>
    <x v="0"/>
    <x v="0"/>
    <x v="0"/>
    <x v="1"/>
  </r>
  <r>
    <x v="5"/>
    <s v="GEV"/>
    <n v="111033"/>
    <n v="433.33"/>
    <n v="12.12"/>
    <n v="31.54"/>
    <n v="6.93"/>
    <n v="35.753300330033007"/>
    <n v="13.739061509194674"/>
    <n v="19.64"/>
    <n v="1.75"/>
    <n v="5.99"/>
    <n v="62.529581529581527"/>
    <s v="NO"/>
    <n v="0.81185799648462587"/>
    <n v="1.2178054241445297"/>
    <n v="-0.17556649859695661"/>
    <n v="-1.8363322711350354"/>
    <n v="4.9765473946118668"/>
    <n v="1.5571816693842597"/>
    <x v="1"/>
    <x v="0"/>
    <x v="0"/>
    <x v="0"/>
    <x v="1"/>
    <x v="1"/>
  </r>
  <r>
    <x v="6"/>
    <s v="CNI"/>
    <n v="62606"/>
    <n v="105.2"/>
    <n v="3.59"/>
    <n v="23.95"/>
    <n v="4.96"/>
    <n v="29.303621169916436"/>
    <n v="4.3924843423799587"/>
    <n v="21.73"/>
    <n v="7.72"/>
    <n v="2.65"/>
    <n v="21.20967741935484"/>
    <s v="NO"/>
    <n v="-0.21488104529945914"/>
    <n v="-0.26374725802849197"/>
    <n v="0.27754934551929134"/>
    <n v="0.96403295110673282"/>
    <n v="5.3204272289896319E-2"/>
    <n v="-0.66759001104535531"/>
    <x v="1"/>
    <x v="0"/>
    <x v="0"/>
    <x v="0"/>
    <x v="0"/>
    <x v="1"/>
  </r>
  <r>
    <x v="6"/>
    <s v="CP"/>
    <n v="68686"/>
    <n v="78.53"/>
    <n v="1.75"/>
    <n v="36.04"/>
    <n v="2.86"/>
    <n v="44.874285714285712"/>
    <n v="2.1789678135405106"/>
    <n v="8.27"/>
    <n v="4.29"/>
    <n v="1.82"/>
    <n v="27.45804195804196"/>
    <s v="NO"/>
    <n v="2.0243807292750384"/>
    <n v="-1.0754904734667208"/>
    <n v="-0.83040309712256055"/>
    <n v="-0.29672833989004477"/>
    <n v="-0.69315425166414302"/>
    <n v="0.27616103246898227"/>
    <x v="1"/>
    <x v="0"/>
    <x v="0"/>
    <x v="0"/>
    <x v="0"/>
    <x v="1"/>
  </r>
  <r>
    <x v="6"/>
    <s v="CSX"/>
    <n v="53294"/>
    <n v="30.54"/>
    <n v="1.41"/>
    <n v="6.48"/>
    <n v="1.68"/>
    <n v="21.659574468085108"/>
    <n v="4.7129629629629628"/>
    <n v="26.12"/>
    <n v="7.45"/>
    <n v="3.55"/>
    <n v="18.178571428571427"/>
    <s v="NO"/>
    <n v="-1.3141932508702279"/>
    <n v="-0.14622098589008092"/>
    <n v="0.63890976329029647"/>
    <n v="0.86478935094080578"/>
    <n v="0.86250869585451739"/>
    <n v="-1.1254073205337458"/>
    <x v="1"/>
    <x v="0"/>
    <x v="0"/>
    <x v="0"/>
    <x v="0"/>
    <x v="1"/>
  </r>
  <r>
    <x v="6"/>
    <s v="NSC"/>
    <n v="49593"/>
    <n v="240.26"/>
    <n v="8.35"/>
    <n v="64.37"/>
    <n v="14.65"/>
    <n v="28.773652694610778"/>
    <n v="3.7324840764331206"/>
    <n v="24.54"/>
    <n v="6.74"/>
    <n v="3.02"/>
    <n v="16.399999999999999"/>
    <s v="NO"/>
    <n v="-0.29109732656991022"/>
    <n v="-0.50578328129264516"/>
    <n v="0.50885293867111914"/>
    <n v="0.6038154393933679"/>
    <n v="0.38591831308868513"/>
    <n v="-1.3940421979142767"/>
    <x v="1"/>
    <x v="0"/>
    <x v="0"/>
    <x v="0"/>
    <x v="0"/>
    <x v="1"/>
  </r>
  <r>
    <x v="6"/>
    <s v="UNP"/>
    <n v="127770"/>
    <n v="228.25"/>
    <n v="9.6999999999999993"/>
    <n v="26.78"/>
    <n v="11.1"/>
    <n v="23.53092783505155"/>
    <n v="8.5231516056758778"/>
    <n v="42.47"/>
    <n v="8.99"/>
    <n v="4.2699999999999996"/>
    <n v="20.563063063063062"/>
    <s v="NO"/>
    <n v="-1.0450685741791097"/>
    <n v="1.2510555828480863"/>
    <n v="1.9847509547608964"/>
    <n v="1.4308454407760938"/>
    <n v="1.509952234706214"/>
    <n v="-0.76525444302965484"/>
    <x v="1"/>
    <x v="0"/>
    <x v="0"/>
    <x v="0"/>
    <x v="0"/>
    <x v="1"/>
  </r>
  <r>
    <x v="6"/>
    <s v="JBHT"/>
    <n v="13188"/>
    <n v="147.32"/>
    <n v="5.07"/>
    <n v="38.979999999999997"/>
    <n v="5.52"/>
    <n v="29.057199211045361"/>
    <n v="3.7793740379681888"/>
    <n v="13.97"/>
    <n v="6.11"/>
    <n v="2.14"/>
    <n v="26.688405797101449"/>
    <s v="YES"/>
    <n v="-0.25031969156554368"/>
    <n v="-0.48858774303831493"/>
    <n v="-0.36121075514198425"/>
    <n v="0.37224703900620471"/>
    <n v="-0.40540156773005548"/>
    <n v="0.1599154252357986"/>
    <x v="1"/>
    <x v="0"/>
    <x v="0"/>
    <x v="0"/>
    <x v="0"/>
    <x v="1"/>
  </r>
  <r>
    <x v="6"/>
    <s v="ODFL"/>
    <n v="33008"/>
    <n v="171.34"/>
    <n v="4.12"/>
    <n v="19.940000000000001"/>
    <n v="5.33"/>
    <n v="41.587378640776699"/>
    <n v="8.5927783350050149"/>
    <n v="26.59"/>
    <n v="16.78"/>
    <n v="1.3"/>
    <n v="32.146341463414636"/>
    <s v="NO"/>
    <n v="1.5516812278944825"/>
    <n v="1.2765891735892017"/>
    <n v="0.67759755289220358"/>
    <n v="4.2942070900078431"/>
    <n v="-1.1607523630570353"/>
    <n v="0.98428033682584537"/>
    <x v="1"/>
    <x v="0"/>
    <x v="0"/>
    <x v="1"/>
    <x v="0"/>
    <x v="1"/>
  </r>
  <r>
    <x v="6"/>
    <s v="UHAL"/>
    <n v="11795"/>
    <n v="65.72"/>
    <n v="-10.130000000000001"/>
    <n v="39.700000000000003"/>
    <n v="2.29"/>
    <n v="-6.4876604146100689"/>
    <n v="1.6554156171284633"/>
    <n v="6.09"/>
    <n v="2.31"/>
    <n v="2.61"/>
    <n v="28.698689956331876"/>
    <s v="NO"/>
    <n v="-5.362127554071308"/>
    <n v="-1.267488110632812"/>
    <n v="-1.0098485893186404"/>
    <n v="-1.0245147411068436"/>
    <n v="1.7235186798135349E-2"/>
    <n v="0.46354812164577647"/>
    <x v="0"/>
    <x v="0"/>
    <x v="0"/>
    <x v="0"/>
    <x v="0"/>
    <x v="1"/>
  </r>
  <r>
    <x v="6"/>
    <s v="XPO"/>
    <n v="12897"/>
    <n v="126"/>
    <n v="1.06"/>
    <n v="13.92"/>
    <n v="3.25"/>
    <n v="118.86792452830188"/>
    <n v="9.0517241379310338"/>
    <n v="26.18"/>
    <n v="5.81"/>
    <n v="4.8"/>
    <n v="38.769230769230766"/>
    <s v="NO"/>
    <n v="12.665617427025115"/>
    <n v="1.4448942830949225"/>
    <n v="0.64384863004798665"/>
    <n v="0.26197637215517433"/>
    <n v="1.9865426174720469"/>
    <n v="1.9845994850996782"/>
    <x v="0"/>
    <x v="0"/>
    <x v="0"/>
    <x v="0"/>
    <x v="0"/>
    <x v="1"/>
  </r>
  <r>
    <x v="6"/>
    <s v="YMM"/>
    <n v="12164"/>
    <n v="12.68"/>
    <n v="0.38"/>
    <n v="4.97"/>
    <n v="0.4"/>
    <n v="33.368421052631575"/>
    <n v="2.5513078470824953"/>
    <n v="8.44"/>
    <n v="3.84"/>
    <n v="1.1000000000000001"/>
    <n v="31.7"/>
    <s v="NO"/>
    <n v="0.36968944446492719"/>
    <n v="-0.93894552694119549"/>
    <n v="-0.81640964130910476"/>
    <n v="-0.46213434016659005"/>
    <n v="-1.3405977905158399"/>
    <n v="0.91686506051583228"/>
    <x v="1"/>
    <x v="0"/>
    <x v="0"/>
    <x v="0"/>
    <x v="0"/>
    <x v="1"/>
  </r>
  <r>
    <x v="6"/>
    <s v="GRAB"/>
    <n v="19960"/>
    <n v="5.03"/>
    <n v="0.18"/>
    <n v="1.57"/>
    <n v="0"/>
    <n v="27.944444444444446"/>
    <n v="3.2038216560509554"/>
    <n v="-2.46"/>
    <n v="-1.08"/>
    <n v="1.45"/>
    <s v=""/>
    <s v="NO"/>
    <n v="-0.41034813519584923"/>
    <n v="-0.69965494541225925"/>
    <n v="-1.7136371022895047"/>
    <n v="-2.2705732765234838"/>
    <n v="-1.0258682924629319"/>
    <e v="#VALUE!"/>
    <x v="1"/>
    <x v="0"/>
    <x v="0"/>
    <x v="0"/>
    <x v="0"/>
    <x v="0"/>
  </r>
  <r>
    <x v="6"/>
    <s v="UBER"/>
    <n v="174934"/>
    <n v="91.72"/>
    <n v="3.29"/>
    <n v="10.23"/>
    <n v="4.5599999999999996"/>
    <n v="27.878419452887538"/>
    <n v="8.9657869012707714"/>
    <n v="56"/>
    <n v="3.89"/>
    <n v="2.38"/>
    <n v="20.114035087719301"/>
    <s v="NO"/>
    <n v="-0.41984337795435134"/>
    <n v="1.4133792851703069"/>
    <n v="3.0984654086200534"/>
    <n v="-0.44375589569141827"/>
    <n v="-0.18958705477949003"/>
    <n v="-0.8330754892688752"/>
    <x v="1"/>
    <x v="0"/>
    <x v="1"/>
    <x v="0"/>
    <x v="0"/>
    <x v="1"/>
  </r>
  <r>
    <x v="7"/>
    <s v="HON"/>
    <n v="138049"/>
    <n v="218.22"/>
    <n v="7.79"/>
    <n v="27.17"/>
    <n v="8.6999999999999993"/>
    <n v="28.012836970474968"/>
    <n v="8.0316525579683464"/>
    <n v="32.68"/>
    <n v="7.41"/>
    <n v="4.3099999999999996"/>
    <n v="25.082758620689656"/>
    <s v="NO"/>
    <n v="0.99999999999999978"/>
    <n v="-1.0000000000000002"/>
    <n v="-1.0000000000000009"/>
    <n v="0.99999999999999678"/>
    <n v="-0.99999999999999944"/>
    <n v="1.0000000000000056"/>
    <x v="1"/>
    <x v="0"/>
    <x v="0"/>
    <x v="0"/>
    <x v="0"/>
    <x v="1"/>
  </r>
  <r>
    <x v="7"/>
    <s v="MMM"/>
    <n v="74613"/>
    <n v="150.74"/>
    <n v="-0.13"/>
    <n v="8.2899999999999991"/>
    <n v="8.0299999999999994"/>
    <n v="-1159.5384615384617"/>
    <n v="18.183353437876963"/>
    <n v="93.82"/>
    <n v="5.45"/>
    <n v="8.9499999999999993"/>
    <n v="18.772104607721047"/>
    <s v="NO"/>
    <n v="-1"/>
    <n v="1.0000000000000002"/>
    <n v="1.0000000000000007"/>
    <n v="-0.99999999999999589"/>
    <n v="0.99999999999999978"/>
    <n v="-1.0000000000000067"/>
    <x v="1"/>
    <x v="0"/>
    <x v="0"/>
    <x v="0"/>
    <x v="0"/>
    <x v="1"/>
  </r>
  <r>
    <x v="8"/>
    <s v="CAT"/>
    <n v="150637"/>
    <n v="352.54"/>
    <n v="16.34"/>
    <n v="38.04"/>
    <n v="20.51"/>
    <n v="21.575275397796819"/>
    <n v="9.2676130389064149"/>
    <n v="55.65"/>
    <n v="9.35"/>
    <n v="4.7"/>
    <n v="17.188688444661139"/>
    <s v="NO"/>
    <n v="-0.66865349919793471"/>
    <n v="2.570402603914077"/>
    <n v="4.8982542211760185"/>
    <n v="0.51371878704396734"/>
    <n v="6.2932198432192363"/>
    <n v="-1.2588795727473361"/>
    <x v="1"/>
    <x v="0"/>
    <x v="1"/>
    <x v="0"/>
    <x v="1"/>
    <x v="1"/>
  </r>
  <r>
    <x v="8"/>
    <s v="CMI"/>
    <n v="41043"/>
    <n v="334.58"/>
    <n v="0.05"/>
    <n v="79.33"/>
    <n v="20.100000000000001"/>
    <n v="6691.5999999999995"/>
    <n v="4.217572166897769"/>
    <n v="26.19"/>
    <n v="7.75"/>
    <n v="2.98"/>
    <n v="16.645771144278605"/>
    <s v="NO"/>
    <n v="1481.2699740710354"/>
    <n v="-0.17797598319377148"/>
    <n v="1.0857689013386211"/>
    <n v="-5.4380562760929632E-2"/>
    <n v="2.4265216944049164"/>
    <n v="-1.3404682894991984"/>
    <x v="0"/>
    <x v="0"/>
    <x v="0"/>
    <x v="0"/>
    <x v="0"/>
    <x v="1"/>
  </r>
  <r>
    <x v="8"/>
    <s v="PCAR"/>
    <n v="46589"/>
    <n v="96.26"/>
    <n v="4.5"/>
    <n v="34.33"/>
    <n v="6.59"/>
    <n v="21.391111111111112"/>
    <n v="2.8039615496650163"/>
    <n v="19.899999999999999"/>
    <n v="6.7"/>
    <n v="2.37"/>
    <n v="14.606980273141124"/>
    <s v="NO"/>
    <n v="-0.70957091427914254"/>
    <n v="-0.94730384595332562"/>
    <n v="0.271765755996556"/>
    <n v="-0.42719576107039331"/>
    <n v="1.05519269976728"/>
    <n v="-1.6468544201019903"/>
    <x v="1"/>
    <x v="0"/>
    <x v="0"/>
    <x v="0"/>
    <x v="0"/>
    <x v="1"/>
  </r>
  <r>
    <x v="8"/>
    <s v="WAB"/>
    <n v="32463"/>
    <n v="203.85"/>
    <n v="8.52"/>
    <n v="60.6"/>
    <n v="6.39"/>
    <n v="23.926056338028168"/>
    <n v="3.3638613861386135"/>
    <n v="10.68"/>
    <n v="5.73"/>
    <n v="1.84"/>
    <n v="31.901408450704228"/>
    <s v="YES"/>
    <n v="-0.14635962112052239"/>
    <n v="-0.64259012967063767"/>
    <n v="-0.92141532509308421"/>
    <n v="-0.7716059918896121"/>
    <n v="-0.13628986934410922"/>
    <n v="0.95212373176464371"/>
    <x v="1"/>
    <x v="0"/>
    <x v="0"/>
    <x v="0"/>
    <x v="0"/>
    <x v="1"/>
  </r>
  <r>
    <x v="8"/>
    <s v="DE"/>
    <n v="128216"/>
    <n v="498.57"/>
    <n v="15.44"/>
    <n v="82.82"/>
    <n v="22.61"/>
    <n v="32.290803108808291"/>
    <n v="6.0199227239797155"/>
    <n v="27.74"/>
    <n v="4.96"/>
    <n v="4.59"/>
    <n v="22.050862450243255"/>
    <s v="NO"/>
    <n v="1.7121104537714009"/>
    <n v="0.80291542008226979"/>
    <n v="1.2863579117170312"/>
    <n v="-1.045003803983219"/>
    <n v="6.0459310081206459"/>
    <n v="-0.52820007982972828"/>
    <x v="1"/>
    <x v="0"/>
    <x v="0"/>
    <x v="0"/>
    <x v="1"/>
    <x v="1"/>
  </r>
  <r>
    <x v="8"/>
    <s v="DOV"/>
    <n v="23508"/>
    <n v="185.59"/>
    <n v="4.0999999999999996"/>
    <n v="52.06"/>
    <n v="7.5"/>
    <n v="45.265853658536592"/>
    <n v="3.5649250864387243"/>
    <n v="16.88"/>
    <n v="6.71"/>
    <n v="1.77"/>
    <n v="24.745333333333335"/>
    <s v="NO"/>
    <n v="4.5948926619686166"/>
    <n v="-0.53316543736518729"/>
    <n v="-0.11905928357944326"/>
    <n v="-0.42364514013411275"/>
    <n v="-0.29365549167957583"/>
    <n v="-0.12327943810090401"/>
    <x v="0"/>
    <x v="0"/>
    <x v="0"/>
    <x v="0"/>
    <x v="0"/>
    <x v="1"/>
  </r>
  <r>
    <x v="8"/>
    <s v="FTV"/>
    <n v="23122"/>
    <n v="73.650000000000006"/>
    <n v="4.01"/>
    <n v="30.12"/>
    <n v="2.2799999999999998"/>
    <n v="18.366583541147136"/>
    <n v="2.4452191235059764"/>
    <n v="7.69"/>
    <n v="4.0999999999999996"/>
    <n v="1.67"/>
    <n v="32.302631578947377"/>
    <s v="NO"/>
    <n v="-1.3815570644276431"/>
    <n v="-1.1425418702250896"/>
    <n v="-1.3083579967262753"/>
    <n v="-1.3503572045033514"/>
    <n v="-0.51846352358738534"/>
    <n v="1.0124188819495088"/>
    <x v="1"/>
    <x v="0"/>
    <x v="0"/>
    <x v="0"/>
    <x v="0"/>
    <x v="1"/>
  </r>
  <r>
    <x v="8"/>
    <s v="GGG"/>
    <n v="13702"/>
    <n v="85.74"/>
    <n v="3.24"/>
    <n v="14.82"/>
    <n v="2.83"/>
    <n v="26.462962962962958"/>
    <n v="5.7854251012145745"/>
    <n v="20.28"/>
    <n v="12.5"/>
    <n v="1.21"/>
    <n v="30.296819787985864"/>
    <s v="NO"/>
    <n v="0.41728745325429006"/>
    <n v="0.67529501829350902"/>
    <n v="0.32094241660545691"/>
    <n v="1.6321643819723586"/>
    <n v="-1.5525804703633079"/>
    <n v="0.7109887931404083"/>
    <x v="1"/>
    <x v="0"/>
    <x v="0"/>
    <x v="0"/>
    <x v="0"/>
    <x v="1"/>
  </r>
  <r>
    <x v="8"/>
    <s v="IEX"/>
    <n v="13605"/>
    <n v="190.31"/>
    <n v="7.37"/>
    <n v="51.61"/>
    <n v="6.3"/>
    <n v="25.822252374491182"/>
    <n v="3.6874636698314283"/>
    <n v="12.72"/>
    <n v="6.9"/>
    <n v="1.74"/>
    <n v="30.207936507936509"/>
    <s v="NO"/>
    <n v="0.27493509185337961"/>
    <n v="-0.46647638925119012"/>
    <n v="-0.65741430498214415"/>
    <n v="-0.35618334234478111"/>
    <n v="-0.36109790125191865"/>
    <n v="0.69763156036331009"/>
    <x v="1"/>
    <x v="0"/>
    <x v="0"/>
    <x v="0"/>
    <x v="0"/>
    <x v="1"/>
  </r>
  <r>
    <x v="8"/>
    <s v="IR"/>
    <n v="31414"/>
    <n v="84.5"/>
    <n v="3.4"/>
    <n v="25.99"/>
    <n v="2.02"/>
    <n v="24.852941176470591"/>
    <n v="3.2512504809542135"/>
    <n v="8.11"/>
    <n v="5.39"/>
    <n v="1.75"/>
    <n v="41.831683168316829"/>
    <s v="NO"/>
    <n v="5.9574614824748552E-2"/>
    <n v="-0.70387624761061685"/>
    <n v="-1.2540048455269643"/>
    <n v="-0.89232710372315305"/>
    <n v="-0.33861709806113771"/>
    <n v="2.4444290435176774"/>
    <x v="1"/>
    <x v="0"/>
    <x v="0"/>
    <x v="0"/>
    <x v="0"/>
    <x v="1"/>
  </r>
  <r>
    <x v="8"/>
    <s v="ITT"/>
    <n v="11131"/>
    <n v="150.44999999999999"/>
    <n v="5.94"/>
    <n v="34.31"/>
    <n v="6.28"/>
    <n v="25.328282828282823"/>
    <n v="4.3850189449140187"/>
    <n v="19.3"/>
    <n v="8.58"/>
    <n v="1.74"/>
    <n v="23.95700636942675"/>
    <s v="NO"/>
    <n v="0.16518549097567614"/>
    <n v="-8.6846594176170314E-2"/>
    <n v="0.19411839714039747"/>
    <n v="0.24032097495036078"/>
    <n v="-0.36109790125191865"/>
    <n v="-0.24174791446132132"/>
    <x v="1"/>
    <x v="0"/>
    <x v="0"/>
    <x v="0"/>
    <x v="0"/>
    <x v="1"/>
  </r>
  <r>
    <x v="8"/>
    <s v="ITW"/>
    <n v="70499"/>
    <n v="249.14"/>
    <n v="9.6300000000000008"/>
    <n v="11.06"/>
    <n v="11.37"/>
    <n v="25.871235721703009"/>
    <n v="22.526220614828208"/>
    <n v="107.58"/>
    <n v="16.54"/>
    <n v="4.7699999999999996"/>
    <n v="21.912049252418647"/>
    <s v="NO"/>
    <n v="0.28581815710996611"/>
    <n v="9.7861210664134788"/>
    <n v="11.618633130176564"/>
    <n v="3.0666152402297238"/>
    <n v="6.4505854655547017"/>
    <n v="-0.54906069832678528"/>
    <x v="1"/>
    <x v="1"/>
    <x v="1"/>
    <x v="1"/>
    <x v="1"/>
    <x v="1"/>
  </r>
  <r>
    <x v="8"/>
    <s v="LECO"/>
    <n v="10131"/>
    <n v="195.57"/>
    <n v="9.4600000000000009"/>
    <n v="24.01"/>
    <n v="8.11"/>
    <n v="20.673361522198729"/>
    <n v="8.1453561016243228"/>
    <n v="34.83"/>
    <n v="12.5"/>
    <n v="2.7"/>
    <n v="24.114673242909987"/>
    <s v="NO"/>
    <n v="-0.8690397145683878"/>
    <n v="1.9596378568888659"/>
    <n v="2.2038908688673078"/>
    <n v="1.6321643819723586"/>
    <n v="1.7970592050630507"/>
    <n v="-0.21805399667179468"/>
    <x v="1"/>
    <x v="0"/>
    <x v="0"/>
    <x v="0"/>
    <x v="0"/>
    <x v="1"/>
  </r>
  <r>
    <x v="8"/>
    <s v="NDSN"/>
    <n v="10773"/>
    <n v="202.6"/>
    <n v="8.1199999999999992"/>
    <n v="50.55"/>
    <n v="7.86"/>
    <n v="24.95073891625616"/>
    <n v="4.0079129574678536"/>
    <n v="16.149999999999999"/>
    <n v="7.44"/>
    <n v="2.04"/>
    <n v="25.776081424936386"/>
    <s v="NO"/>
    <n v="8.1303207185542445E-2"/>
    <n v="-0.29207860065594415"/>
    <n v="-0.21353023685443653"/>
    <n v="-0.16444981178562831"/>
    <n v="0.31332619447150922"/>
    <n v="3.1619685631328664E-2"/>
    <x v="1"/>
    <x v="0"/>
    <x v="0"/>
    <x v="0"/>
    <x v="0"/>
    <x v="1"/>
  </r>
  <r>
    <x v="8"/>
    <s v="OTIS"/>
    <n v="38410"/>
    <n v="96.99"/>
    <n v="3.64"/>
    <n v="-12.97"/>
    <n v="3.83"/>
    <n v="26.645604395604394"/>
    <n v="-7.4780262143407858"/>
    <n v="-32.96"/>
    <n v="13.96"/>
    <n v="-2.1800000000000002"/>
    <n v="25.323759791122715"/>
    <s v="NO"/>
    <n v="0.45786652232846847"/>
    <n v="-6.5430595476806586"/>
    <n v="-6.5689665592310345"/>
    <n v="2.1505550386693275"/>
    <n v="-9.1735727520380426"/>
    <n v="-3.6354463720627408E-2"/>
    <x v="1"/>
    <x v="1"/>
    <x v="1"/>
    <x v="0"/>
    <x v="1"/>
    <x v="1"/>
  </r>
  <r>
    <x v="8"/>
    <s v="PH"/>
    <n v="80223"/>
    <n v="678.42"/>
    <n v="24.3"/>
    <n v="104.26"/>
    <n v="25.99"/>
    <n v="27.918518518518518"/>
    <n v="6.5070017264530975"/>
    <n v="27.15"/>
    <n v="8.8699999999999992"/>
    <n v="2.16"/>
    <n v="26.103116583301269"/>
    <s v="NO"/>
    <n v="0.74068115738795492"/>
    <n v="1.0679979282353647"/>
    <n v="1.210004675508475"/>
    <n v="0.34328898210249809"/>
    <n v="0.58309583276088062"/>
    <n v="8.0765990022315395E-2"/>
    <x v="1"/>
    <x v="0"/>
    <x v="0"/>
    <x v="0"/>
    <x v="0"/>
    <x v="1"/>
  </r>
  <r>
    <x v="8"/>
    <s v="PNR"/>
    <n v="15100"/>
    <n v="98.46"/>
    <n v="4.62"/>
    <n v="22.09"/>
    <n v="3.87"/>
    <n v="21.311688311688311"/>
    <n v="4.4572204617473972"/>
    <n v="18.59"/>
    <n v="8.5500000000000007"/>
    <n v="1.86"/>
    <n v="25.441860465116278"/>
    <s v="YES"/>
    <n v="-0.72721698295716097"/>
    <n v="-4.7552436395891531E-2"/>
    <n v="0.10223568916060945"/>
    <n v="0.22966911214151919"/>
    <n v="-9.1328262962547313E-2"/>
    <n v="-1.860648915456431E-2"/>
    <x v="1"/>
    <x v="0"/>
    <x v="0"/>
    <x v="0"/>
    <x v="0"/>
    <x v="1"/>
  </r>
  <r>
    <x v="8"/>
    <s v="RBC"/>
    <n v="10760"/>
    <n v="370"/>
    <n v="7.98"/>
    <n v="93.99"/>
    <n v="7.3"/>
    <n v="46.365914786967416"/>
    <n v="3.936588998829663"/>
    <n v="8.34"/>
    <n v="4.9000000000000004"/>
    <n v="1.59"/>
    <n v="50.684931506849317"/>
    <s v="NO"/>
    <n v="4.8393030121877247"/>
    <n v="-0.33089516583574247"/>
    <n v="-1.2242400246321035"/>
    <n v="-1.0663075296009026"/>
    <n v="-0.69830994911363242"/>
    <n v="3.7748806067990075"/>
    <x v="0"/>
    <x v="0"/>
    <x v="0"/>
    <x v="0"/>
    <x v="0"/>
    <x v="0"/>
  </r>
  <r>
    <x v="8"/>
    <s v="SNA"/>
    <n v="16454"/>
    <n v="327.32"/>
    <n v="20.62"/>
    <n v="105.58"/>
    <n v="19.11"/>
    <n v="15.873908826382152"/>
    <n v="3.1002083727978782"/>
    <n v="19.54"/>
    <n v="10.83"/>
    <n v="1.46"/>
    <n v="17.128205128205128"/>
    <s v="YES"/>
    <n v="-1.9353767425095938"/>
    <n v="-0.78607773990138841"/>
    <n v="0.2251773406828608"/>
    <n v="1.0392106856134973"/>
    <n v="-0.99056039059378465"/>
    <n v="-1.267968905820837"/>
    <x v="1"/>
    <x v="0"/>
    <x v="0"/>
    <x v="0"/>
    <x v="0"/>
    <x v="1"/>
  </r>
  <r>
    <x v="8"/>
    <s v="XYL"/>
    <n v="29467"/>
    <n v="126.93"/>
    <n v="3.66"/>
    <n v="44.44"/>
    <n v="3.71"/>
    <n v="34.680327868852459"/>
    <n v="2.8562106210621065"/>
    <n v="8.51"/>
    <n v="4.4400000000000004"/>
    <n v="1.53"/>
    <n v="34.212938005390839"/>
    <s v="NO"/>
    <n v="2.2430123903689654"/>
    <n v="-0.91886838717912467"/>
    <n v="-1.2022399396228585"/>
    <n v="-1.2296360926698104"/>
    <n v="-0.83319476825831806"/>
    <n v="1.2994965820458968"/>
    <x v="1"/>
    <x v="0"/>
    <x v="0"/>
    <x v="0"/>
    <x v="0"/>
    <x v="1"/>
  </r>
  <r>
    <x v="9"/>
    <s v="DAL"/>
    <n v="29579"/>
    <n v="52.99"/>
    <n v="4.4000000000000004"/>
    <n v="23.81"/>
    <n v="5.63"/>
    <n v="12.043181818181818"/>
    <n v="2.2255354892902144"/>
    <n v="27.52"/>
    <n v="4.7300000000000004"/>
    <n v="5.01"/>
    <n v="9.412078152753109"/>
    <s v="NO"/>
    <n v="0.24984435229952895"/>
    <n v="0.98369701463590564"/>
    <n v="0.54292687002220119"/>
    <n v="-0.75557973874429929"/>
    <n v="0.56697809858423698"/>
    <n v="-0.92266665302503825"/>
    <x v="1"/>
    <x v="0"/>
    <x v="0"/>
    <x v="0"/>
    <x v="0"/>
    <x v="1"/>
  </r>
  <r>
    <x v="9"/>
    <s v="LUV"/>
    <n v="17256"/>
    <n v="31.29"/>
    <n v="-0.95"/>
    <n v="16.43"/>
    <n v="0.88"/>
    <n v="-32.93684210526316"/>
    <n v="1.9044430919050517"/>
    <n v="5.59"/>
    <n v="0.93"/>
    <n v="3.55"/>
    <n v="35.55681818181818"/>
    <s v="NO"/>
    <n v="-1.5211441292588996"/>
    <n v="-1.3717661952566049"/>
    <n v="-1.5597462001035165"/>
    <n v="-4.8967379222467144"/>
    <n v="-0.39277613206270351"/>
    <n v="1.1107801238903277"/>
    <x v="1"/>
    <x v="0"/>
    <x v="0"/>
    <x v="1"/>
    <x v="0"/>
    <x v="1"/>
  </r>
  <r>
    <x v="9"/>
    <s v="RYAAY"/>
    <n v="27005"/>
    <n v="49.86"/>
    <n v="1.31"/>
    <n v="7.83"/>
    <n v="1.53"/>
    <n v="38.061068702290072"/>
    <n v="6.3678160919540225"/>
    <n v="20.75"/>
    <n v="6.72"/>
    <n v="2"/>
    <n v="32.588235294117645"/>
    <s v="NO"/>
    <n v="1.2742408280477082"/>
    <n v="31.370556510789253"/>
    <n v="-0.10618834588072211"/>
    <n v="1.4130794152477539"/>
    <n v="-1.4116932947358252"/>
    <n v="0.87989409104815597"/>
    <x v="1"/>
    <x v="1"/>
    <x v="0"/>
    <x v="0"/>
    <x v="0"/>
    <x v="1"/>
  </r>
  <r>
    <x v="9"/>
    <s v="UAL"/>
    <n v="24609"/>
    <n v="82.6"/>
    <n v="14.69"/>
    <n v="38.520000000000003"/>
    <n v="10.95"/>
    <n v="5.6228727025187197"/>
    <n v="2.1443406022845273"/>
    <n v="33.57"/>
    <n v="4.82"/>
    <n v="6.03"/>
    <n v="7.5433789954337902"/>
    <s v="NO"/>
    <n v="-2.9410510883376268E-3"/>
    <n v="0.38806918062069595"/>
    <n v="1.1230076759620367"/>
    <n v="-0.65749967650345276"/>
    <n v="1.2374913282142916"/>
    <n v="-1.068007561913445"/>
    <x v="1"/>
    <x v="0"/>
    <x v="0"/>
    <x v="0"/>
    <x v="0"/>
    <x v="1"/>
  </r>
  <r>
    <x v="10"/>
    <s v="ADP"/>
    <n v="123880"/>
    <n v="308.19"/>
    <n v="10.4"/>
    <n v="14.41"/>
    <n v="9.7799999999999994"/>
    <n v="29.633653846153845"/>
    <n v="21.387231089521165"/>
    <n v="76.290000000000006"/>
    <n v="5.57"/>
    <n v="9.64"/>
    <n v="31.512269938650309"/>
    <s v="NO"/>
    <n v="-0.25915139390319708"/>
    <n v="1.8873883022779829"/>
    <n v="1.9897985298990433"/>
    <n v="-0.67191794705134256"/>
    <n v="6.4142678020568198"/>
    <n v="-0.35109988759071853"/>
    <x v="1"/>
    <x v="0"/>
    <x v="0"/>
    <x v="0"/>
    <x v="1"/>
    <x v="1"/>
  </r>
  <r>
    <x v="10"/>
    <s v="PAYC"/>
    <n v="12937"/>
    <n v="260.20999999999998"/>
    <n v="5.99"/>
    <n v="28.88"/>
    <n v="8.92"/>
    <n v="43.440734557595988"/>
    <n v="9.0100415512465375"/>
    <n v="34.869999999999997"/>
    <n v="6.42"/>
    <n v="3.72"/>
    <n v="29.171524663677129"/>
    <s v="NO"/>
    <n v="1.0386976330579223"/>
    <n v="-0.12986911064135337"/>
    <n v="0.11149498584380668"/>
    <n v="-0.44488480220914972"/>
    <n v="0.52184355649631009"/>
    <n v="-0.55977291719344269"/>
    <x v="1"/>
    <x v="0"/>
    <x v="0"/>
    <x v="0"/>
    <x v="0"/>
    <x v="1"/>
  </r>
  <r>
    <x v="10"/>
    <s v="PAYX"/>
    <n v="54144"/>
    <n v="151.26"/>
    <n v="4.46"/>
    <n v="11.43"/>
    <n v="4.8099999999999996"/>
    <n v="33.914798206278029"/>
    <n v="13.233595800524935"/>
    <n v="44.25"/>
    <n v="11.64"/>
    <n v="2.73"/>
    <n v="31.446985446985448"/>
    <s v="NO"/>
    <n v="0.14327104123638176"/>
    <n v="0.55849363050250489"/>
    <n v="0.53685682175008675"/>
    <n v="0.94936580493937639"/>
    <n v="-0.46354495754168051"/>
    <n v="-0.35691987697932753"/>
    <x v="1"/>
    <x v="0"/>
    <x v="0"/>
    <x v="0"/>
    <x v="0"/>
    <x v="1"/>
  </r>
  <r>
    <x v="10"/>
    <s v="PCTY"/>
    <n v="10140"/>
    <n v="199.23"/>
    <n v="6.01"/>
    <n v="21.76"/>
    <n v="4.01"/>
    <n v="33.149750415973379"/>
    <n v="9.1557904411764692"/>
    <n v="19.7"/>
    <n v="3.68"/>
    <n v="4.28"/>
    <n v="49.683291770573568"/>
    <s v="NO"/>
    <n v="7.1357466529543237E-2"/>
    <n v="-0.10611468499191758"/>
    <n v="-0.57643028608564595"/>
    <n v="-1.1767328220533952"/>
    <n v="1.0792350391844665"/>
    <n v="1.2688124613461449"/>
    <x v="1"/>
    <x v="0"/>
    <x v="0"/>
    <x v="0"/>
    <x v="0"/>
    <x v="1"/>
  </r>
  <r>
    <x v="10"/>
    <s v="BAH"/>
    <n v="15281"/>
    <n v="123.72"/>
    <n v="6.56"/>
    <n v="9.52"/>
    <n v="6.7"/>
    <n v="18.859756097560975"/>
    <n v="12.995798319327731"/>
    <n v="75.8"/>
    <n v="11.65"/>
    <n v="5.64"/>
    <n v="18.465671641791044"/>
    <s v="NO"/>
    <n v="-1.271884860290629"/>
    <n v="0.51973695393750541"/>
    <n v="1.9675781354860282"/>
    <n v="0.95203678311399043"/>
    <n v="2.432900068569988"/>
    <n v="-1.5141795365057664"/>
    <x v="1"/>
    <x v="0"/>
    <x v="0"/>
    <x v="0"/>
    <x v="0"/>
    <x v="1"/>
  </r>
  <r>
    <x v="10"/>
    <s v="CACI"/>
    <n v="10427"/>
    <n v="462.04"/>
    <n v="21.86"/>
    <n v="168.46"/>
    <n v="21.19"/>
    <n v="21.136322049405308"/>
    <n v="2.7427282440935534"/>
    <n v="13.48"/>
    <n v="6.32"/>
    <n v="2.3199999999999998"/>
    <n v="21.80462482302973"/>
    <s v="YES"/>
    <n v="-1.057890391281302"/>
    <n v="-1.1513275111002312"/>
    <n v="-0.85849325189983161"/>
    <n v="-0.47159458395528997"/>
    <n v="-0.87163515022408078"/>
    <n v="-1.2165181534068672"/>
    <x v="1"/>
    <x v="0"/>
    <x v="0"/>
    <x v="0"/>
    <x v="0"/>
    <x v="1"/>
  </r>
  <r>
    <x v="10"/>
    <s v="EFX"/>
    <n v="33044"/>
    <n v="273.76"/>
    <n v="6.53"/>
    <n v="40.11"/>
    <n v="4.9000000000000004"/>
    <n v="41.923430321592647"/>
    <n v="6.8252306158065323"/>
    <n v="12.52"/>
    <n v="5.64"/>
    <n v="2.38"/>
    <n v="55.869387755102032"/>
    <s v="NO"/>
    <n v="0.89607285469554276"/>
    <n v="-0.48595366777886634"/>
    <n v="-0.90202708585186031"/>
    <n v="-0.65322109982904453"/>
    <n v="-0.81191463422177823"/>
    <n v="1.8202912592771123"/>
    <x v="1"/>
    <x v="0"/>
    <x v="0"/>
    <x v="0"/>
    <x v="0"/>
    <x v="1"/>
  </r>
  <r>
    <x v="10"/>
    <s v="J"/>
    <n v="14618"/>
    <n v="126.94"/>
    <n v="5.04"/>
    <n v="34.21"/>
    <n v="3.67"/>
    <n v="25.186507936507937"/>
    <n v="3.710610932475884"/>
    <n v="8.17"/>
    <n v="4.55"/>
    <n v="2.76"/>
    <n v="34.588555858310627"/>
    <s v="NO"/>
    <n v="-0.67717777559914427"/>
    <n v="-0.9935801871267369"/>
    <n v="-1.09928977094699"/>
    <n v="-0.94435772086197423"/>
    <n v="-0.43368469954052952"/>
    <n v="-7.6854795805976511E-2"/>
    <x v="1"/>
    <x v="0"/>
    <x v="0"/>
    <x v="0"/>
    <x v="0"/>
    <x v="1"/>
  </r>
  <r>
    <x v="10"/>
    <s v="LDOS"/>
    <n v="19837"/>
    <n v="155.43"/>
    <n v="9.2799999999999994"/>
    <n v="33.64"/>
    <n v="9.2200000000000006"/>
    <n v="16.748922413793107"/>
    <n v="4.6203923900118911"/>
    <n v="28.7"/>
    <n v="8.7899999999999991"/>
    <n v="2.97"/>
    <n v="16.857917570498916"/>
    <s v="YES"/>
    <n v="-1.4703006948764716"/>
    <n v="-0.84530231001450651"/>
    <n v="-0.16830059278537737"/>
    <n v="0.18813702517437622"/>
    <n v="-0.22466289353247051"/>
    <n v="-1.6575077817871702"/>
    <x v="1"/>
    <x v="0"/>
    <x v="0"/>
    <x v="0"/>
    <x v="0"/>
    <x v="1"/>
  </r>
  <r>
    <x v="10"/>
    <s v="RELX"/>
    <n v="100951"/>
    <n v="52.4"/>
    <n v="1.43"/>
    <n v="2.35"/>
    <n v="1.29"/>
    <n v="36.643356643356647"/>
    <n v="22.297872340425531"/>
    <n v="56"/>
    <n v="11.72"/>
    <n v="4.3499999999999996"/>
    <n v="40.620155038759691"/>
    <s v="NO"/>
    <n v="0.39975226174770551"/>
    <n v="2.0358063101154102"/>
    <n v="1.0696928102254375"/>
    <n v="0.97073363033628868"/>
    <n v="1.1489089745204852"/>
    <n v="0.46085090322530115"/>
    <x v="1"/>
    <x v="0"/>
    <x v="0"/>
    <x v="0"/>
    <x v="0"/>
    <x v="1"/>
  </r>
  <r>
    <x v="10"/>
    <s v="TRI"/>
    <n v="84942"/>
    <n v="184.26"/>
    <n v="4.1100000000000003"/>
    <n v="27.3"/>
    <n v="4.76"/>
    <n v="44.832116788321159"/>
    <n v="6.7494505494505486"/>
    <n v="18.46"/>
    <n v="6.35"/>
    <n v="1.5"/>
    <n v="38.710084033613448"/>
    <s v="NO"/>
    <n v="1.1694858939522876"/>
    <n v="-0.49830444419183201"/>
    <n v="-0.63266148827368296"/>
    <n v="-0.46358164943144803"/>
    <n v="-1.6878155355888809"/>
    <n v="0.29057167307508591"/>
    <x v="1"/>
    <x v="0"/>
    <x v="0"/>
    <x v="0"/>
    <x v="0"/>
    <x v="1"/>
  </r>
  <r>
    <x v="10"/>
    <s v="TRU"/>
    <n v="16630"/>
    <n v="91.47"/>
    <n v="2.62"/>
    <n v="22.48"/>
    <n v="1.87"/>
    <n v="34.912213740458014"/>
    <n v="4.0689501779359425"/>
    <n v="8.89"/>
    <n v="4.9400000000000004"/>
    <n v="2.5"/>
    <n v="48.914438502673796"/>
    <s v="NO"/>
    <n v="0.23702690517064784"/>
    <n v="-0.93517738922105087"/>
    <n v="-1.0666393954829685"/>
    <n v="-0.84018957205202671"/>
    <n v="-0.69247360221717325"/>
    <n v="1.2002706415898545"/>
    <x v="1"/>
    <x v="0"/>
    <x v="0"/>
    <x v="0"/>
    <x v="0"/>
    <x v="1"/>
  </r>
  <r>
    <x v="10"/>
    <s v="ULS"/>
    <n v="14013"/>
    <n v="71.14"/>
    <n v="1.44"/>
    <n v="4.5199999999999996"/>
    <n v="1.62"/>
    <n v="49.402777777777779"/>
    <n v="15.738938053097346"/>
    <n v="42.88"/>
    <n v="10.27"/>
    <n v="3.1"/>
    <n v="43.913580246913575"/>
    <s v="NO"/>
    <n v="1.5991225450091222"/>
    <n v="0.96681897894071256"/>
    <n v="0.47473041288104595"/>
    <n v="0.58344179501725346"/>
    <n v="-9.5268442194148636E-2"/>
    <n v="0.75445355333139941"/>
    <x v="1"/>
    <x v="0"/>
    <x v="0"/>
    <x v="0"/>
    <x v="0"/>
    <x v="1"/>
  </r>
  <r>
    <x v="10"/>
    <s v="VRSK"/>
    <n v="43369"/>
    <n v="301.57"/>
    <n v="6.47"/>
    <n v="0.71"/>
    <n v="6.66"/>
    <n v="46.61051004636785"/>
    <n v="424.74647887323943"/>
    <n v="445.08"/>
    <n v="18.28"/>
    <n v="42.6"/>
    <n v="45.280780780780781"/>
    <s v="NO"/>
    <n v="1.3366527272422071"/>
    <n v="67.62763007082242"/>
    <n v="18.713592929033048"/>
    <n v="2.7228953128830953"/>
    <n v="39.220737925988296"/>
    <n v="0.87633690412863663"/>
    <x v="1"/>
    <x v="1"/>
    <x v="1"/>
    <x v="0"/>
    <x v="1"/>
    <x v="1"/>
  </r>
  <r>
    <x v="10"/>
    <s v="BR"/>
    <n v="27744"/>
    <n v="237.31"/>
    <n v="9.1999999999999993"/>
    <n v="20.329999999999998"/>
    <n v="6.66"/>
    <n v="25.794565217391305"/>
    <n v="11.672897196261683"/>
    <n v="33.92"/>
    <n v="9.02"/>
    <n v="3.48"/>
    <n v="35.632132132132135"/>
    <s v="NO"/>
    <n v="-0.62002112048687941"/>
    <n v="0.30412806398620024"/>
    <n v="6.8414629328778523E-2"/>
    <n v="0.24956952319049913"/>
    <n v="0.28296149248710012"/>
    <n v="1.617806215091977E-2"/>
    <x v="1"/>
    <x v="0"/>
    <x v="0"/>
    <x v="0"/>
    <x v="0"/>
    <x v="1"/>
  </r>
  <r>
    <x v="10"/>
    <s v="SSNC"/>
    <n v="18924"/>
    <n v="79.66"/>
    <n v="4.96"/>
    <n v="27.53"/>
    <n v="3.22"/>
    <n v="16.06048387096774"/>
    <n v="2.893570650199782"/>
    <n v="12.24"/>
    <n v="4.53"/>
    <n v="3.01"/>
    <n v="24.739130434782606"/>
    <s v="NO"/>
    <n v="-1.5350130922037346"/>
    <n v="-1.1267429346938174"/>
    <n v="-0.91472445408786851"/>
    <n v="-0.94969967721120219"/>
    <n v="-0.18484921619760261"/>
    <n v="-0.95491250885518297"/>
    <x v="1"/>
    <x v="0"/>
    <x v="0"/>
    <x v="0"/>
    <x v="0"/>
    <x v="1"/>
  </r>
  <r>
    <x v="11"/>
    <s v="AER"/>
    <n v="19567"/>
    <n v="112.09"/>
    <n v="-11.25"/>
    <n v="97.37"/>
    <n v="11.21"/>
    <n v="-9.9635555555555566"/>
    <n v="1.1511759268768615"/>
    <n v="12.52"/>
    <n v="3.68"/>
    <n v="4.22"/>
    <n v="9.9991079393398739"/>
    <s v="NO"/>
    <n v="-1.0896506005262185"/>
    <n v="-1.4747994473939099"/>
    <n v="-1.2731078537373977"/>
    <n v="-1.4923873163935963"/>
    <n v="1.6191878179692289"/>
    <n v="-1.5246053017537877"/>
    <x v="1"/>
    <x v="0"/>
    <x v="0"/>
    <x v="0"/>
    <x v="0"/>
    <x v="1"/>
  </r>
  <r>
    <x v="11"/>
    <s v="FAST"/>
    <n v="45029"/>
    <n v="79.97"/>
    <n v="1.52"/>
    <n v="6.43"/>
    <n v="2"/>
    <n v="52.611842105263158"/>
    <n v="12.437013996889581"/>
    <n v="32.35"/>
    <n v="20.12"/>
    <n v="1.32"/>
    <n v="39.984999999999999"/>
    <s v="NO"/>
    <n v="1.249443179241519"/>
    <n v="1.0214985074461302"/>
    <n v="-0.18109709443882407"/>
    <n v="1.503320556806736"/>
    <n v="-1.3716686610822131"/>
    <n v="1.3696039647907765"/>
    <x v="1"/>
    <x v="0"/>
    <x v="0"/>
    <x v="0"/>
    <x v="0"/>
    <x v="1"/>
  </r>
  <r>
    <x v="11"/>
    <s v="FERG"/>
    <n v="33751"/>
    <n v="177.01"/>
    <n v="6.74"/>
    <n v="27.58"/>
    <n v="8.1300000000000008"/>
    <n v="26.262611275964389"/>
    <n v="6.4180565627266137"/>
    <n v="30.07"/>
    <n v="9.7100000000000009"/>
    <n v="3.01"/>
    <n v="21.772447724477242"/>
    <s v="NO"/>
    <n v="0.26449822901440334"/>
    <n v="-0.30982585145044728"/>
    <n v="-0.30665355087859958"/>
    <n v="-0.39359665487303636"/>
    <n v="0.37127873533052375"/>
    <n v="-0.38825394574306299"/>
    <x v="1"/>
    <x v="0"/>
    <x v="0"/>
    <x v="0"/>
    <x v="0"/>
    <x v="1"/>
  </r>
  <r>
    <x v="11"/>
    <s v="FTAI"/>
    <n v="11282"/>
    <n v="117.81"/>
    <n v="-3.99"/>
    <n v="0.28000000000000003"/>
    <n v="0.25"/>
    <n v="-29.526315789473685"/>
    <n v="420.74999999999994"/>
    <n v="69.39"/>
    <n v="10.25"/>
    <n v="151"/>
    <n v="471.24"/>
    <s v="NO"/>
    <n v="-1.8209145235503532"/>
    <n v="91.335648468756503"/>
    <n v="1.8586446364950719"/>
    <n v="-0.29519749115477745"/>
    <n v="152.99777885078672"/>
    <n v="42.993918983291472"/>
    <x v="1"/>
    <x v="1"/>
    <x v="0"/>
    <x v="0"/>
    <x v="1"/>
    <x v="0"/>
  </r>
  <r>
    <x v="11"/>
    <s v="GWW"/>
    <n v="50140"/>
    <n v="1066.3699999999999"/>
    <n v="31.84"/>
    <n v="72.39"/>
    <n v="38.950000000000003"/>
    <n v="33.491520100502512"/>
    <n v="14.730902058295342"/>
    <n v="54.16"/>
    <n v="19.600000000000001"/>
    <n v="2.4900000000000002"/>
    <n v="27.377920410783052"/>
    <s v="NO"/>
    <n v="0.5347177769210526"/>
    <n v="1.5288802402688071"/>
    <n v="1.0199495349258698"/>
    <n v="1.4085658065595237"/>
    <n v="-0.16501277125801031"/>
    <n v="0.15278085019528984"/>
    <x v="1"/>
    <x v="0"/>
    <x v="0"/>
    <x v="0"/>
    <x v="0"/>
    <x v="1"/>
  </r>
  <r>
    <x v="11"/>
    <s v="URI"/>
    <n v="42363"/>
    <n v="721.95"/>
    <n v="32.700000000000003"/>
    <n v="135.22"/>
    <n v="38.61"/>
    <n v="22.077981651376145"/>
    <n v="5.3390770596065673"/>
    <n v="30.17"/>
    <n v="9.32"/>
    <n v="3.19"/>
    <n v="18.698523698523701"/>
    <s v="NO"/>
    <n v="0.10807507404602472"/>
    <n v="-0.54848374377920539"/>
    <n v="-0.30114668875404799"/>
    <n v="-0.46466271755844579"/>
    <n v="0.55691810299578581"/>
    <n v="-0.68494611626683222"/>
    <x v="1"/>
    <x v="0"/>
    <x v="0"/>
    <x v="0"/>
    <x v="0"/>
    <x v="1"/>
  </r>
  <r>
    <x v="11"/>
    <s v="WSO"/>
    <n v="19014"/>
    <n v="481.29"/>
    <n v="12.23"/>
    <n v="70.400000000000006"/>
    <n v="13.03"/>
    <n v="39.353229762878172"/>
    <n v="6.8365056818181813"/>
    <n v="20.81"/>
    <n v="10.41"/>
    <n v="1.67"/>
    <n v="36.937068303914046"/>
    <s v="NO"/>
    <n v="0.7538308648535722"/>
    <n v="-0.21726970509137414"/>
    <n v="-0.81658898361207366"/>
    <n v="-0.26604218338640434"/>
    <n v="-1.0107032239553149"/>
    <n v="1.0754205487776176"/>
    <x v="1"/>
    <x v="0"/>
    <x v="0"/>
    <x v="0"/>
    <x v="0"/>
    <x v="1"/>
  </r>
  <r>
    <x v="12"/>
    <s v="PAC"/>
    <n v="11240"/>
    <n v="214.95"/>
    <n v="0.82"/>
    <n v="2.42"/>
    <n v="0.86"/>
    <n v="262.13414634146341"/>
    <n v="88.82231404958678"/>
    <n v="36.65"/>
    <n v="12.76"/>
    <n v="3.36"/>
    <n v="249.94186046511626"/>
    <s v="NO"/>
    <e v="#DIV/0!"/>
    <e v="#DIV/0!"/>
    <e v="#DIV/0!"/>
    <e v="#DIV/0!"/>
    <e v="#DIV/0!"/>
    <e v="#DIV/0!"/>
    <x v="1"/>
    <x v="0"/>
    <x v="0"/>
    <x v="0"/>
    <x v="0"/>
    <x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0">
  <r>
    <x v="0"/>
    <s v="ACHR"/>
    <n v="4700"/>
    <n v="11.16"/>
    <n v="-1.2"/>
    <n v="1.49"/>
    <n v="-1.42"/>
    <n v="-9.3000000000000007"/>
    <n v="7.4899328859060406"/>
    <n v="-95.88"/>
    <n v="-40.96"/>
    <n v="1.33"/>
    <n v="-7.859154929577465"/>
    <s v="NO"/>
    <n v="-6.158344582091637E-2"/>
    <n v="0.85281173020458279"/>
    <n v="-10.328009553323982"/>
    <n v="-19.759556636276027"/>
    <n v="-1.1254244889653049"/>
    <n v="-0.38219219960263762"/>
    <x v="0"/>
    <x v="0"/>
    <x v="0"/>
    <x v="0"/>
    <x v="0"/>
    <x v="0"/>
  </r>
  <r>
    <x v="0"/>
    <s v="AIR"/>
    <n v="2132"/>
    <n v="61.38"/>
    <n v="-0.65"/>
    <n v="33.340000000000003"/>
    <n v="-0.36"/>
    <n v="-94.430769230769229"/>
    <n v="1.8410317936412717"/>
    <n v="-1.06"/>
    <n v="4.13"/>
    <n v="2.42"/>
    <n v="-170.5"/>
    <s v="NO"/>
    <n v="-0.99610096177551144"/>
    <n v="-0.82775401700195306"/>
    <n v="-0.78516035687373953"/>
    <n v="0.14704881107362022"/>
    <n v="0.15240123288071883"/>
    <n v="-1.837453773031134"/>
    <x v="0"/>
    <x v="0"/>
    <x v="1"/>
    <x v="1"/>
    <x v="0"/>
    <x v="0"/>
  </r>
  <r>
    <x v="0"/>
    <s v="ATI"/>
    <n v="9841"/>
    <n v="73.930000000000007"/>
    <n v="1.39"/>
    <n v="13.28"/>
    <n v="2.76"/>
    <n v="53.187050359712238"/>
    <n v="5.5670180722891578"/>
    <n v="24.72"/>
    <n v="7.28"/>
    <n v="2.77"/>
    <n v="26.786231884057976"/>
    <s v="NO"/>
    <n v="0.62436411002921788"/>
    <n v="0.28073855742666115"/>
    <n v="1.8093835398198617"/>
    <n v="1.5377298303495437"/>
    <n v="0.56271224448265322"/>
    <n v="-7.2195654118511254E-2"/>
    <x v="0"/>
    <x v="0"/>
    <x v="1"/>
    <x v="1"/>
    <x v="0"/>
    <x v="0"/>
  </r>
  <r>
    <x v="0"/>
    <s v="AVAV"/>
    <n v="7304"/>
    <n v="166.6"/>
    <n v="-1.29"/>
    <n v="30.73"/>
    <n v="1.17"/>
    <n v="-129.14728682170542"/>
    <n v="5.4214123006833708"/>
    <n v="3.94"/>
    <n v="2.15"/>
    <n v="1.22"/>
    <n v="142.39316239316238"/>
    <s v="NO"/>
    <n v="-1.3771992893817138"/>
    <n v="0.23742038485477104"/>
    <n v="-0.28195168800376258"/>
    <n v="-0.72709354389981729"/>
    <n v="-1.254379378325913"/>
    <n v="0.96222053770016702"/>
    <x v="0"/>
    <x v="0"/>
    <x v="1"/>
    <x v="1"/>
    <x v="0"/>
    <x v="0"/>
  </r>
  <r>
    <x v="0"/>
    <s v="BWXT"/>
    <n v="9845"/>
    <n v="107.19"/>
    <n v="2.94"/>
    <n v="12.04"/>
    <n v="3.14"/>
    <n v="36.45918367346939"/>
    <n v="8.9028239202657815"/>
    <n v="28.28"/>
    <n v="6.97"/>
    <n v="2.78"/>
    <n v="34.136942675159233"/>
    <s v="NO"/>
    <n v="0.44073503485345683"/>
    <n v="1.2731512330738428"/>
    <n v="2.1676681120552854"/>
    <n v="1.400869158611278"/>
    <n v="0.57443541624270822"/>
    <n v="-6.4236953768801817E-3"/>
    <x v="0"/>
    <x v="0"/>
    <x v="1"/>
    <x v="1"/>
    <x v="0"/>
    <x v="0"/>
  </r>
  <r>
    <x v="0"/>
    <s v="CAE"/>
    <n v="8254"/>
    <n v="25.99"/>
    <n v="0.74"/>
    <n v="10.17"/>
    <n v="-0.51"/>
    <n v="35.121621621621621"/>
    <n v="2.5555555555555554"/>
    <n v="-4.8099999999999996"/>
    <n v="3.38"/>
    <n v="2.37"/>
    <n v="-50.960784313725483"/>
    <s v="NO"/>
    <n v="0.42605203389595903"/>
    <n v="-0.61518096248651744"/>
    <n v="-1.1625668585262223"/>
    <n v="-0.18406571732540916"/>
    <n v="9.3785374080442727E-2"/>
    <n v="-0.76785267110195865"/>
    <x v="0"/>
    <x v="0"/>
    <x v="1"/>
    <x v="1"/>
    <x v="0"/>
    <x v="0"/>
  </r>
  <r>
    <x v="0"/>
    <s v="ERJ"/>
    <n v="8626"/>
    <n v="49.4"/>
    <n v="0.66"/>
    <n v="4.1900000000000004"/>
    <n v="0.42"/>
    <n v="74.848484848484844"/>
    <n v="11.78997613365155"/>
    <n v="10.86"/>
    <n v="2.85"/>
    <n v="3.84"/>
    <n v="117.61904761904762"/>
    <s v="NO"/>
    <n v="0.86215110682689788"/>
    <n v="2.1320880488435034"/>
    <n v="0.41448910971228542"/>
    <n v="-0.41805331739405649"/>
    <n v="1.8170916228085663"/>
    <n v="0.74054917814183618"/>
    <x v="0"/>
    <x v="0"/>
    <x v="1"/>
    <x v="1"/>
    <x v="0"/>
    <x v="0"/>
  </r>
  <r>
    <x v="0"/>
    <s v="HII"/>
    <n v="9033"/>
    <n v="225.73"/>
    <n v="-4.04"/>
    <n v="121.64"/>
    <n v="13.88"/>
    <n v="-55.873762376237622"/>
    <n v="1.8557218020388029"/>
    <n v="12.27"/>
    <n v="3.63"/>
    <n v="2.54"/>
    <n v="16.262968299711815"/>
    <s v="NO"/>
    <n v="-0.5728439115465106"/>
    <n v="-0.8233836935468527"/>
    <n v="0.55639395433361893"/>
    <n v="-7.3694207859066038E-2"/>
    <n v="0.29307929400138216"/>
    <n v="-0.16635466512664684"/>
    <x v="0"/>
    <x v="0"/>
    <x v="1"/>
    <x v="1"/>
    <x v="0"/>
    <x v="0"/>
  </r>
  <r>
    <x v="0"/>
    <s v="HXL"/>
    <n v="4064"/>
    <n v="53.58"/>
    <n v="2.25"/>
    <n v="19.059999999999999"/>
    <n v="1.51"/>
    <n v="23.813333333333333"/>
    <n v="2.8111227701993706"/>
    <n v="7.87"/>
    <n v="5.0999999999999996"/>
    <n v="1.81"/>
    <n v="35.483443708609272"/>
    <s v="NO"/>
    <n v="0.30191603023525154"/>
    <n v="-0.53914891660284958"/>
    <n v="0.1135703257280393"/>
    <n v="0.57529026780303139"/>
    <n v="-0.56271224448265211"/>
    <n v="5.6243926154881767E-3"/>
    <x v="0"/>
    <x v="0"/>
    <x v="1"/>
    <x v="1"/>
    <x v="0"/>
    <x v="0"/>
  </r>
  <r>
    <x v="0"/>
    <s v="KRMN"/>
    <n v="5036"/>
    <n v="40.159999999999997"/>
    <m/>
    <m/>
    <m/>
    <s v=""/>
    <s v=""/>
    <n v="6.71"/>
    <n v="5.35"/>
    <n v="3.95"/>
    <s v=""/>
    <s v="NO"/>
    <e v="#VALUE!"/>
    <e v="#VALUE!"/>
    <n v="-3.1740854497953708E-3"/>
    <n v="0.68566177726937449"/>
    <n v="1.9460465121691746"/>
    <e v="#VALUE!"/>
    <x v="1"/>
    <x v="1"/>
    <x v="1"/>
    <x v="1"/>
    <x v="0"/>
    <x v="1"/>
  </r>
  <r>
    <x v="0"/>
    <s v="KTOS"/>
    <n v="5527"/>
    <n v="33.78"/>
    <n v="-0.06"/>
    <n v="8.9600000000000009"/>
    <n v="0.11"/>
    <n v="-563"/>
    <n v="3.7700892857142856"/>
    <n v="1.39"/>
    <n v="1.1499999999999999"/>
    <n v="1.44"/>
    <n v="307.09090909090912"/>
    <s v="NO"/>
    <n v="-6.1397894019000443"/>
    <n v="-0.25385337816632103"/>
    <n v="-0.53858810912745081"/>
    <n v="-1.1685795817651898"/>
    <n v="-0.99646959960469705"/>
    <n v="2.4358866508817085"/>
    <x v="1"/>
    <x v="0"/>
    <x v="1"/>
    <x v="1"/>
    <x v="0"/>
    <x v="0"/>
  </r>
  <r>
    <x v="0"/>
    <s v="LOAR"/>
    <n v="9123"/>
    <n v="93.14"/>
    <n v="0.52"/>
    <n v="11.63"/>
    <n v="0.24"/>
    <n v="179.11538461538461"/>
    <n v="8.0085984522785889"/>
    <n v="2.95"/>
    <n v="4.6900000000000004"/>
    <n v="1.33"/>
    <n v="388.08333333333337"/>
    <s v="NO"/>
    <n v="2.0067342586872479"/>
    <n v="1.0071163588154048"/>
    <n v="-0.38158700444001797"/>
    <n v="0.39428099227822905"/>
    <n v="-1.1254244889653049"/>
    <n v="3.1605826071021998"/>
    <x v="0"/>
    <x v="0"/>
    <x v="1"/>
    <x v="1"/>
    <x v="0"/>
    <x v="1"/>
  </r>
  <r>
    <x v="0"/>
    <s v="MRCY"/>
    <n v="2862"/>
    <n v="46.73"/>
    <n v="1.66"/>
    <n v="24.89"/>
    <n v="-1.55"/>
    <n v="28.150602409638555"/>
    <n v="1.8774608276416229"/>
    <n v="-6.1"/>
    <n v="-1.54"/>
    <n v="1.64"/>
    <n v="-30.14838709677419"/>
    <s v="NO"/>
    <n v="0.34952812113775511"/>
    <n v="-0.81691626542073936"/>
    <n v="-1.2923946950946763"/>
    <n v="-2.3561770236230415"/>
    <n v="-0.76200616440359181"/>
    <n v="-0.58162957377579128"/>
    <x v="0"/>
    <x v="0"/>
    <x v="1"/>
    <x v="1"/>
    <x v="0"/>
    <x v="0"/>
  </r>
  <r>
    <x v="0"/>
    <s v="SARO"/>
    <n v="9071"/>
    <n v="29.85"/>
    <n v="-0.16"/>
    <n v="7.1"/>
    <n v="0.04"/>
    <n v="-186.5625"/>
    <n v="4.2042253521126769"/>
    <n v="0.62"/>
    <n v="4.22"/>
    <n v="2.62"/>
    <n v="746.25"/>
    <s v="NO"/>
    <n v="-2.0074710804416069"/>
    <n v="-0.12469654024342366"/>
    <n v="-0.61608224413342727"/>
    <n v="0.18678255448150366"/>
    <n v="0.38686466808182435"/>
    <n v="6.3653506754019249"/>
    <x v="0"/>
    <x v="0"/>
    <x v="1"/>
    <x v="1"/>
    <x v="0"/>
    <x v="1"/>
  </r>
  <r>
    <x v="0"/>
    <s v="SPR"/>
    <n v="4208"/>
    <n v="37.299999999999997"/>
    <n v="-11.13"/>
    <n v="-27.27"/>
    <n v="-18.23"/>
    <n v="-3.351302785265049"/>
    <n v="-1.3678034470113678"/>
    <n v="99.14"/>
    <n v="-16.28"/>
    <n v="-2.02"/>
    <n v="-2.0460778935820074"/>
    <s v="NO"/>
    <n v="3.7179933004730086E-3"/>
    <n v="-1.7823925397501061"/>
    <n v="9.2991413672805976"/>
    <n v="-8.8636812217586325"/>
    <n v="-5.0526870285838186"/>
    <n v="-0.33017852720564"/>
    <x v="0"/>
    <x v="0"/>
    <x v="0"/>
    <x v="0"/>
    <x v="1"/>
    <x v="0"/>
  </r>
  <r>
    <x v="1"/>
    <s v="GXO"/>
    <n v="4458"/>
    <n v="40.56"/>
    <n v="1.59"/>
    <n v="25.13"/>
    <n v="1.1200000000000001"/>
    <n v="25.509433962264151"/>
    <n v="1.6140071627536809"/>
    <n v="4.6100000000000003"/>
    <n v="2.41"/>
    <n v="3.75"/>
    <n v="36.214285714285715"/>
    <s v="NO"/>
    <e v="#DIV/0!"/>
    <e v="#DIV/0!"/>
    <e v="#DIV/0!"/>
    <e v="#DIV/0!"/>
    <e v="#DIV/0!"/>
    <e v="#DIV/0!"/>
    <x v="0"/>
    <x v="0"/>
    <x v="1"/>
    <x v="1"/>
    <x v="0"/>
    <x v="0"/>
  </r>
  <r>
    <x v="2"/>
    <s v="AAON"/>
    <n v="7788"/>
    <n v="105.95"/>
    <n v="-1.64"/>
    <n v="10.029999999999999"/>
    <n v="1.91"/>
    <n v="-64.603658536585371"/>
    <n v="10.56331006979063"/>
    <n v="19.850000000000001"/>
    <n v="11.04"/>
    <n v="1.59"/>
    <n v="55.471204188481678"/>
    <s v="NO"/>
    <n v="-7.4571032690358301"/>
    <n v="2.1675494536925388"/>
    <n v="-0.20879854744818335"/>
    <n v="0.44472961409772221"/>
    <n v="-0.62539250869722407"/>
    <n v="1.8710650869873382"/>
    <x v="1"/>
    <x v="0"/>
    <x v="1"/>
    <x v="1"/>
    <x v="0"/>
    <x v="0"/>
  </r>
  <r>
    <x v="2"/>
    <s v="AOS"/>
    <n v="9511"/>
    <n v="70.12"/>
    <n v="2.8"/>
    <n v="13.05"/>
    <n v="3.58"/>
    <n v="25.042857142857144"/>
    <n v="5.3731800766283522"/>
    <n v="27.97"/>
    <n v="13.35"/>
    <n v="1.76"/>
    <n v="19.58659217877095"/>
    <s v="NO"/>
    <n v="-0.11387041761550318"/>
    <n v="0.16035663925859542"/>
    <n v="0.19142433960504709"/>
    <n v="1.0963102114967109"/>
    <n v="-0.28095386999788885"/>
    <n v="-0.83619955935798107"/>
    <x v="0"/>
    <x v="0"/>
    <x v="1"/>
    <x v="1"/>
    <x v="0"/>
    <x v="0"/>
  </r>
  <r>
    <x v="2"/>
    <s v="AWI"/>
    <n v="6479"/>
    <n v="157.65"/>
    <n v="4.45"/>
    <n v="18.27"/>
    <n v="6.24"/>
    <n v="35.426966292134829"/>
    <n v="8.6288998357963873"/>
    <n v="38.6"/>
    <n v="10.38"/>
    <n v="2.34"/>
    <n v="25.264423076923077"/>
    <s v="NO"/>
    <n v="0.73672517842946816"/>
    <n v="1.4194498247899825"/>
    <n v="0.71536144420798331"/>
    <n v="0.2585637291265831"/>
    <n v="0.89418972085866666"/>
    <n v="-0.40784350372235945"/>
    <x v="0"/>
    <x v="0"/>
    <x v="1"/>
    <x v="1"/>
    <x v="0"/>
    <x v="0"/>
  </r>
  <r>
    <x v="2"/>
    <s v="AZEK"/>
    <n v="7049"/>
    <n v="51.91"/>
    <n v="1.2"/>
    <n v="9.67"/>
    <n v="0.99"/>
    <n v="43.258333333333333"/>
    <n v="5.368148914167528"/>
    <n v="10.73"/>
    <n v="6.49"/>
    <n v="1.57"/>
    <n v="52.434343434343432"/>
    <s v="NO"/>
    <n v="1.3782175029509747"/>
    <n v="0.15841092438191212"/>
    <n v="-0.65830996738974279"/>
    <n v="-0.83868671411240647"/>
    <n v="-0.66591470148538112"/>
    <n v="1.6419533509226647"/>
    <x v="0"/>
    <x v="0"/>
    <x v="1"/>
    <x v="1"/>
    <x v="0"/>
    <x v="0"/>
  </r>
  <r>
    <x v="2"/>
    <s v="AZZ"/>
    <n v="2647"/>
    <n v="94.15"/>
    <n v="4.6100000000000003"/>
    <n v="34.950000000000003"/>
    <n v="1.79"/>
    <n v="20.422993492407809"/>
    <n v="2.6938483547925607"/>
    <n v="13.01"/>
    <n v="6.89"/>
    <n v="2.13"/>
    <n v="52.597765363128495"/>
    <s v="NO"/>
    <n v="-0.49229822677174595"/>
    <n v="-0.87582846335711395"/>
    <n v="-0.54593211240435302"/>
    <n v="-0.72585890503898864"/>
    <n v="0.46870669658301722"/>
    <n v="1.654282491059881"/>
    <x v="0"/>
    <x v="0"/>
    <x v="1"/>
    <x v="1"/>
    <x v="0"/>
    <x v="0"/>
  </r>
  <r>
    <x v="2"/>
    <s v="CSWI"/>
    <n v="5143"/>
    <n v="336.3"/>
    <n v="9.2200000000000006"/>
    <n v="62.2"/>
    <n v="8.33"/>
    <n v="36.475054229934926"/>
    <n v="5.406752411575563"/>
    <n v="16.079999999999998"/>
    <n v="9.74"/>
    <n v="1.29"/>
    <n v="40.37214885954382"/>
    <s v="NO"/>
    <n v="0.82257741393131001"/>
    <n v="0.17334015789080479"/>
    <n v="-0.39461631643718342"/>
    <n v="7.8039234609114244E-2"/>
    <n v="-1.2332254005195806"/>
    <n v="0.73193785679230072"/>
    <x v="0"/>
    <x v="0"/>
    <x v="1"/>
    <x v="1"/>
    <x v="0"/>
    <x v="0"/>
  </r>
  <r>
    <x v="2"/>
    <s v="FBIN"/>
    <n v="5838"/>
    <n v="56.44"/>
    <n v="3.8"/>
    <n v="19.59"/>
    <n v="3.75"/>
    <n v="14.852631578947369"/>
    <n v="2.8810617662072486"/>
    <n v="20.02"/>
    <n v="7.31"/>
    <n v="2.71"/>
    <n v="15.050666666666666"/>
    <s v="NO"/>
    <n v="-0.94858438900798092"/>
    <n v="-0.8034269214588784"/>
    <n v="-0.20041949685716753"/>
    <n v="-0.60738970551189986"/>
    <n v="1.6438502874395733"/>
    <n v="-1.1784061512546034"/>
    <x v="0"/>
    <x v="0"/>
    <x v="1"/>
    <x v="1"/>
    <x v="0"/>
    <x v="0"/>
  </r>
  <r>
    <x v="2"/>
    <s v="GFF"/>
    <n v="3227"/>
    <n v="73.52"/>
    <n v="6.53"/>
    <n v="4.7300000000000004"/>
    <n v="4.9000000000000004"/>
    <n v="11.258805513016844"/>
    <n v="15.543340380549681"/>
    <n v="93.05"/>
    <n v="12.1"/>
    <n v="10.210000000000001"/>
    <n v="15.00408163265306"/>
    <s v="NO"/>
    <n v="-1.2429661776320697"/>
    <n v="4.0934898576107157"/>
    <n v="3.3991220599774907"/>
    <n v="0.74372330814227983"/>
    <n v="16.839672582998485"/>
    <n v="-1.1819206943573601"/>
    <x v="0"/>
    <x v="1"/>
    <x v="1"/>
    <x v="0"/>
    <x v="1"/>
    <x v="0"/>
  </r>
  <r>
    <x v="2"/>
    <s v="HAYW"/>
    <n v="2976"/>
    <n v="14.76"/>
    <n v="1.2"/>
    <n v="6.66"/>
    <n v="0.56000000000000005"/>
    <n v="12.3"/>
    <n v="2.2162162162162162"/>
    <n v="8.92"/>
    <n v="4.6399999999999997"/>
    <n v="2.0699999999999998"/>
    <n v="26.357142857142854"/>
    <s v="NO"/>
    <n v="-1.1576786067367097"/>
    <n v="-1.0605444141630076"/>
    <n v="-0.74752221191761814"/>
    <n v="-1.3605153310769644"/>
    <n v="0.34714011821854579"/>
    <n v="-0.32540477960989889"/>
    <x v="0"/>
    <x v="0"/>
    <x v="1"/>
    <x v="1"/>
    <x v="0"/>
    <x v="0"/>
  </r>
  <r>
    <x v="2"/>
    <s v="REZI"/>
    <n v="2826"/>
    <n v="21.51"/>
    <n v="2.41"/>
    <n v="19.2"/>
    <n v="0.61"/>
    <n v="8.9253112033195023"/>
    <n v="1.1203125"/>
    <n v="3.83"/>
    <n v="5.07"/>
    <n v="2.9"/>
    <n v="35.262295081967217"/>
    <s v="NO"/>
    <n v="-1.4341101606826163"/>
    <n v="-1.4843661811319697"/>
    <n v="-0.99840084431921206"/>
    <n v="-1.2392254363230402"/>
    <n v="2.0288111189270657"/>
    <n v="0.34643204510110359"/>
    <x v="0"/>
    <x v="0"/>
    <x v="1"/>
    <x v="1"/>
    <x v="0"/>
    <x v="0"/>
  </r>
  <r>
    <x v="2"/>
    <s v="SSD"/>
    <n v="6458"/>
    <n v="165.8"/>
    <n v="3.74"/>
    <n v="44.47"/>
    <n v="7.68"/>
    <n v="44.331550802139041"/>
    <n v="3.7283561951877675"/>
    <n v="18.100000000000001"/>
    <n v="9.91"/>
    <n v="1.52"/>
    <n v="21.588541666666668"/>
    <s v="NO"/>
    <n v="1.466128178719263"/>
    <n v="-0.47575048718841334"/>
    <n v="-0.29505348000275888"/>
    <n v="0.12599105346531683"/>
    <n v="-0.76722018345577403"/>
    <n v="-0.68516526446627257"/>
    <x v="0"/>
    <x v="0"/>
    <x v="1"/>
    <x v="1"/>
    <x v="0"/>
    <x v="0"/>
  </r>
  <r>
    <x v="2"/>
    <s v="TGLS"/>
    <n v="3328"/>
    <n v="87.5"/>
    <n v="1.94"/>
    <n v="13.43"/>
    <n v="3.43"/>
    <n v="45.103092783505154"/>
    <n v="6.5152643335815341"/>
    <n v="27.36"/>
    <n v="14.34"/>
    <n v="1.61"/>
    <n v="25.510204081632651"/>
    <s v="NO"/>
    <n v="1.5293276503426403"/>
    <n v="0.60203792991117067"/>
    <n v="0.1613583345431665"/>
    <n v="1.3755590389534202"/>
    <n v="-0.58487031590906691"/>
    <n v="-0.38930089764336934"/>
    <x v="0"/>
    <x v="0"/>
    <x v="1"/>
    <x v="1"/>
    <x v="0"/>
    <x v="0"/>
  </r>
  <r>
    <x v="2"/>
    <s v="TREX"/>
    <n v="6064"/>
    <n v="61.67"/>
    <n v="-0.86"/>
    <n v="7.93"/>
    <n v="2.09"/>
    <n v="-71.709302325581405"/>
    <n v="7.7767969735182856"/>
    <n v="28.9"/>
    <n v="16.93"/>
    <n v="1.56"/>
    <n v="29.507177033492827"/>
    <s v="NO"/>
    <n v="-8.0391492806000233"/>
    <n v="1.0899138122861574"/>
    <n v="0.23726267519119296"/>
    <n v="2.1061191027038015"/>
    <n v="-0.6861757978794597"/>
    <n v="-8.7754832103039304E-2"/>
    <x v="1"/>
    <x v="0"/>
    <x v="1"/>
    <x v="1"/>
    <x v="0"/>
    <x v="0"/>
  </r>
  <r>
    <x v="2"/>
    <s v="UFPI"/>
    <n v="5894"/>
    <n v="103.59"/>
    <n v="5.13"/>
    <n v="53.8"/>
    <n v="6.08"/>
    <n v="20.192982456140353"/>
    <n v="1.9254646840148701"/>
    <n v="11.79"/>
    <n v="6.94"/>
    <n v="1.27"/>
    <n v="17.037828947368421"/>
    <s v="YES"/>
    <n v="-0.511139166488221"/>
    <n v="-1.1729875296512622"/>
    <n v="-0.60606412252811426"/>
    <n v="-0.71175542890481125"/>
    <n v="-1.2737475933077378"/>
    <n v="-1.0284874566442515"/>
    <x v="0"/>
    <x v="0"/>
    <x v="1"/>
    <x v="1"/>
    <x v="0"/>
    <x v="0"/>
  </r>
  <r>
    <x v="2"/>
    <s v="WMS"/>
    <n v="8627"/>
    <n v="123.55"/>
    <n v="4.4400000000000004"/>
    <n v="20.239999999999998"/>
    <n v="5.98"/>
    <n v="27.826576576576574"/>
    <n v="6.104249011857708"/>
    <n v="36.68"/>
    <n v="12.72"/>
    <n v="2.48"/>
    <n v="20.660535117056853"/>
    <s v="NO"/>
    <n v="0.11415294547782999"/>
    <n v="0.4430848783550061"/>
    <n v="0.62072746106239174"/>
    <n v="0.91860641220607797"/>
    <n v="1.1778450703757666"/>
    <n v="-0.75517742797122245"/>
    <x v="0"/>
    <x v="0"/>
    <x v="1"/>
    <x v="1"/>
    <x v="0"/>
    <x v="0"/>
  </r>
  <r>
    <x v="2"/>
    <s v="ZWS"/>
    <n v="5763"/>
    <n v="37.46"/>
    <n v="1.52"/>
    <n v="9.19"/>
    <n v="0.96"/>
    <n v="24.644736842105264"/>
    <n v="4.0761697497279652"/>
    <n v="10.49"/>
    <n v="6.2"/>
    <n v="1.68"/>
    <n v="39.020833333333336"/>
    <s v="YES"/>
    <n v="-0.1464817249166408"/>
    <n v="-0.34123962361552379"/>
    <n v="-0.67013921528294174"/>
    <n v="-0.92048687569063448"/>
    <n v="-0.44304264115051739"/>
    <n v="0.629989736267069"/>
    <x v="0"/>
    <x v="0"/>
    <x v="1"/>
    <x v="1"/>
    <x v="0"/>
    <x v="0"/>
  </r>
  <r>
    <x v="3"/>
    <s v="BRC"/>
    <n v="3407"/>
    <n v="75.010000000000005"/>
    <n v="3.9"/>
    <n v="23.45"/>
    <n v="3.99"/>
    <n v="19.233333333333334"/>
    <n v="3.1987206823027723"/>
    <n v="17.920000000000002"/>
    <n v="10.46"/>
    <n v="1.42"/>
    <n v="18.799498746867169"/>
    <s v="NO"/>
    <n v="3.842359711733502E-2"/>
    <n v="-0.1614988441616311"/>
    <n v="0.62249933449729711"/>
    <n v="1.2951506863698856"/>
    <n v="-1.311959324428587"/>
    <n v="-0.57027165788867951"/>
    <x v="0"/>
    <x v="0"/>
    <x v="1"/>
    <x v="1"/>
    <x v="0"/>
    <x v="0"/>
  </r>
  <r>
    <x v="3"/>
    <s v="ABM"/>
    <n v="3102"/>
    <n v="51.95"/>
    <n v="0.92"/>
    <n v="28.6"/>
    <n v="1.27"/>
    <n v="56.467391304347828"/>
    <n v="1.8164335664335665"/>
    <n v="4.46"/>
    <n v="3.82"/>
    <n v="2.93"/>
    <n v="40.905511811023622"/>
    <s v="NO"/>
    <n v="7.3202230485800408"/>
    <n v="-1.0154951418846254"/>
    <n v="-0.14678982011634822"/>
    <n v="-0.29470614139089829"/>
    <n v="1.2278593677344463"/>
    <n v="0.61388682360082214"/>
    <x v="1"/>
    <x v="0"/>
    <x v="1"/>
    <x v="1"/>
    <x v="0"/>
    <x v="0"/>
  </r>
  <r>
    <x v="3"/>
    <s v="CWST"/>
    <n v="7631"/>
    <n v="112.23"/>
    <n v="1.56"/>
    <n v="24.37"/>
    <n v="0.21"/>
    <n v="71.942307692307693"/>
    <n v="4.6052523594583503"/>
    <n v="1"/>
    <n v="2.2200000000000002"/>
    <n v="2.0699999999999998"/>
    <n v="534.42857142857144"/>
    <s v="NO"/>
    <n v="10.346625321278847"/>
    <n v="0.70747608234317061"/>
    <n v="-0.34454171275848883"/>
    <n v="-0.67780417217662925"/>
    <n v="-0.21865988740476497"/>
    <n v="27.050563358654195"/>
    <x v="1"/>
    <x v="0"/>
    <x v="1"/>
    <x v="1"/>
    <x v="0"/>
    <x v="1"/>
  </r>
  <r>
    <x v="3"/>
    <s v="TTEK"/>
    <n v="8277"/>
    <n v="35.04"/>
    <n v="1.29"/>
    <n v="6.31"/>
    <n v="0.95"/>
    <n v="27.162790697674417"/>
    <n v="5.5530903328050716"/>
    <n v="16.05"/>
    <n v="8.2799999999999994"/>
    <n v="2.4700000000000002"/>
    <n v="36.88421052631579"/>
    <s v="NO"/>
    <n v="1.5891736746674394"/>
    <n v="1.2930636283649461"/>
    <n v="0.51562186650862563"/>
    <n v="0.77317961942432678"/>
    <n v="0.45413976614835688"/>
    <n v="0.39847674449286802"/>
    <x v="0"/>
    <x v="0"/>
    <x v="1"/>
    <x v="1"/>
    <x v="0"/>
    <x v="0"/>
  </r>
  <r>
    <x v="3"/>
    <s v="HNI"/>
    <n v="2055"/>
    <n v="48.76"/>
    <n v="3.67"/>
    <n v="17.8"/>
    <n v="2.88"/>
    <n v="13.286103542234333"/>
    <n v="2.7393258426966289"/>
    <n v="17.420000000000002"/>
    <n v="7.16"/>
    <n v="2.23"/>
    <n v="16.930555555555557"/>
    <s v="NO"/>
    <n v="-1.1246657084926015"/>
    <n v="-0.44531939613863242"/>
    <n v="0.5939224713987219"/>
    <n v="0.50501099787431525"/>
    <n v="5.0459974016483763E-2"/>
    <n v="-0.67038581800388131"/>
    <x v="0"/>
    <x v="0"/>
    <x v="1"/>
    <x v="1"/>
    <x v="0"/>
    <x v="0"/>
  </r>
  <r>
    <x v="3"/>
    <s v="MSA"/>
    <n v="6124"/>
    <n v="161"/>
    <n v="6.44"/>
    <n v="30.19"/>
    <n v="7.25"/>
    <n v="25"/>
    <n v="5.3328916859887379"/>
    <n v="26.22"/>
    <n v="11.96"/>
    <n v="1.88"/>
    <n v="22.206896551724139"/>
    <s v="NO"/>
    <n v="1.1662004889831312"/>
    <n v="1.1570218270735309"/>
    <n v="1.0968752619336457"/>
    <n v="1.6543050902315084"/>
    <n v="-0.53823972284249744"/>
    <n v="-0.38774670421567042"/>
    <x v="0"/>
    <x v="0"/>
    <x v="0"/>
    <x v="1"/>
    <x v="0"/>
    <x v="0"/>
  </r>
  <r>
    <x v="3"/>
    <s v="ACVA"/>
    <n v="2826"/>
    <n v="16.920000000000002"/>
    <n v="0.19"/>
    <n v="2.62"/>
    <n v="-0.48"/>
    <n v="89.05263157894737"/>
    <n v="6.4580152671755728"/>
    <n v="-17.78"/>
    <n v="-5.15"/>
    <n v="2.2400000000000002"/>
    <n v="-35.250000000000007"/>
    <s v="NO"/>
    <n v="13.692861371861204"/>
    <n v="1.8521388991951167"/>
    <n v="-1.4178886907409747"/>
    <n v="-2.4424494764834028"/>
    <n v="6.727996535531218E-2"/>
    <n v="-3.4655550441604532"/>
    <x v="1"/>
    <x v="0"/>
    <x v="0"/>
    <x v="1"/>
    <x v="0"/>
    <x v="1"/>
  </r>
  <r>
    <x v="3"/>
    <s v="DRVN"/>
    <n v="2995"/>
    <n v="17.850000000000001"/>
    <n v="-0.28999999999999998"/>
    <n v="3.71"/>
    <n v="-1.82"/>
    <n v="-61.551724137931046"/>
    <n v="4.8113207547169816"/>
    <n v="-38.64"/>
    <n v="2.79"/>
    <n v="8.66"/>
    <n v="-9.8076923076923084"/>
    <s v="NO"/>
    <n v="-15.760568487994041"/>
    <n v="0.8347880167511893"/>
    <n v="-2.6101154192135332"/>
    <n v="-0.54132549870921254"/>
    <n v="10.865714404882908"/>
    <n v="-2.1026804111330253"/>
    <x v="1"/>
    <x v="0"/>
    <x v="1"/>
    <x v="0"/>
    <x v="1"/>
    <x v="0"/>
  </r>
  <r>
    <x v="3"/>
    <s v="KAR"/>
    <n v="2059"/>
    <n v="22.33"/>
    <n v="1.8"/>
    <n v="12.57"/>
    <n v="0.45"/>
    <n v="12.405555555555555"/>
    <n v="1.7764518695306284"/>
    <n v="5.64"/>
    <n v="3.82"/>
    <n v="3.44"/>
    <n v="49.62222222222222"/>
    <s v="NO"/>
    <n v="-1.2968729347738635"/>
    <n v="-1.040196392977689"/>
    <n v="-7.9348423203710675E-2"/>
    <n v="-0.29470614139089829"/>
    <n v="2.0856789260146757"/>
    <n v="1.0808170897755536"/>
    <x v="0"/>
    <x v="0"/>
    <x v="1"/>
    <x v="1"/>
    <x v="0"/>
    <x v="0"/>
  </r>
  <r>
    <x v="3"/>
    <s v="UNF"/>
    <n v="3356"/>
    <n v="186.05"/>
    <n v="8.7799999999999994"/>
    <n v="115.47"/>
    <n v="8.0399999999999991"/>
    <n v="21.190205011389523"/>
    <n v="1.6112410149822465"/>
    <n v="7.17"/>
    <n v="4.66"/>
    <n v="1.28"/>
    <n v="23.140547263681597"/>
    <s v="NO"/>
    <n v="0.42112556108122173"/>
    <n v="-1.1422659677485214"/>
    <n v="8.0967778779295445E-3"/>
    <n v="-9.3579675228389447E-2"/>
    <n v="-1.5474392031721791"/>
    <n v="-0.33773359664604796"/>
    <x v="0"/>
    <x v="0"/>
    <x v="1"/>
    <x v="1"/>
    <x v="0"/>
    <x v="0"/>
  </r>
  <r>
    <x v="3"/>
    <s v="VSEC"/>
    <n v="2631"/>
    <n v="132.54"/>
    <n v="-2.89"/>
    <n v="47.99"/>
    <n v="2.0299999999999998"/>
    <n v="-45.861591695501723"/>
    <n v="2.7618253802875596"/>
    <n v="4.55"/>
    <n v="4.16"/>
    <n v="1.76"/>
    <n v="65.290640394088669"/>
    <s v="NO"/>
    <n v="-12.692076788765316"/>
    <n v="-0.43141886738267149"/>
    <n v="-0.14164598475860468"/>
    <n v="-0.21329780984893038"/>
    <n v="-0.74007961890843366"/>
    <n v="1.9201312716631906"/>
    <x v="1"/>
    <x v="0"/>
    <x v="1"/>
    <x v="1"/>
    <x v="0"/>
    <x v="0"/>
  </r>
  <r>
    <x v="3"/>
    <s v="BCO"/>
    <n v="3934"/>
    <n v="89.87"/>
    <n v="4.59"/>
    <n v="4.3099999999999996"/>
    <n v="3.61"/>
    <n v="19.579520697167759"/>
    <n v="20.851508120649655"/>
    <n v="41.7"/>
    <n v="4.2300000000000004"/>
    <n v="35.82"/>
    <n v="24.894736842105264"/>
    <s v="NO"/>
    <n v="0.10612685304595942"/>
    <n v="10.744639933931181"/>
    <n v="1.9816149434655352"/>
    <n v="-0.19653727100205459"/>
    <n v="56.548810881139836"/>
    <n v="-0.24376647279597691"/>
    <x v="0"/>
    <x v="1"/>
    <x v="1"/>
    <x v="0"/>
    <x v="1"/>
    <x v="0"/>
  </r>
  <r>
    <x v="3"/>
    <s v="CXW"/>
    <n v="2471"/>
    <n v="21.72"/>
    <n v="1.78"/>
    <n v="13.59"/>
    <n v="0.62"/>
    <n v="12.202247191011235"/>
    <n v="1.5982339955849889"/>
    <n v="4.6399999999999997"/>
    <n v="3.9"/>
    <n v="1.96"/>
    <n v="35.032258064516128"/>
    <s v="NO"/>
    <n v="-1.3366335952575821"/>
    <n v="-1.1503018861059635"/>
    <n v="-0.13650214940086114"/>
    <n v="-0.27555123985161173"/>
    <n v="-0.40367979213187311"/>
    <n v="0.29927273115084863"/>
    <x v="0"/>
    <x v="0"/>
    <x v="1"/>
    <x v="1"/>
    <x v="0"/>
    <x v="0"/>
  </r>
  <r>
    <x v="3"/>
    <s v="GEO"/>
    <n v="3902"/>
    <n v="26.59"/>
    <n v="1.25"/>
    <n v="9.7799999999999994"/>
    <n v="0.22"/>
    <n v="21.271999999999998"/>
    <n v="2.7188139059304706"/>
    <n v="2.4300000000000002"/>
    <n v="5.32"/>
    <n v="2.72"/>
    <n v="120.86363636363636"/>
    <s v="NO"/>
    <n v="0.43712206362896516"/>
    <n v="-0.45799195732821735"/>
    <n v="-0.2628118842965636"/>
    <n v="6.4448262470724618E-2"/>
    <n v="0.87463954961905765"/>
    <n v="4.8970242250933227"/>
    <x v="0"/>
    <x v="0"/>
    <x v="1"/>
    <x v="1"/>
    <x v="0"/>
    <x v="1"/>
  </r>
  <r>
    <x v="4"/>
    <s v="ACA"/>
    <n v="4002"/>
    <n v="90.5"/>
    <n v="6.43"/>
    <n v="49.76"/>
    <n v="1.91"/>
    <n v="14.074650077760499"/>
    <n v="1.8187299035369775"/>
    <n v="3.94"/>
    <n v="3.32"/>
    <n v="2.02"/>
    <n v="47.382198952879584"/>
    <s v="NO"/>
    <n v="-0.4397950534326357"/>
    <n v="-1.590586856114498"/>
    <n v="-1.0087151885017442"/>
    <n v="-0.98292855145195424"/>
    <n v="-1.2865339628918078"/>
    <n v="1.0056490487711471"/>
    <x v="0"/>
    <x v="0"/>
    <x v="1"/>
    <x v="1"/>
    <x v="0"/>
    <x v="0"/>
  </r>
  <r>
    <x v="4"/>
    <s v="AGX"/>
    <n v="2290"/>
    <n v="175.52"/>
    <n v="11.97"/>
    <n v="25.81"/>
    <n v="6.15"/>
    <n v="14.663324979114453"/>
    <n v="6.8004649360712905"/>
    <n v="26.59"/>
    <n v="7.69"/>
    <n v="2.38"/>
    <n v="28.539837398373983"/>
    <s v="NO"/>
    <n v="-0.35056925720382581"/>
    <n v="0.97511113368594948"/>
    <n v="0.33039191433489756"/>
    <n v="0.18429910339724181"/>
    <n v="-0.39728168774098999"/>
    <n v="-1.4281216182961463E-2"/>
    <x v="0"/>
    <x v="0"/>
    <x v="1"/>
    <x v="1"/>
    <x v="0"/>
    <x v="0"/>
  </r>
  <r>
    <x v="4"/>
    <s v="DY"/>
    <n v="5276"/>
    <n v="193.99"/>
    <n v="3.39"/>
    <n v="42.76"/>
    <n v="7.92"/>
    <n v="57.224188790560476"/>
    <n v="4.5367165575304025"/>
    <n v="20.350000000000001"/>
    <n v="7.89"/>
    <n v="2.38"/>
    <n v="24.493686868686869"/>
    <s v="NO"/>
    <n v="6.1004055559364776"/>
    <n v="-0.19076674346033451"/>
    <n v="-3.8527658367117544E-2"/>
    <n v="0.23771913336745654"/>
    <n v="-0.39728168774098999"/>
    <n v="-0.2332978914468529"/>
    <x v="1"/>
    <x v="0"/>
    <x v="1"/>
    <x v="1"/>
    <x v="0"/>
    <x v="0"/>
  </r>
  <r>
    <x v="4"/>
    <s v="ECG"/>
    <n v="2376"/>
    <n v="51.42"/>
    <n v="2.2599999999999998"/>
    <n v="8.2899999999999991"/>
    <n v="2.81"/>
    <n v="22.752212389380535"/>
    <n v="6.2026537997587461"/>
    <n v="32.92"/>
    <n v="10.14"/>
    <n v="3.05"/>
    <n v="18.298932384341636"/>
    <s v="NO"/>
    <n v="0.87546809911319834"/>
    <n v="0.66722586465807454"/>
    <n v="0.70463244241242273"/>
    <n v="0.83869447053237456"/>
    <n v="1.2577156021230322"/>
    <n v="-0.56861772724700332"/>
    <x v="0"/>
    <x v="0"/>
    <x v="1"/>
    <x v="1"/>
    <x v="0"/>
    <x v="0"/>
  </r>
  <r>
    <x v="4"/>
    <s v="FLR"/>
    <n v="5732"/>
    <n v="38.770000000000003"/>
    <n v="2.99"/>
    <n v="21.61"/>
    <n v="10.64"/>
    <n v="12.966555183946488"/>
    <n v="1.7940768162887555"/>
    <n v="63.65"/>
    <n v="3.68"/>
    <n v="2.35"/>
    <n v="3.643796992481203"/>
    <s v="NO"/>
    <n v="-0.60774963918146041"/>
    <n v="-1.603283712928852"/>
    <n v="2.5214430945170583"/>
    <n v="-0.8867724975055673"/>
    <n v="-0.47138604400355771"/>
    <n v="-1.3618949435832091"/>
    <x v="0"/>
    <x v="0"/>
    <x v="1"/>
    <x v="1"/>
    <x v="0"/>
    <x v="0"/>
  </r>
  <r>
    <x v="4"/>
    <s v="GVA"/>
    <n v="3550"/>
    <n v="85.62"/>
    <n v="6.75"/>
    <n v="22.72"/>
    <n v="2.58"/>
    <n v="12.684444444444445"/>
    <n v="3.768485915492958"/>
    <n v="13.86"/>
    <n v="4.6399999999999997"/>
    <n v="2.93"/>
    <n v="33.186046511627907"/>
    <s v="NO"/>
    <n v="-0.65050932759160585"/>
    <n v="-0.58642163098570843"/>
    <n v="-0.42222766266777134"/>
    <n v="-0.63035635364853582"/>
    <n v="0.96129817707276033"/>
    <n v="0.23721641473794192"/>
    <x v="0"/>
    <x v="0"/>
    <x v="1"/>
    <x v="1"/>
    <x v="0"/>
    <x v="0"/>
  </r>
  <r>
    <x v="4"/>
    <s v="IESC"/>
    <n v="4797"/>
    <n v="272.97000000000003"/>
    <n v="8.7799999999999994"/>
    <n v="35.49"/>
    <n v="11.95"/>
    <n v="31.089977220956726"/>
    <n v="7.6914623837700766"/>
    <n v="39.119999999999997"/>
    <n v="16.899999999999999"/>
    <n v="1.93"/>
    <n v="22.842677824267785"/>
    <s v="NO"/>
    <n v="2.13922795052674"/>
    <n v="1.4339935000801238"/>
    <n v="1.0711871460586555"/>
    <n v="2.6442914835256381"/>
    <n v="-1.5088470316795124"/>
    <n v="-0.32266641817026281"/>
    <x v="0"/>
    <x v="0"/>
    <x v="0"/>
    <x v="1"/>
    <x v="0"/>
    <x v="0"/>
  </r>
  <r>
    <x v="4"/>
    <s v="MYRG"/>
    <n v="2410"/>
    <n v="164.3"/>
    <n v="6.11"/>
    <n v="35.35"/>
    <n v="2.12"/>
    <n v="26.890343698854338"/>
    <n v="4.6478076379066477"/>
    <n v="5.71"/>
    <n v="2.3199999999999998"/>
    <n v="2.77"/>
    <n v="77.5"/>
    <s v="NO"/>
    <n v="1.5026870618003147"/>
    <n v="-0.13355250790893192"/>
    <n v="-0.90406973278338409"/>
    <n v="-1.2500287013030289"/>
    <n v="0.56607494367239641"/>
    <n v="2.6359148046301484"/>
    <x v="0"/>
    <x v="0"/>
    <x v="1"/>
    <x v="1"/>
    <x v="0"/>
    <x v="0"/>
  </r>
  <r>
    <x v="4"/>
    <s v="PRIM"/>
    <n v="3597"/>
    <n v="76.53"/>
    <n v="8.31"/>
    <n v="26.87"/>
    <n v="3.77"/>
    <n v="9.2093862815884471"/>
    <n v="2.8481577967994043"/>
    <n v="15.3"/>
    <n v="5.3"/>
    <n v="2.92"/>
    <n v="20.299734748010611"/>
    <s v="NO"/>
    <n v="-1.1772259088643957"/>
    <n v="-1.0604099078948566"/>
    <n v="-0.33709237665961389"/>
    <n v="-0.45407025474682661"/>
    <n v="0.93659672498523705"/>
    <n v="-0.46031501375779443"/>
    <x v="0"/>
    <x v="0"/>
    <x v="1"/>
    <x v="1"/>
    <x v="0"/>
    <x v="0"/>
  </r>
  <r>
    <x v="4"/>
    <s v="ROAD"/>
    <n v="5032"/>
    <n v="103.36"/>
    <n v="1.93"/>
    <n v="14.5"/>
    <n v="1.05"/>
    <n v="53.554404145077719"/>
    <n v="7.1282758620689659"/>
    <n v="8.41"/>
    <n v="4.38"/>
    <n v="3.17"/>
    <n v="98.438095238095229"/>
    <s v="NO"/>
    <n v="5.544174168750871"/>
    <n v="1.1439406335236781"/>
    <n v="-0.74444107151808903"/>
    <n v="-0.69980239260981514"/>
    <n v="1.5541330271733051"/>
    <n v="3.7692863813324489"/>
    <x v="1"/>
    <x v="0"/>
    <x v="1"/>
    <x v="1"/>
    <x v="0"/>
    <x v="1"/>
  </r>
  <r>
    <x v="4"/>
    <s v="STRL"/>
    <n v="5464"/>
    <n v="187.48"/>
    <n v="14.84"/>
    <n v="26.37"/>
    <n v="8.56"/>
    <n v="12.633423180592992"/>
    <n v="7.1095942358740984"/>
    <n v="37.83"/>
    <n v="9.07"/>
    <n v="2.5299999999999998"/>
    <n v="21.901869158878501"/>
    <s v="NO"/>
    <n v="-0.65824265014582972"/>
    <n v="1.1343192043506394"/>
    <n v="0.99492011900968136"/>
    <n v="0.55289731019172472"/>
    <n v="-2.6759906428149408E-2"/>
    <n v="-0.37359205339840984"/>
    <x v="0"/>
    <x v="0"/>
    <x v="1"/>
    <x v="1"/>
    <x v="0"/>
    <x v="0"/>
  </r>
  <r>
    <x v="4"/>
    <s v="VMI"/>
    <n v="6039"/>
    <n v="322.33999999999997"/>
    <n v="25.87"/>
    <n v="81.459999999999994"/>
    <n v="17.190000000000001"/>
    <n v="12.459992269037494"/>
    <n v="3.9570341271789835"/>
    <n v="22.18"/>
    <n v="9.51"/>
    <n v="2.06"/>
    <n v="18.751599767306569"/>
    <s v="YES"/>
    <n v="-0.68452967399997433"/>
    <n v="-0.48931534882818323"/>
    <n v="6.9665100934915666E-2"/>
    <n v="0.67042137612619734"/>
    <n v="-1.1877281545417167"/>
    <n v="-0.5441150043527434"/>
    <x v="0"/>
    <x v="0"/>
    <x v="1"/>
    <x v="1"/>
    <x v="0"/>
    <x v="0"/>
  </r>
  <r>
    <x v="4"/>
    <s v="WSC"/>
    <n v="4832"/>
    <n v="30.3"/>
    <n v="1.75"/>
    <n v="5.52"/>
    <n v="0.08"/>
    <n v="17.314285714285713"/>
    <n v="5.4891304347826093"/>
    <n v="1.28"/>
    <n v="6.16"/>
    <n v="5.89"/>
    <n v="378.75"/>
    <s v="NO"/>
    <n v="5.1238398979472827E-2"/>
    <n v="0.29974637182290115"/>
    <n v="-1.1659789807112571"/>
    <n v="-0.22436412587490237"/>
    <n v="8.2729279949794847"/>
    <n v="18.942469130563584"/>
    <x v="0"/>
    <x v="0"/>
    <x v="1"/>
    <x v="1"/>
    <x v="1"/>
    <x v="1"/>
  </r>
  <r>
    <x v="5"/>
    <s v="ATKR"/>
    <n v="2310"/>
    <n v="70.16"/>
    <n v="8.9"/>
    <n v="43.82"/>
    <n v="10.43"/>
    <n v="7.8831460674157299"/>
    <n v="1.6010953902327703"/>
    <n v="25.31"/>
    <n v="10.95"/>
    <n v="1.96"/>
    <n v="6.7267497603068067"/>
    <s v="YES"/>
    <n v="-1.5141828363391672"/>
    <n v="-1.0224638967292665"/>
    <n v="0.44770844819748251"/>
    <n v="1.130465219027454"/>
    <n v="-0.4691493011999382"/>
    <n v="-0.78355520432302272"/>
    <x v="0"/>
    <x v="0"/>
    <x v="1"/>
    <x v="1"/>
    <x v="0"/>
    <x v="0"/>
  </r>
  <r>
    <x v="5"/>
    <s v="AYI"/>
    <n v="7761"/>
    <n v="274.05"/>
    <n v="14.72"/>
    <n v="82.1"/>
    <n v="13.18"/>
    <n v="18.617527173913043"/>
    <n v="3.3380024360535936"/>
    <n v="17.86"/>
    <n v="8.68"/>
    <n v="1.82"/>
    <n v="20.792867981790593"/>
    <s v="NO"/>
    <n v="0.31878825274123679"/>
    <n v="-8.612472952642887E-2"/>
    <n v="-2.3663504752099999E-2"/>
    <n v="0.51866642631935111"/>
    <n v="-1.1728732529998456"/>
    <n v="4.7804474678339405E-2"/>
    <x v="0"/>
    <x v="0"/>
    <x v="1"/>
    <x v="1"/>
    <x v="0"/>
    <x v="0"/>
  </r>
  <r>
    <x v="5"/>
    <s v="ENS"/>
    <n v="3567"/>
    <n v="100.4"/>
    <n v="3.59"/>
    <n v="46.79"/>
    <n v="8.0500000000000007"/>
    <n v="27.966573816155993"/>
    <n v="2.1457576405214791"/>
    <n v="18.34"/>
    <n v="7.34"/>
    <n v="2.1800000000000002"/>
    <n v="12.472049689440993"/>
    <s v="NO"/>
    <n v="1.915203736380358"/>
    <n v="-0.72884507638465557"/>
    <n v="6.7067687265308529E-3"/>
    <n v="0.15751647820091147"/>
    <n v="0.63670262305706071"/>
    <n v="-0.44398670151061714"/>
    <x v="0"/>
    <x v="0"/>
    <x v="1"/>
    <x v="1"/>
    <x v="0"/>
    <x v="0"/>
  </r>
  <r>
    <x v="5"/>
    <s v="GNRC"/>
    <n v="6881"/>
    <n v="129.07"/>
    <n v="9.2100000000000009"/>
    <n v="41.79"/>
    <n v="5.74"/>
    <n v="14.014115092290986"/>
    <n v="3.0885379277339076"/>
    <n v="13.8"/>
    <n v="6.79"/>
    <n v="2.0499999999999998"/>
    <n v="22.486062717770032"/>
    <s v="YES"/>
    <n v="-0.46727674467434421"/>
    <n v="-0.2206071075723616"/>
    <n v="-0.2805454012588523"/>
    <n v="9.283290540357916E-3"/>
    <n v="-1.6755332185712478E-2"/>
    <n v="0.14787855410991224"/>
    <x v="0"/>
    <x v="0"/>
    <x v="1"/>
    <x v="1"/>
    <x v="0"/>
    <x v="0"/>
  </r>
  <r>
    <x v="5"/>
    <s v="NVT"/>
    <n v="9901"/>
    <n v="68.099999999999994"/>
    <n v="3.23"/>
    <n v="21.96"/>
    <n v="1.44"/>
    <n v="21.08359133126935"/>
    <n v="3.1010928961748632"/>
    <n v="7.11"/>
    <n v="5.1100000000000003"/>
    <n v="1.86"/>
    <n v="47.291666666666664"/>
    <s v="NO"/>
    <n v="0.73988605608972557"/>
    <n v="-0.21383892229581053"/>
    <n v="-0.70383108786726944"/>
    <n v="-0.44350171904096936"/>
    <n v="-0.97180926677130031"/>
    <n v="1.6139816119451704"/>
    <x v="0"/>
    <x v="0"/>
    <x v="1"/>
    <x v="1"/>
    <x v="0"/>
    <x v="0"/>
  </r>
  <r>
    <x v="5"/>
    <s v="NXT"/>
    <n v="6290"/>
    <n v="54.09"/>
    <n v="3.55"/>
    <n v="9.7899999999999991"/>
    <n v="3.48"/>
    <n v="15.236619718309861"/>
    <n v="5.5250255362614924"/>
    <n v="53.54"/>
    <n v="17.7"/>
    <n v="2.12"/>
    <n v="15.543103448275863"/>
    <s v="NO"/>
    <n v="-0.25852547960109967"/>
    <n v="1.0928648964464969"/>
    <n v="2.2338601571594578"/>
    <n v="2.9496907039524296"/>
    <n v="0.33510664371424287"/>
    <n v="-0.26247605109952166"/>
    <x v="0"/>
    <x v="0"/>
    <x v="1"/>
    <x v="0"/>
    <x v="0"/>
    <x v="0"/>
  </r>
  <r>
    <x v="5"/>
    <s v="POWL"/>
    <n v="2110"/>
    <n v="194.88"/>
    <n v="4.07"/>
    <n v="41.14"/>
    <n v="13.17"/>
    <n v="47.882063882063875"/>
    <n v="4.7369956246961591"/>
    <n v="37.22"/>
    <n v="13.69"/>
    <n v="1.84"/>
    <n v="14.797266514806378"/>
    <s v="NO"/>
    <n v="5.3159137683338216"/>
    <n v="0.66805041204367022"/>
    <n v="1.2012708588860099"/>
    <n v="1.8689360084636664"/>
    <n v="-1.0723412598855728"/>
    <n v="-0.30655777598148015"/>
    <x v="1"/>
    <x v="0"/>
    <x v="1"/>
    <x v="1"/>
    <x v="0"/>
    <x v="0"/>
  </r>
  <r>
    <x v="5"/>
    <s v="RRX"/>
    <n v="8616"/>
    <n v="144.34"/>
    <n v="7.85"/>
    <n v="96.87"/>
    <n v="3.5"/>
    <n v="18.387261146496815"/>
    <n v="1.4900381955197688"/>
    <n v="3.71"/>
    <n v="3.04"/>
    <n v="2.1800000000000002"/>
    <n v="41.24"/>
    <s v="NO"/>
    <n v="0.27946870866469287"/>
    <n v="-1.0823330770977031"/>
    <n v="-0.91895385834090437"/>
    <n v="-1.001397534417962"/>
    <n v="0.63670262305706071"/>
    <n v="1.2563057003536551"/>
    <x v="0"/>
    <x v="0"/>
    <x v="1"/>
    <x v="1"/>
    <x v="0"/>
    <x v="0"/>
  </r>
  <r>
    <x v="5"/>
    <s v="ST"/>
    <n v="3173"/>
    <n v="28.23"/>
    <n v="2.61"/>
    <n v="19.329999999999998"/>
    <n v="0.85"/>
    <n v="10.816091954022989"/>
    <n v="1.4604242110708745"/>
    <n v="4.3600000000000003"/>
    <n v="3.85"/>
    <n v="2.4700000000000002"/>
    <n v="33.211764705882352"/>
    <s v="NO"/>
    <n v="-1.0133616932613976"/>
    <n v="-1.0982975085870874"/>
    <n v="-0.87782744633859189"/>
    <n v="-0.78309047622696493"/>
    <n v="2.0944165232140128"/>
    <n v="0.78180726290479075"/>
    <x v="0"/>
    <x v="0"/>
    <x v="1"/>
    <x v="1"/>
    <x v="0"/>
    <x v="0"/>
  </r>
  <r>
    <x v="5"/>
    <s v="BE"/>
    <n v="3839"/>
    <n v="19.16"/>
    <n v="0.34"/>
    <n v="2.4900000000000002"/>
    <n v="0.02"/>
    <n v="56.352941176470587"/>
    <n v="7.6947791164658632"/>
    <n v="1.0900000000000001"/>
    <n v="1.35"/>
    <n v="4.51"/>
    <n v="958"/>
    <s v="NO"/>
    <n v="6.7623756580087679"/>
    <n v="2.2625447968258725"/>
    <n v="-1.0847249344117644"/>
    <n v="-1.4568776928658447"/>
    <n v="12.34867982086981"/>
    <n v="55.440216806490461"/>
    <x v="1"/>
    <x v="0"/>
    <x v="1"/>
    <x v="1"/>
    <x v="1"/>
    <x v="1"/>
  </r>
  <r>
    <x v="5"/>
    <s v="SMR"/>
    <n v="2209"/>
    <n v="21.64"/>
    <n v="-1.17"/>
    <n v="5.04"/>
    <n v="-1.47"/>
    <n v="-18.495726495726498"/>
    <n v="4.2936507936507935"/>
    <n v="-119.63"/>
    <n v="-22.01"/>
    <n v="0.88"/>
    <n v="-14.721088435374151"/>
    <s v="NO"/>
    <n v="-6.0185608988536083"/>
    <n v="0.42905021287727019"/>
    <n v="-8.7228487142874158"/>
    <n v="-7.7527454451395394"/>
    <n v="-5.8978769293706561"/>
    <n v="-2.0512018710772253"/>
    <x v="1"/>
    <x v="0"/>
    <x v="0"/>
    <x v="0"/>
    <x v="1"/>
    <x v="0"/>
  </r>
  <r>
    <x v="6"/>
    <s v="KNX"/>
    <n v="6735"/>
    <n v="46.05"/>
    <n v="0.68"/>
    <n v="43.91"/>
    <n v="0.93"/>
    <n v="67.720588235294102"/>
    <n v="1.0487360510134367"/>
    <n v="2.1"/>
    <n v="1.28"/>
    <n v="1.77"/>
    <n v="49.516129032258057"/>
    <s v="NO"/>
    <n v="5.7939237222720195"/>
    <n v="-1.1415925573522085"/>
    <n v="-0.43192711318916521"/>
    <n v="-0.8278014086012554"/>
    <n v="-0.38412374535124516"/>
    <n v="1.7214500733669222"/>
    <x v="1"/>
    <x v="0"/>
    <x v="1"/>
    <x v="1"/>
    <x v="0"/>
    <x v="0"/>
  </r>
  <r>
    <x v="6"/>
    <s v="LSTR"/>
    <n v="4624"/>
    <n v="140.21"/>
    <n v="7.19"/>
    <n v="27.54"/>
    <n v="5.51"/>
    <n v="19.500695410292071"/>
    <n v="5.0911401597676109"/>
    <n v="20.03"/>
    <n v="8.5500000000000007"/>
    <n v="1.86"/>
    <n v="25.446460980036299"/>
    <s v="NO"/>
    <n v="0.41629200159763813"/>
    <n v="2.0283705779344707"/>
    <n v="-1.5060616446727432E-2"/>
    <n v="1.2231632303334039"/>
    <n v="-0.16108415127632844"/>
    <n v="0.33423902956023577"/>
    <x v="0"/>
    <x v="0"/>
    <x v="1"/>
    <x v="1"/>
    <x v="0"/>
    <x v="0"/>
  </r>
  <r>
    <x v="6"/>
    <s v="R"/>
    <n v="5839"/>
    <n v="159.81"/>
    <n v="8.64"/>
    <n v="72.64"/>
    <n v="11.48"/>
    <n v="18.496527777777779"/>
    <n v="2.2000275330396475"/>
    <n v="16.55"/>
    <n v="3.78"/>
    <n v="5.47"/>
    <n v="13.920731707317072"/>
    <s v="NO"/>
    <n v="0.30430411864897616"/>
    <n v="-0.23877545698135824"/>
    <n v="-9.5969451285750504E-2"/>
    <n v="-0.12251783262647585"/>
    <n v="8.7852817888397663"/>
    <n v="-0.33002517634210893"/>
    <x v="0"/>
    <x v="0"/>
    <x v="1"/>
    <x v="1"/>
    <x v="1"/>
    <x v="0"/>
  </r>
  <r>
    <x v="6"/>
    <s v="RXO"/>
    <n v="2129"/>
    <n v="16.62"/>
    <n v="-0.43"/>
    <n v="9.92"/>
    <n v="-2.17"/>
    <n v="-38.651162790697676"/>
    <n v="1.6754032258064517"/>
    <n v="-26.29"/>
    <n v="0.72"/>
    <n v="2.12"/>
    <n v="-7.6589861751152082"/>
    <s v="NO"/>
    <n v="-6.0689832438847837"/>
    <n v="-0.6501741368419609"/>
    <n v="-1.0919851077523446"/>
    <n v="-0.98578492961960618"/>
    <n v="0.48325245382898591"/>
    <n v="-1.5737325221930827"/>
    <x v="1"/>
    <x v="0"/>
    <x v="1"/>
    <x v="0"/>
    <x v="0"/>
    <x v="0"/>
  </r>
  <r>
    <x v="6"/>
    <s v="SAIA"/>
    <n v="6924"/>
    <n v="285.05"/>
    <n v="-7.6"/>
    <n v="88.87"/>
    <n v="11.99"/>
    <n v="-37.506578947368425"/>
    <n v="3.2074940924946551"/>
    <n v="14.63"/>
    <n v="8.9499999999999993"/>
    <n v="1.43"/>
    <n v="23.77397831526272"/>
    <s v="NO"/>
    <n v="-5.9413357104239184"/>
    <n v="0.55125734715873131"/>
    <n v="-0.14060880843831494"/>
    <n v="1.3360086024893683"/>
    <n v="-1.2267177674120411"/>
    <n v="0.23784856758479575"/>
    <x v="1"/>
    <x v="0"/>
    <x v="1"/>
    <x v="1"/>
    <x v="0"/>
    <x v="0"/>
  </r>
  <r>
    <x v="6"/>
    <s v="SNDR"/>
    <n v="3924"/>
    <n v="24.37"/>
    <n v="0.76"/>
    <n v="17.059999999999999"/>
    <n v="0.71"/>
    <n v="32.065789473684212"/>
    <n v="1.4284876905041033"/>
    <n v="4.2"/>
    <n v="2.36"/>
    <n v="1.67"/>
    <n v="34.323943661971832"/>
    <s v="NO"/>
    <n v="1.817590188920021"/>
    <n v="-0.84379979211551182"/>
    <n v="-0.38310281630354787"/>
    <n v="-0.52311890378015069"/>
    <n v="-0.63194551654559705"/>
    <n v="0.84587641445748363"/>
    <x v="0"/>
    <x v="0"/>
    <x v="1"/>
    <x v="1"/>
    <x v="0"/>
    <x v="0"/>
  </r>
  <r>
    <x v="6"/>
    <s v="TFII"/>
    <n v="6830"/>
    <n v="90.27"/>
    <n v="8.2100000000000009"/>
    <n v="31.34"/>
    <n v="4.53"/>
    <n v="10.99512789281364"/>
    <n v="2.8803446075303127"/>
    <n v="14.78"/>
    <n v="5.97"/>
    <n v="2.7"/>
    <n v="19.927152317880793"/>
    <s v="NO"/>
    <n v="-0.53227521837373337"/>
    <n v="0.29471401819783793"/>
    <n v="-0.13712135866077088"/>
    <n v="0.4953105799274311"/>
    <n v="1.9206187267562256"/>
    <n v="1.6143827179025703E-2"/>
    <x v="0"/>
    <x v="0"/>
    <x v="1"/>
    <x v="1"/>
    <x v="0"/>
    <x v="0"/>
  </r>
  <r>
    <x v="6"/>
    <s v="CAR"/>
    <n v="3537"/>
    <n v="106.35"/>
    <n v="23.94"/>
    <n v="-66.3"/>
    <n v="-51.3"/>
    <n v="4.4423558897243103"/>
    <n v="-1.6040723981900453"/>
    <n v="136.62"/>
    <n v="2.63"/>
    <n v="-12.48"/>
    <n v="-2.0730994152046782"/>
    <s v="NO"/>
    <n v="-1.2630606373717836"/>
    <n v="-3.2218657716854784"/>
    <n v="2.6956178473123815"/>
    <n v="-0.44694827757487449"/>
    <n v="-35.698726140546363"/>
    <n v="-1.2518002136132733"/>
    <x v="0"/>
    <x v="1"/>
    <x v="1"/>
    <x v="0"/>
    <x v="1"/>
    <x v="0"/>
  </r>
  <r>
    <x v="6"/>
    <s v="LYFT"/>
    <n v="5292"/>
    <n v="17.03"/>
    <n v="1.87"/>
    <n v="1.83"/>
    <n v="0.06"/>
    <n v="9.1069518716577544"/>
    <n v="9.306010928961749"/>
    <n v="3.48"/>
    <n v="-1.39"/>
    <n v="7.09"/>
    <n v="283.83333333333337"/>
    <s v="NO"/>
    <n v="-0.74285045342112077"/>
    <n v="5.3335782214277243"/>
    <n v="-0.3998425752357595"/>
    <n v="-1.58104426774232"/>
    <n v="12.799994482188263"/>
    <n v="15.225891134005302"/>
    <x v="0"/>
    <x v="1"/>
    <x v="1"/>
    <x v="1"/>
    <x v="1"/>
    <x v="1"/>
  </r>
  <r>
    <x v="7"/>
    <s v="IEP"/>
    <n v="4365"/>
    <n v="9.19"/>
    <n v="1.18"/>
    <n v="6.2"/>
    <n v="-0.94"/>
    <n v="7.7881355932203391"/>
    <n v="1.482258064516129"/>
    <n v="-10.14"/>
    <n v="7.0000000000000007E-2"/>
    <n v="5.0199999999999996"/>
    <n v="-9.7765957446808507"/>
    <s v="NO"/>
    <e v="#DIV/0!"/>
    <e v="#DIV/0!"/>
    <e v="#DIV/0!"/>
    <e v="#DIV/0!"/>
    <e v="#DIV/0!"/>
    <e v="#DIV/0!"/>
    <x v="0"/>
    <x v="0"/>
    <x v="1"/>
    <x v="1"/>
    <x v="0"/>
    <x v="0"/>
  </r>
  <r>
    <x v="8"/>
    <s v="ALSN"/>
    <n v="8192"/>
    <n v="104.98"/>
    <n v="7.55"/>
    <n v="19.670000000000002"/>
    <n v="8.64"/>
    <n v="13.904635761589406"/>
    <n v="5.3370615149974574"/>
    <n v="50.15"/>
    <n v="12.17"/>
    <n v="3.22"/>
    <n v="12.150462962962962"/>
    <s v="NO"/>
    <n v="-1.1651824774799733"/>
    <n v="1.292168119370388"/>
    <n v="1.7966063435071671"/>
    <n v="1.5368301714415211"/>
    <n v="1.957207738107225"/>
    <n v="-1.3584711176497357"/>
    <x v="0"/>
    <x v="0"/>
    <x v="1"/>
    <x v="0"/>
    <x v="0"/>
    <x v="0"/>
  </r>
  <r>
    <x v="8"/>
    <s v="ATMU"/>
    <n v="2941"/>
    <n v="38.82"/>
    <n v="1.1100000000000001"/>
    <n v="3.21"/>
    <n v="2.2200000000000002"/>
    <n v="34.972972972972968"/>
    <n v="12.093457943925234"/>
    <n v="95.48"/>
    <n v="14.36"/>
    <n v="4.63"/>
    <n v="17.486486486486484"/>
    <s v="NO"/>
    <n v="1.4434997488250025"/>
    <n v="5.8953939148668377"/>
    <n v="4.2455536692892251"/>
    <n v="2.1788014865459169"/>
    <n v="4.4282842171757633"/>
    <n v="-0.8868656518705379"/>
    <x v="0"/>
    <x v="1"/>
    <x v="1"/>
    <x v="0"/>
    <x v="1"/>
    <x v="0"/>
  </r>
  <r>
    <x v="8"/>
    <s v="FSS"/>
    <n v="5381"/>
    <n v="94.4"/>
    <n v="3.26"/>
    <n v="19.72"/>
    <n v="3.41"/>
    <n v="28.95705521472393"/>
    <n v="4.7870182555780936"/>
    <n v="18.78"/>
    <n v="10.41"/>
    <n v="1.56"/>
    <n v="27.683284457478006"/>
    <s v="NO"/>
    <n v="0.69860860846594153"/>
    <n v="0.91741608298048383"/>
    <n v="0.10184619328031609"/>
    <n v="1.0209080186635591"/>
    <n v="-0.95200286845573601"/>
    <n v="1.4342079948157475E-2"/>
    <x v="0"/>
    <x v="0"/>
    <x v="1"/>
    <x v="1"/>
    <x v="0"/>
    <x v="0"/>
  </r>
  <r>
    <x v="8"/>
    <s v="OSK"/>
    <n v="5707"/>
    <n v="100.16"/>
    <n v="4.4400000000000004"/>
    <n v="65.66"/>
    <n v="9.3699999999999992"/>
    <n v="22.558558558558556"/>
    <n v="1.5254340542187024"/>
    <n v="15.24"/>
    <n v="6.39"/>
    <n v="2.31"/>
    <n v="10.689434364994664"/>
    <s v="NO"/>
    <n v="-9.3653463976665283E-2"/>
    <n v="-1.3047460840585945"/>
    <n v="-8.9401844073941292E-2"/>
    <n v="-0.15750508029519569"/>
    <n v="0.3623995140275294"/>
    <n v="-1.4875989352884749"/>
    <x v="0"/>
    <x v="0"/>
    <x v="1"/>
    <x v="1"/>
    <x v="0"/>
    <x v="0"/>
  </r>
  <r>
    <x v="8"/>
    <s v="TEX"/>
    <n v="2556"/>
    <n v="46.85"/>
    <n v="3.01"/>
    <n v="28.15"/>
    <n v="3.67"/>
    <n v="15.564784053156147"/>
    <n v="1.6642984014209592"/>
    <n v="13.82"/>
    <n v="5.64"/>
    <n v="3.17"/>
    <n v="12.76566757493188"/>
    <s v="NO"/>
    <n v="-0.95962285985145301"/>
    <n v="-1.2101358947601482"/>
    <n v="-0.16611715849288067"/>
    <n v="-0.37735827039944092"/>
    <n v="1.8695809126083403"/>
    <n v="-1.3040984455095033"/>
    <x v="0"/>
    <x v="0"/>
    <x v="1"/>
    <x v="1"/>
    <x v="0"/>
    <x v="0"/>
  </r>
  <r>
    <x v="8"/>
    <s v="AGCO"/>
    <n v="7044"/>
    <n v="105.99"/>
    <n v="6.72"/>
    <n v="51.08"/>
    <n v="-7.81"/>
    <n v="15.772321428571429"/>
    <n v="2.0749804228660924"/>
    <n v="-14.55"/>
    <n v="3.55"/>
    <n v="3.01"/>
    <n v="-13.571062740076824"/>
    <s v="NO"/>
    <n v="-0.93392557500605478"/>
    <n v="-0.93033258618447379"/>
    <n v="-1.6988027007923949"/>
    <n v="-0.99001582682327094"/>
    <n v="1.5891750710119099"/>
    <n v="-3.6317767086497628"/>
    <x v="0"/>
    <x v="0"/>
    <x v="1"/>
    <x v="0"/>
    <x v="0"/>
    <x v="1"/>
  </r>
  <r>
    <x v="8"/>
    <s v="ALG"/>
    <n v="2080"/>
    <n v="202.64"/>
    <n v="15.42"/>
    <n v="85.32"/>
    <n v="9.6300000000000008"/>
    <n v="13.141374837872892"/>
    <n v="2.3750586029067042"/>
    <n v="11.88"/>
    <n v="7.2"/>
    <n v="1.42"/>
    <n v="21.042575285565938"/>
    <s v="YES"/>
    <n v="-1.2596894708774666"/>
    <n v="-0.72588519569176024"/>
    <n v="-0.2709254049525584"/>
    <n v="7.9936365017389321E-2"/>
    <n v="-1.1973579798526124"/>
    <n v="-0.57257338778122246"/>
    <x v="0"/>
    <x v="0"/>
    <x v="1"/>
    <x v="1"/>
    <x v="0"/>
    <x v="0"/>
  </r>
  <r>
    <x v="8"/>
    <s v="TTC"/>
    <n v="6930"/>
    <n v="75.900000000000006"/>
    <n v="4.9400000000000004"/>
    <n v="14.63"/>
    <n v="3.92"/>
    <n v="15.364372469635628"/>
    <n v="5.1879699248120303"/>
    <n v="26.98"/>
    <n v="8.99"/>
    <n v="2.52"/>
    <n v="19.362244897959187"/>
    <s v="NO"/>
    <n v="-0.98443782890335962"/>
    <n v="1.1905899687907813"/>
    <n v="0.54485012161503643"/>
    <n v="0.60465264539952135"/>
    <n v="0.73043218112284369"/>
    <n v="-0.72108341432378609"/>
    <x v="0"/>
    <x v="0"/>
    <x v="1"/>
    <x v="1"/>
    <x v="0"/>
    <x v="0"/>
  </r>
  <r>
    <x v="8"/>
    <s v="ATS"/>
    <n v="2486"/>
    <n v="28.09"/>
    <n v="-0.52"/>
    <n v="12.55"/>
    <n v="0.63"/>
    <n v="-54.019230769230766"/>
    <n v="2.2382470119521911"/>
    <n v="5.3"/>
    <n v="3.37"/>
    <n v="2.66"/>
    <n v="44.587301587301589"/>
    <s v="NO"/>
    <n v="-9.5755179293504895"/>
    <n v="-0.8190968139307846"/>
    <n v="-0.62640904500651695"/>
    <n v="-1.0427805924482898"/>
    <n v="0.97578729251972007"/>
    <n v="1.5083435281999902"/>
    <x v="1"/>
    <x v="0"/>
    <x v="1"/>
    <x v="1"/>
    <x v="0"/>
    <x v="0"/>
  </r>
  <r>
    <x v="8"/>
    <s v="CR"/>
    <n v="9629"/>
    <n v="175.89"/>
    <n v="4.5999999999999996"/>
    <n v="30.56"/>
    <n v="4.92"/>
    <n v="38.236956521739131"/>
    <n v="5.7555628272251305"/>
    <n v="18.170000000000002"/>
    <n v="8.85"/>
    <n v="1.49"/>
    <n v="35.75"/>
    <s v="NO"/>
    <n v="1.8476463022614789"/>
    <n v="1.5772988182807335"/>
    <n v="6.8891023001757645E-2"/>
    <n v="0.56361338324672872"/>
    <n v="-1.0746804241541743"/>
    <n v="0.72729005028005955"/>
    <x v="0"/>
    <x v="0"/>
    <x v="1"/>
    <x v="1"/>
    <x v="0"/>
    <x v="0"/>
  </r>
  <r>
    <x v="8"/>
    <s v="DCI"/>
    <n v="7906"/>
    <n v="70.319999999999993"/>
    <n v="2.88"/>
    <n v="12.92"/>
    <n v="3.42"/>
    <n v="24.416666666666664"/>
    <n v="5.4427244582043341"/>
    <n v="28.64"/>
    <n v="12.11"/>
    <n v="1.92"/>
    <n v="20.561403508771928"/>
    <s v="NO"/>
    <n v="0.13641754483345384"/>
    <n v="1.3641577355680807"/>
    <n v="0.63453140466816271"/>
    <n v="1.5192419162331814"/>
    <n v="-0.32108972486376886"/>
    <n v="-0.61510004436629306"/>
    <x v="0"/>
    <x v="0"/>
    <x v="1"/>
    <x v="1"/>
    <x v="0"/>
    <x v="0"/>
  </r>
  <r>
    <x v="8"/>
    <s v="EPAC"/>
    <n v="2255"/>
    <n v="46.08"/>
    <n v="1.31"/>
    <n v="7.48"/>
    <n v="1.62"/>
    <n v="35.175572519083964"/>
    <n v="6.1604278074866308"/>
    <n v="23.87"/>
    <n v="10.93"/>
    <n v="1.91"/>
    <n v="28.444444444444443"/>
    <s v="NO"/>
    <n v="1.4685856314788857"/>
    <n v="1.8531388967067801"/>
    <n v="0.37683277806369736"/>
    <n v="1.1733395638025022"/>
    <n v="-0.33861508996354572"/>
    <n v="8.1614498932689739E-2"/>
    <x v="0"/>
    <x v="0"/>
    <x v="1"/>
    <x v="1"/>
    <x v="0"/>
    <x v="0"/>
  </r>
  <r>
    <x v="8"/>
    <s v="ESAB"/>
    <n v="7400"/>
    <n v="129.44"/>
    <n v="4.87"/>
    <n v="31.56"/>
    <n v="4.82"/>
    <n v="26.579055441478438"/>
    <n v="4.1013941698352347"/>
    <n v="16.670000000000002"/>
    <n v="7.25"/>
    <n v="2.21"/>
    <n v="26.854771784232362"/>
    <s v="NO"/>
    <n v="0.40416459608935229"/>
    <n v="0.4502909652191418"/>
    <n v="-1.2146280961910711E-2"/>
    <n v="9.4593244357672288E-2"/>
    <n v="0.18714586302976052"/>
    <n v="-5.8883066726602665E-2"/>
    <x v="0"/>
    <x v="0"/>
    <x v="1"/>
    <x v="1"/>
    <x v="0"/>
    <x v="0"/>
  </r>
  <r>
    <x v="8"/>
    <s v="ESE"/>
    <n v="4220"/>
    <n v="185.41"/>
    <n v="4.18"/>
    <n v="47.93"/>
    <n v="4.26"/>
    <n v="44.356459330143544"/>
    <n v="3.8683496766117256"/>
    <n v="9.2200000000000006"/>
    <n v="5.48"/>
    <n v="1.45"/>
    <n v="43.52347417840376"/>
    <s v="NO"/>
    <n v="2.6053633470353046"/>
    <n v="0.29151454734765542"/>
    <n v="-0.41463155731479695"/>
    <n v="-0.42426028428834639"/>
    <n v="-1.1447818845532818"/>
    <n v="1.4143209253253599"/>
    <x v="0"/>
    <x v="0"/>
    <x v="1"/>
    <x v="1"/>
    <x v="0"/>
    <x v="0"/>
  </r>
  <r>
    <x v="8"/>
    <s v="FELE"/>
    <n v="3925"/>
    <n v="89.68"/>
    <n v="4.45"/>
    <n v="28.37"/>
    <n v="3.83"/>
    <n v="20.152808988764047"/>
    <n v="3.1610856538597112"/>
    <n v="14.25"/>
    <n v="8.3699999999999992"/>
    <n v="1.49"/>
    <n v="23.41514360313316"/>
    <s v="YES"/>
    <n v="-0.39153345710079474"/>
    <n v="-0.19035415707283576"/>
    <n v="-0.14288646468996241"/>
    <n v="0.42290734158001164"/>
    <n v="-1.0746804241541743"/>
    <n v="-0.36288237319581329"/>
    <x v="0"/>
    <x v="0"/>
    <x v="1"/>
    <x v="1"/>
    <x v="0"/>
    <x v="0"/>
  </r>
  <r>
    <x v="8"/>
    <s v="FLS"/>
    <n v="6104"/>
    <n v="52.11"/>
    <n v="1.78"/>
    <n v="15.85"/>
    <n v="2.14"/>
    <n v="29.275280898876403"/>
    <n v="3.287697160883281"/>
    <n v="14.68"/>
    <n v="6.21"/>
    <n v="2.64"/>
    <n v="24.350467289719624"/>
    <s v="NO"/>
    <n v="0.73801132344402498"/>
    <n v="-0.10409199627922039"/>
    <n v="-0.11965577088704418"/>
    <n v="-0.21026984592021447"/>
    <n v="0.94073656232016634"/>
    <n v="-0.28021711489581741"/>
    <x v="0"/>
    <x v="0"/>
    <x v="1"/>
    <x v="1"/>
    <x v="0"/>
    <x v="0"/>
  </r>
  <r>
    <x v="8"/>
    <s v="GTES"/>
    <n v="5184"/>
    <n v="22.6"/>
    <n v="1.1399999999999999"/>
    <n v="12.08"/>
    <n v="0.83"/>
    <n v="19.824561403508774"/>
    <n v="1.870860927152318"/>
    <n v="7.02"/>
    <n v="4.54"/>
    <n v="2.2200000000000002"/>
    <n v="27.228915662650607"/>
    <s v="NO"/>
    <n v="-0.43217708421249146"/>
    <n v="-1.0694020054995401"/>
    <n v="-0.53348626979484393"/>
    <n v="-0.69980961588566715"/>
    <n v="0.20467122812953781"/>
    <n v="-2.5815690379401266E-2"/>
    <x v="0"/>
    <x v="0"/>
    <x v="1"/>
    <x v="1"/>
    <x v="0"/>
    <x v="0"/>
  </r>
  <r>
    <x v="8"/>
    <s v="GTLS"/>
    <n v="6889"/>
    <n v="175.1"/>
    <n v="9.6999999999999993"/>
    <n v="66.69"/>
    <n v="5.03"/>
    <n v="18.051546391752577"/>
    <n v="2.6255810466336782"/>
    <n v="9.0299999999999994"/>
    <n v="4.71"/>
    <n v="3.11"/>
    <n v="34.811133200795226"/>
    <s v="NO"/>
    <n v="-0.65171186295341699"/>
    <n v="-0.55520080979970465"/>
    <n v="-0.42489628248352834"/>
    <n v="-0.64997622612870498"/>
    <n v="1.7644287220096788"/>
    <n v="0.64431164656957218"/>
    <x v="0"/>
    <x v="0"/>
    <x v="1"/>
    <x v="1"/>
    <x v="0"/>
    <x v="0"/>
  </r>
  <r>
    <x v="8"/>
    <s v="JBTM"/>
    <n v="5522"/>
    <n v="118.78"/>
    <n v="5.7"/>
    <n v="79.44"/>
    <n v="-3.02"/>
    <n v="20.838596491228071"/>
    <n v="1.4952165156092649"/>
    <n v="-3.97"/>
    <n v="-0.24"/>
    <n v="1.95"/>
    <n v="-39.331125827814567"/>
    <s v="NO"/>
    <n v="-0.30661922534389313"/>
    <n v="-1.3253337086402159"/>
    <n v="-1.1272195835019874"/>
    <n v="-2.1010072808167237"/>
    <n v="-0.26851362956443819"/>
    <n v="-5.9084882893685897"/>
    <x v="0"/>
    <x v="0"/>
    <x v="1"/>
    <x v="1"/>
    <x v="0"/>
    <x v="1"/>
  </r>
  <r>
    <x v="8"/>
    <s v="KAI"/>
    <n v="3423"/>
    <n v="327.69"/>
    <n v="11.44"/>
    <n v="75.39"/>
    <n v="9.42"/>
    <n v="28.64423076923077"/>
    <n v="4.3465976920015921"/>
    <n v="13.32"/>
    <n v="7.75"/>
    <n v="1.62"/>
    <n v="34.786624203821653"/>
    <s v="NO"/>
    <n v="0.65987467504139075"/>
    <n v="0.61735149671046641"/>
    <n v="-0.1931295931474368"/>
    <n v="0.24116203776050246"/>
    <n v="-0.84685067785707469"/>
    <n v="0.64214550601892662"/>
    <x v="0"/>
    <x v="0"/>
    <x v="1"/>
    <x v="1"/>
    <x v="0"/>
    <x v="0"/>
  </r>
  <r>
    <x v="8"/>
    <s v="MIDD"/>
    <n v="7061"/>
    <n v="149.91"/>
    <n v="11.86"/>
    <n v="67.77"/>
    <n v="7.9"/>
    <n v="12.639966273187184"/>
    <n v="2.2120407259849491"/>
    <n v="12.44"/>
    <n v="6.34"/>
    <n v="2"/>
    <n v="18.975949367088607"/>
    <s v="YES"/>
    <n v="-1.3217738963206835"/>
    <n v="-0.83695151692779479"/>
    <n v="-0.24067147813945561"/>
    <n v="-0.17216195963547865"/>
    <n v="-0.18088680406555374"/>
    <n v="-0.7552247712652459"/>
    <x v="0"/>
    <x v="0"/>
    <x v="1"/>
    <x v="1"/>
    <x v="0"/>
    <x v="0"/>
  </r>
  <r>
    <x v="8"/>
    <s v="MLI"/>
    <n v="8166"/>
    <n v="79.05"/>
    <n v="4.54"/>
    <n v="24.1"/>
    <n v="5.49"/>
    <n v="17.411894273127754"/>
    <n v="3.2800829875518671"/>
    <n v="24.74"/>
    <n v="15.76"/>
    <n v="1.21"/>
    <n v="14.398907103825136"/>
    <s v="YES"/>
    <n v="-0.73091360992248022"/>
    <n v="-0.10927963727383087"/>
    <n v="0.42383441436262487"/>
    <n v="2.5891941080738414"/>
    <n v="-1.5653906469479266"/>
    <n v="-1.1597503770729369"/>
    <x v="0"/>
    <x v="0"/>
    <x v="1"/>
    <x v="1"/>
    <x v="0"/>
    <x v="0"/>
  </r>
  <r>
    <x v="8"/>
    <s v="MWA"/>
    <n v="3703"/>
    <n v="25.95"/>
    <n v="1.23"/>
    <n v="5.58"/>
    <n v="0.92"/>
    <n v="21.097560975609756"/>
    <n v="4.650537634408602"/>
    <n v="17.68"/>
    <n v="9.24"/>
    <n v="1.91"/>
    <n v="28.206521739130434"/>
    <s v="NO"/>
    <n v="-0.27455423412637442"/>
    <n v="0.82442995900722182"/>
    <n v="4.2418837040292541E-2"/>
    <n v="0.67793704210093642"/>
    <n v="-0.33861508996354572"/>
    <n v="6.0586546607440686E-2"/>
    <x v="0"/>
    <x v="0"/>
    <x v="1"/>
    <x v="1"/>
    <x v="0"/>
    <x v="0"/>
  </r>
  <r>
    <x v="8"/>
    <s v="NPO"/>
    <n v="3640"/>
    <n v="186.5"/>
    <n v="6.19"/>
    <n v="68"/>
    <n v="3.45"/>
    <n v="30.129240710823908"/>
    <n v="2.7426470588235294"/>
    <n v="5.0999999999999996"/>
    <n v="3.82"/>
    <n v="1.74"/>
    <n v="54.05797101449275"/>
    <s v="NO"/>
    <n v="0.8437486562508365"/>
    <n v="-0.47544212589818236"/>
    <n v="-0.63721401886833939"/>
    <n v="-0.9108686783857427"/>
    <n v="-0.63654629665975238"/>
    <n v="2.3453749705767657"/>
    <x v="0"/>
    <x v="0"/>
    <x v="1"/>
    <x v="1"/>
    <x v="0"/>
    <x v="0"/>
  </r>
  <r>
    <x v="8"/>
    <s v="SPXC"/>
    <n v="7031"/>
    <n v="157.06"/>
    <n v="4.9800000000000004"/>
    <n v="30.91"/>
    <n v="4.34"/>
    <n v="31.538152610441763"/>
    <n v="5.0812034940148818"/>
    <n v="15.24"/>
    <n v="6.83"/>
    <n v="2.17"/>
    <n v="36.1889400921659"/>
    <s v="NO"/>
    <n v="1.018200175328327"/>
    <n v="1.1178485313235726"/>
    <n v="-8.9401844073941292E-2"/>
    <n v="-2.8524542100705035E-2"/>
    <n v="0.11704440263065297"/>
    <n v="0.76608420958286028"/>
    <x v="0"/>
    <x v="0"/>
    <x v="1"/>
    <x v="1"/>
    <x v="0"/>
    <x v="0"/>
  </r>
  <r>
    <x v="8"/>
    <s v="SWK"/>
    <n v="9117"/>
    <n v="73.819999999999993"/>
    <n v="5.07"/>
    <n v="57.16"/>
    <n v="2.36"/>
    <n v="14.56015779092702"/>
    <n v="1.2914625612316304"/>
    <n v="4.03"/>
    <n v="2.8"/>
    <n v="2.54"/>
    <n v="31.279661016949152"/>
    <s v="NO"/>
    <n v="-1.084015717629536"/>
    <n v="-1.4641540796163433"/>
    <n v="-0.69502062902908945"/>
    <n v="-1.2098690169275161"/>
    <n v="0.76548291132239743"/>
    <n v="0.33219503448813614"/>
    <x v="0"/>
    <x v="0"/>
    <x v="1"/>
    <x v="1"/>
    <x v="0"/>
    <x v="0"/>
  </r>
  <r>
    <x v="8"/>
    <s v="SYM"/>
    <n v="2419"/>
    <n v="26.7"/>
    <n v="1.27"/>
    <n v="1.85"/>
    <n v="-0.14000000000000001"/>
    <n v="21.023622047244093"/>
    <n v="14.432432432432432"/>
    <n v="-30.06"/>
    <n v="-3.42"/>
    <n v="8.73"/>
    <n v="-190.71428571428569"/>
    <s v="NO"/>
    <n v="-0.28370935473813896"/>
    <n v="7.4889693975614078"/>
    <n v="-2.5367284237767258"/>
    <n v="-3.0331848068587237"/>
    <n v="11.613683908084282"/>
    <n v="-19.287950601454344"/>
    <x v="0"/>
    <x v="1"/>
    <x v="0"/>
    <x v="0"/>
    <x v="1"/>
    <x v="1"/>
  </r>
  <r>
    <x v="8"/>
    <s v="TKR"/>
    <n v="4625"/>
    <n v="73.3"/>
    <n v="4.62"/>
    <n v="41.7"/>
    <n v="4.6399999999999997"/>
    <n v="15.865800865800864"/>
    <n v="1.7577937649880093"/>
    <n v="12.23"/>
    <n v="5.52"/>
    <n v="2.25"/>
    <n v="15.797413793103448"/>
    <s v="NO"/>
    <n v="-0.92235094792567662"/>
    <n v="-1.1464362178897274"/>
    <n v="-0.2520167006943691"/>
    <n v="-0.41253478081612022"/>
    <n v="0.25724732342886808"/>
    <n v="-1.0361483360240422"/>
    <x v="0"/>
    <x v="0"/>
    <x v="1"/>
    <x v="1"/>
    <x v="0"/>
    <x v="0"/>
  </r>
  <r>
    <x v="8"/>
    <s v="WOR"/>
    <n v="2829"/>
    <n v="61.3"/>
    <n v="2.91"/>
    <n v="18.78"/>
    <n v="1.21"/>
    <n v="21.065292096219931"/>
    <n v="3.2641107561235354"/>
    <n v="6.43"/>
    <n v="1.28"/>
    <n v="1.79"/>
    <n v="50.66115702479339"/>
    <s v="NO"/>
    <n v="-0.27854976786415475"/>
    <n v="-0.12016173818308785"/>
    <n v="-0.56536094268722015"/>
    <n v="-1.6554381488721197"/>
    <n v="-0.54891947116086803"/>
    <n v="2.0451596441796198"/>
    <x v="0"/>
    <x v="0"/>
    <x v="1"/>
    <x v="1"/>
    <x v="0"/>
    <x v="0"/>
  </r>
  <r>
    <x v="8"/>
    <s v="WTS"/>
    <n v="7056"/>
    <n v="243.38"/>
    <n v="9.73"/>
    <n v="51.26"/>
    <n v="8.69"/>
    <n v="25.013360739979444"/>
    <n v="4.7479516191962547"/>
    <n v="18.079999999999998"/>
    <n v="10.56"/>
    <n v="1.4"/>
    <n v="28.006904487917147"/>
    <s v="NO"/>
    <n v="0.21030022517860786"/>
    <n v="0.89079944640093078"/>
    <n v="6.4028784763937363E-2"/>
    <n v="1.0648786566844082"/>
    <n v="-1.2324087100521661"/>
    <n v="4.2944085639832062E-2"/>
    <x v="0"/>
    <x v="0"/>
    <x v="1"/>
    <x v="1"/>
    <x v="0"/>
    <x v="0"/>
  </r>
  <r>
    <x v="9"/>
    <s v="KEX"/>
    <n v="5815"/>
    <n v="108.53"/>
    <n v="7.14"/>
    <n v="58.54"/>
    <n v="5.05"/>
    <n v="15.200280112044819"/>
    <n v="1.8539460198155109"/>
    <n v="8.77"/>
    <n v="4.4000000000000004"/>
    <n v="1.75"/>
    <n v="21.491089108910892"/>
    <s v="NO"/>
    <n v="0.99999999999999989"/>
    <n v="0.99999999999999745"/>
    <n v="-1.0000000000000002"/>
    <n v="-1.0000000000000007"/>
    <n v="1.0000000000001867"/>
    <n v="1.0000000000000002"/>
    <x v="0"/>
    <x v="0"/>
    <x v="1"/>
    <x v="1"/>
    <x v="0"/>
    <x v="0"/>
  </r>
  <r>
    <x v="9"/>
    <s v="MATX"/>
    <n v="3102"/>
    <n v="117.62"/>
    <n v="14.28"/>
    <n v="80.28"/>
    <n v="15.15"/>
    <n v="8.2366946778711494"/>
    <n v="1.4651220727453911"/>
    <n v="20.48"/>
    <n v="8.57"/>
    <n v="1.72"/>
    <n v="7.7636963696369641"/>
    <s v="YES"/>
    <n v="-0.99999999999999989"/>
    <n v="-0.99999999999999634"/>
    <n v="1.0000000000000002"/>
    <n v="1.0000000000000007"/>
    <n v="-1.0000000000001719"/>
    <n v="-1.0000000000000002"/>
    <x v="0"/>
    <x v="0"/>
    <x v="1"/>
    <x v="1"/>
    <x v="0"/>
    <x v="0"/>
  </r>
  <r>
    <x v="10"/>
    <s v="AAL"/>
    <n v="6964"/>
    <n v="12.3"/>
    <n v="2.4"/>
    <n v="-6.84"/>
    <n v="1.02"/>
    <n v="5.1250000000000009"/>
    <n v="-1.7982456140350878"/>
    <n v="-13.69"/>
    <n v="3.03"/>
    <n v="-13.89"/>
    <n v="12.058823529411764"/>
    <s v="NO"/>
    <n v="-1.4141473015819692"/>
    <n v="-59.380115580540945"/>
    <n v="-0.91275999511360717"/>
    <n v="-0.85139913985081817"/>
    <n v="-13.351051988632756"/>
    <n v="-0.1186991523200777"/>
    <x v="0"/>
    <x v="1"/>
    <x v="1"/>
    <x v="1"/>
    <x v="1"/>
    <x v="0"/>
  </r>
  <r>
    <x v="10"/>
    <s v="ALK"/>
    <n v="6164"/>
    <n v="54.88"/>
    <n v="1.35"/>
    <n v="33.67"/>
    <n v="2.83"/>
    <n v="40.651851851851852"/>
    <n v="1.62993762993763"/>
    <n v="8.9"/>
    <n v="3.34"/>
    <n v="4.79"/>
    <n v="19.392226148409893"/>
    <s v="NO"/>
    <n v="8.8570378765450908"/>
    <n v="-1.2256445403859562"/>
    <n v="-0.49543388821560719"/>
    <n v="-0.71156669833889574"/>
    <n v="1.5450299075989826"/>
    <n v="1.5391794318271295"/>
    <x v="1"/>
    <x v="0"/>
    <x v="1"/>
    <x v="1"/>
    <x v="0"/>
    <x v="0"/>
  </r>
  <r>
    <x v="10"/>
    <s v="CPA"/>
    <n v="3979"/>
    <n v="101.9"/>
    <n v="8.15"/>
    <n v="57.43"/>
    <n v="14.55"/>
    <n v="12.503067484662576"/>
    <n v="1.7743339717917466"/>
    <n v="27.06"/>
    <n v="8.6"/>
    <n v="2.42"/>
    <n v="7.0034364261168385"/>
    <s v="NO"/>
    <n v="0.71892932754629679"/>
    <n v="1.2238432153876868"/>
    <n v="-0.15994729674736105"/>
    <n v="1.6610740834440469"/>
    <n v="-0.34489054711564393"/>
    <n v="-1.2615817197402834"/>
    <x v="0"/>
    <x v="0"/>
    <x v="1"/>
    <x v="1"/>
    <x v="0"/>
    <x v="0"/>
  </r>
  <r>
    <x v="10"/>
    <s v="JOBY"/>
    <n v="5079"/>
    <n v="7.19"/>
    <n v="-0.68"/>
    <n v="1.1599999999999999"/>
    <n v="-0.87"/>
    <n v="-10.573529411764707"/>
    <n v="6.1982758620689662"/>
    <n v="-62.47"/>
    <n v="-30.16"/>
    <n v="1.32"/>
    <n v="-8.2643678160919549"/>
    <s v="NO"/>
    <n v="-5.9527566690794318"/>
    <n v="76.270006804740589"/>
    <n v="-1.8139183614033125"/>
    <n v="-15.822491829466003"/>
    <n v="-1.2220688172363565"/>
    <n v="-4.7132080649971755"/>
    <x v="1"/>
    <x v="1"/>
    <x v="0"/>
    <x v="0"/>
    <x v="0"/>
    <x v="1"/>
  </r>
  <r>
    <x v="10"/>
    <s v="LTM"/>
    <n v="9919"/>
    <n v="35.25"/>
    <n v="0"/>
    <n v="0"/>
    <n v="0"/>
    <s v=""/>
    <s v=""/>
    <n v="140.66"/>
    <n v="6.93"/>
    <n v="16.690000000000001"/>
    <s v=""/>
    <s v="NO"/>
    <e v="#VALUE!"/>
    <e v="#VALUE!"/>
    <n v="1.9386912930540026"/>
    <n v="0.90778318884756137"/>
    <n v="11.034503920723058"/>
    <e v="#VALUE!"/>
    <x v="1"/>
    <x v="1"/>
    <x v="1"/>
    <x v="0"/>
    <x v="1"/>
    <x v="1"/>
  </r>
  <r>
    <x v="10"/>
    <s v="SKYW"/>
    <n v="3926"/>
    <n v="103.84"/>
    <n v="8.36"/>
    <n v="61"/>
    <n v="8.74"/>
    <n v="12.421052631578949"/>
    <n v="1.7022950819672131"/>
    <n v="15.66"/>
    <n v="4.7"/>
    <n v="2.88"/>
    <n v="11.881006864988558"/>
    <s v="NO"/>
    <n v="0.69521797403567276"/>
    <n v="1.8013249982693706E-3"/>
    <n v="-0.37055011297742746"/>
    <n v="-9.8108245254332413E-2"/>
    <n v="2.1929456753017704E-2"/>
    <n v="-0.15889855976676701"/>
    <x v="0"/>
    <x v="0"/>
    <x v="1"/>
    <x v="1"/>
    <x v="0"/>
    <x v="0"/>
  </r>
  <r>
    <x v="11"/>
    <s v="ALIT"/>
    <n v="2782"/>
    <n v="5.89"/>
    <n v="0.24"/>
    <n v="8.1"/>
    <n v="-0.26"/>
    <n v="24.541666666666668"/>
    <n v="0.72716049382716053"/>
    <n v="-3.09"/>
    <n v="-0.59"/>
    <n v="1.9"/>
    <n v="-22.653846153846153"/>
    <s v="NO"/>
    <n v="0.87234853119082445"/>
    <n v="-1.1626371279570846"/>
    <n v="-0.71420091084957338"/>
    <n v="-1.6489814190198213"/>
    <n v="-0.80062766602212698"/>
    <n v="-3.6867894322829424"/>
    <x v="0"/>
    <x v="0"/>
    <x v="1"/>
    <x v="1"/>
    <x v="0"/>
    <x v="1"/>
  </r>
  <r>
    <x v="11"/>
    <s v="DAY"/>
    <n v="8616"/>
    <n v="59.26"/>
    <n v="1.0900000000000001"/>
    <n v="16.010000000000002"/>
    <n v="0.11"/>
    <n v="54.366972477064216"/>
    <n v="3.7014366021236724"/>
    <n v="0.73"/>
    <n v="0.7"/>
    <n v="3.58"/>
    <n v="538.72727272727275"/>
    <s v="NO"/>
    <n v="4.8156524650343675"/>
    <n v="0.24670037654528262"/>
    <n v="-0.59899586561998486"/>
    <n v="-1.2838946441349761"/>
    <n v="1.5610900645180605"/>
    <n v="42.265357475613754"/>
    <x v="1"/>
    <x v="0"/>
    <x v="1"/>
    <x v="1"/>
    <x v="0"/>
    <x v="1"/>
  </r>
  <r>
    <x v="11"/>
    <s v="FA"/>
    <n v="2599"/>
    <n v="17.829999999999998"/>
    <n v="-0.03"/>
    <n v="7.55"/>
    <n v="-0.74"/>
    <n v="-594.33333333333326"/>
    <n v="2.3615894039735097"/>
    <n v="-9.9600000000000009"/>
    <n v="-1.4"/>
    <n v="3"/>
    <n v="-24.094594594594593"/>
    <s v="NO"/>
    <n v="-80.951195460993773"/>
    <n v="-0.38817575394851445"/>
    <n v="-0.92138904193001114"/>
    <n v="-1.8782219520870493"/>
    <n v="0.74573513373632905"/>
    <n v="-3.8047226540816177"/>
    <x v="1"/>
    <x v="0"/>
    <x v="1"/>
    <x v="1"/>
    <x v="0"/>
    <x v="1"/>
  </r>
  <r>
    <x v="11"/>
    <s v="KFY"/>
    <n v="3324"/>
    <n v="68.459999999999994"/>
    <n v="6.13"/>
    <n v="34.76"/>
    <n v="4.63"/>
    <n v="11.168026101141924"/>
    <n v="1.9695051783659379"/>
    <n v="14.36"/>
    <n v="5.45"/>
    <n v="2.04"/>
    <n v="14.786177105831532"/>
    <s v="YES"/>
    <n v="-0.89582544117658158"/>
    <n v="-0.57396180203300207"/>
    <n v="-0.18793702622750055"/>
    <n v="6.0417123851856519E-2"/>
    <n v="-0.60381785514377784"/>
    <n v="-0.62211662587865335"/>
    <x v="0"/>
    <x v="0"/>
    <x v="1"/>
    <x v="1"/>
    <x v="0"/>
    <x v="0"/>
  </r>
  <r>
    <x v="11"/>
    <s v="NSP"/>
    <n v="2455"/>
    <n v="69.319999999999993"/>
    <n v="0.18"/>
    <n v="3.16"/>
    <n v="1.65"/>
    <n v="385.11111111111109"/>
    <n v="21.936708860759492"/>
    <n v="48.65"/>
    <n v="2.25"/>
    <n v="18.010000000000002"/>
    <n v="42.012121212121208"/>
    <s v="NO"/>
    <n v="48.544446773546007"/>
    <n v="8.8873417168767581"/>
    <n v="0.84619412584647513"/>
    <n v="-0.84522448826558871"/>
    <n v="21.846558428622171"/>
    <n v="1.6064773563556247"/>
    <x v="1"/>
    <x v="1"/>
    <x v="1"/>
    <x v="1"/>
    <x v="1"/>
    <x v="0"/>
  </r>
  <r>
    <x v="11"/>
    <s v="RHI"/>
    <n v="4433"/>
    <n v="47.69"/>
    <n v="3.04"/>
    <n v="13.08"/>
    <n v="2.0099999999999998"/>
    <n v="15.687499999999998"/>
    <n v="3.6460244648318039"/>
    <n v="14.49"/>
    <n v="5.36"/>
    <n v="2.0499999999999998"/>
    <n v="23.726368159203982"/>
    <s v="NO"/>
    <n v="-0.29829060557206749"/>
    <n v="0.22044376806423865"/>
    <n v="-0.1840164356830381"/>
    <n v="3.4945953511053417E-2"/>
    <n v="-0.58976001150961044"/>
    <n v="0.10968741749216088"/>
    <x v="0"/>
    <x v="0"/>
    <x v="1"/>
    <x v="1"/>
    <x v="0"/>
    <x v="0"/>
  </r>
  <r>
    <x v="11"/>
    <s v="TNET"/>
    <n v="3918"/>
    <n v="83.85"/>
    <n v="4.18"/>
    <n v="1.3"/>
    <n v="3.32"/>
    <n v="20.059808612440193"/>
    <n v="64.5"/>
    <n v="162.13999999999999"/>
    <n v="3.83"/>
    <n v="59.92"/>
    <n v="25.256024096385541"/>
    <s v="NO"/>
    <n v="0.27978701284426527"/>
    <n v="29.055624799358085"/>
    <n v="4.2688696711621787"/>
    <n v="-0.39806394228260011"/>
    <n v="80.762981099419349"/>
    <n v="0.23489820919815804"/>
    <x v="0"/>
    <x v="1"/>
    <x v="1"/>
    <x v="0"/>
    <x v="1"/>
    <x v="0"/>
  </r>
  <r>
    <x v="11"/>
    <s v="UPWK"/>
    <n v="2141"/>
    <n v="17.5"/>
    <n v="1.18"/>
    <n v="4.4000000000000004"/>
    <n v="1.66"/>
    <n v="14.830508474576272"/>
    <n v="3.9772727272727271"/>
    <n v="49.8"/>
    <n v="6.12"/>
    <n v="2.09"/>
    <n v="10.542168674698795"/>
    <s v="NO"/>
    <n v="-0.41159633577838972"/>
    <n v="0.3774031701375769"/>
    <n v="0.88087627297056581"/>
    <n v="0.25003583638894655"/>
    <n v="-0.53352863697293929"/>
    <n v="-0.96951216938118168"/>
    <x v="0"/>
    <x v="0"/>
    <x v="1"/>
    <x v="1"/>
    <x v="0"/>
    <x v="0"/>
  </r>
  <r>
    <x v="11"/>
    <s v="AMTM"/>
    <n v="5136"/>
    <n v="21.15"/>
    <n v="1.73"/>
    <n v="18.39"/>
    <n v="-0.22"/>
    <n v="12.22543352601156"/>
    <n v="1.1500815660685153"/>
    <n v="-0.93"/>
    <n v="2.09"/>
    <n v="2.66"/>
    <n v="-96.136363636363626"/>
    <s v="NO"/>
    <n v="-0.7560220512408381"/>
    <n v="-0.96223928093424338"/>
    <n v="-0.64905879103388986"/>
    <n v="-0.89050656887146096"/>
    <n v="0.26776845017462469"/>
    <n v="-9.7017395703437739"/>
    <x v="0"/>
    <x v="0"/>
    <x v="1"/>
    <x v="1"/>
    <x v="0"/>
    <x v="1"/>
  </r>
  <r>
    <x v="11"/>
    <s v="CBZ"/>
    <n v="3865"/>
    <n v="73.83"/>
    <n v="1.54"/>
    <n v="36.020000000000003"/>
    <n v="1.55"/>
    <n v="47.941558441558442"/>
    <n v="2.0496946141032759"/>
    <n v="6.25"/>
    <n v="4.17"/>
    <n v="2.39"/>
    <n v="47.63225806451613"/>
    <s v="NO"/>
    <n v="3.9661268774727323"/>
    <n v="-0.53596466419691846"/>
    <n v="-0.43252155942434928"/>
    <n v="-0.30183952099512162"/>
    <n v="-0.11179332794790542"/>
    <n v="2.0665166159560631"/>
    <x v="1"/>
    <x v="0"/>
    <x v="1"/>
    <x v="1"/>
    <x v="0"/>
    <x v="0"/>
  </r>
  <r>
    <x v="11"/>
    <s v="CLVT"/>
    <n v="2855"/>
    <n v="4.4400000000000004"/>
    <n v="0.48"/>
    <n v="7.36"/>
    <n v="-0.97"/>
    <n v="9.2500000000000018"/>
    <n v="0.60326086956521741"/>
    <n v="-12.2"/>
    <n v="1.2"/>
    <n v="2.29"/>
    <n v="-4.5773195876288666"/>
    <s v="NO"/>
    <n v="-1.1494141191243812"/>
    <n v="-1.2213459972443137"/>
    <n v="-0.98894383284997933"/>
    <n v="-1.1423881422416253"/>
    <n v="-0.25237176428958336"/>
    <n v="-2.207125837591903"/>
    <x v="0"/>
    <x v="0"/>
    <x v="1"/>
    <x v="1"/>
    <x v="0"/>
    <x v="0"/>
  </r>
  <r>
    <x v="11"/>
    <s v="DNB"/>
    <n v="4000"/>
    <n v="8.9700000000000006"/>
    <n v="0.49"/>
    <n v="7.38"/>
    <n v="-0.06"/>
    <n v="18.306122448979593"/>
    <n v="1.2154471544715448"/>
    <n v="-0.52"/>
    <n v="1.77"/>
    <n v="2.66"/>
    <n v="-149.50000000000003"/>
    <s v="NO"/>
    <n v="4.7926270457832071E-2"/>
    <n v="-0.93126630738169158"/>
    <n v="-0.63669385162443137"/>
    <n v="-0.98107073008320544"/>
    <n v="0.26776845017462469"/>
    <n v="-14.069848107034128"/>
    <x v="0"/>
    <x v="0"/>
    <x v="1"/>
    <x v="1"/>
    <x v="0"/>
    <x v="1"/>
  </r>
  <r>
    <x v="11"/>
    <s v="EXPO"/>
    <n v="3800"/>
    <n v="79.14"/>
    <n v="2.69"/>
    <n v="8.61"/>
    <n v="2.04"/>
    <n v="29.42007434944238"/>
    <n v="9.1916376306620222"/>
    <n v="25.87"/>
    <n v="11.96"/>
    <n v="1.73"/>
    <n v="38.794117647058826"/>
    <s v="NO"/>
    <n v="1.5173392088614523"/>
    <n v="2.8481892548620213"/>
    <n v="0.15918602890144262"/>
    <n v="1.9028317785032842"/>
    <n v="-1.0396110078029792"/>
    <n v="1.3430659810913339"/>
    <x v="0"/>
    <x v="0"/>
    <x v="1"/>
    <x v="1"/>
    <x v="0"/>
    <x v="0"/>
  </r>
  <r>
    <x v="11"/>
    <s v="FCN"/>
    <n v="5660"/>
    <n v="162.91"/>
    <n v="4.43"/>
    <n v="62.77"/>
    <n v="7.32"/>
    <n v="36.77426636568849"/>
    <n v="2.5953480962243107"/>
    <n v="12.46"/>
    <n v="6.73"/>
    <n v="1.56"/>
    <n v="22.255464480874316"/>
    <s v="NO"/>
    <n v="2.4896616551846784"/>
    <n v="-0.27741102330581457"/>
    <n v="-0.24523796495425917"/>
    <n v="0.42267376869883466"/>
    <n v="-1.2785943495838314"/>
    <n v="-1.0714177147654432E-2"/>
    <x v="0"/>
    <x v="0"/>
    <x v="1"/>
    <x v="1"/>
    <x v="0"/>
    <x v="0"/>
  </r>
  <r>
    <x v="11"/>
    <s v="HURN"/>
    <n v="2601"/>
    <n v="149.80000000000001"/>
    <n v="10.84"/>
    <n v="30.19"/>
    <n v="6.67"/>
    <n v="13.819188191881921"/>
    <n v="4.9619079165286522"/>
    <n v="24.88"/>
    <n v="9.5399999999999991"/>
    <n v="2.76"/>
    <n v="22.458770614692657"/>
    <s v="NO"/>
    <n v="-0.54530638973311374"/>
    <n v="0.84396486446055086"/>
    <n v="0.12932922398592095"/>
    <n v="1.2179403093394658"/>
    <n v="0.40834688651630202"/>
    <n v="5.9275534241129638E-3"/>
    <x v="0"/>
    <x v="0"/>
    <x v="1"/>
    <x v="1"/>
    <x v="0"/>
    <x v="0"/>
  </r>
  <r>
    <x v="11"/>
    <s v="KBR"/>
    <n v="7060"/>
    <n v="55.96"/>
    <n v="2.87"/>
    <n v="10.97"/>
    <n v="2.79"/>
    <n v="19.498257839721255"/>
    <n v="5.1011850501367366"/>
    <n v="26.63"/>
    <n v="5.66"/>
    <n v="4.59"/>
    <n v="20.057347670250895"/>
    <s v="NO"/>
    <n v="0.20554249762646956"/>
    <n v="0.90996024645145912"/>
    <n v="0.18210640439214601"/>
    <n v="0.11984985464706385"/>
    <n v="2.9809322715690061"/>
    <n v="-0.19064218542089822"/>
    <x v="0"/>
    <x v="0"/>
    <x v="1"/>
    <x v="1"/>
    <x v="0"/>
    <x v="0"/>
  </r>
  <r>
    <x v="11"/>
    <s v="PSN"/>
    <n v="6722"/>
    <n v="65.3"/>
    <n v="4.9000000000000004"/>
    <n v="22.97"/>
    <n v="2.35"/>
    <n v="13.326530612244897"/>
    <n v="2.8428384849804091"/>
    <n v="13.26"/>
    <n v="5.5"/>
    <n v="2.2200000000000002"/>
    <n v="27.787234042553191"/>
    <s v="YES"/>
    <n v="-0.61044230432089519"/>
    <n v="-0.16013963552009522"/>
    <n v="-0.22111125391141345"/>
    <n v="7.4567774041191554E-2"/>
    <n v="-0.3507766697287576"/>
    <n v="0.44209173136871133"/>
    <x v="0"/>
    <x v="0"/>
    <x v="1"/>
    <x v="1"/>
    <x v="0"/>
    <x v="0"/>
  </r>
  <r>
    <x v="11"/>
    <s v="SAIC"/>
    <n v="5697"/>
    <n v="119.08"/>
    <n v="9.14"/>
    <n v="32.85"/>
    <n v="7.17"/>
    <n v="13.028446389496716"/>
    <n v="3.6249619482496191"/>
    <n v="21.54"/>
    <n v="6.58"/>
    <n v="3.33"/>
    <n v="16.608089260808924"/>
    <s v="NO"/>
    <n v="-0.6498530213694298"/>
    <n v="0.21046345908227354"/>
    <n v="2.8600205382039976E-2"/>
    <n v="0.38022181813082934"/>
    <n v="1.209643973663866"/>
    <n v="-0.47298304766771082"/>
    <x v="0"/>
    <x v="0"/>
    <x v="1"/>
    <x v="1"/>
    <x v="0"/>
    <x v="0"/>
  </r>
  <r>
    <x v="11"/>
    <s v="CNXC"/>
    <n v="3219"/>
    <n v="55.17"/>
    <n v="7.47"/>
    <n v="63.21"/>
    <n v="4"/>
    <n v="7.3855421686746991"/>
    <n v="0.87280493592785957"/>
    <n v="6.62"/>
    <n v="3.92"/>
    <n v="2.95"/>
    <n v="13.7925"/>
    <s v="NO"/>
    <n v="-1.3959203560591724"/>
    <n v="-1.09362464656631"/>
    <n v="-0.42136295556703307"/>
    <n v="-0.37259277194179702"/>
    <n v="0.67544591556549038"/>
    <n v="-0.70345458829034202"/>
    <x v="0"/>
    <x v="0"/>
    <x v="1"/>
    <x v="1"/>
    <x v="0"/>
    <x v="0"/>
  </r>
  <r>
    <x v="11"/>
    <s v="EXLS"/>
    <n v="7492"/>
    <n v="46.86"/>
    <n v="1.52"/>
    <n v="6.22"/>
    <n v="1.32"/>
    <n v="30.828947368421051"/>
    <n v="7.5337620578778139"/>
    <n v="23.81"/>
    <n v="11.26"/>
    <n v="1.66"/>
    <n v="35.5"/>
    <s v="NO"/>
    <n v="1.7036110463856751"/>
    <n v="2.0626178628834397"/>
    <n v="9.7059747966114759E-2"/>
    <n v="1.7047226758525929"/>
    <n v="-1.1380159132421537"/>
    <n v="1.0734242475908571"/>
    <x v="0"/>
    <x v="0"/>
    <x v="1"/>
    <x v="1"/>
    <x v="0"/>
    <x v="0"/>
  </r>
  <r>
    <x v="11"/>
    <s v="G"/>
    <n v="8665"/>
    <n v="43.72"/>
    <n v="2.97"/>
    <n v="13.68"/>
    <n v="2.85"/>
    <n v="14.72053872053872"/>
    <n v="3.1959064327485378"/>
    <n v="22.15"/>
    <n v="8.9"/>
    <n v="2.09"/>
    <n v="15.340350877192982"/>
    <s v="NO"/>
    <n v="-0.4261358066041645"/>
    <n v="7.1588540314675049E-3"/>
    <n v="4.6996822552209841E-2"/>
    <n v="1.0368119869159771"/>
    <n v="-0.53352863697293929"/>
    <n v="-0.5767544401947825"/>
    <x v="0"/>
    <x v="0"/>
    <x v="1"/>
    <x v="1"/>
    <x v="0"/>
    <x v="0"/>
  </r>
  <r>
    <x v="11"/>
    <s v="MMS"/>
    <n v="3801"/>
    <n v="75.36"/>
    <n v="4.63"/>
    <n v="28.75"/>
    <n v="4.6500000000000004"/>
    <n v="16.276457883369332"/>
    <n v="2.6212173913043477"/>
    <n v="16.88"/>
    <n v="7.3"/>
    <n v="2.46"/>
    <n v="16.206451612903223"/>
    <s v="YES"/>
    <n v="-0.22042250413088046"/>
    <n v="-0.26515305987409538"/>
    <n v="-0.11193788644253648"/>
    <n v="0.58399118085725443"/>
    <n v="-1.3388422508731172E-2"/>
    <n v="-0.50585930869531637"/>
    <x v="0"/>
    <x v="0"/>
    <x v="1"/>
    <x v="1"/>
    <x v="0"/>
    <x v="0"/>
  </r>
  <r>
    <x v="11"/>
    <s v="VRRM"/>
    <n v="3541"/>
    <n v="23.55"/>
    <n v="0.93"/>
    <n v="1.66"/>
    <n v="0.19"/>
    <n v="25.322580645161288"/>
    <n v="14.186746987951809"/>
    <n v="9.16"/>
    <n v="8.56"/>
    <n v="6.09"/>
    <n v="123.94736842105263"/>
    <s v="NO"/>
    <n v="0.97559579319602174"/>
    <n v="5.215082811476436"/>
    <n v="-0.34476064800599787"/>
    <n v="0.94058756562849866"/>
    <n v="5.0896088166941729"/>
    <n v="8.3133301343468418"/>
    <x v="0"/>
    <x v="1"/>
    <x v="1"/>
    <x v="1"/>
    <x v="1"/>
    <x v="1"/>
  </r>
  <r>
    <x v="11"/>
    <s v="WNS"/>
    <n v="2574"/>
    <n v="54.82"/>
    <n v="4.42"/>
    <n v="19.21"/>
    <n v="3.71"/>
    <n v="12.402714932126697"/>
    <n v="2.853722019781364"/>
    <n v="21.22"/>
    <n v="7.41"/>
    <n v="1.85"/>
    <n v="14.776280323450136"/>
    <s v="YES"/>
    <n v="-0.73258308063731026"/>
    <n v="-0.15498255755623147"/>
    <n v="1.894952096490167E-2"/>
    <n v="0.61512261127379164"/>
    <n v="-0.87091688419296565"/>
    <n v="-0.62292673220857742"/>
    <x v="0"/>
    <x v="0"/>
    <x v="1"/>
    <x v="1"/>
    <x v="0"/>
    <x v="0"/>
  </r>
  <r>
    <x v="12"/>
    <s v="AIT"/>
    <n v="8222"/>
    <n v="232.1"/>
    <n v="11.42"/>
    <n v="47.85"/>
    <n v="9.98"/>
    <n v="20.32399299474606"/>
    <n v="4.8505747126436782"/>
    <n v="22.23"/>
    <n v="10.56"/>
    <n v="1.7"/>
    <n v="23.256513026052101"/>
    <s v="NO"/>
    <n v="0.33907908930367142"/>
    <n v="1.7058244692923199"/>
    <n v="1.3931363213295975"/>
    <n v="2.1953040461323221"/>
    <n v="-0.88744274307716808"/>
    <n v="0.45781900517328233"/>
    <x v="0"/>
    <x v="0"/>
    <x v="1"/>
    <x v="1"/>
    <x v="0"/>
    <x v="0"/>
  </r>
  <r>
    <x v="12"/>
    <s v="AL"/>
    <n v="6010"/>
    <n v="56.94"/>
    <n v="-10.69"/>
    <n v="70.38"/>
    <n v="5.72"/>
    <n v="-5.3264733395696915"/>
    <n v="0.80903665814151748"/>
    <n v="9.2200000000000006"/>
    <n v="2.77"/>
    <n v="4.1100000000000003"/>
    <n v="9.954545454545455"/>
    <s v="NO"/>
    <n v="-1.8948156610039328"/>
    <n v="-1.3790172900031443"/>
    <n v="-1.065164875792791"/>
    <n v="-1.4196299498322338"/>
    <n v="0.92197943189404608"/>
    <n v="-1.2220136280843912"/>
    <x v="0"/>
    <x v="0"/>
    <x v="1"/>
    <x v="1"/>
    <x v="0"/>
    <x v="0"/>
  </r>
  <r>
    <x v="12"/>
    <s v="BCC"/>
    <n v="3278"/>
    <n v="93.71"/>
    <n v="3.46"/>
    <n v="56.26"/>
    <n v="8.0399999999999991"/>
    <n v="27.083815028901732"/>
    <n v="1.665659438322076"/>
    <n v="14.26"/>
    <n v="7.29"/>
    <n v="1.64"/>
    <n v="11.65547263681592"/>
    <s v="NO"/>
    <n v="0.92779084051701832"/>
    <n v="-0.72517073737176607"/>
    <n v="-0.11283297467850693"/>
    <n v="0.67786705424476124"/>
    <n v="-0.93249059805570456"/>
    <n v="-1.0072128497624424"/>
    <x v="0"/>
    <x v="0"/>
    <x v="1"/>
    <x v="1"/>
    <x v="0"/>
    <x v="0"/>
  </r>
  <r>
    <x v="12"/>
    <s v="CNM"/>
    <n v="9598"/>
    <n v="54.12"/>
    <n v="3.06"/>
    <n v="8.9499999999999993"/>
    <n v="2.13"/>
    <n v="17.686274509803919"/>
    <n v="6.046927374301676"/>
    <n v="26.32"/>
    <n v="8.2200000000000006"/>
    <n v="3.46"/>
    <n v="25.408450704225352"/>
    <s v="NO"/>
    <n v="0.10936063508521478"/>
    <n v="2.6189814406625858"/>
    <n v="2.1659612172735305"/>
    <n v="1.1094317033137009"/>
    <n v="0.43396100295990098"/>
    <n v="0.72957542895794325"/>
    <x v="0"/>
    <x v="1"/>
    <x v="1"/>
    <x v="0"/>
    <x v="0"/>
    <x v="0"/>
  </r>
  <r>
    <x v="12"/>
    <s v="GATX"/>
    <n v="5153"/>
    <n v="149.24"/>
    <n v="-27.31"/>
    <n v="71.459999999999994"/>
    <n v="7.9"/>
    <n v="-5.464664957890883"/>
    <n v="2.0884410859221947"/>
    <n v="11.84"/>
    <n v="2.54"/>
    <n v="5.09"/>
    <n v="18.89113924050633"/>
    <s v="NO"/>
    <n v="-1.9068507455392665"/>
    <n v="-0.4024682256070366"/>
    <n v="-0.57010345100719106"/>
    <n v="-1.5263609920750896"/>
    <n v="1.6577610632101409"/>
    <n v="-9.3460142209031427E-2"/>
    <x v="0"/>
    <x v="0"/>
    <x v="1"/>
    <x v="1"/>
    <x v="0"/>
    <x v="0"/>
  </r>
  <r>
    <x v="12"/>
    <s v="GMS"/>
    <n v="2802"/>
    <n v="77.45"/>
    <n v="8.64"/>
    <n v="36.21"/>
    <n v="3.66"/>
    <n v="8.9641203703703702"/>
    <n v="2.1389119027892849"/>
    <n v="10.36"/>
    <n v="6.05"/>
    <n v="2.72"/>
    <n v="21.161202185792348"/>
    <s v="YES"/>
    <n v="-0.65025028541441465"/>
    <n v="-0.36394465329428438"/>
    <n v="-0.84975646958836981"/>
    <n v="0.1024475221528422"/>
    <n v="-0.12162920844204834"/>
    <n v="0.19321367461854677"/>
    <x v="0"/>
    <x v="0"/>
    <x v="1"/>
    <x v="1"/>
    <x v="0"/>
    <x v="0"/>
  </r>
  <r>
    <x v="12"/>
    <s v="HEES"/>
    <n v="3322"/>
    <n v="95.18"/>
    <n v="5.89"/>
    <n v="16.649999999999999"/>
    <n v="2.4900000000000002"/>
    <n v="16.159592529711379"/>
    <n v="5.716516516516517"/>
    <n v="15.74"/>
    <n v="4.16"/>
    <n v="4.43"/>
    <n v="38.224899598393577"/>
    <s v="NO"/>
    <n v="-2.3597838896031106E-2"/>
    <n v="2.3667840845879944"/>
    <n v="0.16682004390267186"/>
    <n v="-0.77460321627758255"/>
    <n v="1.16223465844624"/>
    <n v="2.3480945675115543"/>
    <x v="0"/>
    <x v="0"/>
    <x v="1"/>
    <x v="1"/>
    <x v="0"/>
    <x v="0"/>
  </r>
  <r>
    <x v="12"/>
    <s v="HRI"/>
    <n v="3250"/>
    <n v="136.77000000000001"/>
    <n v="9.1"/>
    <n v="47.65"/>
    <n v="4.4800000000000004"/>
    <n v="15.029670329670331"/>
    <n v="2.8703043022035679"/>
    <n v="9.6"/>
    <n v="6.09"/>
    <n v="5.67"/>
    <n v="30.529017857142858"/>
    <s v="NO"/>
    <n v="-0.12200257111530004"/>
    <n v="0.19431554015635272"/>
    <n v="-0.99336207372465068"/>
    <n v="0.12100944254290412"/>
    <n v="2.0932236613359931"/>
    <n v="1.3762238107118834"/>
    <x v="0"/>
    <x v="0"/>
    <x v="1"/>
    <x v="1"/>
    <x v="0"/>
    <x v="0"/>
  </r>
  <r>
    <x v="12"/>
    <s v="MGRC"/>
    <n v="2692"/>
    <n v="115.46"/>
    <n v="11.95"/>
    <n v="46.18"/>
    <n v="9.65"/>
    <n v="9.661924686192469"/>
    <n v="2.5002165439584236"/>
    <n v="22.8"/>
    <n v="6.6"/>
    <n v="1.97"/>
    <n v="11.964766839378237"/>
    <s v="YES"/>
    <n v="-0.58947862623519931"/>
    <n v="-8.8166563399961831E-2"/>
    <n v="1.5008405244318082"/>
    <n v="0.35767392751619326"/>
    <n v="-0.68472739567375407"/>
    <n v="-0.96815377884315124"/>
    <x v="0"/>
    <x v="0"/>
    <x v="1"/>
    <x v="1"/>
    <x v="0"/>
    <x v="0"/>
  </r>
  <r>
    <x v="12"/>
    <s v="MSM"/>
    <n v="4177"/>
    <n v="79.03"/>
    <n v="5.39"/>
    <n v="24.32"/>
    <n v="3.8"/>
    <n v="14.662337662337663"/>
    <n v="3.2495888157894739"/>
    <n v="15.18"/>
    <n v="8.67"/>
    <n v="1.82"/>
    <n v="20.797368421052632"/>
    <s v="NO"/>
    <n v="-0.15399351063569169"/>
    <n v="0.48381738088762749"/>
    <n v="6.1005388223306839E-2"/>
    <n v="1.3182533077018967"/>
    <n v="-0.79734703312009514"/>
    <n v="0.14726710109058666"/>
    <x v="0"/>
    <x v="0"/>
    <x v="1"/>
    <x v="1"/>
    <x v="0"/>
    <x v="0"/>
  </r>
  <r>
    <x v="12"/>
    <s v="QXO"/>
    <n v="5965"/>
    <n v="15.73"/>
    <n v="0.26"/>
    <n v="11.12"/>
    <n v="-0.11"/>
    <n v="60.5"/>
    <n v="1.4145683453237412"/>
    <n v="1.1100000000000001"/>
    <n v="-1.67"/>
    <n v="1.1200000000000001"/>
    <n v="-143"/>
    <s v="NO"/>
    <n v="3.8380007060732733"/>
    <n v="-0.91682457772235926"/>
    <n v="-2.5975878357207369"/>
    <n v="-3.4800031131291047"/>
    <n v="-1.3229053412030203"/>
    <n v="-20.5378054820663"/>
    <x v="1"/>
    <x v="0"/>
    <x v="0"/>
    <x v="0"/>
    <x v="0"/>
    <x v="1"/>
  </r>
  <r>
    <x v="12"/>
    <s v="RUSHA"/>
    <n v="3790"/>
    <n v="51.77"/>
    <n v="2.36"/>
    <n v="27.32"/>
    <n v="3.57"/>
    <n v="21.936440677966104"/>
    <n v="1.8949487554904834"/>
    <n v="14.2"/>
    <n v="6.02"/>
    <n v="2.16"/>
    <n v="14.501400560224091"/>
    <s v="NO"/>
    <n v="0.47950688378287076"/>
    <n v="-0.55015784598663864"/>
    <n v="-0.12417025921558185"/>
    <n v="8.8526081860295661E-2"/>
    <n v="-0.5420758549083885"/>
    <n v="-0.64781619870754836"/>
    <x v="0"/>
    <x v="0"/>
    <x v="1"/>
    <x v="1"/>
    <x v="0"/>
    <x v="0"/>
  </r>
  <r>
    <x v="12"/>
    <s v="RUSHB"/>
    <n v="4221"/>
    <n v="56.22"/>
    <n v="2.36"/>
    <n v="27.32"/>
    <n v="3.57"/>
    <n v="23.822033898305087"/>
    <n v="2.0578330893118593"/>
    <n v="14.2"/>
    <n v="6.02"/>
    <n v="2.16"/>
    <n v="15.747899159663866"/>
    <s v="NO"/>
    <n v="0.64372287663192351"/>
    <n v="-0.42583082292484598"/>
    <n v="-0.12417025921558185"/>
    <n v="8.8526081860295661E-2"/>
    <n v="-0.5420758549083885"/>
    <n v="-0.49040271732648127"/>
    <x v="0"/>
    <x v="0"/>
    <x v="1"/>
    <x v="1"/>
    <x v="0"/>
    <x v="0"/>
  </r>
  <r>
    <x v="12"/>
    <s v="SITE"/>
    <n v="5304"/>
    <n v="126.94"/>
    <n v="4.4800000000000004"/>
    <n v="34.51"/>
    <n v="2.54"/>
    <n v="28.334821428571427"/>
    <n v="3.678354100260794"/>
    <n v="7.63"/>
    <n v="3.99"/>
    <n v="2.1"/>
    <n v="49.976377952755904"/>
    <s v="NO"/>
    <n v="1.0367407750873949"/>
    <n v="0.81108710756999947"/>
    <n v="-1.3656029160252736"/>
    <n v="-0.85349137793534557"/>
    <n v="-0.58712370988692497"/>
    <n v="3.8321244091542304"/>
    <x v="0"/>
    <x v="0"/>
    <x v="1"/>
    <x v="1"/>
    <x v="0"/>
    <x v="1"/>
  </r>
  <r>
    <x v="12"/>
    <s v="WCC"/>
    <n v="7756"/>
    <n v="173.88"/>
    <n v="4.68"/>
    <n v="103.18"/>
    <n v="13.26"/>
    <n v="37.153846153846153"/>
    <n v="1.6852103120759836"/>
    <n v="14.42"/>
    <n v="5.0199999999999996"/>
    <n v="3.08"/>
    <n v="13.113122171945701"/>
    <s v="NO"/>
    <n v="1.8047881384317428"/>
    <n v="-0.71024786618425295"/>
    <n v="-8.2600215912974076E-2"/>
    <n v="-0.37552192789125188"/>
    <n v="0.14865792142917023"/>
    <n v="-0.82313427313074927"/>
    <x v="0"/>
    <x v="0"/>
    <x v="1"/>
    <x v="1"/>
    <x v="0"/>
    <x v="0"/>
  </r>
  <r>
    <x v="13"/>
    <s v="ASR"/>
    <n v="9963"/>
    <n v="338.47"/>
    <n v="1.73"/>
    <n v="9.41"/>
    <n v="2.2799999999999998"/>
    <n v="195.64739884393066"/>
    <n v="35.969181721572795"/>
    <n v="24.22"/>
    <n v="14.12"/>
    <n v="1.5"/>
    <n v="148.45175438596493"/>
    <s v="NO"/>
    <n v="0.57629835980276656"/>
    <n v="3.3176280881854245E-2"/>
    <n v="-0.82562759500445493"/>
    <n v="0.15237048484928953"/>
    <n v="-1.2977713690461012"/>
    <n v="0.67961232499654933"/>
    <x v="0"/>
    <x v="0"/>
    <x v="1"/>
    <x v="1"/>
    <x v="0"/>
    <x v="0"/>
  </r>
  <r>
    <x v="13"/>
    <s v="CAAP"/>
    <n v="3230"/>
    <n v="21.87"/>
    <n v="2.4300000000000002"/>
    <n v="8.5"/>
    <n v="1.75"/>
    <n v="9"/>
    <n v="2.5729411764705885"/>
    <n v="26.52"/>
    <n v="6.97"/>
    <n v="3.05"/>
    <n v="12.497142857142858"/>
    <s v="NO"/>
    <n v="-1.4065901262040841"/>
    <n v="-1.2409959568118192"/>
    <n v="-0.58154745766380622"/>
    <n v="-1.2938007098486155"/>
    <n v="1.1355499479153384"/>
    <n v="-1.4138617084476399"/>
    <x v="0"/>
    <x v="0"/>
    <x v="1"/>
    <x v="1"/>
    <x v="0"/>
    <x v="0"/>
  </r>
  <r>
    <x v="13"/>
    <s v="OMAB"/>
    <n v="4653"/>
    <n v="98.8"/>
    <n v="0.45"/>
    <n v="1.48"/>
    <n v="0.65"/>
    <n v="219.55555555555554"/>
    <n v="66.756756756756758"/>
    <n v="45.26"/>
    <n v="19.010000000000002"/>
    <n v="2.4300000000000002"/>
    <n v="152"/>
    <s v="NO"/>
    <n v="0.83029176640131752"/>
    <n v="1.2078196759299649"/>
    <n v="1.4071750526682607"/>
    <n v="1.1414302249993258"/>
    <n v="0.16222142113076293"/>
    <n v="0.73424938345109025"/>
    <x v="0"/>
    <x v="0"/>
    <x v="1"/>
    <x v="1"/>
    <x v="0"/>
    <x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3">
  <r>
    <x v="0"/>
    <s v="ASLE"/>
    <n v="330"/>
    <n v="6.1"/>
    <n v="-0.34"/>
    <n v="8.56"/>
    <n v="0.11"/>
    <n v="-17.941176470588232"/>
    <n v="0.71261682242990643"/>
    <n v="1.3"/>
    <n v="1.05"/>
    <n v="1.33"/>
    <n v="55.454545454545453"/>
    <s v="NO"/>
    <n v="-0.71403120744913628"/>
    <n v="-0.3603011718495282"/>
    <n v="-0.62643116060622361"/>
    <n v="0.21906380098769984"/>
    <n v="0.15582215106833477"/>
    <n v="1.4313118738510138"/>
    <x v="0"/>
    <x v="0"/>
    <x v="0"/>
    <x v="0"/>
    <x v="0"/>
    <x v="0"/>
  </r>
  <r>
    <x v="0"/>
    <s v="ATRO"/>
    <n v="971"/>
    <n v="29.78"/>
    <n v="0.63"/>
    <n v="7.26"/>
    <n v="-0.46"/>
    <n v="47.269841269841272"/>
    <n v="4.1019283746556479"/>
    <n v="-6.41"/>
    <n v="2.4"/>
    <n v="2.5299999999999998"/>
    <n v="-64.739130434782609"/>
    <s v="NO"/>
    <n v="1.2016804438929749"/>
    <n v="0.3477197707702997"/>
    <n v="-1.438159605694288"/>
    <n v="0.33309040078575897"/>
    <n v="1.1086200174734386"/>
    <n v="-2.3418641075697555"/>
    <x v="0"/>
    <x v="0"/>
    <x v="0"/>
    <x v="0"/>
    <x v="0"/>
    <x v="0"/>
  </r>
  <r>
    <x v="0"/>
    <s v="AZ"/>
    <n v="273"/>
    <n v="9.07"/>
    <n v="-0.55000000000000004"/>
    <n v="0.47"/>
    <n v="-0.8"/>
    <n v="-16.490909090909089"/>
    <n v="19.297872340425535"/>
    <n v="-849.53"/>
    <n v="-58.9"/>
    <n v="1.36"/>
    <n v="-11.3375"/>
    <s v="NO"/>
    <n v="-0.6714265339893285"/>
    <n v="3.5221244853729088"/>
    <n v="-90.203981476336168"/>
    <n v="-4.8445618715261096"/>
    <n v="0.1796420977284624"/>
    <n v="-0.66545519641571538"/>
    <x v="0"/>
    <x v="1"/>
    <x v="1"/>
    <x v="1"/>
    <x v="0"/>
    <x v="0"/>
  </r>
  <r>
    <x v="0"/>
    <s v="BYRN"/>
    <n v="473"/>
    <n v="24.66"/>
    <n v="-0.04"/>
    <n v="2.5099999999999998"/>
    <n v="0.61"/>
    <n v="-616.5"/>
    <n v="9.8247011952191237"/>
    <n v="28.88"/>
    <n v="8.6199999999999992"/>
    <n v="1.25"/>
    <n v="40.42622950819672"/>
    <s v="NO"/>
    <n v="-18.297963370771456"/>
    <n v="1.5431964758119656"/>
    <n v="2.2772615132626246"/>
    <n v="0.85845740133681647"/>
    <n v="9.2302293307994443E-2"/>
    <n v="0.9595359642584147"/>
    <x v="1"/>
    <x v="0"/>
    <x v="0"/>
    <x v="0"/>
    <x v="0"/>
    <x v="0"/>
  </r>
  <r>
    <x v="0"/>
    <s v="CDRE"/>
    <n v="1440"/>
    <n v="36.01"/>
    <n v="0.65"/>
    <n v="7.67"/>
    <n v="0.9"/>
    <n v="55.4"/>
    <n v="4.6949152542372881"/>
    <n v="14.21"/>
    <n v="9.0399999999999991"/>
    <n v="2.1"/>
    <n v="40.011111111111106"/>
    <s v="NO"/>
    <n v="1.4405210623391067"/>
    <n v="0.47159363806552435"/>
    <n v="0.7327665340872801"/>
    <n v="0.89393234349621264"/>
    <n v="0.76720078201160991"/>
    <n v="0.94650437375467167"/>
    <x v="0"/>
    <x v="0"/>
    <x v="0"/>
    <x v="0"/>
    <x v="0"/>
    <x v="0"/>
  </r>
  <r>
    <x v="0"/>
    <s v="DCO"/>
    <n v="946"/>
    <n v="66.06"/>
    <n v="1.36"/>
    <n v="46.18"/>
    <n v="2.1"/>
    <n v="48.573529411764703"/>
    <n v="1.4304893893460373"/>
    <n v="4.78"/>
    <n v="3.51"/>
    <n v="1.65"/>
    <n v="31.457142857142856"/>
    <s v="NO"/>
    <n v="1.2399790420400005"/>
    <n v="-0.2103389144184882"/>
    <n v="-0.26004789356258357"/>
    <n v="0.42684560506416308"/>
    <n v="0.40990158210969574"/>
    <n v="0.67797420922731744"/>
    <x v="0"/>
    <x v="0"/>
    <x v="0"/>
    <x v="0"/>
    <x v="0"/>
    <x v="0"/>
  </r>
  <r>
    <x v="0"/>
    <s v="EH"/>
    <n v="1350"/>
    <n v="19.239999999999998"/>
    <n v="0.24"/>
    <n v="1.82"/>
    <n v="-0.47"/>
    <n v="80.166666666666657"/>
    <n v="10.571428571428569"/>
    <n v="-38.020000000000003"/>
    <n v="-14.55"/>
    <n v="1.66"/>
    <n v="-40.936170212765958"/>
    <s v="NO"/>
    <n v="2.1680943090425417"/>
    <n v="1.6991864497748634"/>
    <n v="-4.7661409480073518"/>
    <n v="-1.0985769077898722"/>
    <n v="0.41784156432973829"/>
    <n v="-1.5946304687622945"/>
    <x v="0"/>
    <x v="0"/>
    <x v="1"/>
    <x v="0"/>
    <x v="0"/>
    <x v="0"/>
  </r>
  <r>
    <x v="0"/>
    <s v="EVEX"/>
    <n v="1089"/>
    <n v="3.93"/>
    <n v="-0.49"/>
    <n v="0.42"/>
    <n v="-0.48"/>
    <n v="-8.0204081632653068"/>
    <n v="9.3571428571428577"/>
    <n v="-95.63"/>
    <n v="-34.68"/>
    <n v="2.57"/>
    <n v="-8.1875"/>
    <s v="NO"/>
    <n v="-0.42258764323036829"/>
    <n v="1.4455243998893124"/>
    <n v="-10.831468538347609"/>
    <n v="-2.7988402070009308"/>
    <n v="1.1403799463536088"/>
    <n v="-0.56656892595653274"/>
    <x v="0"/>
    <x v="0"/>
    <x v="1"/>
    <x v="0"/>
    <x v="0"/>
    <x v="0"/>
  </r>
  <r>
    <x v="0"/>
    <s v="EVTL"/>
    <n v="348"/>
    <n v="4.84"/>
    <n v="-2.88"/>
    <n v="-8.99"/>
    <n v="-48.14"/>
    <n v="-1.6805555555555556"/>
    <n v="-0.53837597330367071"/>
    <n v="284.54000000000002"/>
    <n v="-58"/>
    <n v="-0.1"/>
    <n v="-0.10054009140008309"/>
    <s v="NO"/>
    <n v="-0.23634105593241578"/>
    <n v="-0.62163126346186404"/>
    <n v="29.19379773521004"/>
    <n v="-4.768544138327405"/>
    <n v="-0.97959530639774783"/>
    <n v="-0.31269930541228591"/>
    <x v="0"/>
    <x v="0"/>
    <x v="1"/>
    <x v="1"/>
    <x v="0"/>
    <x v="0"/>
  </r>
  <r>
    <x v="0"/>
    <s v="LUNR"/>
    <n v="1046"/>
    <n v="11.63"/>
    <n v="-1.1000000000000001"/>
    <n v="-10.029999999999999"/>
    <n v="-4.63"/>
    <n v="-10.572727272727272"/>
    <n v="-1.1595214356929213"/>
    <n v="1456.1"/>
    <n v="-14.83"/>
    <n v="-0.35"/>
    <n v="-2.5118790496760259"/>
    <s v="NO"/>
    <n v="-0.4975674185100909"/>
    <n v="-0.7513874068580243"/>
    <n v="152.53861967131544"/>
    <n v="-1.1222268692294697"/>
    <n v="-1.1780948618988112"/>
    <n v="-0.38839718363350445"/>
    <x v="0"/>
    <x v="0"/>
    <x v="1"/>
    <x v="0"/>
    <x v="0"/>
    <x v="0"/>
  </r>
  <r>
    <x v="0"/>
    <s v="NPK"/>
    <n v="581"/>
    <n v="85.64"/>
    <n v="-8.5500000000000007"/>
    <n v="51.74"/>
    <n v="5.82"/>
    <n v="-10.016374269005848"/>
    <n v="1.6551990722844994"/>
    <n v="11.46"/>
    <n v="6.32"/>
    <n v="1.23"/>
    <n v="14.714776632302405"/>
    <s v="NO"/>
    <n v="-0.48122337162324819"/>
    <n v="-0.16339747540400368"/>
    <n v="0.44323952708440367"/>
    <n v="0.66418986094012322"/>
    <n v="7.6422328867909353E-2"/>
    <n v="0.15239003315231553"/>
    <x v="0"/>
    <x v="0"/>
    <x v="0"/>
    <x v="0"/>
    <x v="0"/>
    <x v="0"/>
  </r>
  <r>
    <x v="0"/>
    <s v="PKE"/>
    <n v="262"/>
    <n v="13.6"/>
    <n v="0.43"/>
    <n v="5.39"/>
    <n v="0.36"/>
    <n v="31.627906976744185"/>
    <n v="2.5231910946196661"/>
    <n v="6.66"/>
    <n v="4.8099999999999996"/>
    <n v="1.1599999999999999"/>
    <n v="37.777777777777779"/>
    <s v="NO"/>
    <n v="0.74216552121395252"/>
    <n v="1.7924459853514839E-2"/>
    <n v="-6.2116703320617112E-2"/>
    <n v="0.53664899746229411"/>
    <n v="2.0842453327611563E-2"/>
    <n v="0.8763945312068917"/>
    <x v="0"/>
    <x v="0"/>
    <x v="0"/>
    <x v="0"/>
    <x v="0"/>
    <x v="0"/>
  </r>
  <r>
    <x v="0"/>
    <s v="RDW"/>
    <n v="861"/>
    <n v="11.39"/>
    <n v="-0.43"/>
    <n v="-2.82"/>
    <n v="-2.35"/>
    <n v="-26.488372093023258"/>
    <n v="-4.0390070921985819"/>
    <n v="-24959"/>
    <n v="-7.34"/>
    <n v="-1.55"/>
    <n v="-4.8468085106382981"/>
    <s v="NO"/>
    <n v="-0.96512316717556057"/>
    <n v="-1.3529066585894225"/>
    <n v="-2628.5104140311141"/>
    <n v="-0.48959040072023791"/>
    <n v="-2.1308927283039152"/>
    <n v="-0.46169637924614843"/>
    <x v="0"/>
    <x v="0"/>
    <x v="1"/>
    <x v="0"/>
    <x v="0"/>
    <x v="0"/>
  </r>
  <r>
    <x v="0"/>
    <s v="SATL"/>
    <n v="417"/>
    <n v="4.09"/>
    <n v="-0.45"/>
    <n v="-0.55000000000000004"/>
    <n v="-1.28"/>
    <n v="-9.0888888888888886"/>
    <n v="-7.4363636363636356"/>
    <n v="17137"/>
    <n v="-47.26"/>
    <n v="-1.1599999999999999"/>
    <n v="-3.1953125"/>
    <s v="NO"/>
    <n v="-0.45397652575723207"/>
    <n v="-2.062608185212365"/>
    <n v="1803.4637266209174"/>
    <n v="-3.8613991888228445"/>
    <n v="-1.8212334217222566"/>
    <n v="-0.40985184554131043"/>
    <x v="0"/>
    <x v="0"/>
    <x v="1"/>
    <x v="1"/>
    <x v="0"/>
    <x v="0"/>
  </r>
  <r>
    <x v="0"/>
    <s v="TATT"/>
    <n v="348"/>
    <n v="33.47"/>
    <n v="-1.06"/>
    <n v="10.23"/>
    <n v="1"/>
    <n v="-31.575471698113205"/>
    <n v="3.2717497556207231"/>
    <n v="11.02"/>
    <n v="4.8600000000000003"/>
    <n v="1.46"/>
    <n v="33.47"/>
    <s v="NO"/>
    <n v="-1.1145674838368953"/>
    <n v="0.17429698583748932"/>
    <n v="0.39691520596394331"/>
    <n v="0.54087220486222221"/>
    <n v="0.25904191992888764"/>
    <n v="0.74116276028264094"/>
    <x v="0"/>
    <x v="0"/>
    <x v="0"/>
    <x v="0"/>
    <x v="0"/>
    <x v="0"/>
  </r>
  <r>
    <x v="0"/>
    <s v="TGI"/>
    <n v="1976"/>
    <n v="25.65"/>
    <n v="-0.69"/>
    <n v="-1.06"/>
    <n v="0.17"/>
    <n v="-37.173913043478265"/>
    <n v="-24.198113207547166"/>
    <n v="-3.5"/>
    <n v="5.91"/>
    <n v="-18.36"/>
    <n v="150.88235294117646"/>
    <s v="NO"/>
    <n v="-1.2790335462645941"/>
    <n v="-5.5641068077138662"/>
    <n v="-1.1317873910112444"/>
    <n v="0.62955956026071269"/>
    <n v="-15.478002840195416"/>
    <n v="4.4270261533588862"/>
    <x v="0"/>
    <x v="1"/>
    <x v="0"/>
    <x v="0"/>
    <x v="1"/>
    <x v="1"/>
  </r>
  <r>
    <x v="0"/>
    <s v="VVX"/>
    <n v="1546"/>
    <n v="52"/>
    <n v="6.63"/>
    <n v="32.69"/>
    <n v="1.29"/>
    <n v="7.8431372549019613"/>
    <n v="1.5907005200367086"/>
    <n v="4.0999999999999996"/>
    <n v="3.27"/>
    <n v="3"/>
    <n v="40.310077519379846"/>
    <s v="NO"/>
    <n v="4.3437575240292507E-2"/>
    <n v="-0.1768711042092713"/>
    <n v="-0.33164002620329486"/>
    <n v="0.40657420954450813"/>
    <n v="1.4817991818154379"/>
    <n v="0.95588966680428222"/>
    <x v="0"/>
    <x v="0"/>
    <x v="0"/>
    <x v="0"/>
    <x v="0"/>
    <x v="0"/>
  </r>
  <r>
    <x v="1"/>
    <s v="FWRD"/>
    <n v="524"/>
    <n v="18.899999999999999"/>
    <n v="-4.08"/>
    <n v="6.78"/>
    <n v="-30.4"/>
    <n v="-4.6323529411764701"/>
    <n v="2.7876106194690262"/>
    <n v="-214.23"/>
    <n v="1.01"/>
    <n v="13.89"/>
    <n v="-0.62171052631578949"/>
    <s v="NO"/>
    <n v="-1.3700172825498209"/>
    <n v="1.4127015261071272"/>
    <n v="-1.4142112589299727"/>
    <n v="-1.4010381907248053"/>
    <n v="1.4142005655400594"/>
    <n v="-1.4113253536544734"/>
    <x v="0"/>
    <x v="0"/>
    <x v="0"/>
    <x v="0"/>
    <x v="0"/>
    <x v="0"/>
  </r>
  <r>
    <x v="1"/>
    <s v="HUBG"/>
    <n v="1939"/>
    <n v="35.53"/>
    <n v="2.37"/>
    <n v="26.83"/>
    <n v="1.7"/>
    <n v="14.9915611814346"/>
    <n v="1.3242638837122624"/>
    <n v="6.26"/>
    <n v="3.05"/>
    <n v="1.74"/>
    <n v="20.900000000000002"/>
    <s v="NO"/>
    <n v="0.38121679784243268"/>
    <n v="-0.76297053522677694"/>
    <n v="0.70489512346493732"/>
    <n v="0.86730935616297444"/>
    <n v="-0.71235102744406431"/>
    <n v="0.62742867143919656"/>
    <x v="0"/>
    <x v="0"/>
    <x v="0"/>
    <x v="0"/>
    <x v="0"/>
    <x v="0"/>
  </r>
  <r>
    <x v="1"/>
    <s v="RLGT"/>
    <n v="280"/>
    <n v="6.54"/>
    <n v="0.3"/>
    <n v="4.67"/>
    <n v="0.28999999999999998"/>
    <n v="21.8"/>
    <n v="1.4004282655246254"/>
    <n v="6.72"/>
    <n v="2.75"/>
    <n v="1.8"/>
    <n v="22.551724137931036"/>
    <s v="NO"/>
    <n v="0.98880048470738813"/>
    <n v="-0.64973099088035058"/>
    <n v="0.70931613546503547"/>
    <n v="0.53372883456183051"/>
    <n v="-0.7018495380959946"/>
    <n v="0.78389668221527709"/>
    <x v="0"/>
    <x v="0"/>
    <x v="0"/>
    <x v="0"/>
    <x v="0"/>
    <x v="0"/>
  </r>
  <r>
    <x v="2"/>
    <s v="AMWD"/>
    <n v="842"/>
    <n v="61.67"/>
    <n v="2.6"/>
    <n v="61.18"/>
    <n v="6.48"/>
    <n v="23.719230769230769"/>
    <n v="1.0080091533180779"/>
    <n v="11.09"/>
    <n v="5.95"/>
    <n v="1.73"/>
    <n v="9.5169753086419746"/>
    <s v="NO"/>
    <n v="1.2611491392139313"/>
    <n v="-0.87195338049042292"/>
    <n v="9.4924952970082549E-2"/>
    <n v="0.24953150158094226"/>
    <n v="-0.53182891645680819"/>
    <n v="-0.43552539900367604"/>
    <x v="0"/>
    <x v="0"/>
    <x v="0"/>
    <x v="0"/>
    <x v="0"/>
    <x v="0"/>
  </r>
  <r>
    <x v="2"/>
    <s v="APOG"/>
    <n v="829"/>
    <n v="42.2"/>
    <n v="4.12"/>
    <n v="22.78"/>
    <n v="3.89"/>
    <n v="10.242718446601943"/>
    <n v="1.852502194907814"/>
    <n v="17.739999999999998"/>
    <n v="8.52"/>
    <n v="2.41"/>
    <n v="10.848329048843189"/>
    <s v="NO"/>
    <n v="-0.3531808609221776"/>
    <n v="0.64610784774097751"/>
    <n v="1.4545423562800308"/>
    <n v="1.2013622385947018"/>
    <n v="0.91474573630571054"/>
    <n v="-0.29242391642394433"/>
    <x v="0"/>
    <x v="0"/>
    <x v="0"/>
    <x v="0"/>
    <x v="0"/>
    <x v="0"/>
  </r>
  <r>
    <x v="2"/>
    <s v="IIIN"/>
    <n v="674"/>
    <n v="37.369999999999997"/>
    <n v="2.1"/>
    <n v="17.59"/>
    <n v="1.1599999999999999"/>
    <n v="17.795238095238094"/>
    <n v="2.1245025582717454"/>
    <n v="6.61"/>
    <n v="4.22"/>
    <n v="1.24"/>
    <n v="32.21551724137931"/>
    <s v="NO"/>
    <n v="0.55152346861999679"/>
    <n v="1.135055873778396"/>
    <n v="-0.82102782399661955"/>
    <n v="-0.39119502566956549"/>
    <n v="-1.5742135927121523"/>
    <n v="2.0042431650460304"/>
    <x v="0"/>
    <x v="0"/>
    <x v="0"/>
    <x v="0"/>
    <x v="0"/>
    <x v="0"/>
  </r>
  <r>
    <x v="2"/>
    <s v="JBI"/>
    <n v="1001"/>
    <n v="8.5"/>
    <n v="0.93"/>
    <n v="3.71"/>
    <n v="0.49"/>
    <n v="9.1397849462365581"/>
    <n v="2.2911051212938007"/>
    <n v="13.56"/>
    <n v="7.39"/>
    <n v="2.5099999999999998"/>
    <n v="17.346938775510203"/>
    <s v="NO"/>
    <n v="-0.48529951263040039"/>
    <n v="1.4345407469416593"/>
    <n v="0.59992570277092072"/>
    <n v="0.78285300403223168"/>
    <n v="1.1274773028884331"/>
    <n v="0.40608366913522154"/>
    <x v="0"/>
    <x v="0"/>
    <x v="0"/>
    <x v="0"/>
    <x v="0"/>
    <x v="0"/>
  </r>
  <r>
    <x v="2"/>
    <s v="JELD"/>
    <n v="344"/>
    <n v="4.4400000000000004"/>
    <n v="-1.74"/>
    <n v="5.43"/>
    <n v="-4.01"/>
    <n v="-2.5517241379310347"/>
    <n v="0.81767955801104986"/>
    <n v="-53.32"/>
    <n v="0.28000000000000003"/>
    <n v="5.25"/>
    <n v="-1.1072319201995013"/>
    <s v="NO"/>
    <n v="-1.8858068107793253"/>
    <n v="-1.2140899819675239"/>
    <n v="-13.073940753374849"/>
    <n v="-1.8504219143210103"/>
    <n v="6.9563222272550522"/>
    <n v="-1.5774757009960991"/>
    <x v="0"/>
    <x v="0"/>
    <x v="1"/>
    <x v="0"/>
    <x v="1"/>
    <x v="0"/>
  </r>
  <r>
    <x v="2"/>
    <s v="MBC"/>
    <n v="1282"/>
    <n v="11.16"/>
    <n v="1.66"/>
    <n v="10.15"/>
    <n v="0.96"/>
    <n v="6.7228915662650603"/>
    <n v="1.0995073891625615"/>
    <n v="10.119999999999999"/>
    <n v="6.47"/>
    <n v="2.2599999999999998"/>
    <n v="11.625"/>
    <s v="NO"/>
    <n v="-0.77481533074507281"/>
    <n v="-0.70747609358986108"/>
    <n v="-0.10339517954279731"/>
    <n v="0.44211982191057442"/>
    <n v="0.59564838643162477"/>
    <n v="-0.20894289914723427"/>
    <x v="0"/>
    <x v="0"/>
    <x v="0"/>
    <x v="0"/>
    <x v="0"/>
    <x v="0"/>
  </r>
  <r>
    <x v="2"/>
    <s v="NX"/>
    <n v="781"/>
    <n v="18.79"/>
    <n v="0.83"/>
    <n v="20.69"/>
    <n v="0.28999999999999998"/>
    <n v="22.638554216867469"/>
    <n v="0.90816819719671327"/>
    <n v="1.56"/>
    <n v="1.98"/>
    <n v="2.2799999999999998"/>
    <n v="64.793103448275858"/>
    <s v="NO"/>
    <n v="1.1316966119458505"/>
    <n v="-1.0514275466624492"/>
    <n v="-1.8535192355327459"/>
    <n v="-1.2208062517049048"/>
    <n v="0.63819469974816956"/>
    <n v="5.5058676727229603"/>
    <x v="0"/>
    <x v="0"/>
    <x v="0"/>
    <x v="0"/>
    <x v="0"/>
    <x v="1"/>
  </r>
  <r>
    <x v="2"/>
    <s v="ROCK"/>
    <n v="1674"/>
    <n v="63.09"/>
    <n v="3.54"/>
    <n v="34.229999999999997"/>
    <n v="4.34"/>
    <n v="17.822033898305087"/>
    <n v="1.8431200701139354"/>
    <n v="13.7"/>
    <n v="7.4"/>
    <n v="1.43"/>
    <n v="14.536866359447005"/>
    <s v="NO"/>
    <n v="0.5547332952971965"/>
    <n v="0.62924253424922372"/>
    <n v="0.62854922705112992"/>
    <n v="0.78655662557703254"/>
    <n v="-1.1700236162049782"/>
    <n v="0.10404108138970082"/>
    <x v="0"/>
    <x v="0"/>
    <x v="0"/>
    <x v="0"/>
    <x v="0"/>
    <x v="0"/>
  </r>
  <r>
    <x v="3"/>
    <s v="CMPR"/>
    <n v="1028"/>
    <n v="45.57"/>
    <n v="6.96"/>
    <n v="-22.42"/>
    <n v="5.97"/>
    <n v="6.5474137931034484"/>
    <n v="-2.0325602140945582"/>
    <n v="-27.71"/>
    <n v="7.78"/>
    <n v="-3.37"/>
    <n v="7.6331658291457289"/>
    <s v="NO"/>
    <n v="-0.85013277641729745"/>
    <n v="-4.8838669115763178"/>
    <n v="-1.8640080540541781"/>
    <n v="1.5538172006894722"/>
    <n v="-6.5696218303124265"/>
    <n v="-0.15315045279870812"/>
    <x v="0"/>
    <x v="1"/>
    <x v="0"/>
    <x v="0"/>
    <x v="1"/>
    <x v="0"/>
  </r>
  <r>
    <x v="3"/>
    <s v="DLX"/>
    <n v="685"/>
    <n v="16.22"/>
    <n v="2.66"/>
    <n v="13.91"/>
    <n v="1.24"/>
    <n v="6.0977443609022552"/>
    <n v="1.1660675772825304"/>
    <n v="9.1300000000000008"/>
    <n v="5.24"/>
    <n v="4.1399999999999997"/>
    <n v="13.080645161290322"/>
    <s v="NO"/>
    <n v="-0.95488500752879435"/>
    <n v="-0.64860290563012746"/>
    <n v="0.62691691258854965"/>
    <n v="0.56313336749826437"/>
    <n v="2.0417089610221471"/>
    <n v="0.20589858904230032"/>
    <x v="0"/>
    <x v="0"/>
    <x v="0"/>
    <x v="0"/>
    <x v="0"/>
    <x v="0"/>
  </r>
  <r>
    <x v="3"/>
    <s v="EBF"/>
    <n v="480"/>
    <n v="19.47"/>
    <n v="2.5299999999999998"/>
    <n v="11.61"/>
    <n v="1.54"/>
    <n v="7.6956521739130439"/>
    <n v="1.6770025839793281"/>
    <n v="12.34"/>
    <n v="8.67"/>
    <n v="1.1599999999999999"/>
    <n v="12.642857142857142"/>
    <s v="NO"/>
    <n v="-0.58264621045512355"/>
    <n v="2.7919898640634967E-2"/>
    <n v="0.84396004893282628"/>
    <n v="1.9009465753115879"/>
    <n v="-1.3753037897337821"/>
    <n v="0.17704352434836515"/>
    <x v="0"/>
    <x v="0"/>
    <x v="0"/>
    <x v="0"/>
    <x v="0"/>
    <x v="0"/>
  </r>
  <r>
    <x v="3"/>
    <s v="QUAD"/>
    <n v="280"/>
    <n v="5.87"/>
    <n v="0.53"/>
    <n v="1.69"/>
    <n v="-0.36"/>
    <n v="11.075471698113207"/>
    <n v="3.473372781065089"/>
    <n v="-19.25"/>
    <n v="5.87"/>
    <n v="14.26"/>
    <n v="-16.305555555555557"/>
    <s v="NO"/>
    <n v="0.20469580250108985"/>
    <n v="2.4064717443983157"/>
    <n v="-1.2919878255580468"/>
    <n v="0.80885416077009931"/>
    <n v="13.645792530703357"/>
    <n v="-1.730976535654549"/>
    <x v="0"/>
    <x v="0"/>
    <x v="0"/>
    <x v="0"/>
    <x v="1"/>
    <x v="0"/>
  </r>
  <r>
    <x v="3"/>
    <s v="BV"/>
    <n v="1389"/>
    <n v="16.7"/>
    <n v="0.91"/>
    <n v="13.25"/>
    <n v="0.27"/>
    <n v="18.35164835164835"/>
    <n v="1.260377358490566"/>
    <n v="4.1500000000000004"/>
    <n v="3.1"/>
    <n v="2.61"/>
    <n v="61.851851851851848"/>
    <s v="NO"/>
    <n v="1.8997092586929849"/>
    <n v="-0.52372847577747794"/>
    <n v="0.29019578517593331"/>
    <n v="-0.27153726361558778"/>
    <n v="0.28733664268101566"/>
    <n v="3.420459666556654"/>
    <x v="0"/>
    <x v="0"/>
    <x v="0"/>
    <x v="0"/>
    <x v="0"/>
    <x v="1"/>
  </r>
  <r>
    <x v="3"/>
    <s v="CECO"/>
    <n v="897"/>
    <n v="26.33"/>
    <n v="-0.16"/>
    <n v="8.11"/>
    <n v="1.3"/>
    <n v="-164.5625"/>
    <n v="3.2466091245376081"/>
    <n v="18.54"/>
    <n v="3.09"/>
    <n v="3.35"/>
    <n v="20.253846153846151"/>
    <s v="NO"/>
    <n v="-40.71084811875744"/>
    <n v="2.1062167553881355"/>
    <n v="1.2631710910931115"/>
    <n v="-0.2754375936675218"/>
    <n v="1.1358565874996023"/>
    <n v="0.67869174460553439"/>
    <x v="1"/>
    <x v="0"/>
    <x v="0"/>
    <x v="0"/>
    <x v="0"/>
    <x v="0"/>
  </r>
  <r>
    <x v="3"/>
    <s v="MEG"/>
    <n v="522"/>
    <n v="18.600000000000001"/>
    <n v="-0.38"/>
    <n v="13.01"/>
    <n v="-2.2200000000000002"/>
    <n v="-48.947368421052637"/>
    <n v="1.4296694850115297"/>
    <n v="-12.3"/>
    <n v="-1.96"/>
    <n v="2.2200000000000002"/>
    <n v="-8.378378378378379"/>
    <s v="NO"/>
    <n v="-13.777856645756264"/>
    <n v="-0.29957083796878459"/>
    <n v="-0.82206577023321081"/>
    <n v="-2.2451042698941355"/>
    <n v="-0.15985630120986061"/>
    <n v="-1.2084880237341467"/>
    <x v="1"/>
    <x v="0"/>
    <x v="0"/>
    <x v="0"/>
    <x v="0"/>
    <x v="0"/>
  </r>
  <r>
    <x v="3"/>
    <s v="NVRI"/>
    <n v="572"/>
    <n v="7.65"/>
    <n v="-0.61"/>
    <n v="5.08"/>
    <n v="-1.49"/>
    <n v="-12.540983606557377"/>
    <n v="1.5059055118110236"/>
    <n v="-22.93"/>
    <n v="1.37"/>
    <n v="6.58"/>
    <n v="-5.1342281879194633"/>
    <s v="NO"/>
    <n v="-5.2968486809636364"/>
    <n v="-0.1986276456627995"/>
    <n v="-1.5408098634854419"/>
    <n v="-0.94629436260015054"/>
    <n v="4.8395314817753246"/>
    <n v="-0.99466270261741085"/>
    <x v="1"/>
    <x v="0"/>
    <x v="0"/>
    <x v="0"/>
    <x v="1"/>
    <x v="0"/>
  </r>
  <r>
    <x v="3"/>
    <s v="ACCO"/>
    <n v="320"/>
    <n v="3.92"/>
    <n v="1.1499999999999999"/>
    <n v="6.73"/>
    <n v="-1.1399999999999999"/>
    <n v="3.4086956521739133"/>
    <n v="0.58246656760772653"/>
    <n v="-15.9"/>
    <n v="3.35"/>
    <n v="3.74"/>
    <n v="-3.4385964912280702"/>
    <s v="NO"/>
    <n v="-1.5813092908693425"/>
    <n v="-1.4213418772518993"/>
    <n v="-1.0654786334230539"/>
    <n v="-0.17402901231724058"/>
    <n v="1.5830495313904791"/>
    <n v="-0.88290184977309061"/>
    <x v="0"/>
    <x v="0"/>
    <x v="0"/>
    <x v="0"/>
    <x v="0"/>
    <x v="0"/>
  </r>
  <r>
    <x v="3"/>
    <s v="CIX"/>
    <n v="319"/>
    <n v="25.78"/>
    <n v="1.75"/>
    <n v="11.86"/>
    <n v="1.35"/>
    <n v="14.731428571428571"/>
    <n v="2.173693086003373"/>
    <n v="10.53"/>
    <n v="6.07"/>
    <n v="1.1200000000000001"/>
    <n v="19.096296296296295"/>
    <s v="NO"/>
    <n v="1.0563650775338802"/>
    <n v="0.68558172818789909"/>
    <n v="0.72157747049571075"/>
    <n v="0.88686076180877715"/>
    <n v="-1.4211697326969488"/>
    <n v="0.60239642673548943"/>
    <x v="0"/>
    <x v="0"/>
    <x v="0"/>
    <x v="0"/>
    <x v="0"/>
    <x v="0"/>
  </r>
  <r>
    <x v="3"/>
    <s v="MLKN"/>
    <n v="1085"/>
    <n v="17.829999999999998"/>
    <n v="1.82"/>
    <n v="18.510000000000002"/>
    <n v="0.43"/>
    <n v="9.7967032967032956"/>
    <n v="0.96326310102647206"/>
    <n v="2.41"/>
    <n v="1.48"/>
    <n v="3.11"/>
    <n v="41.465116279069761"/>
    <s v="NO"/>
    <n v="-9.319823594143474E-2"/>
    <n v="-0.91713383656481484"/>
    <n v="0.17254623463417582"/>
    <n v="-0.90339073202887776"/>
    <n v="0.86066092972060115"/>
    <n v="2.0767486715501442"/>
    <x v="0"/>
    <x v="0"/>
    <x v="0"/>
    <x v="0"/>
    <x v="0"/>
    <x v="0"/>
  </r>
  <r>
    <x v="3"/>
    <s v="NL"/>
    <n v="443"/>
    <n v="7.52"/>
    <n v="0.49"/>
    <n v="8.1300000000000008"/>
    <n v="1.38"/>
    <n v="15.346938775510203"/>
    <n v="0.92496924969249683"/>
    <n v="17.149999999999999"/>
    <n v="2.04"/>
    <n v="1.46"/>
    <n v="5.4492753623188408"/>
    <s v="NO"/>
    <n v="1.199750557026726"/>
    <n v="-0.96783825757968234"/>
    <n v="1.1691866800281443"/>
    <n v="-0.68497224912057997"/>
    <n v="-1.0313092175100307"/>
    <n v="-0.2970929501979977"/>
    <x v="0"/>
    <x v="0"/>
    <x v="0"/>
    <x v="0"/>
    <x v="0"/>
    <x v="0"/>
  </r>
  <r>
    <x v="3"/>
    <s v="PBI"/>
    <n v="1638"/>
    <n v="9.56"/>
    <n v="0.87"/>
    <n v="-3.17"/>
    <n v="0.56000000000000005"/>
    <n v="10.988505747126437"/>
    <n v="-3.0157728706624609"/>
    <n v="-21.65"/>
    <n v="3.64"/>
    <n v="-5.87"/>
    <n v="17.071428571428569"/>
    <s v="NO"/>
    <n v="0.18443674830653831"/>
    <n v="-6.1857267859194947"/>
    <n v="-1.4542630676846087"/>
    <n v="-6.0919440811157799E-2"/>
    <n v="-9.4362432655103543"/>
    <n v="0.46893528404175122"/>
    <x v="0"/>
    <x v="1"/>
    <x v="0"/>
    <x v="0"/>
    <x v="1"/>
    <x v="0"/>
  </r>
  <r>
    <x v="3"/>
    <s v="SCS"/>
    <n v="1136"/>
    <n v="10.71"/>
    <n v="0.89"/>
    <n v="8.3699999999999992"/>
    <n v="1.02"/>
    <n v="12.033707865168541"/>
    <n v="1.2795698924731185"/>
    <n v="13.13"/>
    <n v="3.07"/>
    <n v="2.4500000000000002"/>
    <n v="10.5"/>
    <s v="NO"/>
    <n v="0.42792061887211685"/>
    <n v="-0.49831587585624471"/>
    <n v="0.897375649466153"/>
    <n v="-0.28323825377138956"/>
    <n v="0.10387287082834866"/>
    <n v="3.580557610962995E-2"/>
    <x v="0"/>
    <x v="0"/>
    <x v="0"/>
    <x v="0"/>
    <x v="0"/>
    <x v="0"/>
  </r>
  <r>
    <x v="3"/>
    <s v="TILE"/>
    <n v="1164"/>
    <n v="21.01"/>
    <n v="1.89"/>
    <n v="8.7799999999999994"/>
    <n v="1.46"/>
    <n v="11.116402116402117"/>
    <n v="2.3929384965831439"/>
    <n v="18.22"/>
    <n v="6.97"/>
    <n v="2.3199999999999998"/>
    <n v="14.390410958904111"/>
    <s v="NO"/>
    <n v="0.21423070153814922"/>
    <n v="0.9758818995303199"/>
    <n v="1.2415343921429032"/>
    <n v="1.237890466482827"/>
    <n v="-4.519144380194394E-2"/>
    <n v="0.29222661820881329"/>
    <x v="0"/>
    <x v="0"/>
    <x v="0"/>
    <x v="0"/>
    <x v="0"/>
    <x v="0"/>
  </r>
  <r>
    <x v="3"/>
    <s v="BDIMF"/>
    <n v="414"/>
    <n v="6.673349"/>
    <n v="0.02"/>
    <n v="3.69"/>
    <n v="0.35"/>
    <n v="333.66744999999997"/>
    <n v="1.8084956639566396"/>
    <n v="8.7899999999999991"/>
    <n v="5.26"/>
    <n v="2.3199999999999998"/>
    <n v="19.066711428571431"/>
    <s v="NO"/>
    <n v="75.353743182432311"/>
    <n v="0.20202828041616769"/>
    <n v="0.60392791995395323"/>
    <n v="0.57093402760213197"/>
    <n v="-4.519144380194394E-2"/>
    <n v="0.60044645726118151"/>
    <x v="1"/>
    <x v="0"/>
    <x v="0"/>
    <x v="0"/>
    <x v="0"/>
    <x v="0"/>
  </r>
  <r>
    <x v="3"/>
    <s v="CVEO"/>
    <n v="260"/>
    <n v="20.79"/>
    <n v="3.09"/>
    <n v="16.3"/>
    <n v="-1.55"/>
    <n v="6.7281553398058254"/>
    <n v="1.2754601226993865"/>
    <n v="-8.86"/>
    <n v="0.2"/>
    <n v="1.92"/>
    <n v="-13.412903225806451"/>
    <s v="NO"/>
    <n v="-0.80802833498587345"/>
    <n v="-0.50375757183673231"/>
    <n v="-0.58947125651847188"/>
    <n v="-1.4026329786764156"/>
    <n v="-0.50385087343361223"/>
    <n v="-1.5403188049777272"/>
    <x v="0"/>
    <x v="0"/>
    <x v="0"/>
    <x v="0"/>
    <x v="0"/>
    <x v="0"/>
  </r>
  <r>
    <x v="3"/>
    <s v="HCSG"/>
    <n v="1044"/>
    <n v="14.52"/>
    <n v="1.06"/>
    <n v="7.05"/>
    <n v="0.55000000000000004"/>
    <n v="13.698113207547168"/>
    <n v="2.0595744680851062"/>
    <n v="8.3699999999999992"/>
    <n v="3.87"/>
    <n v="1.6"/>
    <n v="26.4"/>
    <s v="NO"/>
    <n v="0.81565027226347198"/>
    <n v="0.53447865949684681"/>
    <n v="0.57552975258180483"/>
    <n v="2.878815038332163E-2"/>
    <n v="-0.87077841713894666"/>
    <n v="1.0837911520410453"/>
    <x v="0"/>
    <x v="0"/>
    <x v="0"/>
    <x v="0"/>
    <x v="0"/>
    <x v="0"/>
  </r>
  <r>
    <x v="3"/>
    <s v="LQDT"/>
    <n v="979"/>
    <n v="24.89"/>
    <n v="1.9"/>
    <n v="6.15"/>
    <n v="0.75"/>
    <n v="13.100000000000001"/>
    <n v="4.0471544715447152"/>
    <n v="13.48"/>
    <n v="6.21"/>
    <n v="1.76"/>
    <n v="33.186666666666667"/>
    <s v="NO"/>
    <n v="0.67631749031046895"/>
    <n v="3.1662090753595686"/>
    <n v="0.92104078894294328"/>
    <n v="0.94146538253585155"/>
    <n v="-0.68731464528627939"/>
    <n v="1.5311074272184799"/>
    <x v="0"/>
    <x v="1"/>
    <x v="0"/>
    <x v="0"/>
    <x v="0"/>
    <x v="0"/>
  </r>
  <r>
    <x v="3"/>
    <s v="PRSU"/>
    <n v="817"/>
    <n v="30.85"/>
    <n v="-0.67"/>
    <n v="18.73"/>
    <n v="-7.03"/>
    <n v="-46.044776119402982"/>
    <n v="1.6470902295782168"/>
    <n v="-11.68"/>
    <n v="1.31"/>
    <n v="1.61"/>
    <n v="-4.3883357041251783"/>
    <s v="NO"/>
    <n v="-13.101686557617352"/>
    <n v="-1.1686684616615782E-2"/>
    <n v="-0.78014466601718224"/>
    <n v="-0.96969634291175388"/>
    <n v="-0.85931193139815498"/>
    <n v="-0.94550015140910482"/>
    <x v="1"/>
    <x v="0"/>
    <x v="0"/>
    <x v="0"/>
    <x v="0"/>
    <x v="0"/>
  </r>
  <r>
    <x v="3"/>
    <s v="VSTS"/>
    <n v="717"/>
    <n v="6.42"/>
    <n v="2.64"/>
    <n v="6.83"/>
    <n v="7.0000000000000007E-2"/>
    <n v="2.4318181818181817"/>
    <n v="0.93997071742313321"/>
    <n v="1.06"/>
    <n v="3.09"/>
    <n v="3.22"/>
    <n v="91.714285714285708"/>
    <s v="NO"/>
    <n v="-1.8088766708475594"/>
    <n v="-0.94797499731313728"/>
    <n v="8.1266410937984632E-2"/>
    <n v="-0.2754375936675218"/>
    <n v="0.98679227286931026"/>
    <n v="5.3887238143576957"/>
    <x v="0"/>
    <x v="0"/>
    <x v="0"/>
    <x v="0"/>
    <x v="0"/>
    <x v="1"/>
  </r>
  <r>
    <x v="4"/>
    <s v="AMRC"/>
    <n v="666"/>
    <n v="14.57"/>
    <n v="-7.1"/>
    <n v="19.239999999999998"/>
    <n v="1.03"/>
    <n v="-2.0521126760563382"/>
    <n v="0.7572765072765073"/>
    <n v="5.39"/>
    <n v="1.39"/>
    <n v="4.12"/>
    <n v="14.145631067961165"/>
    <s v="NO"/>
    <n v="-0.73058223097163655"/>
    <n v="-1.5233743416307981"/>
    <n v="-0.10290664702703892"/>
    <n v="-0.6383605752036926"/>
    <n v="1.5491498793716705"/>
    <n v="-0.58079756129357329"/>
    <x v="0"/>
    <x v="0"/>
    <x v="0"/>
    <x v="0"/>
    <x v="0"/>
    <x v="0"/>
  </r>
  <r>
    <x v="4"/>
    <s v="BBCP"/>
    <n v="336"/>
    <n v="7.05"/>
    <n v="0.76"/>
    <n v="4.91"/>
    <n v="0.28000000000000003"/>
    <n v="9.2763157894736832"/>
    <n v="1.435845213849287"/>
    <n v="5.62"/>
    <n v="3.51"/>
    <n v="3.5"/>
    <n v="25.178571428571427"/>
    <s v="NO"/>
    <n v="-3.5785536767270552E-2"/>
    <n v="-0.53567578684954809"/>
    <n v="-7.5500982081943252E-2"/>
    <n v="0.15516653640345621"/>
    <n v="0.82105922223173178"/>
    <n v="-0.37446094152451298"/>
    <x v="0"/>
    <x v="0"/>
    <x v="0"/>
    <x v="0"/>
    <x v="0"/>
    <x v="0"/>
  </r>
  <r>
    <x v="4"/>
    <s v="BWMN"/>
    <n v="416"/>
    <n v="25.72"/>
    <n v="1.32"/>
    <n v="14.16"/>
    <n v="0.17"/>
    <n v="19.484848484848484"/>
    <n v="1.8163841807909604"/>
    <n v="1.48"/>
    <n v="-0.34"/>
    <n v="2.06"/>
    <n v="151.29411764705881"/>
    <s v="NO"/>
    <n v="0.59032555984296398"/>
    <n v="1.8222122154494931E-2"/>
    <n v="-0.56880295109366419"/>
    <n v="-1.2859086426944317"/>
    <n v="-0.86999004596425433"/>
    <n v="1.9841356480080361"/>
    <x v="0"/>
    <x v="0"/>
    <x v="0"/>
    <x v="0"/>
    <x v="0"/>
    <x v="0"/>
  </r>
  <r>
    <x v="4"/>
    <s v="CDLR"/>
    <n v="1690"/>
    <n v="20.440000000000001"/>
    <n v="-1.57"/>
    <n v="3.64"/>
    <n v="0.19"/>
    <n v="-13.019108280254777"/>
    <n v="5.6153846153846159"/>
    <n v="5.93"/>
    <n v="2.72"/>
    <n v="1.57"/>
    <n v="107.57894736842105"/>
    <s v="NO"/>
    <n v="-1.4032114764434518"/>
    <n v="5.5479012873092257"/>
    <n v="-3.8562911938553567E-2"/>
    <n v="-0.14053460424260381"/>
    <n v="-1.4454165330587219"/>
    <n v="1.1665802028497991"/>
    <x v="0"/>
    <x v="1"/>
    <x v="0"/>
    <x v="0"/>
    <x v="0"/>
    <x v="0"/>
  </r>
  <r>
    <x v="4"/>
    <s v="CTNGY"/>
    <n v="443"/>
    <n v="3.33"/>
    <m/>
    <m/>
    <m/>
    <s v=""/>
    <s v=""/>
    <n v="13.45"/>
    <n v="5.24"/>
    <n v="2.3199999999999998"/>
    <s v=""/>
    <s v="NO"/>
    <e v="#VALUE!"/>
    <e v="#VALUE!"/>
    <n v="0.85748317670109409"/>
    <n v="0.80271460389419569"/>
    <n v="-0.56466170587331266"/>
    <e v="#VALUE!"/>
    <x v="1"/>
    <x v="1"/>
    <x v="0"/>
    <x v="0"/>
    <x v="0"/>
    <x v="1"/>
  </r>
  <r>
    <x v="4"/>
    <s v="CTRI"/>
    <n v="1863"/>
    <n v="20.13"/>
    <n v="0.71"/>
    <n v="6.28"/>
    <n v="-0.08"/>
    <n v="28.35211267605634"/>
    <n v="3.2054140127388533"/>
    <n v="-1.54"/>
    <n v="2.84"/>
    <n v="3.73"/>
    <n v="-251.62499999999997"/>
    <s v="NO"/>
    <n v="1.1341737966424819"/>
    <n v="2.0400406119758037"/>
    <n v="-0.9286512473292674"/>
    <n v="-9.5617975283708731E-2"/>
    <n v="1.0911573692352574"/>
    <n v="-5.5512054359011573"/>
    <x v="0"/>
    <x v="0"/>
    <x v="0"/>
    <x v="0"/>
    <x v="0"/>
    <x v="1"/>
  </r>
  <r>
    <x v="4"/>
    <s v="GLDD"/>
    <n v="666"/>
    <n v="11.42"/>
    <n v="-0.82"/>
    <n v="6.67"/>
    <n v="0.84"/>
    <n v="-13.926829268292684"/>
    <n v="1.712143928035982"/>
    <n v="13.72"/>
    <n v="4.75"/>
    <n v="2.8"/>
    <n v="13.595238095238095"/>
    <s v="NO"/>
    <n v="-1.4588839418403676"/>
    <n v="-0.1335059873189437"/>
    <n v="0.88965504424533692"/>
    <n v="0.61930503564537354"/>
    <n v="-9.7861647465060796E-4"/>
    <n v="-0.59109093928932277"/>
    <x v="0"/>
    <x v="0"/>
    <x v="0"/>
    <x v="0"/>
    <x v="0"/>
    <x v="0"/>
  </r>
  <r>
    <x v="4"/>
    <s v="LMB"/>
    <n v="1400"/>
    <n v="122.17"/>
    <n v="3.16"/>
    <n v="13.86"/>
    <n v="2.78"/>
    <n v="38.661392405063289"/>
    <n v="8.8145743145743154"/>
    <n v="23.38"/>
    <n v="8.7100000000000009"/>
    <n v="2.09"/>
    <n v="43.946043165467628"/>
    <s v="NO"/>
    <n v="1.7664639238333042"/>
    <n v="10.204518976503858"/>
    <n v="2.0406929719393525"/>
    <n v="2.1015537912889157"/>
    <n v="-0.83475985287683818"/>
    <n v="-2.3474119042646301E-2"/>
    <x v="0"/>
    <x v="1"/>
    <x v="0"/>
    <x v="0"/>
    <x v="0"/>
    <x v="0"/>
  </r>
  <r>
    <x v="4"/>
    <s v="MTRX"/>
    <n v="338"/>
    <n v="12.97"/>
    <n v="3.93"/>
    <n v="5.5"/>
    <n v="-1.22"/>
    <n v="3.3002544529262088"/>
    <n v="2.3581818181818184"/>
    <n v="-20.38"/>
    <n v="-4.95"/>
    <n v="3.38"/>
    <n v="-10.631147540983607"/>
    <s v="NO"/>
    <n v="-0.40231013226873885"/>
    <n v="0.80684196013320164"/>
    <n v="-3.1735326715275338"/>
    <n v="-3.0114558051986564"/>
    <n v="0.68013844988206618"/>
    <n v="-1.0441696615532763"/>
    <x v="0"/>
    <x v="0"/>
    <x v="1"/>
    <x v="1"/>
    <x v="0"/>
    <x v="0"/>
  </r>
  <r>
    <x v="4"/>
    <s v="NWPX"/>
    <n v="368"/>
    <n v="40.799999999999997"/>
    <n v="6.66"/>
    <n v="38.159999999999997"/>
    <n v="3.27"/>
    <n v="6.1261261261261257"/>
    <n v="1.0691823899371069"/>
    <n v="9.1300000000000008"/>
    <n v="4.6900000000000004"/>
    <n v="1.54"/>
    <n v="12.477064220183486"/>
    <s v="NO"/>
    <n v="-0.22899339175532279"/>
    <n v="-1.0693761148519707"/>
    <n v="0.34273329599321156"/>
    <n v="0.59684672116592608"/>
    <n v="-1.4806467261461382"/>
    <n v="-0.61200288208532994"/>
    <x v="0"/>
    <x v="0"/>
    <x v="0"/>
    <x v="0"/>
    <x v="0"/>
    <x v="0"/>
  </r>
  <r>
    <x v="4"/>
    <s v="ORN"/>
    <n v="296"/>
    <n v="8.4700000000000006"/>
    <n v="0.3"/>
    <n v="3.81"/>
    <n v="0.08"/>
    <n v="28.233333333333338"/>
    <n v="2.2230971128608927"/>
    <n v="2.25"/>
    <n v="2.0099999999999998"/>
    <n v="2.76"/>
    <n v="105.875"/>
    <s v="NO"/>
    <n v="1.1268888060619418"/>
    <n v="0.61021784981664517"/>
    <n v="-0.47705355106008329"/>
    <n v="-0.40629132558273401"/>
    <n v="-4.7952207257872491E-2"/>
    <n v="1.1347132001494475"/>
    <x v="0"/>
    <x v="0"/>
    <x v="0"/>
    <x v="0"/>
    <x v="0"/>
    <x v="0"/>
  </r>
  <r>
    <x v="4"/>
    <s v="TPC"/>
    <n v="1245"/>
    <n v="35.83"/>
    <n v="8.91"/>
    <n v="21.62"/>
    <n v="-3.13"/>
    <n v="4.021324354657688"/>
    <n v="1.6572617946345973"/>
    <n v="-10.02"/>
    <n v="-1.47"/>
    <n v="3.74"/>
    <n v="-11.447284345047922"/>
    <s v="NO"/>
    <n v="-0.35808537633390419"/>
    <n v="-0.21339031342888268"/>
    <n v="-1.9390861983484446"/>
    <n v="-1.7088735653906952"/>
    <n v="1.1029007669310631"/>
    <n v="-1.0594329462186201"/>
    <x v="0"/>
    <x v="0"/>
    <x v="0"/>
    <x v="0"/>
    <x v="0"/>
    <x v="0"/>
  </r>
  <r>
    <x v="5"/>
    <s v="ADSE"/>
    <n v="733"/>
    <n v="13.15"/>
    <n v="-0.08"/>
    <n v="-0.04"/>
    <n v="-1.54"/>
    <n v="-164.375"/>
    <n v="-328.75"/>
    <n v="-282.35000000000002"/>
    <n v="-13.46"/>
    <n v="-69.010000000000005"/>
    <n v="-8.5389610389610393"/>
    <s v="NO"/>
    <n v="-11.444095112476001"/>
    <n v="-140.46506541040733"/>
    <n v="-6.2278262459101095"/>
    <n v="-0.63853731304141459"/>
    <n v="-125.02603870946797"/>
    <n v="-0.85162435312884455"/>
    <x v="1"/>
    <x v="1"/>
    <x v="1"/>
    <x v="0"/>
    <x v="1"/>
    <x v="0"/>
  </r>
  <r>
    <x v="5"/>
    <s v="ALNT"/>
    <n v="375"/>
    <n v="31.35"/>
    <n v="1.95"/>
    <n v="15.76"/>
    <n v="0.79"/>
    <n v="16.076923076923077"/>
    <n v="1.9892131979695433"/>
    <n v="5.0999999999999996"/>
    <n v="3.2"/>
    <n v="2.17"/>
    <n v="39.683544303797468"/>
    <s v="NO"/>
    <n v="0.68329778404387131"/>
    <n v="-0.30875247179097604"/>
    <n v="0.94128982490729829"/>
    <n v="0.78257378327327554"/>
    <n v="1.39084322371344"/>
    <n v="2.0667402335099063"/>
    <x v="0"/>
    <x v="0"/>
    <x v="0"/>
    <x v="0"/>
    <x v="0"/>
    <x v="0"/>
  </r>
  <r>
    <x v="5"/>
    <s v="AMPX"/>
    <n v="284"/>
    <n v="2.87"/>
    <n v="-0.36"/>
    <n v="0.59"/>
    <n v="-0.45"/>
    <n v="-7.9722222222222232"/>
    <n v="4.8644067796610173"/>
    <n v="-69.11"/>
    <n v="-24.25"/>
    <n v="1.74"/>
    <n v="-6.3777777777777782"/>
    <s v="NO"/>
    <n v="-0.93294120579445206"/>
    <n v="0.90965924146856725"/>
    <n v="-0.90953676620545099"/>
    <n v="-1.5589327949883236"/>
    <n v="0.62715596280773622"/>
    <n v="-0.72083229556477602"/>
    <x v="0"/>
    <x v="0"/>
    <x v="0"/>
    <x v="0"/>
    <x v="0"/>
    <x v="0"/>
  </r>
  <r>
    <x v="5"/>
    <s v="AMSC"/>
    <n v="818"/>
    <n v="23.58"/>
    <n v="0.63"/>
    <n v="4.88"/>
    <n v="0.09"/>
    <n v="37.428571428571423"/>
    <n v="4.831967213114754"/>
    <n v="2.39"/>
    <n v="1.41"/>
    <n v="1.61"/>
    <n v="262"/>
    <s v="NO"/>
    <n v="2.118249676678396"/>
    <n v="0.89591242869578092"/>
    <n v="0.87370135890654965"/>
    <n v="0.62988537616623508"/>
    <n v="0.39627376765019806"/>
    <n v="15.52104889539426"/>
    <x v="0"/>
    <x v="0"/>
    <x v="0"/>
    <x v="0"/>
    <x v="0"/>
    <x v="1"/>
  </r>
  <r>
    <x v="5"/>
    <s v="ARRY"/>
    <n v="769"/>
    <n v="8.25"/>
    <n v="0.97"/>
    <n v="-0.78"/>
    <n v="-1.95"/>
    <n v="8.5051546391752577"/>
    <n v="-10.576923076923077"/>
    <n v="-53.46"/>
    <n v="3.87"/>
    <n v="-12.08"/>
    <n v="-4.2307692307692308"/>
    <s v="NO"/>
    <n v="0.17443199197972831"/>
    <n v="-5.6338643965113713"/>
    <n v="-0.51921961014946771"/>
    <n v="0.83972530995579908"/>
    <n v="-23.917397399324418"/>
    <n v="-0.59089807364361269"/>
    <x v="0"/>
    <x v="1"/>
    <x v="0"/>
    <x v="0"/>
    <x v="1"/>
    <x v="0"/>
  </r>
  <r>
    <x v="5"/>
    <s v="BLDP"/>
    <n v="360"/>
    <n v="1.39"/>
    <n v="-0.45"/>
    <n v="2.25"/>
    <n v="-1.08"/>
    <n v="-3.0888888888888886"/>
    <n v="0.61777777777777776"/>
    <n v="-38.880000000000003"/>
    <n v="-11.2"/>
    <n v="1.1599999999999999"/>
    <n v="-1.2870370370370368"/>
    <s v="NO"/>
    <n v="-0.60475350367303893"/>
    <n v="-0.88992133310905064"/>
    <n v="-0.15558867498676884"/>
    <n v="-0.44575753647051408"/>
    <n v="-0.40293383097205043"/>
    <n v="-0.41274715166903475"/>
    <x v="0"/>
    <x v="0"/>
    <x v="0"/>
    <x v="0"/>
    <x v="0"/>
    <x v="0"/>
  </r>
  <r>
    <x v="5"/>
    <s v="CHPT"/>
    <n v="273"/>
    <n v="0.69389999999999996"/>
    <n v="-0.37"/>
    <n v="0.3"/>
    <n v="-0.64"/>
    <n v="-1.8754054054054052"/>
    <n v="2.3130000000000002"/>
    <n v="-119.13"/>
    <n v="-15.19"/>
    <n v="6.53"/>
    <n v="-1.08421875"/>
    <s v="NO"/>
    <n v="-0.52320052974674569"/>
    <n v="-0.17154236019888278"/>
    <n v="-2.1570552419831048"/>
    <n v="-0.78610767298285578"/>
    <n v="9.1342768459201125"/>
    <n v="-0.40047284733323757"/>
    <x v="0"/>
    <x v="0"/>
    <x v="0"/>
    <x v="0"/>
    <x v="1"/>
    <x v="0"/>
  </r>
  <r>
    <x v="5"/>
    <s v="ENVX"/>
    <n v="1187"/>
    <n v="7.93"/>
    <n v="-0.87"/>
    <n v="1.23"/>
    <n v="-1.1000000000000001"/>
    <n v="-9.1149425287356323"/>
    <n v="6.4471544715447155"/>
    <n v="-84.94"/>
    <n v="-21.73"/>
    <n v="2.12"/>
    <n v="-7.2090909090909081"/>
    <s v="NO"/>
    <n v="-1.0097384928037585"/>
    <n v="1.5803752374993827"/>
    <n v="-1.3043431930659122"/>
    <n v="-1.3439748140331604"/>
    <n v="1.3020423794220795"/>
    <n v="-0.77114230715765819"/>
    <x v="0"/>
    <x v="0"/>
    <x v="0"/>
    <x v="0"/>
    <x v="0"/>
    <x v="0"/>
  </r>
  <r>
    <x v="5"/>
    <s v="EOSE"/>
    <n v="1514"/>
    <n v="6.8"/>
    <n v="-0.88"/>
    <n v="-4.83"/>
    <n v="-4.55"/>
    <n v="-7.7272727272727266"/>
    <n v="-1.4078674948240164"/>
    <n v="198.07"/>
    <n v="-46.46"/>
    <n v="-0.24"/>
    <n v="-1.4945054945054945"/>
    <s v="NO"/>
    <n v="-0.91647921018695533"/>
    <n v="-1.7483226396377345"/>
    <n v="5.7540375312410434"/>
    <n v="-3.4534632541209329"/>
    <n v="-2.8893574711301557"/>
    <n v="-0.42530287839490544"/>
    <x v="0"/>
    <x v="0"/>
    <x v="1"/>
    <x v="1"/>
    <x v="0"/>
    <x v="0"/>
  </r>
  <r>
    <x v="5"/>
    <s v="FLNC"/>
    <n v="587"/>
    <n v="5.78"/>
    <n v="-1.34"/>
    <n v="3.15"/>
    <n v="-0.02"/>
    <n v="-4.3134328358208958"/>
    <n v="1.8349206349206351"/>
    <n v="-0.2"/>
    <n v="0.09"/>
    <n v="5.41"/>
    <n v="-289"/>
    <s v="NO"/>
    <n v="-0.68704980348675249"/>
    <n v="-0.37413654446166938"/>
    <n v="0.80910574010878622"/>
    <n v="0.51728833852305423"/>
    <n v="7.1451379337936274"/>
    <n v="-17.824769116515096"/>
    <x v="0"/>
    <x v="0"/>
    <x v="0"/>
    <x v="0"/>
    <x v="1"/>
    <x v="1"/>
  </r>
  <r>
    <x v="5"/>
    <s v="HYLN"/>
    <n v="284"/>
    <n v="1.91"/>
    <n v="-0.42"/>
    <n v="1.41"/>
    <n v="-0.3"/>
    <n v="-4.5476190476190474"/>
    <n v="1.3546099290780143"/>
    <n v="-18.899999999999999"/>
    <n v="-12.95"/>
    <n v="1.08"/>
    <n v="-6.3666666666666663"/>
    <s v="NO"/>
    <n v="-0.70278844540864061"/>
    <n v="-0.57767629696011713"/>
    <n v="0.34272038431026308"/>
    <n v="-0.59503391213382184"/>
    <n v="-0.54501518183822761"/>
    <n v="-0.72015986527617115"/>
    <x v="0"/>
    <x v="0"/>
    <x v="0"/>
    <x v="0"/>
    <x v="0"/>
    <x v="0"/>
  </r>
  <r>
    <x v="5"/>
    <s v="KULR"/>
    <n v="361"/>
    <n v="1.57"/>
    <n v="-0.1"/>
    <n v="0.22"/>
    <n v="-0.09"/>
    <n v="-15.7"/>
    <n v="7.1363636363636367"/>
    <n v="-63.44"/>
    <n v="-25.81"/>
    <n v="1.1000000000000001"/>
    <n v="-17.444444444444446"/>
    <s v="NO"/>
    <n v="-1.4522917105167339"/>
    <n v="1.8724392309113262"/>
    <n v="-0.76812473586440144"/>
    <n v="-1.6920020212939009"/>
    <n v="-0.50949484412168322"/>
    <n v="-1.3905728630151031"/>
    <x v="0"/>
    <x v="0"/>
    <x v="0"/>
    <x v="0"/>
    <x v="0"/>
    <x v="0"/>
  </r>
  <r>
    <x v="5"/>
    <s v="LYTS"/>
    <n v="466"/>
    <n v="16.7"/>
    <n v="1.4"/>
    <n v="7.39"/>
    <n v="0.72"/>
    <n v="11.928571428571429"/>
    <n v="2.259810554803789"/>
    <n v="10.42"/>
    <n v="6.53"/>
    <n v="1.72"/>
    <n v="23.194444444444443"/>
    <s v="NO"/>
    <n v="0.4045050205495157"/>
    <n v="-0.19408228358404647"/>
    <n v="1.0739727175729743"/>
    <n v="1.066625400964027"/>
    <n v="0.59163562509119183"/>
    <n v="1.0688409175567557"/>
    <x v="0"/>
    <x v="0"/>
    <x v="0"/>
    <x v="0"/>
    <x v="0"/>
    <x v="0"/>
  </r>
  <r>
    <x v="5"/>
    <s v="PLPC"/>
    <n v="660"/>
    <n v="141.80000000000001"/>
    <n v="9.3000000000000007"/>
    <n v="88.21"/>
    <n v="7.89"/>
    <n v="15.24731182795699"/>
    <n v="1.6075274912141484"/>
    <n v="9.1999999999999993"/>
    <n v="5.58"/>
    <n v="1.36"/>
    <n v="17.972116603295312"/>
    <s v="NO"/>
    <n v="0.62754320190347779"/>
    <n v="-0.47049821957500237"/>
    <n v="1.0435454376759583"/>
    <n v="0.98558965417537414"/>
    <n v="-4.7730453806606454E-2"/>
    <n v="0.75279228998962977"/>
    <x v="0"/>
    <x v="0"/>
    <x v="0"/>
    <x v="0"/>
    <x v="0"/>
    <x v="0"/>
  </r>
  <r>
    <x v="5"/>
    <s v="PLUG"/>
    <n v="793"/>
    <n v="0.81169999999999998"/>
    <n v="-1.35"/>
    <n v="1.9"/>
    <n v="-2.68"/>
    <n v="-0.60125925925925916"/>
    <n v="0.42721052631578948"/>
    <n v="-89.46"/>
    <n v="-16.41"/>
    <n v="2.08"/>
    <n v="-0.30287313432835816"/>
    <s v="NO"/>
    <n v="-0.4375706807630137"/>
    <n v="-0.97067741604673141"/>
    <n v="-1.4170737710450203"/>
    <n v="-0.89017463201670488"/>
    <n v="1.2310017039889907"/>
    <n v="-0.35318680612708542"/>
    <x v="0"/>
    <x v="0"/>
    <x v="0"/>
    <x v="0"/>
    <x v="0"/>
    <x v="0"/>
  </r>
  <r>
    <x v="5"/>
    <s v="RUN"/>
    <n v="1689"/>
    <n v="11.9"/>
    <n v="-15.6"/>
    <n v="11.32"/>
    <n v="-12.81"/>
    <n v="-0.76282051282051289"/>
    <n v="1.0512367491166077"/>
    <n v="-78.63"/>
    <n v="-1.78"/>
    <n v="7.79"/>
    <n v="-0.92896174863387981"/>
    <s v="NO"/>
    <n v="-0.44842851350529139"/>
    <n v="-0.70623579233027522"/>
    <n v="-1.1469693109756083"/>
    <n v="0.35777586852854826"/>
    <n v="11.372058122062407"/>
    <n v="-0.39107689141195007"/>
    <x v="0"/>
    <x v="0"/>
    <x v="0"/>
    <x v="0"/>
    <x v="1"/>
    <x v="0"/>
  </r>
  <r>
    <x v="5"/>
    <s v="SES"/>
    <n v="302"/>
    <n v="0.89339999999999997"/>
    <n v="-0.27"/>
    <n v="0.74"/>
    <n v="-0.3"/>
    <n v="-3.3088888888888888"/>
    <n v="1.2072972972972973"/>
    <n v="-31.45"/>
    <n v="-20.100000000000001"/>
    <n v="1.1299999999999999"/>
    <n v="-2.9780000000000002"/>
    <s v="NO"/>
    <n v="-0.61953875168669992"/>
    <n v="-0.64010250617804509"/>
    <n v="2.9718447664730054E-2"/>
    <n v="-1.204934532701051"/>
    <n v="-0.45621433754686702"/>
    <n v="-0.51508207585749577"/>
    <x v="0"/>
    <x v="0"/>
    <x v="0"/>
    <x v="0"/>
    <x v="0"/>
    <x v="0"/>
  </r>
  <r>
    <x v="5"/>
    <s v="SHLS"/>
    <n v="787"/>
    <n v="6.03"/>
    <n v="0.43"/>
    <n v="3.34"/>
    <n v="0.14000000000000001"/>
    <n v="14.023255813953488"/>
    <n v="1.8053892215568863"/>
    <n v="4.38"/>
    <n v="4.46"/>
    <n v="1.42"/>
    <n v="43.071428571428569"/>
    <s v="NO"/>
    <n v="0.54527969395050058"/>
    <n v="-0.38665097833513856"/>
    <n v="0.92333274168938728"/>
    <n v="0.89005277375085712"/>
    <n v="5.8830559343026334E-2"/>
    <n v="2.2717706731357459"/>
    <x v="0"/>
    <x v="0"/>
    <x v="0"/>
    <x v="0"/>
    <x v="0"/>
    <x v="0"/>
  </r>
  <r>
    <x v="5"/>
    <s v="THR"/>
    <n v="932"/>
    <n v="30.51"/>
    <n v="1.73"/>
    <n v="14.5"/>
    <n v="1.37"/>
    <n v="17.635838150289018"/>
    <n v="2.104137931034483"/>
    <n v="9.75"/>
    <n v="5.86"/>
    <n v="1.56"/>
    <n v="22.270072992700729"/>
    <s v="NO"/>
    <n v="0.78806572037091627"/>
    <n v="-0.26005118023231449"/>
    <n v="1.0572626540229737"/>
    <n v="1.0094738742815035"/>
    <n v="0.30747292335883708"/>
    <n v="1.0128991349700944"/>
    <x v="0"/>
    <x v="0"/>
    <x v="0"/>
    <x v="0"/>
    <x v="0"/>
    <x v="0"/>
  </r>
  <r>
    <x v="5"/>
    <s v="VICR"/>
    <n v="1859"/>
    <n v="44.57"/>
    <n v="1.05"/>
    <n v="12.82"/>
    <n v="0.51"/>
    <n v="42.44761904761905"/>
    <n v="3.4765990639625586"/>
    <n v="4.16"/>
    <n v="1.8"/>
    <n v="1.1499999999999999"/>
    <n v="87.392156862745097"/>
    <s v="NO"/>
    <n v="2.4555581486783669"/>
    <n v="0.32155234413603889"/>
    <n v="0.91784585515058115"/>
    <n v="0.66315268274262928"/>
    <n v="-0.42069399983032263"/>
    <n v="4.954004683584972"/>
    <x v="0"/>
    <x v="0"/>
    <x v="0"/>
    <x v="0"/>
    <x v="0"/>
    <x v="1"/>
  </r>
  <r>
    <x v="5"/>
    <s v="NNE"/>
    <n v="872"/>
    <n v="27.32"/>
    <n v="-0.43"/>
    <n v="3.54"/>
    <n v="-0.41"/>
    <n v="-63.534883720930232"/>
    <n v="7.7175141242937855"/>
    <n v="-17.989999999999998"/>
    <n v="-11.08"/>
    <n v="1.03"/>
    <n v="-66.634146341463421"/>
    <s v="NO"/>
    <n v="-4.6670672537830304"/>
    <n v="2.1187115397288871"/>
    <n v="0.36541614226623398"/>
    <n v="-0.43552144213931593"/>
    <n v="-0.63381602612958854"/>
    <n v="-4.3674709528845534"/>
    <x v="1"/>
    <x v="0"/>
    <x v="0"/>
    <x v="0"/>
    <x v="0"/>
    <x v="1"/>
  </r>
  <r>
    <x v="5"/>
    <s v="PSIX"/>
    <n v="595"/>
    <n v="35.06"/>
    <n v="2.52"/>
    <n v="2.84"/>
    <n v="3.01"/>
    <n v="13.912698412698413"/>
    <n v="12.345070422535212"/>
    <n v="225.91"/>
    <n v="15.7"/>
    <n v="5.03"/>
    <n v="11.647840531561464"/>
    <s v="NO"/>
    <n v="0.53784960941730908"/>
    <n v="4.0797164729091913"/>
    <n v="6.4483780823336039"/>
    <n v="1.8488336094397595"/>
    <n v="6.4702515171792854"/>
    <n v="0.37005515941774242"/>
    <x v="0"/>
    <x v="1"/>
    <x v="1"/>
    <x v="0"/>
    <x v="1"/>
    <x v="0"/>
  </r>
  <r>
    <x v="6"/>
    <s v="FIP"/>
    <n v="522"/>
    <n v="5.14"/>
    <n v="-1.01"/>
    <n v="1.78"/>
    <n v="-2.72"/>
    <n v="-5.0891089108910892"/>
    <n v="2.887640449438202"/>
    <n v="-56.41"/>
    <n v="0.06"/>
    <n v="11.72"/>
    <n v="-1.8897058823529409"/>
    <s v="NO"/>
    <n v="0.65606285380165241"/>
    <n v="9.0569515143308461"/>
    <n v="-6.4848675321662634"/>
    <n v="-0.26038092362949294"/>
    <n v="19.507867572950641"/>
    <n v="-0.14483599355658236"/>
    <x v="0"/>
    <x v="1"/>
    <x v="1"/>
    <x v="0"/>
    <x v="1"/>
    <x v="0"/>
  </r>
  <r>
    <x v="6"/>
    <s v="ARCB"/>
    <n v="1357"/>
    <n v="69.97"/>
    <n v="2.48"/>
    <n v="56.22"/>
    <n v="7.55"/>
    <n v="28.213709677419356"/>
    <n v="1.244574884382782"/>
    <n v="14.25"/>
    <n v="3.47"/>
    <n v="1.86"/>
    <n v="9.2675496688741728"/>
    <s v="NO"/>
    <n v="5.2650477811502263"/>
    <n v="0.20414730450587026"/>
    <n v="1.1919913514680225"/>
    <n v="0.83579061905763141"/>
    <n v="-0.45111582291436353"/>
    <n v="0.75274588495767847"/>
    <x v="1"/>
    <x v="0"/>
    <x v="0"/>
    <x v="0"/>
    <x v="0"/>
    <x v="0"/>
  </r>
  <r>
    <x v="6"/>
    <s v="CVLG"/>
    <n v="542"/>
    <n v="23.05"/>
    <n v="-1.1399999999999999"/>
    <n v="16.559999999999999"/>
    <n v="1.38"/>
    <n v="-20.219298245614038"/>
    <n v="1.3919082125603865"/>
    <n v="8.39"/>
    <n v="4.03"/>
    <n v="2.2799999999999998"/>
    <n v="16.70289855072464"/>
    <s v="NO"/>
    <n v="-1.4378984848384859"/>
    <n v="0.99797631271968945"/>
    <n v="0.55533138744174282"/>
    <n v="1.015807060085429"/>
    <n v="0.39906399719347563"/>
    <n v="1.3509068203362933"/>
    <x v="0"/>
    <x v="0"/>
    <x v="0"/>
    <x v="0"/>
    <x v="0"/>
    <x v="0"/>
  </r>
  <r>
    <x v="6"/>
    <s v="HTLD"/>
    <n v="594"/>
    <n v="8.91"/>
    <n v="0.44"/>
    <n v="10.28"/>
    <n v="-0.37"/>
    <n v="20.25"/>
    <n v="0.86673151750972766"/>
    <n v="-3.44"/>
    <n v="-1.35"/>
    <n v="1.66"/>
    <n v="-24.081081081081081"/>
    <s v="NO"/>
    <n v="4.1629002925923242"/>
    <n v="-1.8316651548681373"/>
    <n v="-0.72993949556694127"/>
    <n v="-0.71363660550305452"/>
    <n v="-0.85596335629904952"/>
    <n v="-1.9300936804703204"/>
    <x v="1"/>
    <x v="0"/>
    <x v="0"/>
    <x v="0"/>
    <x v="0"/>
    <x v="0"/>
  </r>
  <r>
    <x v="6"/>
    <s v="MRTN"/>
    <n v="1034"/>
    <n v="13.78"/>
    <n v="-1.21"/>
    <n v="9.42"/>
    <n v="0.26"/>
    <n v="-11.388429752066115"/>
    <n v="1.4628450106157111"/>
    <n v="2.82"/>
    <n v="1.35"/>
    <n v="1.28"/>
    <n v="52.999999999999993"/>
    <s v="NO"/>
    <n v="-0.21573947525704817"/>
    <n v="1.3801823535568365"/>
    <n v="-4.9821513518390002E-2"/>
    <n v="0.154299806595255"/>
    <n v="-1.6251736697299519"/>
    <n v="4.2709457451308452"/>
    <x v="0"/>
    <x v="0"/>
    <x v="0"/>
    <x v="0"/>
    <x v="0"/>
    <x v="1"/>
  </r>
  <r>
    <x v="6"/>
    <s v="PAMT"/>
    <n v="371"/>
    <n v="15.09"/>
    <n v="-3.74"/>
    <n v="12.37"/>
    <n v="-1.85"/>
    <n v="-4.0347593582887695"/>
    <n v="1.2198868229587714"/>
    <n v="-13.77"/>
    <n v="-3.54"/>
    <n v="2.64"/>
    <n v="-8.1567567567567565"/>
    <s v="NO"/>
    <n v="0.80198086921571465"/>
    <n v="7.1128526220216995E-2"/>
    <n v="-1.8522428109921067"/>
    <n v="-1.4176294730939056"/>
    <n v="1.1277895572859105"/>
    <n v="-0.64900937837908379"/>
    <x v="0"/>
    <x v="0"/>
    <x v="0"/>
    <x v="0"/>
    <x v="0"/>
    <x v="0"/>
  </r>
  <r>
    <x v="6"/>
    <s v="ULH"/>
    <n v="586"/>
    <n v="25.83"/>
    <n v="-5.29"/>
    <n v="24.56"/>
    <n v="3.17"/>
    <n v="-4.8827977315689974"/>
    <n v="1.0517100977198697"/>
    <n v="13.57"/>
    <n v="6.28"/>
    <n v="2.78"/>
    <n v="8.1482649842271293"/>
    <s v="NO"/>
    <n v="0.68461554562014004"/>
    <n v="-0.83500428603874444"/>
    <n v="1.1181127208301607"/>
    <n v="1.7390874035006869"/>
    <n v="1.4111828306551897"/>
    <n v="0.6627013713024148"/>
    <x v="0"/>
    <x v="0"/>
    <x v="0"/>
    <x v="0"/>
    <x v="0"/>
    <x v="0"/>
  </r>
  <r>
    <x v="6"/>
    <s v="WERN"/>
    <n v="1569"/>
    <n v="28.04"/>
    <n v="-1.35"/>
    <n v="23.19"/>
    <n v="0.28999999999999998"/>
    <n v="-20.770370370370369"/>
    <n v="1.2091418714963345"/>
    <n v="1.1299999999999999"/>
    <n v="0.63"/>
    <n v="2.08"/>
    <n v="96.689655172413794"/>
    <s v="NO"/>
    <n v="-1.5141647957559468"/>
    <n v="1.3234943904274434E-2"/>
    <n v="-0.23343163966248773"/>
    <n v="-7.7149903297627581E-2"/>
    <n v="-5.7835361912094143E-3"/>
    <n v="7.7857028089306848"/>
    <x v="0"/>
    <x v="0"/>
    <x v="0"/>
    <x v="0"/>
    <x v="0"/>
    <x v="1"/>
  </r>
  <r>
    <x v="6"/>
    <s v="HTZ"/>
    <n v="1912"/>
    <n v="5.7649999999999997"/>
    <n v="-2.38"/>
    <n v="0.5"/>
    <n v="-9.35"/>
    <n v="-2.422268907563025"/>
    <n v="11.53"/>
    <n v="-176.39"/>
    <n v="-3.1"/>
    <n v="142.5"/>
    <n v="-0.61657754010695187"/>
    <s v="NO"/>
    <n v="1.0251434872139744"/>
    <n v="55.621810908395219"/>
    <n v="-19.520100037946644"/>
    <n v="-1.2761879837149219"/>
    <n v="284.23766965319658"/>
    <n v="-4.2415024190399872E-2"/>
    <x v="0"/>
    <x v="1"/>
    <x v="1"/>
    <x v="0"/>
    <x v="1"/>
    <x v="0"/>
  </r>
  <r>
    <x v="7"/>
    <s v="BBU"/>
    <n v="1900"/>
    <n v="24.69"/>
    <n v="3.51"/>
    <n v="9.9499999999999993"/>
    <n v="-0.11"/>
    <n v="7.034188034188035"/>
    <n v="2.4814070351758799"/>
    <n v="5.7"/>
    <n v="3.72"/>
    <n v="35.159999999999997"/>
    <n v="-224.45454545454547"/>
    <s v="NO"/>
    <n v="1"/>
    <n v="1"/>
    <n v="1"/>
    <n v="0.99999999999999967"/>
    <n v="1"/>
    <n v="-1"/>
    <x v="0"/>
    <x v="0"/>
    <x v="0"/>
    <x v="0"/>
    <x v="0"/>
    <x v="0"/>
  </r>
  <r>
    <x v="7"/>
    <s v="BBUC"/>
    <n v="1926"/>
    <n v="28.9"/>
    <n v="-5.59"/>
    <n v="-1.07"/>
    <n v="-10.91"/>
    <n v="-5.1699463327370303"/>
    <n v="-27.009345794392519"/>
    <n v="-52.88"/>
    <n v="0.83"/>
    <n v="-247.42"/>
    <n v="-2.6489459211732354"/>
    <s v="NO"/>
    <n v="-1"/>
    <n v="-1"/>
    <n v="-1.0000000000000002"/>
    <n v="-0.99999999999999933"/>
    <n v="-1"/>
    <n v="1"/>
    <x v="0"/>
    <x v="0"/>
    <x v="0"/>
    <x v="0"/>
    <x v="0"/>
    <x v="0"/>
  </r>
  <r>
    <x v="8"/>
    <s v="ASTE"/>
    <n v="871"/>
    <n v="42.44"/>
    <n v="3.15"/>
    <n v="28.6"/>
    <n v="0.66"/>
    <n v="13.473015873015873"/>
    <n v="1.4839160839160839"/>
    <n v="2.3199999999999998"/>
    <n v="5.89"/>
    <n v="1.62"/>
    <n v="64.303030303030297"/>
    <s v="NO"/>
    <n v="-2.9947186277484709E-2"/>
    <n v="-0.27502985375099254"/>
    <n v="-0.52528626132660317"/>
    <n v="0.86222462121800836"/>
    <n v="-0.75392528605624787"/>
    <n v="3.3558180070108952"/>
    <x v="0"/>
    <x v="0"/>
    <x v="0"/>
    <x v="0"/>
    <x v="0"/>
    <x v="1"/>
  </r>
  <r>
    <x v="8"/>
    <s v="BLBD"/>
    <n v="1212"/>
    <n v="40.590000000000003"/>
    <n v="3.73"/>
    <n v="5.6"/>
    <n v="3.21"/>
    <n v="10.882037533512065"/>
    <n v="7.2482142857142868"/>
    <n v="84.71"/>
    <n v="17.43"/>
    <n v="2.98"/>
    <n v="12.644859813084114"/>
    <s v="NO"/>
    <n v="-0.29230606364334999"/>
    <n v="5.3941208841152708"/>
    <n v="8.333014379983128"/>
    <n v="4.4979307188117508"/>
    <n v="0.79076202641730242"/>
    <n v="-0.12531612964462463"/>
    <x v="0"/>
    <x v="1"/>
    <x v="1"/>
    <x v="1"/>
    <x v="0"/>
    <x v="0"/>
  </r>
  <r>
    <x v="8"/>
    <s v="CYD"/>
    <n v="626"/>
    <n v="17.989999999999998"/>
    <n v="0.82"/>
    <n v="33.47"/>
    <n v="1.1200000000000001"/>
    <n v="21.939024390243901"/>
    <n v="0.53749626531221983"/>
    <n v="4.0199999999999996"/>
    <n v="1.2"/>
    <n v="2.95"/>
    <n v="16.062499999999996"/>
    <s v="NO"/>
    <n v="0.82730910818276271"/>
    <n v="-1.2058277453825512"/>
    <n v="-0.34250787693254398"/>
    <n v="-0.61537170440717814"/>
    <n v="0.75668804158332725"/>
    <n v="0.10499136689736185"/>
    <x v="0"/>
    <x v="0"/>
    <x v="0"/>
    <x v="0"/>
    <x v="0"/>
    <x v="0"/>
  </r>
  <r>
    <x v="8"/>
    <s v="GBX"/>
    <n v="1346"/>
    <n v="47.55"/>
    <n v="-0.98"/>
    <n v="46.52"/>
    <n v="6.26"/>
    <n v="-48.520408163265301"/>
    <n v="1.0221410146173688"/>
    <n v="13.32"/>
    <n v="5.62"/>
    <n v="2.92"/>
    <n v="7.5958466453674118"/>
    <s v="NO"/>
    <n v="-6.307315424461815"/>
    <n v="-0.72918270691643017"/>
    <n v="0.65739740239966282"/>
    <n v="0.77716044042508736"/>
    <n v="0.72261405674935164"/>
    <n v="-0.46555837840917513"/>
    <x v="1"/>
    <x v="0"/>
    <x v="0"/>
    <x v="0"/>
    <x v="0"/>
    <x v="0"/>
  </r>
  <r>
    <x v="8"/>
    <s v="HCAI"/>
    <n v="270"/>
    <n v="8.61"/>
    <m/>
    <m/>
    <m/>
    <s v=""/>
    <s v=""/>
    <n v="7.71"/>
    <n v="3.2"/>
    <n v="3.9"/>
    <s v=""/>
    <s v="NO"/>
    <e v="#VALUE!"/>
    <e v="#VALUE!"/>
    <n v="5.4228733899267099E-2"/>
    <n v="1.4733338503349267E-2"/>
    <n v="1.8356975613258806"/>
    <e v="#VALUE!"/>
    <x v="1"/>
    <x v="1"/>
    <x v="0"/>
    <x v="0"/>
    <x v="0"/>
    <x v="1"/>
  </r>
  <r>
    <x v="8"/>
    <s v="MLR"/>
    <n v="484"/>
    <n v="47.29"/>
    <n v="0.13"/>
    <n v="35.06"/>
    <n v="5.47"/>
    <n v="363.76923076923077"/>
    <n v="1.3488305761551624"/>
    <n v="16.96"/>
    <n v="8.0399999999999991"/>
    <n v="1.66"/>
    <n v="8.6453382084095072"/>
    <s v="NO"/>
    <n v="35.440562267415217"/>
    <n v="-0.40788559423974191"/>
    <n v="1.0487581783963544"/>
    <n v="1.5395875423468253"/>
    <n v="-0.7084933062776142"/>
    <n v="-0.39483537618924885"/>
    <x v="1"/>
    <x v="0"/>
    <x v="0"/>
    <x v="0"/>
    <x v="0"/>
    <x v="0"/>
  </r>
  <r>
    <x v="8"/>
    <s v="MTW"/>
    <n v="303"/>
    <n v="11.39"/>
    <n v="0.1"/>
    <n v="18.22"/>
    <n v="1.56"/>
    <n v="113.9"/>
    <n v="0.6251372118551044"/>
    <n v="8.98"/>
    <n v="2.3199999999999998"/>
    <n v="2.59"/>
    <n v="7.3012820512820511"/>
    <s v="NO"/>
    <n v="10.139150104532348"/>
    <n v="-1.1196334300700821"/>
    <n v="0.19077493871129966"/>
    <n v="-0.26251288037728288"/>
    <n v="0.3478002235756224"/>
    <n v="-0.48540845931980658"/>
    <x v="1"/>
    <x v="0"/>
    <x v="0"/>
    <x v="0"/>
    <x v="0"/>
    <x v="0"/>
  </r>
  <r>
    <x v="8"/>
    <s v="MVST"/>
    <n v="628"/>
    <n v="3.11"/>
    <n v="-0.08"/>
    <n v="1.21"/>
    <n v="-0.61"/>
    <n v="-38.875"/>
    <n v="2.5702479338842976"/>
    <n v="-41.06"/>
    <n v="-1.56"/>
    <n v="2.4500000000000002"/>
    <n v="-5.0983606557377046"/>
    <s v="NO"/>
    <n v="-5.3306347556707134"/>
    <n v="0.79337063373484262"/>
    <n v="-5.1893605642761873"/>
    <n v="-1.4849166636237059"/>
    <n v="0.18878829435040434"/>
    <n v="-1.3209939843267162"/>
    <x v="1"/>
    <x v="0"/>
    <x v="1"/>
    <x v="0"/>
    <x v="0"/>
    <x v="0"/>
  </r>
  <r>
    <x v="8"/>
    <s v="PLOW"/>
    <n v="592"/>
    <n v="29.31"/>
    <n v="2.2799999999999998"/>
    <n v="11.2"/>
    <n v="2.73"/>
    <n v="12.855263157894738"/>
    <n v="2.6169642857142859"/>
    <n v="27.16"/>
    <n v="5.85"/>
    <n v="2.4"/>
    <n v="10.736263736263735"/>
    <s v="NO"/>
    <n v="-9.2499970435431164E-2"/>
    <n v="0.83931586959456594"/>
    <n v="2.1454284847607101"/>
    <n v="0.84962252035979779"/>
    <n v="0.13199831962711173"/>
    <n v="-0.2539323561406695"/>
    <x v="0"/>
    <x v="0"/>
    <x v="0"/>
    <x v="0"/>
    <x v="0"/>
    <x v="0"/>
  </r>
  <r>
    <x v="8"/>
    <s v="REVG"/>
    <n v="1837"/>
    <n v="38.409999999999997"/>
    <n v="1.69"/>
    <n v="8.3000000000000007"/>
    <n v="1.77"/>
    <n v="22.727810650887573"/>
    <n v="4.6277108433734933"/>
    <n v="20.13"/>
    <n v="5.75"/>
    <n v="2.9"/>
    <n v="21.700564971751412"/>
    <s v="NO"/>
    <n v="0.90718051222689078"/>
    <n v="2.8168723616337354"/>
    <n v="1.3895861069429236"/>
    <n v="0.81811726821427155"/>
    <n v="0.69989806686003475"/>
    <n v="0.48492856273098917"/>
    <x v="0"/>
    <x v="0"/>
    <x v="0"/>
    <x v="0"/>
    <x v="0"/>
    <x v="0"/>
  </r>
  <r>
    <x v="8"/>
    <s v="SHYF"/>
    <n v="306"/>
    <n v="10.119999999999999"/>
    <n v="0.48"/>
    <n v="7.07"/>
    <n v="0.01"/>
    <n v="21.083333333333332"/>
    <n v="1.4314002828854313"/>
    <n v="0.18"/>
    <n v="0.89"/>
    <n v="2.35"/>
    <n v="1011.9999999999999"/>
    <s v="NO"/>
    <n v="0.74066301715212113"/>
    <n v="-0.32667881113312214"/>
    <n v="-0.75537199226971319"/>
    <n v="-0.71303798605830981"/>
    <n v="7.5208344903819641E-2"/>
    <n v="67.219099287155771"/>
    <x v="0"/>
    <x v="0"/>
    <x v="0"/>
    <x v="0"/>
    <x v="0"/>
    <x v="1"/>
  </r>
  <r>
    <x v="8"/>
    <s v="TRN"/>
    <n v="1968"/>
    <n v="26.79"/>
    <n v="0.31"/>
    <n v="12.92"/>
    <n v="1.77"/>
    <n v="86.41935483870968"/>
    <n v="2.0735294117647056"/>
    <n v="13.04"/>
    <n v="2.9"/>
    <n v="8.23"/>
    <n v="15.135593220338983"/>
    <s v="NO"/>
    <n v="7.3564980445438577"/>
    <n v="0.30485111624914624"/>
    <n v="0.62729272732299413"/>
    <n v="-7.9782417933229918E-2"/>
    <n v="6.7537093723629935"/>
    <n v="4.2529092264477299E-2"/>
    <x v="1"/>
    <x v="0"/>
    <x v="0"/>
    <x v="0"/>
    <x v="1"/>
    <x v="0"/>
  </r>
  <r>
    <x v="8"/>
    <s v="WNC"/>
    <n v="339"/>
    <n v="9.77"/>
    <n v="1.66"/>
    <n v="9.58"/>
    <n v="-1.63"/>
    <n v="5.8855421686746991"/>
    <n v="1.0198329853862211"/>
    <n v="-14.75"/>
    <n v="-3.16"/>
    <n v="3.5"/>
    <n v="-5.9938650306748471"/>
    <s v="NO"/>
    <n v="-0.79824426262247516"/>
    <n v="-0.73145263903317881"/>
    <n v="-2.3605962740363631"/>
    <n v="-1.9890006979521275"/>
    <n v="1.3813777635395423"/>
    <n v="-1.3813401177563689"/>
    <x v="0"/>
    <x v="0"/>
    <x v="0"/>
    <x v="0"/>
    <x v="0"/>
    <x v="0"/>
  </r>
  <r>
    <x v="8"/>
    <s v="LNN"/>
    <n v="1438"/>
    <n v="138.9"/>
    <n v="8.11"/>
    <n v="47.53"/>
    <n v="7.03"/>
    <n v="17.127003699136871"/>
    <n v="2.9223648222175469"/>
    <n v="15.38"/>
    <n v="6.81"/>
    <n v="1.58"/>
    <n v="19.758179231863444"/>
    <s v="NO"/>
    <n v="0.34005055911209414"/>
    <n v="1.1396753611146451"/>
    <n v="0.87888179760658169"/>
    <n v="1.1520729409568509"/>
    <n v="-0.79935726583488176"/>
    <n v="0.35403532277405203"/>
    <x v="0"/>
    <x v="0"/>
    <x v="0"/>
    <x v="0"/>
    <x v="0"/>
    <x v="0"/>
  </r>
  <r>
    <x v="8"/>
    <s v="TWI"/>
    <n v="423"/>
    <n v="7.76"/>
    <n v="0.54"/>
    <n v="8.39"/>
    <n v="-0.23"/>
    <n v="14.370370370370368"/>
    <n v="0.92491060786650769"/>
    <n v="-2.31"/>
    <n v="0.75"/>
    <n v="3.22"/>
    <n v="-33.739130434782609"/>
    <s v="NO"/>
    <n v="6.0917687015984108E-2"/>
    <n v="-0.82480819554967388"/>
    <n v="-1.0230885670586589"/>
    <n v="-0.75714533906204673"/>
    <n v="1.0633539050891057"/>
    <n v="-3.2510344877419359"/>
    <x v="0"/>
    <x v="0"/>
    <x v="0"/>
    <x v="0"/>
    <x v="0"/>
    <x v="1"/>
  </r>
  <r>
    <x v="8"/>
    <s v="AIN"/>
    <n v="1938"/>
    <n v="68.290000000000006"/>
    <n v="4.53"/>
    <n v="29.8"/>
    <n v="2.4900000000000002"/>
    <n v="15.07505518763797"/>
    <n v="2.2916107382550339"/>
    <n v="8.31"/>
    <n v="4.78"/>
    <n v="1.88"/>
    <n v="27.425702811244982"/>
    <s v="NO"/>
    <n v="0.13227309540990523"/>
    <n v="0.51933271829426886"/>
    <n v="0.11873875192069984"/>
    <n v="0.51251632240266587"/>
    <n v="-0.45861741749512819"/>
    <n v="0.87073341375640645"/>
    <x v="0"/>
    <x v="0"/>
    <x v="0"/>
    <x v="0"/>
    <x v="0"/>
    <x v="0"/>
  </r>
  <r>
    <x v="8"/>
    <s v="AIRJ"/>
    <n v="283"/>
    <n v="4.55"/>
    <n v="-0.47"/>
    <n v="4.51"/>
    <n v="4.03"/>
    <n v="-9.6808510638297882"/>
    <n v="1.0088691796008868"/>
    <n v="175.21"/>
    <n v="-3.79"/>
    <n v="1.47"/>
    <n v="1.129032258064516"/>
    <s v="NO"/>
    <n v="-2.3744756771612758"/>
    <n v="-0.7422354725164223"/>
    <n v="18.063275431549229"/>
    <n v="-2.187483786468944"/>
    <n v="-0.92429521022612493"/>
    <n v="-0.90134323307096498"/>
    <x v="0"/>
    <x v="0"/>
    <x v="1"/>
    <x v="0"/>
    <x v="0"/>
    <x v="0"/>
  </r>
  <r>
    <x v="8"/>
    <s v="CMCO"/>
    <n v="439"/>
    <n v="18.23"/>
    <n v="0.86"/>
    <n v="30.81"/>
    <n v="0.32"/>
    <n v="21.197674418604652"/>
    <n v="0.59169100941252839"/>
    <n v="1.07"/>
    <n v="2.59"/>
    <n v="1.96"/>
    <n v="56.96875"/>
    <s v="NO"/>
    <n v="0.75224103704954837"/>
    <n v="-1.1525275581353172"/>
    <n v="-0.65968213220458793"/>
    <n v="-0.17744869958436166"/>
    <n v="-0.36775345793786041"/>
    <n v="2.8615764709958329"/>
    <x v="0"/>
    <x v="0"/>
    <x v="0"/>
    <x v="0"/>
    <x v="0"/>
    <x v="0"/>
  </r>
  <r>
    <x v="8"/>
    <s v="DDD"/>
    <n v="266"/>
    <n v="1.87"/>
    <n v="-0.46"/>
    <n v="1.3"/>
    <n v="-1.94"/>
    <n v="-4.0652173913043477"/>
    <n v="1.4384615384615385"/>
    <n v="-84.23"/>
    <n v="-10.35"/>
    <n v="3.46"/>
    <n v="-0.963917525773196"/>
    <s v="NO"/>
    <n v="-1.8058443908403428"/>
    <n v="-0.31973411103987193"/>
    <n v="-9.8308563609182702"/>
    <n v="-4.2542283272154728"/>
    <n v="1.3359457837609086"/>
    <n v="-1.0423826634209274"/>
    <x v="0"/>
    <x v="0"/>
    <x v="1"/>
    <x v="1"/>
    <x v="0"/>
    <x v="0"/>
  </r>
  <r>
    <x v="8"/>
    <s v="ERII"/>
    <n v="824"/>
    <n v="12.26"/>
    <n v="0.34"/>
    <n v="3.83"/>
    <n v="0.4"/>
    <n v="36.058823529411761"/>
    <n v="3.2010443864229763"/>
    <n v="10.72"/>
    <n v="5.6"/>
    <n v="1.1599999999999999"/>
    <n v="30.65"/>
    <s v="NO"/>
    <n v="2.2570604088026753"/>
    <n v="1.4137549457812761"/>
    <n v="0.37785399097345451"/>
    <n v="0.77085938999598191"/>
    <n v="-1.2763930535105372"/>
    <n v="1.0880119372511941"/>
    <x v="0"/>
    <x v="0"/>
    <x v="0"/>
    <x v="0"/>
    <x v="0"/>
    <x v="0"/>
  </r>
  <r>
    <x v="8"/>
    <s v="GHM"/>
    <n v="362"/>
    <n v="37.35"/>
    <n v="1.72"/>
    <n v="10.51"/>
    <n v="0.83"/>
    <n v="21.715116279069768"/>
    <n v="3.553758325404377"/>
    <n v="8.41"/>
    <n v="2.78"/>
    <n v="2.31"/>
    <n v="45.000000000000007"/>
    <s v="NO"/>
    <n v="0.80463648302604029"/>
    <n v="1.7606468686884467"/>
    <n v="0.1294904215909386"/>
    <n v="-0.11758872050786159"/>
    <n v="2.9776365125185764E-2"/>
    <n v="2.0550278882076634"/>
    <x v="0"/>
    <x v="0"/>
    <x v="0"/>
    <x v="0"/>
    <x v="0"/>
    <x v="0"/>
  </r>
  <r>
    <x v="8"/>
    <s v="GRC"/>
    <n v="964"/>
    <n v="39.03"/>
    <n v="2.54"/>
    <n v="14.53"/>
    <n v="1.69"/>
    <n v="15.366141732283465"/>
    <n v="2.6861665519614593"/>
    <n v="12.06"/>
    <n v="6.54"/>
    <n v="2.25"/>
    <n v="23.094674556213018"/>
    <s v="NO"/>
    <n v="0.16174811567739467"/>
    <n v="0.90737585973088386"/>
    <n v="0.52192636455465413"/>
    <n v="1.0670087601639298"/>
    <n v="-3.8371604542765052E-2"/>
    <n v="0.57887463977319598"/>
    <x v="0"/>
    <x v="0"/>
    <x v="0"/>
    <x v="0"/>
    <x v="0"/>
    <x v="0"/>
  </r>
  <r>
    <x v="8"/>
    <s v="HI"/>
    <n v="1379"/>
    <n v="23.12"/>
    <n v="2.1800000000000002"/>
    <n v="18.850000000000001"/>
    <n v="-3.85"/>
    <n v="10.605504587155963"/>
    <n v="1.226525198938992"/>
    <n v="-17.21"/>
    <n v="3.74"/>
    <n v="3.62"/>
    <n v="-6.0051948051948054"/>
    <s v="NO"/>
    <n v="-0.32030740670921143"/>
    <n v="-0.52817215735921486"/>
    <n v="-2.6250873479242376"/>
    <n v="0.18486170008919164"/>
    <n v="1.5176737028754439"/>
    <n v="-1.3821036071418424"/>
    <x v="0"/>
    <x v="0"/>
    <x v="1"/>
    <x v="0"/>
    <x v="0"/>
    <x v="0"/>
  </r>
  <r>
    <x v="8"/>
    <s v="HLIO"/>
    <n v="972"/>
    <n v="33.72"/>
    <n v="2.76"/>
    <n v="25.96"/>
    <n v="1.17"/>
    <n v="12.217391304347826"/>
    <n v="1.2989214175654853"/>
    <n v="4.54"/>
    <n v="3.51"/>
    <n v="1.74"/>
    <n v="28.820512820512821"/>
    <s v="NO"/>
    <n v="-0.1570899906792517"/>
    <n v="-0.45697093530635902"/>
    <n v="-0.28659919464730227"/>
    <n v="0.11239962015448088"/>
    <n v="-0.61762934672034653"/>
    <n v="0.96472669093520369"/>
    <x v="0"/>
    <x v="0"/>
    <x v="0"/>
    <x v="0"/>
    <x v="0"/>
    <x v="0"/>
  </r>
  <r>
    <x v="8"/>
    <s v="HLMN"/>
    <n v="1444"/>
    <n v="8.36"/>
    <n v="0.42"/>
    <n v="5.99"/>
    <n v="0.09"/>
    <n v="19.904761904761905"/>
    <n v="1.3956594323873119"/>
    <n v="1.57"/>
    <n v="2.48"/>
    <n v="1.97"/>
    <n v="92.888888888888886"/>
    <s v="NO"/>
    <n v="0.62132250697452562"/>
    <n v="-0.36182971101373085"/>
    <n v="-0.60592378385339407"/>
    <n v="-0.21210447694444062"/>
    <n v="-0.35639546299320196"/>
    <n v="5.2821581620151585"/>
    <x v="0"/>
    <x v="0"/>
    <x v="0"/>
    <x v="0"/>
    <x v="0"/>
    <x v="1"/>
  </r>
  <r>
    <x v="8"/>
    <s v="HY"/>
    <n v="685"/>
    <n v="43.32"/>
    <n v="7.05"/>
    <n v="27.27"/>
    <n v="8.0399999999999991"/>
    <n v="6.1446808510638302"/>
    <n v="1.5885588558855885"/>
    <n v="32.01"/>
    <n v="8.0299999999999994"/>
    <n v="4.2699999999999996"/>
    <n v="5.388059701492538"/>
    <s v="NO"/>
    <n v="-0.77200423862956835"/>
    <n v="-0.17211435091697438"/>
    <n v="2.6668844637672908"/>
    <n v="1.5364370171322725"/>
    <n v="2.2559433742782433"/>
    <n v="-0.6143364405025854"/>
    <x v="0"/>
    <x v="0"/>
    <x v="1"/>
    <x v="0"/>
    <x v="0"/>
    <x v="0"/>
  </r>
  <r>
    <x v="8"/>
    <s v="KMT"/>
    <n v="1529"/>
    <n v="22.16"/>
    <n v="2.5"/>
    <n v="15.78"/>
    <n v="1.22"/>
    <n v="8.8640000000000008"/>
    <n v="1.4043092522179976"/>
    <n v="7.84"/>
    <n v="4.42"/>
    <n v="2"/>
    <n v="18.16393442622951"/>
    <s v="NO"/>
    <n v="-0.49664974869160045"/>
    <n v="-0.35332266804703549"/>
    <n v="6.8205904470577505E-2"/>
    <n v="0.39909741467877086"/>
    <n v="-0.32232147815922652"/>
    <n v="0.24660255923554961"/>
    <x v="0"/>
    <x v="0"/>
    <x v="0"/>
    <x v="0"/>
    <x v="0"/>
    <x v="0"/>
  </r>
  <r>
    <x v="8"/>
    <s v="KRNT"/>
    <n v="855"/>
    <n v="19.25"/>
    <n v="0.71"/>
    <n v="15.78"/>
    <n v="-0.35"/>
    <n v="27.112676056338028"/>
    <n v="1.2198986058301649"/>
    <n v="-2.21"/>
    <n v="-2.61"/>
    <n v="1.08"/>
    <n v="-55"/>
    <s v="NO"/>
    <n v="1.3511859088118399"/>
    <n v="-0.53468936967150082"/>
    <n v="-1.0123368973884201"/>
    <n v="-1.8157218111517326"/>
    <n v="-1.3672570130678048"/>
    <n v="-4.6837592264715626"/>
    <x v="0"/>
    <x v="0"/>
    <x v="0"/>
    <x v="0"/>
    <x v="0"/>
    <x v="1"/>
  </r>
  <r>
    <x v="8"/>
    <s v="LXFR"/>
    <n v="299"/>
    <n v="12.45"/>
    <n v="1.58"/>
    <n v="8.4700000000000006"/>
    <n v="0.78"/>
    <n v="7.8797468354430373"/>
    <n v="1.4698937426210152"/>
    <n v="9.61"/>
    <n v="6.03"/>
    <n v="1.7"/>
    <n v="15.96153846153846"/>
    <s v="NO"/>
    <n v="-0.59631386064493219"/>
    <n v="-0.2888207375180315"/>
    <n v="0.25851045763380387"/>
    <n v="0.9063319742217455"/>
    <n v="-0.66306132649898042"/>
    <n v="9.8187783752733918E-2"/>
    <x v="0"/>
    <x v="0"/>
    <x v="0"/>
    <x v="0"/>
    <x v="0"/>
    <x v="0"/>
  </r>
  <r>
    <x v="8"/>
    <s v="MEC"/>
    <n v="262"/>
    <n v="15.44"/>
    <n v="3.77"/>
    <n v="12.33"/>
    <n v="1.24"/>
    <n v="4.0954907161803709"/>
    <n v="1.2522303325223032"/>
    <n v="10.78"/>
    <n v="2.8"/>
    <n v="1.77"/>
    <n v="12.451612903225806"/>
    <s v="NO"/>
    <n v="-0.97950239293686725"/>
    <n v="-0.502891321441441"/>
    <n v="0.38430499277559765"/>
    <n v="-0.11128767007875631"/>
    <n v="-0.58355536188637103"/>
    <n v="-0.13833862750567208"/>
    <x v="0"/>
    <x v="0"/>
    <x v="0"/>
    <x v="0"/>
    <x v="0"/>
    <x v="0"/>
  </r>
  <r>
    <x v="8"/>
    <s v="NNDM"/>
    <n v="251"/>
    <n v="1.59"/>
    <n v="-0.27"/>
    <n v="3.98"/>
    <n v="-0.44"/>
    <n v="-5.8888888888888884"/>
    <n v="0.39949748743718594"/>
    <n v="-10.34"/>
    <n v="-5.44"/>
    <n v="1.05"/>
    <n v="-3.6136363636363638"/>
    <s v="NO"/>
    <n v="-1.9905068403465918"/>
    <n v="-1.3415486685594327"/>
    <n v="-1.8864476415788329"/>
    <n v="-2.7073204468701291"/>
    <n v="-1.4013309979017801"/>
    <n v="-1.2209415750420789"/>
    <x v="0"/>
    <x v="0"/>
    <x v="0"/>
    <x v="1"/>
    <x v="0"/>
    <x v="0"/>
  </r>
  <r>
    <x v="8"/>
    <s v="OFLX"/>
    <n v="307"/>
    <n v="34.17"/>
    <n v="1.74"/>
    <n v="8.25"/>
    <n v="1.72"/>
    <n v="19.637931034482758"/>
    <n v="4.1418181818181816"/>
    <n v="21.15"/>
    <n v="12.73"/>
    <n v="1.23"/>
    <n v="19.866279069767444"/>
    <s v="NO"/>
    <n v="0.59430358269189321"/>
    <n v="2.3390000093808996"/>
    <n v="1.4992531375793592"/>
    <n v="3.0171838679720122"/>
    <n v="-1.1968870888979279"/>
    <n v="0.36131994072171592"/>
    <x v="0"/>
    <x v="0"/>
    <x v="0"/>
    <x v="1"/>
    <x v="0"/>
    <x v="0"/>
  </r>
  <r>
    <x v="8"/>
    <s v="PKOH"/>
    <n v="277"/>
    <n v="19.989999999999998"/>
    <n v="-0.12"/>
    <n v="24.4"/>
    <n v="3.19"/>
    <n v="-166.58333333333331"/>
    <n v="0.81926229508196724"/>
    <n v="12.6"/>
    <n v="4.3499999999999996"/>
    <n v="4.13"/>
    <n v="6.2664576802507836"/>
    <s v="NO"/>
    <n v="-18.262203674157149"/>
    <n v="-0.92871264140050835"/>
    <n v="0.57998538077394346"/>
    <n v="0.37704373817690229"/>
    <n v="2.0969314450530252"/>
    <n v="-0.55514307069442204"/>
    <x v="1"/>
    <x v="0"/>
    <x v="0"/>
    <x v="0"/>
    <x v="0"/>
    <x v="0"/>
  </r>
  <r>
    <x v="8"/>
    <s v="PRLB"/>
    <n v="919"/>
    <n v="41.36"/>
    <n v="2.71"/>
    <n v="27.63"/>
    <n v="0.6"/>
    <n v="15.261992619926199"/>
    <n v="1.4969236337314513"/>
    <n v="2.2200000000000002"/>
    <n v="1.92"/>
    <n v="1.1200000000000001"/>
    <n v="68.933333333333337"/>
    <s v="NO"/>
    <n v="0.15120212083826509"/>
    <n v="-0.26223701097082225"/>
    <n v="-0.53603793099684194"/>
    <n v="-0.38853388895938828"/>
    <n v="-1.3218250332891708"/>
    <n v="3.6678442709875578"/>
    <x v="0"/>
    <x v="0"/>
    <x v="0"/>
    <x v="0"/>
    <x v="0"/>
    <x v="1"/>
  </r>
  <r>
    <x v="8"/>
    <s v="SSYS"/>
    <n v="811"/>
    <n v="11.01"/>
    <n v="-7.0000000000000007E-2"/>
    <n v="11.06"/>
    <n v="-1.7"/>
    <n v="-157.28571428571428"/>
    <n v="0.99547920433996373"/>
    <n v="-14.34"/>
    <n v="-3.75"/>
    <n v="1.3"/>
    <n v="-6.4764705882352942"/>
    <s v="NO"/>
    <n v="-17.320739649422784"/>
    <n v="-0.75540442829785515"/>
    <n v="-2.3165144283883841"/>
    <n v="-2.1748816856107331"/>
    <n v="-1.1173811242853187"/>
    <n v="-1.4138618788839783"/>
    <x v="1"/>
    <x v="0"/>
    <x v="0"/>
    <x v="0"/>
    <x v="0"/>
    <x v="0"/>
  </r>
  <r>
    <x v="8"/>
    <s v="SXI"/>
    <n v="1841"/>
    <n v="156.66"/>
    <n v="3.24"/>
    <n v="57.3"/>
    <n v="5.05"/>
    <n v="48.351851851851848"/>
    <n v="2.7340314136125654"/>
    <n v="9.2899999999999991"/>
    <n v="5.47"/>
    <n v="2.2599999999999998"/>
    <n v="31.021782178217823"/>
    <s v="NO"/>
    <n v="3.5018354271533938"/>
    <n v="0.95445064771853261"/>
    <n v="0.22410511468903976"/>
    <n v="0.72990256220679761"/>
    <n v="-2.7013609598106836E-2"/>
    <n v="1.1130655467716104"/>
    <x v="1"/>
    <x v="0"/>
    <x v="0"/>
    <x v="0"/>
    <x v="0"/>
    <x v="0"/>
  </r>
  <r>
    <x v="8"/>
    <s v="TNC"/>
    <n v="1320"/>
    <n v="76.959999999999994"/>
    <n v="3.25"/>
    <n v="33.380000000000003"/>
    <n v="3.58"/>
    <n v="23.68"/>
    <n v="2.3055721989215097"/>
    <n v="11.01"/>
    <n v="5.69"/>
    <n v="1.89"/>
    <n v="21.497206703910614"/>
    <s v="NO"/>
    <n v="1.0035978866464359"/>
    <n v="0.53306372634904831"/>
    <n v="0.40903383301714685"/>
    <n v="0.79921411692695588"/>
    <n v="-0.44725942255046969"/>
    <n v="0.47122468198109857"/>
    <x v="0"/>
    <x v="0"/>
    <x v="0"/>
    <x v="0"/>
    <x v="0"/>
    <x v="0"/>
  </r>
  <r>
    <x v="8"/>
    <s v="ZJK"/>
    <n v="273"/>
    <n v="4.93"/>
    <n v="0.05"/>
    <n v="0.49"/>
    <n v="0.06"/>
    <n v="98.6"/>
    <n v="10.061224489795919"/>
    <n v="14.15"/>
    <n v="2.13"/>
    <n v="1.86"/>
    <n v="82.166666666666671"/>
    <s v="NO"/>
    <n v="8.5898932996813766"/>
    <n v="8.1606985863444592"/>
    <n v="0.74663626066264466"/>
    <n v="-0.32237285945378297"/>
    <n v="-0.48133340738444486"/>
    <n v="4.5596104324967754"/>
    <x v="1"/>
    <x v="1"/>
    <x v="0"/>
    <x v="0"/>
    <x v="0"/>
    <x v="1"/>
  </r>
  <r>
    <x v="9"/>
    <s v="CCEC"/>
    <n v="1181"/>
    <n v="19.95"/>
    <n v="-17.13"/>
    <n v="23"/>
    <n v="0.12"/>
    <n v="-1.1646234676007006"/>
    <n v="0.86739130434782608"/>
    <n v="0.67"/>
    <n v="3.29"/>
    <n v="3.06"/>
    <n v="166.25"/>
    <s v="NO"/>
    <n v="-0.18043245680553138"/>
    <n v="1.8835841946341738"/>
    <n v="-4.0506694410521566"/>
    <n v="-1.1906015639413192"/>
    <n v="1.9196670200956603"/>
    <n v="61.095047480861638"/>
    <x v="0"/>
    <x v="0"/>
    <x v="1"/>
    <x v="0"/>
    <x v="0"/>
    <x v="1"/>
  </r>
  <r>
    <x v="9"/>
    <s v="CMRE"/>
    <n v="846"/>
    <n v="8.67"/>
    <n v="2.16"/>
    <n v="20.95"/>
    <n v="2.44"/>
    <n v="4.0138888888888884"/>
    <n v="0.41384248210023866"/>
    <n v="12.63"/>
    <n v="5.56"/>
    <n v="2.0499999999999998"/>
    <n v="3.5532786885245904"/>
    <s v="NO"/>
    <n v="0.56190174164398665"/>
    <n v="-1.1152487104179394"/>
    <n v="5.9356680107526087E-3"/>
    <n v="-7.8393518613420685E-2"/>
    <n v="0.20081623082560995"/>
    <n v="-0.51090144568969509"/>
    <x v="0"/>
    <x v="0"/>
    <x v="0"/>
    <x v="0"/>
    <x v="0"/>
    <x v="0"/>
  </r>
  <r>
    <x v="9"/>
    <s v="DAC"/>
    <n v="1508"/>
    <n v="88.8"/>
    <n v="-1.95"/>
    <n v="180.37"/>
    <n v="26.05"/>
    <n v="-45.53846153846154"/>
    <n v="0.49232133946886952"/>
    <n v="15.68"/>
    <n v="8.3000000000000007"/>
    <n v="1.27"/>
    <n v="3.4088291746641071"/>
    <s v="NO"/>
    <n v="-6.5413746056026252"/>
    <n v="-0.59635202656883124"/>
    <n v="1.0404378070276312"/>
    <n v="1.2640954876414003"/>
    <n v="-1.1266130915809629"/>
    <n v="-0.56559799582064385"/>
    <x v="1"/>
    <x v="0"/>
    <x v="0"/>
    <x v="0"/>
    <x v="0"/>
    <x v="0"/>
  </r>
  <r>
    <x v="9"/>
    <s v="GNK"/>
    <n v="578"/>
    <n v="14.56"/>
    <n v="1.63"/>
    <n v="21.67"/>
    <n v="1.75"/>
    <n v="8.9325153374233146"/>
    <n v="0.67189663128749422"/>
    <n v="8.3000000000000007"/>
    <n v="4.3899999999999997"/>
    <n v="1.1399999999999999"/>
    <n v="8.32"/>
    <s v="NO"/>
    <n v="1.2669815736095753"/>
    <n v="0.59098716962040954"/>
    <n v="-1.4627181883640299"/>
    <n v="-0.65164612347405571"/>
    <n v="-1.3478513119820585"/>
    <n v="1.2940420546753943"/>
    <x v="0"/>
    <x v="0"/>
    <x v="0"/>
    <x v="0"/>
    <x v="0"/>
    <x v="0"/>
  </r>
  <r>
    <x v="9"/>
    <s v="GSL"/>
    <n v="767"/>
    <n v="24.4"/>
    <n v="5.31"/>
    <n v="41.29"/>
    <n v="9.67"/>
    <n v="4.5951035781544256"/>
    <n v="0.59094211673528696"/>
    <n v="26.71"/>
    <n v="10.43"/>
    <n v="1.62"/>
    <n v="2.5232678386763183"/>
    <s v="NO"/>
    <n v="0.64521824468222466"/>
    <n v="5.5721614638647797E-2"/>
    <n v="4.7816045589476897"/>
    <n v="2.3077092041825558"/>
    <n v="-0.53097172896262856"/>
    <n v="-0.90092034280111932"/>
    <x v="0"/>
    <x v="0"/>
    <x v="1"/>
    <x v="0"/>
    <x v="0"/>
    <x v="0"/>
  </r>
  <r>
    <x v="9"/>
    <s v="HSHP"/>
    <n v="254"/>
    <n v="5.65"/>
    <n v="-6.66"/>
    <n v="3.65"/>
    <n v="0.56999999999999995"/>
    <n v="-0.84834834834834838"/>
    <n v="1.5479452054794522"/>
    <n v="16.829999999999998"/>
    <n v="5.38"/>
    <n v="5.56"/>
    <n v="9.912280701754387"/>
    <s v="NO"/>
    <n v="-0.13509475729314194"/>
    <n v="6.383358711215358"/>
    <n v="1.4304959905913721"/>
    <n v="-0.16658622705351825"/>
    <n v="6.1742481816551891"/>
    <n v="1.8969673183088125"/>
    <x v="0"/>
    <x v="1"/>
    <x v="0"/>
    <x v="0"/>
    <x v="1"/>
    <x v="0"/>
  </r>
  <r>
    <x v="9"/>
    <s v="NMM"/>
    <n v="1061"/>
    <n v="39.67"/>
    <n v="-17.27"/>
    <n v="102.47"/>
    <n v="12.12"/>
    <n v="-2.2970469021424438"/>
    <n v="0.38713769883868454"/>
    <n v="12.5"/>
    <n v="5.07"/>
    <n v="1.83"/>
    <n v="3.2731023102310233"/>
    <s v="NO"/>
    <n v="-0.34276414295715929"/>
    <n v="-1.2918188586330237"/>
    <n v="-3.8157865783409711E-2"/>
    <n v="-0.31847366936701965"/>
    <n v="-0.17358691139162818"/>
    <n v="-0.61699166995755317"/>
    <x v="0"/>
    <x v="0"/>
    <x v="0"/>
    <x v="0"/>
    <x v="0"/>
    <x v="0"/>
  </r>
  <r>
    <x v="9"/>
    <s v="PANL"/>
    <n v="266"/>
    <n v="4.32"/>
    <n v="-0.08"/>
    <n v="6.59"/>
    <n v="0.63"/>
    <n v="-54"/>
    <n v="0.6555386949924128"/>
    <n v="8.26"/>
    <n v="3.69"/>
    <n v="2.19"/>
    <n v="6.8571428571428577"/>
    <s v="NO"/>
    <n v="-7.7543270790334091"/>
    <n v="0.4828296456357965"/>
    <n v="-1.4762854295314647"/>
    <n v="-0.99461776740776875"/>
    <n v="0.4390727758729438"/>
    <n v="0.74012368617203661"/>
    <x v="1"/>
    <x v="0"/>
    <x v="0"/>
    <x v="0"/>
    <x v="0"/>
    <x v="0"/>
  </r>
  <r>
    <x v="9"/>
    <s v="SB"/>
    <n v="357"/>
    <n v="3.61"/>
    <n v="-0.21"/>
    <n v="7.9"/>
    <n v="0.83"/>
    <n v="-17.19047619047619"/>
    <n v="0.45696202531645563"/>
    <n v="11.99"/>
    <n v="5.0999999999999996"/>
    <n v="1.69"/>
    <n v="4.3493975903614457"/>
    <s v="NO"/>
    <n v="-2.477721275784083"/>
    <n v="-0.83014532417869558"/>
    <n v="-0.21114019066819925"/>
    <n v="-0.30377488462700364"/>
    <n v="-0.41184345643896203"/>
    <n v="-0.20944693566224487"/>
    <x v="0"/>
    <x v="0"/>
    <x v="0"/>
    <x v="0"/>
    <x v="0"/>
    <x v="0"/>
  </r>
  <r>
    <x v="9"/>
    <s v="SBLK"/>
    <n v="1747"/>
    <n v="16.43"/>
    <n v="3.89"/>
    <n v="21.1"/>
    <n v="2.8"/>
    <n v="4.2236503856041132"/>
    <n v="0.7786729857819904"/>
    <n v="14.71"/>
    <n v="5.99"/>
    <n v="1.65"/>
    <n v="5.8678571428571429"/>
    <s v="NO"/>
    <n v="0.59197082747604646"/>
    <n v="1.296984913706289"/>
    <n v="0.71143220871734558"/>
    <n v="0.13228906266014634"/>
    <n v="-0.47991675502391457"/>
    <n v="0.36552557075350589"/>
    <x v="0"/>
    <x v="0"/>
    <x v="0"/>
    <x v="0"/>
    <x v="0"/>
    <x v="0"/>
  </r>
  <r>
    <x v="9"/>
    <s v="ZIM"/>
    <n v="1638"/>
    <n v="17.11"/>
    <n v="29.4"/>
    <n v="33.520000000000003"/>
    <n v="17.82"/>
    <n v="0.58197278911564632"/>
    <n v="0.51044152744630067"/>
    <n v="66.260000000000005"/>
    <n v="15.77"/>
    <n v="2.82"/>
    <n v="0.96015712682379339"/>
    <s v="NO"/>
    <n v="6.9940245428082512E-2"/>
    <n v="-0.47654261843682888"/>
    <n v="18.196214263248532"/>
    <n v="4.924092887905454"/>
    <n v="1.5112272285859449"/>
    <n v="-1.4928002399784934"/>
    <x v="0"/>
    <x v="0"/>
    <x v="1"/>
    <x v="1"/>
    <x v="0"/>
    <x v="0"/>
  </r>
  <r>
    <x v="10"/>
    <s v="ALGT"/>
    <n v="935"/>
    <n v="58.34"/>
    <n v="0.18"/>
    <n v="61.2"/>
    <n v="-13.49"/>
    <n v="324.11111111111114"/>
    <n v="0.95326797385620921"/>
    <n v="-19.87"/>
    <n v="1.25"/>
    <n v="4.07"/>
    <n v="-4.3246849518161605"/>
    <s v="NO"/>
    <n v="52.139182127578636"/>
    <n v="7.5459023613576412E-2"/>
    <n v="-1.6229618146498599"/>
    <n v="4.2830605259880916E-2"/>
    <n v="-0.20827354972507589"/>
    <n v="-0.79596467015780992"/>
    <x v="1"/>
    <x v="0"/>
    <x v="0"/>
    <x v="0"/>
    <x v="0"/>
    <x v="0"/>
  </r>
  <r>
    <x v="10"/>
    <s v="GOLLQ"/>
    <n v="480"/>
    <n v="1E-4"/>
    <n v="-0.36"/>
    <n v="-11.19"/>
    <n v="-2.33"/>
    <n v="-2.7777777777777778E-4"/>
    <n v="-8.9365504915102783E-6"/>
    <n v="23.22"/>
    <n v="1.45"/>
    <n v="-0.82"/>
    <n v="-4.2918454935622321E-5"/>
    <s v="NO"/>
    <n v="-0.17349720699864701"/>
    <n v="-1.5935910360383936"/>
    <n v="1.2156293608309598"/>
    <n v="0.12708753363997441"/>
    <n v="-0.91977091570205671"/>
    <n v="-0.27790237148044789"/>
    <x v="0"/>
    <x v="0"/>
    <x v="0"/>
    <x v="0"/>
    <x v="0"/>
    <x v="0"/>
  </r>
  <r>
    <x v="10"/>
    <s v="JBLU"/>
    <n v="1580"/>
    <n v="4.93"/>
    <n v="-3.68"/>
    <n v="6.9"/>
    <n v="-0.82"/>
    <n v="-1.339673913043478"/>
    <n v="0.71449275362318831"/>
    <n v="-11.3"/>
    <n v="-0.45"/>
    <n v="6.99"/>
    <n v="-6.01219512195122"/>
    <s v="NO"/>
    <n v="-0.38968029382669744"/>
    <n v="-0.34260186847633078"/>
    <n v="-1.0584056212437187"/>
    <n v="-0.67335328597091382"/>
    <n v="0.21658786308735434"/>
    <n v="-0.99811675373780429"/>
    <x v="0"/>
    <x v="0"/>
    <x v="0"/>
    <x v="0"/>
    <x v="0"/>
    <x v="0"/>
  </r>
  <r>
    <x v="10"/>
    <s v="SNCY"/>
    <n v="596"/>
    <n v="12.77"/>
    <n v="2.2200000000000002"/>
    <n v="11.33"/>
    <n v="0.98"/>
    <n v="5.7522522522522515"/>
    <n v="1.1270962047661077"/>
    <n v="9.4600000000000009"/>
    <n v="4.21"/>
    <n v="2.64"/>
    <n v="13.030612244897959"/>
    <s v="NO"/>
    <n v="0.75498068405951435"/>
    <n v="0.37980712645977244"/>
    <n v="0.30917740969111124"/>
    <n v="1.2898331452852647"/>
    <n v="-0.41633924161609481"/>
    <n v="1.2830802752039121"/>
    <x v="0"/>
    <x v="0"/>
    <x v="0"/>
    <x v="0"/>
    <x v="0"/>
    <x v="0"/>
  </r>
  <r>
    <x v="10"/>
    <s v="ULCC"/>
    <n v="795"/>
    <n v="4.3899999999999997"/>
    <n v="-0.99"/>
    <n v="2.5"/>
    <n v="0.3"/>
    <n v="-4.4343434343434343"/>
    <n v="1.7559999999999998"/>
    <n v="12.9"/>
    <n v="-2.95"/>
    <n v="11.37"/>
    <n v="14.633333333333333"/>
    <s v="NO"/>
    <n v="-0.88917046869911842"/>
    <n v="1.4809267544413751"/>
    <n v="0.53579039747607338"/>
    <n v="-1.7265648907220827"/>
    <n v="0.85387998230599949"/>
    <n v="1.4750752113878383"/>
    <x v="0"/>
    <x v="0"/>
    <x v="0"/>
    <x v="0"/>
    <x v="0"/>
    <x v="0"/>
  </r>
  <r>
    <x v="10"/>
    <s v="UP"/>
    <n v="818"/>
    <n v="1.67"/>
    <n v="-0.28999999999999998"/>
    <n v="-0.41"/>
    <n v="-0.49"/>
    <n v="-5.7586206896551726"/>
    <n v="-4.0731707317073171"/>
    <n v="237.88"/>
    <n v="-14.27"/>
    <n v="-3.79"/>
    <n v="-3.4081632653061225"/>
    <s v="NO"/>
    <n v="-1.1029133169362297"/>
    <n v="-8.7251085027503823"/>
    <n v="15.356543302086767"/>
    <n v="-6.4955070370353747"/>
    <n v="-1.3519073527064807"/>
    <n v="-0.68617169121568822"/>
    <x v="0"/>
    <x v="1"/>
    <x v="1"/>
    <x v="1"/>
    <x v="0"/>
    <x v="0"/>
  </r>
  <r>
    <x v="10"/>
    <s v="VLRS"/>
    <n v="469"/>
    <n v="4.28"/>
    <n v="0.35"/>
    <n v="0.27"/>
    <n v="0.04"/>
    <n v="12.22857142857143"/>
    <n v="15.851851851851851"/>
    <n v="14.19"/>
    <n v="3.38"/>
    <n v="18.05"/>
    <n v="107"/>
    <s v="NO"/>
    <n v="1.8002806024011784"/>
    <n v="26.160725580305492"/>
    <n v="0.6207702678954341"/>
    <n v="0.94016689250787655"/>
    <n v="1.8258232143563538"/>
    <n v="12.539965041658348"/>
    <x v="0"/>
    <x v="1"/>
    <x v="0"/>
    <x v="0"/>
    <x v="0"/>
    <x v="1"/>
  </r>
  <r>
    <x v="11"/>
    <s v="ASUR"/>
    <n v="263"/>
    <n v="9.91"/>
    <n v="-0.56000000000000005"/>
    <n v="7.29"/>
    <n v="-0.53"/>
    <n v="-17.696428571428569"/>
    <n v="1.3593964334705075"/>
    <n v="-7.01"/>
    <n v="-1.59"/>
    <n v="2.52"/>
    <n v="-18.69811320754717"/>
    <s v="NO"/>
    <n v="-1.9684431949668677"/>
    <n v="-0.66935090203437175"/>
    <n v="-1.0650883255323864"/>
    <n v="-1.1358189433764094"/>
    <n v="3.4107936707155354E-2"/>
    <n v="-1.6968894551559901"/>
    <x v="0"/>
    <x v="0"/>
    <x v="0"/>
    <x v="0"/>
    <x v="0"/>
    <x v="0"/>
  </r>
  <r>
    <x v="11"/>
    <s v="BBSI"/>
    <n v="1047"/>
    <n v="41.71"/>
    <n v="-0.16"/>
    <n v="8.59"/>
    <n v="1.98"/>
    <n v="-260.6875"/>
    <n v="4.8556461001164148"/>
    <n v="25.2"/>
    <n v="5.09"/>
    <n v="3.37"/>
    <n v="21.065656565656568"/>
    <s v="NO"/>
    <n v="-20.183682389405661"/>
    <n v="1.2631065318774479"/>
    <n v="0.84739619007363332"/>
    <n v="0.32250668932145132"/>
    <n v="1.3415788438147573"/>
    <n v="0.20136715202492181"/>
    <x v="1"/>
    <x v="0"/>
    <x v="0"/>
    <x v="0"/>
    <x v="0"/>
    <x v="0"/>
  </r>
  <r>
    <x v="11"/>
    <s v="FVRR"/>
    <n v="1046"/>
    <n v="32.4"/>
    <n v="2.1800000000000002"/>
    <n v="10.119999999999999"/>
    <n v="0.48"/>
    <n v="14.862385321100916"/>
    <n v="3.2015810276679844"/>
    <n v="5.08"/>
    <n v="-0.92"/>
    <n v="2.95"/>
    <n v="67.5"/>
    <s v="NO"/>
    <n v="0.47224970561148366"/>
    <n v="0.3488668035421123"/>
    <n v="-0.34723865792366931"/>
    <n v="-0.98954975566569592"/>
    <n v="0.69553439559688357"/>
    <n v="2.4180659139151808"/>
    <x v="0"/>
    <x v="0"/>
    <x v="0"/>
    <x v="0"/>
    <x v="0"/>
    <x v="0"/>
  </r>
  <r>
    <x v="11"/>
    <s v="HSII"/>
    <n v="839"/>
    <n v="43.43"/>
    <n v="4.8499999999999996"/>
    <n v="22.73"/>
    <n v="0.37"/>
    <n v="8.9546391752577321"/>
    <n v="1.9106907171139462"/>
    <n v="1.71"/>
    <n v="4.79"/>
    <n v="2.2000000000000002"/>
    <n v="117.37837837837839"/>
    <s v="NO"/>
    <n v="2.9389774528829293E-2"/>
    <n v="-0.36463789859434853"/>
    <n v="-0.54733405741427121"/>
    <n v="0.25701302318232588"/>
    <n v="-0.45811640479217686"/>
    <n v="4.7991772082480226"/>
    <x v="0"/>
    <x v="0"/>
    <x v="0"/>
    <x v="0"/>
    <x v="0"/>
    <x v="1"/>
  </r>
  <r>
    <x v="11"/>
    <s v="KELYA"/>
    <n v="397"/>
    <n v="12.38"/>
    <n v="0.45"/>
    <n v="35.4"/>
    <n v="-0.02"/>
    <n v="27.511111111111113"/>
    <n v="0.3497175141242938"/>
    <n v="-0.05"/>
    <n v="1.69"/>
    <n v="2.13"/>
    <n v="-619"/>
    <s v="NO"/>
    <n v="1.4204309059138567"/>
    <n v="-1.2274236141088704"/>
    <n v="-0.65183491886930367"/>
    <n v="-0.41975486025530417"/>
    <n v="-0.56579047949515626"/>
    <n v="-30.354308744281166"/>
    <x v="0"/>
    <x v="0"/>
    <x v="0"/>
    <x v="0"/>
    <x v="0"/>
    <x v="1"/>
  </r>
  <r>
    <x v="11"/>
    <s v="KELYB"/>
    <n v="395"/>
    <n v="12.071"/>
    <n v="1.22"/>
    <n v="36.03"/>
    <n v="1.1599999999999999"/>
    <n v="9.8942622950819672"/>
    <n v="0.33502636691645848"/>
    <n v="-0.05"/>
    <n v="1.69"/>
    <n v="2.13"/>
    <n v="10.406034482758621"/>
    <s v="NO"/>
    <n v="9.9826353863203932E-2"/>
    <n v="-1.2355437483502301"/>
    <n v="-0.65183491886930367"/>
    <n v="-0.41975486025530417"/>
    <n v="-0.56579047949515626"/>
    <n v="-0.30750557720379607"/>
    <x v="0"/>
    <x v="0"/>
    <x v="0"/>
    <x v="0"/>
    <x v="0"/>
    <x v="0"/>
  </r>
  <r>
    <x v="11"/>
    <s v="KFRC"/>
    <n v="702"/>
    <n v="41.61"/>
    <n v="3.48"/>
    <n v="7.71"/>
    <n v="2.56"/>
    <n v="11.956896551724137"/>
    <n v="5.3968871595330743"/>
    <n v="31.45"/>
    <n v="11.17"/>
    <n v="2.67"/>
    <n v="16.25390625"/>
    <s v="NO"/>
    <n v="0.25444675260664046"/>
    <n v="1.5622628875536806"/>
    <n v="1.2184929992179245"/>
    <n v="1.6498449897410612"/>
    <n v="0.26483809678496734"/>
    <n v="-2.8337850315051333E-2"/>
    <x v="0"/>
    <x v="0"/>
    <x v="0"/>
    <x v="0"/>
    <x v="0"/>
    <x v="0"/>
  </r>
  <r>
    <x v="11"/>
    <s v="MAN"/>
    <n v="1776"/>
    <n v="43.81"/>
    <n v="-0.27"/>
    <n v="45.21"/>
    <n v="2.33"/>
    <n v="-162.25925925925927"/>
    <n v="0.96903339969033397"/>
    <n v="5.17"/>
    <n v="2.57"/>
    <n v="3.82"/>
    <n v="18.802575107296139"/>
    <s v="NO"/>
    <n v="-12.805246885418722"/>
    <n v="-0.88511351010822681"/>
    <n v="-0.34189486387199153"/>
    <n v="-0.22764010624720277"/>
    <n v="2.0337693240481931"/>
    <n v="9.3331385913624887E-2"/>
    <x v="1"/>
    <x v="0"/>
    <x v="0"/>
    <x v="0"/>
    <x v="0"/>
    <x v="0"/>
  </r>
  <r>
    <x v="11"/>
    <s v="BKSY"/>
    <n v="274"/>
    <n v="11.84"/>
    <n v="-2.64"/>
    <n v="3.07"/>
    <n v="-2.67"/>
    <n v="-4.4848484848484844"/>
    <n v="3.8566775244299674"/>
    <n v="-61.15"/>
    <n v="-11.71"/>
    <n v="2.7"/>
    <n v="-4.4344569288389515"/>
    <s v="NO"/>
    <n v="-0.97806898080862603"/>
    <n v="0.7109536725590373"/>
    <n v="-4.2796773250638953"/>
    <n v="-3.3451386144695761"/>
    <n v="0.31098412880053011"/>
    <n v="-1.0159660938135859"/>
    <x v="0"/>
    <x v="0"/>
    <x v="1"/>
    <x v="1"/>
    <x v="0"/>
    <x v="0"/>
  </r>
  <r>
    <x v="11"/>
    <s v="CRAI"/>
    <n v="1213"/>
    <n v="189.98"/>
    <n v="2.35"/>
    <n v="33.479999999999997"/>
    <n v="7.4"/>
    <n v="80.842553191489358"/>
    <n v="5.6744324970131421"/>
    <n v="23.21"/>
    <n v="8.3699999999999992"/>
    <n v="2.6"/>
    <n v="25.672972972972971"/>
    <s v="NO"/>
    <n v="5.4182937424667204"/>
    <n v="1.7156685655799466"/>
    <n v="0.72923896604209104"/>
    <n v="1.0385707724425566"/>
    <n v="0.15716402208198857"/>
    <n v="0.42131281767594631"/>
    <x v="1"/>
    <x v="0"/>
    <x v="0"/>
    <x v="0"/>
    <x v="0"/>
    <x v="0"/>
  </r>
  <r>
    <x v="11"/>
    <s v="FBYD"/>
    <n v="267"/>
    <n v="7.78"/>
    <n v="-1"/>
    <n v="-0.25"/>
    <n v="1.41"/>
    <n v="-7.78"/>
    <n v="-31.12"/>
    <n v="-58.72"/>
    <n v="-15.91"/>
    <n v="-6.83"/>
    <n v="5.5177304964539013"/>
    <s v="NO"/>
    <n v="-1.2250820610733717"/>
    <n v="-18.621458752227507"/>
    <n v="-4.135394885668596"/>
    <n v="-4.2620499404173326"/>
    <n v="-14.348072041476467"/>
    <n v="-0.54086512517514784"/>
    <x v="0"/>
    <x v="1"/>
    <x v="1"/>
    <x v="1"/>
    <x v="1"/>
    <x v="0"/>
  </r>
  <r>
    <x v="11"/>
    <s v="FC"/>
    <n v="263"/>
    <n v="23.19"/>
    <n v="2.86"/>
    <n v="5.59"/>
    <n v="1.34"/>
    <n v="8.1083916083916083"/>
    <n v="4.1484794275491952"/>
    <n v="24.81"/>
    <n v="8.17"/>
    <n v="3.05"/>
    <n v="17.305970149253731"/>
    <s v="NO"/>
    <n v="-3.4047131846183298E-2"/>
    <n v="0.87223928161948394"/>
    <n v="0.82423974918302945"/>
    <n v="0.99490832834980636"/>
    <n v="0.84935450231542442"/>
    <n v="2.1885940319626335E-2"/>
    <x v="0"/>
    <x v="0"/>
    <x v="0"/>
    <x v="0"/>
    <x v="0"/>
    <x v="0"/>
  </r>
  <r>
    <x v="11"/>
    <s v="ICFI"/>
    <n v="1554"/>
    <n v="86.1"/>
    <n v="6.9"/>
    <n v="52.58"/>
    <n v="5.82"/>
    <n v="12.478260869565215"/>
    <n v="1.6375047546595662"/>
    <n v="11.64"/>
    <n v="5.0999999999999996"/>
    <n v="2.14"/>
    <n v="14.79381443298969"/>
    <s v="NO"/>
    <n v="0.29352957034594274"/>
    <n v="-0.51563404999098972"/>
    <n v="4.2264552954178879E-2"/>
    <n v="0.32468981152608878"/>
    <n v="-0.55040846882330174"/>
    <n v="-9.8040218942041207E-2"/>
    <x v="0"/>
    <x v="0"/>
    <x v="0"/>
    <x v="0"/>
    <x v="0"/>
    <x v="0"/>
  </r>
  <r>
    <x v="11"/>
    <s v="INOD"/>
    <n v="1167"/>
    <n v="36.32"/>
    <n v="0.94"/>
    <n v="2.0299999999999998"/>
    <n v="0.89"/>
    <n v="38.638297872340431"/>
    <n v="17.891625615763548"/>
    <n v="64.89"/>
    <n v="17.600000000000001"/>
    <n v="1.79"/>
    <n v="40.80898876404494"/>
    <s v="NO"/>
    <n v="2.2545536052598898"/>
    <n v="8.4683916016652994"/>
    <n v="3.204009366863541"/>
    <n v="3.0535925673229842"/>
    <n v="-1.0887788423381968"/>
    <n v="1.1438811794201367"/>
    <x v="0"/>
    <x v="1"/>
    <x v="1"/>
    <x v="1"/>
    <x v="0"/>
    <x v="0"/>
  </r>
  <r>
    <x v="11"/>
    <s v="LZ"/>
    <n v="1314"/>
    <n v="9.51"/>
    <n v="0.55000000000000004"/>
    <n v="0.54"/>
    <n v="0.16"/>
    <n v="17.290909090909089"/>
    <n v="17.611111111111111"/>
    <n v="22.86"/>
    <n v="6.34"/>
    <n v="4.01"/>
    <n v="59.4375"/>
    <s v="NO"/>
    <n v="0.654298128610596"/>
    <n v="8.313344796796887"/>
    <n v="0.70845754473001066"/>
    <n v="0.5953969649011408"/>
    <n v="2.3260275268134216"/>
    <n v="2.0331754977728527"/>
    <x v="0"/>
    <x v="1"/>
    <x v="0"/>
    <x v="0"/>
    <x v="0"/>
    <x v="0"/>
  </r>
  <r>
    <x v="11"/>
    <s v="MG"/>
    <n v="296"/>
    <n v="7.96"/>
    <n v="0.88"/>
    <n v="6.4"/>
    <n v="0.6"/>
    <n v="9.045454545454545"/>
    <n v="1.2437499999999999"/>
    <n v="9.74"/>
    <n v="5.26"/>
    <n v="2.63"/>
    <n v="13.266666666666667"/>
    <s v="NO"/>
    <n v="3.6197529566662945E-2"/>
    <n v="-0.73327134003897976"/>
    <n v="-7.0548877025685713E-2"/>
    <n v="0.35961976680028906"/>
    <n v="0.20331005409755071"/>
    <n v="-0.17094372769129942"/>
    <x v="0"/>
    <x v="0"/>
    <x v="0"/>
    <x v="0"/>
    <x v="0"/>
    <x v="0"/>
  </r>
  <r>
    <x v="11"/>
    <s v="NVEE"/>
    <n v="1215"/>
    <n v="19.47"/>
    <n v="0.84"/>
    <n v="12.84"/>
    <n v="0.45"/>
    <n v="23.178571428571427"/>
    <n v="1.5163551401869158"/>
    <n v="3.48"/>
    <n v="2.52"/>
    <n v="1.56"/>
    <n v="43.266666666666666"/>
    <s v="NO"/>
    <n v="1.0956525254865876"/>
    <n v="-0.5825962224401392"/>
    <n v="-0.44223944106460789"/>
    <n v="-0.23855571727039032"/>
    <n v="-1.442565087790842"/>
    <n v="1.2612066579545713"/>
    <x v="0"/>
    <x v="0"/>
    <x v="0"/>
    <x v="0"/>
    <x v="0"/>
    <x v="0"/>
  </r>
  <r>
    <x v="11"/>
    <s v="PL"/>
    <n v="1046"/>
    <n v="3.78"/>
    <n v="-0.24"/>
    <n v="1.47"/>
    <n v="-0.42"/>
    <n v="-15.75"/>
    <n v="2.5714285714285712"/>
    <n v="-25.68"/>
    <n v="-9.61"/>
    <n v="1.44"/>
    <n v="-9"/>
    <s v="NO"/>
    <n v="-1.8225338749452749"/>
    <n v="5.6707821789763499E-4"/>
    <n v="-2.1736287138082138"/>
    <n v="-2.8866829514956973"/>
    <n v="-1.6271492158530918"/>
    <n v="-1.2339175694817903"/>
    <x v="0"/>
    <x v="0"/>
    <x v="0"/>
    <x v="0"/>
    <x v="0"/>
    <x v="0"/>
  </r>
  <r>
    <x v="11"/>
    <s v="SPIR"/>
    <n v="288"/>
    <n v="9.9600000000000009"/>
    <n v="-1.86"/>
    <n v="-0.45"/>
    <n v="-4.26"/>
    <n v="-5.3548387096774199"/>
    <n v="-22.133333333333336"/>
    <n v="-787.97"/>
    <n v="-17.690000000000001"/>
    <n v="-16.559999999999999"/>
    <n v="-2.3380281690140849"/>
    <s v="NO"/>
    <n v="-1.0432856982333276"/>
    <n v="-13.654321830696448"/>
    <n v="-47.434970576624508"/>
    <n v="-4.6506456928428106"/>
    <n v="-29.314768425190543"/>
    <n v="-0.91588605191817674"/>
    <x v="0"/>
    <x v="1"/>
    <x v="1"/>
    <x v="1"/>
    <x v="1"/>
    <x v="0"/>
  </r>
  <r>
    <x v="11"/>
    <s v="TIC"/>
    <n v="1234"/>
    <n v="10.74"/>
    <n v="-0.08"/>
    <n v="9.48"/>
    <n v="-2.2200000000000002"/>
    <n v="-134.25"/>
    <n v="1.1329113924050633"/>
    <n v="-15.8"/>
    <n v="-0.22"/>
    <n v="1.92"/>
    <n v="-4.8378378378378377"/>
    <s v="NO"/>
    <n v="-10.705600367269055"/>
    <n v="-0.79453438233674345"/>
    <n v="-1.5869988779129178"/>
    <n v="-0.83673120134106982"/>
    <n v="-0.88881270360409315"/>
    <n v="-1.035222831293084"/>
    <x v="1"/>
    <x v="0"/>
    <x v="0"/>
    <x v="0"/>
    <x v="0"/>
    <x v="0"/>
  </r>
  <r>
    <x v="11"/>
    <s v="WLDN"/>
    <n v="581"/>
    <n v="45.99"/>
    <n v="4.6100000000000003"/>
    <n v="16.54"/>
    <n v="1.58"/>
    <n v="9.9761388286334061"/>
    <n v="2.7805320435308345"/>
    <n v="10.4"/>
    <n v="4.45"/>
    <n v="1.98"/>
    <n v="29.10759493670886"/>
    <s v="NO"/>
    <n v="0.10596403058639726"/>
    <n v="0.11614336642629813"/>
    <n v="-3.1361053980048535E-2"/>
    <n v="0.18278686822465035"/>
    <n v="-0.79652063957296826"/>
    <n v="0.58527599000635078"/>
    <x v="0"/>
    <x v="0"/>
    <x v="0"/>
    <x v="0"/>
    <x v="0"/>
    <x v="0"/>
  </r>
  <r>
    <x v="11"/>
    <s v="CNDT"/>
    <n v="320"/>
    <n v="2.2999999999999998"/>
    <n v="-0.64"/>
    <n v="5.18"/>
    <n v="2.23"/>
    <n v="-3.5937499999999996"/>
    <n v="0.44401544401544402"/>
    <n v="48.41"/>
    <n v="-1.06"/>
    <n v="3.1"/>
    <n v="1.0313901345291479"/>
    <s v="NO"/>
    <n v="-0.91126993361775632"/>
    <n v="-1.1753029840065394"/>
    <n v="2.2255013005118736"/>
    <n v="-1.0201134665306211"/>
    <n v="0.92626455567469557"/>
    <n v="-0.75503559449078683"/>
    <x v="0"/>
    <x v="0"/>
    <x v="0"/>
    <x v="0"/>
    <x v="0"/>
    <x v="0"/>
  </r>
  <r>
    <x v="11"/>
    <s v="CSGS"/>
    <n v="1761"/>
    <n v="65.45"/>
    <n v="4"/>
    <n v="10.28"/>
    <n v="3.03"/>
    <n v="16.362500000000001"/>
    <n v="6.3667315175097281"/>
    <n v="31.25"/>
    <n v="6.4"/>
    <n v="5.31"/>
    <n v="21.600660066006604"/>
    <s v="NO"/>
    <n v="0.58470218188803647"/>
    <n v="2.098318123307882"/>
    <n v="1.2066179013253073"/>
    <n v="0.60849569812896609"/>
    <n v="4.3256889141544601"/>
    <n v="0.22690733433652832"/>
    <x v="0"/>
    <x v="0"/>
    <x v="0"/>
    <x v="0"/>
    <x v="1"/>
    <x v="0"/>
  </r>
  <r>
    <x v="11"/>
    <s v="IBEX"/>
    <n v="333"/>
    <n v="27.64"/>
    <n v="1.55"/>
    <n v="8.26"/>
    <n v="2.13"/>
    <n v="17.832258064516129"/>
    <n v="3.3462469733656177"/>
    <n v="27.88"/>
    <n v="10.56"/>
    <n v="2.5"/>
    <n v="12.976525821596246"/>
    <s v="NO"/>
    <n v="0.69487904783509014"/>
    <n v="0.42882699198754137"/>
    <n v="1.0065225018347055"/>
    <n v="1.5166745352581728"/>
    <n v="3.3439153634470453E-3"/>
    <n v="-0.18479457179660688"/>
    <x v="0"/>
    <x v="0"/>
    <x v="0"/>
    <x v="0"/>
    <x v="0"/>
    <x v="0"/>
  </r>
  <r>
    <x v="11"/>
    <s v="TASK"/>
    <n v="1262"/>
    <n v="16.77"/>
    <n v="1.1200000000000001"/>
    <n v="5.53"/>
    <n v="0.5"/>
    <n v="14.973214285714285"/>
    <n v="3.0325497287522603"/>
    <n v="9.7799999999999994"/>
    <n v="7.41"/>
    <n v="1.92"/>
    <n v="33.54"/>
    <s v="NO"/>
    <n v="0.4805577314506056"/>
    <n v="0.25543932515873174"/>
    <n v="-6.8173857447162298E-2"/>
    <n v="0.82899104079735508"/>
    <n v="-0.88881270360409315"/>
    <n v="0.79687167736405451"/>
    <x v="0"/>
    <x v="0"/>
    <x v="0"/>
    <x v="0"/>
    <x v="0"/>
    <x v="0"/>
  </r>
  <r>
    <x v="11"/>
    <s v="TIXT"/>
    <n v="684"/>
    <n v="2.96"/>
    <n v="1.5"/>
    <n v="7.06"/>
    <n v="-0.34"/>
    <n v="1.9733333333333334"/>
    <n v="0.41926345609065158"/>
    <n v="-3.06"/>
    <n v="1.3"/>
    <n v="2.3199999999999998"/>
    <n v="-8.7058823529411757"/>
    <s v="NO"/>
    <n v="-0.49394696806241861"/>
    <n v="-1.1889839758206191"/>
    <n v="-0.83055514215319437"/>
    <n v="-0.50489662623616738"/>
    <n v="-0.27353227672992769"/>
    <n v="-1.2198768794264387"/>
    <x v="0"/>
    <x v="0"/>
    <x v="0"/>
    <x v="0"/>
    <x v="0"/>
    <x v="0"/>
  </r>
  <r>
    <x v="12"/>
    <s v="BXC"/>
    <n v="520"/>
    <n v="73.77"/>
    <n v="4.96"/>
    <n v="78.34"/>
    <n v="4.53"/>
    <n v="14.872983870967742"/>
    <n v="0.94166453918815407"/>
    <n v="5.96"/>
    <n v="2.67"/>
    <n v="2.57"/>
    <n v="16.284768211920529"/>
    <s v="NO"/>
    <n v="0.4327606940684755"/>
    <n v="-1.0160142264822047"/>
    <n v="-3.7831098273511631E-2"/>
    <n v="-0.43921941782255897"/>
    <n v="0.16056035587961984"/>
    <n v="0.43908992984902745"/>
    <x v="0"/>
    <x v="0"/>
    <x v="0"/>
    <x v="0"/>
    <x v="0"/>
    <x v="0"/>
  </r>
  <r>
    <x v="12"/>
    <s v="CTOS"/>
    <n v="933"/>
    <n v="4.5599999999999996"/>
    <n v="-0.23"/>
    <n v="3.6"/>
    <n v="-0.14000000000000001"/>
    <n v="-19.826086956521735"/>
    <n v="1.2666666666666666"/>
    <n v="-3.76"/>
    <n v="2.0299999999999998"/>
    <n v="4.3600000000000003"/>
    <n v="-32.571428571428562"/>
    <s v="NO"/>
    <n v="-1.7794182555925251"/>
    <n v="-0.7383183224912544"/>
    <n v="-0.93616564685299319"/>
    <n v="-0.63616039919091782"/>
    <n v="2.2894717412464276"/>
    <n v="-1.9520926276445472"/>
    <x v="0"/>
    <x v="0"/>
    <x v="0"/>
    <x v="0"/>
    <x v="0"/>
    <x v="0"/>
  </r>
  <r>
    <x v="12"/>
    <s v="DNOW"/>
    <n v="1595"/>
    <n v="15.57"/>
    <n v="2.72"/>
    <n v="10.64"/>
    <n v="0.74"/>
    <n v="5.7242647058823524"/>
    <n v="1.4633458646616542"/>
    <n v="7.49"/>
    <n v="5.24"/>
    <n v="1.44"/>
    <n v="21.04054054054054"/>
    <s v="NO"/>
    <n v="-0.15049999478341536"/>
    <n v="-0.57026709123571695"/>
    <n v="0.10357341400288826"/>
    <n v="0.35162171048475721"/>
    <n v="-1.1833892896312697"/>
    <n v="0.6718530303014657"/>
    <x v="0"/>
    <x v="0"/>
    <x v="0"/>
    <x v="0"/>
    <x v="0"/>
    <x v="0"/>
  </r>
  <r>
    <x v="12"/>
    <s v="DSGR"/>
    <n v="1135"/>
    <n v="27.24"/>
    <n v="0.03"/>
    <n v="13.67"/>
    <n v="0.02"/>
    <n v="908"/>
    <n v="1.9926847110460861"/>
    <n v="0.18"/>
    <n v="4.07"/>
    <n v="2.77"/>
    <n v="1362"/>
    <s v="NO"/>
    <n v="57.372521250680897"/>
    <n v="-0.117977038229925"/>
    <n v="-0.57202592242880002"/>
    <n v="-8.4110210792738265E-3"/>
    <n v="0.39842754977535272"/>
    <n v="66.302808382484898"/>
    <x v="1"/>
    <x v="0"/>
    <x v="0"/>
    <x v="0"/>
    <x v="0"/>
    <x v="1"/>
  </r>
  <r>
    <x v="12"/>
    <s v="DXPE"/>
    <n v="1393"/>
    <n v="89.88"/>
    <n v="4.8600000000000003"/>
    <n v="26.94"/>
    <n v="4.22"/>
    <n v="18.493827160493826"/>
    <n v="3.3363028953229397"/>
    <n v="17.54"/>
    <n v="7.27"/>
    <n v="3.19"/>
    <n v="21.298578199052134"/>
    <s v="NO"/>
    <n v="0.66360126455329693"/>
    <n v="1.0300685736441346"/>
    <n v="1.0324069750341422"/>
    <n v="0.9762938857625203"/>
    <n v="0.89794865695639126"/>
    <n v="0.68448223987636436"/>
    <x v="0"/>
    <x v="0"/>
    <x v="0"/>
    <x v="0"/>
    <x v="0"/>
    <x v="0"/>
  </r>
  <r>
    <x v="12"/>
    <s v="GIC"/>
    <n v="982"/>
    <n v="26.96"/>
    <n v="1.17"/>
    <n v="7.51"/>
    <n v="1.58"/>
    <n v="23.042735042735046"/>
    <n v="3.5898801597869507"/>
    <n v="22.3"/>
    <n v="9.64"/>
    <n v="1.86"/>
    <n v="17.063291139240505"/>
    <s v="NO"/>
    <n v="0.95360898006448203"/>
    <n v="1.2467359789722474"/>
    <n v="1.4723321243384975"/>
    <n v="1.7055909573922245"/>
    <n v="-0.68386818245023084"/>
    <n v="0.47719339608221617"/>
    <x v="0"/>
    <x v="0"/>
    <x v="0"/>
    <x v="0"/>
    <x v="0"/>
    <x v="0"/>
  </r>
  <r>
    <x v="12"/>
    <s v="HDSN"/>
    <n v="295"/>
    <n v="7.61"/>
    <n v="1.91"/>
    <n v="5.55"/>
    <n v="0.52"/>
    <n v="3.9842931937172779"/>
    <n v="1.3711711711711714"/>
    <n v="10.28"/>
    <n v="6.17"/>
    <n v="1.23"/>
    <n v="14.634615384615385"/>
    <s v="YES"/>
    <n v="-0.26142885427241414"/>
    <n v="-0.64902514439837111"/>
    <n v="0.3614287010951468"/>
    <n v="0.63780157403565363"/>
    <n v="-1.4331498432217888"/>
    <n v="0.35832603667600099"/>
    <x v="0"/>
    <x v="0"/>
    <x v="0"/>
    <x v="0"/>
    <x v="0"/>
    <x v="0"/>
  </r>
  <r>
    <x v="12"/>
    <s v="KRT"/>
    <n v="538"/>
    <n v="30.27"/>
    <n v="2.2000000000000002"/>
    <n v="7.78"/>
    <n v="1.49"/>
    <n v="13.759090909090908"/>
    <n v="3.8907455012853469"/>
    <n v="18.98"/>
    <n v="8.8699999999999992"/>
    <n v="1.89"/>
    <n v="20.315436241610737"/>
    <s v="NO"/>
    <n v="0.36174638435712358"/>
    <n v="1.5038083668828988"/>
    <n v="1.1654935748236952"/>
    <n v="1.4686463391834175"/>
    <n v="-0.64818810336587118"/>
    <n v="0.6363640469969879"/>
    <x v="0"/>
    <x v="0"/>
    <x v="0"/>
    <x v="0"/>
    <x v="0"/>
    <x v="0"/>
  </r>
  <r>
    <x v="12"/>
    <s v="LVRO"/>
    <n v="281"/>
    <n v="2.44"/>
    <n v="-0.12"/>
    <n v="1.37"/>
    <n v="-1.53"/>
    <n v="-20.333333333333332"/>
    <n v="1.7810218978102188"/>
    <n v="-62.35"/>
    <n v="0.25"/>
    <n v="10.41"/>
    <n v="-1.5947712418300652"/>
    <s v="NO"/>
    <n v="-1.8117568666940496"/>
    <n v="-0.29883091976855569"/>
    <n v="-6.3511266757904243"/>
    <n v="-1.1839025036216659"/>
    <n v="9.4849543565923415"/>
    <n v="-0.43599339002980414"/>
    <x v="0"/>
    <x v="0"/>
    <x v="1"/>
    <x v="0"/>
    <x v="1"/>
    <x v="0"/>
  </r>
  <r>
    <x v="12"/>
    <s v="MRC"/>
    <n v="989"/>
    <n v="13.13"/>
    <n v="2.64"/>
    <n v="6.05"/>
    <n v="0.56999999999999995"/>
    <n v="4.9734848484848486"/>
    <n v="2.1702479338842977"/>
    <n v="11.48"/>
    <n v="4.8099999999999996"/>
    <n v="3.15"/>
    <n v="23.03508771929825"/>
    <s v="NO"/>
    <n v="-0.19836465965070832"/>
    <n v="3.3740675325238556E-2"/>
    <n v="0.47233420091977424"/>
    <n v="0.21930198862789091"/>
    <n v="0.85037521817724471"/>
    <n v="0.76947271292008712"/>
    <x v="0"/>
    <x v="0"/>
    <x v="0"/>
    <x v="0"/>
    <x v="0"/>
    <x v="0"/>
  </r>
  <r>
    <x v="12"/>
    <s v="TITN"/>
    <n v="408"/>
    <n v="21.23"/>
    <n v="0.82"/>
    <n v="27.13"/>
    <n v="-1.63"/>
    <n v="25.890243902439025"/>
    <n v="0.78252856616291933"/>
    <n v="-5.8"/>
    <n v="0.19"/>
    <n v="2.95"/>
    <n v="-13.024539877300615"/>
    <s v="NO"/>
    <n v="1.1351469581195013"/>
    <n v="-1.1519868991215361"/>
    <n v="-1.1247049965548597"/>
    <n v="-1.2023657206249496"/>
    <n v="0.6125080242815123"/>
    <n v="-0.99540376571911704"/>
    <x v="0"/>
    <x v="0"/>
    <x v="0"/>
    <x v="0"/>
    <x v="0"/>
    <x v="0"/>
  </r>
  <r>
    <x v="12"/>
    <s v="TRNS"/>
    <n v="716"/>
    <n v="81.430000000000007"/>
    <n v="2.14"/>
    <n v="30.19"/>
    <n v="1.85"/>
    <n v="38.05140186915888"/>
    <n v="2.6972507452798942"/>
    <n v="6.78"/>
    <n v="3.76"/>
    <n v="1.37"/>
    <n v="44.016216216216215"/>
    <s v="NO"/>
    <n v="1.9104604468071258"/>
    <n v="0.48403471878791748"/>
    <n v="3.7954326606650421E-2"/>
    <n v="-0.10380430892957281"/>
    <n v="-1.266642807494776"/>
    <n v="1.7963579762335056"/>
    <x v="0"/>
    <x v="0"/>
    <x v="0"/>
    <x v="0"/>
    <x v="0"/>
    <x v="0"/>
  </r>
  <r>
    <x v="12"/>
    <s v="WJXFF"/>
    <n v="333"/>
    <n v="16.334743"/>
    <n v="1.95"/>
    <n v="16.37"/>
    <n v="1.34"/>
    <n v="8.3767912820512826"/>
    <n v="0.99784624312767245"/>
    <n v="8.49"/>
    <n v="4.2300000000000004"/>
    <n v="3.02"/>
    <n v="12.19010671641791"/>
    <s v="NO"/>
    <n v="1.8607226686290546E-2"/>
    <n v="-0.96801014360349202"/>
    <n v="0.19599466385674438"/>
    <n v="4.0824224262815935E-2"/>
    <n v="0.69576154214501851"/>
    <n v="0.23868376253509196"/>
    <x v="0"/>
    <x v="0"/>
    <x v="0"/>
    <x v="0"/>
    <x v="0"/>
    <x v="0"/>
  </r>
  <r>
    <x v="12"/>
    <s v="WLFC"/>
    <n v="1034"/>
    <n v="145.74"/>
    <n v="-60.28"/>
    <n v="76.58"/>
    <n v="15.34"/>
    <n v="-2.4177173191771733"/>
    <n v="1.9031078610603291"/>
    <n v="19.72"/>
    <n v="5.29"/>
    <n v="6"/>
    <n v="9.5006518904824002"/>
    <s v="NO"/>
    <n v="-0.66957790709701392"/>
    <n v="-0.19451538130615961"/>
    <n v="1.2338852997155485"/>
    <n v="0.36700772465416021"/>
    <n v="4.2399827311914358"/>
    <n v="0.10705301981760559"/>
    <x v="0"/>
    <x v="0"/>
    <x v="0"/>
    <x v="0"/>
    <x v="1"/>
    <x v="0"/>
  </r>
  <r>
    <x v="12"/>
    <s v="XMTR"/>
    <n v="1518"/>
    <n v="30.56"/>
    <n v="-0.68"/>
    <n v="6.32"/>
    <n v="-1.03"/>
    <n v="-44.941176470588232"/>
    <n v="4.8354430379746836"/>
    <n v="-15.6"/>
    <n v="-5.04"/>
    <n v="2.16"/>
    <n v="-29.669902912621357"/>
    <s v="NO"/>
    <n v="-3.3805871346696654"/>
    <n v="2.3109988874013028"/>
    <n v="-2.0304332451226497"/>
    <n v="-2.8117428027445071"/>
    <n v="-0.32706739160663179"/>
    <n v="-1.8100824426064754"/>
    <x v="1"/>
    <x v="0"/>
    <x v="0"/>
    <x v="1"/>
    <x v="0"/>
    <x v="0"/>
  </r>
  <r>
    <x v="12"/>
    <s v="ZKH"/>
    <n v="440"/>
    <n v="2.82"/>
    <n v="-2.0099999999999998"/>
    <n v="2.63"/>
    <n v="-0.22"/>
    <n v="-1.4029850746268657"/>
    <n v="1.0722433460076046"/>
    <n v="-8.5"/>
    <n v="-3.03"/>
    <n v="2.13"/>
    <n v="-12.818181818181817"/>
    <s v="NO"/>
    <n v="-0.6048854165661699"/>
    <n v="-0.90444203437652571"/>
    <n v="-1.3742423711602711"/>
    <n v="-2.1932250331345053"/>
    <n v="-0.362747470690992"/>
    <n v="-0.98530392528840893"/>
    <x v="0"/>
    <x v="0"/>
    <x v="0"/>
    <x v="0"/>
    <x v="0"/>
    <x v="0"/>
  </r>
  <r>
    <x v="13"/>
    <s v="SKYH"/>
    <n v="379"/>
    <n v="11.94"/>
    <n v="-3.4"/>
    <n v="3.11"/>
    <n v="-1.76"/>
    <n v="-3.5117647058823529"/>
    <n v="3.8392282958199355"/>
    <n v="-36.76"/>
    <n v="-2.66"/>
    <n v="5.35"/>
    <n v="-6.7840909090909092"/>
    <s v="NO"/>
    <e v="#DIV/0!"/>
    <e v="#DIV/0!"/>
    <e v="#DIV/0!"/>
    <e v="#DIV/0!"/>
    <e v="#DIV/0!"/>
    <e v="#DIV/0!"/>
    <x v="0"/>
    <x v="0"/>
    <x v="0"/>
    <x v="0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AC84801-102E-4C37-8560-F938FC21BCC4}" name="PivotTable1" cacheId="9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A4:C17" firstHeaderRow="0" firstDataRow="1" firstDataCol="1" rowPageCount="1" colPageCount="1"/>
  <pivotFields count="26">
    <pivotField axis="axisRow" showAll="0">
      <items count="59">
        <item m="1" x="25"/>
        <item m="1" x="26"/>
        <item m="1" x="27"/>
        <item m="1" x="28"/>
        <item m="1" x="29"/>
        <item m="1" x="30"/>
        <item m="1" x="13"/>
        <item m="1" x="14"/>
        <item m="1" x="15"/>
        <item m="1" x="16"/>
        <item m="1" x="17"/>
        <item m="1" x="18"/>
        <item m="1" x="53"/>
        <item m="1" x="54"/>
        <item m="1" x="55"/>
        <item m="1" x="56"/>
        <item m="1" x="57"/>
        <item m="1" x="33"/>
        <item m="1" x="34"/>
        <item m="1" x="35"/>
        <item m="1" x="36"/>
        <item m="1" x="37"/>
        <item m="1" x="3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m="1" x="48"/>
        <item m="1" x="49"/>
        <item m="1" x="50"/>
        <item m="1" x="51"/>
        <item m="1" x="52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31"/>
        <item m="1" x="32"/>
        <item x="12"/>
        <item m="1" x="19"/>
        <item m="1" x="20"/>
        <item m="1" x="21"/>
        <item m="1" x="22"/>
        <item m="1" x="23"/>
        <item m="1" x="24"/>
        <item t="default"/>
      </items>
    </pivotField>
    <pivotField showAll="0"/>
    <pivotField showAll="0"/>
    <pivotField showAll="0"/>
    <pivotField showAll="0"/>
    <pivotField showAll="0"/>
    <pivotField showAll="0"/>
    <pivotField dataField="1" numFmtId="2" showAll="0"/>
    <pivotField showAll="0"/>
    <pivotField showAll="0"/>
    <pivotField showAll="0"/>
    <pivotField showAll="0"/>
    <pivotField numFmtId="2" showAll="0"/>
    <pivotField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axis="axisPage" showAll="0">
      <items count="5">
        <item x="1"/>
        <item x="0"/>
        <item m="1" x="3"/>
        <item m="1" x="2"/>
        <item t="default"/>
      </items>
    </pivotField>
    <pivotField showAll="0"/>
    <pivotField showAll="0"/>
    <pivotField showAll="0"/>
    <pivotField showAll="0"/>
    <pivotField showAll="0"/>
  </pivotFields>
  <rowFields count="1">
    <field x="0"/>
  </rowFields>
  <rowItems count="13"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51"/>
    </i>
  </rowItems>
  <colFields count="1">
    <field x="-2"/>
  </colFields>
  <colItems count="2">
    <i>
      <x/>
    </i>
    <i i="1">
      <x v="1"/>
    </i>
  </colItems>
  <pageFields count="1">
    <pageField fld="20" item="0" hier="-1"/>
  </pageFields>
  <dataFields count="2">
    <dataField name="Average of P/FCF" fld="7" subtotal="average" baseField="0" baseItem="0" numFmtId="2"/>
    <dataField name="StdDevp of P/FCF" fld="7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9B0E771-8D8C-40A3-A257-A5C33EA82892}" name="PivotTable2" cacheId="9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E4:G17" firstHeaderRow="0" firstDataRow="1" firstDataCol="1" rowPageCount="1" colPageCount="1"/>
  <pivotFields count="26">
    <pivotField axis="axisRow" showAll="0">
      <items count="59">
        <item m="1" x="25"/>
        <item m="1" x="26"/>
        <item m="1" x="27"/>
        <item m="1" x="28"/>
        <item m="1" x="29"/>
        <item m="1" x="30"/>
        <item m="1" x="13"/>
        <item m="1" x="14"/>
        <item m="1" x="15"/>
        <item m="1" x="16"/>
        <item m="1" x="17"/>
        <item m="1" x="18"/>
        <item m="1" x="53"/>
        <item m="1" x="54"/>
        <item m="1" x="55"/>
        <item m="1" x="56"/>
        <item m="1" x="57"/>
        <item m="1" x="33"/>
        <item m="1" x="34"/>
        <item m="1" x="35"/>
        <item m="1" x="36"/>
        <item m="1" x="37"/>
        <item m="1" x="3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m="1" x="48"/>
        <item m="1" x="49"/>
        <item m="1" x="50"/>
        <item m="1" x="51"/>
        <item m="1" x="52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31"/>
        <item m="1" x="32"/>
        <item x="12"/>
        <item m="1" x="19"/>
        <item m="1" x="20"/>
        <item m="1" x="21"/>
        <item m="1" x="22"/>
        <item m="1" x="23"/>
        <item m="1" x="24"/>
        <item t="default"/>
      </items>
    </pivotField>
    <pivotField showAll="0"/>
    <pivotField showAll="0"/>
    <pivotField showAll="0"/>
    <pivotField showAll="0"/>
    <pivotField showAll="0"/>
    <pivotField showAll="0"/>
    <pivotField numFmtId="2" showAll="0"/>
    <pivotField dataField="1" showAll="0"/>
    <pivotField showAll="0"/>
    <pivotField showAll="0"/>
    <pivotField showAll="0"/>
    <pivotField numFmtId="2" showAll="0"/>
    <pivotField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showAll="0"/>
    <pivotField axis="axisPage" showAll="0">
      <items count="5">
        <item m="1" x="3"/>
        <item x="0"/>
        <item x="1"/>
        <item m="1" x="2"/>
        <item t="default"/>
      </items>
    </pivotField>
    <pivotField showAll="0"/>
    <pivotField showAll="0"/>
    <pivotField showAll="0"/>
    <pivotField showAll="0"/>
  </pivotFields>
  <rowFields count="1">
    <field x="0"/>
  </rowFields>
  <rowItems count="13"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51"/>
    </i>
  </rowItems>
  <colFields count="1">
    <field x="-2"/>
  </colFields>
  <colItems count="2">
    <i>
      <x/>
    </i>
    <i i="1">
      <x v="1"/>
    </i>
  </colItems>
  <pageFields count="1">
    <pageField fld="21" item="1" hier="-1"/>
  </pageFields>
  <dataFields count="2">
    <dataField name="Average of P/B" fld="8" subtotal="average" baseField="0" baseItem="7" numFmtId="2"/>
    <dataField name="StdDevp of P/B" fld="8" subtotal="stdDevp" baseField="0" baseItem="7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35A8AE6-DC6C-4B19-8032-04D5D0183A50}" name="PivotTable3" cacheId="9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I4:K17" firstHeaderRow="0" firstDataRow="1" firstDataCol="1" rowPageCount="1" colPageCount="1"/>
  <pivotFields count="26">
    <pivotField axis="axisRow" showAll="0">
      <items count="59">
        <item m="1" x="25"/>
        <item m="1" x="26"/>
        <item m="1" x="27"/>
        <item m="1" x="28"/>
        <item m="1" x="29"/>
        <item m="1" x="30"/>
        <item m="1" x="13"/>
        <item m="1" x="14"/>
        <item m="1" x="15"/>
        <item m="1" x="16"/>
        <item m="1" x="17"/>
        <item m="1" x="18"/>
        <item m="1" x="53"/>
        <item m="1" x="54"/>
        <item m="1" x="55"/>
        <item m="1" x="56"/>
        <item m="1" x="57"/>
        <item m="1" x="33"/>
        <item m="1" x="34"/>
        <item m="1" x="35"/>
        <item m="1" x="36"/>
        <item m="1" x="37"/>
        <item m="1" x="3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m="1" x="48"/>
        <item m="1" x="49"/>
        <item m="1" x="50"/>
        <item m="1" x="51"/>
        <item m="1" x="52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31"/>
        <item m="1" x="32"/>
        <item x="12"/>
        <item m="1" x="19"/>
        <item m="1" x="20"/>
        <item m="1" x="21"/>
        <item m="1" x="22"/>
        <item m="1" x="23"/>
        <item m="1" x="24"/>
        <item t="default"/>
      </items>
    </pivotField>
    <pivotField showAll="0"/>
    <pivotField showAll="0"/>
    <pivotField showAll="0"/>
    <pivotField showAll="0"/>
    <pivotField showAll="0"/>
    <pivotField showAll="0"/>
    <pivotField numFmtId="2" showAll="0"/>
    <pivotField showAll="0"/>
    <pivotField dataField="1" showAll="0"/>
    <pivotField showAll="0"/>
    <pivotField showAll="0"/>
    <pivotField numFmtId="2" showAll="0"/>
    <pivotField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</pivotFields>
  <rowFields count="1">
    <field x="0"/>
  </rowFields>
  <rowItems count="13"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51"/>
    </i>
  </rowItems>
  <colFields count="1">
    <field x="-2"/>
  </colFields>
  <colItems count="2">
    <i>
      <x/>
    </i>
    <i i="1">
      <x v="1"/>
    </i>
  </colItems>
  <pageFields count="1">
    <pageField fld="22" item="0" hier="-1"/>
  </pageFields>
  <dataFields count="2">
    <dataField name="Average of ROE" fld="9" subtotal="average" baseField="0" baseItem="0" numFmtId="2"/>
    <dataField name="StdDevp of ROE" fld="9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B34D68E-4AF6-49FE-80B9-8288F8934083}" name="PivotTable4" cacheId="9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A24:C37" firstHeaderRow="0" firstDataRow="1" firstDataCol="1" rowPageCount="1" colPageCount="1"/>
  <pivotFields count="26">
    <pivotField axis="axisRow" showAll="0">
      <items count="59">
        <item m="1" x="25"/>
        <item m="1" x="26"/>
        <item m="1" x="27"/>
        <item m="1" x="28"/>
        <item m="1" x="29"/>
        <item m="1" x="30"/>
        <item m="1" x="13"/>
        <item m="1" x="14"/>
        <item m="1" x="15"/>
        <item m="1" x="16"/>
        <item m="1" x="17"/>
        <item m="1" x="18"/>
        <item m="1" x="53"/>
        <item m="1" x="54"/>
        <item m="1" x="55"/>
        <item m="1" x="56"/>
        <item m="1" x="57"/>
        <item m="1" x="33"/>
        <item m="1" x="34"/>
        <item m="1" x="35"/>
        <item m="1" x="36"/>
        <item m="1" x="37"/>
        <item m="1" x="3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m="1" x="48"/>
        <item m="1" x="49"/>
        <item m="1" x="50"/>
        <item m="1" x="51"/>
        <item m="1" x="52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31"/>
        <item m="1" x="32"/>
        <item x="12"/>
        <item m="1" x="19"/>
        <item m="1" x="20"/>
        <item m="1" x="21"/>
        <item m="1" x="22"/>
        <item m="1" x="23"/>
        <item m="1" x="24"/>
        <item t="default"/>
      </items>
    </pivotField>
    <pivotField showAll="0"/>
    <pivotField showAll="0"/>
    <pivotField showAll="0"/>
    <pivotField showAll="0"/>
    <pivotField showAll="0"/>
    <pivotField showAll="0"/>
    <pivotField numFmtId="2" showAll="0"/>
    <pivotField showAll="0"/>
    <pivotField showAll="0"/>
    <pivotField dataField="1" showAll="0"/>
    <pivotField showAll="0"/>
    <pivotField numFmtId="2" showAll="0"/>
    <pivotField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</pivotFields>
  <rowFields count="1">
    <field x="0"/>
  </rowFields>
  <rowItems count="13"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51"/>
    </i>
  </rowItems>
  <colFields count="1">
    <field x="-2"/>
  </colFields>
  <colItems count="2">
    <i>
      <x/>
    </i>
    <i i="1">
      <x v="1"/>
    </i>
  </colItems>
  <pageFields count="1">
    <pageField fld="23" item="0" hier="-1"/>
  </pageFields>
  <dataFields count="2">
    <dataField name="Average of ROA" fld="10" subtotal="average" baseField="0" baseItem="0" numFmtId="2"/>
    <dataField name="StdDevp of ROA" fld="10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C96544-0E1B-4AD0-9EEF-13BE1677F031}" name="PivotTable5" cacheId="9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E24:G37" firstHeaderRow="0" firstDataRow="1" firstDataCol="1" rowPageCount="1" colPageCount="1"/>
  <pivotFields count="26">
    <pivotField axis="axisRow" showAll="0">
      <items count="59">
        <item m="1" x="25"/>
        <item m="1" x="26"/>
        <item m="1" x="27"/>
        <item m="1" x="28"/>
        <item m="1" x="29"/>
        <item m="1" x="30"/>
        <item m="1" x="13"/>
        <item m="1" x="14"/>
        <item m="1" x="15"/>
        <item m="1" x="16"/>
        <item m="1" x="17"/>
        <item m="1" x="18"/>
        <item m="1" x="53"/>
        <item m="1" x="54"/>
        <item m="1" x="55"/>
        <item m="1" x="56"/>
        <item m="1" x="57"/>
        <item m="1" x="33"/>
        <item m="1" x="34"/>
        <item m="1" x="35"/>
        <item m="1" x="36"/>
        <item m="1" x="37"/>
        <item m="1" x="3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m="1" x="48"/>
        <item m="1" x="49"/>
        <item m="1" x="50"/>
        <item m="1" x="51"/>
        <item m="1" x="52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31"/>
        <item m="1" x="32"/>
        <item x="12"/>
        <item m="1" x="19"/>
        <item m="1" x="20"/>
        <item m="1" x="21"/>
        <item m="1" x="22"/>
        <item m="1" x="23"/>
        <item m="1" x="24"/>
        <item t="default"/>
      </items>
    </pivotField>
    <pivotField showAll="0"/>
    <pivotField showAll="0"/>
    <pivotField showAll="0"/>
    <pivotField showAll="0"/>
    <pivotField showAll="0"/>
    <pivotField showAll="0"/>
    <pivotField numFmtId="2" showAll="0"/>
    <pivotField showAll="0"/>
    <pivotField showAll="0"/>
    <pivotField showAll="0"/>
    <pivotField dataField="1" showAll="0"/>
    <pivotField numFmtId="2" showAll="0"/>
    <pivotField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</pivotFields>
  <rowFields count="1">
    <field x="0"/>
  </rowFields>
  <rowItems count="13"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51"/>
    </i>
  </rowItems>
  <colFields count="1">
    <field x="-2"/>
  </colFields>
  <colItems count="2">
    <i>
      <x/>
    </i>
    <i i="1">
      <x v="1"/>
    </i>
  </colItems>
  <pageFields count="1">
    <pageField fld="24" item="0" hier="-1"/>
  </pageFields>
  <dataFields count="2">
    <dataField name="Average of A/E" fld="11" subtotal="average" baseField="0" baseItem="0" numFmtId="2"/>
    <dataField name="StdDevp of A/E" fld="11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F4AD83-0107-4E11-9496-253AE5F4ECE5}" name="PivotTable6" cacheId="9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I24:K37" firstHeaderRow="0" firstDataRow="1" firstDataCol="1" rowPageCount="1" colPageCount="1"/>
  <pivotFields count="26">
    <pivotField axis="axisRow" showAll="0">
      <items count="59">
        <item m="1" x="25"/>
        <item m="1" x="26"/>
        <item m="1" x="27"/>
        <item m="1" x="28"/>
        <item m="1" x="29"/>
        <item m="1" x="30"/>
        <item m="1" x="13"/>
        <item m="1" x="14"/>
        <item m="1" x="15"/>
        <item m="1" x="16"/>
        <item m="1" x="17"/>
        <item m="1" x="18"/>
        <item m="1" x="53"/>
        <item m="1" x="54"/>
        <item m="1" x="55"/>
        <item m="1" x="56"/>
        <item m="1" x="57"/>
        <item m="1" x="33"/>
        <item m="1" x="34"/>
        <item m="1" x="35"/>
        <item m="1" x="36"/>
        <item m="1" x="37"/>
        <item m="1" x="3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m="1" x="48"/>
        <item m="1" x="49"/>
        <item m="1" x="50"/>
        <item m="1" x="51"/>
        <item m="1" x="52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31"/>
        <item m="1" x="32"/>
        <item x="12"/>
        <item m="1" x="19"/>
        <item m="1" x="20"/>
        <item m="1" x="21"/>
        <item m="1" x="22"/>
        <item m="1" x="23"/>
        <item m="1" x="24"/>
        <item t="default"/>
      </items>
    </pivotField>
    <pivotField showAll="0"/>
    <pivotField showAll="0"/>
    <pivotField showAll="0"/>
    <pivotField showAll="0"/>
    <pivotField showAll="0"/>
    <pivotField showAll="0"/>
    <pivotField numFmtId="2" showAll="0"/>
    <pivotField showAll="0"/>
    <pivotField showAll="0"/>
    <pivotField showAll="0"/>
    <pivotField showAll="0"/>
    <pivotField dataField="1" numFmtId="2" showAll="0"/>
    <pivotField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showAll="0"/>
    <pivotField showAll="0"/>
    <pivotField showAll="0"/>
    <pivotField showAll="0"/>
    <pivotField showAll="0"/>
    <pivotField axis="axisPage" showAll="0">
      <items count="5">
        <item x="1"/>
        <item x="0"/>
        <item m="1" x="3"/>
        <item m="1" x="2"/>
        <item t="default"/>
      </items>
    </pivotField>
  </pivotFields>
  <rowFields count="1">
    <field x="0"/>
  </rowFields>
  <rowItems count="13"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51"/>
    </i>
  </rowItems>
  <colFields count="1">
    <field x="-2"/>
  </colFields>
  <colItems count="2">
    <i>
      <x/>
    </i>
    <i i="1">
      <x v="1"/>
    </i>
  </colItems>
  <pageFields count="1">
    <pageField fld="25" item="0" hier="-1"/>
  </pageFields>
  <dataFields count="2">
    <dataField name="Average of P/E" fld="12" subtotal="average" baseField="0" baseItem="3" numFmtId="2"/>
    <dataField name="StdDevp of P/E" fld="12" subtotal="stdDevp" baseField="0" baseItem="3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7B78ED-8281-409F-B6A4-5ECFEBADC554}" name="PivotTable12" cacheId="15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I24:K38" firstHeaderRow="0" firstDataRow="1" firstDataCol="1" rowPageCount="1" colPageCount="1"/>
  <pivotFields count="26">
    <pivotField axis="axisRow" showAll="0">
      <items count="60">
        <item m="1" x="26"/>
        <item m="1" x="27"/>
        <item m="1" x="28"/>
        <item m="1" x="29"/>
        <item m="1" x="30"/>
        <item m="1" x="31"/>
        <item m="1" x="14"/>
        <item m="1" x="15"/>
        <item m="1" x="16"/>
        <item m="1" x="17"/>
        <item m="1" x="18"/>
        <item m="1" x="19"/>
        <item m="1" x="54"/>
        <item m="1" x="55"/>
        <item m="1" x="56"/>
        <item m="1" x="57"/>
        <item m="1" x="58"/>
        <item m="1" x="34"/>
        <item m="1" x="35"/>
        <item m="1" x="36"/>
        <item m="1" x="37"/>
        <item m="1" x="38"/>
        <item m="1" x="3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m="1" x="49"/>
        <item m="1" x="50"/>
        <item m="1" x="51"/>
        <item m="1" x="52"/>
        <item m="1" x="53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32"/>
        <item m="1" x="33"/>
        <item m="1" x="20"/>
        <item m="1" x="21"/>
        <item m="1" x="22"/>
        <item m="1" x="23"/>
        <item m="1" x="24"/>
        <item m="1" x="2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5">
        <item x="0"/>
        <item x="1"/>
        <item m="1" x="3"/>
        <item m="1" x="2"/>
        <item t="default"/>
      </items>
    </pivotField>
  </pivotFields>
  <rowFields count="1">
    <field x="0"/>
  </rowFields>
  <rowItems count="14"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</rowItems>
  <colFields count="1">
    <field x="-2"/>
  </colFields>
  <colItems count="2">
    <i>
      <x/>
    </i>
    <i i="1">
      <x v="1"/>
    </i>
  </colItems>
  <pageFields count="1">
    <pageField fld="25" item="0" hier="-1"/>
  </pageFields>
  <dataFields count="2">
    <dataField name="Average of P/E" fld="12" subtotal="average" baseField="0" baseItem="0" numFmtId="2"/>
    <dataField name="StdDevp of P/E" fld="12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3223830-A9B5-4DB6-9D33-8B43732388BE}" name="PivotTable11" cacheId="15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E24:G38" firstHeaderRow="0" firstDataRow="1" firstDataCol="1" rowPageCount="1" colPageCount="1"/>
  <pivotFields count="26">
    <pivotField axis="axisRow" showAll="0">
      <items count="60">
        <item m="1" x="26"/>
        <item m="1" x="27"/>
        <item m="1" x="28"/>
        <item m="1" x="29"/>
        <item m="1" x="30"/>
        <item m="1" x="31"/>
        <item m="1" x="14"/>
        <item m="1" x="15"/>
        <item m="1" x="16"/>
        <item m="1" x="17"/>
        <item m="1" x="18"/>
        <item m="1" x="19"/>
        <item m="1" x="54"/>
        <item m="1" x="55"/>
        <item m="1" x="56"/>
        <item m="1" x="57"/>
        <item m="1" x="58"/>
        <item m="1" x="34"/>
        <item m="1" x="35"/>
        <item m="1" x="36"/>
        <item m="1" x="37"/>
        <item m="1" x="38"/>
        <item m="1" x="3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m="1" x="49"/>
        <item m="1" x="50"/>
        <item m="1" x="51"/>
        <item m="1" x="52"/>
        <item m="1" x="53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32"/>
        <item m="1" x="33"/>
        <item m="1" x="20"/>
        <item m="1" x="21"/>
        <item m="1" x="22"/>
        <item m="1" x="23"/>
        <item m="1" x="24"/>
        <item m="1" x="2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</pivotFields>
  <rowFields count="1">
    <field x="0"/>
  </rowFields>
  <rowItems count="14"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</rowItems>
  <colFields count="1">
    <field x="-2"/>
  </colFields>
  <colItems count="2">
    <i>
      <x/>
    </i>
    <i i="1">
      <x v="1"/>
    </i>
  </colItems>
  <pageFields count="1">
    <pageField fld="24" item="0" hier="-1"/>
  </pageFields>
  <dataFields count="2">
    <dataField name="Average of A/E" fld="11" subtotal="average" baseField="0" baseItem="0" numFmtId="2"/>
    <dataField name="StdDevp of A/E" fld="11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6FB9E3F-AA64-4A67-B90F-619AA980102E}" name="PivotTable10" cacheId="15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A24:C38" firstHeaderRow="0" firstDataRow="1" firstDataCol="1" rowPageCount="1" colPageCount="1"/>
  <pivotFields count="26">
    <pivotField axis="axisRow" showAll="0">
      <items count="60">
        <item m="1" x="26"/>
        <item m="1" x="27"/>
        <item m="1" x="28"/>
        <item m="1" x="29"/>
        <item m="1" x="30"/>
        <item m="1" x="31"/>
        <item m="1" x="14"/>
        <item m="1" x="15"/>
        <item m="1" x="16"/>
        <item m="1" x="17"/>
        <item m="1" x="18"/>
        <item m="1" x="19"/>
        <item m="1" x="54"/>
        <item m="1" x="55"/>
        <item m="1" x="56"/>
        <item m="1" x="57"/>
        <item m="1" x="58"/>
        <item m="1" x="34"/>
        <item m="1" x="35"/>
        <item m="1" x="36"/>
        <item m="1" x="37"/>
        <item m="1" x="38"/>
        <item m="1" x="3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m="1" x="49"/>
        <item m="1" x="50"/>
        <item m="1" x="51"/>
        <item m="1" x="52"/>
        <item m="1" x="53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32"/>
        <item m="1" x="33"/>
        <item m="1" x="20"/>
        <item m="1" x="21"/>
        <item m="1" x="22"/>
        <item m="1" x="23"/>
        <item m="1" x="24"/>
        <item m="1" x="2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1"/>
        <item x="0"/>
        <item t="default"/>
      </items>
    </pivotField>
    <pivotField showAll="0"/>
    <pivotField showAll="0"/>
  </pivotFields>
  <rowFields count="1">
    <field x="0"/>
  </rowFields>
  <rowItems count="14"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</rowItems>
  <colFields count="1">
    <field x="-2"/>
  </colFields>
  <colItems count="2">
    <i>
      <x/>
    </i>
    <i i="1">
      <x v="1"/>
    </i>
  </colItems>
  <pageFields count="1">
    <pageField fld="23" item="0" hier="-1"/>
  </pageFields>
  <dataFields count="2">
    <dataField name="Average of ROA" fld="10" subtotal="average" baseField="0" baseItem="0" numFmtId="2"/>
    <dataField name="StdDevp of ROA" fld="10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A4F5758-9BD1-4847-AE9E-D0276B5B9C8C}" name="PivotTable9" cacheId="15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I4:K18" firstHeaderRow="0" firstDataRow="1" firstDataCol="1" rowPageCount="1" colPageCount="1"/>
  <pivotFields count="26">
    <pivotField axis="axisRow" showAll="0">
      <items count="60">
        <item m="1" x="26"/>
        <item m="1" x="27"/>
        <item m="1" x="28"/>
        <item m="1" x="29"/>
        <item m="1" x="30"/>
        <item m="1" x="31"/>
        <item m="1" x="14"/>
        <item m="1" x="15"/>
        <item m="1" x="16"/>
        <item m="1" x="17"/>
        <item m="1" x="18"/>
        <item m="1" x="19"/>
        <item m="1" x="54"/>
        <item m="1" x="55"/>
        <item m="1" x="56"/>
        <item m="1" x="57"/>
        <item m="1" x="58"/>
        <item m="1" x="34"/>
        <item m="1" x="35"/>
        <item m="1" x="36"/>
        <item m="1" x="37"/>
        <item m="1" x="38"/>
        <item m="1" x="3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m="1" x="49"/>
        <item m="1" x="50"/>
        <item m="1" x="51"/>
        <item m="1" x="52"/>
        <item m="1" x="53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32"/>
        <item m="1" x="33"/>
        <item m="1" x="20"/>
        <item m="1" x="21"/>
        <item m="1" x="22"/>
        <item m="1" x="23"/>
        <item m="1" x="24"/>
        <item m="1" x="2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1"/>
        <item x="0"/>
        <item t="default"/>
      </items>
    </pivotField>
    <pivotField showAll="0"/>
    <pivotField showAll="0"/>
    <pivotField showAll="0"/>
  </pivotFields>
  <rowFields count="1">
    <field x="0"/>
  </rowFields>
  <rowItems count="14"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</rowItems>
  <colFields count="1">
    <field x="-2"/>
  </colFields>
  <colItems count="2">
    <i>
      <x/>
    </i>
    <i i="1">
      <x v="1"/>
    </i>
  </colItems>
  <pageFields count="1">
    <pageField fld="22" item="0" hier="-1"/>
  </pageFields>
  <dataFields count="2">
    <dataField name="Average of ROE" fld="9" subtotal="average" baseField="0" baseItem="0" numFmtId="2"/>
    <dataField name="StdDevp of ROE" fld="9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127776E-7C7E-402C-B296-4D93FD39F0DF}" name="PivotTable7" cacheId="15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A4:C18" firstHeaderRow="0" firstDataRow="1" firstDataCol="1" rowPageCount="1" colPageCount="1"/>
  <pivotFields count="26">
    <pivotField axis="axisRow" showAll="0">
      <items count="60">
        <item m="1" x="26"/>
        <item m="1" x="27"/>
        <item m="1" x="28"/>
        <item m="1" x="29"/>
        <item m="1" x="30"/>
        <item m="1" x="31"/>
        <item m="1" x="14"/>
        <item m="1" x="15"/>
        <item m="1" x="16"/>
        <item m="1" x="17"/>
        <item m="1" x="18"/>
        <item m="1" x="19"/>
        <item m="1" x="54"/>
        <item m="1" x="55"/>
        <item m="1" x="56"/>
        <item m="1" x="57"/>
        <item m="1" x="58"/>
        <item m="1" x="34"/>
        <item m="1" x="35"/>
        <item m="1" x="36"/>
        <item m="1" x="37"/>
        <item m="1" x="38"/>
        <item m="1" x="3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m="1" x="49"/>
        <item m="1" x="50"/>
        <item m="1" x="51"/>
        <item m="1" x="52"/>
        <item m="1" x="53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32"/>
        <item m="1" x="33"/>
        <item m="1" x="20"/>
        <item m="1" x="21"/>
        <item m="1" x="22"/>
        <item m="1" x="23"/>
        <item m="1" x="24"/>
        <item m="1" x="25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5">
        <item x="0"/>
        <item x="1"/>
        <item m="1" x="3"/>
        <item m="1" x="2"/>
        <item t="default"/>
      </items>
    </pivotField>
    <pivotField showAll="0"/>
    <pivotField showAll="0"/>
    <pivotField showAll="0"/>
    <pivotField showAll="0"/>
    <pivotField showAll="0"/>
  </pivotFields>
  <rowFields count="1">
    <field x="0"/>
  </rowFields>
  <rowItems count="14"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</rowItems>
  <colFields count="1">
    <field x="-2"/>
  </colFields>
  <colItems count="2">
    <i>
      <x/>
    </i>
    <i i="1">
      <x v="1"/>
    </i>
  </colItems>
  <pageFields count="1">
    <pageField fld="20" item="0" hier="-1"/>
  </pageFields>
  <dataFields count="2">
    <dataField name="Average of P/FCF" fld="7" subtotal="average" baseField="0" baseItem="0" numFmtId="2"/>
    <dataField name="StdDevp of P/FCF" fld="7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57D752-2C3F-43DB-BC07-248E77950594}" name="PivotTable8" cacheId="15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E4:G18" firstHeaderRow="0" firstDataRow="1" firstDataCol="1" rowPageCount="1" colPageCount="1"/>
  <pivotFields count="26">
    <pivotField axis="axisRow" showAll="0">
      <items count="60">
        <item m="1" x="26"/>
        <item m="1" x="27"/>
        <item m="1" x="28"/>
        <item m="1" x="29"/>
        <item m="1" x="30"/>
        <item m="1" x="31"/>
        <item m="1" x="14"/>
        <item m="1" x="15"/>
        <item m="1" x="16"/>
        <item m="1" x="17"/>
        <item m="1" x="18"/>
        <item m="1" x="19"/>
        <item m="1" x="54"/>
        <item m="1" x="55"/>
        <item m="1" x="56"/>
        <item m="1" x="57"/>
        <item m="1" x="58"/>
        <item m="1" x="34"/>
        <item m="1" x="35"/>
        <item m="1" x="36"/>
        <item m="1" x="37"/>
        <item m="1" x="38"/>
        <item m="1" x="3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m="1" x="49"/>
        <item m="1" x="50"/>
        <item m="1" x="51"/>
        <item m="1" x="52"/>
        <item m="1" x="53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32"/>
        <item m="1" x="33"/>
        <item m="1" x="20"/>
        <item m="1" x="21"/>
        <item m="1" x="22"/>
        <item m="1" x="23"/>
        <item m="1" x="24"/>
        <item m="1" x="2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5">
        <item m="1" x="3"/>
        <item x="0"/>
        <item x="1"/>
        <item m="1" x="2"/>
        <item t="default"/>
      </items>
    </pivotField>
    <pivotField showAll="0"/>
    <pivotField showAll="0"/>
    <pivotField showAll="0"/>
    <pivotField showAll="0"/>
  </pivotFields>
  <rowFields count="1">
    <field x="0"/>
  </rowFields>
  <rowItems count="14"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</rowItems>
  <colFields count="1">
    <field x="-2"/>
  </colFields>
  <colItems count="2">
    <i>
      <x/>
    </i>
    <i i="1">
      <x v="1"/>
    </i>
  </colItems>
  <pageFields count="1">
    <pageField fld="21" item="1" hier="-1"/>
  </pageFields>
  <dataFields count="2">
    <dataField name="Average of P/B" fld="8" subtotal="average" baseField="0" baseItem="8" numFmtId="2"/>
    <dataField name="StdDevp of P/B" fld="8" subtotal="stdDevp" baseField="0" baseItem="8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6196AD-A949-492C-A608-C48A1F76FC08}" name="PivotTable14" cacheId="21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E4:G18" firstHeaderRow="0" firstDataRow="1" firstDataCol="1" rowPageCount="1" colPageCount="1"/>
  <pivotFields count="26">
    <pivotField axis="axisRow" showAll="0">
      <items count="61">
        <item m="1" x="26"/>
        <item m="1" x="27"/>
        <item m="1" x="28"/>
        <item m="1" x="29"/>
        <item m="1" x="30"/>
        <item m="1" x="31"/>
        <item m="1" x="14"/>
        <item m="1" x="15"/>
        <item m="1" x="16"/>
        <item m="1" x="17"/>
        <item m="1" x="18"/>
        <item m="1" x="19"/>
        <item m="1" x="55"/>
        <item m="1" x="56"/>
        <item m="1" x="57"/>
        <item m="1" x="58"/>
        <item m="1" x="59"/>
        <item m="1" x="34"/>
        <item m="1" x="35"/>
        <item m="1" x="36"/>
        <item m="1" x="37"/>
        <item m="1" x="38"/>
        <item m="1" x="3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m="1" x="50"/>
        <item m="1" x="51"/>
        <item m="1" x="52"/>
        <item m="1" x="53"/>
        <item m="1" x="54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32"/>
        <item m="1" x="33"/>
        <item m="1" x="20"/>
        <item m="1" x="21"/>
        <item m="1" x="22"/>
        <item m="1" x="23"/>
        <item m="1" x="24"/>
        <item m="1" x="2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4">
        <item x="0"/>
        <item x="1"/>
        <item m="1" x="2"/>
        <item t="default"/>
      </items>
    </pivotField>
    <pivotField showAll="0"/>
    <pivotField showAll="0"/>
    <pivotField showAll="0"/>
    <pivotField showAll="0"/>
  </pivotFields>
  <rowFields count="1">
    <field x="0"/>
  </rowFields>
  <rowItems count="14"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</rowItems>
  <colFields count="1">
    <field x="-2"/>
  </colFields>
  <colItems count="2">
    <i>
      <x/>
    </i>
    <i i="1">
      <x v="1"/>
    </i>
  </colItems>
  <pageFields count="1">
    <pageField fld="21" item="0" hier="-1"/>
  </pageFields>
  <dataFields count="2">
    <dataField name="Average of P/B" fld="8" subtotal="average" baseField="0" baseItem="9" numFmtId="2"/>
    <dataField name="StdDevp of P/B" fld="8" subtotal="stdDevp" baseField="0" baseItem="9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C9DE58-9145-4A38-9D87-BB993A306C05}" name="PivotTable18" cacheId="21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I24:K38" firstHeaderRow="0" firstDataRow="1" firstDataCol="1" rowPageCount="1" colPageCount="1"/>
  <pivotFields count="26">
    <pivotField axis="axisRow" showAll="0">
      <items count="61">
        <item m="1" x="26"/>
        <item m="1" x="27"/>
        <item m="1" x="28"/>
        <item m="1" x="29"/>
        <item m="1" x="30"/>
        <item m="1" x="31"/>
        <item m="1" x="14"/>
        <item m="1" x="15"/>
        <item m="1" x="16"/>
        <item m="1" x="17"/>
        <item m="1" x="18"/>
        <item m="1" x="19"/>
        <item m="1" x="55"/>
        <item m="1" x="56"/>
        <item m="1" x="57"/>
        <item m="1" x="58"/>
        <item m="1" x="59"/>
        <item m="1" x="34"/>
        <item m="1" x="35"/>
        <item m="1" x="36"/>
        <item m="1" x="37"/>
        <item m="1" x="38"/>
        <item m="1" x="3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m="1" x="50"/>
        <item m="1" x="51"/>
        <item m="1" x="52"/>
        <item m="1" x="53"/>
        <item m="1" x="54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32"/>
        <item m="1" x="33"/>
        <item m="1" x="20"/>
        <item m="1" x="21"/>
        <item m="1" x="22"/>
        <item m="1" x="23"/>
        <item m="1" x="24"/>
        <item m="1" x="2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5">
        <item x="0"/>
        <item x="1"/>
        <item m="1" x="3"/>
        <item m="1" x="2"/>
        <item t="default"/>
      </items>
    </pivotField>
  </pivotFields>
  <rowFields count="1">
    <field x="0"/>
  </rowFields>
  <rowItems count="14"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</rowItems>
  <colFields count="1">
    <field x="-2"/>
  </colFields>
  <colItems count="2">
    <i>
      <x/>
    </i>
    <i i="1">
      <x v="1"/>
    </i>
  </colItems>
  <pageFields count="1">
    <pageField fld="25" item="0" hier="-1"/>
  </pageFields>
  <dataFields count="2">
    <dataField name="Average of P/E" fld="12" subtotal="average" baseField="0" baseItem="0" numFmtId="2"/>
    <dataField name="StdDevp of P/E" fld="12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225C56-22CE-417F-B876-CBEEB96F76CA}" name="PivotTable17" cacheId="21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E24:G38" firstHeaderRow="0" firstDataRow="1" firstDataCol="1" rowPageCount="1" colPageCount="1"/>
  <pivotFields count="26">
    <pivotField axis="axisRow" showAll="0">
      <items count="61">
        <item m="1" x="26"/>
        <item m="1" x="27"/>
        <item m="1" x="28"/>
        <item m="1" x="29"/>
        <item m="1" x="30"/>
        <item m="1" x="31"/>
        <item m="1" x="14"/>
        <item m="1" x="15"/>
        <item m="1" x="16"/>
        <item m="1" x="17"/>
        <item m="1" x="18"/>
        <item m="1" x="19"/>
        <item m="1" x="55"/>
        <item m="1" x="56"/>
        <item m="1" x="57"/>
        <item m="1" x="58"/>
        <item m="1" x="59"/>
        <item m="1" x="34"/>
        <item m="1" x="35"/>
        <item m="1" x="36"/>
        <item m="1" x="37"/>
        <item m="1" x="38"/>
        <item m="1" x="3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m="1" x="50"/>
        <item m="1" x="51"/>
        <item m="1" x="52"/>
        <item m="1" x="53"/>
        <item m="1" x="54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32"/>
        <item m="1" x="33"/>
        <item m="1" x="20"/>
        <item m="1" x="21"/>
        <item m="1" x="22"/>
        <item m="1" x="23"/>
        <item m="1" x="24"/>
        <item m="1" x="2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</pivotFields>
  <rowFields count="1">
    <field x="0"/>
  </rowFields>
  <rowItems count="14"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</rowItems>
  <colFields count="1">
    <field x="-2"/>
  </colFields>
  <colItems count="2">
    <i>
      <x/>
    </i>
    <i i="1">
      <x v="1"/>
    </i>
  </colItems>
  <pageFields count="1">
    <pageField fld="24" item="0" hier="-1"/>
  </pageFields>
  <dataFields count="2">
    <dataField name="Average of A/E" fld="11" subtotal="average" baseField="0" baseItem="0" numFmtId="2"/>
    <dataField name="StdDevp of A/E" fld="11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D94F80-7952-4D43-A79C-D494CF193FB3}" name="PivotTable16" cacheId="21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A24:C38" firstHeaderRow="0" firstDataRow="1" firstDataCol="1" rowPageCount="1" colPageCount="1"/>
  <pivotFields count="26">
    <pivotField axis="axisRow" showAll="0">
      <items count="61">
        <item m="1" x="26"/>
        <item m="1" x="27"/>
        <item m="1" x="28"/>
        <item m="1" x="29"/>
        <item m="1" x="30"/>
        <item m="1" x="31"/>
        <item m="1" x="14"/>
        <item m="1" x="15"/>
        <item m="1" x="16"/>
        <item m="1" x="17"/>
        <item m="1" x="18"/>
        <item m="1" x="19"/>
        <item m="1" x="55"/>
        <item m="1" x="56"/>
        <item m="1" x="57"/>
        <item m="1" x="58"/>
        <item m="1" x="59"/>
        <item m="1" x="34"/>
        <item m="1" x="35"/>
        <item m="1" x="36"/>
        <item m="1" x="37"/>
        <item m="1" x="38"/>
        <item m="1" x="3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m="1" x="50"/>
        <item m="1" x="51"/>
        <item m="1" x="52"/>
        <item m="1" x="53"/>
        <item m="1" x="54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32"/>
        <item m="1" x="33"/>
        <item m="1" x="20"/>
        <item m="1" x="21"/>
        <item m="1" x="22"/>
        <item m="1" x="23"/>
        <item m="1" x="24"/>
        <item m="1" x="2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</pivotFields>
  <rowFields count="1">
    <field x="0"/>
  </rowFields>
  <rowItems count="14"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</rowItems>
  <colFields count="1">
    <field x="-2"/>
  </colFields>
  <colItems count="2">
    <i>
      <x/>
    </i>
    <i i="1">
      <x v="1"/>
    </i>
  </colItems>
  <pageFields count="1">
    <pageField fld="23" item="0" hier="-1"/>
  </pageFields>
  <dataFields count="2">
    <dataField name="Average of ROA" fld="10" subtotal="average" baseField="0" baseItem="0" numFmtId="2"/>
    <dataField name="StdDevp of ROA" fld="10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AD0308A-0527-477A-9E60-ED92EDA45CE6}" name="PivotTable15" cacheId="21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I4:K18" firstHeaderRow="0" firstDataRow="1" firstDataCol="1" rowPageCount="1" colPageCount="1"/>
  <pivotFields count="26">
    <pivotField axis="axisRow" showAll="0">
      <items count="61">
        <item m="1" x="26"/>
        <item m="1" x="27"/>
        <item m="1" x="28"/>
        <item m="1" x="29"/>
        <item m="1" x="30"/>
        <item m="1" x="31"/>
        <item m="1" x="14"/>
        <item m="1" x="15"/>
        <item m="1" x="16"/>
        <item m="1" x="17"/>
        <item m="1" x="18"/>
        <item m="1" x="19"/>
        <item m="1" x="55"/>
        <item m="1" x="56"/>
        <item m="1" x="57"/>
        <item m="1" x="58"/>
        <item m="1" x="59"/>
        <item m="1" x="34"/>
        <item m="1" x="35"/>
        <item m="1" x="36"/>
        <item m="1" x="37"/>
        <item m="1" x="38"/>
        <item m="1" x="3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m="1" x="50"/>
        <item m="1" x="51"/>
        <item m="1" x="52"/>
        <item m="1" x="53"/>
        <item m="1" x="54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32"/>
        <item m="1" x="33"/>
        <item m="1" x="20"/>
        <item m="1" x="21"/>
        <item m="1" x="22"/>
        <item m="1" x="23"/>
        <item m="1" x="24"/>
        <item m="1" x="2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</pivotFields>
  <rowFields count="1">
    <field x="0"/>
  </rowFields>
  <rowItems count="14"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</rowItems>
  <colFields count="1">
    <field x="-2"/>
  </colFields>
  <colItems count="2">
    <i>
      <x/>
    </i>
    <i i="1">
      <x v="1"/>
    </i>
  </colItems>
  <pageFields count="1">
    <pageField fld="22" item="0" hier="-1"/>
  </pageFields>
  <dataFields count="2">
    <dataField name="Average of ROE" fld="9" subtotal="average" baseField="0" baseItem="0" numFmtId="2"/>
    <dataField name="StdDevp of ROE" fld="9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4021F3-AE23-44CA-B4F3-CC1FD8F04DE9}" name="PivotTable13" cacheId="21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A4:C18" firstHeaderRow="0" firstDataRow="1" firstDataCol="1" rowPageCount="1" colPageCount="1"/>
  <pivotFields count="26">
    <pivotField axis="axisRow" showAll="0">
      <items count="61">
        <item m="1" x="26"/>
        <item m="1" x="27"/>
        <item m="1" x="28"/>
        <item m="1" x="29"/>
        <item m="1" x="30"/>
        <item m="1" x="31"/>
        <item m="1" x="14"/>
        <item m="1" x="15"/>
        <item m="1" x="16"/>
        <item m="1" x="17"/>
        <item m="1" x="18"/>
        <item m="1" x="19"/>
        <item m="1" x="55"/>
        <item m="1" x="56"/>
        <item m="1" x="57"/>
        <item m="1" x="58"/>
        <item m="1" x="59"/>
        <item m="1" x="34"/>
        <item m="1" x="35"/>
        <item m="1" x="36"/>
        <item m="1" x="37"/>
        <item m="1" x="38"/>
        <item m="1" x="3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m="1" x="50"/>
        <item m="1" x="51"/>
        <item m="1" x="52"/>
        <item m="1" x="53"/>
        <item m="1" x="54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32"/>
        <item m="1" x="33"/>
        <item m="1" x="20"/>
        <item m="1" x="21"/>
        <item m="1" x="22"/>
        <item m="1" x="23"/>
        <item m="1" x="24"/>
        <item m="1" x="25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5">
        <item x="0"/>
        <item x="1"/>
        <item m="1" x="3"/>
        <item m="1" x="2"/>
        <item t="default"/>
      </items>
    </pivotField>
    <pivotField showAll="0"/>
    <pivotField showAll="0"/>
    <pivotField showAll="0"/>
    <pivotField showAll="0"/>
    <pivotField showAll="0"/>
  </pivotFields>
  <rowFields count="1">
    <field x="0"/>
  </rowFields>
  <rowItems count="14"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</rowItems>
  <colFields count="1">
    <field x="-2"/>
  </colFields>
  <colItems count="2">
    <i>
      <x/>
    </i>
    <i i="1">
      <x v="1"/>
    </i>
  </colItems>
  <pageFields count="1">
    <pageField fld="20" item="0" hier="-1"/>
  </pageFields>
  <dataFields count="2">
    <dataField name="Average of P/FCF" fld="7" subtotal="average" baseField="0" baseItem="0" numFmtId="2"/>
    <dataField name="StdDevp of P/FCF" fld="7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9" xr16:uid="{D32EA3CB-BE38-416D-9CDC-630CA7437C5A}" autoFormatId="16" applyNumberFormats="0" applyBorderFormats="0" applyFontFormats="0" applyPatternFormats="0" applyAlignmentFormats="0" applyWidthHeightFormats="0">
  <queryTableRefresh nextId="48" unboundColumnsRight="13">
    <queryTableFields count="26">
      <queryTableField id="1" name="Industry" tableColumnId="1"/>
      <queryTableField id="2" name="Symbol" tableColumnId="2"/>
      <queryTableField id="44" name="Market Cap (M)" tableColumnId="3"/>
      <queryTableField id="4" name="Current Price" tableColumnId="4"/>
      <queryTableField id="5" name="Free CF" tableColumnId="5"/>
      <queryTableField id="6" name="BVPS" tableColumnId="6"/>
      <queryTableField id="7" name="EPS" tableColumnId="7"/>
      <queryTableField id="8" name="P/FCF" tableColumnId="8"/>
      <queryTableField id="46" name="P/B" tableColumnId="9"/>
      <queryTableField id="10" name="ROE" tableColumnId="10"/>
      <queryTableField id="11" name="ROA" tableColumnId="11"/>
      <queryTableField id="13" name="A/E" tableColumnId="13"/>
      <queryTableField id="12" name="P/E" tableColumnId="12"/>
      <queryTableField id="28" dataBound="0" tableColumnId="14"/>
      <queryTableField id="29" dataBound="0" tableColumnId="15"/>
      <queryTableField id="30" dataBound="0" tableColumnId="16"/>
      <queryTableField id="31" dataBound="0" tableColumnId="17"/>
      <queryTableField id="32" dataBound="0" tableColumnId="18"/>
      <queryTableField id="34" dataBound="0" tableColumnId="20"/>
      <queryTableField id="33" dataBound="0" tableColumnId="19"/>
      <queryTableField id="35" dataBound="0" tableColumnId="21"/>
      <queryTableField id="36" dataBound="0" tableColumnId="22"/>
      <queryTableField id="37" dataBound="0" tableColumnId="23"/>
      <queryTableField id="38" dataBound="0" tableColumnId="24"/>
      <queryTableField id="40" dataBound="0" tableColumnId="26"/>
      <queryTableField id="39" dataBound="0" tableColumnId="2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0" xr16:uid="{8D69D8E8-A8D7-45B1-9C88-2D4B75DE819C}" autoFormatId="16" applyNumberFormats="0" applyBorderFormats="0" applyFontFormats="0" applyPatternFormats="0" applyAlignmentFormats="0" applyWidthHeightFormats="0">
  <queryTableRefresh nextId="47" unboundColumnsRight="13">
    <queryTableFields count="26">
      <queryTableField id="1" name="Industry" tableColumnId="1"/>
      <queryTableField id="2" name="Symbol" tableColumnId="2"/>
      <queryTableField id="43" name="Market Cap (M)" tableColumnId="3"/>
      <queryTableField id="4" name="Current Price" tableColumnId="4"/>
      <queryTableField id="5" name="Free CF" tableColumnId="5"/>
      <queryTableField id="6" name="BVPS" tableColumnId="6"/>
      <queryTableField id="7" name="EPS" tableColumnId="7"/>
      <queryTableField id="8" name="P/FCF" tableColumnId="8"/>
      <queryTableField id="45" name="P/B" tableColumnId="9"/>
      <queryTableField id="10" name="ROE" tableColumnId="10"/>
      <queryTableField id="11" name="ROA" tableColumnId="11"/>
      <queryTableField id="13" name="A/E" tableColumnId="13"/>
      <queryTableField id="12" name="P/E" tableColumnId="12"/>
      <queryTableField id="27" dataBound="0" tableColumnId="14"/>
      <queryTableField id="28" dataBound="0" tableColumnId="15"/>
      <queryTableField id="29" dataBound="0" tableColumnId="16"/>
      <queryTableField id="30" dataBound="0" tableColumnId="17"/>
      <queryTableField id="31" dataBound="0" tableColumnId="18"/>
      <queryTableField id="33" dataBound="0" tableColumnId="20"/>
      <queryTableField id="32" dataBound="0" tableColumnId="19"/>
      <queryTableField id="34" dataBound="0" tableColumnId="21"/>
      <queryTableField id="35" dataBound="0" tableColumnId="22"/>
      <queryTableField id="36" dataBound="0" tableColumnId="23"/>
      <queryTableField id="37" dataBound="0" tableColumnId="24"/>
      <queryTableField id="39" dataBound="0" tableColumnId="26"/>
      <queryTableField id="38" dataBound="0" tableColumnId="2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1" xr16:uid="{1D322613-0263-476D-865E-3ED9D756CED7}" autoFormatId="16" applyNumberFormats="0" applyBorderFormats="0" applyFontFormats="0" applyPatternFormats="0" applyAlignmentFormats="0" applyWidthHeightFormats="0">
  <queryTableRefresh nextId="47" unboundColumnsRight="13">
    <queryTableFields count="26">
      <queryTableField id="1" name="Industry" tableColumnId="1"/>
      <queryTableField id="2" name="Symbol" tableColumnId="2"/>
      <queryTableField id="43" name="Market Cap (M)" tableColumnId="3"/>
      <queryTableField id="4" name="Current Price" tableColumnId="4"/>
      <queryTableField id="5" name="Free CF" tableColumnId="5"/>
      <queryTableField id="6" name="BVPS" tableColumnId="6"/>
      <queryTableField id="7" name="EPS" tableColumnId="7"/>
      <queryTableField id="8" name="P/FCF" tableColumnId="8"/>
      <queryTableField id="45" name="P/B" tableColumnId="9"/>
      <queryTableField id="10" name="ROE" tableColumnId="10"/>
      <queryTableField id="11" name="ROA" tableColumnId="11"/>
      <queryTableField id="13" name="A/E" tableColumnId="13"/>
      <queryTableField id="12" name="P/E" tableColumnId="12"/>
      <queryTableField id="27" dataBound="0" tableColumnId="14"/>
      <queryTableField id="28" dataBound="0" tableColumnId="15"/>
      <queryTableField id="29" dataBound="0" tableColumnId="16"/>
      <queryTableField id="30" dataBound="0" tableColumnId="17"/>
      <queryTableField id="31" dataBound="0" tableColumnId="18"/>
      <queryTableField id="33" dataBound="0" tableColumnId="20"/>
      <queryTableField id="32" dataBound="0" tableColumnId="19"/>
      <queryTableField id="34" dataBound="0" tableColumnId="21"/>
      <queryTableField id="35" dataBound="0" tableColumnId="22"/>
      <queryTableField id="36" dataBound="0" tableColumnId="23"/>
      <queryTableField id="37" dataBound="0" tableColumnId="24"/>
      <queryTableField id="39" dataBound="0" tableColumnId="26"/>
      <queryTableField id="38" dataBound="0" tableColumnId="25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41" xr16:uid="{2A3DD76B-3B32-4587-BDD7-433C5119B98E}" autoFormatId="16" applyNumberFormats="0" applyBorderFormats="0" applyFontFormats="0" applyPatternFormats="0" applyAlignmentFormats="0" applyWidthHeightFormats="0">
  <queryTableRefresh nextId="26">
    <queryTableFields count="25">
      <queryTableField id="1" name="Industry" tableColumnId="1"/>
      <queryTableField id="2" name="P/FCF Q1" tableColumnId="2"/>
      <queryTableField id="3" name="P/FCF Q3" tableColumnId="3"/>
      <queryTableField id="4" name="P/FCF LB" tableColumnId="4"/>
      <queryTableField id="5" name="P/FCF UB" tableColumnId="5"/>
      <queryTableField id="6" name="P/B Q1" tableColumnId="6"/>
      <queryTableField id="7" name="P/B Q3" tableColumnId="7"/>
      <queryTableField id="8" name="P/B LB" tableColumnId="8"/>
      <queryTableField id="9" name="P/B UB" tableColumnId="9"/>
      <queryTableField id="10" name="ROE Q1" tableColumnId="10"/>
      <queryTableField id="11" name="ROE Q3" tableColumnId="11"/>
      <queryTableField id="12" name="ROE LB" tableColumnId="12"/>
      <queryTableField id="13" name="ROE UB" tableColumnId="13"/>
      <queryTableField id="14" name="ROA Q1" tableColumnId="14"/>
      <queryTableField id="15" name="ROA Q3" tableColumnId="15"/>
      <queryTableField id="16" name="ROA LB" tableColumnId="16"/>
      <queryTableField id="17" name="ROA UB" tableColumnId="17"/>
      <queryTableField id="18" name="P/E Q1" tableColumnId="18"/>
      <queryTableField id="19" name="P/E Q3" tableColumnId="19"/>
      <queryTableField id="20" name="P/E LB" tableColumnId="20"/>
      <queryTableField id="21" name="P/E UB" tableColumnId="21"/>
      <queryTableField id="22" name="A/E Q1" tableColumnId="22"/>
      <queryTableField id="23" name="A/E Q3" tableColumnId="23"/>
      <queryTableField id="24" name="A/E LB" tableColumnId="24"/>
      <queryTableField id="25" name="A/E UB" tableColumnId="25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42" xr16:uid="{1104BD5D-D315-4F66-94E6-5B0693021F92}" autoFormatId="16" applyNumberFormats="0" applyBorderFormats="0" applyFontFormats="0" applyPatternFormats="0" applyAlignmentFormats="0" applyWidthHeightFormats="0">
  <queryTableRefresh nextId="26">
    <queryTableFields count="25">
      <queryTableField id="1" name="Industry" tableColumnId="1"/>
      <queryTableField id="2" name="P/FCF Q1" tableColumnId="2"/>
      <queryTableField id="3" name="P/FCF Q3" tableColumnId="3"/>
      <queryTableField id="4" name="P/FCF LB" tableColumnId="4"/>
      <queryTableField id="5" name="P/FCF UB" tableColumnId="5"/>
      <queryTableField id="6" name="P/B Q1" tableColumnId="6"/>
      <queryTableField id="7" name="P/B Q3" tableColumnId="7"/>
      <queryTableField id="8" name="P/B LB" tableColumnId="8"/>
      <queryTableField id="9" name="P/B UB" tableColumnId="9"/>
      <queryTableField id="10" name="ROE Q1" tableColumnId="10"/>
      <queryTableField id="11" name="ROE Q3" tableColumnId="11"/>
      <queryTableField id="12" name="ROE LB" tableColumnId="12"/>
      <queryTableField id="13" name="ROE UB" tableColumnId="13"/>
      <queryTableField id="14" name="ROA Q1" tableColumnId="14"/>
      <queryTableField id="15" name="ROA Q3" tableColumnId="15"/>
      <queryTableField id="16" name="ROA LB" tableColumnId="16"/>
      <queryTableField id="17" name="ROA UB" tableColumnId="17"/>
      <queryTableField id="18" name="P/E Q1" tableColumnId="18"/>
      <queryTableField id="19" name="P/E Q3" tableColumnId="19"/>
      <queryTableField id="20" name="P/E LB" tableColumnId="20"/>
      <queryTableField id="21" name="P/E UB" tableColumnId="21"/>
      <queryTableField id="22" name="A/E Q1" tableColumnId="22"/>
      <queryTableField id="23" name="A/E Q3" tableColumnId="23"/>
      <queryTableField id="24" name="A/E LB" tableColumnId="24"/>
      <queryTableField id="25" name="A/E UB" tableColumnId="25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43" xr16:uid="{14E5BAAC-5265-4112-9064-4EF86CDFE054}" autoFormatId="16" applyNumberFormats="0" applyBorderFormats="0" applyFontFormats="0" applyPatternFormats="0" applyAlignmentFormats="0" applyWidthHeightFormats="0">
  <queryTableRefresh nextId="26">
    <queryTableFields count="25">
      <queryTableField id="1" name="Industry" tableColumnId="1"/>
      <queryTableField id="2" name="P/FCF Q1" tableColumnId="2"/>
      <queryTableField id="3" name="P/FCF Q3" tableColumnId="3"/>
      <queryTableField id="4" name="P/FCF LB" tableColumnId="4"/>
      <queryTableField id="5" name="P/FCF UB" tableColumnId="5"/>
      <queryTableField id="6" name="P/B Q1" tableColumnId="6"/>
      <queryTableField id="7" name="P/B Q3" tableColumnId="7"/>
      <queryTableField id="8" name="P/B LB" tableColumnId="8"/>
      <queryTableField id="9" name="P/B UB" tableColumnId="9"/>
      <queryTableField id="10" name="ROE Q1" tableColumnId="10"/>
      <queryTableField id="11" name="ROE Q3" tableColumnId="11"/>
      <queryTableField id="12" name="ROE LB" tableColumnId="12"/>
      <queryTableField id="13" name="ROE UB" tableColumnId="13"/>
      <queryTableField id="14" name="ROA Q1" tableColumnId="14"/>
      <queryTableField id="15" name="ROA Q3" tableColumnId="15"/>
      <queryTableField id="16" name="ROA LB" tableColumnId="16"/>
      <queryTableField id="17" name="ROA UB" tableColumnId="17"/>
      <queryTableField id="18" name="P/E Q1" tableColumnId="18"/>
      <queryTableField id="19" name="P/E Q3" tableColumnId="19"/>
      <queryTableField id="20" name="P/E LB" tableColumnId="20"/>
      <queryTableField id="21" name="P/E UB" tableColumnId="21"/>
      <queryTableField id="22" name="A/E Q1" tableColumnId="22"/>
      <queryTableField id="23" name="A/E Q3" tableColumnId="23"/>
      <queryTableField id="24" name="A/E LB" tableColumnId="24"/>
      <queryTableField id="25" name="A/E UB" tableColumnId="25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3099FB-6B0A-4C40-9407-89EC83C9DBE4}" name="DynamicPath" displayName="DynamicPath" ref="A1:A2" totalsRowShown="0">
  <autoFilter ref="A1:A2" xr:uid="{EB3099FB-6B0A-4C40-9407-89EC83C9DBE4}"/>
  <tableColumns count="1">
    <tableColumn id="1" xr3:uid="{72CF0EC1-9118-4F51-B3B2-06BCDC74DB25}" name="Path">
      <calculatedColumnFormula array="1">LEFT(CELL("filename"),SEARCH("\M",CELL("filename")))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B3BB95A-07C7-4768-8185-A2A759A39458}" name="Main_L" displayName="Main_L" ref="A1:Z119" tableType="queryTable" totalsRowShown="0">
  <autoFilter ref="A1:Z119" xr:uid="{1B3BB95A-07C7-4768-8185-A2A759A39458}"/>
  <sortState xmlns:xlrd2="http://schemas.microsoft.com/office/spreadsheetml/2017/richdata2" ref="A2:Z119">
    <sortCondition ref="A1:A119"/>
  </sortState>
  <tableColumns count="26">
    <tableColumn id="1" xr3:uid="{FDA9EBBF-F574-44F1-B885-6A5ED1C1C8A3}" uniqueName="1" name="Industry" queryTableFieldId="1" dataDxfId="146"/>
    <tableColumn id="2" xr3:uid="{8F96E341-8F97-4BC1-90E1-73E9D5DAC8C9}" uniqueName="2" name="Symbol" queryTableFieldId="2" dataDxfId="145"/>
    <tableColumn id="3" xr3:uid="{F543FE77-4EA4-4170-A3F2-7D6D401D6817}" uniqueName="3" name="Market Cap (M)" queryTableFieldId="44" dataDxfId="139"/>
    <tableColumn id="4" xr3:uid="{D2480B0A-A335-4942-BCC8-5B641403DC2B}" uniqueName="4" name="Current Price" queryTableFieldId="4"/>
    <tableColumn id="5" xr3:uid="{720C3F4D-C635-4D4E-9155-738C72CE1044}" uniqueName="5" name="Free CF" queryTableFieldId="5"/>
    <tableColumn id="6" xr3:uid="{1BF86AC4-6154-48CF-AE5D-28B545E17514}" uniqueName="6" name="BVPS" queryTableFieldId="6"/>
    <tableColumn id="7" xr3:uid="{AE4742F3-E34E-4DC7-86A0-26BD37855B44}" uniqueName="7" name="EPS" queryTableFieldId="7"/>
    <tableColumn id="8" xr3:uid="{EDCA5355-465F-4050-92F2-EF8C3D568FEB}" uniqueName="8" name="P/FCF" queryTableFieldId="8" dataDxfId="138"/>
    <tableColumn id="9" xr3:uid="{92CA53A2-ADA4-45CE-B0FD-3AD68E123166}" uniqueName="9" name="P/B" queryTableFieldId="46" dataDxfId="137"/>
    <tableColumn id="10" xr3:uid="{0F3AADEE-F89A-40C7-BCB2-1F6E4395C5A8}" uniqueName="10" name="ROE" queryTableFieldId="10"/>
    <tableColumn id="11" xr3:uid="{8EB3611A-D40B-43FC-B57A-5DE27BFFEC7B}" uniqueName="11" name="ROA" queryTableFieldId="11"/>
    <tableColumn id="13" xr3:uid="{7CCDC820-7CD2-44AF-837F-E7A822FFB771}" uniqueName="13" name="A/E" queryTableFieldId="13"/>
    <tableColumn id="12" xr3:uid="{0DC01881-794E-4375-9285-108B89105E86}" uniqueName="12" name="P/E" queryTableFieldId="12" dataDxfId="136"/>
    <tableColumn id="14" xr3:uid="{ADA8B331-0D92-4BD4-AA99-F51061DC5068}" uniqueName="14" name="Preliminary Criteria" queryTableFieldId="28">
      <calculatedColumnFormula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calculatedColumnFormula>
    </tableColumn>
    <tableColumn id="15" xr3:uid="{B45ED73C-689C-4C77-89EB-99104D4657D6}" uniqueName="15" name="P/FCF Z-Score" queryTableFieldId="29" dataDxfId="135">
      <calculatedColumnFormula>(Main_L[[#This Row],[P/FCF]]-VLOOKUP(Main_L[[#This Row],[Industry]], Mean_PFCF_L, 2, FALSE))/(VLOOKUP(Main_L[[#This Row],[Industry]], Mean_PFCF_L, 3, FALSE))</calculatedColumnFormula>
    </tableColumn>
    <tableColumn id="16" xr3:uid="{080B9365-919D-47BA-8A56-96DFF3796262}" uniqueName="16" name="P/B Z-Score" queryTableFieldId="30" dataDxfId="134">
      <calculatedColumnFormula>(Main_L[[#This Row],[P/B]]-VLOOKUP(Main_L[[#This Row],[Industry]], Mean_PB_L, 2, FALSE))/(VLOOKUP(Main_L[[#This Row],[Industry]], Mean_PB_L, 3, FALSE))</calculatedColumnFormula>
    </tableColumn>
    <tableColumn id="17" xr3:uid="{45C38654-5156-4CDD-B790-6B274E590EC6}" uniqueName="17" name="ROE Z-Score" queryTableFieldId="31" dataDxfId="133">
      <calculatedColumnFormula>(Main_L[[#This Row],[ROE]]-VLOOKUP(Main_L[[#This Row],[Industry]], Mean_ROE_L, 2, FALSE))/(VLOOKUP(Main_L[[#This Row],[Industry]], Mean_ROE_L, 3, FALSE))</calculatedColumnFormula>
    </tableColumn>
    <tableColumn id="18" xr3:uid="{3C7295D9-1028-4428-B7DA-9EE1A954EF49}" uniqueName="18" name="ROA Z-Score" queryTableFieldId="32" dataDxfId="132">
      <calculatedColumnFormula>(Main_L[[#This Row],[ROA]]-VLOOKUP(Main_L[[#This Row],[Industry]], Mean_ROA_L, 2, FALSE))/(VLOOKUP(Main_L[[#This Row],[Industry]], Mean_ROA_L, 3, FALSE))</calculatedColumnFormula>
    </tableColumn>
    <tableColumn id="20" xr3:uid="{E4637726-26C6-4C24-BF10-0827D14B65BD}" uniqueName="20" name="A/E Z-Score" queryTableFieldId="34" dataDxfId="131">
      <calculatedColumnFormula>(Main_L[[#This Row],[A/E]]-VLOOKUP(Main_L[[#This Row],[Industry]], Mean_AE_L, 2, FALSE))/(VLOOKUP(Main_L[[#This Row],[Industry]], Mean_AE_L, 3, FALSE))</calculatedColumnFormula>
    </tableColumn>
    <tableColumn id="19" xr3:uid="{CD34899F-DB8F-4F0C-A283-548D3119A76B}" uniqueName="19" name="P/E Z-Score" queryTableFieldId="33" dataDxfId="130">
      <calculatedColumnFormula>(Main_L[[#This Row],[P/E]]-VLOOKUP(Main_L[[#This Row],[Industry]], Mean_PE_L, 2, FALSE))/(VLOOKUP(Main_L[[#This Row],[Industry]], Mean_PE_L, 3, FALSE))</calculatedColumnFormula>
    </tableColumn>
    <tableColumn id="21" xr3:uid="{B8EED667-9033-483B-905E-1DA4798C856D}" uniqueName="21" name="P/FCF Outlier" queryTableFieldId="35">
      <calculatedColumnFormula>IF(OR(Main_L[[#This Row],[P/FCF]]&lt;_xlfn.XLOOKUP(Main_L[[#This Row],[Industry]], Quartile_L[Industry], Quartile_L[P/FCF LB]), Main_L[[#This Row],[P/FCF]]&gt;_xlfn.XLOOKUP(Main_L[[#This Row],[Industry]], Quartile_L[Industry], Quartile_L[P/FCF UB])), "Yes", "No")</calculatedColumnFormula>
    </tableColumn>
    <tableColumn id="22" xr3:uid="{2111912A-D4BE-498A-BE98-FC4140F1FE20}" uniqueName="22" name="P/B Outlier" queryTableFieldId="36">
      <calculatedColumnFormula>IF(OR(Main_L[[#This Row],[P/B]]&lt;_xlfn.XLOOKUP(Main_L[[#This Row],[Industry]],Quartile_L[Industry],Quartile_L[P/B LB]),Main_L[[#This Row],[P/B]]&gt;_xlfn.XLOOKUP(Main_L[[#This Row],[Industry]],Quartile_L[Industry],Quartile_L[P/B UB])),"Yes","No")</calculatedColumnFormula>
    </tableColumn>
    <tableColumn id="23" xr3:uid="{E09174D4-F8A8-44DF-BAED-F71867CB52D9}" uniqueName="23" name="ROE Outlier" queryTableFieldId="37">
      <calculatedColumnFormula>IF(OR(Main_L[[#This Row],[ROE]]&lt;_xlfn.XLOOKUP(Main_L[[#This Row],[Industry]],Quartile_L[Industry],Quartile_L[ROE LB]),Main_L[[#This Row],[ROE]]&gt;_xlfn.XLOOKUP(Main_L[[#This Row],[Industry]],Quartile_L[Industry],Quartile_L[ROE UB])),"Yes","No")</calculatedColumnFormula>
    </tableColumn>
    <tableColumn id="24" xr3:uid="{EAC875A6-B1C3-4281-B62E-B64F07AA66FC}" uniqueName="24" name="ROA Outlier" queryTableFieldId="38">
      <calculatedColumnFormula>IF(OR(Main_L[[#This Row],[ROA]]&lt;_xlfn.XLOOKUP(Main_L[[#This Row],[Industry]],Quartile_L[Industry],Quartile_L[ROA LB]),Main_L[[#This Row],[ROA]]&gt;_xlfn.XLOOKUP(Main_L[[#This Row],[Industry]],Quartile_L[Industry],Quartile_L[ROA UB])),"Yes","No")</calculatedColumnFormula>
    </tableColumn>
    <tableColumn id="26" xr3:uid="{3295BE9F-81DF-457D-A9E7-B30BEC3A883D}" uniqueName="26" name="A/E Outlier" queryTableFieldId="40">
      <calculatedColumnFormula>IF(OR(Main_L[[#This Row],[A/E]]&lt;_xlfn.XLOOKUP(Main_L[[#This Row],[Industry]],Quartile_L[Industry],Quartile_L[A/E LB]),Main_L[[#This Row],[A/E]]&gt;_xlfn.XLOOKUP(Main_L[[#This Row],[Industry]],Quartile_L[Industry],Quartile_L[A/E UB])),"Yes","No")</calculatedColumnFormula>
    </tableColumn>
    <tableColumn id="25" xr3:uid="{DC78815E-40EE-4655-B536-DCB9E645779C}" uniqueName="25" name="P/E Outlier" queryTableFieldId="39">
      <calculatedColumnFormula>IF(OR(Main_L[[#This Row],[P/E]]&lt;_xlfn.XLOOKUP(Main_L[[#This Row],[Industry]],Quartile_L[Industry],Quartile_L[P/E LB]),Main_L[[#This Row],[P/E]]&gt;_xlfn.XLOOKUP(Main_L[[#This Row],[Industry]],Quartile_L[Industry],Quartile_L[P/E UB])),"Yes","No")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A05384F-F989-4428-B033-1A9B3ACA4EBB}" name="Main_M" displayName="Main_M" ref="A1:Z161" tableType="queryTable" totalsRowShown="0">
  <autoFilter ref="A1:Z161" xr:uid="{8A05384F-F989-4428-B033-1A9B3ACA4EBB}"/>
  <sortState xmlns:xlrd2="http://schemas.microsoft.com/office/spreadsheetml/2017/richdata2" ref="A2:Z161">
    <sortCondition ref="A1:A161"/>
  </sortState>
  <tableColumns count="26">
    <tableColumn id="1" xr3:uid="{3547F496-7B67-42E8-9760-1F3941836443}" uniqueName="1" name="Industry" queryTableFieldId="1" dataDxfId="144"/>
    <tableColumn id="2" xr3:uid="{0A09E186-076D-4A57-B743-EBD7817F4082}" uniqueName="2" name="Symbol" queryTableFieldId="2" dataDxfId="143"/>
    <tableColumn id="3" xr3:uid="{C567BD69-49B3-415C-87A5-73BCB80F1796}" uniqueName="3" name="Market Cap (M)" queryTableFieldId="43" dataDxfId="129"/>
    <tableColumn id="4" xr3:uid="{4087682F-874F-4DAE-BAEC-138B7CABA861}" uniqueName="4" name="Current Price" queryTableFieldId="4"/>
    <tableColumn id="5" xr3:uid="{F7C5403B-3B7F-48E6-B20A-A8985D69DCA6}" uniqueName="5" name="Free CF" queryTableFieldId="5"/>
    <tableColumn id="6" xr3:uid="{0920E6C9-A031-45AE-AC78-DF5C9ACB89C8}" uniqueName="6" name="BVPS" queryTableFieldId="6"/>
    <tableColumn id="7" xr3:uid="{7F4BE925-C945-4781-8167-81541AF47A3C}" uniqueName="7" name="EPS" queryTableFieldId="7"/>
    <tableColumn id="8" xr3:uid="{22055AE5-DCAA-431A-BB58-FDE6663E7511}" uniqueName="8" name="P/FCF" queryTableFieldId="8" dataDxfId="128"/>
    <tableColumn id="9" xr3:uid="{F1DC44A8-3710-4CCA-B495-699F6ACADE85}" uniqueName="9" name="P/B" queryTableFieldId="45" dataDxfId="127"/>
    <tableColumn id="10" xr3:uid="{0316F646-5D0C-4D89-BBE5-559FC2836E25}" uniqueName="10" name="ROE" queryTableFieldId="10"/>
    <tableColumn id="11" xr3:uid="{4F083877-E4AF-420C-949F-710C1B627C04}" uniqueName="11" name="ROA" queryTableFieldId="11"/>
    <tableColumn id="13" xr3:uid="{57B80CA9-D107-4FD7-B08F-B230D181D163}" uniqueName="13" name="A/E" queryTableFieldId="13"/>
    <tableColumn id="12" xr3:uid="{CC835683-DCE2-4109-80DD-DE5E7A99A2F4}" uniqueName="12" name="P/E" queryTableFieldId="12" dataDxfId="126"/>
    <tableColumn id="14" xr3:uid="{748A606C-A5FD-438C-807A-2C5137C87528}" uniqueName="14" name="Preliminary Criteria" queryTableFieldId="27">
      <calculatedColumnFormula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calculatedColumnFormula>
    </tableColumn>
    <tableColumn id="15" xr3:uid="{8DBD4B33-6A20-4DEB-9596-BEAEA7FCD5C6}" uniqueName="15" name="P/FCF Z-Score" queryTableFieldId="28" dataDxfId="125">
      <calculatedColumnFormula>(Main_M[[#This Row],[P/FCF]]-VLOOKUP(Main_M[[#This Row],[Industry]], Mean_PFCF_M, 2, FALSE))/(VLOOKUP(Main_M[[#This Row],[Industry]], Mean_PFCF_M, 3, FALSE))</calculatedColumnFormula>
    </tableColumn>
    <tableColumn id="16" xr3:uid="{9E97918F-BB4B-4F88-A428-5A1A279239B2}" uniqueName="16" name="P/B Z-Score" queryTableFieldId="29" dataDxfId="124">
      <calculatedColumnFormula>(Main_M[[#This Row],[P/B]]-VLOOKUP(Main_M[[#This Row],[Industry]], Mean_PB_M, 2, FALSE))/(VLOOKUP(Main_M[[#This Row],[Industry]], Mean_PB_M, 3, FALSE))</calculatedColumnFormula>
    </tableColumn>
    <tableColumn id="17" xr3:uid="{11EE28ED-72CA-481E-B33F-2CF1EB757823}" uniqueName="17" name="ROE Z-Score" queryTableFieldId="30" dataDxfId="123">
      <calculatedColumnFormula>(Main_M[[#This Row],[ROE]]-VLOOKUP(Main_M[[#This Row],[Industry]], Mean_ROE_M, 2, FALSE))/(VLOOKUP(Main_M[[#This Row],[Industry]], Mean_ROE_M, 3, FALSE))</calculatedColumnFormula>
    </tableColumn>
    <tableColumn id="18" xr3:uid="{635EB97C-188F-4205-9857-00D3D350B32D}" uniqueName="18" name="ROA Z-Score" queryTableFieldId="31" dataDxfId="122">
      <calculatedColumnFormula>(Main_M[[#This Row],[ROA]]-VLOOKUP(Main_M[[#This Row],[Industry]], Mean_ROA_M, 2, FALSE))/(VLOOKUP(Main_M[[#This Row],[Industry]], Mean_ROA_M, 3, FALSE))</calculatedColumnFormula>
    </tableColumn>
    <tableColumn id="20" xr3:uid="{118AB99B-E87A-4721-99E0-5041A9ACACB5}" uniqueName="20" name="A/E Z-Score" queryTableFieldId="33" dataDxfId="121">
      <calculatedColumnFormula>(Main_M[[#This Row],[A/E]]-VLOOKUP(Main_M[[#This Row],[Industry]], Mean_AE_M, 2, FALSE))/(VLOOKUP(Main_M[[#This Row],[Industry]], Mean_AE_M, 3, FALSE))</calculatedColumnFormula>
    </tableColumn>
    <tableColumn id="19" xr3:uid="{27A37C9A-3957-4ABD-BA38-E258FE504892}" uniqueName="19" name="P/E Z-Score" queryTableFieldId="32" dataDxfId="120">
      <calculatedColumnFormula>(Main_M[[#This Row],[P/E]]-VLOOKUP(Main_M[[#This Row],[Industry]], Mean_PE_M, 2, FALSE))/(VLOOKUP(Main_M[[#This Row],[Industry]], Mean_PE_M, 3, FALSE))</calculatedColumnFormula>
    </tableColumn>
    <tableColumn id="21" xr3:uid="{1219C7A9-AB23-4567-8019-077342A2D565}" uniqueName="21" name="P/FCF Outlier" queryTableFieldId="34">
      <calculatedColumnFormula>IF(OR(Main_M[[#This Row],[P/FCF]]&lt;_xlfn.XLOOKUP(Main_M[[#This Row],[Industry]], Quartile_M[Industry], Quartile_M[P/FCF LB]), Main_M[[#This Row],[P/FCF]]&gt;_xlfn.XLOOKUP(Main_M[[#This Row],[Industry]], Quartile_M[Industry], Quartile_M[P/FCF UB])), "Yes", "No")</calculatedColumnFormula>
    </tableColumn>
    <tableColumn id="22" xr3:uid="{81369071-E61A-45A3-8DA9-A692581BA198}" uniqueName="22" name="P/B Outlier" queryTableFieldId="35">
      <calculatedColumnFormula>IF(OR(Main_M[[#This Row],[P/B]]&lt;_xlfn.XLOOKUP(Main_M[[#This Row],[Industry]],Quartile_M[Industry],Quartile_M[P/B LB]),Main_M[[#This Row],[P/B]]&gt;_xlfn.XLOOKUP(Main_M[[#This Row],[Industry]],Quartile_M[Industry],Quartile_M[P/B UB])),"Yes","No")</calculatedColumnFormula>
    </tableColumn>
    <tableColumn id="23" xr3:uid="{CDA4E768-55A6-4FC5-8A2D-99FE07B7A7F3}" uniqueName="23" name="ROE Outlier" queryTableFieldId="36">
      <calculatedColumnFormula>IF(OR(Main_M[[#This Row],[ROA]]&lt;_xlfn.XLOOKUP(Main_M[[#This Row],[Industry]],Quartile_M[Industry],Quartile_M[ROA LB]),Main_M[[#This Row],[ROA]]&gt;_xlfn.XLOOKUP(Main_M[[#This Row],[Industry]],Quartile_M[Industry],Quartile_M[ROA UB])),"Yes","No")</calculatedColumnFormula>
    </tableColumn>
    <tableColumn id="24" xr3:uid="{7828AE38-C299-4609-816E-49E350A922CB}" uniqueName="24" name="ROA Outlier" queryTableFieldId="37">
      <calculatedColumnFormula>IF(OR(Main_M[[#This Row],[ROE]]&lt;_xlfn.XLOOKUP(Main_M[[#This Row],[Industry]],Quartile_M[Industry],Quartile_M[ROE LB]),Main_M[[#This Row],[ROE]]&gt;_xlfn.XLOOKUP(Main_M[[#This Row],[Industry]],Quartile_M[Industry],Quartile_M[ROE UB])),"Yes","No")</calculatedColumnFormula>
    </tableColumn>
    <tableColumn id="26" xr3:uid="{A06F209E-A224-4F74-8C3C-CAB1CB61E937}" uniqueName="26" name="A/E Outlier" queryTableFieldId="39">
      <calculatedColumnFormula>IF(OR(Main_M[[#This Row],[A/E]]&lt;_xlfn.XLOOKUP(Main_M[[#This Row],[Industry]],Quartile_M[Industry],Quartile_M[A/E LB]),Main_M[[#This Row],[A/E]]&gt;_xlfn.XLOOKUP(Main_M[[#This Row],[Industry]],Quartile_M[Industry],Quartile_M[A/E UB])),"Yes","No")</calculatedColumnFormula>
    </tableColumn>
    <tableColumn id="25" xr3:uid="{956CA899-4888-4E58-AFBD-20889570CED8}" uniqueName="25" name="P/E Outlier" queryTableFieldId="38">
      <calculatedColumnFormula>IF(OR(Main_M[[#This Row],[P/E]]&lt;_xlfn.XLOOKUP(Main_M[[#This Row],[Industry]],Quartile_M[Industry],Quartile_M[P/E LB]),Main_M[[#This Row],[P/E]]&gt;_xlfn.XLOOKUP(Main_M[[#This Row],[Industry]],Quartile_M[Industry],Quartile_M[P/E UB])),"Yes","No")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E7CBD96-9DC7-4F09-9B11-F8C87451A82B}" name="Main_S" displayName="Main_S" ref="A1:Z194" tableType="queryTable" totalsRowShown="0">
  <autoFilter ref="A1:Z194" xr:uid="{DE7CBD96-9DC7-4F09-9B11-F8C87451A82B}"/>
  <sortState xmlns:xlrd2="http://schemas.microsoft.com/office/spreadsheetml/2017/richdata2" ref="A2:Z194">
    <sortCondition ref="A1:A194"/>
  </sortState>
  <tableColumns count="26">
    <tableColumn id="1" xr3:uid="{261FC5A1-AB9E-4068-9D87-D85D75FE0DD5}" uniqueName="1" name="Industry" queryTableFieldId="1" dataDxfId="83"/>
    <tableColumn id="2" xr3:uid="{4D1C6415-A4DE-450C-A6A0-32BD8F91DEB2}" uniqueName="2" name="Symbol" queryTableFieldId="2" dataDxfId="82"/>
    <tableColumn id="3" xr3:uid="{1913483F-1018-45E5-BBAD-415B97CDE58A}" uniqueName="3" name="Market Cap (M)" queryTableFieldId="43" dataDxfId="81"/>
    <tableColumn id="4" xr3:uid="{7E1635D0-4161-41FC-8D5D-5E03248D8D6C}" uniqueName="4" name="Current Price" queryTableFieldId="4"/>
    <tableColumn id="5" xr3:uid="{BFCEC97F-F42F-47E0-AE26-1709930A540B}" uniqueName="5" name="Free CF" queryTableFieldId="5"/>
    <tableColumn id="6" xr3:uid="{BCF39D81-8D8C-4AD8-9282-1C38028E3882}" uniqueName="6" name="BVPS" queryTableFieldId="6"/>
    <tableColumn id="7" xr3:uid="{EA83C4F8-920B-446E-81C2-B27D7026DC52}" uniqueName="7" name="EPS" queryTableFieldId="7"/>
    <tableColumn id="8" xr3:uid="{8E353476-C9B7-45A7-9139-76A9351BCA3B}" uniqueName="8" name="P/FCF" queryTableFieldId="8" dataDxfId="80"/>
    <tableColumn id="9" xr3:uid="{A85952D4-A3AB-4C1A-90DC-2E32ECE72481}" uniqueName="9" name="P/B" queryTableFieldId="45" dataDxfId="79"/>
    <tableColumn id="10" xr3:uid="{01C97A02-D515-4709-AAB2-49B06E62230D}" uniqueName="10" name="ROE" queryTableFieldId="10"/>
    <tableColumn id="11" xr3:uid="{94550A35-0E2A-4175-B54D-9D47C831DD48}" uniqueName="11" name="ROA" queryTableFieldId="11"/>
    <tableColumn id="13" xr3:uid="{94B8BA82-09F9-47C7-85B4-949FB0DF2A91}" uniqueName="13" name="A/E" queryTableFieldId="13"/>
    <tableColumn id="12" xr3:uid="{09F2AC5A-FBF9-4E80-AA6A-45689E659B60}" uniqueName="12" name="P/E" queryTableFieldId="12" dataDxfId="78"/>
    <tableColumn id="14" xr3:uid="{75658179-B2A8-47DA-8E22-05CB7BD8FE28}" uniqueName="14" name="Preliminary Criteria" queryTableFieldId="27">
      <calculatedColumnFormula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calculatedColumnFormula>
    </tableColumn>
    <tableColumn id="15" xr3:uid="{AE789B69-7955-4C5D-B0D8-BE506B154C66}" uniqueName="15" name="P/FCF Z-Score" queryTableFieldId="28" dataDxfId="77">
      <calculatedColumnFormula>(Main_S[[#This Row],[P/FCF]]-VLOOKUP(Main_S[[#This Row],[Industry]], Mean_PFCF_S, 2, FALSE))/(VLOOKUP(Main_S[[#This Row],[Industry]], Mean_PFCF_S, 3, FALSE))</calculatedColumnFormula>
    </tableColumn>
    <tableColumn id="16" xr3:uid="{6292DB1C-BF6D-4741-96E6-E3A145286F0A}" uniqueName="16" name="P/B Z-Score" queryTableFieldId="29" dataDxfId="76">
      <calculatedColumnFormula>(Main_S[[#This Row],[P/B]]-VLOOKUP(Main_S[[#This Row],[Industry]], Mean_PB_S, 2, FALSE))/(VLOOKUP(Main_S[[#This Row],[Industry]], Mean_PB_S, 3, FALSE))</calculatedColumnFormula>
    </tableColumn>
    <tableColumn id="17" xr3:uid="{DC5AB4EF-1E9A-4D34-B743-84444CD7A0DD}" uniqueName="17" name="ROE Z-Score" queryTableFieldId="30" dataDxfId="75">
      <calculatedColumnFormula>(Main_S[[#This Row],[ROE]]-VLOOKUP(Main_S[[#This Row],[Industry]], Mean_ROE_S, 2, FALSE))/(VLOOKUP(Main_S[[#This Row],[Industry]], Mean_ROE_S, 3, FALSE))</calculatedColumnFormula>
    </tableColumn>
    <tableColumn id="18" xr3:uid="{F8312DD8-C161-4C81-B590-85BC95BC6C2A}" uniqueName="18" name="ROA Z-Score" queryTableFieldId="31" dataDxfId="74">
      <calculatedColumnFormula>(Main_S[[#This Row],[ROA]]-VLOOKUP(Main_S[[#This Row],[Industry]], Mean_ROA_S, 2, FALSE))/(VLOOKUP(Main_S[[#This Row],[Industry]], Mean_ROA_S, 3, FALSE))</calculatedColumnFormula>
    </tableColumn>
    <tableColumn id="20" xr3:uid="{B2499DBE-D709-4AF4-AD2E-3CBB0EB50568}" uniqueName="20" name="A/E Z-Score" queryTableFieldId="33" dataDxfId="73">
      <calculatedColumnFormula>(Main_S[[#This Row],[A/E]]-VLOOKUP(Main_S[[#This Row],[Industry]], Mean_AE_S, 2, FALSE))/(VLOOKUP(Main_S[[#This Row],[Industry]], Mean_AE_S, 3, FALSE))</calculatedColumnFormula>
    </tableColumn>
    <tableColumn id="19" xr3:uid="{9CD668E1-B037-4423-81E4-CD131B72FC22}" uniqueName="19" name="P/E Z-Score" queryTableFieldId="32" dataDxfId="72">
      <calculatedColumnFormula>(Main_S[[#This Row],[P/E]]-VLOOKUP(Main_S[[#This Row],[Industry]], Mean_PE_S, 2, FALSE))/(VLOOKUP(Main_S[[#This Row],[Industry]], Mean_PE_S, 3, FALSE))</calculatedColumnFormula>
    </tableColumn>
    <tableColumn id="21" xr3:uid="{4B9DCA2A-2DD7-47E5-BE49-5397A59B85D5}" uniqueName="21" name="P/FCF Outlier" queryTableFieldId="34">
      <calculatedColumnFormula>IF(OR(Main_S[[#This Row],[P/FCF]]&lt;_xlfn.XLOOKUP(Main_S[[#This Row],[Industry]], Quartile_S[Industry], Quartile_S[P/FCF LB]), Main_S[[#This Row],[P/FCF]]&gt;_xlfn.XLOOKUP(Main_S[[#This Row],[Industry]], Quartile_S[Industry], Quartile_S[P/FCF UB])), "Yes", "No")</calculatedColumnFormula>
    </tableColumn>
    <tableColumn id="22" xr3:uid="{D6112E0B-D69F-47CE-948E-32CCD6C1EB14}" uniqueName="22" name="P/B Outlier" queryTableFieldId="35">
      <calculatedColumnFormula>IF(OR(Main_S[[#This Row],[P/B]]&lt;_xlfn.XLOOKUP(Main_S[[#This Row],[Industry]],Quartile_S[Industry],Quartile_S[P/B LB]),Main_S[[#This Row],[P/B]]&gt;_xlfn.XLOOKUP(Main_S[[#This Row],[Industry]],Quartile_S[Industry],Quartile_S[P/B UB])),"Yes","No")</calculatedColumnFormula>
    </tableColumn>
    <tableColumn id="23" xr3:uid="{70FBC285-BF41-49BB-887F-AFB1C19C5B62}" uniqueName="23" name="ROE Outlier" queryTableFieldId="36">
      <calculatedColumnFormula>IF(OR(Main_S[[#This Row],[ROE]]&lt;_xlfn.XLOOKUP(Main_S[[#This Row],[Industry]],Quartile_S[Industry],Quartile_S[ROE LB]),Main_S[[#This Row],[ROE]]&gt;_xlfn.XLOOKUP(Main_S[[#This Row],[Industry]],Quartile_S[Industry],Quartile_S[ROE UB])),"Yes","No")</calculatedColumnFormula>
    </tableColumn>
    <tableColumn id="24" xr3:uid="{C8DF68EE-BC04-4A1D-8CE7-C9115FA2FA9C}" uniqueName="24" name="ROA Outlier" queryTableFieldId="37">
      <calculatedColumnFormula>IF(OR(Main_S[[#This Row],[ROA]]&lt;_xlfn.XLOOKUP(Main_S[[#This Row],[Industry]],Quartile_S[Industry],Quartile_S[ROA LB]),Main_S[[#This Row],[ROA]]&gt;_xlfn.XLOOKUP(Main_S[[#This Row],[Industry]],Quartile_S[Industry],Quartile_S[ROA UB])),"Yes","No")</calculatedColumnFormula>
    </tableColumn>
    <tableColumn id="26" xr3:uid="{CAEB1F13-C76E-4164-AE70-884EC5A28B82}" uniqueName="26" name="A/E Outlier" queryTableFieldId="39">
      <calculatedColumnFormula>IF(OR(Main_S[[#This Row],[A/E]]&lt;_xlfn.XLOOKUP(Main_S[[#This Row],[Industry]],Quartile_S[Industry],Quartile_S[A/E LB]),Main_S[[#This Row],[A/E]]&gt;_xlfn.XLOOKUP(Main_S[[#This Row],[Industry]],Quartile_S[Industry],Quartile_S[A/E UB])),"Yes","No")</calculatedColumnFormula>
    </tableColumn>
    <tableColumn id="25" xr3:uid="{0C4DC875-A443-4C26-8D18-71F5BA699597}" uniqueName="25" name="P/E Outlier" queryTableFieldId="38">
      <calculatedColumnFormula>IF(OR(Main_S[[#This Row],[P/E]]&lt;_xlfn.XLOOKUP(Main_S[[#This Row],[Industry]],Quartile_S[Industry],Quartile_S[P/E LB]),Main_S[[#This Row],[P/E]]&gt;_xlfn.XLOOKUP(Main_S[[#This Row],[Industry]],Quartile_S[Industry],Quartile_S[P/E UB])),"Yes","No")</calculatedColumnFormula>
    </tableColumn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F08F30B-5B6A-425F-B235-3500A3319B88}" name="Quartile_L" displayName="Quartile_L" ref="A2:Y16" tableType="queryTable" totalsRowShown="0">
  <autoFilter ref="A2:Y16" xr:uid="{CF08F30B-5B6A-425F-B235-3500A3319B88}"/>
  <tableColumns count="25">
    <tableColumn id="1" xr3:uid="{FD842081-B64F-4301-AA21-FB7B05A836D4}" uniqueName="1" name="Industry" queryTableFieldId="1" dataDxfId="142"/>
    <tableColumn id="2" xr3:uid="{E59C1D9B-F213-4C25-84A0-0FA886F9704F}" uniqueName="2" name="P/FCF Q1" queryTableFieldId="2" dataDxfId="23"/>
    <tableColumn id="3" xr3:uid="{04B713EC-FD8B-48E2-A2D2-C366A9A339B7}" uniqueName="3" name="P/FCF Q3" queryTableFieldId="3" dataDxfId="22"/>
    <tableColumn id="4" xr3:uid="{9DCEA951-E29F-4D9E-B9F0-5DC32A557DF0}" uniqueName="4" name="P/FCF LB" queryTableFieldId="4" dataDxfId="21"/>
    <tableColumn id="5" xr3:uid="{C2B6F391-AB27-4C2B-B68A-D2B47E1AA772}" uniqueName="5" name="P/FCF UB" queryTableFieldId="5" dataDxfId="20"/>
    <tableColumn id="6" xr3:uid="{1FD6B89C-F582-4857-A32F-326E69C5DFFD}" uniqueName="6" name="P/B Q1" queryTableFieldId="6" dataDxfId="19"/>
    <tableColumn id="7" xr3:uid="{A3697E12-D8D4-4284-AE2B-01C3BA154C99}" uniqueName="7" name="P/B Q3" queryTableFieldId="7" dataDxfId="18"/>
    <tableColumn id="8" xr3:uid="{A270BB2A-00C0-4246-AFBA-EDE9D5F40C76}" uniqueName="8" name="P/B LB" queryTableFieldId="8" dataDxfId="17"/>
    <tableColumn id="9" xr3:uid="{F99BB669-75E9-428A-88A3-E037E705383F}" uniqueName="9" name="P/B UB" queryTableFieldId="9" dataDxfId="16"/>
    <tableColumn id="10" xr3:uid="{D3A49932-F6DE-43A8-B449-B1C4E41499CF}" uniqueName="10" name="ROE Q1" queryTableFieldId="10" dataDxfId="15"/>
    <tableColumn id="11" xr3:uid="{BD8F2597-7442-49AD-BA3A-A3F29A6E60DD}" uniqueName="11" name="ROE Q3" queryTableFieldId="11" dataDxfId="14"/>
    <tableColumn id="12" xr3:uid="{3B29ED46-D0C8-4AF8-BFC0-41462C6C29EB}" uniqueName="12" name="ROE LB" queryTableFieldId="12" dataDxfId="13"/>
    <tableColumn id="13" xr3:uid="{F62F045D-EA3F-4608-85C5-21D743180D21}" uniqueName="13" name="ROE UB" queryTableFieldId="13" dataDxfId="12"/>
    <tableColumn id="14" xr3:uid="{9D898AB4-6F4D-4D03-BA61-39B91E78C9C6}" uniqueName="14" name="ROA Q1" queryTableFieldId="14" dataDxfId="11"/>
    <tableColumn id="15" xr3:uid="{2D1DFB04-09CE-4BEC-AD50-26246811DCDA}" uniqueName="15" name="ROA Q3" queryTableFieldId="15" dataDxfId="10"/>
    <tableColumn id="16" xr3:uid="{753F114C-61F5-4444-9EB0-76DCEA7F1F1B}" uniqueName="16" name="ROA LB" queryTableFieldId="16" dataDxfId="9"/>
    <tableColumn id="17" xr3:uid="{AA60DB6D-6DE2-4BF0-A375-18A578568BBF}" uniqueName="17" name="ROA UB" queryTableFieldId="17" dataDxfId="8"/>
    <tableColumn id="18" xr3:uid="{5357CEC7-DB8C-48BE-BDAD-FCBB1FB43389}" uniqueName="18" name="P/E Q1" queryTableFieldId="18" dataDxfId="7"/>
    <tableColumn id="19" xr3:uid="{C18FE8DB-95D8-42EC-BC42-C15678D7CE64}" uniqueName="19" name="P/E Q3" queryTableFieldId="19" dataDxfId="6"/>
    <tableColumn id="20" xr3:uid="{B7040099-49E4-464B-9BD8-1326A00D0599}" uniqueName="20" name="P/E LB" queryTableFieldId="20" dataDxfId="5"/>
    <tableColumn id="21" xr3:uid="{E8713F96-91B8-41CB-AA45-CCA61FACA752}" uniqueName="21" name="P/E UB" queryTableFieldId="21" dataDxfId="4"/>
    <tableColumn id="22" xr3:uid="{91693169-B783-4EDC-94CF-D23F08159B62}" uniqueName="22" name="A/E Q1" queryTableFieldId="22" dataDxfId="3"/>
    <tableColumn id="23" xr3:uid="{F98A9AC1-1CAF-483B-A342-F3A466AEB043}" uniqueName="23" name="A/E Q3" queryTableFieldId="23" dataDxfId="2"/>
    <tableColumn id="24" xr3:uid="{04D140EC-A8E6-4894-B430-208F20D411DB}" uniqueName="24" name="A/E LB" queryTableFieldId="24" dataDxfId="1"/>
    <tableColumn id="25" xr3:uid="{3E6CFD0C-10B0-4D91-A289-A353306CC102}" uniqueName="25" name="A/E UB" queryTableFieldId="25" dataDxfId="0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9F54F15-11E6-4F5B-BF51-37096268E20C}" name="Quartile_M" displayName="Quartile_M" ref="A20:Y34" tableType="queryTable" totalsRowShown="0">
  <autoFilter ref="A20:Y34" xr:uid="{89F54F15-11E6-4F5B-BF51-37096268E20C}"/>
  <tableColumns count="25">
    <tableColumn id="1" xr3:uid="{1DD86F6C-5649-4964-82C3-51A7F8B44C8D}" uniqueName="1" name="Industry" queryTableFieldId="1" dataDxfId="141"/>
    <tableColumn id="2" xr3:uid="{E9710093-0C0E-47F6-BA82-6DF1689DE3FF}" uniqueName="2" name="P/FCF Q1" queryTableFieldId="2" dataDxfId="47"/>
    <tableColumn id="3" xr3:uid="{BB549C0D-7552-41A2-B049-C1E0C569FC5B}" uniqueName="3" name="P/FCF Q3" queryTableFieldId="3" dataDxfId="46"/>
    <tableColumn id="4" xr3:uid="{F8874757-4F98-4408-A256-B3DBB97E40A5}" uniqueName="4" name="P/FCF LB" queryTableFieldId="4" dataDxfId="45"/>
    <tableColumn id="5" xr3:uid="{7F92E8F9-91DF-48EA-A8F2-F3E13D8104D3}" uniqueName="5" name="P/FCF UB" queryTableFieldId="5" dataDxfId="44"/>
    <tableColumn id="6" xr3:uid="{837AC52A-2B15-4BFB-A555-2456F010C7C9}" uniqueName="6" name="P/B Q1" queryTableFieldId="6" dataDxfId="43"/>
    <tableColumn id="7" xr3:uid="{C672A3A3-8D6C-4E08-B6E3-1D85CD510A41}" uniqueName="7" name="P/B Q3" queryTableFieldId="7" dataDxfId="42"/>
    <tableColumn id="8" xr3:uid="{47FBFC34-1D36-49FE-8583-28072989EA1C}" uniqueName="8" name="P/B LB" queryTableFieldId="8" dataDxfId="41"/>
    <tableColumn id="9" xr3:uid="{98DADD72-A76B-4DE4-AB34-515EBE2E4A04}" uniqueName="9" name="P/B UB" queryTableFieldId="9" dataDxfId="40"/>
    <tableColumn id="10" xr3:uid="{C06AFB5F-1921-4B19-AFA7-04514BD3BC35}" uniqueName="10" name="ROE Q1" queryTableFieldId="10" dataDxfId="39"/>
    <tableColumn id="11" xr3:uid="{38FF7E38-2AC1-4486-B824-BCBE4156ADA7}" uniqueName="11" name="ROE Q3" queryTableFieldId="11" dataDxfId="38"/>
    <tableColumn id="12" xr3:uid="{1BBD6DC1-3C0C-48AF-9986-81D1F4A26368}" uniqueName="12" name="ROE LB" queryTableFieldId="12" dataDxfId="37"/>
    <tableColumn id="13" xr3:uid="{5775303C-3550-4762-86D0-7A82C106A3F0}" uniqueName="13" name="ROE UB" queryTableFieldId="13" dataDxfId="36"/>
    <tableColumn id="14" xr3:uid="{9FE06177-2E94-4066-A65B-77414C97B4DC}" uniqueName="14" name="ROA Q1" queryTableFieldId="14" dataDxfId="35"/>
    <tableColumn id="15" xr3:uid="{386179E5-15F0-4AED-9E0C-1EB211C80CEE}" uniqueName="15" name="ROA Q3" queryTableFieldId="15" dataDxfId="34"/>
    <tableColumn id="16" xr3:uid="{C7DC1506-2223-42A0-AC4B-68B0E14D2B9D}" uniqueName="16" name="ROA LB" queryTableFieldId="16" dataDxfId="33"/>
    <tableColumn id="17" xr3:uid="{C45AE1E6-1326-44B3-972F-838B081A78FC}" uniqueName="17" name="ROA UB" queryTableFieldId="17" dataDxfId="32"/>
    <tableColumn id="18" xr3:uid="{17D85B47-F40C-47C3-996F-C47242CFB7D2}" uniqueName="18" name="P/E Q1" queryTableFieldId="18" dataDxfId="31"/>
    <tableColumn id="19" xr3:uid="{44248722-1EBA-4DF8-B99D-B6B2F31E253B}" uniqueName="19" name="P/E Q3" queryTableFieldId="19" dataDxfId="30"/>
    <tableColumn id="20" xr3:uid="{93299C7A-5544-43AE-ACC5-72F0CB129F08}" uniqueName="20" name="P/E LB" queryTableFieldId="20" dataDxfId="29"/>
    <tableColumn id="21" xr3:uid="{3E027012-2DA9-4754-8880-25FEEDEFA94A}" uniqueName="21" name="P/E UB" queryTableFieldId="21" dataDxfId="28"/>
    <tableColumn id="22" xr3:uid="{FF2638EF-6EA0-401C-B7D8-A2BC49ECD2B0}" uniqueName="22" name="A/E Q1" queryTableFieldId="22" dataDxfId="27"/>
    <tableColumn id="23" xr3:uid="{546FB46A-BFEC-4020-A8E1-97073EBE991F}" uniqueName="23" name="A/E Q3" queryTableFieldId="23" dataDxfId="26"/>
    <tableColumn id="24" xr3:uid="{41F03CE5-975A-469D-B609-D8C5D8D172FA}" uniqueName="24" name="A/E LB" queryTableFieldId="24" dataDxfId="25"/>
    <tableColumn id="25" xr3:uid="{1863137D-3C8C-4A15-9A63-5E253392AFAD}" uniqueName="25" name="A/E UB" queryTableFieldId="25" dataDxfId="24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F689D08-98E7-4B08-8D8B-630159DED978}" name="Quartile_S" displayName="Quartile_S" ref="A38:Y52" tableType="queryTable" totalsRowShown="0">
  <autoFilter ref="A38:Y52" xr:uid="{CF689D08-98E7-4B08-8D8B-630159DED978}"/>
  <tableColumns count="25">
    <tableColumn id="1" xr3:uid="{1B5FE8EC-4B8C-444E-96DC-3618818E7D45}" uniqueName="1" name="Industry" queryTableFieldId="1" dataDxfId="140"/>
    <tableColumn id="2" xr3:uid="{0E20A80F-BE74-42F8-83EF-419A13269CF8}" uniqueName="2" name="P/FCF Q1" queryTableFieldId="2" dataDxfId="71"/>
    <tableColumn id="3" xr3:uid="{6D66145B-6613-41BC-8233-7356853CCFEF}" uniqueName="3" name="P/FCF Q3" queryTableFieldId="3" dataDxfId="70"/>
    <tableColumn id="4" xr3:uid="{90A69125-3CA2-4D0A-8F1A-65993DFA9D46}" uniqueName="4" name="P/FCF LB" queryTableFieldId="4" dataDxfId="69"/>
    <tableColumn id="5" xr3:uid="{BED6E3D4-DC60-428F-B5E8-4C3C64096FD7}" uniqueName="5" name="P/FCF UB" queryTableFieldId="5" dataDxfId="68"/>
    <tableColumn id="6" xr3:uid="{FC33B186-B76E-4D86-8EBD-E25B773D256E}" uniqueName="6" name="P/B Q1" queryTableFieldId="6" dataDxfId="67"/>
    <tableColumn id="7" xr3:uid="{D82D1432-7C03-4449-BD2D-F895D50A5F32}" uniqueName="7" name="P/B Q3" queryTableFieldId="7" dataDxfId="66"/>
    <tableColumn id="8" xr3:uid="{D3389429-24FB-4947-AACF-CAA92D678F94}" uniqueName="8" name="P/B LB" queryTableFieldId="8" dataDxfId="65"/>
    <tableColumn id="9" xr3:uid="{452E932D-DD5B-4C62-A8B3-25C90C8C7751}" uniqueName="9" name="P/B UB" queryTableFieldId="9" dataDxfId="64"/>
    <tableColumn id="10" xr3:uid="{99E11285-9679-47B1-9540-1BD10239596C}" uniqueName="10" name="ROE Q1" queryTableFieldId="10" dataDxfId="63"/>
    <tableColumn id="11" xr3:uid="{B4F1825A-C678-4C01-BB96-B04FAB1938BD}" uniqueName="11" name="ROE Q3" queryTableFieldId="11" dataDxfId="62"/>
    <tableColumn id="12" xr3:uid="{9F07026D-928C-42B1-8DD2-9BD3176C8B6A}" uniqueName="12" name="ROE LB" queryTableFieldId="12" dataDxfId="61"/>
    <tableColumn id="13" xr3:uid="{47360B1B-7AC4-49FA-9F18-2F1F1B72CA28}" uniqueName="13" name="ROE UB" queryTableFieldId="13" dataDxfId="60"/>
    <tableColumn id="14" xr3:uid="{58B0248D-BCFF-4737-ADF5-EE087C03D561}" uniqueName="14" name="ROA Q1" queryTableFieldId="14" dataDxfId="59"/>
    <tableColumn id="15" xr3:uid="{CCD6E6AE-6BBB-4675-8C50-0F87AF280A3C}" uniqueName="15" name="ROA Q3" queryTableFieldId="15" dataDxfId="58"/>
    <tableColumn id="16" xr3:uid="{BB86731C-A605-4988-A848-B35835CAF73E}" uniqueName="16" name="ROA LB" queryTableFieldId="16" dataDxfId="57"/>
    <tableColumn id="17" xr3:uid="{9760AC7A-70E9-4457-8DC8-4BDA6646C74E}" uniqueName="17" name="ROA UB" queryTableFieldId="17" dataDxfId="56"/>
    <tableColumn id="18" xr3:uid="{931D5CA9-41B9-424B-87E6-FA364034B249}" uniqueName="18" name="P/E Q1" queryTableFieldId="18" dataDxfId="55"/>
    <tableColumn id="19" xr3:uid="{23E1DD3D-5F02-4A6D-9773-5EA3466661AF}" uniqueName="19" name="P/E Q3" queryTableFieldId="19" dataDxfId="54"/>
    <tableColumn id="20" xr3:uid="{478DC28A-5ACD-47E8-8720-6EEE2D43205B}" uniqueName="20" name="P/E LB" queryTableFieldId="20" dataDxfId="53"/>
    <tableColumn id="21" xr3:uid="{AC7D613F-0AC5-4542-BBED-886B4C332840}" uniqueName="21" name="P/E UB" queryTableFieldId="21" dataDxfId="52"/>
    <tableColumn id="22" xr3:uid="{1E3F527B-4B19-4D38-9A78-D4BBA95224B9}" uniqueName="22" name="A/E Q1" queryTableFieldId="22" dataDxfId="51"/>
    <tableColumn id="23" xr3:uid="{1256121C-1427-4F44-988A-E08E26F80A67}" uniqueName="23" name="A/E Q3" queryTableFieldId="23" dataDxfId="50"/>
    <tableColumn id="24" xr3:uid="{3F6A6F05-B80E-47C0-9039-80E1A481FF30}" uniqueName="24" name="A/E LB" queryTableFieldId="24" dataDxfId="49"/>
    <tableColumn id="25" xr3:uid="{08969B40-89DA-4EAE-925B-3C841EB86C63}" uniqueName="25" name="A/E UB" queryTableFieldId="25" dataDxfId="48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9.xml"/><Relationship Id="rId2" Type="http://schemas.openxmlformats.org/officeDocument/2006/relationships/pivotTable" Target="../pivotTables/pivotTable8.xml"/><Relationship Id="rId1" Type="http://schemas.openxmlformats.org/officeDocument/2006/relationships/pivotTable" Target="../pivotTables/pivotTable7.xml"/><Relationship Id="rId6" Type="http://schemas.openxmlformats.org/officeDocument/2006/relationships/pivotTable" Target="../pivotTables/pivotTable12.xml"/><Relationship Id="rId5" Type="http://schemas.openxmlformats.org/officeDocument/2006/relationships/pivotTable" Target="../pivotTables/pivotTable11.xml"/><Relationship Id="rId4" Type="http://schemas.openxmlformats.org/officeDocument/2006/relationships/pivotTable" Target="../pivotTables/pivotTable1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5.xml"/><Relationship Id="rId2" Type="http://schemas.openxmlformats.org/officeDocument/2006/relationships/pivotTable" Target="../pivotTables/pivotTable14.xml"/><Relationship Id="rId1" Type="http://schemas.openxmlformats.org/officeDocument/2006/relationships/pivotTable" Target="../pivotTables/pivotTable13.xml"/><Relationship Id="rId6" Type="http://schemas.openxmlformats.org/officeDocument/2006/relationships/pivotTable" Target="../pivotTables/pivotTable18.xml"/><Relationship Id="rId5" Type="http://schemas.openxmlformats.org/officeDocument/2006/relationships/pivotTable" Target="../pivotTables/pivotTable17.xml"/><Relationship Id="rId4" Type="http://schemas.openxmlformats.org/officeDocument/2006/relationships/pivotTable" Target="../pivotTables/pivotTable1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2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F16758-3ABF-45AA-95BE-571D40518C86}">
  <sheetPr codeName="Sheet1"/>
  <dimension ref="A1:A2"/>
  <sheetViews>
    <sheetView workbookViewId="0">
      <selection activeCell="A2" sqref="A2"/>
    </sheetView>
  </sheetViews>
  <sheetFormatPr defaultRowHeight="15" x14ac:dyDescent="0.25"/>
  <cols>
    <col min="1" max="1" width="38.42578125" bestFit="1" customWidth="1"/>
  </cols>
  <sheetData>
    <row r="1" spans="1:1" x14ac:dyDescent="0.25">
      <c r="A1" t="s">
        <v>70</v>
      </c>
    </row>
    <row r="2" spans="1:1" x14ac:dyDescent="0.25">
      <c r="A2" t="str" cm="1">
        <f t="array" aca="1" ref="A2" ca="1">LEFT(CELL("filename"),SEARCH("\M",CELL("filename")))</f>
        <v>D:\PROJECTS\Undervalued Stock Scanner\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2EAB8-3883-4B73-9311-1CC6D851AC56}">
  <sheetPr codeName="Sheet2"/>
  <dimension ref="A1:Z119"/>
  <sheetViews>
    <sheetView workbookViewId="0">
      <selection activeCell="B24" sqref="B24"/>
    </sheetView>
  </sheetViews>
  <sheetFormatPr defaultRowHeight="15" x14ac:dyDescent="0.25"/>
  <cols>
    <col min="1" max="1" width="31.42578125" bestFit="1" customWidth="1"/>
    <col min="2" max="2" width="10" bestFit="1" customWidth="1"/>
    <col min="3" max="3" width="17" style="2" bestFit="1" customWidth="1"/>
    <col min="4" max="4" width="32.42578125" bestFit="1" customWidth="1"/>
    <col min="5" max="5" width="10.140625" bestFit="1" customWidth="1"/>
    <col min="6" max="6" width="7.85546875" bestFit="1" customWidth="1"/>
    <col min="7" max="7" width="6.7109375" bestFit="1" customWidth="1"/>
    <col min="8" max="8" width="75.85546875" bestFit="1" customWidth="1"/>
    <col min="9" max="9" width="66.42578125" bestFit="1" customWidth="1"/>
    <col min="10" max="11" width="7.140625" bestFit="1" customWidth="1"/>
    <col min="12" max="12" width="6.7109375" bestFit="1" customWidth="1"/>
    <col min="13" max="13" width="62.42578125" bestFit="1" customWidth="1"/>
    <col min="14" max="14" width="21.140625" bestFit="1" customWidth="1"/>
    <col min="15" max="15" width="16" bestFit="1" customWidth="1"/>
    <col min="16" max="16" width="13.5703125" bestFit="1" customWidth="1"/>
    <col min="17" max="18" width="14.42578125" bestFit="1" customWidth="1"/>
    <col min="19" max="20" width="13.5703125" bestFit="1" customWidth="1"/>
    <col min="21" max="21" width="15.42578125" bestFit="1" customWidth="1"/>
    <col min="22" max="22" width="13" bestFit="1" customWidth="1"/>
    <col min="23" max="24" width="13.85546875" bestFit="1" customWidth="1"/>
    <col min="25" max="28" width="13" bestFit="1" customWidth="1"/>
    <col min="30" max="30" width="13" bestFit="1" customWidth="1"/>
  </cols>
  <sheetData>
    <row r="1" spans="1:26" x14ac:dyDescent="0.25">
      <c r="A1" t="s">
        <v>1</v>
      </c>
      <c r="B1" t="s">
        <v>24</v>
      </c>
      <c r="C1" s="2" t="s">
        <v>54</v>
      </c>
      <c r="D1" t="s">
        <v>25</v>
      </c>
      <c r="E1" t="s">
        <v>26</v>
      </c>
      <c r="F1" t="s">
        <v>27</v>
      </c>
      <c r="G1" t="s">
        <v>28</v>
      </c>
      <c r="H1" t="s">
        <v>29</v>
      </c>
      <c r="I1" t="s">
        <v>71</v>
      </c>
      <c r="J1" t="s">
        <v>30</v>
      </c>
      <c r="K1" t="s">
        <v>31</v>
      </c>
      <c r="L1" t="s">
        <v>33</v>
      </c>
      <c r="M1" t="s">
        <v>32</v>
      </c>
      <c r="N1" t="s">
        <v>34</v>
      </c>
      <c r="O1" t="s">
        <v>90</v>
      </c>
      <c r="P1" t="s">
        <v>91</v>
      </c>
      <c r="Q1" t="s">
        <v>92</v>
      </c>
      <c r="R1" t="s">
        <v>93</v>
      </c>
      <c r="S1" t="s">
        <v>94</v>
      </c>
      <c r="T1" t="s">
        <v>95</v>
      </c>
      <c r="U1" t="s">
        <v>35</v>
      </c>
      <c r="V1" t="s">
        <v>76</v>
      </c>
      <c r="W1" t="s">
        <v>36</v>
      </c>
      <c r="X1" t="s">
        <v>37</v>
      </c>
      <c r="Y1" t="s">
        <v>39</v>
      </c>
      <c r="Z1" t="s">
        <v>38</v>
      </c>
    </row>
    <row r="2" spans="1:26" x14ac:dyDescent="0.25">
      <c r="A2" t="s">
        <v>105</v>
      </c>
      <c r="B2" t="s">
        <v>106</v>
      </c>
      <c r="C2" s="2">
        <v>46851</v>
      </c>
      <c r="D2">
        <f>RTD("tos.rtd", , "LAST", Main_L[[#This Row],[Symbol]])</f>
        <v>724.77</v>
      </c>
      <c r="E2">
        <v>4.3499999999999996</v>
      </c>
      <c r="F2">
        <v>30.38</v>
      </c>
      <c r="G2">
        <v>4.8</v>
      </c>
      <c r="H2" s="1">
        <f>IF(ISNUMBER(Main_L[[#This Row],[Free CF]]),IF(Main_L[[#This Row],[Free CF]]&lt;&gt;0,Main_L[[#This Row],[Current Price]]/Main_L[[#This Row],[Free CF]],""),"")</f>
        <v>166.61379310344827</v>
      </c>
      <c r="I2" s="1">
        <f>IF(ISNUMBER(Main_L[[#This Row],[BVPS]]),IF(Main_L[[#This Row],[BVPS]]&lt;&gt;0,Main_L[[#This Row],[Current Price]]/Main_L[[#This Row],[BVPS]],""),"")</f>
        <v>23.856813693219223</v>
      </c>
      <c r="J2">
        <v>19.12</v>
      </c>
      <c r="K2">
        <v>1.22</v>
      </c>
      <c r="L2">
        <v>1.92</v>
      </c>
      <c r="M2" s="1">
        <f>IF(ISNUMBER(Main_L[[#This Row],[EPS]]),IF(Main_L[[#This Row],[EPS]]&lt;&gt;0,Main_L[[#This Row],[Current Price]]/Main_L[[#This Row],[EPS]],""),"")</f>
        <v>150.99375000000001</v>
      </c>
      <c r="N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" s="1">
        <f>(Main_L[[#This Row],[P/FCF]]-VLOOKUP(Main_L[[#This Row],[Industry]], Mean_PFCF_L, 2, FALSE))/(VLOOKUP(Main_L[[#This Row],[Industry]], Mean_PFCF_L, 3, FALSE))</f>
        <v>7.3253479162322543</v>
      </c>
      <c r="P2" s="1">
        <f>(Main_L[[#This Row],[P/B]]-VLOOKUP(Main_L[[#This Row],[Industry]], Mean_PB_L, 2, FALSE))/(VLOOKUP(Main_L[[#This Row],[Industry]], Mean_PB_L, 3, FALSE))</f>
        <v>2.578118081688197</v>
      </c>
      <c r="Q2" s="1">
        <f>(Main_L[[#This Row],[ROE]]-VLOOKUP(Main_L[[#This Row],[Industry]], Mean_ROE_L, 2, FALSE))/(VLOOKUP(Main_L[[#This Row],[Industry]], Mean_ROE_L, 3, FALSE))</f>
        <v>0.38272155726076745</v>
      </c>
      <c r="R2" s="1">
        <f>(Main_L[[#This Row],[ROA]]-VLOOKUP(Main_L[[#This Row],[Industry]], Mean_ROA_L, 2, FALSE))/(VLOOKUP(Main_L[[#This Row],[Industry]], Mean_ROA_L, 3, FALSE))</f>
        <v>-1.7418227820927628</v>
      </c>
      <c r="S2" s="1">
        <f>(Main_L[[#This Row],[A/E]]-VLOOKUP(Main_L[[#This Row],[Industry]], Mean_AE_L, 2, FALSE))/(VLOOKUP(Main_L[[#This Row],[Industry]], Mean_AE_L, 3, FALSE))</f>
        <v>-0.92045867482054999</v>
      </c>
      <c r="T2" s="1">
        <f>(Main_L[[#This Row],[P/E]]-VLOOKUP(Main_L[[#This Row],[Industry]], Mean_PE_L, 2, FALSE))/(VLOOKUP(Main_L[[#This Row],[Industry]], Mean_PE_L, 3, FALSE))</f>
        <v>6.2807286926271395</v>
      </c>
      <c r="U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3" spans="1:26" x14ac:dyDescent="0.25">
      <c r="A3" t="s">
        <v>105</v>
      </c>
      <c r="B3" t="s">
        <v>107</v>
      </c>
      <c r="C3" s="2">
        <v>139913</v>
      </c>
      <c r="D3">
        <f>RTD("tos.rtd", , "LAST", Main_L[[#This Row],[Symbol]])</f>
        <v>203.42</v>
      </c>
      <c r="E3">
        <v>-18.809999999999999</v>
      </c>
      <c r="F3">
        <v>-4.42</v>
      </c>
      <c r="G3">
        <v>-17.09</v>
      </c>
      <c r="H3" s="1">
        <f>IF(ISNUMBER(Main_L[[#This Row],[Free CF]]),IF(Main_L[[#This Row],[Free CF]]&lt;&gt;0,Main_L[[#This Row],[Current Price]]/Main_L[[#This Row],[Free CF]],""),"")</f>
        <v>-10.814460393407762</v>
      </c>
      <c r="I3" s="1">
        <f>IF(ISNUMBER(Main_L[[#This Row],[BVPS]]),IF(Main_L[[#This Row],[BVPS]]&lt;&gt;0,Main_L[[#This Row],[Current Price]]/Main_L[[#This Row],[BVPS]],""),"")</f>
        <v>-46.022624434389137</v>
      </c>
      <c r="J3">
        <v>113.12</v>
      </c>
      <c r="K3">
        <v>-4.0999999999999996</v>
      </c>
      <c r="L3">
        <v>-46.98</v>
      </c>
      <c r="M3" s="1">
        <f>IF(ISNUMBER(Main_L[[#This Row],[EPS]]),IF(Main_L[[#This Row],[EPS]]&lt;&gt;0,Main_L[[#This Row],[Current Price]]/Main_L[[#This Row],[EPS]],""),"")</f>
        <v>-11.90286717378584</v>
      </c>
      <c r="N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" s="1">
        <f>(Main_L[[#This Row],[P/FCF]]-VLOOKUP(Main_L[[#This Row],[Industry]], Mean_PFCF_L, 2, FALSE))/(VLOOKUP(Main_L[[#This Row],[Industry]], Mean_PFCF_L, 3, FALSE))</f>
        <v>-2.5585648722018823</v>
      </c>
      <c r="P3" s="1">
        <f>(Main_L[[#This Row],[P/B]]-VLOOKUP(Main_L[[#This Row],[Industry]], Mean_PB_L, 2, FALSE))/(VLOOKUP(Main_L[[#This Row],[Industry]], Mean_PB_L, 3, FALSE))</f>
        <v>-8.7302305534873668</v>
      </c>
      <c r="Q3" s="1">
        <f>(Main_L[[#This Row],[ROE]]-VLOOKUP(Main_L[[#This Row],[Industry]], Mean_ROE_L, 2, FALSE))/(VLOOKUP(Main_L[[#This Row],[Industry]], Mean_ROE_L, 3, FALSE))</f>
        <v>14.293659777744351</v>
      </c>
      <c r="R3" s="1">
        <f>(Main_L[[#This Row],[ROA]]-VLOOKUP(Main_L[[#This Row],[Industry]], Mean_ROA_L, 2, FALSE))/(VLOOKUP(Main_L[[#This Row],[Industry]], Mean_ROA_L, 3, FALSE))</f>
        <v>-3.7568627648559167</v>
      </c>
      <c r="S3" s="1">
        <f>(Main_L[[#This Row],[A/E]]-VLOOKUP(Main_L[[#This Row],[Industry]], Mean_AE_L, 2, FALSE))/(VLOOKUP(Main_L[[#This Row],[Industry]], Mean_AE_L, 3, FALSE))</f>
        <v>-93.94678293291652</v>
      </c>
      <c r="T3" s="1">
        <f>(Main_L[[#This Row],[P/E]]-VLOOKUP(Main_L[[#This Row],[Industry]], Mean_PE_L, 2, FALSE))/(VLOOKUP(Main_L[[#This Row],[Industry]], Mean_PE_L, 3, FALSE))</f>
        <v>-2.4116078776360563</v>
      </c>
      <c r="U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Yes</v>
      </c>
      <c r="Y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" spans="1:26" x14ac:dyDescent="0.25">
      <c r="A4" t="s">
        <v>105</v>
      </c>
      <c r="B4" t="s">
        <v>109</v>
      </c>
      <c r="C4" s="2">
        <v>13646</v>
      </c>
      <c r="D4">
        <f>RTD("tos.rtd", , "LAST", Main_L[[#This Row],[Symbol]])</f>
        <v>395.15</v>
      </c>
      <c r="E4">
        <v>12.67</v>
      </c>
      <c r="F4">
        <v>65.069999999999993</v>
      </c>
      <c r="G4">
        <v>10.55</v>
      </c>
      <c r="H4" s="1">
        <f>IF(ISNUMBER(Main_L[[#This Row],[Free CF]]),IF(Main_L[[#This Row],[Free CF]]&lt;&gt;0,Main_L[[#This Row],[Current Price]]/Main_L[[#This Row],[Free CF]],""),"")</f>
        <v>31.187845303867402</v>
      </c>
      <c r="I4" s="1">
        <f>IF(ISNUMBER(Main_L[[#This Row],[BVPS]]),IF(Main_L[[#This Row],[BVPS]]&lt;&gt;0,Main_L[[#This Row],[Current Price]]/Main_L[[#This Row],[BVPS]],""),"")</f>
        <v>6.0726909482096207</v>
      </c>
      <c r="J4">
        <v>16.95</v>
      </c>
      <c r="K4">
        <v>7.48</v>
      </c>
      <c r="L4">
        <v>2.04</v>
      </c>
      <c r="M4" s="1">
        <f>IF(ISNUMBER(Main_L[[#This Row],[EPS]]),IF(Main_L[[#This Row],[EPS]]&lt;&gt;0,Main_L[[#This Row],[Current Price]]/Main_L[[#This Row],[EPS]],""),"")</f>
        <v>37.45497630331753</v>
      </c>
      <c r="N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YES</v>
      </c>
      <c r="O4" s="1">
        <f>(Main_L[[#This Row],[P/FCF]]-VLOOKUP(Main_L[[#This Row],[Industry]], Mean_PFCF_L, 2, FALSE))/(VLOOKUP(Main_L[[#This Row],[Industry]], Mean_PFCF_L, 3, FALSE))</f>
        <v>-0.21876206040012897</v>
      </c>
      <c r="P4" s="1">
        <f>(Main_L[[#This Row],[P/B]]-VLOOKUP(Main_L[[#This Row],[Industry]], Mean_PB_L, 2, FALSE))/(VLOOKUP(Main_L[[#This Row],[Industry]], Mean_PB_L, 3, FALSE))</f>
        <v>-0.29982520978581889</v>
      </c>
      <c r="Q4" s="1">
        <f>(Main_L[[#This Row],[ROE]]-VLOOKUP(Main_L[[#This Row],[Industry]], Mean_ROE_L, 2, FALSE))/(VLOOKUP(Main_L[[#This Row],[Industry]], Mean_ROE_L, 3, FALSE))</f>
        <v>6.1586068553858994E-2</v>
      </c>
      <c r="R4" s="1">
        <f>(Main_L[[#This Row],[ROA]]-VLOOKUP(Main_L[[#This Row],[Industry]], Mean_ROA_L, 2, FALSE))/(VLOOKUP(Main_L[[#This Row],[Industry]], Mean_ROA_L, 3, FALSE))</f>
        <v>0.62925809988042347</v>
      </c>
      <c r="S4" s="1">
        <f>(Main_L[[#This Row],[A/E]]-VLOOKUP(Main_L[[#This Row],[Industry]], Mean_AE_L, 2, FALSE))/(VLOOKUP(Main_L[[#This Row],[Industry]], Mean_AE_L, 3, FALSE))</f>
        <v>-0.69217321651847374</v>
      </c>
      <c r="T4" s="1">
        <f>(Main_L[[#This Row],[P/E]]-VLOOKUP(Main_L[[#This Row],[Industry]], Mean_PE_L, 2, FALSE))/(VLOOKUP(Main_L[[#This Row],[Industry]], Mean_PE_L, 3, FALSE))</f>
        <v>0.22217909307578734</v>
      </c>
      <c r="U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5" spans="1:26" x14ac:dyDescent="0.25">
      <c r="A5" t="s">
        <v>105</v>
      </c>
      <c r="B5" t="s">
        <v>255</v>
      </c>
      <c r="C5" s="2">
        <v>11057</v>
      </c>
      <c r="D5">
        <f>RTD("tos.rtd", , "LAST", Main_L[[#This Row],[Symbol]])</f>
        <v>40.64</v>
      </c>
      <c r="E5">
        <v>1.1000000000000001</v>
      </c>
      <c r="F5">
        <v>9.67</v>
      </c>
      <c r="G5">
        <v>0.88</v>
      </c>
      <c r="H5" s="1">
        <f>IF(ISNUMBER(Main_L[[#This Row],[Free CF]]),IF(Main_L[[#This Row],[Free CF]]&lt;&gt;0,Main_L[[#This Row],[Current Price]]/Main_L[[#This Row],[Free CF]],""),"")</f>
        <v>36.945454545454545</v>
      </c>
      <c r="I5" s="1">
        <f>IF(ISNUMBER(Main_L[[#This Row],[BVPS]]),IF(Main_L[[#This Row],[BVPS]]&lt;&gt;0,Main_L[[#This Row],[Current Price]]/Main_L[[#This Row],[BVPS]],""),"")</f>
        <v>4.2026887280248193</v>
      </c>
      <c r="J5">
        <v>9.5</v>
      </c>
      <c r="K5">
        <v>4.97</v>
      </c>
      <c r="L5">
        <v>1.59</v>
      </c>
      <c r="M5" s="1">
        <f>IF(ISNUMBER(Main_L[[#This Row],[EPS]]),IF(Main_L[[#This Row],[EPS]]&lt;&gt;0,Main_L[[#This Row],[Current Price]]/Main_L[[#This Row],[EPS]],""),"")</f>
        <v>46.18181818181818</v>
      </c>
      <c r="N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5" s="1">
        <f>(Main_L[[#This Row],[P/FCF]]-VLOOKUP(Main_L[[#This Row],[Industry]], Mean_PFCF_L, 2, FALSE))/(VLOOKUP(Main_L[[#This Row],[Industry]], Mean_PFCF_L, 3, FALSE))</f>
        <v>0.10197438654200433</v>
      </c>
      <c r="P5" s="1">
        <f>(Main_L[[#This Row],[P/B]]-VLOOKUP(Main_L[[#This Row],[Industry]], Mean_PB_L, 2, FALSE))/(VLOOKUP(Main_L[[#This Row],[Industry]], Mean_PB_L, 3, FALSE))</f>
        <v>-0.60244122418172374</v>
      </c>
      <c r="Q5" s="1">
        <f>(Main_L[[#This Row],[ROE]]-VLOOKUP(Main_L[[#This Row],[Industry]], Mean_ROE_L, 2, FALSE))/(VLOOKUP(Main_L[[#This Row],[Industry]], Mean_ROE_L, 3, FALSE))</f>
        <v>-1.0409297797717014</v>
      </c>
      <c r="R5" s="1">
        <f>(Main_L[[#This Row],[ROA]]-VLOOKUP(Main_L[[#This Row],[Industry]], Mean_ROA_L, 2, FALSE))/(VLOOKUP(Main_L[[#This Row],[Industry]], Mean_ROA_L, 3, FALSE))</f>
        <v>-0.3214468543931705</v>
      </c>
      <c r="S5" s="1">
        <f>(Main_L[[#This Row],[A/E]]-VLOOKUP(Main_L[[#This Row],[Industry]], Mean_AE_L, 2, FALSE))/(VLOOKUP(Main_L[[#This Row],[Industry]], Mean_AE_L, 3, FALSE))</f>
        <v>-1.5482436851512587</v>
      </c>
      <c r="T5" s="1">
        <f>(Main_L[[#This Row],[P/E]]-VLOOKUP(Main_L[[#This Row],[Industry]], Mean_PE_L, 2, FALSE))/(VLOOKUP(Main_L[[#This Row],[Industry]], Mean_PE_L, 3, FALSE))</f>
        <v>0.68785264799355517</v>
      </c>
      <c r="U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6" spans="1:26" x14ac:dyDescent="0.25">
      <c r="A6" t="s">
        <v>105</v>
      </c>
      <c r="B6" t="s">
        <v>554</v>
      </c>
      <c r="C6" s="2">
        <v>18536</v>
      </c>
      <c r="D6">
        <f>RTD("tos.rtd", , "LAST", Main_L[[#This Row],[Symbol]])</f>
        <v>381.51</v>
      </c>
      <c r="E6">
        <v>7.18</v>
      </c>
      <c r="F6">
        <v>73.569999999999993</v>
      </c>
      <c r="G6">
        <v>7.18</v>
      </c>
      <c r="H6" s="1">
        <f>IF(ISNUMBER(Main_L[[#This Row],[Free CF]]),IF(Main_L[[#This Row],[Free CF]]&lt;&gt;0,Main_L[[#This Row],[Current Price]]/Main_L[[#This Row],[Free CF]],""),"")</f>
        <v>53.135097493036213</v>
      </c>
      <c r="I6" s="1">
        <f>IF(ISNUMBER(Main_L[[#This Row],[BVPS]]),IF(Main_L[[#This Row],[BVPS]]&lt;&gt;0,Main_L[[#This Row],[Current Price]]/Main_L[[#This Row],[BVPS]],""),"")</f>
        <v>5.1856735082234611</v>
      </c>
      <c r="J6">
        <v>10.33</v>
      </c>
      <c r="K6">
        <v>3.08</v>
      </c>
      <c r="L6">
        <v>3.35</v>
      </c>
      <c r="M6" s="1">
        <f>IF(ISNUMBER(Main_L[[#This Row],[EPS]]),IF(Main_L[[#This Row],[EPS]]&lt;&gt;0,Main_L[[#This Row],[Current Price]]/Main_L[[#This Row],[EPS]],""),"")</f>
        <v>53.135097493036213</v>
      </c>
      <c r="N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6" s="1">
        <f>(Main_L[[#This Row],[P/FCF]]-VLOOKUP(Main_L[[#This Row],[Industry]], Mean_PFCF_L, 2, FALSE))/(VLOOKUP(Main_L[[#This Row],[Industry]], Mean_PFCF_L, 3, FALSE))</f>
        <v>1.0038432592614239</v>
      </c>
      <c r="P6" s="1">
        <f>(Main_L[[#This Row],[P/B]]-VLOOKUP(Main_L[[#This Row],[Industry]], Mean_PB_L, 2, FALSE))/(VLOOKUP(Main_L[[#This Row],[Industry]], Mean_PB_L, 3, FALSE))</f>
        <v>-0.44336818502450248</v>
      </c>
      <c r="Q6" s="1">
        <f>(Main_L[[#This Row],[ROE]]-VLOOKUP(Main_L[[#This Row],[Industry]], Mean_ROE_L, 2, FALSE))/(VLOOKUP(Main_L[[#This Row],[Industry]], Mean_ROE_L, 3, FALSE))</f>
        <v>-0.91809915505892081</v>
      </c>
      <c r="R6" s="1">
        <f>(Main_L[[#This Row],[ROA]]-VLOOKUP(Main_L[[#This Row],[Industry]], Mean_ROA_L, 2, FALSE))/(VLOOKUP(Main_L[[#This Row],[Industry]], Mean_ROA_L, 3, FALSE))</f>
        <v>-1.0373163219537649</v>
      </c>
      <c r="S6" s="1">
        <f>(Main_L[[#This Row],[A/E]]-VLOOKUP(Main_L[[#This Row],[Industry]], Mean_AE_L, 2, FALSE))/(VLOOKUP(Main_L[[#This Row],[Industry]], Mean_AE_L, 3, FALSE))</f>
        <v>1.7999430366125226</v>
      </c>
      <c r="T6" s="1">
        <f>(Main_L[[#This Row],[P/E]]-VLOOKUP(Main_L[[#This Row],[Industry]], Mean_PE_L, 2, FALSE))/(VLOOKUP(Main_L[[#This Row],[Industry]], Mean_PE_L, 3, FALSE))</f>
        <v>1.0588870199085623</v>
      </c>
      <c r="U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7" spans="1:26" x14ac:dyDescent="0.25">
      <c r="A7" t="s">
        <v>105</v>
      </c>
      <c r="B7" t="s">
        <v>110</v>
      </c>
      <c r="C7" s="2">
        <v>72319</v>
      </c>
      <c r="D7">
        <f>RTD("tos.rtd", , "LAST", Main_L[[#This Row],[Symbol]])</f>
        <v>273.02</v>
      </c>
      <c r="E7">
        <v>12.23</v>
      </c>
      <c r="F7">
        <v>82.93</v>
      </c>
      <c r="G7">
        <v>14.41</v>
      </c>
      <c r="H7" s="1">
        <f>IF(ISNUMBER(Main_L[[#This Row],[Free CF]]),IF(Main_L[[#This Row],[Free CF]]&lt;&gt;0,Main_L[[#This Row],[Current Price]]/Main_L[[#This Row],[Free CF]],""),"")</f>
        <v>22.323793949304985</v>
      </c>
      <c r="I7" s="1">
        <f>IF(ISNUMBER(Main_L[[#This Row],[BVPS]]),IF(Main_L[[#This Row],[BVPS]]&lt;&gt;0,Main_L[[#This Row],[Current Price]]/Main_L[[#This Row],[BVPS]],""),"")</f>
        <v>3.2921741227541297</v>
      </c>
      <c r="J7">
        <v>18.23</v>
      </c>
      <c r="K7">
        <v>5.6</v>
      </c>
      <c r="L7">
        <v>2.5499999999999998</v>
      </c>
      <c r="M7" s="1">
        <f>IF(ISNUMBER(Main_L[[#This Row],[EPS]]),IF(Main_L[[#This Row],[EPS]]&lt;&gt;0,Main_L[[#This Row],[Current Price]]/Main_L[[#This Row],[EPS]],""),"")</f>
        <v>18.946564885496183</v>
      </c>
      <c r="N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7" s="1">
        <f>(Main_L[[#This Row],[P/FCF]]-VLOOKUP(Main_L[[#This Row],[Industry]], Mean_PFCF_L, 2, FALSE))/(VLOOKUP(Main_L[[#This Row],[Industry]], Mean_PFCF_L, 3, FALSE))</f>
        <v>-0.71254762619362222</v>
      </c>
      <c r="P7" s="1">
        <f>(Main_L[[#This Row],[P/B]]-VLOOKUP(Main_L[[#This Row],[Industry]], Mean_PB_L, 2, FALSE))/(VLOOKUP(Main_L[[#This Row],[Industry]], Mean_PB_L, 3, FALSE))</f>
        <v>-0.74978666469625266</v>
      </c>
      <c r="Q7" s="1">
        <f>(Main_L[[#This Row],[ROE]]-VLOOKUP(Main_L[[#This Row],[Industry]], Mean_ROE_L, 2, FALSE))/(VLOOKUP(Main_L[[#This Row],[Industry]], Mean_ROE_L, 3, FALSE))</f>
        <v>0.25101161027959307</v>
      </c>
      <c r="R7" s="1">
        <f>(Main_L[[#This Row],[ROA]]-VLOOKUP(Main_L[[#This Row],[Industry]], Mean_ROA_L, 2, FALSE))/(VLOOKUP(Main_L[[#This Row],[Industry]], Mean_ROA_L, 3, FALSE))</f>
        <v>-8.2823698539639071E-2</v>
      </c>
      <c r="S7" s="1">
        <f>(Main_L[[#This Row],[A/E]]-VLOOKUP(Main_L[[#This Row],[Industry]], Mean_AE_L, 2, FALSE))/(VLOOKUP(Main_L[[#This Row],[Industry]], Mean_AE_L, 3, FALSE))</f>
        <v>0.27803998126534885</v>
      </c>
      <c r="T7" s="1">
        <f>(Main_L[[#This Row],[P/E]]-VLOOKUP(Main_L[[#This Row],[Industry]], Mean_PE_L, 2, FALSE))/(VLOOKUP(Main_L[[#This Row],[Industry]], Mean_PE_L, 3, FALSE))</f>
        <v>-0.76544940539063278</v>
      </c>
      <c r="U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8" spans="1:26" x14ac:dyDescent="0.25">
      <c r="A8" t="s">
        <v>105</v>
      </c>
      <c r="B8" t="s">
        <v>111</v>
      </c>
      <c r="C8" s="2">
        <v>223856</v>
      </c>
      <c r="D8">
        <f>RTD("tos.rtd", , "LAST", Main_L[[#This Row],[Symbol]])</f>
        <v>221.58</v>
      </c>
      <c r="E8">
        <v>3.88</v>
      </c>
      <c r="F8">
        <v>18.05</v>
      </c>
      <c r="G8">
        <v>6.34</v>
      </c>
      <c r="H8" s="1">
        <f>IF(ISNUMBER(Main_L[[#This Row],[Free CF]]),IF(Main_L[[#This Row],[Free CF]]&lt;&gt;0,Main_L[[#This Row],[Current Price]]/Main_L[[#This Row],[Free CF]],""),"")</f>
        <v>57.108247422680414</v>
      </c>
      <c r="I8" s="1">
        <f>IF(ISNUMBER(Main_L[[#This Row],[BVPS]]),IF(Main_L[[#This Row],[BVPS]]&lt;&gt;0,Main_L[[#This Row],[Current Price]]/Main_L[[#This Row],[BVPS]],""),"")</f>
        <v>12.27590027700831</v>
      </c>
      <c r="J8">
        <v>27.2</v>
      </c>
      <c r="K8">
        <v>3.72</v>
      </c>
      <c r="L8">
        <v>6.45</v>
      </c>
      <c r="M8" s="1">
        <f>IF(ISNUMBER(Main_L[[#This Row],[EPS]]),IF(Main_L[[#This Row],[EPS]]&lt;&gt;0,Main_L[[#This Row],[Current Price]]/Main_L[[#This Row],[EPS]],""),"")</f>
        <v>34.949526813880126</v>
      </c>
      <c r="N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8" s="1">
        <f>(Main_L[[#This Row],[P/FCF]]-VLOOKUP(Main_L[[#This Row],[Industry]], Mean_PFCF_L, 2, FALSE))/(VLOOKUP(Main_L[[#This Row],[Industry]], Mean_PFCF_L, 3, FALSE))</f>
        <v>1.2251736653608809</v>
      </c>
      <c r="P8" s="1">
        <f>(Main_L[[#This Row],[P/B]]-VLOOKUP(Main_L[[#This Row],[Industry]], Mean_PB_L, 2, FALSE))/(VLOOKUP(Main_L[[#This Row],[Industry]], Mean_PB_L, 3, FALSE))</f>
        <v>0.70401877675182456</v>
      </c>
      <c r="Q8" s="1">
        <f>(Main_L[[#This Row],[ROE]]-VLOOKUP(Main_L[[#This Row],[Industry]], Mean_ROE_L, 2, FALSE))/(VLOOKUP(Main_L[[#This Row],[Industry]], Mean_ROE_L, 3, FALSE))</f>
        <v>1.5784702894044624</v>
      </c>
      <c r="R8" s="1">
        <f>(Main_L[[#This Row],[ROA]]-VLOOKUP(Main_L[[#This Row],[Industry]], Mean_ROA_L, 2, FALSE))/(VLOOKUP(Main_L[[#This Row],[Industry]], Mean_ROA_L, 3, FALSE))</f>
        <v>-0.79490549695970114</v>
      </c>
      <c r="S8" s="1">
        <f>(Main_L[[#This Row],[A/E]]-VLOOKUP(Main_L[[#This Row],[Industry]], Mean_AE_L, 2, FALSE))/(VLOOKUP(Main_L[[#This Row],[Industry]], Mean_AE_L, 3, FALSE))</f>
        <v>7.6973173760828191</v>
      </c>
      <c r="T8" s="1">
        <f>(Main_L[[#This Row],[P/E]]-VLOOKUP(Main_L[[#This Row],[Industry]], Mean_PE_L, 2, FALSE))/(VLOOKUP(Main_L[[#This Row],[Industry]], Mean_PE_L, 3, FALSE))</f>
        <v>8.8485646276029908E-2</v>
      </c>
      <c r="U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9" spans="1:26" x14ac:dyDescent="0.25">
      <c r="A9" t="s">
        <v>105</v>
      </c>
      <c r="B9" t="s">
        <v>112</v>
      </c>
      <c r="C9" s="2">
        <v>37263</v>
      </c>
      <c r="D9">
        <f>RTD("tos.rtd", , "LAST", Main_L[[#This Row],[Symbol]])</f>
        <v>268.36</v>
      </c>
      <c r="E9">
        <v>5.0599999999999996</v>
      </c>
      <c r="F9">
        <v>26.96</v>
      </c>
      <c r="G9">
        <v>4.05</v>
      </c>
      <c r="H9" s="1">
        <f>IF(ISNUMBER(Main_L[[#This Row],[Free CF]]),IF(Main_L[[#This Row],[Free CF]]&lt;&gt;0,Main_L[[#This Row],[Current Price]]/Main_L[[#This Row],[Free CF]],""),"")</f>
        <v>53.035573122529648</v>
      </c>
      <c r="I9" s="1">
        <f>IF(ISNUMBER(Main_L[[#This Row],[BVPS]]),IF(Main_L[[#This Row],[BVPS]]&lt;&gt;0,Main_L[[#This Row],[Current Price]]/Main_L[[#This Row],[BVPS]],""),"")</f>
        <v>9.9540059347181007</v>
      </c>
      <c r="J9">
        <v>15.54</v>
      </c>
      <c r="K9">
        <v>7.15</v>
      </c>
      <c r="L9">
        <v>2.11</v>
      </c>
      <c r="M9" s="1">
        <f>IF(ISNUMBER(Main_L[[#This Row],[EPS]]),IF(Main_L[[#This Row],[EPS]]&lt;&gt;0,Main_L[[#This Row],[Current Price]]/Main_L[[#This Row],[EPS]],""),"")</f>
        <v>66.261728395061738</v>
      </c>
      <c r="N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9" s="1">
        <f>(Main_L[[#This Row],[P/FCF]]-VLOOKUP(Main_L[[#This Row],[Industry]], Mean_PFCF_L, 2, FALSE))/(VLOOKUP(Main_L[[#This Row],[Industry]], Mean_PFCF_L, 3, FALSE))</f>
        <v>0.99829910167082858</v>
      </c>
      <c r="P9" s="1">
        <f>(Main_L[[#This Row],[P/B]]-VLOOKUP(Main_L[[#This Row],[Industry]], Mean_PB_L, 2, FALSE))/(VLOOKUP(Main_L[[#This Row],[Industry]], Mean_PB_L, 3, FALSE))</f>
        <v>0.32827461766583921</v>
      </c>
      <c r="Q9" s="1">
        <f>(Main_L[[#This Row],[ROE]]-VLOOKUP(Main_L[[#This Row],[Industry]], Mean_ROE_L, 2, FALSE))/(VLOOKUP(Main_L[[#This Row],[Industry]], Mean_ROE_L, 3, FALSE))</f>
        <v>-0.14707800475339478</v>
      </c>
      <c r="R9" s="1">
        <f>(Main_L[[#This Row],[ROA]]-VLOOKUP(Main_L[[#This Row],[Industry]], Mean_ROA_L, 2, FALSE))/(VLOOKUP(Main_L[[#This Row],[Industry]], Mean_ROA_L, 3, FALSE))</f>
        <v>0.5042650182428593</v>
      </c>
      <c r="S9" s="1">
        <f>(Main_L[[#This Row],[A/E]]-VLOOKUP(Main_L[[#This Row],[Industry]], Mean_AE_L, 2, FALSE))/(VLOOKUP(Main_L[[#This Row],[Industry]], Mean_AE_L, 3, FALSE))</f>
        <v>-0.55900669917559642</v>
      </c>
      <c r="T9" s="1">
        <f>(Main_L[[#This Row],[P/E]]-VLOOKUP(Main_L[[#This Row],[Industry]], Mean_PE_L, 2, FALSE))/(VLOOKUP(Main_L[[#This Row],[Industry]], Mean_PE_L, 3, FALSE))</f>
        <v>1.7593379919032415</v>
      </c>
      <c r="U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0" spans="1:26" x14ac:dyDescent="0.25">
      <c r="A10" t="s">
        <v>105</v>
      </c>
      <c r="B10" t="s">
        <v>113</v>
      </c>
      <c r="C10" s="2">
        <v>63425</v>
      </c>
      <c r="D10">
        <f>RTD("tos.rtd", , "LAST", Main_L[[#This Row],[Symbol]])</f>
        <v>158.30000000000001</v>
      </c>
      <c r="E10">
        <v>2.4900000000000002</v>
      </c>
      <c r="F10">
        <v>11.73</v>
      </c>
      <c r="G10">
        <v>3.06</v>
      </c>
      <c r="H10" s="1">
        <f>IF(ISNUMBER(Main_L[[#This Row],[Free CF]]),IF(Main_L[[#This Row],[Free CF]]&lt;&gt;0,Main_L[[#This Row],[Current Price]]/Main_L[[#This Row],[Free CF]],""),"")</f>
        <v>63.574297188755018</v>
      </c>
      <c r="I10" s="1">
        <f>IF(ISNUMBER(Main_L[[#This Row],[BVPS]]),IF(Main_L[[#This Row],[BVPS]]&lt;&gt;0,Main_L[[#This Row],[Current Price]]/Main_L[[#This Row],[BVPS]],""),"")</f>
        <v>13.49531116794544</v>
      </c>
      <c r="J10">
        <v>28.3</v>
      </c>
      <c r="K10">
        <v>10.199999999999999</v>
      </c>
      <c r="L10">
        <v>2.27</v>
      </c>
      <c r="M10" s="1">
        <f>IF(ISNUMBER(Main_L[[#This Row],[EPS]]),IF(Main_L[[#This Row],[EPS]]&lt;&gt;0,Main_L[[#This Row],[Current Price]]/Main_L[[#This Row],[EPS]],""),"")</f>
        <v>51.732026143790854</v>
      </c>
      <c r="N1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0" s="1">
        <f>(Main_L[[#This Row],[P/FCF]]-VLOOKUP(Main_L[[#This Row],[Industry]], Mean_PFCF_L, 2, FALSE))/(VLOOKUP(Main_L[[#This Row],[Industry]], Mean_PFCF_L, 3, FALSE))</f>
        <v>1.5853748774789318</v>
      </c>
      <c r="P10" s="1">
        <f>(Main_L[[#This Row],[P/B]]-VLOOKUP(Main_L[[#This Row],[Industry]], Mean_PB_L, 2, FALSE))/(VLOOKUP(Main_L[[#This Row],[Industry]], Mean_PB_L, 3, FALSE))</f>
        <v>0.90135183857561552</v>
      </c>
      <c r="Q10" s="1">
        <f>(Main_L[[#This Row],[ROE]]-VLOOKUP(Main_L[[#This Row],[Industry]], Mean_ROE_L, 2, FALSE))/(VLOOKUP(Main_L[[#This Row],[Industry]], Mean_ROE_L, 3, FALSE))</f>
        <v>1.7412578643250152</v>
      </c>
      <c r="R10" s="1">
        <f>(Main_L[[#This Row],[ROA]]-VLOOKUP(Main_L[[#This Row],[Industry]], Mean_ROA_L, 2, FALSE))/(VLOOKUP(Main_L[[#This Row],[Industry]], Mean_ROA_L, 3, FALSE))</f>
        <v>1.6595041061051938</v>
      </c>
      <c r="S10" s="1">
        <f>(Main_L[[#This Row],[A/E]]-VLOOKUP(Main_L[[#This Row],[Industry]], Mean_AE_L, 2, FALSE))/(VLOOKUP(Main_L[[#This Row],[Industry]], Mean_AE_L, 3, FALSE))</f>
        <v>-0.25462608810616144</v>
      </c>
      <c r="T10" s="1">
        <f>(Main_L[[#This Row],[P/E]]-VLOOKUP(Main_L[[#This Row],[Industry]], Mean_PE_L, 2, FALSE))/(VLOOKUP(Main_L[[#This Row],[Industry]], Mean_PE_L, 3, FALSE))</f>
        <v>0.98401764194767616</v>
      </c>
      <c r="U1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1" spans="1:26" x14ac:dyDescent="0.25">
      <c r="A11" t="s">
        <v>105</v>
      </c>
      <c r="B11" t="s">
        <v>114</v>
      </c>
      <c r="C11" s="2">
        <v>40754</v>
      </c>
      <c r="D11">
        <f>RTD("tos.rtd", , "LAST", Main_L[[#This Row],[Symbol]])</f>
        <v>218.37</v>
      </c>
      <c r="E11">
        <v>11.98</v>
      </c>
      <c r="F11">
        <v>101.98</v>
      </c>
      <c r="G11">
        <v>8.43</v>
      </c>
      <c r="H11" s="1">
        <f>IF(ISNUMBER(Main_L[[#This Row],[Free CF]]),IF(Main_L[[#This Row],[Free CF]]&lt;&gt;0,Main_L[[#This Row],[Current Price]]/Main_L[[#This Row],[Free CF]],""),"")</f>
        <v>18.227879799666109</v>
      </c>
      <c r="I11" s="1">
        <f>IF(ISNUMBER(Main_L[[#This Row],[BVPS]]),IF(Main_L[[#This Row],[BVPS]]&lt;&gt;0,Main_L[[#This Row],[Current Price]]/Main_L[[#This Row],[BVPS]],""),"")</f>
        <v>2.141302216120808</v>
      </c>
      <c r="J11">
        <v>8.52</v>
      </c>
      <c r="K11">
        <v>4.0599999999999996</v>
      </c>
      <c r="L11">
        <v>2.16</v>
      </c>
      <c r="M11" s="1">
        <f>IF(ISNUMBER(Main_L[[#This Row],[EPS]]),IF(Main_L[[#This Row],[EPS]]&lt;&gt;0,Main_L[[#This Row],[Current Price]]/Main_L[[#This Row],[EPS]],""),"")</f>
        <v>25.903914590747334</v>
      </c>
      <c r="N1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1" s="1">
        <f>(Main_L[[#This Row],[P/FCF]]-VLOOKUP(Main_L[[#This Row],[Industry]], Mean_PFCF_L, 2, FALSE))/(VLOOKUP(Main_L[[#This Row],[Industry]], Mean_PFCF_L, 3, FALSE))</f>
        <v>-0.94071680131691437</v>
      </c>
      <c r="P11" s="1">
        <f>(Main_L[[#This Row],[P/B]]-VLOOKUP(Main_L[[#This Row],[Industry]], Mean_PB_L, 2, FALSE))/(VLOOKUP(Main_L[[#This Row],[Industry]], Mean_PB_L, 3, FALSE))</f>
        <v>-0.93602829890734673</v>
      </c>
      <c r="Q11" s="1">
        <f>(Main_L[[#This Row],[ROE]]-VLOOKUP(Main_L[[#This Row],[Industry]], Mean_ROE_L, 2, FALSE))/(VLOOKUP(Main_L[[#This Row],[Industry]], Mean_ROE_L, 3, FALSE))</f>
        <v>-1.1859587101554665</v>
      </c>
      <c r="R11" s="1">
        <f>(Main_L[[#This Row],[ROA]]-VLOOKUP(Main_L[[#This Row],[Industry]], Mean_ROA_L, 2, FALSE))/(VLOOKUP(Main_L[[#This Row],[Industry]], Mean_ROA_L, 3, FALSE))</f>
        <v>-0.666124746181605</v>
      </c>
      <c r="S11" s="1">
        <f>(Main_L[[#This Row],[A/E]]-VLOOKUP(Main_L[[#This Row],[Industry]], Mean_AE_L, 2, FALSE))/(VLOOKUP(Main_L[[#This Row],[Industry]], Mean_AE_L, 3, FALSE))</f>
        <v>-0.46388775821639755</v>
      </c>
      <c r="T11" s="1">
        <f>(Main_L[[#This Row],[P/E]]-VLOOKUP(Main_L[[#This Row],[Industry]], Mean_PE_L, 2, FALSE))/(VLOOKUP(Main_L[[#This Row],[Industry]], Mean_PE_L, 3, FALSE))</f>
        <v>-0.39419783292521943</v>
      </c>
      <c r="U1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2" spans="1:26" x14ac:dyDescent="0.25">
      <c r="A12" t="s">
        <v>105</v>
      </c>
      <c r="B12" t="s">
        <v>115</v>
      </c>
      <c r="C12" s="2">
        <v>110428</v>
      </c>
      <c r="D12">
        <f>RTD("tos.rtd", , "LAST", Main_L[[#This Row],[Symbol]])</f>
        <v>459.83</v>
      </c>
      <c r="E12">
        <v>21.06</v>
      </c>
      <c r="F12">
        <v>28.68</v>
      </c>
      <c r="G12">
        <v>23.17</v>
      </c>
      <c r="H12" s="1">
        <f>IF(ISNUMBER(Main_L[[#This Row],[Free CF]]),IF(Main_L[[#This Row],[Free CF]]&lt;&gt;0,Main_L[[#This Row],[Current Price]]/Main_L[[#This Row],[Free CF]],""),"")</f>
        <v>21.834283000949668</v>
      </c>
      <c r="I12" s="1">
        <f>IF(ISNUMBER(Main_L[[#This Row],[BVPS]]),IF(Main_L[[#This Row],[BVPS]]&lt;&gt;0,Main_L[[#This Row],[Current Price]]/Main_L[[#This Row],[BVPS]],""),"")</f>
        <v>16.033124128312412</v>
      </c>
      <c r="J12">
        <v>82.55</v>
      </c>
      <c r="K12">
        <v>8.32</v>
      </c>
      <c r="L12">
        <v>8.48</v>
      </c>
      <c r="M12" s="1">
        <f>IF(ISNUMBER(Main_L[[#This Row],[EPS]]),IF(Main_L[[#This Row],[EPS]]&lt;&gt;0,Main_L[[#This Row],[Current Price]]/Main_L[[#This Row],[EPS]],""),"")</f>
        <v>19.845921450151057</v>
      </c>
      <c r="N1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2" s="1">
        <f>(Main_L[[#This Row],[P/FCF]]-VLOOKUP(Main_L[[#This Row],[Industry]], Mean_PFCF_L, 2, FALSE))/(VLOOKUP(Main_L[[#This Row],[Industry]], Mean_PFCF_L, 3, FALSE))</f>
        <v>-0.73981658379858095</v>
      </c>
      <c r="P12" s="1">
        <f>(Main_L[[#This Row],[P/B]]-VLOOKUP(Main_L[[#This Row],[Industry]], Mean_PB_L, 2, FALSE))/(VLOOKUP(Main_L[[#This Row],[Industry]], Mean_PB_L, 3, FALSE))</f>
        <v>1.312037363469073</v>
      </c>
      <c r="Q12" s="1">
        <f>(Main_L[[#This Row],[ROE]]-VLOOKUP(Main_L[[#This Row],[Industry]], Mean_ROE_L, 2, FALSE))/(VLOOKUP(Main_L[[#This Row],[Industry]], Mean_ROE_L, 3, FALSE))</f>
        <v>9.7696450819977212</v>
      </c>
      <c r="R12" s="1">
        <f>(Main_L[[#This Row],[ROA]]-VLOOKUP(Main_L[[#This Row],[Industry]], Mean_ROA_L, 2, FALSE))/(VLOOKUP(Main_L[[#This Row],[Industry]], Mean_ROA_L, 3, FALSE))</f>
        <v>0.94742230768513203</v>
      </c>
      <c r="S12" s="1">
        <f>(Main_L[[#This Row],[A/E]]-VLOOKUP(Main_L[[#This Row],[Industry]], Mean_AE_L, 2, FALSE))/(VLOOKUP(Main_L[[#This Row],[Industry]], Mean_AE_L, 3, FALSE))</f>
        <v>11.559146379026274</v>
      </c>
      <c r="T12" s="1">
        <f>(Main_L[[#This Row],[P/E]]-VLOOKUP(Main_L[[#This Row],[Industry]], Mean_PE_L, 2, FALSE))/(VLOOKUP(Main_L[[#This Row],[Industry]], Mean_PE_L, 3, FALSE))</f>
        <v>-0.71745878353311598</v>
      </c>
      <c r="U1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1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1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3" spans="1:26" x14ac:dyDescent="0.25">
      <c r="A13" t="s">
        <v>105</v>
      </c>
      <c r="B13" t="s">
        <v>116</v>
      </c>
      <c r="C13" s="2">
        <v>69955</v>
      </c>
      <c r="D13">
        <f>RTD("tos.rtd", , "LAST", Main_L[[#This Row],[Symbol]])</f>
        <v>470.67</v>
      </c>
      <c r="E13">
        <v>12.17</v>
      </c>
      <c r="F13">
        <v>104</v>
      </c>
      <c r="G13">
        <v>25.39</v>
      </c>
      <c r="H13" s="1">
        <f>IF(ISNUMBER(Main_L[[#This Row],[Free CF]]),IF(Main_L[[#This Row],[Free CF]]&lt;&gt;0,Main_L[[#This Row],[Current Price]]/Main_L[[#This Row],[Free CF]],""),"")</f>
        <v>38.674609695973707</v>
      </c>
      <c r="I13" s="1">
        <f>IF(ISNUMBER(Main_L[[#This Row],[BVPS]]),IF(Main_L[[#This Row],[BVPS]]&lt;&gt;0,Main_L[[#This Row],[Current Price]]/Main_L[[#This Row],[BVPS]],""),"")</f>
        <v>4.5256730769230771</v>
      </c>
      <c r="J13">
        <v>25.41</v>
      </c>
      <c r="K13">
        <v>6.4</v>
      </c>
      <c r="L13">
        <v>3.23</v>
      </c>
      <c r="M13" s="1">
        <f>IF(ISNUMBER(Main_L[[#This Row],[EPS]]),IF(Main_L[[#This Row],[EPS]]&lt;&gt;0,Main_L[[#This Row],[Current Price]]/Main_L[[#This Row],[EPS]],""),"")</f>
        <v>18.53761323355652</v>
      </c>
      <c r="N1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3" s="1">
        <f>(Main_L[[#This Row],[P/FCF]]-VLOOKUP(Main_L[[#This Row],[Industry]], Mean_PFCF_L, 2, FALSE))/(VLOOKUP(Main_L[[#This Row],[Industry]], Mean_PFCF_L, 3, FALSE))</f>
        <v>0.19829962431314627</v>
      </c>
      <c r="P13" s="1">
        <f>(Main_L[[#This Row],[P/B]]-VLOOKUP(Main_L[[#This Row],[Industry]], Mean_PB_L, 2, FALSE))/(VLOOKUP(Main_L[[#This Row],[Industry]], Mean_PB_L, 3, FALSE))</f>
        <v>-0.55017378015366902</v>
      </c>
      <c r="Q13" s="1">
        <f>(Main_L[[#This Row],[ROE]]-VLOOKUP(Main_L[[#This Row],[Industry]], Mean_ROE_L, 2, FALSE))/(VLOOKUP(Main_L[[#This Row],[Industry]], Mean_ROE_L, 3, FALSE))</f>
        <v>1.3135705083973814</v>
      </c>
      <c r="R13" s="1">
        <f>(Main_L[[#This Row],[ROA]]-VLOOKUP(Main_L[[#This Row],[Industry]], Mean_ROA_L, 2, FALSE))/(VLOOKUP(Main_L[[#This Row],[Industry]], Mean_ROA_L, 3, FALSE))</f>
        <v>0.22018983270294085</v>
      </c>
      <c r="S13" s="1">
        <f>(Main_L[[#This Row],[A/E]]-VLOOKUP(Main_L[[#This Row],[Industry]], Mean_AE_L, 2, FALSE))/(VLOOKUP(Main_L[[#This Row],[Industry]], Mean_AE_L, 3, FALSE))</f>
        <v>1.5716575783104465</v>
      </c>
      <c r="T13" s="1">
        <f>(Main_L[[#This Row],[P/E]]-VLOOKUP(Main_L[[#This Row],[Industry]], Mean_PE_L, 2, FALSE))/(VLOOKUP(Main_L[[#This Row],[Industry]], Mean_PE_L, 3, FALSE))</f>
        <v>-0.78727150004980118</v>
      </c>
      <c r="U1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4" spans="1:26" x14ac:dyDescent="0.25">
      <c r="A14" t="s">
        <v>105</v>
      </c>
      <c r="B14" t="s">
        <v>117</v>
      </c>
      <c r="C14" s="2">
        <v>10285</v>
      </c>
      <c r="D14">
        <f>RTD("tos.rtd", , "LAST", Main_L[[#This Row],[Symbol]])</f>
        <v>21.83</v>
      </c>
      <c r="E14">
        <v>-0.23</v>
      </c>
      <c r="F14">
        <v>0.76</v>
      </c>
      <c r="G14">
        <v>-0.38</v>
      </c>
      <c r="H14" s="1">
        <f>IF(ISNUMBER(Main_L[[#This Row],[Free CF]]),IF(Main_L[[#This Row],[Free CF]]&lt;&gt;0,Main_L[[#This Row],[Current Price]]/Main_L[[#This Row],[Free CF]],""),"")</f>
        <v>-94.91304347826086</v>
      </c>
      <c r="I14" s="1">
        <f>IF(ISNUMBER(Main_L[[#This Row],[BVPS]]),IF(Main_L[[#This Row],[BVPS]]&lt;&gt;0,Main_L[[#This Row],[Current Price]]/Main_L[[#This Row],[BVPS]],""),"")</f>
        <v>28.723684210526311</v>
      </c>
      <c r="J14">
        <v>-40.590000000000003</v>
      </c>
      <c r="K14">
        <v>-11.16</v>
      </c>
      <c r="L14">
        <v>3.1</v>
      </c>
      <c r="M14" s="1">
        <f>IF(ISNUMBER(Main_L[[#This Row],[EPS]]),IF(Main_L[[#This Row],[EPS]]&lt;&gt;0,Main_L[[#This Row],[Current Price]]/Main_L[[#This Row],[EPS]],""),"")</f>
        <v>-57.447368421052623</v>
      </c>
      <c r="N1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4" s="1">
        <f>(Main_L[[#This Row],[P/FCF]]-VLOOKUP(Main_L[[#This Row],[Industry]], Mean_PFCF_L, 2, FALSE))/(VLOOKUP(Main_L[[#This Row],[Industry]], Mean_PFCF_L, 3, FALSE))</f>
        <v>-7.2434053328351675</v>
      </c>
      <c r="P14" s="1">
        <f>(Main_L[[#This Row],[P/B]]-VLOOKUP(Main_L[[#This Row],[Industry]], Mean_PB_L, 2, FALSE))/(VLOOKUP(Main_L[[#This Row],[Industry]], Mean_PB_L, 3, FALSE))</f>
        <v>3.3657069640066677</v>
      </c>
      <c r="Q14" s="1">
        <f>(Main_L[[#This Row],[ROE]]-VLOOKUP(Main_L[[#This Row],[Industry]], Mean_ROE_L, 2, FALSE))/(VLOOKUP(Main_L[[#This Row],[Industry]], Mean_ROE_L, 3, FALSE))</f>
        <v>-8.453683986835772</v>
      </c>
      <c r="R14" s="1">
        <f>(Main_L[[#This Row],[ROA]]-VLOOKUP(Main_L[[#This Row],[Industry]], Mean_ROA_L, 2, FALSE))/(VLOOKUP(Main_L[[#This Row],[Industry]], Mean_ROA_L, 3, FALSE))</f>
        <v>-6.430957178071683</v>
      </c>
      <c r="S14" s="1">
        <f>(Main_L[[#This Row],[A/E]]-VLOOKUP(Main_L[[#This Row],[Industry]], Mean_AE_L, 2, FALSE))/(VLOOKUP(Main_L[[#This Row],[Industry]], Mean_AE_L, 3, FALSE))</f>
        <v>1.324348331816531</v>
      </c>
      <c r="T14" s="1">
        <f>(Main_L[[#This Row],[P/E]]-VLOOKUP(Main_L[[#This Row],[Industry]], Mean_PE_L, 2, FALSE))/(VLOOKUP(Main_L[[#This Row],[Industry]], Mean_PE_L, 3, FALSE))</f>
        <v>-4.8419108552826859</v>
      </c>
      <c r="U1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1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1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1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Yes</v>
      </c>
      <c r="Y1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15" spans="1:26" x14ac:dyDescent="0.25">
      <c r="A15" t="s">
        <v>105</v>
      </c>
      <c r="B15" t="s">
        <v>118</v>
      </c>
      <c r="C15" s="2">
        <v>170334</v>
      </c>
      <c r="D15">
        <f>RTD("tos.rtd", , "LAST", Main_L[[#This Row],[Symbol]])</f>
        <v>130.72</v>
      </c>
      <c r="E15">
        <v>3.67</v>
      </c>
      <c r="F15">
        <v>46.05</v>
      </c>
      <c r="G15">
        <v>3.41</v>
      </c>
      <c r="H15" s="1">
        <f>IF(ISNUMBER(Main_L[[#This Row],[Free CF]]),IF(Main_L[[#This Row],[Free CF]]&lt;&gt;0,Main_L[[#This Row],[Current Price]]/Main_L[[#This Row],[Free CF]],""),"")</f>
        <v>35.618528610354225</v>
      </c>
      <c r="I15" s="1">
        <f>IF(ISNUMBER(Main_L[[#This Row],[BVPS]]),IF(Main_L[[#This Row],[BVPS]]&lt;&gt;0,Main_L[[#This Row],[Current Price]]/Main_L[[#This Row],[BVPS]],""),"")</f>
        <v>2.8386536373507059</v>
      </c>
      <c r="J15">
        <v>7.8</v>
      </c>
      <c r="K15">
        <v>3.47</v>
      </c>
      <c r="L15">
        <v>2.68</v>
      </c>
      <c r="M15" s="1">
        <f>IF(ISNUMBER(Main_L[[#This Row],[EPS]]),IF(Main_L[[#This Row],[EPS]]&lt;&gt;0,Main_L[[#This Row],[Current Price]]/Main_L[[#This Row],[EPS]],""),"")</f>
        <v>38.334310850439884</v>
      </c>
      <c r="N1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5" s="1">
        <f>(Main_L[[#This Row],[P/FCF]]-VLOOKUP(Main_L[[#This Row],[Industry]], Mean_PFCF_L, 2, FALSE))/(VLOOKUP(Main_L[[#This Row],[Industry]], Mean_PFCF_L, 3, FALSE))</f>
        <v>2.8055943674192556E-2</v>
      </c>
      <c r="P15" s="1">
        <f>(Main_L[[#This Row],[P/B]]-VLOOKUP(Main_L[[#This Row],[Industry]], Mean_PB_L, 2, FALSE))/(VLOOKUP(Main_L[[#This Row],[Industry]], Mean_PB_L, 3, FALSE))</f>
        <v>-0.82317832180675454</v>
      </c>
      <c r="Q15" s="1">
        <f>(Main_L[[#This Row],[ROE]]-VLOOKUP(Main_L[[#This Row],[Industry]], Mean_ROE_L, 2, FALSE))/(VLOOKUP(Main_L[[#This Row],[Industry]], Mean_ROE_L, 3, FALSE))</f>
        <v>-1.2925105773761916</v>
      </c>
      <c r="R15" s="1">
        <f>(Main_L[[#This Row],[ROA]]-VLOOKUP(Main_L[[#This Row],[Industry]], Mean_ROA_L, 2, FALSE))/(VLOOKUP(Main_L[[#This Row],[Industry]], Mean_ROA_L, 3, FALSE))</f>
        <v>-0.88959722547300724</v>
      </c>
      <c r="S15" s="1">
        <f>(Main_L[[#This Row],[A/E]]-VLOOKUP(Main_L[[#This Row],[Industry]], Mean_AE_L, 2, FALSE))/(VLOOKUP(Main_L[[#This Row],[Industry]], Mean_AE_L, 3, FALSE))</f>
        <v>0.52534922775926518</v>
      </c>
      <c r="T15" s="1">
        <f>(Main_L[[#This Row],[P/E]]-VLOOKUP(Main_L[[#This Row],[Industry]], Mean_PE_L, 2, FALSE))/(VLOOKUP(Main_L[[#This Row],[Industry]], Mean_PE_L, 3, FALSE))</f>
        <v>0.26910131880434895</v>
      </c>
      <c r="U1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6" spans="1:26" x14ac:dyDescent="0.25">
      <c r="A16" t="s">
        <v>105</v>
      </c>
      <c r="B16" t="s">
        <v>119</v>
      </c>
      <c r="C16" s="2">
        <v>77552</v>
      </c>
      <c r="D16">
        <f>RTD("tos.rtd", , "LAST", Main_L[[#This Row],[Symbol]])</f>
        <v>1415.84</v>
      </c>
      <c r="E16">
        <v>34.340000000000003</v>
      </c>
      <c r="F16">
        <v>-111.59</v>
      </c>
      <c r="G16">
        <v>28.37</v>
      </c>
      <c r="H16" s="1">
        <f>IF(ISNUMBER(Main_L[[#This Row],[Free CF]]),IF(Main_L[[#This Row],[Free CF]]&lt;&gt;0,Main_L[[#This Row],[Current Price]]/Main_L[[#This Row],[Free CF]],""),"")</f>
        <v>41.230052417006398</v>
      </c>
      <c r="I16" s="1">
        <f>IF(ISNUMBER(Main_L[[#This Row],[BVPS]]),IF(Main_L[[#This Row],[BVPS]]&lt;&gt;0,Main_L[[#This Row],[Current Price]]/Main_L[[#This Row],[BVPS]],""),"")</f>
        <v>-12.687875257639572</v>
      </c>
      <c r="J16">
        <v>-37.43</v>
      </c>
      <c r="K16">
        <v>11.23</v>
      </c>
      <c r="L16">
        <v>-3.44</v>
      </c>
      <c r="M16" s="1">
        <f>IF(ISNUMBER(Main_L[[#This Row],[EPS]]),IF(Main_L[[#This Row],[EPS]]&lt;&gt;0,Main_L[[#This Row],[Current Price]]/Main_L[[#This Row],[EPS]],""),"")</f>
        <v>49.906238984843142</v>
      </c>
      <c r="N1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6" s="1">
        <f>(Main_L[[#This Row],[P/FCF]]-VLOOKUP(Main_L[[#This Row],[Industry]], Mean_PFCF_L, 2, FALSE))/(VLOOKUP(Main_L[[#This Row],[Industry]], Mean_PFCF_L, 3, FALSE))</f>
        <v>0.34065447757203549</v>
      </c>
      <c r="P16" s="1">
        <f>(Main_L[[#This Row],[P/B]]-VLOOKUP(Main_L[[#This Row],[Industry]], Mean_PB_L, 2, FALSE))/(VLOOKUP(Main_L[[#This Row],[Industry]], Mean_PB_L, 3, FALSE))</f>
        <v>-3.3357829812496065</v>
      </c>
      <c r="Q16" s="1">
        <f>(Main_L[[#This Row],[ROE]]-VLOOKUP(Main_L[[#This Row],[Industry]], Mean_ROE_L, 2, FALSE))/(VLOOKUP(Main_L[[#This Row],[Industry]], Mean_ROE_L, 3, FALSE))</f>
        <v>-7.9860396807003662</v>
      </c>
      <c r="R16" s="1">
        <f>(Main_L[[#This Row],[ROA]]-VLOOKUP(Main_L[[#This Row],[Industry]], Mean_ROA_L, 2, FALSE))/(VLOOKUP(Main_L[[#This Row],[Industry]], Mean_ROA_L, 3, FALSE))</f>
        <v>2.0496340275800158</v>
      </c>
      <c r="S16" s="1">
        <f>(Main_L[[#This Row],[A/E]]-VLOOKUP(Main_L[[#This Row],[Industry]], Mean_AE_L, 2, FALSE))/(VLOOKUP(Main_L[[#This Row],[Industry]], Mean_AE_L, 3, FALSE))</f>
        <v>-11.117209145646612</v>
      </c>
      <c r="T16" s="1">
        <f>(Main_L[[#This Row],[P/E]]-VLOOKUP(Main_L[[#This Row],[Industry]], Mean_PE_L, 2, FALSE))/(VLOOKUP(Main_L[[#This Row],[Industry]], Mean_PE_L, 3, FALSE))</f>
        <v>0.88659169924496861</v>
      </c>
      <c r="U1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1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1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1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7" spans="1:26" x14ac:dyDescent="0.25">
      <c r="A17" t="s">
        <v>105</v>
      </c>
      <c r="B17" t="s">
        <v>120</v>
      </c>
      <c r="C17" s="2">
        <v>12638</v>
      </c>
      <c r="D17">
        <f>RTD("tos.rtd", , "LAST", Main_L[[#This Row],[Symbol]])</f>
        <v>76.52</v>
      </c>
      <c r="E17">
        <v>2.92</v>
      </c>
      <c r="F17">
        <v>40.29</v>
      </c>
      <c r="G17">
        <v>4.4400000000000004</v>
      </c>
      <c r="H17" s="1">
        <f>IF(ISNUMBER(Main_L[[#This Row],[Free CF]]),IF(Main_L[[#This Row],[Free CF]]&lt;&gt;0,Main_L[[#This Row],[Current Price]]/Main_L[[#This Row],[Free CF]],""),"")</f>
        <v>26.205479452054792</v>
      </c>
      <c r="I17" s="1">
        <f>IF(ISNUMBER(Main_L[[#This Row],[BVPS]]),IF(Main_L[[#This Row],[BVPS]]&lt;&gt;0,Main_L[[#This Row],[Current Price]]/Main_L[[#This Row],[BVPS]],""),"")</f>
        <v>1.8992305783072723</v>
      </c>
      <c r="J17">
        <v>11.7</v>
      </c>
      <c r="K17">
        <v>4.26</v>
      </c>
      <c r="L17">
        <v>2.33</v>
      </c>
      <c r="M17" s="1">
        <f>IF(ISNUMBER(Main_L[[#This Row],[EPS]]),IF(Main_L[[#This Row],[EPS]]&lt;&gt;0,Main_L[[#This Row],[Current Price]]/Main_L[[#This Row],[EPS]],""),"")</f>
        <v>17.234234234234233</v>
      </c>
      <c r="N1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7" s="1">
        <f>(Main_L[[#This Row],[P/FCF]]-VLOOKUP(Main_L[[#This Row],[Industry]], Mean_PFCF_L, 2, FALSE))/(VLOOKUP(Main_L[[#This Row],[Industry]], Mean_PFCF_L, 3, FALSE))</f>
        <v>-0.49631238617313672</v>
      </c>
      <c r="P17" s="1">
        <f>(Main_L[[#This Row],[P/B]]-VLOOKUP(Main_L[[#This Row],[Industry]], Mean_PB_L, 2, FALSE))/(VLOOKUP(Main_L[[#This Row],[Industry]], Mean_PB_L, 3, FALSE))</f>
        <v>-0.97520191776336163</v>
      </c>
      <c r="Q17" s="1">
        <f>(Main_L[[#This Row],[ROE]]-VLOOKUP(Main_L[[#This Row],[Industry]], Mean_ROE_L, 2, FALSE))/(VLOOKUP(Main_L[[#This Row],[Industry]], Mean_ROE_L, 3, FALSE))</f>
        <v>-0.7153546299305964</v>
      </c>
      <c r="R17" s="1">
        <f>(Main_L[[#This Row],[ROA]]-VLOOKUP(Main_L[[#This Row],[Industry]], Mean_ROA_L, 2, FALSE))/(VLOOKUP(Main_L[[#This Row],[Industry]], Mean_ROA_L, 3, FALSE))</f>
        <v>-0.59037136337095997</v>
      </c>
      <c r="S17" s="1">
        <f>(Main_L[[#This Row],[A/E]]-VLOOKUP(Main_L[[#This Row],[Industry]], Mean_AE_L, 2, FALSE))/(VLOOKUP(Main_L[[#This Row],[Industry]], Mean_AE_L, 3, FALSE))</f>
        <v>-0.14048335895512337</v>
      </c>
      <c r="T17" s="1">
        <f>(Main_L[[#This Row],[P/E]]-VLOOKUP(Main_L[[#This Row],[Industry]], Mean_PE_L, 2, FALSE))/(VLOOKUP(Main_L[[#This Row],[Industry]], Mean_PE_L, 3, FALSE))</f>
        <v>-0.85682118829553944</v>
      </c>
      <c r="U1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8" spans="1:26" x14ac:dyDescent="0.25">
      <c r="A18" t="s">
        <v>105</v>
      </c>
      <c r="B18" t="s">
        <v>121</v>
      </c>
      <c r="C18" s="2">
        <v>11556</v>
      </c>
      <c r="D18">
        <f>RTD("tos.rtd", , "LAST", Main_L[[#This Row],[Symbol]])</f>
        <v>203.33</v>
      </c>
      <c r="E18">
        <v>5.29</v>
      </c>
      <c r="F18">
        <v>39.229999999999997</v>
      </c>
      <c r="G18">
        <v>6.19</v>
      </c>
      <c r="H18" s="1">
        <f>IF(ISNUMBER(Main_L[[#This Row],[Free CF]]),IF(Main_L[[#This Row],[Free CF]]&lt;&gt;0,Main_L[[#This Row],[Current Price]]/Main_L[[#This Row],[Free CF]],""),"")</f>
        <v>38.436672967863899</v>
      </c>
      <c r="I18" s="1">
        <f>IF(ISNUMBER(Main_L[[#This Row],[BVPS]]),IF(Main_L[[#This Row],[BVPS]]&lt;&gt;0,Main_L[[#This Row],[Current Price]]/Main_L[[#This Row],[BVPS]],""),"")</f>
        <v>5.1830231965332665</v>
      </c>
      <c r="J18">
        <v>16.34</v>
      </c>
      <c r="K18">
        <v>6.12</v>
      </c>
      <c r="L18">
        <v>1.92</v>
      </c>
      <c r="M18" s="1">
        <f>IF(ISNUMBER(Main_L[[#This Row],[EPS]]),IF(Main_L[[#This Row],[EPS]]&lt;&gt;0,Main_L[[#This Row],[Current Price]]/Main_L[[#This Row],[EPS]],""),"")</f>
        <v>32.848142164781905</v>
      </c>
      <c r="N1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8" s="1">
        <f>(Main_L[[#This Row],[P/FCF]]-VLOOKUP(Main_L[[#This Row],[Industry]], Mean_PFCF_L, 2, FALSE))/(VLOOKUP(Main_L[[#This Row],[Industry]], Mean_PFCF_L, 3, FALSE))</f>
        <v>0.18504499421081938</v>
      </c>
      <c r="P18" s="1">
        <f>(Main_L[[#This Row],[P/B]]-VLOOKUP(Main_L[[#This Row],[Industry]], Mean_PB_L, 2, FALSE))/(VLOOKUP(Main_L[[#This Row],[Industry]], Mean_PB_L, 3, FALSE))</f>
        <v>-0.44379707583112105</v>
      </c>
      <c r="Q18" s="1">
        <f>(Main_L[[#This Row],[ROE]]-VLOOKUP(Main_L[[#This Row],[Industry]], Mean_ROE_L, 2, FALSE))/(VLOOKUP(Main_L[[#This Row],[Industry]], Mean_ROE_L, 3, FALSE))</f>
        <v>-2.8687041174810978E-2</v>
      </c>
      <c r="R18" s="1">
        <f>(Main_L[[#This Row],[ROA]]-VLOOKUP(Main_L[[#This Row],[Industry]], Mean_ROA_L, 2, FALSE))/(VLOOKUP(Main_L[[#This Row],[Industry]], Mean_ROA_L, 3, FALSE))</f>
        <v>0.11413509676803789</v>
      </c>
      <c r="S18" s="1">
        <f>(Main_L[[#This Row],[A/E]]-VLOOKUP(Main_L[[#This Row],[Industry]], Mean_AE_L, 2, FALSE))/(VLOOKUP(Main_L[[#This Row],[Industry]], Mean_AE_L, 3, FALSE))</f>
        <v>-0.92045867482054999</v>
      </c>
      <c r="T18" s="1">
        <f>(Main_L[[#This Row],[P/E]]-VLOOKUP(Main_L[[#This Row],[Industry]], Mean_PE_L, 2, FALSE))/(VLOOKUP(Main_L[[#This Row],[Industry]], Mean_PE_L, 3, FALSE))</f>
        <v>-2.3646471323804541E-2</v>
      </c>
      <c r="U1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9" spans="1:26" x14ac:dyDescent="0.25">
      <c r="A19" t="s">
        <v>223</v>
      </c>
      <c r="B19" t="s">
        <v>224</v>
      </c>
      <c r="C19" s="2">
        <v>10394</v>
      </c>
      <c r="D19">
        <f>RTD("tos.rtd", , "LAST", Main_L[[#This Row],[Symbol]])</f>
        <v>96.28</v>
      </c>
      <c r="E19">
        <v>4.83</v>
      </c>
      <c r="F19">
        <v>14.58</v>
      </c>
      <c r="G19">
        <v>4.1900000000000004</v>
      </c>
      <c r="H19" s="1">
        <f>IF(ISNUMBER(Main_L[[#This Row],[Free CF]]),IF(Main_L[[#This Row],[Free CF]]&lt;&gt;0,Main_L[[#This Row],[Current Price]]/Main_L[[#This Row],[Free CF]],""),"")</f>
        <v>19.93374741200828</v>
      </c>
      <c r="I19" s="1">
        <f>IF(ISNUMBER(Main_L[[#This Row],[BVPS]]),IF(Main_L[[#This Row],[BVPS]]&lt;&gt;0,Main_L[[#This Row],[Current Price]]/Main_L[[#This Row],[BVPS]],""),"")</f>
        <v>6.603566529492455</v>
      </c>
      <c r="J19">
        <v>32.11</v>
      </c>
      <c r="K19">
        <v>8.8699999999999992</v>
      </c>
      <c r="L19">
        <v>3.01</v>
      </c>
      <c r="M19" s="1">
        <f>IF(ISNUMBER(Main_L[[#This Row],[EPS]]),IF(Main_L[[#This Row],[EPS]]&lt;&gt;0,Main_L[[#This Row],[Current Price]]/Main_L[[#This Row],[EPS]],""),"")</f>
        <v>22.978520286396179</v>
      </c>
      <c r="N1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9" s="1">
        <f>(Main_L[[#This Row],[P/FCF]]-VLOOKUP(Main_L[[#This Row],[Industry]], Mean_PFCF_L, 2, FALSE))/(VLOOKUP(Main_L[[#This Row],[Industry]], Mean_PFCF_L, 3, FALSE))</f>
        <v>0.28206396577766119</v>
      </c>
      <c r="P19" s="1">
        <f>(Main_L[[#This Row],[P/B]]-VLOOKUP(Main_L[[#This Row],[Industry]], Mean_PB_L, 2, FALSE))/(VLOOKUP(Main_L[[#This Row],[Industry]], Mean_PB_L, 3, FALSE))</f>
        <v>0.882740116762608</v>
      </c>
      <c r="Q19" s="1">
        <f>(Main_L[[#This Row],[ROE]]-VLOOKUP(Main_L[[#This Row],[Industry]], Mean_ROE_L, 2, FALSE))/(VLOOKUP(Main_L[[#This Row],[Industry]], Mean_ROE_L, 3, FALSE))</f>
        <v>0.57592901803610252</v>
      </c>
      <c r="R19" s="1">
        <f>(Main_L[[#This Row],[ROA]]-VLOOKUP(Main_L[[#This Row],[Industry]], Mean_ROA_L, 2, FALSE))/(VLOOKUP(Main_L[[#This Row],[Industry]], Mean_ROA_L, 3, FALSE))</f>
        <v>1.2051221972448602</v>
      </c>
      <c r="S19" s="1">
        <f>(Main_L[[#This Row],[A/E]]-VLOOKUP(Main_L[[#This Row],[Industry]], Mean_AE_L, 2, FALSE))/(VLOOKUP(Main_L[[#This Row],[Industry]], Mean_AE_L, 3, FALSE))</f>
        <v>0.17558554432286627</v>
      </c>
      <c r="T19" s="1">
        <f>(Main_L[[#This Row],[P/E]]-VLOOKUP(Main_L[[#This Row],[Industry]], Mean_PE_L, 2, FALSE))/(VLOOKUP(Main_L[[#This Row],[Industry]], Mean_PE_L, 3, FALSE))</f>
        <v>1.5736072540803971</v>
      </c>
      <c r="U1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0" spans="1:26" x14ac:dyDescent="0.25">
      <c r="A20" t="s">
        <v>223</v>
      </c>
      <c r="B20" t="s">
        <v>225</v>
      </c>
      <c r="C20" s="2">
        <v>14876</v>
      </c>
      <c r="D20">
        <f>RTD("tos.rtd", , "LAST", Main_L[[#This Row],[Symbol]])</f>
        <v>115.31</v>
      </c>
      <c r="E20">
        <v>4.84</v>
      </c>
      <c r="F20">
        <v>16.11</v>
      </c>
      <c r="G20">
        <v>5.72</v>
      </c>
      <c r="H20" s="1">
        <f>IF(ISNUMBER(Main_L[[#This Row],[Free CF]]),IF(Main_L[[#This Row],[Free CF]]&lt;&gt;0,Main_L[[#This Row],[Current Price]]/Main_L[[#This Row],[Free CF]],""),"")</f>
        <v>23.824380165289256</v>
      </c>
      <c r="I20" s="1">
        <f>IF(ISNUMBER(Main_L[[#This Row],[BVPS]]),IF(Main_L[[#This Row],[BVPS]]&lt;&gt;0,Main_L[[#This Row],[Current Price]]/Main_L[[#This Row],[BVPS]],""),"")</f>
        <v>7.157666045934203</v>
      </c>
      <c r="J20">
        <v>35.159999999999997</v>
      </c>
      <c r="K20">
        <v>14.03</v>
      </c>
      <c r="L20">
        <v>2.14</v>
      </c>
      <c r="M20" s="1">
        <f>IF(ISNUMBER(Main_L[[#This Row],[EPS]]),IF(Main_L[[#This Row],[EPS]]&lt;&gt;0,Main_L[[#This Row],[Current Price]]/Main_L[[#This Row],[EPS]],""),"")</f>
        <v>20.15909090909091</v>
      </c>
      <c r="N2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0" s="1">
        <f>(Main_L[[#This Row],[P/FCF]]-VLOOKUP(Main_L[[#This Row],[Industry]], Mean_PFCF_L, 2, FALSE))/(VLOOKUP(Main_L[[#This Row],[Industry]], Mean_PFCF_L, 3, FALSE))</f>
        <v>1.6335490856435624</v>
      </c>
      <c r="P20" s="1">
        <f>(Main_L[[#This Row],[P/B]]-VLOOKUP(Main_L[[#This Row],[Industry]], Mean_PB_L, 2, FALSE))/(VLOOKUP(Main_L[[#This Row],[Industry]], Mean_PB_L, 3, FALSE))</f>
        <v>1.1266550115619611</v>
      </c>
      <c r="Q20" s="1">
        <f>(Main_L[[#This Row],[ROE]]-VLOOKUP(Main_L[[#This Row],[Industry]], Mean_ROE_L, 2, FALSE))/(VLOOKUP(Main_L[[#This Row],[Industry]], Mean_ROE_L, 3, FALSE))</f>
        <v>0.88793319299349349</v>
      </c>
      <c r="R20" s="1">
        <f>(Main_L[[#This Row],[ROA]]-VLOOKUP(Main_L[[#This Row],[Industry]], Mean_ROA_L, 2, FALSE))/(VLOOKUP(Main_L[[#This Row],[Industry]], Mean_ROA_L, 3, FALSE))</f>
        <v>9.6848002033132499</v>
      </c>
      <c r="S20" s="1">
        <f>(Main_L[[#This Row],[A/E]]-VLOOKUP(Main_L[[#This Row],[Industry]], Mean_AE_L, 2, FALSE))/(VLOOKUP(Main_L[[#This Row],[Industry]], Mean_AE_L, 3, FALSE))</f>
        <v>-0.7125506391707026</v>
      </c>
      <c r="T20" s="1">
        <f>(Main_L[[#This Row],[P/E]]-VLOOKUP(Main_L[[#This Row],[Industry]], Mean_PE_L, 2, FALSE))/(VLOOKUP(Main_L[[#This Row],[Industry]], Mean_PE_L, 3, FALSE))</f>
        <v>0.72694443593474267</v>
      </c>
      <c r="U2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Yes</v>
      </c>
      <c r="Y2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1" spans="1:26" x14ac:dyDescent="0.25">
      <c r="A21" t="s">
        <v>223</v>
      </c>
      <c r="B21" t="s">
        <v>226</v>
      </c>
      <c r="C21" s="2">
        <v>51648</v>
      </c>
      <c r="D21">
        <f>RTD("tos.rtd", , "LAST", Main_L[[#This Row],[Symbol]])</f>
        <v>231.15</v>
      </c>
      <c r="E21">
        <v>14.13</v>
      </c>
      <c r="F21">
        <v>111.28</v>
      </c>
      <c r="G21">
        <v>15.95</v>
      </c>
      <c r="H21" s="1">
        <f>IF(ISNUMBER(Main_L[[#This Row],[Free CF]]),IF(Main_L[[#This Row],[Free CF]]&lt;&gt;0,Main_L[[#This Row],[Current Price]]/Main_L[[#This Row],[Free CF]],""),"")</f>
        <v>16.358811040339702</v>
      </c>
      <c r="I21" s="1">
        <f>IF(ISNUMBER(Main_L[[#This Row],[BVPS]]),IF(Main_L[[#This Row],[BVPS]]&lt;&gt;0,Main_L[[#This Row],[Current Price]]/Main_L[[#This Row],[BVPS]],""),"")</f>
        <v>2.0771926671459382</v>
      </c>
      <c r="J21">
        <v>14.76</v>
      </c>
      <c r="K21">
        <v>4.88</v>
      </c>
      <c r="L21">
        <v>3.18</v>
      </c>
      <c r="M21" s="1">
        <f>IF(ISNUMBER(Main_L[[#This Row],[EPS]]),IF(Main_L[[#This Row],[EPS]]&lt;&gt;0,Main_L[[#This Row],[Current Price]]/Main_L[[#This Row],[EPS]],""),"")</f>
        <v>14.49216300940439</v>
      </c>
      <c r="N2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1" s="1">
        <f>(Main_L[[#This Row],[P/FCF]]-VLOOKUP(Main_L[[#This Row],[Industry]], Mean_PFCF_L, 2, FALSE))/(VLOOKUP(Main_L[[#This Row],[Industry]], Mean_PFCF_L, 3, FALSE))</f>
        <v>-0.95975802492631634</v>
      </c>
      <c r="P21" s="1">
        <f>(Main_L[[#This Row],[P/B]]-VLOOKUP(Main_L[[#This Row],[Industry]], Mean_PB_L, 2, FALSE))/(VLOOKUP(Main_L[[#This Row],[Industry]], Mean_PB_L, 3, FALSE))</f>
        <v>-1.1097720073169317</v>
      </c>
      <c r="Q21" s="1">
        <f>(Main_L[[#This Row],[ROE]]-VLOOKUP(Main_L[[#This Row],[Industry]], Mean_ROE_L, 2, FALSE))/(VLOOKUP(Main_L[[#This Row],[Industry]], Mean_ROE_L, 3, FALSE))</f>
        <v>-1.1989144034428283</v>
      </c>
      <c r="R21" s="1">
        <f>(Main_L[[#This Row],[ROA]]-VLOOKUP(Main_L[[#This Row],[Industry]], Mean_ROA_L, 2, FALSE))/(VLOOKUP(Main_L[[#This Row],[Industry]], Mean_ROA_L, 3, FALSE))</f>
        <v>-5.3518381214010446</v>
      </c>
      <c r="S21" s="1">
        <f>(Main_L[[#This Row],[A/E]]-VLOOKUP(Main_L[[#This Row],[Industry]], Mean_AE_L, 2, FALSE))/(VLOOKUP(Main_L[[#This Row],[Industry]], Mean_AE_L, 3, FALSE))</f>
        <v>0.34912939626988593</v>
      </c>
      <c r="T21" s="1">
        <f>(Main_L[[#This Row],[P/E]]-VLOOKUP(Main_L[[#This Row],[Industry]], Mean_PE_L, 2, FALSE))/(VLOOKUP(Main_L[[#This Row],[Industry]], Mean_PE_L, 3, FALSE))</f>
        <v>-0.97481024690912943</v>
      </c>
      <c r="U2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Yes</v>
      </c>
      <c r="Y2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2" spans="1:26" x14ac:dyDescent="0.25">
      <c r="A22" t="s">
        <v>223</v>
      </c>
      <c r="B22" t="s">
        <v>227</v>
      </c>
      <c r="C22" s="2">
        <v>79634</v>
      </c>
      <c r="D22">
        <f>RTD("tos.rtd", , "LAST", Main_L[[#This Row],[Symbol]])</f>
        <v>99.81</v>
      </c>
      <c r="E22">
        <v>6.3</v>
      </c>
      <c r="F22">
        <v>18.420000000000002</v>
      </c>
      <c r="G22">
        <v>6.85</v>
      </c>
      <c r="H22" s="1">
        <f>IF(ISNUMBER(Main_L[[#This Row],[Free CF]]),IF(Main_L[[#This Row],[Free CF]]&lt;&gt;0,Main_L[[#This Row],[Current Price]]/Main_L[[#This Row],[Free CF]],""),"")</f>
        <v>15.842857142857143</v>
      </c>
      <c r="I22" s="1">
        <f>IF(ISNUMBER(Main_L[[#This Row],[BVPS]]),IF(Main_L[[#This Row],[BVPS]]&lt;&gt;0,Main_L[[#This Row],[Current Price]]/Main_L[[#This Row],[BVPS]],""),"")</f>
        <v>5.4185667752442992</v>
      </c>
      <c r="J22">
        <v>35.909999999999997</v>
      </c>
      <c r="K22">
        <v>7.38</v>
      </c>
      <c r="L22">
        <v>4.37</v>
      </c>
      <c r="M22" s="1">
        <f>IF(ISNUMBER(Main_L[[#This Row],[EPS]]),IF(Main_L[[#This Row],[EPS]]&lt;&gt;0,Main_L[[#This Row],[Current Price]]/Main_L[[#This Row],[EPS]],""),"")</f>
        <v>14.570802919708031</v>
      </c>
      <c r="N2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2" s="1">
        <f>(Main_L[[#This Row],[P/FCF]]-VLOOKUP(Main_L[[#This Row],[Industry]], Mean_PFCF_L, 2, FALSE))/(VLOOKUP(Main_L[[#This Row],[Industry]], Mean_PFCF_L, 3, FALSE))</f>
        <v>-1.1389844025371196</v>
      </c>
      <c r="P22" s="1">
        <f>(Main_L[[#This Row],[P/B]]-VLOOKUP(Main_L[[#This Row],[Industry]], Mean_PB_L, 2, FALSE))/(VLOOKUP(Main_L[[#This Row],[Industry]], Mean_PB_L, 3, FALSE))</f>
        <v>0.36110260974795444</v>
      </c>
      <c r="Q22" s="1">
        <f>(Main_L[[#This Row],[ROE]]-VLOOKUP(Main_L[[#This Row],[Industry]], Mean_ROE_L, 2, FALSE))/(VLOOKUP(Main_L[[#This Row],[Industry]], Mean_ROE_L, 3, FALSE))</f>
        <v>0.96465553109777002</v>
      </c>
      <c r="R22" s="1">
        <f>(Main_L[[#This Row],[ROA]]-VLOOKUP(Main_L[[#This Row],[Industry]], Mean_ROA_L, 2, FALSE))/(VLOOKUP(Main_L[[#This Row],[Industry]], Mean_ROA_L, 3, FALSE))</f>
        <v>-1.2434669944299257</v>
      </c>
      <c r="S22" s="1">
        <f>(Main_L[[#This Row],[A/E]]-VLOOKUP(Main_L[[#This Row],[Industry]], Mean_AE_L, 2, FALSE))/(VLOOKUP(Main_L[[#This Row],[Industry]], Mean_AE_L, 3, FALSE))</f>
        <v>1.5639363598990208</v>
      </c>
      <c r="T22" s="1">
        <f>(Main_L[[#This Row],[P/E]]-VLOOKUP(Main_L[[#This Row],[Industry]], Mean_PE_L, 2, FALSE))/(VLOOKUP(Main_L[[#This Row],[Industry]], Mean_PE_L, 3, FALSE))</f>
        <v>-0.95119501163764375</v>
      </c>
      <c r="U2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3" spans="1:26" x14ac:dyDescent="0.25">
      <c r="A23" t="s">
        <v>223</v>
      </c>
      <c r="B23" t="s">
        <v>228</v>
      </c>
      <c r="C23" s="2">
        <v>15079</v>
      </c>
      <c r="D23">
        <f>RTD("tos.rtd", , "LAST", Main_L[[#This Row],[Symbol]])</f>
        <v>18.47</v>
      </c>
      <c r="E23">
        <v>0.94</v>
      </c>
      <c r="F23">
        <v>10.65</v>
      </c>
      <c r="G23">
        <v>1.1200000000000001</v>
      </c>
      <c r="H23" s="1">
        <f>IF(ISNUMBER(Main_L[[#This Row],[Free CF]]),IF(Main_L[[#This Row],[Free CF]]&lt;&gt;0,Main_L[[#This Row],[Current Price]]/Main_L[[#This Row],[Free CF]],""),"")</f>
        <v>19.648936170212767</v>
      </c>
      <c r="I23" s="1">
        <f>IF(ISNUMBER(Main_L[[#This Row],[BVPS]]),IF(Main_L[[#This Row],[BVPS]]&lt;&gt;0,Main_L[[#This Row],[Current Price]]/Main_L[[#This Row],[BVPS]],""),"")</f>
        <v>1.7342723004694833</v>
      </c>
      <c r="J23">
        <v>14.46</v>
      </c>
      <c r="K23">
        <v>8.16</v>
      </c>
      <c r="L23">
        <v>1.49</v>
      </c>
      <c r="M23" s="1">
        <f>IF(ISNUMBER(Main_L[[#This Row],[EPS]]),IF(Main_L[[#This Row],[EPS]]&lt;&gt;0,Main_L[[#This Row],[Current Price]]/Main_L[[#This Row],[EPS]],""),"")</f>
        <v>16.491071428571427</v>
      </c>
      <c r="N2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3" s="1">
        <f>(Main_L[[#This Row],[P/FCF]]-VLOOKUP(Main_L[[#This Row],[Industry]], Mean_PFCF_L, 2, FALSE))/(VLOOKUP(Main_L[[#This Row],[Industry]], Mean_PFCF_L, 3, FALSE))</f>
        <v>0.18312937604220927</v>
      </c>
      <c r="P23" s="1">
        <f>(Main_L[[#This Row],[P/B]]-VLOOKUP(Main_L[[#This Row],[Industry]], Mean_PB_L, 2, FALSE))/(VLOOKUP(Main_L[[#This Row],[Industry]], Mean_PB_L, 3, FALSE))</f>
        <v>-1.2607257307555924</v>
      </c>
      <c r="Q23" s="1">
        <f>(Main_L[[#This Row],[ROE]]-VLOOKUP(Main_L[[#This Row],[Industry]], Mean_ROE_L, 2, FALSE))/(VLOOKUP(Main_L[[#This Row],[Industry]], Mean_ROE_L, 3, FALSE))</f>
        <v>-1.2296033386845386</v>
      </c>
      <c r="R23" s="1">
        <f>(Main_L[[#This Row],[ROA]]-VLOOKUP(Main_L[[#This Row],[Industry]], Mean_ROA_L, 2, FALSE))/(VLOOKUP(Main_L[[#This Row],[Industry]], Mean_ROA_L, 3, FALSE))</f>
        <v>3.8344797185063936E-2</v>
      </c>
      <c r="S23" s="1">
        <f>(Main_L[[#This Row],[A/E]]-VLOOKUP(Main_L[[#This Row],[Industry]], Mean_AE_L, 2, FALSE))/(VLOOKUP(Main_L[[#This Row],[Industry]], Mean_AE_L, 3, FALSE))</f>
        <v>-1.3761006613210707</v>
      </c>
      <c r="T23" s="1">
        <f>(Main_L[[#This Row],[P/E]]-VLOOKUP(Main_L[[#This Row],[Industry]], Mean_PE_L, 2, FALSE))/(VLOOKUP(Main_L[[#This Row],[Industry]], Mean_PE_L, 3, FALSE))</f>
        <v>-0.37454643146836519</v>
      </c>
      <c r="U2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4" spans="1:26" x14ac:dyDescent="0.25">
      <c r="A24" t="s">
        <v>122</v>
      </c>
      <c r="B24" t="s">
        <v>124</v>
      </c>
      <c r="C24" s="2">
        <v>12067</v>
      </c>
      <c r="D24">
        <f>RTD("tos.rtd", , "LAST", Main_L[[#This Row],[Symbol]])</f>
        <v>142.85</v>
      </c>
      <c r="E24">
        <v>7.39</v>
      </c>
      <c r="F24">
        <v>18.670000000000002</v>
      </c>
      <c r="G24">
        <v>7.12</v>
      </c>
      <c r="H24" s="1">
        <f>IF(ISNUMBER(Main_L[[#This Row],[Free CF]]),IF(Main_L[[#This Row],[Free CF]]&lt;&gt;0,Main_L[[#This Row],[Current Price]]/Main_L[[#This Row],[Free CF]],""),"")</f>
        <v>19.330175913396481</v>
      </c>
      <c r="I24" s="1">
        <f>IF(ISNUMBER(Main_L[[#This Row],[BVPS]]),IF(Main_L[[#This Row],[BVPS]]&lt;&gt;0,Main_L[[#This Row],[Current Price]]/Main_L[[#This Row],[BVPS]],""),"")</f>
        <v>7.651312265666844</v>
      </c>
      <c r="J24">
        <v>42.05</v>
      </c>
      <c r="K24">
        <v>11.53</v>
      </c>
      <c r="L24">
        <v>2.84</v>
      </c>
      <c r="M24" s="1">
        <f>IF(ISNUMBER(Main_L[[#This Row],[EPS]]),IF(Main_L[[#This Row],[EPS]]&lt;&gt;0,Main_L[[#This Row],[Current Price]]/Main_L[[#This Row],[EPS]],""),"")</f>
        <v>20.063202247191011</v>
      </c>
      <c r="N2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4" s="1">
        <f>(Main_L[[#This Row],[P/FCF]]-VLOOKUP(Main_L[[#This Row],[Industry]], Mean_PFCF_L, 2, FALSE))/(VLOOKUP(Main_L[[#This Row],[Industry]], Mean_PFCF_L, 3, FALSE))</f>
        <v>-0.2898677739246619</v>
      </c>
      <c r="P24" s="1">
        <f>(Main_L[[#This Row],[P/B]]-VLOOKUP(Main_L[[#This Row],[Industry]], Mean_PB_L, 2, FALSE))/(VLOOKUP(Main_L[[#This Row],[Industry]], Mean_PB_L, 3, FALSE))</f>
        <v>0.47915332460904164</v>
      </c>
      <c r="Q24" s="1">
        <f>(Main_L[[#This Row],[ROE]]-VLOOKUP(Main_L[[#This Row],[Industry]], Mean_ROE_L, 2, FALSE))/(VLOOKUP(Main_L[[#This Row],[Industry]], Mean_ROE_L, 3, FALSE))</f>
        <v>1.4134044947798639</v>
      </c>
      <c r="R24" s="1">
        <f>(Main_L[[#This Row],[ROA]]-VLOOKUP(Main_L[[#This Row],[Industry]], Mean_ROA_L, 2, FALSE))/(VLOOKUP(Main_L[[#This Row],[Industry]], Mean_ROA_L, 3, FALSE))</f>
        <v>0.56438570417736478</v>
      </c>
      <c r="S24" s="1">
        <f>(Main_L[[#This Row],[A/E]]-VLOOKUP(Main_L[[#This Row],[Industry]], Mean_AE_L, 2, FALSE))/(VLOOKUP(Main_L[[#This Row],[Industry]], Mean_AE_L, 3, FALSE))</f>
        <v>1.7044085882145303</v>
      </c>
      <c r="T24" s="1">
        <f>(Main_L[[#This Row],[P/E]]-VLOOKUP(Main_L[[#This Row],[Industry]], Mean_PE_L, 2, FALSE))/(VLOOKUP(Main_L[[#This Row],[Industry]], Mean_PE_L, 3, FALSE))</f>
        <v>-0.68504314807107392</v>
      </c>
      <c r="U2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5" spans="1:26" x14ac:dyDescent="0.25">
      <c r="A25" t="s">
        <v>122</v>
      </c>
      <c r="B25" t="s">
        <v>126</v>
      </c>
      <c r="C25" s="2">
        <v>11713</v>
      </c>
      <c r="D25">
        <f>RTD("tos.rtd", , "LAST", Main_L[[#This Row],[Symbol]])</f>
        <v>123.81</v>
      </c>
      <c r="E25">
        <v>11.21</v>
      </c>
      <c r="F25">
        <v>38.46</v>
      </c>
      <c r="G25">
        <v>7.84</v>
      </c>
      <c r="H25" s="1">
        <f>IF(ISNUMBER(Main_L[[#This Row],[Free CF]]),IF(Main_L[[#This Row],[Free CF]]&lt;&gt;0,Main_L[[#This Row],[Current Price]]/Main_L[[#This Row],[Free CF]],""),"")</f>
        <v>11.044603033006243</v>
      </c>
      <c r="I25" s="1">
        <f>IF(ISNUMBER(Main_L[[#This Row],[BVPS]]),IF(Main_L[[#This Row],[BVPS]]&lt;&gt;0,Main_L[[#This Row],[Current Price]]/Main_L[[#This Row],[BVPS]],""),"")</f>
        <v>3.219188767550702</v>
      </c>
      <c r="J25">
        <v>19.62</v>
      </c>
      <c r="K25">
        <v>7.77</v>
      </c>
      <c r="L25">
        <v>2.62</v>
      </c>
      <c r="M25" s="1">
        <f>IF(ISNUMBER(Main_L[[#This Row],[EPS]]),IF(Main_L[[#This Row],[EPS]]&lt;&gt;0,Main_L[[#This Row],[Current Price]]/Main_L[[#This Row],[EPS]],""),"")</f>
        <v>15.792091836734695</v>
      </c>
      <c r="N2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YES</v>
      </c>
      <c r="O25" s="1">
        <f>(Main_L[[#This Row],[P/FCF]]-VLOOKUP(Main_L[[#This Row],[Industry]], Mean_PFCF_L, 2, FALSE))/(VLOOKUP(Main_L[[#This Row],[Industry]], Mean_PFCF_L, 3, FALSE))</f>
        <v>-1.292688851503256</v>
      </c>
      <c r="P25" s="1">
        <f>(Main_L[[#This Row],[P/B]]-VLOOKUP(Main_L[[#This Row],[Industry]], Mean_PB_L, 2, FALSE))/(VLOOKUP(Main_L[[#This Row],[Industry]], Mean_PB_L, 3, FALSE))</f>
        <v>-0.86060705567830542</v>
      </c>
      <c r="Q25" s="1">
        <f>(Main_L[[#This Row],[ROE]]-VLOOKUP(Main_L[[#This Row],[Industry]], Mean_ROE_L, 2, FALSE))/(VLOOKUP(Main_L[[#This Row],[Industry]], Mean_ROE_L, 3, FALSE))</f>
        <v>-0.30662836621367562</v>
      </c>
      <c r="R25" s="1">
        <f>(Main_L[[#This Row],[ROA]]-VLOOKUP(Main_L[[#This Row],[Industry]], Mean_ROA_L, 2, FALSE))/(VLOOKUP(Main_L[[#This Row],[Industry]], Mean_ROA_L, 3, FALSE))</f>
        <v>-0.37355473679805645</v>
      </c>
      <c r="S25" s="1">
        <f>(Main_L[[#This Row],[A/E]]-VLOOKUP(Main_L[[#This Row],[Industry]], Mean_AE_L, 2, FALSE))/(VLOOKUP(Main_L[[#This Row],[Industry]], Mean_AE_L, 3, FALSE))</f>
        <v>-0.55834074441511139</v>
      </c>
      <c r="T25" s="1">
        <f>(Main_L[[#This Row],[P/E]]-VLOOKUP(Main_L[[#This Row],[Industry]], Mean_PE_L, 2, FALSE))/(VLOOKUP(Main_L[[#This Row],[Industry]], Mean_PE_L, 3, FALSE))</f>
        <v>-1.0516224722291216</v>
      </c>
      <c r="U2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6" spans="1:26" x14ac:dyDescent="0.25">
      <c r="A26" t="s">
        <v>122</v>
      </c>
      <c r="B26" t="s">
        <v>127</v>
      </c>
      <c r="C26" s="2">
        <v>60003</v>
      </c>
      <c r="D26">
        <f>RTD("tos.rtd", , "LAST", Main_L[[#This Row],[Symbol]])</f>
        <v>74.650000000000006</v>
      </c>
      <c r="E26">
        <v>0.59</v>
      </c>
      <c r="F26">
        <v>16.11</v>
      </c>
      <c r="G26">
        <v>1.5</v>
      </c>
      <c r="H26" s="1">
        <f>IF(ISNUMBER(Main_L[[#This Row],[Free CF]]),IF(Main_L[[#This Row],[Free CF]]&lt;&gt;0,Main_L[[#This Row],[Current Price]]/Main_L[[#This Row],[Free CF]],""),"")</f>
        <v>126.52542372881358</v>
      </c>
      <c r="I26" s="1">
        <f>IF(ISNUMBER(Main_L[[#This Row],[BVPS]]),IF(Main_L[[#This Row],[BVPS]]&lt;&gt;0,Main_L[[#This Row],[Current Price]]/Main_L[[#This Row],[BVPS]],""),"")</f>
        <v>4.6337678460583493</v>
      </c>
      <c r="J26">
        <v>11.12</v>
      </c>
      <c r="K26">
        <v>3.24</v>
      </c>
      <c r="L26">
        <v>2.63</v>
      </c>
      <c r="M26" s="1">
        <f>IF(ISNUMBER(Main_L[[#This Row],[EPS]]),IF(Main_L[[#This Row],[EPS]]&lt;&gt;0,Main_L[[#This Row],[Current Price]]/Main_L[[#This Row],[EPS]],""),"")</f>
        <v>49.766666666666673</v>
      </c>
      <c r="N2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6" s="1">
        <f>(Main_L[[#This Row],[P/FCF]]-VLOOKUP(Main_L[[#This Row],[Industry]], Mean_PFCF_L, 2, FALSE))/(VLOOKUP(Main_L[[#This Row],[Industry]], Mean_PFCF_L, 3, FALSE))</f>
        <v>12.684208427852473</v>
      </c>
      <c r="P26" s="1">
        <f>(Main_L[[#This Row],[P/B]]-VLOOKUP(Main_L[[#This Row],[Industry]], Mean_PB_L, 2, FALSE))/(VLOOKUP(Main_L[[#This Row],[Industry]], Mean_PB_L, 3, FALSE))</f>
        <v>-0.433002318361424</v>
      </c>
      <c r="Q26" s="1">
        <f>(Main_L[[#This Row],[ROE]]-VLOOKUP(Main_L[[#This Row],[Industry]], Mean_ROE_L, 2, FALSE))/(VLOOKUP(Main_L[[#This Row],[Industry]], Mean_ROE_L, 3, FALSE))</f>
        <v>-0.95844643658572604</v>
      </c>
      <c r="R26" s="1">
        <f>(Main_L[[#This Row],[ROA]]-VLOOKUP(Main_L[[#This Row],[Industry]], Mean_ROA_L, 2, FALSE))/(VLOOKUP(Main_L[[#This Row],[Industry]], Mean_ROA_L, 3, FALSE))</f>
        <v>-1.5035734063774868</v>
      </c>
      <c r="S26" s="1">
        <f>(Main_L[[#This Row],[A/E]]-VLOOKUP(Main_L[[#This Row],[Industry]], Mean_AE_L, 2, FALSE))/(VLOOKUP(Main_L[[#This Row],[Industry]], Mean_AE_L, 3, FALSE))</f>
        <v>-0.45548850202285707</v>
      </c>
      <c r="T26" s="1">
        <f>(Main_L[[#This Row],[P/E]]-VLOOKUP(Main_L[[#This Row],[Industry]], Mean_PE_L, 2, FALSE))/(VLOOKUP(Main_L[[#This Row],[Industry]], Mean_PE_L, 3, FALSE))</f>
        <v>1.8643350851365952</v>
      </c>
      <c r="U2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2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7" spans="1:26" x14ac:dyDescent="0.25">
      <c r="A27" t="s">
        <v>122</v>
      </c>
      <c r="B27" t="s">
        <v>128</v>
      </c>
      <c r="C27" s="2">
        <v>16625</v>
      </c>
      <c r="D27">
        <f>RTD("tos.rtd", , "LAST", Main_L[[#This Row],[Symbol]])</f>
        <v>400.39</v>
      </c>
      <c r="E27">
        <v>17.02</v>
      </c>
      <c r="F27">
        <v>50.15</v>
      </c>
      <c r="G27">
        <v>18.05</v>
      </c>
      <c r="H27" s="1">
        <f>IF(ISNUMBER(Main_L[[#This Row],[Free CF]]),IF(Main_L[[#This Row],[Free CF]]&lt;&gt;0,Main_L[[#This Row],[Current Price]]/Main_L[[#This Row],[Free CF]],""),"")</f>
        <v>23.524676850763807</v>
      </c>
      <c r="I27" s="1">
        <f>IF(ISNUMBER(Main_L[[#This Row],[BVPS]]),IF(Main_L[[#This Row],[BVPS]]&lt;&gt;0,Main_L[[#This Row],[Current Price]]/Main_L[[#This Row],[BVPS]],""),"")</f>
        <v>7.9838484546360915</v>
      </c>
      <c r="J27">
        <v>33.200000000000003</v>
      </c>
      <c r="K27">
        <v>11.14</v>
      </c>
      <c r="L27">
        <v>2.52</v>
      </c>
      <c r="M27" s="1">
        <f>IF(ISNUMBER(Main_L[[#This Row],[EPS]]),IF(Main_L[[#This Row],[EPS]]&lt;&gt;0,Main_L[[#This Row],[Current Price]]/Main_L[[#This Row],[EPS]],""),"")</f>
        <v>22.182271468144041</v>
      </c>
      <c r="N2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7" s="1">
        <f>(Main_L[[#This Row],[P/FCF]]-VLOOKUP(Main_L[[#This Row],[Industry]], Mean_PFCF_L, 2, FALSE))/(VLOOKUP(Main_L[[#This Row],[Industry]], Mean_PFCF_L, 3, FALSE))</f>
        <v>0.21780188400211911</v>
      </c>
      <c r="P27" s="1">
        <f>(Main_L[[#This Row],[P/B]]-VLOOKUP(Main_L[[#This Row],[Industry]], Mean_PB_L, 2, FALSE))/(VLOOKUP(Main_L[[#This Row],[Industry]], Mean_PB_L, 3, FALSE))</f>
        <v>0.57967372102446424</v>
      </c>
      <c r="Q27" s="1">
        <f>(Main_L[[#This Row],[ROE]]-VLOOKUP(Main_L[[#This Row],[Industry]], Mean_ROE_L, 2, FALSE))/(VLOOKUP(Main_L[[#This Row],[Industry]], Mean_ROE_L, 3, FALSE))</f>
        <v>0.734746856804259</v>
      </c>
      <c r="R27" s="1">
        <f>(Main_L[[#This Row],[ROA]]-VLOOKUP(Main_L[[#This Row],[Industry]], Mean_ROA_L, 2, FALSE))/(VLOOKUP(Main_L[[#This Row],[Industry]], Mean_ROA_L, 3, FALSE))</f>
        <v>0.46709932865065917</v>
      </c>
      <c r="S27" s="1">
        <f>(Main_L[[#This Row],[A/E]]-VLOOKUP(Main_L[[#This Row],[Industry]], Mean_AE_L, 2, FALSE))/(VLOOKUP(Main_L[[#This Row],[Industry]], Mean_AE_L, 3, FALSE))</f>
        <v>-1.5868631683376779</v>
      </c>
      <c r="T27" s="1">
        <f>(Main_L[[#This Row],[P/E]]-VLOOKUP(Main_L[[#This Row],[Industry]], Mean_PE_L, 2, FALSE))/(VLOOKUP(Main_L[[#This Row],[Industry]], Mean_PE_L, 3, FALSE))</f>
        <v>-0.50316843910561548</v>
      </c>
      <c r="U2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8" spans="1:26" x14ac:dyDescent="0.25">
      <c r="A28" t="s">
        <v>122</v>
      </c>
      <c r="B28" t="s">
        <v>129</v>
      </c>
      <c r="C28" s="2">
        <v>59247</v>
      </c>
      <c r="D28">
        <f>RTD("tos.rtd", , "LAST", Main_L[[#This Row],[Symbol]])</f>
        <v>96.06</v>
      </c>
      <c r="E28">
        <v>3.08</v>
      </c>
      <c r="F28">
        <v>24.07</v>
      </c>
      <c r="G28">
        <v>2.13</v>
      </c>
      <c r="H28" s="1">
        <f>IF(ISNUMBER(Main_L[[#This Row],[Free CF]]),IF(Main_L[[#This Row],[Free CF]]&lt;&gt;0,Main_L[[#This Row],[Current Price]]/Main_L[[#This Row],[Free CF]],""),"")</f>
        <v>31.188311688311689</v>
      </c>
      <c r="I28" s="1">
        <f>IF(ISNUMBER(Main_L[[#This Row],[BVPS]]),IF(Main_L[[#This Row],[BVPS]]&lt;&gt;0,Main_L[[#This Row],[Current Price]]/Main_L[[#This Row],[BVPS]],""),"")</f>
        <v>3.9908599916909018</v>
      </c>
      <c r="J28">
        <v>8.18</v>
      </c>
      <c r="K28">
        <v>3.69</v>
      </c>
      <c r="L28">
        <v>2.65</v>
      </c>
      <c r="M28" s="1">
        <f>IF(ISNUMBER(Main_L[[#This Row],[EPS]]),IF(Main_L[[#This Row],[EPS]]&lt;&gt;0,Main_L[[#This Row],[Current Price]]/Main_L[[#This Row],[EPS]],""),"")</f>
        <v>45.098591549295776</v>
      </c>
      <c r="N2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8" s="1">
        <f>(Main_L[[#This Row],[P/FCF]]-VLOOKUP(Main_L[[#This Row],[Industry]], Mean_PFCF_L, 2, FALSE))/(VLOOKUP(Main_L[[#This Row],[Industry]], Mean_PFCF_L, 3, FALSE))</f>
        <v>1.1453484347237461</v>
      </c>
      <c r="P28" s="1">
        <f>(Main_L[[#This Row],[P/B]]-VLOOKUP(Main_L[[#This Row],[Industry]], Mean_PB_L, 2, FALSE))/(VLOOKUP(Main_L[[#This Row],[Industry]], Mean_PB_L, 3, FALSE))</f>
        <v>-0.62734312854488672</v>
      </c>
      <c r="Q28" s="1">
        <f>(Main_L[[#This Row],[ROE]]-VLOOKUP(Main_L[[#This Row],[Industry]], Mean_ROE_L, 2, FALSE))/(VLOOKUP(Main_L[[#This Row],[Industry]], Mean_ROE_L, 3, FALSE))</f>
        <v>-1.183898804455588</v>
      </c>
      <c r="R28" s="1">
        <f>(Main_L[[#This Row],[ROA]]-VLOOKUP(Main_L[[#This Row],[Industry]], Mean_ROA_L, 2, FALSE))/(VLOOKUP(Main_L[[#This Row],[Industry]], Mean_ROA_L, 3, FALSE))</f>
        <v>-1.3913198961543647</v>
      </c>
      <c r="S28" s="1">
        <f>(Main_L[[#This Row],[A/E]]-VLOOKUP(Main_L[[#This Row],[Industry]], Mean_AE_L, 2, FALSE))/(VLOOKUP(Main_L[[#This Row],[Industry]], Mean_AE_L, 3, FALSE))</f>
        <v>-0.24978401723834376</v>
      </c>
      <c r="T28" s="1">
        <f>(Main_L[[#This Row],[P/E]]-VLOOKUP(Main_L[[#This Row],[Industry]], Mean_PE_L, 2, FALSE))/(VLOOKUP(Main_L[[#This Row],[Industry]], Mean_PE_L, 3, FALSE))</f>
        <v>1.4636852172578578</v>
      </c>
      <c r="U2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9" spans="1:26" x14ac:dyDescent="0.25">
      <c r="A29" t="s">
        <v>122</v>
      </c>
      <c r="B29" t="s">
        <v>130</v>
      </c>
      <c r="C29" s="2">
        <v>20154</v>
      </c>
      <c r="D29">
        <f>RTD("tos.rtd", , "LAST", Main_L[[#This Row],[Symbol]])</f>
        <v>602.34</v>
      </c>
      <c r="E29">
        <v>21.73</v>
      </c>
      <c r="F29">
        <v>24.02</v>
      </c>
      <c r="G29">
        <v>22.45</v>
      </c>
      <c r="H29" s="1">
        <f>IF(ISNUMBER(Main_L[[#This Row],[Free CF]]),IF(Main_L[[#This Row],[Free CF]]&lt;&gt;0,Main_L[[#This Row],[Current Price]]/Main_L[[#This Row],[Free CF]],""),"")</f>
        <v>27.719282098481361</v>
      </c>
      <c r="I29" s="1">
        <f>IF(ISNUMBER(Main_L[[#This Row],[BVPS]]),IF(Main_L[[#This Row],[BVPS]]&lt;&gt;0,Main_L[[#This Row],[Current Price]]/Main_L[[#This Row],[BVPS]],""),"")</f>
        <v>25.076602830974188</v>
      </c>
      <c r="J29">
        <v>131.47999999999999</v>
      </c>
      <c r="K29">
        <v>19.84</v>
      </c>
      <c r="L29">
        <v>4.05</v>
      </c>
      <c r="M29" s="1">
        <f>IF(ISNUMBER(Main_L[[#This Row],[EPS]]),IF(Main_L[[#This Row],[EPS]]&lt;&gt;0,Main_L[[#This Row],[Current Price]]/Main_L[[#This Row],[EPS]],""),"")</f>
        <v>26.830289532293989</v>
      </c>
      <c r="N2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9" s="1">
        <f>(Main_L[[#This Row],[P/FCF]]-VLOOKUP(Main_L[[#This Row],[Industry]], Mean_PFCF_L, 2, FALSE))/(VLOOKUP(Main_L[[#This Row],[Industry]], Mean_PFCF_L, 3, FALSE))</f>
        <v>0.7254841668396127</v>
      </c>
      <c r="P29" s="1">
        <f>(Main_L[[#This Row],[P/B]]-VLOOKUP(Main_L[[#This Row],[Industry]], Mean_PB_L, 2, FALSE))/(VLOOKUP(Main_L[[#This Row],[Industry]], Mean_PB_L, 3, FALSE))</f>
        <v>5.7465412763023336</v>
      </c>
      <c r="Q29" s="1">
        <f>(Main_L[[#This Row],[ROE]]-VLOOKUP(Main_L[[#This Row],[Industry]], Mean_ROE_L, 2, FALSE))/(VLOOKUP(Main_L[[#This Row],[Industry]], Mean_ROE_L, 3, FALSE))</f>
        <v>8.2712974398825061</v>
      </c>
      <c r="R29" s="1">
        <f>(Main_L[[#This Row],[ROA]]-VLOOKUP(Main_L[[#This Row],[Industry]], Mean_ROA_L, 2, FALSE))/(VLOOKUP(Main_L[[#This Row],[Industry]], Mean_ROA_L, 3, FALSE))</f>
        <v>2.6373338596310223</v>
      </c>
      <c r="S29" s="1">
        <f>(Main_L[[#This Row],[A/E]]-VLOOKUP(Main_L[[#This Row],[Industry]], Mean_AE_L, 2, FALSE))/(VLOOKUP(Main_L[[#This Row],[Industry]], Mean_AE_L, 3, FALSE))</f>
        <v>14.149529917677572</v>
      </c>
      <c r="T29" s="1">
        <f>(Main_L[[#This Row],[P/E]]-VLOOKUP(Main_L[[#This Row],[Industry]], Mean_PE_L, 2, FALSE))/(VLOOKUP(Main_L[[#This Row],[Industry]], Mean_PE_L, 3, FALSE))</f>
        <v>-0.10424002075820785</v>
      </c>
      <c r="U2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2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2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Yes</v>
      </c>
      <c r="Y2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2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0" spans="1:26" x14ac:dyDescent="0.25">
      <c r="A30" t="s">
        <v>122</v>
      </c>
      <c r="B30" t="s">
        <v>131</v>
      </c>
      <c r="C30" s="2">
        <v>12745</v>
      </c>
      <c r="D30">
        <f>RTD("tos.rtd", , "LAST", Main_L[[#This Row],[Symbol]])</f>
        <v>68.069999999999993</v>
      </c>
      <c r="E30">
        <v>3.9</v>
      </c>
      <c r="F30">
        <v>-1.2</v>
      </c>
      <c r="G30">
        <v>3.66</v>
      </c>
      <c r="H30" s="1">
        <f>IF(ISNUMBER(Main_L[[#This Row],[Free CF]]),IF(Main_L[[#This Row],[Free CF]]&lt;&gt;0,Main_L[[#This Row],[Current Price]]/Main_L[[#This Row],[Free CF]],""),"")</f>
        <v>17.453846153846154</v>
      </c>
      <c r="I30" s="1">
        <f>IF(ISNUMBER(Main_L[[#This Row],[BVPS]]),IF(Main_L[[#This Row],[BVPS]]&lt;&gt;0,Main_L[[#This Row],[Current Price]]/Main_L[[#This Row],[BVPS]],""),"")</f>
        <v>-56.724999999999994</v>
      </c>
      <c r="J30">
        <v>1116.5999999999999</v>
      </c>
      <c r="K30">
        <v>16.04</v>
      </c>
      <c r="L30">
        <v>-20.11</v>
      </c>
      <c r="M30" s="1">
        <f>IF(ISNUMBER(Main_L[[#This Row],[EPS]]),IF(Main_L[[#This Row],[EPS]]&lt;&gt;0,Main_L[[#This Row],[Current Price]]/Main_L[[#This Row],[EPS]],""),"")</f>
        <v>18.598360655737704</v>
      </c>
      <c r="N3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0" s="1">
        <f>(Main_L[[#This Row],[P/FCF]]-VLOOKUP(Main_L[[#This Row],[Industry]], Mean_PFCF_L, 2, FALSE))/(VLOOKUP(Main_L[[#This Row],[Industry]], Mean_PFCF_L, 3, FALSE))</f>
        <v>-0.51696408440650532</v>
      </c>
      <c r="P30" s="1">
        <f>(Main_L[[#This Row],[P/B]]-VLOOKUP(Main_L[[#This Row],[Industry]], Mean_PB_L, 2, FALSE))/(VLOOKUP(Main_L[[#This Row],[Industry]], Mean_PB_L, 3, FALSE))</f>
        <v>-18.980781092653149</v>
      </c>
      <c r="Q30" s="1">
        <f>(Main_L[[#This Row],[ROE]]-VLOOKUP(Main_L[[#This Row],[Industry]], Mean_ROE_L, 2, FALSE))/(VLOOKUP(Main_L[[#This Row],[Industry]], Mean_ROE_L, 3, FALSE))</f>
        <v>83.814711261637115</v>
      </c>
      <c r="R30" s="1">
        <f>(Main_L[[#This Row],[ROA]]-VLOOKUP(Main_L[[#This Row],[Industry]], Mean_ROA_L, 2, FALSE))/(VLOOKUP(Main_L[[#This Row],[Industry]], Mean_ROA_L, 3, FALSE))</f>
        <v>1.6894153288579898</v>
      </c>
      <c r="S30" s="1">
        <f>(Main_L[[#This Row],[A/E]]-VLOOKUP(Main_L[[#This Row],[Industry]], Mean_AE_L, 2, FALSE))/(VLOOKUP(Main_L[[#This Row],[Industry]], Mean_AE_L, 3, FALSE))</f>
        <v>-234.34148770201426</v>
      </c>
      <c r="T30" s="1">
        <f>(Main_L[[#This Row],[P/E]]-VLOOKUP(Main_L[[#This Row],[Industry]], Mean_PE_L, 2, FALSE))/(VLOOKUP(Main_L[[#This Row],[Industry]], Mean_PE_L, 3, FALSE))</f>
        <v>-0.81076704396450339</v>
      </c>
      <c r="U3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3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3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3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1" spans="1:26" x14ac:dyDescent="0.25">
      <c r="A31" t="s">
        <v>122</v>
      </c>
      <c r="B31" t="s">
        <v>132</v>
      </c>
      <c r="C31" s="2">
        <v>11154</v>
      </c>
      <c r="D31">
        <f>RTD("tos.rtd", , "LAST", Main_L[[#This Row],[Symbol]])</f>
        <v>142.61000000000001</v>
      </c>
      <c r="E31">
        <v>14.33</v>
      </c>
      <c r="F31">
        <v>59.45</v>
      </c>
      <c r="G31">
        <v>7.37</v>
      </c>
      <c r="H31" s="1">
        <f>IF(ISNUMBER(Main_L[[#This Row],[Free CF]]),IF(Main_L[[#This Row],[Free CF]]&lt;&gt;0,Main_L[[#This Row],[Current Price]]/Main_L[[#This Row],[Free CF]],""),"")</f>
        <v>9.9518492672714594</v>
      </c>
      <c r="I31" s="1">
        <f>IF(ISNUMBER(Main_L[[#This Row],[BVPS]]),IF(Main_L[[#This Row],[BVPS]]&lt;&gt;0,Main_L[[#This Row],[Current Price]]/Main_L[[#This Row],[BVPS]],""),"")</f>
        <v>2.3988225399495375</v>
      </c>
      <c r="J31">
        <v>12.53</v>
      </c>
      <c r="K31">
        <v>9.3699999999999992</v>
      </c>
      <c r="L31">
        <v>2.77</v>
      </c>
      <c r="M31" s="1">
        <f>IF(ISNUMBER(Main_L[[#This Row],[EPS]]),IF(Main_L[[#This Row],[EPS]]&lt;&gt;0,Main_L[[#This Row],[Current Price]]/Main_L[[#This Row],[EPS]],""),"")</f>
        <v>19.350067842605156</v>
      </c>
      <c r="N3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1" s="1">
        <f>(Main_L[[#This Row],[P/FCF]]-VLOOKUP(Main_L[[#This Row],[Industry]], Mean_PFCF_L, 2, FALSE))/(VLOOKUP(Main_L[[#This Row],[Industry]], Mean_PFCF_L, 3, FALSE))</f>
        <v>-1.4249472390283695</v>
      </c>
      <c r="P31" s="1">
        <f>(Main_L[[#This Row],[P/B]]-VLOOKUP(Main_L[[#This Row],[Industry]], Mean_PB_L, 2, FALSE))/(VLOOKUP(Main_L[[#This Row],[Industry]], Mean_PB_L, 3, FALSE))</f>
        <v>-1.1085907072017791</v>
      </c>
      <c r="Q31" s="1">
        <f>(Main_L[[#This Row],[ROE]]-VLOOKUP(Main_L[[#This Row],[Industry]], Mean_ROE_L, 2, FALSE))/(VLOOKUP(Main_L[[#This Row],[Industry]], Mean_ROE_L, 3, FALSE))</f>
        <v>-0.85032132138283301</v>
      </c>
      <c r="R31" s="1">
        <f>(Main_L[[#This Row],[ROA]]-VLOOKUP(Main_L[[#This Row],[Industry]], Mean_ROA_L, 2, FALSE))/(VLOOKUP(Main_L[[#This Row],[Industry]], Mean_ROA_L, 3, FALSE))</f>
        <v>2.5568855106378071E-2</v>
      </c>
      <c r="S31" s="1">
        <f>(Main_L[[#This Row],[A/E]]-VLOOKUP(Main_L[[#This Row],[Industry]], Mean_AE_L, 2, FALSE))/(VLOOKUP(Main_L[[#This Row],[Industry]], Mean_AE_L, 3, FALSE))</f>
        <v>0.98444289146873598</v>
      </c>
      <c r="T31" s="1">
        <f>(Main_L[[#This Row],[P/E]]-VLOOKUP(Main_L[[#This Row],[Industry]], Mean_PE_L, 2, FALSE))/(VLOOKUP(Main_L[[#This Row],[Industry]], Mean_PE_L, 3, FALSE))</f>
        <v>-0.74624979059357543</v>
      </c>
      <c r="U3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2" spans="1:26" x14ac:dyDescent="0.25">
      <c r="A32" t="s">
        <v>122</v>
      </c>
      <c r="B32" t="s">
        <v>133</v>
      </c>
      <c r="C32" s="2">
        <v>90822</v>
      </c>
      <c r="D32">
        <f>RTD("tos.rtd", , "LAST", Main_L[[#This Row],[Symbol]])</f>
        <v>421.87</v>
      </c>
      <c r="E32">
        <v>12.56</v>
      </c>
      <c r="F32">
        <v>33.520000000000003</v>
      </c>
      <c r="G32">
        <v>12.15</v>
      </c>
      <c r="H32" s="1">
        <f>IF(ISNUMBER(Main_L[[#This Row],[Free CF]]),IF(Main_L[[#This Row],[Free CF]]&lt;&gt;0,Main_L[[#This Row],[Current Price]]/Main_L[[#This Row],[Free CF]],""),"")</f>
        <v>33.58837579617834</v>
      </c>
      <c r="I32" s="1">
        <f>IF(ISNUMBER(Main_L[[#This Row],[BVPS]]),IF(Main_L[[#This Row],[BVPS]]&lt;&gt;0,Main_L[[#This Row],[Current Price]]/Main_L[[#This Row],[BVPS]],""),"")</f>
        <v>12.585620525059666</v>
      </c>
      <c r="J32">
        <v>38.630000000000003</v>
      </c>
      <c r="K32">
        <v>11.36</v>
      </c>
      <c r="L32">
        <v>2.69</v>
      </c>
      <c r="M32" s="1">
        <f>IF(ISNUMBER(Main_L[[#This Row],[EPS]]),IF(Main_L[[#This Row],[EPS]]&lt;&gt;0,Main_L[[#This Row],[Current Price]]/Main_L[[#This Row],[EPS]],""),"")</f>
        <v>34.721810699588474</v>
      </c>
      <c r="N3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2" s="1">
        <f>(Main_L[[#This Row],[P/FCF]]-VLOOKUP(Main_L[[#This Row],[Industry]], Mean_PFCF_L, 2, FALSE))/(VLOOKUP(Main_L[[#This Row],[Industry]], Mean_PFCF_L, 3, FALSE))</f>
        <v>1.4358334632973146</v>
      </c>
      <c r="P32" s="1">
        <f>(Main_L[[#This Row],[P/B]]-VLOOKUP(Main_L[[#This Row],[Industry]], Mean_PB_L, 2, FALSE))/(VLOOKUP(Main_L[[#This Row],[Industry]], Mean_PB_L, 3, FALSE))</f>
        <v>1.9707161641528894</v>
      </c>
      <c r="Q32" s="1">
        <f>(Main_L[[#This Row],[ROE]]-VLOOKUP(Main_L[[#This Row],[Industry]], Mean_ROE_L, 2, FALSE))/(VLOOKUP(Main_L[[#This Row],[Industry]], Mean_ROE_L, 3, FALSE))</f>
        <v>1.1511435770536982</v>
      </c>
      <c r="R32" s="1">
        <f>(Main_L[[#This Row],[ROA]]-VLOOKUP(Main_L[[#This Row],[Industry]], Mean_ROA_L, 2, FALSE))/(VLOOKUP(Main_L[[#This Row],[Industry]], Mean_ROA_L, 3, FALSE))</f>
        <v>0.52197882253751871</v>
      </c>
      <c r="S32" s="1">
        <f>(Main_L[[#This Row],[A/E]]-VLOOKUP(Main_L[[#This Row],[Industry]], Mean_AE_L, 2, FALSE))/(VLOOKUP(Main_L[[#This Row],[Industry]], Mean_AE_L, 3, FALSE))</f>
        <v>0.16162495233068283</v>
      </c>
      <c r="T32" s="1">
        <f>(Main_L[[#This Row],[P/E]]-VLOOKUP(Main_L[[#This Row],[Industry]], Mean_PE_L, 2, FALSE))/(VLOOKUP(Main_L[[#This Row],[Industry]], Mean_PE_L, 3, FALSE))</f>
        <v>0.573070612327644</v>
      </c>
      <c r="U3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3" spans="1:26" x14ac:dyDescent="0.25">
      <c r="A33" t="s">
        <v>191</v>
      </c>
      <c r="B33" t="s">
        <v>192</v>
      </c>
      <c r="C33" s="2">
        <v>11929</v>
      </c>
      <c r="D33">
        <f>RTD("tos.rtd", , "LAST", Main_L[[#This Row],[Symbol]])</f>
        <v>228.8</v>
      </c>
      <c r="E33">
        <v>6.28</v>
      </c>
      <c r="F33">
        <v>47.94</v>
      </c>
      <c r="G33">
        <v>7.22</v>
      </c>
      <c r="H33" s="1">
        <f>IF(ISNUMBER(Main_L[[#This Row],[Free CF]]),IF(Main_L[[#This Row],[Free CF]]&lt;&gt;0,Main_L[[#This Row],[Current Price]]/Main_L[[#This Row],[Free CF]],""),"")</f>
        <v>36.433121019108277</v>
      </c>
      <c r="I33" s="1">
        <f>IF(ISNUMBER(Main_L[[#This Row],[BVPS]]),IF(Main_L[[#This Row],[BVPS]]&lt;&gt;0,Main_L[[#This Row],[Current Price]]/Main_L[[#This Row],[BVPS]],""),"")</f>
        <v>4.7726324572382151</v>
      </c>
      <c r="J33">
        <v>16.02</v>
      </c>
      <c r="K33">
        <v>5.78</v>
      </c>
      <c r="L33">
        <v>2.82</v>
      </c>
      <c r="M33" s="1">
        <f>IF(ISNUMBER(Main_L[[#This Row],[EPS]]),IF(Main_L[[#This Row],[EPS]]&lt;&gt;0,Main_L[[#This Row],[Current Price]]/Main_L[[#This Row],[EPS]],""),"")</f>
        <v>31.689750692520779</v>
      </c>
      <c r="N3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3" s="1">
        <f>(Main_L[[#This Row],[P/FCF]]-VLOOKUP(Main_L[[#This Row],[Industry]], Mean_PFCF_L, 2, FALSE))/(VLOOKUP(Main_L[[#This Row],[Industry]], Mean_PFCF_L, 3, FALSE))</f>
        <v>-0.47744044916501305</v>
      </c>
      <c r="P33" s="1">
        <f>(Main_L[[#This Row],[P/B]]-VLOOKUP(Main_L[[#This Row],[Industry]], Mean_PB_L, 2, FALSE))/(VLOOKUP(Main_L[[#This Row],[Industry]], Mean_PB_L, 3, FALSE))</f>
        <v>-0.77231422904982483</v>
      </c>
      <c r="Q33" s="1">
        <f>(Main_L[[#This Row],[ROE]]-VLOOKUP(Main_L[[#This Row],[Industry]], Mean_ROE_L, 2, FALSE))/(VLOOKUP(Main_L[[#This Row],[Industry]], Mean_ROE_L, 3, FALSE))</f>
        <v>-0.27000577880156745</v>
      </c>
      <c r="R33" s="1">
        <f>(Main_L[[#This Row],[ROA]]-VLOOKUP(Main_L[[#This Row],[Industry]], Mean_ROA_L, 2, FALSE))/(VLOOKUP(Main_L[[#This Row],[Industry]], Mean_ROA_L, 3, FALSE))</f>
        <v>-0.4727513193185548</v>
      </c>
      <c r="S33" s="1">
        <f>(Main_L[[#This Row],[A/E]]-VLOOKUP(Main_L[[#This Row],[Industry]], Mean_AE_L, 2, FALSE))/(VLOOKUP(Main_L[[#This Row],[Industry]], Mean_AE_L, 3, FALSE))</f>
        <v>1.1298436179009332</v>
      </c>
      <c r="T33" s="1">
        <f>(Main_L[[#This Row],[P/E]]-VLOOKUP(Main_L[[#This Row],[Industry]], Mean_PE_L, 2, FALSE))/(VLOOKUP(Main_L[[#This Row],[Industry]], Mean_PE_L, 3, FALSE))</f>
        <v>-0.93428394662801761</v>
      </c>
      <c r="U3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4" spans="1:26" x14ac:dyDescent="0.25">
      <c r="A34" t="s">
        <v>191</v>
      </c>
      <c r="B34" t="s">
        <v>193</v>
      </c>
      <c r="C34" s="2">
        <v>18790</v>
      </c>
      <c r="D34">
        <f>RTD("tos.rtd", , "LAST", Main_L[[#This Row],[Symbol]])</f>
        <v>48.1</v>
      </c>
      <c r="E34">
        <v>0.43</v>
      </c>
      <c r="F34">
        <v>15.25</v>
      </c>
      <c r="G34">
        <v>-1.47</v>
      </c>
      <c r="H34" s="1">
        <f>IF(ISNUMBER(Main_L[[#This Row],[Free CF]]),IF(Main_L[[#This Row],[Free CF]]&lt;&gt;0,Main_L[[#This Row],[Current Price]]/Main_L[[#This Row],[Free CF]],""),"")</f>
        <v>111.86046511627907</v>
      </c>
      <c r="I34" s="1">
        <f>IF(ISNUMBER(Main_L[[#This Row],[BVPS]]),IF(Main_L[[#This Row],[BVPS]]&lt;&gt;0,Main_L[[#This Row],[Current Price]]/Main_L[[#This Row],[BVPS]],""),"")</f>
        <v>3.154098360655738</v>
      </c>
      <c r="J34">
        <v>-9.64</v>
      </c>
      <c r="K34">
        <v>1.6</v>
      </c>
      <c r="L34">
        <v>2.42</v>
      </c>
      <c r="M34" s="1">
        <f>IF(ISNUMBER(Main_L[[#This Row],[EPS]]),IF(Main_L[[#This Row],[EPS]]&lt;&gt;0,Main_L[[#This Row],[Current Price]]/Main_L[[#This Row],[EPS]],""),"")</f>
        <v>-32.721088435374149</v>
      </c>
      <c r="N3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4" s="1">
        <f>(Main_L[[#This Row],[P/FCF]]-VLOOKUP(Main_L[[#This Row],[Industry]], Mean_PFCF_L, 2, FALSE))/(VLOOKUP(Main_L[[#This Row],[Industry]], Mean_PFCF_L, 3, FALSE))</f>
        <v>7.5978494822158424</v>
      </c>
      <c r="P34" s="1">
        <f>(Main_L[[#This Row],[P/B]]-VLOOKUP(Main_L[[#This Row],[Industry]], Mean_PB_L, 2, FALSE))/(VLOOKUP(Main_L[[#This Row],[Industry]], Mean_PB_L, 3, FALSE))</f>
        <v>-1.1334722074669477</v>
      </c>
      <c r="Q34" s="1">
        <f>(Main_L[[#This Row],[ROE]]-VLOOKUP(Main_L[[#This Row],[Industry]], Mean_ROE_L, 2, FALSE))/(VLOOKUP(Main_L[[#This Row],[Industry]], Mean_ROE_L, 3, FALSE))</f>
        <v>-1.8333253916124475</v>
      </c>
      <c r="R34" s="1">
        <f>(Main_L[[#This Row],[ROA]]-VLOOKUP(Main_L[[#This Row],[Industry]], Mean_ROA_L, 2, FALSE))/(VLOOKUP(Main_L[[#This Row],[Industry]], Mean_ROA_L, 3, FALSE))</f>
        <v>-1.3691268105460659</v>
      </c>
      <c r="S34" s="1">
        <f>(Main_L[[#This Row],[A/E]]-VLOOKUP(Main_L[[#This Row],[Industry]], Mean_AE_L, 2, FALSE))/(VLOOKUP(Main_L[[#This Row],[Industry]], Mean_AE_L, 3, FALSE))</f>
        <v>-0.29233715987646719</v>
      </c>
      <c r="T34" s="1">
        <f>(Main_L[[#This Row],[P/E]]-VLOOKUP(Main_L[[#This Row],[Industry]], Mean_PE_L, 2, FALSE))/(VLOOKUP(Main_L[[#This Row],[Industry]], Mean_PE_L, 3, FALSE))</f>
        <v>-5.4364962339642657</v>
      </c>
      <c r="U3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3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35" spans="1:26" x14ac:dyDescent="0.25">
      <c r="A35" t="s">
        <v>191</v>
      </c>
      <c r="B35" t="s">
        <v>194</v>
      </c>
      <c r="C35" s="2">
        <v>27581</v>
      </c>
      <c r="D35">
        <f>RTD("tos.rtd", , "LAST", Main_L[[#This Row],[Symbol]])</f>
        <v>54.85</v>
      </c>
      <c r="E35">
        <v>1.24</v>
      </c>
      <c r="F35">
        <v>2.8</v>
      </c>
      <c r="G35">
        <v>0.99</v>
      </c>
      <c r="H35" s="1">
        <f>IF(ISNUMBER(Main_L[[#This Row],[Free CF]]),IF(Main_L[[#This Row],[Free CF]]&lt;&gt;0,Main_L[[#This Row],[Current Price]]/Main_L[[#This Row],[Free CF]],""),"")</f>
        <v>44.233870967741936</v>
      </c>
      <c r="I35" s="1">
        <f>IF(ISNUMBER(Main_L[[#This Row],[BVPS]]),IF(Main_L[[#This Row],[BVPS]]&lt;&gt;0,Main_L[[#This Row],[Current Price]]/Main_L[[#This Row],[BVPS]],""),"")</f>
        <v>19.589285714285715</v>
      </c>
      <c r="J35">
        <v>37.83</v>
      </c>
      <c r="K35">
        <v>14.88</v>
      </c>
      <c r="L35">
        <v>2.17</v>
      </c>
      <c r="M35" s="1">
        <f>IF(ISNUMBER(Main_L[[#This Row],[EPS]]),IF(Main_L[[#This Row],[EPS]]&lt;&gt;0,Main_L[[#This Row],[Current Price]]/Main_L[[#This Row],[EPS]],""),"")</f>
        <v>55.404040404040408</v>
      </c>
      <c r="N3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5" s="1">
        <f>(Main_L[[#This Row],[P/FCF]]-VLOOKUP(Main_L[[#This Row],[Industry]], Mean_PFCF_L, 2, FALSE))/(VLOOKUP(Main_L[[#This Row],[Industry]], Mean_PFCF_L, 3, FALSE))</f>
        <v>0.35771181917243094</v>
      </c>
      <c r="P35" s="1">
        <f>(Main_L[[#This Row],[P/B]]-VLOOKUP(Main_L[[#This Row],[Industry]], Mean_PB_L, 2, FALSE))/(VLOOKUP(Main_L[[#This Row],[Industry]], Mean_PB_L, 3, FALSE))</f>
        <v>2.5338580341861929</v>
      </c>
      <c r="Q35" s="1">
        <f>(Main_L[[#This Row],[ROE]]-VLOOKUP(Main_L[[#This Row],[Industry]], Mean_ROE_L, 2, FALSE))/(VLOOKUP(Main_L[[#This Row],[Industry]], Mean_ROE_L, 3, FALSE))</f>
        <v>1.0587549677068226</v>
      </c>
      <c r="R35" s="1">
        <f>(Main_L[[#This Row],[ROA]]-VLOOKUP(Main_L[[#This Row],[Industry]], Mean_ROA_L, 2, FALSE))/(VLOOKUP(Main_L[[#This Row],[Industry]], Mean_ROA_L, 3, FALSE))</f>
        <v>1.4786881472293762</v>
      </c>
      <c r="S35" s="1">
        <f>(Main_L[[#This Row],[A/E]]-VLOOKUP(Main_L[[#This Row],[Industry]], Mean_AE_L, 2, FALSE))/(VLOOKUP(Main_L[[#This Row],[Industry]], Mean_AE_L, 3, FALSE))</f>
        <v>-1.1812001459873427</v>
      </c>
      <c r="T35" s="1">
        <f>(Main_L[[#This Row],[P/E]]-VLOOKUP(Main_L[[#This Row],[Industry]], Mean_PE_L, 2, FALSE))/(VLOOKUP(Main_L[[#This Row],[Industry]], Mean_PE_L, 3, FALSE))</f>
        <v>0.72330611073263673</v>
      </c>
      <c r="U3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3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6" spans="1:26" x14ac:dyDescent="0.25">
      <c r="A36" t="s">
        <v>191</v>
      </c>
      <c r="B36" t="s">
        <v>195</v>
      </c>
      <c r="C36" s="2">
        <v>78690</v>
      </c>
      <c r="D36">
        <f>RTD("tos.rtd", , "LAST", Main_L[[#This Row],[Symbol]])</f>
        <v>237.99</v>
      </c>
      <c r="E36">
        <v>7.49</v>
      </c>
      <c r="F36">
        <v>37.380000000000003</v>
      </c>
      <c r="G36">
        <v>6.63</v>
      </c>
      <c r="H36" s="1">
        <f>IF(ISNUMBER(Main_L[[#This Row],[Free CF]]),IF(Main_L[[#This Row],[Free CF]]&lt;&gt;0,Main_L[[#This Row],[Current Price]]/Main_L[[#This Row],[Free CF]],""),"")</f>
        <v>31.774365821094793</v>
      </c>
      <c r="I36" s="1">
        <f>IF(ISNUMBER(Main_L[[#This Row],[BVPS]]),IF(Main_L[[#This Row],[BVPS]]&lt;&gt;0,Main_L[[#This Row],[Current Price]]/Main_L[[#This Row],[BVPS]],""),"")</f>
        <v>6.36677367576244</v>
      </c>
      <c r="J36">
        <v>18.54</v>
      </c>
      <c r="K36">
        <v>6.39</v>
      </c>
      <c r="L36">
        <v>2.84</v>
      </c>
      <c r="M36" s="1">
        <f>IF(ISNUMBER(Main_L[[#This Row],[EPS]]),IF(Main_L[[#This Row],[EPS]]&lt;&gt;0,Main_L[[#This Row],[Current Price]]/Main_L[[#This Row],[EPS]],""),"")</f>
        <v>35.895927601809959</v>
      </c>
      <c r="N3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6" s="1">
        <f>(Main_L[[#This Row],[P/FCF]]-VLOOKUP(Main_L[[#This Row],[Industry]], Mean_PFCF_L, 2, FALSE))/(VLOOKUP(Main_L[[#This Row],[Industry]], Mean_PFCF_L, 3, FALSE))</f>
        <v>-0.9762091569007747</v>
      </c>
      <c r="P36" s="1">
        <f>(Main_L[[#This Row],[P/B]]-VLOOKUP(Main_L[[#This Row],[Industry]], Mean_PB_L, 2, FALSE))/(VLOOKUP(Main_L[[#This Row],[Industry]], Mean_PB_L, 3, FALSE))</f>
        <v>-0.41659925152214605</v>
      </c>
      <c r="Q36" s="1">
        <f>(Main_L[[#This Row],[ROE]]-VLOOKUP(Main_L[[#This Row],[Industry]], Mean_ROE_L, 2, FALSE))/(VLOOKUP(Main_L[[#This Row],[Industry]], Mean_ROE_L, 3, FALSE))</f>
        <v>-0.1164763390399378</v>
      </c>
      <c r="R36" s="1">
        <f>(Main_L[[#This Row],[ROA]]-VLOOKUP(Main_L[[#This Row],[Industry]], Mean_ROA_L, 2, FALSE))/(VLOOKUP(Main_L[[#This Row],[Industry]], Mean_ROA_L, 3, FALSE))</f>
        <v>-0.34194054189061668</v>
      </c>
      <c r="S36" s="1">
        <f>(Main_L[[#This Row],[A/E]]-VLOOKUP(Main_L[[#This Row],[Industry]], Mean_AE_L, 2, FALSE))/(VLOOKUP(Main_L[[#This Row],[Industry]], Mean_AE_L, 3, FALSE))</f>
        <v>1.2009526567898032</v>
      </c>
      <c r="T36" s="1">
        <f>(Main_L[[#This Row],[P/E]]-VLOOKUP(Main_L[[#This Row],[Industry]], Mean_PE_L, 2, FALSE))/(VLOOKUP(Main_L[[#This Row],[Industry]], Mean_PE_L, 3, FALSE))</f>
        <v>-0.64027906142368096</v>
      </c>
      <c r="U3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7" spans="1:26" x14ac:dyDescent="0.25">
      <c r="A37" t="s">
        <v>191</v>
      </c>
      <c r="B37" t="s">
        <v>196</v>
      </c>
      <c r="C37" s="2">
        <v>11736</v>
      </c>
      <c r="D37">
        <f>RTD("tos.rtd", , "LAST", Main_L[[#This Row],[Symbol]])</f>
        <v>23.28</v>
      </c>
      <c r="E37">
        <v>0.23</v>
      </c>
      <c r="F37">
        <v>2.11</v>
      </c>
      <c r="G37">
        <v>0.15</v>
      </c>
      <c r="H37" s="1">
        <f>IF(ISNUMBER(Main_L[[#This Row],[Free CF]]),IF(Main_L[[#This Row],[Free CF]]&lt;&gt;0,Main_L[[#This Row],[Current Price]]/Main_L[[#This Row],[Free CF]],""),"")</f>
        <v>101.21739130434783</v>
      </c>
      <c r="I37" s="1">
        <f>IF(ISNUMBER(Main_L[[#This Row],[BVPS]]),IF(Main_L[[#This Row],[BVPS]]&lt;&gt;0,Main_L[[#This Row],[Current Price]]/Main_L[[#This Row],[BVPS]],""),"")</f>
        <v>11.033175355450238</v>
      </c>
      <c r="J37">
        <v>7.38</v>
      </c>
      <c r="K37">
        <v>3.87</v>
      </c>
      <c r="L37">
        <v>2.5</v>
      </c>
      <c r="M37" s="1">
        <f>IF(ISNUMBER(Main_L[[#This Row],[EPS]]),IF(Main_L[[#This Row],[EPS]]&lt;&gt;0,Main_L[[#This Row],[Current Price]]/Main_L[[#This Row],[EPS]],""),"")</f>
        <v>155.20000000000002</v>
      </c>
      <c r="N3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7" s="1">
        <f>(Main_L[[#This Row],[P/FCF]]-VLOOKUP(Main_L[[#This Row],[Industry]], Mean_PFCF_L, 2, FALSE))/(VLOOKUP(Main_L[[#This Row],[Industry]], Mean_PFCF_L, 3, FALSE))</f>
        <v>6.4583965713230755</v>
      </c>
      <c r="P37" s="1">
        <f>(Main_L[[#This Row],[P/B]]-VLOOKUP(Main_L[[#This Row],[Industry]], Mean_PB_L, 2, FALSE))/(VLOOKUP(Main_L[[#This Row],[Industry]], Mean_PB_L, 3, FALSE))</f>
        <v>0.624656660649755</v>
      </c>
      <c r="Q37" s="1">
        <f>(Main_L[[#This Row],[ROE]]-VLOOKUP(Main_L[[#This Row],[Industry]], Mean_ROE_L, 2, FALSE))/(VLOOKUP(Main_L[[#This Row],[Industry]], Mean_ROE_L, 3, FALSE))</f>
        <v>-0.79639242941286925</v>
      </c>
      <c r="R37" s="1">
        <f>(Main_L[[#This Row],[ROA]]-VLOOKUP(Main_L[[#This Row],[Industry]], Mean_ROA_L, 2, FALSE))/(VLOOKUP(Main_L[[#This Row],[Industry]], Mean_ROA_L, 3, FALSE))</f>
        <v>-0.88233916339619745</v>
      </c>
      <c r="S37" s="1">
        <f>(Main_L[[#This Row],[A/E]]-VLOOKUP(Main_L[[#This Row],[Industry]], Mean_AE_L, 2, FALSE))/(VLOOKUP(Main_L[[#This Row],[Industry]], Mean_AE_L, 3, FALSE))</f>
        <v>-7.9010043209867941E-3</v>
      </c>
      <c r="T37" s="1">
        <f>(Main_L[[#This Row],[P/E]]-VLOOKUP(Main_L[[#This Row],[Industry]], Mean_PE_L, 2, FALSE))/(VLOOKUP(Main_L[[#This Row],[Industry]], Mean_PE_L, 3, FALSE))</f>
        <v>7.6988804333602383</v>
      </c>
      <c r="U3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3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38" spans="1:26" x14ac:dyDescent="0.25">
      <c r="A38" t="s">
        <v>191</v>
      </c>
      <c r="B38" t="s">
        <v>198</v>
      </c>
      <c r="C38" s="2">
        <v>23817</v>
      </c>
      <c r="D38">
        <f>RTD("tos.rtd", , "LAST", Main_L[[#This Row],[Symbol]])</f>
        <v>100.25</v>
      </c>
      <c r="E38">
        <v>3.47</v>
      </c>
      <c r="F38">
        <v>9.2899999999999991</v>
      </c>
      <c r="G38">
        <v>3.5</v>
      </c>
      <c r="H38" s="1">
        <f>IF(ISNUMBER(Main_L[[#This Row],[Free CF]]),IF(Main_L[[#This Row],[Free CF]]&lt;&gt;0,Main_L[[#This Row],[Current Price]]/Main_L[[#This Row],[Free CF]],""),"")</f>
        <v>28.890489913544666</v>
      </c>
      <c r="I38" s="1">
        <f>IF(ISNUMBER(Main_L[[#This Row],[BVPS]]),IF(Main_L[[#This Row],[BVPS]]&lt;&gt;0,Main_L[[#This Row],[Current Price]]/Main_L[[#This Row],[BVPS]],""),"")</f>
        <v>10.791173304628634</v>
      </c>
      <c r="J38">
        <v>46.04</v>
      </c>
      <c r="K38">
        <v>12.53</v>
      </c>
      <c r="L38">
        <v>2.89</v>
      </c>
      <c r="M38" s="1">
        <f>IF(ISNUMBER(Main_L[[#This Row],[EPS]]),IF(Main_L[[#This Row],[EPS]]&lt;&gt;0,Main_L[[#This Row],[Current Price]]/Main_L[[#This Row],[EPS]],""),"")</f>
        <v>28.642857142857142</v>
      </c>
      <c r="N3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8" s="1">
        <f>(Main_L[[#This Row],[P/FCF]]-VLOOKUP(Main_L[[#This Row],[Industry]], Mean_PFCF_L, 2, FALSE))/(VLOOKUP(Main_L[[#This Row],[Industry]], Mean_PFCF_L, 3, FALSE))</f>
        <v>-1.2849583825077371</v>
      </c>
      <c r="P38" s="1">
        <f>(Main_L[[#This Row],[P/B]]-VLOOKUP(Main_L[[#This Row],[Industry]], Mean_PB_L, 2, FALSE))/(VLOOKUP(Main_L[[#This Row],[Industry]], Mean_PB_L, 3, FALSE))</f>
        <v>0.57065658018677623</v>
      </c>
      <c r="Q38" s="1">
        <f>(Main_L[[#This Row],[ROE]]-VLOOKUP(Main_L[[#This Row],[Industry]], Mean_ROE_L, 2, FALSE))/(VLOOKUP(Main_L[[#This Row],[Industry]], Mean_ROE_L, 3, FALSE))</f>
        <v>1.5589441345492749</v>
      </c>
      <c r="R38" s="1">
        <f>(Main_L[[#This Row],[ROA]]-VLOOKUP(Main_L[[#This Row],[Industry]], Mean_ROA_L, 2, FALSE))/(VLOOKUP(Main_L[[#This Row],[Industry]], Mean_ROA_L, 3, FALSE))</f>
        <v>0.97474498828567946</v>
      </c>
      <c r="S38" s="1">
        <f>(Main_L[[#This Row],[A/E]]-VLOOKUP(Main_L[[#This Row],[Industry]], Mean_AE_L, 2, FALSE))/(VLOOKUP(Main_L[[#This Row],[Industry]], Mean_AE_L, 3, FALSE))</f>
        <v>1.3787252540119794</v>
      </c>
      <c r="T38" s="1">
        <f>(Main_L[[#This Row],[P/E]]-VLOOKUP(Main_L[[#This Row],[Industry]], Mean_PE_L, 2, FALSE))/(VLOOKUP(Main_L[[#This Row],[Industry]], Mean_PE_L, 3, FALSE))</f>
        <v>-1.1472568214303942</v>
      </c>
      <c r="U3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9" spans="1:26" x14ac:dyDescent="0.25">
      <c r="A39" t="s">
        <v>191</v>
      </c>
      <c r="B39" t="s">
        <v>199</v>
      </c>
      <c r="C39" s="2">
        <v>51263</v>
      </c>
      <c r="D39">
        <f>RTD("tos.rtd", , "LAST", Main_L[[#This Row],[Symbol]])</f>
        <v>185.77</v>
      </c>
      <c r="E39">
        <v>4.58</v>
      </c>
      <c r="F39">
        <v>31.02</v>
      </c>
      <c r="G39">
        <v>2.4300000000000002</v>
      </c>
      <c r="H39" s="1">
        <f>IF(ISNUMBER(Main_L[[#This Row],[Free CF]]),IF(Main_L[[#This Row],[Free CF]]&lt;&gt;0,Main_L[[#This Row],[Current Price]]/Main_L[[#This Row],[Free CF]],""),"")</f>
        <v>40.561135371179041</v>
      </c>
      <c r="I39" s="1">
        <f>IF(ISNUMBER(Main_L[[#This Row],[BVPS]]),IF(Main_L[[#This Row],[BVPS]]&lt;&gt;0,Main_L[[#This Row],[Current Price]]/Main_L[[#This Row],[BVPS]],""),"")</f>
        <v>5.9887169568020635</v>
      </c>
      <c r="J39">
        <v>7.96</v>
      </c>
      <c r="K39">
        <v>4</v>
      </c>
      <c r="L39">
        <v>2.5299999999999998</v>
      </c>
      <c r="M39" s="1">
        <f>IF(ISNUMBER(Main_L[[#This Row],[EPS]]),IF(Main_L[[#This Row],[EPS]]&lt;&gt;0,Main_L[[#This Row],[Current Price]]/Main_L[[#This Row],[EPS]],""),"")</f>
        <v>76.44855967078189</v>
      </c>
      <c r="N3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9" s="1">
        <f>(Main_L[[#This Row],[P/FCF]]-VLOOKUP(Main_L[[#This Row],[Industry]], Mean_PFCF_L, 2, FALSE))/(VLOOKUP(Main_L[[#This Row],[Industry]], Mean_PFCF_L, 3, FALSE))</f>
        <v>-3.5493127104616315E-2</v>
      </c>
      <c r="P39" s="1">
        <f>(Main_L[[#This Row],[P/B]]-VLOOKUP(Main_L[[#This Row],[Industry]], Mean_PB_L, 2, FALSE))/(VLOOKUP(Main_L[[#This Row],[Industry]], Mean_PB_L, 3, FALSE))</f>
        <v>-0.500958426058561</v>
      </c>
      <c r="Q39" s="1">
        <f>(Main_L[[#This Row],[ROE]]-VLOOKUP(Main_L[[#This Row],[Industry]], Mean_ROE_L, 2, FALSE))/(VLOOKUP(Main_L[[#This Row],[Industry]], Mean_ROE_L, 3, FALSE))</f>
        <v>-0.76105628851535123</v>
      </c>
      <c r="R39" s="1">
        <f>(Main_L[[#This Row],[ROA]]-VLOOKUP(Main_L[[#This Row],[Industry]], Mean_ROA_L, 2, FALSE))/(VLOOKUP(Main_L[[#This Row],[Industry]], Mean_ROA_L, 3, FALSE))</f>
        <v>-0.85446145673122709</v>
      </c>
      <c r="S39" s="1">
        <f>(Main_L[[#This Row],[A/E]]-VLOOKUP(Main_L[[#This Row],[Industry]], Mean_AE_L, 2, FALSE))/(VLOOKUP(Main_L[[#This Row],[Industry]], Mean_AE_L, 3, FALSE))</f>
        <v>9.8762554012317566E-2</v>
      </c>
      <c r="T39" s="1">
        <f>(Main_L[[#This Row],[P/E]]-VLOOKUP(Main_L[[#This Row],[Industry]], Mean_PE_L, 2, FALSE))/(VLOOKUP(Main_L[[#This Row],[Industry]], Mean_PE_L, 3, FALSE))</f>
        <v>2.1942835813983632</v>
      </c>
      <c r="U3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0" spans="1:26" x14ac:dyDescent="0.25">
      <c r="A40" t="s">
        <v>191</v>
      </c>
      <c r="B40" t="s">
        <v>200</v>
      </c>
      <c r="C40" s="2">
        <v>94771</v>
      </c>
      <c r="D40">
        <f>RTD("tos.rtd", , "LAST", Main_L[[#This Row],[Symbol]])</f>
        <v>222.38</v>
      </c>
      <c r="E40">
        <v>4.57</v>
      </c>
      <c r="F40">
        <v>21.5</v>
      </c>
      <c r="G40">
        <v>6.64</v>
      </c>
      <c r="H40" s="1">
        <f>IF(ISNUMBER(Main_L[[#This Row],[Free CF]]),IF(Main_L[[#This Row],[Free CF]]&lt;&gt;0,Main_L[[#This Row],[Current Price]]/Main_L[[#This Row],[Free CF]],""),"")</f>
        <v>48.660831509846822</v>
      </c>
      <c r="I40" s="1">
        <f>IF(ISNUMBER(Main_L[[#This Row],[BVPS]]),IF(Main_L[[#This Row],[BVPS]]&lt;&gt;0,Main_L[[#This Row],[Current Price]]/Main_L[[#This Row],[BVPS]],""),"")</f>
        <v>10.343255813953489</v>
      </c>
      <c r="J40">
        <v>34.01</v>
      </c>
      <c r="K40">
        <v>7</v>
      </c>
      <c r="L40">
        <v>5.14</v>
      </c>
      <c r="M40" s="1">
        <f>IF(ISNUMBER(Main_L[[#This Row],[EPS]]),IF(Main_L[[#This Row],[EPS]]&lt;&gt;0,Main_L[[#This Row],[Current Price]]/Main_L[[#This Row],[EPS]],""),"")</f>
        <v>33.49096385542169</v>
      </c>
      <c r="N4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0" s="1">
        <f>(Main_L[[#This Row],[P/FCF]]-VLOOKUP(Main_L[[#This Row],[Industry]], Mean_PFCF_L, 2, FALSE))/(VLOOKUP(Main_L[[#This Row],[Industry]], Mean_PFCF_L, 3, FALSE))</f>
        <v>0.83166447281784595</v>
      </c>
      <c r="P40" s="1">
        <f>(Main_L[[#This Row],[P/B]]-VLOOKUP(Main_L[[#This Row],[Industry]], Mean_PB_L, 2, FALSE))/(VLOOKUP(Main_L[[#This Row],[Industry]], Mean_PB_L, 3, FALSE))</f>
        <v>0.47070874728570866</v>
      </c>
      <c r="Q40" s="1">
        <f>(Main_L[[#This Row],[ROE]]-VLOOKUP(Main_L[[#This Row],[Industry]], Mean_ROE_L, 2, FALSE))/(VLOOKUP(Main_L[[#This Row],[Industry]], Mean_ROE_L, 3, FALSE))</f>
        <v>0.82602383283006653</v>
      </c>
      <c r="R40" s="1">
        <f>(Main_L[[#This Row],[ROA]]-VLOOKUP(Main_L[[#This Row],[Industry]], Mean_ROA_L, 2, FALSE))/(VLOOKUP(Main_L[[#This Row],[Industry]], Mean_ROA_L, 3, FALSE))</f>
        <v>-0.21112976446267839</v>
      </c>
      <c r="S40" s="1">
        <f>(Main_L[[#This Row],[A/E]]-VLOOKUP(Main_L[[#This Row],[Industry]], Mean_AE_L, 2, FALSE))/(VLOOKUP(Main_L[[#This Row],[Industry]], Mean_AE_L, 3, FALSE))</f>
        <v>9.3784921290098566</v>
      </c>
      <c r="T40" s="1">
        <f>(Main_L[[#This Row],[P/E]]-VLOOKUP(Main_L[[#This Row],[Industry]], Mean_PE_L, 2, FALSE))/(VLOOKUP(Main_L[[#This Row],[Industry]], Mean_PE_L, 3, FALSE))</f>
        <v>-0.80838209309026043</v>
      </c>
      <c r="U4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4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1" spans="1:26" x14ac:dyDescent="0.25">
      <c r="A41" t="s">
        <v>191</v>
      </c>
      <c r="B41" t="s">
        <v>201</v>
      </c>
      <c r="C41" s="2">
        <v>59164</v>
      </c>
      <c r="D41">
        <f>RTD("tos.rtd", , "LAST", Main_L[[#This Row],[Symbol]])</f>
        <v>62.39</v>
      </c>
      <c r="E41">
        <v>1.06</v>
      </c>
      <c r="F41">
        <v>8.59</v>
      </c>
      <c r="G41">
        <v>1.49</v>
      </c>
      <c r="H41" s="1">
        <f>IF(ISNUMBER(Main_L[[#This Row],[Free CF]]),IF(Main_L[[#This Row],[Free CF]]&lt;&gt;0,Main_L[[#This Row],[Current Price]]/Main_L[[#This Row],[Free CF]],""),"")</f>
        <v>58.85849056603773</v>
      </c>
      <c r="I41" s="1">
        <f>IF(ISNUMBER(Main_L[[#This Row],[BVPS]]),IF(Main_L[[#This Row],[BVPS]]&lt;&gt;0,Main_L[[#This Row],[Current Price]]/Main_L[[#This Row],[BVPS]],""),"")</f>
        <v>7.2630966239813741</v>
      </c>
      <c r="J41">
        <v>19.18</v>
      </c>
      <c r="K41">
        <v>12.13</v>
      </c>
      <c r="L41">
        <v>1.1100000000000001</v>
      </c>
      <c r="M41" s="1">
        <f>IF(ISNUMBER(Main_L[[#This Row],[EPS]]),IF(Main_L[[#This Row],[EPS]]&lt;&gt;0,Main_L[[#This Row],[Current Price]]/Main_L[[#This Row],[EPS]],""),"")</f>
        <v>41.872483221476507</v>
      </c>
      <c r="N4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1" s="1">
        <f>(Main_L[[#This Row],[P/FCF]]-VLOOKUP(Main_L[[#This Row],[Industry]], Mean_PFCF_L, 2, FALSE))/(VLOOKUP(Main_L[[#This Row],[Industry]], Mean_PFCF_L, 3, FALSE))</f>
        <v>1.9234310527735898</v>
      </c>
      <c r="P41" s="1">
        <f>(Main_L[[#This Row],[P/B]]-VLOOKUP(Main_L[[#This Row],[Industry]], Mean_PB_L, 2, FALSE))/(VLOOKUP(Main_L[[#This Row],[Industry]], Mean_PB_L, 3, FALSE))</f>
        <v>-0.2165947013114673</v>
      </c>
      <c r="Q41" s="1">
        <f>(Main_L[[#This Row],[ROE]]-VLOOKUP(Main_L[[#This Row],[Industry]], Mean_ROE_L, 2, FALSE))/(VLOOKUP(Main_L[[#This Row],[Industry]], Mean_ROE_L, 3, FALSE))</f>
        <v>-7.7484735290952442E-2</v>
      </c>
      <c r="R41" s="1">
        <f>(Main_L[[#This Row],[ROA]]-VLOOKUP(Main_L[[#This Row],[Industry]], Mean_ROA_L, 2, FALSE))/(VLOOKUP(Main_L[[#This Row],[Industry]], Mean_ROA_L, 3, FALSE))</f>
        <v>0.88896742931653994</v>
      </c>
      <c r="S41" s="1">
        <f>(Main_L[[#This Row],[A/E]]-VLOOKUP(Main_L[[#This Row],[Industry]], Mean_AE_L, 2, FALSE))/(VLOOKUP(Main_L[[#This Row],[Industry]], Mean_AE_L, 3, FALSE))</f>
        <v>-4.9499792070974538</v>
      </c>
      <c r="T41" s="1">
        <f>(Main_L[[#This Row],[P/E]]-VLOOKUP(Main_L[[#This Row],[Industry]], Mean_PE_L, 2, FALSE))/(VLOOKUP(Main_L[[#This Row],[Industry]], Mean_PE_L, 3, FALSE))</f>
        <v>-0.22252760047185349</v>
      </c>
      <c r="U4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4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2" spans="1:26" x14ac:dyDescent="0.25">
      <c r="A42" t="s">
        <v>191</v>
      </c>
      <c r="B42" t="s">
        <v>202</v>
      </c>
      <c r="C42" s="2">
        <v>86859</v>
      </c>
      <c r="D42">
        <f>RTD("tos.rtd", , "LAST", Main_L[[#This Row],[Symbol]])</f>
        <v>215.33</v>
      </c>
      <c r="E42">
        <v>4.5199999999999996</v>
      </c>
      <c r="F42">
        <v>11.38</v>
      </c>
      <c r="G42">
        <v>4.3099999999999996</v>
      </c>
      <c r="H42" s="1">
        <f>IF(ISNUMBER(Main_L[[#This Row],[Free CF]]),IF(Main_L[[#This Row],[Free CF]]&lt;&gt;0,Main_L[[#This Row],[Current Price]]/Main_L[[#This Row],[Free CF]],""),"")</f>
        <v>47.639380530973462</v>
      </c>
      <c r="I42" s="1">
        <f>IF(ISNUMBER(Main_L[[#This Row],[BVPS]]),IF(Main_L[[#This Row],[BVPS]]&lt;&gt;0,Main_L[[#This Row],[Current Price]]/Main_L[[#This Row],[BVPS]],""),"")</f>
        <v>18.921792618629173</v>
      </c>
      <c r="J42">
        <v>40.299999999999997</v>
      </c>
      <c r="K42">
        <v>15.53</v>
      </c>
      <c r="L42">
        <v>2.09</v>
      </c>
      <c r="M42" s="1">
        <f>IF(ISNUMBER(Main_L[[#This Row],[EPS]]),IF(Main_L[[#This Row],[EPS]]&lt;&gt;0,Main_L[[#This Row],[Current Price]]/Main_L[[#This Row],[EPS]],""),"")</f>
        <v>49.960556844547568</v>
      </c>
      <c r="N4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2" s="1">
        <f>(Main_L[[#This Row],[P/FCF]]-VLOOKUP(Main_L[[#This Row],[Industry]], Mean_PFCF_L, 2, FALSE))/(VLOOKUP(Main_L[[#This Row],[Industry]], Mean_PFCF_L, 3, FALSE))</f>
        <v>0.72230741002018384</v>
      </c>
      <c r="P42" s="1">
        <f>(Main_L[[#This Row],[P/B]]-VLOOKUP(Main_L[[#This Row],[Industry]], Mean_PB_L, 2, FALSE))/(VLOOKUP(Main_L[[#This Row],[Industry]], Mean_PB_L, 3, FALSE))</f>
        <v>2.3849143341160355</v>
      </c>
      <c r="Q42" s="1">
        <f>(Main_L[[#This Row],[ROE]]-VLOOKUP(Main_L[[#This Row],[Industry]], Mean_ROE_L, 2, FALSE))/(VLOOKUP(Main_L[[#This Row],[Industry]], Mean_ROE_L, 3, FALSE))</f>
        <v>1.2092381884255627</v>
      </c>
      <c r="R42" s="1">
        <f>(Main_L[[#This Row],[ROA]]-VLOOKUP(Main_L[[#This Row],[Industry]], Mean_ROA_L, 2, FALSE))/(VLOOKUP(Main_L[[#This Row],[Industry]], Mean_ROA_L, 3, FALSE))</f>
        <v>1.6180766805542282</v>
      </c>
      <c r="S42" s="1">
        <f>(Main_L[[#This Row],[A/E]]-VLOOKUP(Main_L[[#This Row],[Industry]], Mean_AE_L, 2, FALSE))/(VLOOKUP(Main_L[[#This Row],[Industry]], Mean_AE_L, 3, FALSE))</f>
        <v>-1.4656363015428231</v>
      </c>
      <c r="T42" s="1">
        <f>(Main_L[[#This Row],[P/E]]-VLOOKUP(Main_L[[#This Row],[Industry]], Mean_PE_L, 2, FALSE))/(VLOOKUP(Main_L[[#This Row],[Industry]], Mean_PE_L, 3, FALSE))</f>
        <v>0.34281551475082223</v>
      </c>
      <c r="U4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3" spans="1:26" x14ac:dyDescent="0.25">
      <c r="A43" t="s">
        <v>191</v>
      </c>
      <c r="B43" t="s">
        <v>203</v>
      </c>
      <c r="C43" s="2">
        <v>18933</v>
      </c>
      <c r="D43">
        <f>RTD("tos.rtd", , "LAST", Main_L[[#This Row],[Symbol]])</f>
        <v>104.72</v>
      </c>
      <c r="E43">
        <v>3.38</v>
      </c>
      <c r="F43">
        <v>28.28</v>
      </c>
      <c r="G43">
        <v>2.0099999999999998</v>
      </c>
      <c r="H43" s="1">
        <f>IF(ISNUMBER(Main_L[[#This Row],[Free CF]]),IF(Main_L[[#This Row],[Free CF]]&lt;&gt;0,Main_L[[#This Row],[Current Price]]/Main_L[[#This Row],[Free CF]],""),"")</f>
        <v>30.982248520710058</v>
      </c>
      <c r="I43" s="1">
        <f>IF(ISNUMBER(Main_L[[#This Row],[BVPS]]),IF(Main_L[[#This Row],[BVPS]]&lt;&gt;0,Main_L[[#This Row],[Current Price]]/Main_L[[#This Row],[BVPS]],""),"")</f>
        <v>3.7029702970297027</v>
      </c>
      <c r="J43">
        <v>7.35</v>
      </c>
      <c r="K43">
        <v>4.12</v>
      </c>
      <c r="L43">
        <v>2.2599999999999998</v>
      </c>
      <c r="M43" s="1">
        <f>IF(ISNUMBER(Main_L[[#This Row],[EPS]]),IF(Main_L[[#This Row],[EPS]]&lt;&gt;0,Main_L[[#This Row],[Current Price]]/Main_L[[#This Row],[EPS]],""),"")</f>
        <v>52.099502487562191</v>
      </c>
      <c r="N4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3" s="1">
        <f>(Main_L[[#This Row],[P/FCF]]-VLOOKUP(Main_L[[#This Row],[Industry]], Mean_PFCF_L, 2, FALSE))/(VLOOKUP(Main_L[[#This Row],[Industry]], Mean_PFCF_L, 3, FALSE))</f>
        <v>-1.061013639105914</v>
      </c>
      <c r="P43" s="1">
        <f>(Main_L[[#This Row],[P/B]]-VLOOKUP(Main_L[[#This Row],[Industry]], Mean_PB_L, 2, FALSE))/(VLOOKUP(Main_L[[#This Row],[Industry]], Mean_PB_L, 3, FALSE))</f>
        <v>-1.0109975068293318</v>
      </c>
      <c r="Q43" s="1">
        <f>(Main_L[[#This Row],[ROE]]-VLOOKUP(Main_L[[#This Row],[Industry]], Mean_ROE_L, 2, FALSE))/(VLOOKUP(Main_L[[#This Row],[Industry]], Mean_ROE_L, 3, FALSE))</f>
        <v>-0.79822016083860292</v>
      </c>
      <c r="R43" s="1">
        <f>(Main_L[[#This Row],[ROA]]-VLOOKUP(Main_L[[#This Row],[Industry]], Mean_ROA_L, 2, FALSE))/(VLOOKUP(Main_L[[#This Row],[Industry]], Mean_ROA_L, 3, FALSE))</f>
        <v>-0.82872818904048506</v>
      </c>
      <c r="S43" s="1">
        <f>(Main_L[[#This Row],[A/E]]-VLOOKUP(Main_L[[#This Row],[Industry]], Mean_AE_L, 2, FALSE))/(VLOOKUP(Main_L[[#This Row],[Industry]], Mean_AE_L, 3, FALSE))</f>
        <v>-0.86120947098742795</v>
      </c>
      <c r="T43" s="1">
        <f>(Main_L[[#This Row],[P/E]]-VLOOKUP(Main_L[[#This Row],[Industry]], Mean_PE_L, 2, FALSE))/(VLOOKUP(Main_L[[#This Row],[Industry]], Mean_PE_L, 3, FALSE))</f>
        <v>0.4923243161623882</v>
      </c>
      <c r="U4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4" spans="1:26" x14ac:dyDescent="0.25">
      <c r="A44" t="s">
        <v>135</v>
      </c>
      <c r="B44" t="s">
        <v>136</v>
      </c>
      <c r="C44" s="2">
        <v>13468</v>
      </c>
      <c r="D44">
        <f>RTD("tos.rtd", , "LAST", Main_L[[#This Row],[Symbol]])</f>
        <v>106.68</v>
      </c>
      <c r="E44">
        <v>5.43</v>
      </c>
      <c r="F44">
        <v>16.62</v>
      </c>
      <c r="G44">
        <v>4.67</v>
      </c>
      <c r="H44" s="1">
        <f>IF(ISNUMBER(Main_L[[#This Row],[Free CF]]),IF(Main_L[[#This Row],[Free CF]]&lt;&gt;0,Main_L[[#This Row],[Current Price]]/Main_L[[#This Row],[Free CF]],""),"")</f>
        <v>19.646408839779006</v>
      </c>
      <c r="I44" s="1">
        <f>IF(ISNUMBER(Main_L[[#This Row],[BVPS]]),IF(Main_L[[#This Row],[BVPS]]&lt;&gt;0,Main_L[[#This Row],[Current Price]]/Main_L[[#This Row],[BVPS]],""),"")</f>
        <v>6.418772563176895</v>
      </c>
      <c r="J44">
        <v>26.68</v>
      </c>
      <c r="K44">
        <v>5.13</v>
      </c>
      <c r="L44">
        <v>5.36</v>
      </c>
      <c r="M44" s="1">
        <f>IF(ISNUMBER(Main_L[[#This Row],[EPS]]),IF(Main_L[[#This Row],[EPS]]&lt;&gt;0,Main_L[[#This Row],[Current Price]]/Main_L[[#This Row],[EPS]],""),"")</f>
        <v>22.843683083511777</v>
      </c>
      <c r="N4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4" s="1">
        <f>(Main_L[[#This Row],[P/FCF]]-VLOOKUP(Main_L[[#This Row],[Industry]], Mean_PFCF_L, 2, FALSE))/(VLOOKUP(Main_L[[#This Row],[Industry]], Mean_PFCF_L, 3, FALSE))</f>
        <v>-0.57196083471886405</v>
      </c>
      <c r="P44" s="1">
        <f>(Main_L[[#This Row],[P/B]]-VLOOKUP(Main_L[[#This Row],[Industry]], Mean_PB_L, 2, FALSE))/(VLOOKUP(Main_L[[#This Row],[Industry]], Mean_PB_L, 3, FALSE))</f>
        <v>0.12405646906318497</v>
      </c>
      <c r="Q44" s="1">
        <f>(Main_L[[#This Row],[ROE]]-VLOOKUP(Main_L[[#This Row],[Industry]], Mean_ROE_L, 2, FALSE))/(VLOOKUP(Main_L[[#This Row],[Industry]], Mean_ROE_L, 3, FALSE))</f>
        <v>0.47358866311554859</v>
      </c>
      <c r="R44" s="1">
        <f>(Main_L[[#This Row],[ROA]]-VLOOKUP(Main_L[[#This Row],[Industry]], Mean_ROA_L, 2, FALSE))/(VLOOKUP(Main_L[[#This Row],[Industry]], Mean_ROA_L, 3, FALSE))</f>
        <v>-0.50098030089977619</v>
      </c>
      <c r="S44" s="1">
        <f>(Main_L[[#This Row],[A/E]]-VLOOKUP(Main_L[[#This Row],[Industry]], Mean_AE_L, 2, FALSE))/(VLOOKUP(Main_L[[#This Row],[Industry]], Mean_AE_L, 3, FALSE))</f>
        <v>12.367871854864759</v>
      </c>
      <c r="T44" s="1">
        <f>(Main_L[[#This Row],[P/E]]-VLOOKUP(Main_L[[#This Row],[Industry]], Mean_PE_L, 2, FALSE))/(VLOOKUP(Main_L[[#This Row],[Industry]], Mean_PE_L, 3, FALSE))</f>
        <v>-0.98835018026113564</v>
      </c>
      <c r="U4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4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5" spans="1:26" x14ac:dyDescent="0.25">
      <c r="A45" t="s">
        <v>135</v>
      </c>
      <c r="B45" t="s">
        <v>137</v>
      </c>
      <c r="C45" s="2">
        <v>12012</v>
      </c>
      <c r="D45">
        <f>RTD("tos.rtd", , "LAST", Main_L[[#This Row],[Symbol]])</f>
        <v>45.81</v>
      </c>
      <c r="E45">
        <v>2.19</v>
      </c>
      <c r="F45">
        <v>10.77</v>
      </c>
      <c r="G45">
        <v>0.51</v>
      </c>
      <c r="H45" s="1">
        <f>IF(ISNUMBER(Main_L[[#This Row],[Free CF]]),IF(Main_L[[#This Row],[Free CF]]&lt;&gt;0,Main_L[[#This Row],[Current Price]]/Main_L[[#This Row],[Free CF]],""),"")</f>
        <v>20.917808219178085</v>
      </c>
      <c r="I45" s="1">
        <f>IF(ISNUMBER(Main_L[[#This Row],[BVPS]]),IF(Main_L[[#This Row],[BVPS]]&lt;&gt;0,Main_L[[#This Row],[Current Price]]/Main_L[[#This Row],[BVPS]],""),"")</f>
        <v>4.2534818941504184</v>
      </c>
      <c r="J45">
        <v>9.09</v>
      </c>
      <c r="K45">
        <v>3.87</v>
      </c>
      <c r="L45">
        <v>2.72</v>
      </c>
      <c r="M45" s="1">
        <f>IF(ISNUMBER(Main_L[[#This Row],[EPS]]),IF(Main_L[[#This Row],[EPS]]&lt;&gt;0,Main_L[[#This Row],[Current Price]]/Main_L[[#This Row],[EPS]],""),"")</f>
        <v>89.82352941176471</v>
      </c>
      <c r="N4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5" s="1">
        <f>(Main_L[[#This Row],[P/FCF]]-VLOOKUP(Main_L[[#This Row],[Industry]], Mean_PFCF_L, 2, FALSE))/(VLOOKUP(Main_L[[#This Row],[Industry]], Mean_PFCF_L, 3, FALSE))</f>
        <v>-0.41302756144424752</v>
      </c>
      <c r="P45" s="1">
        <f>(Main_L[[#This Row],[P/B]]-VLOOKUP(Main_L[[#This Row],[Industry]], Mean_PB_L, 2, FALSE))/(VLOOKUP(Main_L[[#This Row],[Industry]], Mean_PB_L, 3, FALSE))</f>
        <v>-1.1828784998230464</v>
      </c>
      <c r="Q45" s="1">
        <f>(Main_L[[#This Row],[ROE]]-VLOOKUP(Main_L[[#This Row],[Industry]], Mean_ROE_L, 2, FALSE))/(VLOOKUP(Main_L[[#This Row],[Industry]], Mean_ROE_L, 3, FALSE))</f>
        <v>-0.99933308705917978</v>
      </c>
      <c r="R45" s="1">
        <f>(Main_L[[#This Row],[ROA]]-VLOOKUP(Main_L[[#This Row],[Industry]], Mean_ROA_L, 2, FALSE))/(VLOOKUP(Main_L[[#This Row],[Industry]], Mean_ROA_L, 3, FALSE))</f>
        <v>-0.87043232882084853</v>
      </c>
      <c r="S45" s="1">
        <f>(Main_L[[#This Row],[A/E]]-VLOOKUP(Main_L[[#This Row],[Industry]], Mean_AE_L, 2, FALSE))/(VLOOKUP(Main_L[[#This Row],[Industry]], Mean_AE_L, 3, FALSE))</f>
        <v>0.22236099429081096</v>
      </c>
      <c r="T45" s="1">
        <f>(Main_L[[#This Row],[P/E]]-VLOOKUP(Main_L[[#This Row],[Industry]], Mean_PE_L, 2, FALSE))/(VLOOKUP(Main_L[[#This Row],[Industry]], Mean_PE_L, 3, FALSE))</f>
        <v>1.9420314528677325</v>
      </c>
      <c r="U4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6" spans="1:26" x14ac:dyDescent="0.25">
      <c r="A46" t="s">
        <v>135</v>
      </c>
      <c r="B46" t="s">
        <v>138</v>
      </c>
      <c r="C46" s="2">
        <v>19432</v>
      </c>
      <c r="D46">
        <f>RTD("tos.rtd", , "LAST", Main_L[[#This Row],[Symbol]])</f>
        <v>472.38</v>
      </c>
      <c r="E46">
        <v>28.19</v>
      </c>
      <c r="F46">
        <v>65.08</v>
      </c>
      <c r="G46">
        <v>22.63</v>
      </c>
      <c r="H46" s="1">
        <f>IF(ISNUMBER(Main_L[[#This Row],[Free CF]]),IF(Main_L[[#This Row],[Free CF]]&lt;&gt;0,Main_L[[#This Row],[Current Price]]/Main_L[[#This Row],[Free CF]],""),"")</f>
        <v>16.75700603050727</v>
      </c>
      <c r="I46" s="1">
        <f>IF(ISNUMBER(Main_L[[#This Row],[BVPS]]),IF(Main_L[[#This Row],[BVPS]]&lt;&gt;0,Main_L[[#This Row],[Current Price]]/Main_L[[#This Row],[BVPS]],""),"")</f>
        <v>7.2584511370620772</v>
      </c>
      <c r="J46">
        <v>37.74</v>
      </c>
      <c r="K46">
        <v>11.97</v>
      </c>
      <c r="L46">
        <v>2.74</v>
      </c>
      <c r="M46" s="1">
        <f>IF(ISNUMBER(Main_L[[#This Row],[EPS]]),IF(Main_L[[#This Row],[EPS]]&lt;&gt;0,Main_L[[#This Row],[Current Price]]/Main_L[[#This Row],[EPS]],""),"")</f>
        <v>20.874060980998674</v>
      </c>
      <c r="N4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6" s="1">
        <f>(Main_L[[#This Row],[P/FCF]]-VLOOKUP(Main_L[[#This Row],[Industry]], Mean_PFCF_L, 2, FALSE))/(VLOOKUP(Main_L[[#This Row],[Industry]], Mean_PFCF_L, 3, FALSE))</f>
        <v>-0.93315516415410338</v>
      </c>
      <c r="P46" s="1">
        <f>(Main_L[[#This Row],[P/B]]-VLOOKUP(Main_L[[#This Row],[Industry]], Mean_PB_L, 2, FALSE))/(VLOOKUP(Main_L[[#This Row],[Industry]], Mean_PB_L, 3, FALSE))</f>
        <v>0.63087308566480893</v>
      </c>
      <c r="Q46" s="1">
        <f>(Main_L[[#This Row],[ROE]]-VLOOKUP(Main_L[[#This Row],[Industry]], Mean_ROE_L, 2, FALSE))/(VLOOKUP(Main_L[[#This Row],[Industry]], Mean_ROE_L, 3, FALSE))</f>
        <v>1.3997122877279704</v>
      </c>
      <c r="R46" s="1">
        <f>(Main_L[[#This Row],[ROA]]-VLOOKUP(Main_L[[#This Row],[Industry]], Mean_ROA_L, 2, FALSE))/(VLOOKUP(Main_L[[#This Row],[Industry]], Mean_ROA_L, 3, FALSE))</f>
        <v>1.5046164221003318</v>
      </c>
      <c r="S46" s="1">
        <f>(Main_L[[#This Row],[A/E]]-VLOOKUP(Main_L[[#This Row],[Industry]], Mean_AE_L, 2, FALSE))/(VLOOKUP(Main_L[[#This Row],[Industry]], Mean_AE_L, 3, FALSE))</f>
        <v>0.31437244020425004</v>
      </c>
      <c r="T46" s="1">
        <f>(Main_L[[#This Row],[P/E]]-VLOOKUP(Main_L[[#This Row],[Industry]], Mean_PE_L, 2, FALSE))/(VLOOKUP(Main_L[[#This Row],[Industry]], Mean_PE_L, 3, FALSE))</f>
        <v>-1.0745215400030357</v>
      </c>
      <c r="U4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7" spans="1:26" x14ac:dyDescent="0.25">
      <c r="A47" t="s">
        <v>135</v>
      </c>
      <c r="B47" t="s">
        <v>139</v>
      </c>
      <c r="C47" s="2">
        <v>15244</v>
      </c>
      <c r="D47">
        <f>RTD("tos.rtd", , "LAST", Main_L[[#This Row],[Symbol]])</f>
        <v>465.23</v>
      </c>
      <c r="E47">
        <v>14.21</v>
      </c>
      <c r="F47">
        <v>50.44</v>
      </c>
      <c r="G47">
        <v>16.66</v>
      </c>
      <c r="H47" s="1">
        <f>IF(ISNUMBER(Main_L[[#This Row],[Free CF]]),IF(Main_L[[#This Row],[Free CF]]&lt;&gt;0,Main_L[[#This Row],[Current Price]]/Main_L[[#This Row],[Free CF]],""),"")</f>
        <v>32.739619985925401</v>
      </c>
      <c r="I47" s="1">
        <f>IF(ISNUMBER(Main_L[[#This Row],[BVPS]]),IF(Main_L[[#This Row],[BVPS]]&lt;&gt;0,Main_L[[#This Row],[Current Price]]/Main_L[[#This Row],[BVPS]],""),"")</f>
        <v>9.2234337827121333</v>
      </c>
      <c r="J47">
        <v>37.81</v>
      </c>
      <c r="K47">
        <v>12.1</v>
      </c>
      <c r="L47">
        <v>2.57</v>
      </c>
      <c r="M47" s="1">
        <f>IF(ISNUMBER(Main_L[[#This Row],[EPS]]),IF(Main_L[[#This Row],[EPS]]&lt;&gt;0,Main_L[[#This Row],[Current Price]]/Main_L[[#This Row],[EPS]],""),"")</f>
        <v>27.924969987995198</v>
      </c>
      <c r="N4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7" s="1">
        <f>(Main_L[[#This Row],[P/FCF]]-VLOOKUP(Main_L[[#This Row],[Industry]], Mean_PFCF_L, 2, FALSE))/(VLOOKUP(Main_L[[#This Row],[Industry]], Mean_PFCF_L, 3, FALSE))</f>
        <v>1.0647765578353867</v>
      </c>
      <c r="P47" s="1">
        <f>(Main_L[[#This Row],[P/B]]-VLOOKUP(Main_L[[#This Row],[Industry]], Mean_PB_L, 2, FALSE))/(VLOOKUP(Main_L[[#This Row],[Industry]], Mean_PB_L, 3, FALSE))</f>
        <v>1.8169053212395692</v>
      </c>
      <c r="Q47" s="1">
        <f>(Main_L[[#This Row],[ROE]]-VLOOKUP(Main_L[[#This Row],[Industry]], Mean_ROE_L, 2, FALSE))/(VLOOKUP(Main_L[[#This Row],[Industry]], Mean_ROE_L, 3, FALSE))</f>
        <v>1.4055738296558971</v>
      </c>
      <c r="R47" s="1">
        <f>(Main_L[[#This Row],[ROA]]-VLOOKUP(Main_L[[#This Row],[Industry]], Mean_ROA_L, 2, FALSE))/(VLOOKUP(Main_L[[#This Row],[Industry]], Mean_ROA_L, 3, FALSE))</f>
        <v>1.5427344884731404</v>
      </c>
      <c r="S47" s="1">
        <f>(Main_L[[#This Row],[A/E]]-VLOOKUP(Main_L[[#This Row],[Industry]], Mean_AE_L, 2, FALSE))/(VLOOKUP(Main_L[[#This Row],[Industry]], Mean_AE_L, 3, FALSE))</f>
        <v>-0.46772485005998321</v>
      </c>
      <c r="T47" s="1">
        <f>(Main_L[[#This Row],[P/E]]-VLOOKUP(Main_L[[#This Row],[Industry]], Mean_PE_L, 2, FALSE))/(VLOOKUP(Main_L[[#This Row],[Industry]], Mean_PE_L, 3, FALSE))</f>
        <v>-0.76604286494447416</v>
      </c>
      <c r="U4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8" spans="1:26" x14ac:dyDescent="0.25">
      <c r="A48" t="s">
        <v>135</v>
      </c>
      <c r="B48" t="s">
        <v>140</v>
      </c>
      <c r="C48" s="2">
        <v>11464</v>
      </c>
      <c r="D48">
        <f>RTD("tos.rtd", , "LAST", Main_L[[#This Row],[Symbol]])</f>
        <v>156.75</v>
      </c>
      <c r="E48">
        <v>11.8</v>
      </c>
      <c r="F48">
        <v>36.99</v>
      </c>
      <c r="G48">
        <v>2.7</v>
      </c>
      <c r="H48" s="1">
        <f>IF(ISNUMBER(Main_L[[#This Row],[Free CF]]),IF(Main_L[[#This Row],[Free CF]]&lt;&gt;0,Main_L[[#This Row],[Current Price]]/Main_L[[#This Row],[Free CF]],""),"")</f>
        <v>13.283898305084746</v>
      </c>
      <c r="I48" s="1">
        <f>IF(ISNUMBER(Main_L[[#This Row],[BVPS]]),IF(Main_L[[#This Row],[BVPS]]&lt;&gt;0,Main_L[[#This Row],[Current Price]]/Main_L[[#This Row],[BVPS]],""),"")</f>
        <v>4.2376317923763178</v>
      </c>
      <c r="J48">
        <v>8.7200000000000006</v>
      </c>
      <c r="K48">
        <v>3.35</v>
      </c>
      <c r="L48">
        <v>3.07</v>
      </c>
      <c r="M48" s="1">
        <f>IF(ISNUMBER(Main_L[[#This Row],[EPS]]),IF(Main_L[[#This Row],[EPS]]&lt;&gt;0,Main_L[[#This Row],[Current Price]]/Main_L[[#This Row],[EPS]],""),"")</f>
        <v>58.05555555555555</v>
      </c>
      <c r="N4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8" s="1">
        <f>(Main_L[[#This Row],[P/FCF]]-VLOOKUP(Main_L[[#This Row],[Industry]], Mean_PFCF_L, 2, FALSE))/(VLOOKUP(Main_L[[#This Row],[Industry]], Mean_PFCF_L, 3, FALSE))</f>
        <v>-1.3673164420191726</v>
      </c>
      <c r="P48" s="1">
        <f>(Main_L[[#This Row],[P/B]]-VLOOKUP(Main_L[[#This Row],[Industry]], Mean_PB_L, 2, FALSE))/(VLOOKUP(Main_L[[#This Row],[Industry]], Mean_PB_L, 3, FALSE))</f>
        <v>-1.1924453688652943</v>
      </c>
      <c r="Q48" s="1">
        <f>(Main_L[[#This Row],[ROE]]-VLOOKUP(Main_L[[#This Row],[Industry]], Mean_ROE_L, 2, FALSE))/(VLOOKUP(Main_L[[#This Row],[Industry]], Mean_ROE_L, 3, FALSE))</f>
        <v>-1.0303155229639354</v>
      </c>
      <c r="R48" s="1">
        <f>(Main_L[[#This Row],[ROA]]-VLOOKUP(Main_L[[#This Row],[Industry]], Mean_ROA_L, 2, FALSE))/(VLOOKUP(Main_L[[#This Row],[Industry]], Mean_ROA_L, 3, FALSE))</f>
        <v>-1.0229045943120847</v>
      </c>
      <c r="S48" s="1">
        <f>(Main_L[[#This Row],[A/E]]-VLOOKUP(Main_L[[#This Row],[Industry]], Mean_AE_L, 2, FALSE))/(VLOOKUP(Main_L[[#This Row],[Industry]], Mean_AE_L, 3, FALSE))</f>
        <v>1.832561297775992</v>
      </c>
      <c r="T48" s="1">
        <f>(Main_L[[#This Row],[P/E]]-VLOOKUP(Main_L[[#This Row],[Industry]], Mean_PE_L, 2, FALSE))/(VLOOKUP(Main_L[[#This Row],[Industry]], Mean_PE_L, 3, FALSE))</f>
        <v>0.55217626189387836</v>
      </c>
      <c r="U4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9" spans="1:26" x14ac:dyDescent="0.25">
      <c r="A49" t="s">
        <v>135</v>
      </c>
      <c r="B49" t="s">
        <v>141</v>
      </c>
      <c r="C49" s="2">
        <v>47956</v>
      </c>
      <c r="D49">
        <f>RTD("tos.rtd", , "LAST", Main_L[[#This Row],[Symbol]])</f>
        <v>343.58</v>
      </c>
      <c r="E49">
        <v>9.7100000000000009</v>
      </c>
      <c r="F49">
        <v>50.29</v>
      </c>
      <c r="G49">
        <v>6.19</v>
      </c>
      <c r="H49" s="1">
        <f>IF(ISNUMBER(Main_L[[#This Row],[Free CF]]),IF(Main_L[[#This Row],[Free CF]]&lt;&gt;0,Main_L[[#This Row],[Current Price]]/Main_L[[#This Row],[Free CF]],""),"")</f>
        <v>35.38414006179196</v>
      </c>
      <c r="I49" s="1">
        <f>IF(ISNUMBER(Main_L[[#This Row],[BVPS]]),IF(Main_L[[#This Row],[BVPS]]&lt;&gt;0,Main_L[[#This Row],[Current Price]]/Main_L[[#This Row],[BVPS]],""),"")</f>
        <v>6.8319745476237816</v>
      </c>
      <c r="J49">
        <v>13.73</v>
      </c>
      <c r="K49">
        <v>5.01</v>
      </c>
      <c r="L49">
        <v>2.57</v>
      </c>
      <c r="M49" s="1">
        <f>IF(ISNUMBER(Main_L[[#This Row],[EPS]]),IF(Main_L[[#This Row],[EPS]]&lt;&gt;0,Main_L[[#This Row],[Current Price]]/Main_L[[#This Row],[EPS]],""),"")</f>
        <v>55.505654281098543</v>
      </c>
      <c r="N4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9" s="1">
        <f>(Main_L[[#This Row],[P/FCF]]-VLOOKUP(Main_L[[#This Row],[Industry]], Mean_PFCF_L, 2, FALSE))/(VLOOKUP(Main_L[[#This Row],[Industry]], Mean_PFCF_L, 3, FALSE))</f>
        <v>1.3953589371476713</v>
      </c>
      <c r="P49" s="1">
        <f>(Main_L[[#This Row],[P/B]]-VLOOKUP(Main_L[[#This Row],[Industry]], Mean_PB_L, 2, FALSE))/(VLOOKUP(Main_L[[#This Row],[Industry]], Mean_PB_L, 3, FALSE))</f>
        <v>0.37345860726646812</v>
      </c>
      <c r="Q49" s="1">
        <f>(Main_L[[#This Row],[ROE]]-VLOOKUP(Main_L[[#This Row],[Industry]], Mean_ROE_L, 2, FALSE))/(VLOOKUP(Main_L[[#This Row],[Industry]], Mean_ROE_L, 3, FALSE))</f>
        <v>-0.61079659355089444</v>
      </c>
      <c r="R49" s="1">
        <f>(Main_L[[#This Row],[ROA]]-VLOOKUP(Main_L[[#This Row],[Industry]], Mean_ROA_L, 2, FALSE))/(VLOOKUP(Main_L[[#This Row],[Industry]], Mean_ROA_L, 3, FALSE))</f>
        <v>-0.53616620832083073</v>
      </c>
      <c r="S49" s="1">
        <f>(Main_L[[#This Row],[A/E]]-VLOOKUP(Main_L[[#This Row],[Industry]], Mean_AE_L, 2, FALSE))/(VLOOKUP(Main_L[[#This Row],[Industry]], Mean_AE_L, 3, FALSE))</f>
        <v>-0.46772485005998321</v>
      </c>
      <c r="T49" s="1">
        <f>(Main_L[[#This Row],[P/E]]-VLOOKUP(Main_L[[#This Row],[Industry]], Mean_PE_L, 2, FALSE))/(VLOOKUP(Main_L[[#This Row],[Industry]], Mean_PE_L, 3, FALSE))</f>
        <v>0.44061757266755136</v>
      </c>
      <c r="U4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50" spans="1:26" x14ac:dyDescent="0.25">
      <c r="A50" t="s">
        <v>135</v>
      </c>
      <c r="B50" t="s">
        <v>289</v>
      </c>
      <c r="C50" s="2">
        <v>10419</v>
      </c>
      <c r="D50">
        <f>RTD("tos.rtd", , "LAST", Main_L[[#This Row],[Symbol]])</f>
        <v>94.63</v>
      </c>
      <c r="E50">
        <v>3.07</v>
      </c>
      <c r="F50">
        <v>17.96</v>
      </c>
      <c r="G50">
        <v>2.2000000000000002</v>
      </c>
      <c r="H50" s="1">
        <f>IF(ISNUMBER(Main_L[[#This Row],[Free CF]]),IF(Main_L[[#This Row],[Free CF]]&lt;&gt;0,Main_L[[#This Row],[Current Price]]/Main_L[[#This Row],[Free CF]],""),"")</f>
        <v>30.824104234527688</v>
      </c>
      <c r="I50" s="1">
        <f>IF(ISNUMBER(Main_L[[#This Row],[BVPS]]),IF(Main_L[[#This Row],[BVPS]]&lt;&gt;0,Main_L[[#This Row],[Current Price]]/Main_L[[#This Row],[BVPS]],""),"")</f>
        <v>5.2689309576837413</v>
      </c>
      <c r="J50">
        <v>13.4</v>
      </c>
      <c r="K50">
        <v>6.44</v>
      </c>
      <c r="L50">
        <v>2.36</v>
      </c>
      <c r="M50" s="1">
        <f>IF(ISNUMBER(Main_L[[#This Row],[EPS]]),IF(Main_L[[#This Row],[EPS]]&lt;&gt;0,Main_L[[#This Row],[Current Price]]/Main_L[[#This Row],[EPS]],""),"")</f>
        <v>43.013636363636358</v>
      </c>
      <c r="N5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50" s="1">
        <f>(Main_L[[#This Row],[P/FCF]]-VLOOKUP(Main_L[[#This Row],[Industry]], Mean_PFCF_L, 2, FALSE))/(VLOOKUP(Main_L[[#This Row],[Industry]], Mean_PFCF_L, 3, FALSE))</f>
        <v>0.82532450735332885</v>
      </c>
      <c r="P50" s="1">
        <f>(Main_L[[#This Row],[P/B]]-VLOOKUP(Main_L[[#This Row],[Industry]], Mean_PB_L, 2, FALSE))/(VLOOKUP(Main_L[[#This Row],[Industry]], Mean_PB_L, 3, FALSE))</f>
        <v>-0.56996961454569128</v>
      </c>
      <c r="Q50" s="1">
        <f>(Main_L[[#This Row],[ROE]]-VLOOKUP(Main_L[[#This Row],[Industry]], Mean_ROE_L, 2, FALSE))/(VLOOKUP(Main_L[[#This Row],[Industry]], Mean_ROE_L, 3, FALSE))</f>
        <v>-0.63842957692540603</v>
      </c>
      <c r="R50" s="1">
        <f>(Main_L[[#This Row],[ROA]]-VLOOKUP(Main_L[[#This Row],[Industry]], Mean_ROA_L, 2, FALSE))/(VLOOKUP(Main_L[[#This Row],[Industry]], Mean_ROA_L, 3, FALSE))</f>
        <v>-0.11686747821993082</v>
      </c>
      <c r="S50" s="1">
        <f>(Main_L[[#This Row],[A/E]]-VLOOKUP(Main_L[[#This Row],[Industry]], Mean_AE_L, 2, FALSE))/(VLOOKUP(Main_L[[#This Row],[Industry]], Mean_AE_L, 3, FALSE))</f>
        <v>-1.4338450321510925</v>
      </c>
      <c r="T50" s="1">
        <f>(Main_L[[#This Row],[P/E]]-VLOOKUP(Main_L[[#This Row],[Industry]], Mean_PE_L, 2, FALSE))/(VLOOKUP(Main_L[[#This Row],[Industry]], Mean_PE_L, 3, FALSE))</f>
        <v>-0.10591070222051589</v>
      </c>
      <c r="U5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5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5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5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5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5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51" spans="1:26" x14ac:dyDescent="0.25">
      <c r="A51" t="s">
        <v>142</v>
      </c>
      <c r="B51" t="s">
        <v>143</v>
      </c>
      <c r="C51" s="2">
        <v>39182</v>
      </c>
      <c r="D51">
        <f>RTD("tos.rtd", , "LAST", Main_L[[#This Row],[Symbol]])</f>
        <v>180.5</v>
      </c>
      <c r="E51">
        <v>7.41</v>
      </c>
      <c r="F51">
        <v>43.18</v>
      </c>
      <c r="G51">
        <v>6.11</v>
      </c>
      <c r="H51" s="1">
        <f>IF(ISNUMBER(Main_L[[#This Row],[Free CF]]),IF(Main_L[[#This Row],[Free CF]]&lt;&gt;0,Main_L[[#This Row],[Current Price]]/Main_L[[#This Row],[Free CF]],""),"")</f>
        <v>24.358974358974358</v>
      </c>
      <c r="I51" s="1">
        <f>IF(ISNUMBER(Main_L[[#This Row],[BVPS]]),IF(Main_L[[#This Row],[BVPS]]&lt;&gt;0,Main_L[[#This Row],[Current Price]]/Main_L[[#This Row],[BVPS]],""),"")</f>
        <v>4.1801760074108385</v>
      </c>
      <c r="J51">
        <v>14.96</v>
      </c>
      <c r="K51">
        <v>7.52</v>
      </c>
      <c r="L51">
        <v>1.49</v>
      </c>
      <c r="M51" s="1">
        <f>IF(ISNUMBER(Main_L[[#This Row],[EPS]]),IF(Main_L[[#This Row],[EPS]]&lt;&gt;0,Main_L[[#This Row],[Current Price]]/Main_L[[#This Row],[EPS]],""),"")</f>
        <v>29.541734860883796</v>
      </c>
      <c r="N5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YES</v>
      </c>
      <c r="O51" s="1">
        <f>(Main_L[[#This Row],[P/FCF]]-VLOOKUP(Main_L[[#This Row],[Industry]], Mean_PFCF_L, 2, FALSE))/(VLOOKUP(Main_L[[#This Row],[Industry]], Mean_PFCF_L, 3, FALSE))</f>
        <v>-0.99920386252083415</v>
      </c>
      <c r="P51" s="1">
        <f>(Main_L[[#This Row],[P/B]]-VLOOKUP(Main_L[[#This Row],[Industry]], Mean_PB_L, 2, FALSE))/(VLOOKUP(Main_L[[#This Row],[Industry]], Mean_PB_L, 3, FALSE))</f>
        <v>-1.0330312520554814</v>
      </c>
      <c r="Q51" s="1">
        <f>(Main_L[[#This Row],[ROE]]-VLOOKUP(Main_L[[#This Row],[Industry]], Mean_ROE_L, 2, FALSE))/(VLOOKUP(Main_L[[#This Row],[Industry]], Mean_ROE_L, 3, FALSE))</f>
        <v>-0.79937978428419176</v>
      </c>
      <c r="R51" s="1">
        <f>(Main_L[[#This Row],[ROA]]-VLOOKUP(Main_L[[#This Row],[Industry]], Mean_ROA_L, 2, FALSE))/(VLOOKUP(Main_L[[#This Row],[Industry]], Mean_ROA_L, 3, FALSE))</f>
        <v>0.15372569589324689</v>
      </c>
      <c r="S51" s="1">
        <f>(Main_L[[#This Row],[A/E]]-VLOOKUP(Main_L[[#This Row],[Industry]], Mean_AE_L, 2, FALSE))/(VLOOKUP(Main_L[[#This Row],[Industry]], Mean_AE_L, 3, FALSE))</f>
        <v>-1.3140321772289763</v>
      </c>
      <c r="T51" s="1">
        <f>(Main_L[[#This Row],[P/E]]-VLOOKUP(Main_L[[#This Row],[Industry]], Mean_PE_L, 2, FALSE))/(VLOOKUP(Main_L[[#This Row],[Industry]], Mean_PE_L, 3, FALSE))</f>
        <v>-0.81262939665578893</v>
      </c>
      <c r="U5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5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5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5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5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5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52" spans="1:26" x14ac:dyDescent="0.25">
      <c r="A52" t="s">
        <v>142</v>
      </c>
      <c r="B52" t="s">
        <v>145</v>
      </c>
      <c r="C52" s="2">
        <v>61950</v>
      </c>
      <c r="D52">
        <f>RTD("tos.rtd", , "LAST", Main_L[[#This Row],[Symbol]])</f>
        <v>121.49</v>
      </c>
      <c r="E52">
        <v>5.73</v>
      </c>
      <c r="F52">
        <v>36.340000000000003</v>
      </c>
      <c r="G52">
        <v>3.55</v>
      </c>
      <c r="H52" s="1">
        <f>IF(ISNUMBER(Main_L[[#This Row],[Free CF]]),IF(Main_L[[#This Row],[Free CF]]&lt;&gt;0,Main_L[[#This Row],[Current Price]]/Main_L[[#This Row],[Free CF]],""),"")</f>
        <v>21.20244328097731</v>
      </c>
      <c r="I52" s="1">
        <f>IF(ISNUMBER(Main_L[[#This Row],[BVPS]]),IF(Main_L[[#This Row],[BVPS]]&lt;&gt;0,Main_L[[#This Row],[Current Price]]/Main_L[[#This Row],[BVPS]],""),"")</f>
        <v>3.3431480462300489</v>
      </c>
      <c r="J52">
        <v>7.7</v>
      </c>
      <c r="K52">
        <v>4.45</v>
      </c>
      <c r="L52">
        <v>2.08</v>
      </c>
      <c r="M52" s="1">
        <f>IF(ISNUMBER(Main_L[[#This Row],[EPS]]),IF(Main_L[[#This Row],[EPS]]&lt;&gt;0,Main_L[[#This Row],[Current Price]]/Main_L[[#This Row],[EPS]],""),"")</f>
        <v>34.222535211267605</v>
      </c>
      <c r="N5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52" s="1">
        <f>(Main_L[[#This Row],[P/FCF]]-VLOOKUP(Main_L[[#This Row],[Industry]], Mean_PFCF_L, 2, FALSE))/(VLOOKUP(Main_L[[#This Row],[Industry]], Mean_PFCF_L, 3, FALSE))</f>
        <v>-1.5009161232237553</v>
      </c>
      <c r="P52" s="1">
        <f>(Main_L[[#This Row],[P/B]]-VLOOKUP(Main_L[[#This Row],[Industry]], Mean_PB_L, 2, FALSE))/(VLOOKUP(Main_L[[#This Row],[Industry]], Mean_PB_L, 3, FALSE))</f>
        <v>-1.2301267433320593</v>
      </c>
      <c r="Q52" s="1">
        <f>(Main_L[[#This Row],[ROE]]-VLOOKUP(Main_L[[#This Row],[Industry]], Mean_ROE_L, 2, FALSE))/(VLOOKUP(Main_L[[#This Row],[Industry]], Mean_ROE_L, 3, FALSE))</f>
        <v>-1.7670901377220825</v>
      </c>
      <c r="R52" s="1">
        <f>(Main_L[[#This Row],[ROA]]-VLOOKUP(Main_L[[#This Row],[Industry]], Mean_ROA_L, 2, FALSE))/(VLOOKUP(Main_L[[#This Row],[Industry]], Mean_ROA_L, 3, FALSE))</f>
        <v>-0.90510930562786684</v>
      </c>
      <c r="S52" s="1">
        <f>(Main_L[[#This Row],[A/E]]-VLOOKUP(Main_L[[#This Row],[Industry]], Mean_AE_L, 2, FALSE))/(VLOOKUP(Main_L[[#This Row],[Industry]], Mean_AE_L, 3, FALSE))</f>
        <v>-0.48926730003206564</v>
      </c>
      <c r="T52" s="1">
        <f>(Main_L[[#This Row],[P/E]]-VLOOKUP(Main_L[[#This Row],[Industry]], Mean_PE_L, 2, FALSE))/(VLOOKUP(Main_L[[#This Row],[Industry]], Mean_PE_L, 3, FALSE))</f>
        <v>-0.47636578479689484</v>
      </c>
      <c r="U5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5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5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5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5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5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53" spans="1:26" x14ac:dyDescent="0.25">
      <c r="A53" t="s">
        <v>142</v>
      </c>
      <c r="B53" t="s">
        <v>146</v>
      </c>
      <c r="C53" s="2">
        <v>118251</v>
      </c>
      <c r="D53">
        <f>RTD("tos.rtd", , "LAST", Main_L[[#This Row],[Symbol]])</f>
        <v>330.75</v>
      </c>
      <c r="E53">
        <v>8.39</v>
      </c>
      <c r="F53">
        <v>47.29</v>
      </c>
      <c r="G53">
        <v>9.91</v>
      </c>
      <c r="H53" s="1">
        <f>IF(ISNUMBER(Main_L[[#This Row],[Free CF]]),IF(Main_L[[#This Row],[Free CF]]&lt;&gt;0,Main_L[[#This Row],[Current Price]]/Main_L[[#This Row],[Free CF]],""),"")</f>
        <v>39.421930870083429</v>
      </c>
      <c r="I53" s="1">
        <f>IF(ISNUMBER(Main_L[[#This Row],[BVPS]]),IF(Main_L[[#This Row],[BVPS]]&lt;&gt;0,Main_L[[#This Row],[Current Price]]/Main_L[[#This Row],[BVPS]],""),"")</f>
        <v>6.9940790864876297</v>
      </c>
      <c r="J53">
        <v>20.81</v>
      </c>
      <c r="K53">
        <v>7.82</v>
      </c>
      <c r="L53">
        <v>2.12</v>
      </c>
      <c r="M53" s="1">
        <f>IF(ISNUMBER(Main_L[[#This Row],[EPS]]),IF(Main_L[[#This Row],[EPS]]&lt;&gt;0,Main_L[[#This Row],[Current Price]]/Main_L[[#This Row],[EPS]],""),"")</f>
        <v>33.375378405650856</v>
      </c>
      <c r="N5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53" s="1">
        <f>(Main_L[[#This Row],[P/FCF]]-VLOOKUP(Main_L[[#This Row],[Industry]], Mean_PFCF_L, 2, FALSE))/(VLOOKUP(Main_L[[#This Row],[Industry]], Mean_PFCF_L, 3, FALSE))</f>
        <v>1.3949654889983421</v>
      </c>
      <c r="P53" s="1">
        <f>(Main_L[[#This Row],[P/B]]-VLOOKUP(Main_L[[#This Row],[Industry]], Mean_PB_L, 2, FALSE))/(VLOOKUP(Main_L[[#This Row],[Industry]], Mean_PB_L, 3, FALSE))</f>
        <v>-0.37043975512038085</v>
      </c>
      <c r="Q53" s="1">
        <f>(Main_L[[#This Row],[ROE]]-VLOOKUP(Main_L[[#This Row],[Industry]], Mean_ROE_L, 2, FALSE))/(VLOOKUP(Main_L[[#This Row],[Industry]], Mean_ROE_L, 3, FALSE))</f>
        <v>-1.9613177175148069E-2</v>
      </c>
      <c r="R53" s="1">
        <f>(Main_L[[#This Row],[ROA]]-VLOOKUP(Main_L[[#This Row],[Industry]], Mean_ROA_L, 2, FALSE))/(VLOOKUP(Main_L[[#This Row],[Industry]], Mean_ROA_L, 3, FALSE))</f>
        <v>0.25719491428293251</v>
      </c>
      <c r="S53" s="1">
        <f>(Main_L[[#This Row],[A/E]]-VLOOKUP(Main_L[[#This Row],[Industry]], Mean_AE_L, 2, FALSE))/(VLOOKUP(Main_L[[#This Row],[Industry]], Mean_AE_L, 3, FALSE))</f>
        <v>-0.43335103717125811</v>
      </c>
      <c r="T53" s="1">
        <f>(Main_L[[#This Row],[P/E]]-VLOOKUP(Main_L[[#This Row],[Industry]], Mean_PE_L, 2, FALSE))/(VLOOKUP(Main_L[[#This Row],[Industry]], Mean_PE_L, 3, FALSE))</f>
        <v>-0.53722460934474647</v>
      </c>
      <c r="U5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5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5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5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5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5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54" spans="1:26" x14ac:dyDescent="0.25">
      <c r="A54" t="s">
        <v>142</v>
      </c>
      <c r="B54" t="s">
        <v>148</v>
      </c>
      <c r="C54" s="2">
        <v>18808</v>
      </c>
      <c r="D54">
        <f>RTD("tos.rtd", , "LAST", Main_L[[#This Row],[Symbol]])</f>
        <v>386.66</v>
      </c>
      <c r="E54">
        <v>14.36</v>
      </c>
      <c r="F54">
        <v>61.11</v>
      </c>
      <c r="G54">
        <v>14.79</v>
      </c>
      <c r="H54" s="1">
        <f>IF(ISNUMBER(Main_L[[#This Row],[Free CF]]),IF(Main_L[[#This Row],[Free CF]]&lt;&gt;0,Main_L[[#This Row],[Current Price]]/Main_L[[#This Row],[Free CF]],""),"")</f>
        <v>26.926183844011145</v>
      </c>
      <c r="I54" s="1">
        <f>IF(ISNUMBER(Main_L[[#This Row],[BVPS]]),IF(Main_L[[#This Row],[BVPS]]&lt;&gt;0,Main_L[[#This Row],[Current Price]]/Main_L[[#This Row],[BVPS]],""),"")</f>
        <v>6.3272786777941423</v>
      </c>
      <c r="J54">
        <v>25.92</v>
      </c>
      <c r="K54">
        <v>10.07</v>
      </c>
      <c r="L54">
        <v>2.12</v>
      </c>
      <c r="M54" s="1">
        <f>IF(ISNUMBER(Main_L[[#This Row],[EPS]]),IF(Main_L[[#This Row],[EPS]]&lt;&gt;0,Main_L[[#This Row],[Current Price]]/Main_L[[#This Row],[EPS]],""),"")</f>
        <v>26.143340094658555</v>
      </c>
      <c r="N5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YES</v>
      </c>
      <c r="O54" s="1">
        <f>(Main_L[[#This Row],[P/FCF]]-VLOOKUP(Main_L[[#This Row],[Industry]], Mean_PFCF_L, 2, FALSE))/(VLOOKUP(Main_L[[#This Row],[Industry]], Mean_PFCF_L, 3, FALSE))</f>
        <v>-0.5911608423161735</v>
      </c>
      <c r="P54" s="1">
        <f>(Main_L[[#This Row],[P/B]]-VLOOKUP(Main_L[[#This Row],[Industry]], Mean_PB_L, 2, FALSE))/(VLOOKUP(Main_L[[#This Row],[Industry]], Mean_PB_L, 3, FALSE))</f>
        <v>-0.527451659417422</v>
      </c>
      <c r="Q54" s="1">
        <f>(Main_L[[#This Row],[ROE]]-VLOOKUP(Main_L[[#This Row],[Industry]], Mean_ROE_L, 2, FALSE))/(VLOOKUP(Main_L[[#This Row],[Industry]], Mean_ROE_L, 3, FALSE))</f>
        <v>0.66151628647053007</v>
      </c>
      <c r="R54" s="1">
        <f>(Main_L[[#This Row],[ROA]]-VLOOKUP(Main_L[[#This Row],[Industry]], Mean_ROA_L, 2, FALSE))/(VLOOKUP(Main_L[[#This Row],[Industry]], Mean_ROA_L, 3, FALSE))</f>
        <v>1.0332140522055731</v>
      </c>
      <c r="S54" s="1">
        <f>(Main_L[[#This Row],[A/E]]-VLOOKUP(Main_L[[#This Row],[Industry]], Mean_AE_L, 2, FALSE))/(VLOOKUP(Main_L[[#This Row],[Industry]], Mean_AE_L, 3, FALSE))</f>
        <v>-0.43335103717125811</v>
      </c>
      <c r="T54" s="1">
        <f>(Main_L[[#This Row],[P/E]]-VLOOKUP(Main_L[[#This Row],[Industry]], Mean_PE_L, 2, FALSE))/(VLOOKUP(Main_L[[#This Row],[Industry]], Mean_PE_L, 3, FALSE))</f>
        <v>-1.0567663845791384</v>
      </c>
      <c r="U5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5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5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5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5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5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55" spans="1:26" x14ac:dyDescent="0.25">
      <c r="A55" t="s">
        <v>142</v>
      </c>
      <c r="B55" t="s">
        <v>150</v>
      </c>
      <c r="C55" s="2">
        <v>32019</v>
      </c>
      <c r="D55">
        <f>RTD("tos.rtd", , "LAST", Main_L[[#This Row],[Symbol]])</f>
        <v>308.51</v>
      </c>
      <c r="E55">
        <v>8.51</v>
      </c>
      <c r="F55">
        <v>29.94</v>
      </c>
      <c r="G55">
        <v>8.0299999999999994</v>
      </c>
      <c r="H55" s="1">
        <f>IF(ISNUMBER(Main_L[[#This Row],[Free CF]]),IF(Main_L[[#This Row],[Free CF]]&lt;&gt;0,Main_L[[#This Row],[Current Price]]/Main_L[[#This Row],[Free CF]],""),"")</f>
        <v>36.252643948296125</v>
      </c>
      <c r="I55" s="1">
        <f>IF(ISNUMBER(Main_L[[#This Row],[BVPS]]),IF(Main_L[[#This Row],[BVPS]]&lt;&gt;0,Main_L[[#This Row],[Current Price]]/Main_L[[#This Row],[BVPS]],""),"")</f>
        <v>10.304275217100868</v>
      </c>
      <c r="J55">
        <v>24.85</v>
      </c>
      <c r="K55">
        <v>7.11</v>
      </c>
      <c r="L55">
        <v>3.23</v>
      </c>
      <c r="M55" s="1">
        <f>IF(ISNUMBER(Main_L[[#This Row],[EPS]]),IF(Main_L[[#This Row],[EPS]]&lt;&gt;0,Main_L[[#This Row],[Current Price]]/Main_L[[#This Row],[EPS]],""),"")</f>
        <v>38.419676214196762</v>
      </c>
      <c r="N5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55" s="1">
        <f>(Main_L[[#This Row],[P/FCF]]-VLOOKUP(Main_L[[#This Row],[Industry]], Mean_PFCF_L, 2, FALSE))/(VLOOKUP(Main_L[[#This Row],[Industry]], Mean_PFCF_L, 3, FALSE))</f>
        <v>0.89122576109581275</v>
      </c>
      <c r="P55" s="1">
        <f>(Main_L[[#This Row],[P/B]]-VLOOKUP(Main_L[[#This Row],[Industry]], Mean_PB_L, 2, FALSE))/(VLOOKUP(Main_L[[#This Row],[Industry]], Mean_PB_L, 3, FALSE))</f>
        <v>0.40901417335373058</v>
      </c>
      <c r="Q55" s="1">
        <f>(Main_L[[#This Row],[ROE]]-VLOOKUP(Main_L[[#This Row],[Industry]], Mean_ROE_L, 2, FALSE))/(VLOOKUP(Main_L[[#This Row],[Industry]], Mean_ROE_L, 3, FALSE))</f>
        <v>0.51889230875998693</v>
      </c>
      <c r="R55" s="1">
        <f>(Main_L[[#This Row],[ROA]]-VLOOKUP(Main_L[[#This Row],[Industry]], Mean_ROA_L, 2, FALSE))/(VLOOKUP(Main_L[[#This Row],[Industry]], Mean_ROA_L, 3, FALSE))</f>
        <v>1.231776409401043E-2</v>
      </c>
      <c r="S55" s="1">
        <f>(Main_L[[#This Row],[A/E]]-VLOOKUP(Main_L[[#This Row],[Industry]], Mean_AE_L, 2, FALSE))/(VLOOKUP(Main_L[[#This Row],[Industry]], Mean_AE_L, 3, FALSE))</f>
        <v>1.1183252572161495</v>
      </c>
      <c r="T55" s="1">
        <f>(Main_L[[#This Row],[P/E]]-VLOOKUP(Main_L[[#This Row],[Industry]], Mean_PE_L, 2, FALSE))/(VLOOKUP(Main_L[[#This Row],[Industry]], Mean_PE_L, 3, FALSE))</f>
        <v>-0.17484773500220649</v>
      </c>
      <c r="U5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5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5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5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5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5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56" spans="1:26" x14ac:dyDescent="0.25">
      <c r="A56" t="s">
        <v>142</v>
      </c>
      <c r="B56" t="s">
        <v>152</v>
      </c>
      <c r="C56" s="2">
        <v>36403</v>
      </c>
      <c r="D56">
        <f>RTD("tos.rtd", , "LAST", Main_L[[#This Row],[Symbol]])</f>
        <v>105.58</v>
      </c>
      <c r="E56">
        <v>3.45</v>
      </c>
      <c r="F56">
        <v>7</v>
      </c>
      <c r="G56">
        <v>1.71</v>
      </c>
      <c r="H56" s="1">
        <f>IF(ISNUMBER(Main_L[[#This Row],[Free CF]]),IF(Main_L[[#This Row],[Free CF]]&lt;&gt;0,Main_L[[#This Row],[Current Price]]/Main_L[[#This Row],[Free CF]],""),"")</f>
        <v>30.602898550724635</v>
      </c>
      <c r="I56" s="1">
        <f>IF(ISNUMBER(Main_L[[#This Row],[BVPS]]),IF(Main_L[[#This Row],[BVPS]]&lt;&gt;0,Main_L[[#This Row],[Current Price]]/Main_L[[#This Row],[BVPS]],""),"")</f>
        <v>15.082857142857142</v>
      </c>
      <c r="J56">
        <v>32.82</v>
      </c>
      <c r="K56">
        <v>10.8</v>
      </c>
      <c r="L56">
        <v>3.54</v>
      </c>
      <c r="M56" s="1">
        <f>IF(ISNUMBER(Main_L[[#This Row],[EPS]]),IF(Main_L[[#This Row],[EPS]]&lt;&gt;0,Main_L[[#This Row],[Current Price]]/Main_L[[#This Row],[EPS]],""),"")</f>
        <v>61.742690058479532</v>
      </c>
      <c r="N5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56" s="1">
        <f>(Main_L[[#This Row],[P/FCF]]-VLOOKUP(Main_L[[#This Row],[Industry]], Mean_PFCF_L, 2, FALSE))/(VLOOKUP(Main_L[[#This Row],[Industry]], Mean_PFCF_L, 3, FALSE))</f>
        <v>-6.7684185180169106E-3</v>
      </c>
      <c r="P56" s="1">
        <f>(Main_L[[#This Row],[P/B]]-VLOOKUP(Main_L[[#This Row],[Industry]], Mean_PB_L, 2, FALSE))/(VLOOKUP(Main_L[[#This Row],[Industry]], Mean_PB_L, 3, FALSE))</f>
        <v>1.534229812427083</v>
      </c>
      <c r="Q56" s="1">
        <f>(Main_L[[#This Row],[ROE]]-VLOOKUP(Main_L[[#This Row],[Industry]], Mean_ROE_L, 2, FALSE))/(VLOOKUP(Main_L[[#This Row],[Industry]], Mean_ROE_L, 3, FALSE))</f>
        <v>1.5812410025478638</v>
      </c>
      <c r="R56" s="1">
        <f>(Main_L[[#This Row],[ROA]]-VLOOKUP(Main_L[[#This Row],[Industry]], Mean_ROA_L, 2, FALSE))/(VLOOKUP(Main_L[[#This Row],[Industry]], Mean_ROA_L, 3, FALSE))</f>
        <v>1.2849891502871409</v>
      </c>
      <c r="S56" s="1">
        <f>(Main_L[[#This Row],[A/E]]-VLOOKUP(Main_L[[#This Row],[Industry]], Mean_AE_L, 2, FALSE))/(VLOOKUP(Main_L[[#This Row],[Industry]], Mean_AE_L, 3, FALSE))</f>
        <v>1.5516762943874076</v>
      </c>
      <c r="T56" s="1">
        <f>(Main_L[[#This Row],[P/E]]-VLOOKUP(Main_L[[#This Row],[Industry]], Mean_PE_L, 2, FALSE))/(VLOOKUP(Main_L[[#This Row],[Industry]], Mean_PE_L, 3, FALSE))</f>
        <v>1.5006522409945147</v>
      </c>
      <c r="U5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5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5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5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5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5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57" spans="1:26" x14ac:dyDescent="0.25">
      <c r="A57" t="s">
        <v>142</v>
      </c>
      <c r="B57" t="s">
        <v>153</v>
      </c>
      <c r="C57" s="2">
        <v>111033</v>
      </c>
      <c r="D57">
        <f>RTD("tos.rtd", , "LAST", Main_L[[#This Row],[Symbol]])</f>
        <v>433.33</v>
      </c>
      <c r="E57">
        <v>12.12</v>
      </c>
      <c r="F57">
        <v>31.54</v>
      </c>
      <c r="G57">
        <v>6.93</v>
      </c>
      <c r="H57" s="1">
        <f>IF(ISNUMBER(Main_L[[#This Row],[Free CF]]),IF(Main_L[[#This Row],[Free CF]]&lt;&gt;0,Main_L[[#This Row],[Current Price]]/Main_L[[#This Row],[Free CF]],""),"")</f>
        <v>35.753300330033007</v>
      </c>
      <c r="I57" s="1">
        <f>IF(ISNUMBER(Main_L[[#This Row],[BVPS]]),IF(Main_L[[#This Row],[BVPS]]&lt;&gt;0,Main_L[[#This Row],[Current Price]]/Main_L[[#This Row],[BVPS]],""),"")</f>
        <v>13.739061509194674</v>
      </c>
      <c r="J57">
        <v>19.64</v>
      </c>
      <c r="K57">
        <v>1.75</v>
      </c>
      <c r="L57">
        <v>5.99</v>
      </c>
      <c r="M57" s="1">
        <f>IF(ISNUMBER(Main_L[[#This Row],[EPS]]),IF(Main_L[[#This Row],[EPS]]&lt;&gt;0,Main_L[[#This Row],[Current Price]]/Main_L[[#This Row],[EPS]],""),"")</f>
        <v>62.529581529581527</v>
      </c>
      <c r="N5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57" s="1">
        <f>(Main_L[[#This Row],[P/FCF]]-VLOOKUP(Main_L[[#This Row],[Industry]], Mean_PFCF_L, 2, FALSE))/(VLOOKUP(Main_L[[#This Row],[Industry]], Mean_PFCF_L, 3, FALSE))</f>
        <v>0.81185799648462587</v>
      </c>
      <c r="P57" s="1">
        <f>(Main_L[[#This Row],[P/B]]-VLOOKUP(Main_L[[#This Row],[Industry]], Mean_PB_L, 2, FALSE))/(VLOOKUP(Main_L[[#This Row],[Industry]], Mean_PB_L, 3, FALSE))</f>
        <v>1.2178054241445297</v>
      </c>
      <c r="Q57" s="1">
        <f>(Main_L[[#This Row],[ROE]]-VLOOKUP(Main_L[[#This Row],[Industry]], Mean_ROE_L, 2, FALSE))/(VLOOKUP(Main_L[[#This Row],[Industry]], Mean_ROE_L, 3, FALSE))</f>
        <v>-0.17556649859695661</v>
      </c>
      <c r="R57" s="1">
        <f>(Main_L[[#This Row],[ROA]]-VLOOKUP(Main_L[[#This Row],[Industry]], Mean_ROA_L, 2, FALSE))/(VLOOKUP(Main_L[[#This Row],[Industry]], Mean_ROA_L, 3, FALSE))</f>
        <v>-1.8363322711350354</v>
      </c>
      <c r="S57" s="1">
        <f>(Main_L[[#This Row],[A/E]]-VLOOKUP(Main_L[[#This Row],[Industry]], Mean_AE_L, 2, FALSE))/(VLOOKUP(Main_L[[#This Row],[Industry]], Mean_AE_L, 3, FALSE))</f>
        <v>4.9765473946118668</v>
      </c>
      <c r="T57" s="1">
        <f>(Main_L[[#This Row],[P/E]]-VLOOKUP(Main_L[[#This Row],[Industry]], Mean_PE_L, 2, FALSE))/(VLOOKUP(Main_L[[#This Row],[Industry]], Mean_PE_L, 3, FALSE))</f>
        <v>1.5571816693842597</v>
      </c>
      <c r="U5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5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5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5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5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5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58" spans="1:26" x14ac:dyDescent="0.25">
      <c r="A58" t="s">
        <v>235</v>
      </c>
      <c r="B58" t="s">
        <v>236</v>
      </c>
      <c r="C58" s="2">
        <v>62606</v>
      </c>
      <c r="D58">
        <f>RTD("tos.rtd", , "LAST", Main_L[[#This Row],[Symbol]])</f>
        <v>105.2</v>
      </c>
      <c r="E58">
        <v>3.59</v>
      </c>
      <c r="F58">
        <v>23.95</v>
      </c>
      <c r="G58">
        <v>4.96</v>
      </c>
      <c r="H58" s="1">
        <f>IF(ISNUMBER(Main_L[[#This Row],[Free CF]]),IF(Main_L[[#This Row],[Free CF]]&lt;&gt;0,Main_L[[#This Row],[Current Price]]/Main_L[[#This Row],[Free CF]],""),"")</f>
        <v>29.303621169916436</v>
      </c>
      <c r="I58" s="1">
        <f>IF(ISNUMBER(Main_L[[#This Row],[BVPS]]),IF(Main_L[[#This Row],[BVPS]]&lt;&gt;0,Main_L[[#This Row],[Current Price]]/Main_L[[#This Row],[BVPS]],""),"")</f>
        <v>4.3924843423799587</v>
      </c>
      <c r="J58">
        <v>21.73</v>
      </c>
      <c r="K58">
        <v>7.72</v>
      </c>
      <c r="L58">
        <v>2.65</v>
      </c>
      <c r="M58" s="1">
        <f>IF(ISNUMBER(Main_L[[#This Row],[EPS]]),IF(Main_L[[#This Row],[EPS]]&lt;&gt;0,Main_L[[#This Row],[Current Price]]/Main_L[[#This Row],[EPS]],""),"")</f>
        <v>21.20967741935484</v>
      </c>
      <c r="N5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58" s="1">
        <f>(Main_L[[#This Row],[P/FCF]]-VLOOKUP(Main_L[[#This Row],[Industry]], Mean_PFCF_L, 2, FALSE))/(VLOOKUP(Main_L[[#This Row],[Industry]], Mean_PFCF_L, 3, FALSE))</f>
        <v>-0.21488104529945914</v>
      </c>
      <c r="P58" s="1">
        <f>(Main_L[[#This Row],[P/B]]-VLOOKUP(Main_L[[#This Row],[Industry]], Mean_PB_L, 2, FALSE))/(VLOOKUP(Main_L[[#This Row],[Industry]], Mean_PB_L, 3, FALSE))</f>
        <v>-0.26374725802849197</v>
      </c>
      <c r="Q58" s="1">
        <f>(Main_L[[#This Row],[ROE]]-VLOOKUP(Main_L[[#This Row],[Industry]], Mean_ROE_L, 2, FALSE))/(VLOOKUP(Main_L[[#This Row],[Industry]], Mean_ROE_L, 3, FALSE))</f>
        <v>0.27754934551929134</v>
      </c>
      <c r="R58" s="1">
        <f>(Main_L[[#This Row],[ROA]]-VLOOKUP(Main_L[[#This Row],[Industry]], Mean_ROA_L, 2, FALSE))/(VLOOKUP(Main_L[[#This Row],[Industry]], Mean_ROA_L, 3, FALSE))</f>
        <v>0.96403295110673282</v>
      </c>
      <c r="S58" s="1">
        <f>(Main_L[[#This Row],[A/E]]-VLOOKUP(Main_L[[#This Row],[Industry]], Mean_AE_L, 2, FALSE))/(VLOOKUP(Main_L[[#This Row],[Industry]], Mean_AE_L, 3, FALSE))</f>
        <v>5.3204272289896319E-2</v>
      </c>
      <c r="T58" s="1">
        <f>(Main_L[[#This Row],[P/E]]-VLOOKUP(Main_L[[#This Row],[Industry]], Mean_PE_L, 2, FALSE))/(VLOOKUP(Main_L[[#This Row],[Industry]], Mean_PE_L, 3, FALSE))</f>
        <v>-0.66759001104535531</v>
      </c>
      <c r="U5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5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5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5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5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5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59" spans="1:26" x14ac:dyDescent="0.25">
      <c r="A59" t="s">
        <v>235</v>
      </c>
      <c r="B59" t="s">
        <v>237</v>
      </c>
      <c r="C59" s="2">
        <v>68686</v>
      </c>
      <c r="D59">
        <f>RTD("tos.rtd", , "LAST", Main_L[[#This Row],[Symbol]])</f>
        <v>78.53</v>
      </c>
      <c r="E59">
        <v>1.75</v>
      </c>
      <c r="F59">
        <v>36.04</v>
      </c>
      <c r="G59">
        <v>2.86</v>
      </c>
      <c r="H59" s="1">
        <f>IF(ISNUMBER(Main_L[[#This Row],[Free CF]]),IF(Main_L[[#This Row],[Free CF]]&lt;&gt;0,Main_L[[#This Row],[Current Price]]/Main_L[[#This Row],[Free CF]],""),"")</f>
        <v>44.874285714285712</v>
      </c>
      <c r="I59" s="1">
        <f>IF(ISNUMBER(Main_L[[#This Row],[BVPS]]),IF(Main_L[[#This Row],[BVPS]]&lt;&gt;0,Main_L[[#This Row],[Current Price]]/Main_L[[#This Row],[BVPS]],""),"")</f>
        <v>2.1789678135405106</v>
      </c>
      <c r="J59">
        <v>8.27</v>
      </c>
      <c r="K59">
        <v>4.29</v>
      </c>
      <c r="L59">
        <v>1.82</v>
      </c>
      <c r="M59" s="1">
        <f>IF(ISNUMBER(Main_L[[#This Row],[EPS]]),IF(Main_L[[#This Row],[EPS]]&lt;&gt;0,Main_L[[#This Row],[Current Price]]/Main_L[[#This Row],[EPS]],""),"")</f>
        <v>27.45804195804196</v>
      </c>
      <c r="N5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59" s="1">
        <f>(Main_L[[#This Row],[P/FCF]]-VLOOKUP(Main_L[[#This Row],[Industry]], Mean_PFCF_L, 2, FALSE))/(VLOOKUP(Main_L[[#This Row],[Industry]], Mean_PFCF_L, 3, FALSE))</f>
        <v>2.0243807292750384</v>
      </c>
      <c r="P59" s="1">
        <f>(Main_L[[#This Row],[P/B]]-VLOOKUP(Main_L[[#This Row],[Industry]], Mean_PB_L, 2, FALSE))/(VLOOKUP(Main_L[[#This Row],[Industry]], Mean_PB_L, 3, FALSE))</f>
        <v>-1.0754904734667208</v>
      </c>
      <c r="Q59" s="1">
        <f>(Main_L[[#This Row],[ROE]]-VLOOKUP(Main_L[[#This Row],[Industry]], Mean_ROE_L, 2, FALSE))/(VLOOKUP(Main_L[[#This Row],[Industry]], Mean_ROE_L, 3, FALSE))</f>
        <v>-0.83040309712256055</v>
      </c>
      <c r="R59" s="1">
        <f>(Main_L[[#This Row],[ROA]]-VLOOKUP(Main_L[[#This Row],[Industry]], Mean_ROA_L, 2, FALSE))/(VLOOKUP(Main_L[[#This Row],[Industry]], Mean_ROA_L, 3, FALSE))</f>
        <v>-0.29672833989004477</v>
      </c>
      <c r="S59" s="1">
        <f>(Main_L[[#This Row],[A/E]]-VLOOKUP(Main_L[[#This Row],[Industry]], Mean_AE_L, 2, FALSE))/(VLOOKUP(Main_L[[#This Row],[Industry]], Mean_AE_L, 3, FALSE))</f>
        <v>-0.69315425166414302</v>
      </c>
      <c r="T59" s="1">
        <f>(Main_L[[#This Row],[P/E]]-VLOOKUP(Main_L[[#This Row],[Industry]], Mean_PE_L, 2, FALSE))/(VLOOKUP(Main_L[[#This Row],[Industry]], Mean_PE_L, 3, FALSE))</f>
        <v>0.27616103246898227</v>
      </c>
      <c r="U5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5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5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5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5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5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60" spans="1:26" x14ac:dyDescent="0.25">
      <c r="A60" t="s">
        <v>235</v>
      </c>
      <c r="B60" t="s">
        <v>238</v>
      </c>
      <c r="C60" s="2">
        <v>53294</v>
      </c>
      <c r="D60">
        <f>RTD("tos.rtd", , "LAST", Main_L[[#This Row],[Symbol]])</f>
        <v>30.54</v>
      </c>
      <c r="E60">
        <v>1.41</v>
      </c>
      <c r="F60">
        <v>6.48</v>
      </c>
      <c r="G60">
        <v>1.68</v>
      </c>
      <c r="H60" s="1">
        <f>IF(ISNUMBER(Main_L[[#This Row],[Free CF]]),IF(Main_L[[#This Row],[Free CF]]&lt;&gt;0,Main_L[[#This Row],[Current Price]]/Main_L[[#This Row],[Free CF]],""),"")</f>
        <v>21.659574468085108</v>
      </c>
      <c r="I60" s="1">
        <f>IF(ISNUMBER(Main_L[[#This Row],[BVPS]]),IF(Main_L[[#This Row],[BVPS]]&lt;&gt;0,Main_L[[#This Row],[Current Price]]/Main_L[[#This Row],[BVPS]],""),"")</f>
        <v>4.7129629629629628</v>
      </c>
      <c r="J60">
        <v>26.12</v>
      </c>
      <c r="K60">
        <v>7.45</v>
      </c>
      <c r="L60">
        <v>3.55</v>
      </c>
      <c r="M60" s="1">
        <f>IF(ISNUMBER(Main_L[[#This Row],[EPS]]),IF(Main_L[[#This Row],[EPS]]&lt;&gt;0,Main_L[[#This Row],[Current Price]]/Main_L[[#This Row],[EPS]],""),"")</f>
        <v>18.178571428571427</v>
      </c>
      <c r="N6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60" s="1">
        <f>(Main_L[[#This Row],[P/FCF]]-VLOOKUP(Main_L[[#This Row],[Industry]], Mean_PFCF_L, 2, FALSE))/(VLOOKUP(Main_L[[#This Row],[Industry]], Mean_PFCF_L, 3, FALSE))</f>
        <v>-1.3141932508702279</v>
      </c>
      <c r="P60" s="1">
        <f>(Main_L[[#This Row],[P/B]]-VLOOKUP(Main_L[[#This Row],[Industry]], Mean_PB_L, 2, FALSE))/(VLOOKUP(Main_L[[#This Row],[Industry]], Mean_PB_L, 3, FALSE))</f>
        <v>-0.14622098589008092</v>
      </c>
      <c r="Q60" s="1">
        <f>(Main_L[[#This Row],[ROE]]-VLOOKUP(Main_L[[#This Row],[Industry]], Mean_ROE_L, 2, FALSE))/(VLOOKUP(Main_L[[#This Row],[Industry]], Mean_ROE_L, 3, FALSE))</f>
        <v>0.63890976329029647</v>
      </c>
      <c r="R60" s="1">
        <f>(Main_L[[#This Row],[ROA]]-VLOOKUP(Main_L[[#This Row],[Industry]], Mean_ROA_L, 2, FALSE))/(VLOOKUP(Main_L[[#This Row],[Industry]], Mean_ROA_L, 3, FALSE))</f>
        <v>0.86478935094080578</v>
      </c>
      <c r="S60" s="1">
        <f>(Main_L[[#This Row],[A/E]]-VLOOKUP(Main_L[[#This Row],[Industry]], Mean_AE_L, 2, FALSE))/(VLOOKUP(Main_L[[#This Row],[Industry]], Mean_AE_L, 3, FALSE))</f>
        <v>0.86250869585451739</v>
      </c>
      <c r="T60" s="1">
        <f>(Main_L[[#This Row],[P/E]]-VLOOKUP(Main_L[[#This Row],[Industry]], Mean_PE_L, 2, FALSE))/(VLOOKUP(Main_L[[#This Row],[Industry]], Mean_PE_L, 3, FALSE))</f>
        <v>-1.1254073205337458</v>
      </c>
      <c r="U6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6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6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6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6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6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61" spans="1:26" x14ac:dyDescent="0.25">
      <c r="A61" t="s">
        <v>235</v>
      </c>
      <c r="B61" t="s">
        <v>239</v>
      </c>
      <c r="C61" s="2">
        <v>49593</v>
      </c>
      <c r="D61">
        <f>RTD("tos.rtd", , "LAST", Main_L[[#This Row],[Symbol]])</f>
        <v>240.26</v>
      </c>
      <c r="E61">
        <v>8.35</v>
      </c>
      <c r="F61">
        <v>64.37</v>
      </c>
      <c r="G61">
        <v>14.65</v>
      </c>
      <c r="H61" s="1">
        <f>IF(ISNUMBER(Main_L[[#This Row],[Free CF]]),IF(Main_L[[#This Row],[Free CF]]&lt;&gt;0,Main_L[[#This Row],[Current Price]]/Main_L[[#This Row],[Free CF]],""),"")</f>
        <v>28.773652694610778</v>
      </c>
      <c r="I61" s="1">
        <f>IF(ISNUMBER(Main_L[[#This Row],[BVPS]]),IF(Main_L[[#This Row],[BVPS]]&lt;&gt;0,Main_L[[#This Row],[Current Price]]/Main_L[[#This Row],[BVPS]],""),"")</f>
        <v>3.7324840764331206</v>
      </c>
      <c r="J61">
        <v>24.54</v>
      </c>
      <c r="K61">
        <v>6.74</v>
      </c>
      <c r="L61">
        <v>3.02</v>
      </c>
      <c r="M61" s="1">
        <f>IF(ISNUMBER(Main_L[[#This Row],[EPS]]),IF(Main_L[[#This Row],[EPS]]&lt;&gt;0,Main_L[[#This Row],[Current Price]]/Main_L[[#This Row],[EPS]],""),"")</f>
        <v>16.399999999999999</v>
      </c>
      <c r="N6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61" s="1">
        <f>(Main_L[[#This Row],[P/FCF]]-VLOOKUP(Main_L[[#This Row],[Industry]], Mean_PFCF_L, 2, FALSE))/(VLOOKUP(Main_L[[#This Row],[Industry]], Mean_PFCF_L, 3, FALSE))</f>
        <v>-0.29109732656991022</v>
      </c>
      <c r="P61" s="1">
        <f>(Main_L[[#This Row],[P/B]]-VLOOKUP(Main_L[[#This Row],[Industry]], Mean_PB_L, 2, FALSE))/(VLOOKUP(Main_L[[#This Row],[Industry]], Mean_PB_L, 3, FALSE))</f>
        <v>-0.50578328129264516</v>
      </c>
      <c r="Q61" s="1">
        <f>(Main_L[[#This Row],[ROE]]-VLOOKUP(Main_L[[#This Row],[Industry]], Mean_ROE_L, 2, FALSE))/(VLOOKUP(Main_L[[#This Row],[Industry]], Mean_ROE_L, 3, FALSE))</f>
        <v>0.50885293867111914</v>
      </c>
      <c r="R61" s="1">
        <f>(Main_L[[#This Row],[ROA]]-VLOOKUP(Main_L[[#This Row],[Industry]], Mean_ROA_L, 2, FALSE))/(VLOOKUP(Main_L[[#This Row],[Industry]], Mean_ROA_L, 3, FALSE))</f>
        <v>0.6038154393933679</v>
      </c>
      <c r="S61" s="1">
        <f>(Main_L[[#This Row],[A/E]]-VLOOKUP(Main_L[[#This Row],[Industry]], Mean_AE_L, 2, FALSE))/(VLOOKUP(Main_L[[#This Row],[Industry]], Mean_AE_L, 3, FALSE))</f>
        <v>0.38591831308868513</v>
      </c>
      <c r="T61" s="1">
        <f>(Main_L[[#This Row],[P/E]]-VLOOKUP(Main_L[[#This Row],[Industry]], Mean_PE_L, 2, FALSE))/(VLOOKUP(Main_L[[#This Row],[Industry]], Mean_PE_L, 3, FALSE))</f>
        <v>-1.3940421979142767</v>
      </c>
      <c r="U6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6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6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6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6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6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62" spans="1:26" x14ac:dyDescent="0.25">
      <c r="A62" t="s">
        <v>235</v>
      </c>
      <c r="B62" t="s">
        <v>240</v>
      </c>
      <c r="C62" s="2">
        <v>127770</v>
      </c>
      <c r="D62">
        <f>RTD("tos.rtd", , "LAST", Main_L[[#This Row],[Symbol]])</f>
        <v>228.25</v>
      </c>
      <c r="E62">
        <v>9.6999999999999993</v>
      </c>
      <c r="F62">
        <v>26.78</v>
      </c>
      <c r="G62">
        <v>11.1</v>
      </c>
      <c r="H62" s="1">
        <f>IF(ISNUMBER(Main_L[[#This Row],[Free CF]]),IF(Main_L[[#This Row],[Free CF]]&lt;&gt;0,Main_L[[#This Row],[Current Price]]/Main_L[[#This Row],[Free CF]],""),"")</f>
        <v>23.53092783505155</v>
      </c>
      <c r="I62" s="1">
        <f>IF(ISNUMBER(Main_L[[#This Row],[BVPS]]),IF(Main_L[[#This Row],[BVPS]]&lt;&gt;0,Main_L[[#This Row],[Current Price]]/Main_L[[#This Row],[BVPS]],""),"")</f>
        <v>8.5231516056758778</v>
      </c>
      <c r="J62">
        <v>42.47</v>
      </c>
      <c r="K62">
        <v>8.99</v>
      </c>
      <c r="L62">
        <v>4.2699999999999996</v>
      </c>
      <c r="M62" s="1">
        <f>IF(ISNUMBER(Main_L[[#This Row],[EPS]]),IF(Main_L[[#This Row],[EPS]]&lt;&gt;0,Main_L[[#This Row],[Current Price]]/Main_L[[#This Row],[EPS]],""),"")</f>
        <v>20.563063063063062</v>
      </c>
      <c r="N6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62" s="1">
        <f>(Main_L[[#This Row],[P/FCF]]-VLOOKUP(Main_L[[#This Row],[Industry]], Mean_PFCF_L, 2, FALSE))/(VLOOKUP(Main_L[[#This Row],[Industry]], Mean_PFCF_L, 3, FALSE))</f>
        <v>-1.0450685741791097</v>
      </c>
      <c r="P62" s="1">
        <f>(Main_L[[#This Row],[P/B]]-VLOOKUP(Main_L[[#This Row],[Industry]], Mean_PB_L, 2, FALSE))/(VLOOKUP(Main_L[[#This Row],[Industry]], Mean_PB_L, 3, FALSE))</f>
        <v>1.2510555828480863</v>
      </c>
      <c r="Q62" s="1">
        <f>(Main_L[[#This Row],[ROE]]-VLOOKUP(Main_L[[#This Row],[Industry]], Mean_ROE_L, 2, FALSE))/(VLOOKUP(Main_L[[#This Row],[Industry]], Mean_ROE_L, 3, FALSE))</f>
        <v>1.9847509547608964</v>
      </c>
      <c r="R62" s="1">
        <f>(Main_L[[#This Row],[ROA]]-VLOOKUP(Main_L[[#This Row],[Industry]], Mean_ROA_L, 2, FALSE))/(VLOOKUP(Main_L[[#This Row],[Industry]], Mean_ROA_L, 3, FALSE))</f>
        <v>1.4308454407760938</v>
      </c>
      <c r="S62" s="1">
        <f>(Main_L[[#This Row],[A/E]]-VLOOKUP(Main_L[[#This Row],[Industry]], Mean_AE_L, 2, FALSE))/(VLOOKUP(Main_L[[#This Row],[Industry]], Mean_AE_L, 3, FALSE))</f>
        <v>1.509952234706214</v>
      </c>
      <c r="T62" s="1">
        <f>(Main_L[[#This Row],[P/E]]-VLOOKUP(Main_L[[#This Row],[Industry]], Mean_PE_L, 2, FALSE))/(VLOOKUP(Main_L[[#This Row],[Industry]], Mean_PE_L, 3, FALSE))</f>
        <v>-0.76525444302965484</v>
      </c>
      <c r="U6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6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6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6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6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6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63" spans="1:26" x14ac:dyDescent="0.25">
      <c r="A63" t="s">
        <v>235</v>
      </c>
      <c r="B63" t="s">
        <v>241</v>
      </c>
      <c r="C63" s="2">
        <v>13188</v>
      </c>
      <c r="D63">
        <f>RTD("tos.rtd", , "LAST", Main_L[[#This Row],[Symbol]])</f>
        <v>147.32</v>
      </c>
      <c r="E63">
        <v>5.07</v>
      </c>
      <c r="F63">
        <v>38.979999999999997</v>
      </c>
      <c r="G63">
        <v>5.52</v>
      </c>
      <c r="H63" s="1">
        <f>IF(ISNUMBER(Main_L[[#This Row],[Free CF]]),IF(Main_L[[#This Row],[Free CF]]&lt;&gt;0,Main_L[[#This Row],[Current Price]]/Main_L[[#This Row],[Free CF]],""),"")</f>
        <v>29.057199211045361</v>
      </c>
      <c r="I63" s="1">
        <f>IF(ISNUMBER(Main_L[[#This Row],[BVPS]]),IF(Main_L[[#This Row],[BVPS]]&lt;&gt;0,Main_L[[#This Row],[Current Price]]/Main_L[[#This Row],[BVPS]],""),"")</f>
        <v>3.7793740379681888</v>
      </c>
      <c r="J63">
        <v>13.97</v>
      </c>
      <c r="K63">
        <v>6.11</v>
      </c>
      <c r="L63">
        <v>2.14</v>
      </c>
      <c r="M63" s="1">
        <f>IF(ISNUMBER(Main_L[[#This Row],[EPS]]),IF(Main_L[[#This Row],[EPS]]&lt;&gt;0,Main_L[[#This Row],[Current Price]]/Main_L[[#This Row],[EPS]],""),"")</f>
        <v>26.688405797101449</v>
      </c>
      <c r="N6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YES</v>
      </c>
      <c r="O63" s="1">
        <f>(Main_L[[#This Row],[P/FCF]]-VLOOKUP(Main_L[[#This Row],[Industry]], Mean_PFCF_L, 2, FALSE))/(VLOOKUP(Main_L[[#This Row],[Industry]], Mean_PFCF_L, 3, FALSE))</f>
        <v>-0.25031969156554368</v>
      </c>
      <c r="P63" s="1">
        <f>(Main_L[[#This Row],[P/B]]-VLOOKUP(Main_L[[#This Row],[Industry]], Mean_PB_L, 2, FALSE))/(VLOOKUP(Main_L[[#This Row],[Industry]], Mean_PB_L, 3, FALSE))</f>
        <v>-0.48858774303831493</v>
      </c>
      <c r="Q63" s="1">
        <f>(Main_L[[#This Row],[ROE]]-VLOOKUP(Main_L[[#This Row],[Industry]], Mean_ROE_L, 2, FALSE))/(VLOOKUP(Main_L[[#This Row],[Industry]], Mean_ROE_L, 3, FALSE))</f>
        <v>-0.36121075514198425</v>
      </c>
      <c r="R63" s="1">
        <f>(Main_L[[#This Row],[ROA]]-VLOOKUP(Main_L[[#This Row],[Industry]], Mean_ROA_L, 2, FALSE))/(VLOOKUP(Main_L[[#This Row],[Industry]], Mean_ROA_L, 3, FALSE))</f>
        <v>0.37224703900620471</v>
      </c>
      <c r="S63" s="1">
        <f>(Main_L[[#This Row],[A/E]]-VLOOKUP(Main_L[[#This Row],[Industry]], Mean_AE_L, 2, FALSE))/(VLOOKUP(Main_L[[#This Row],[Industry]], Mean_AE_L, 3, FALSE))</f>
        <v>-0.40540156773005548</v>
      </c>
      <c r="T63" s="1">
        <f>(Main_L[[#This Row],[P/E]]-VLOOKUP(Main_L[[#This Row],[Industry]], Mean_PE_L, 2, FALSE))/(VLOOKUP(Main_L[[#This Row],[Industry]], Mean_PE_L, 3, FALSE))</f>
        <v>0.1599154252357986</v>
      </c>
      <c r="U6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6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6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6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6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6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64" spans="1:26" x14ac:dyDescent="0.25">
      <c r="A64" t="s">
        <v>235</v>
      </c>
      <c r="B64" t="s">
        <v>242</v>
      </c>
      <c r="C64" s="2">
        <v>33008</v>
      </c>
      <c r="D64">
        <f>RTD("tos.rtd", , "LAST", Main_L[[#This Row],[Symbol]])</f>
        <v>171.34</v>
      </c>
      <c r="E64">
        <v>4.12</v>
      </c>
      <c r="F64">
        <v>19.940000000000001</v>
      </c>
      <c r="G64">
        <v>5.33</v>
      </c>
      <c r="H64" s="1">
        <f>IF(ISNUMBER(Main_L[[#This Row],[Free CF]]),IF(Main_L[[#This Row],[Free CF]]&lt;&gt;0,Main_L[[#This Row],[Current Price]]/Main_L[[#This Row],[Free CF]],""),"")</f>
        <v>41.587378640776699</v>
      </c>
      <c r="I64" s="1">
        <f>IF(ISNUMBER(Main_L[[#This Row],[BVPS]]),IF(Main_L[[#This Row],[BVPS]]&lt;&gt;0,Main_L[[#This Row],[Current Price]]/Main_L[[#This Row],[BVPS]],""),"")</f>
        <v>8.5927783350050149</v>
      </c>
      <c r="J64">
        <v>26.59</v>
      </c>
      <c r="K64">
        <v>16.78</v>
      </c>
      <c r="L64">
        <v>1.3</v>
      </c>
      <c r="M64" s="1">
        <f>IF(ISNUMBER(Main_L[[#This Row],[EPS]]),IF(Main_L[[#This Row],[EPS]]&lt;&gt;0,Main_L[[#This Row],[Current Price]]/Main_L[[#This Row],[EPS]],""),"")</f>
        <v>32.146341463414636</v>
      </c>
      <c r="N6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64" s="1">
        <f>(Main_L[[#This Row],[P/FCF]]-VLOOKUP(Main_L[[#This Row],[Industry]], Mean_PFCF_L, 2, FALSE))/(VLOOKUP(Main_L[[#This Row],[Industry]], Mean_PFCF_L, 3, FALSE))</f>
        <v>1.5516812278944825</v>
      </c>
      <c r="P64" s="1">
        <f>(Main_L[[#This Row],[P/B]]-VLOOKUP(Main_L[[#This Row],[Industry]], Mean_PB_L, 2, FALSE))/(VLOOKUP(Main_L[[#This Row],[Industry]], Mean_PB_L, 3, FALSE))</f>
        <v>1.2765891735892017</v>
      </c>
      <c r="Q64" s="1">
        <f>(Main_L[[#This Row],[ROE]]-VLOOKUP(Main_L[[#This Row],[Industry]], Mean_ROE_L, 2, FALSE))/(VLOOKUP(Main_L[[#This Row],[Industry]], Mean_ROE_L, 3, FALSE))</f>
        <v>0.67759755289220358</v>
      </c>
      <c r="R64" s="1">
        <f>(Main_L[[#This Row],[ROA]]-VLOOKUP(Main_L[[#This Row],[Industry]], Mean_ROA_L, 2, FALSE))/(VLOOKUP(Main_L[[#This Row],[Industry]], Mean_ROA_L, 3, FALSE))</f>
        <v>4.2942070900078431</v>
      </c>
      <c r="S64" s="1">
        <f>(Main_L[[#This Row],[A/E]]-VLOOKUP(Main_L[[#This Row],[Industry]], Mean_AE_L, 2, FALSE))/(VLOOKUP(Main_L[[#This Row],[Industry]], Mean_AE_L, 3, FALSE))</f>
        <v>-1.1607523630570353</v>
      </c>
      <c r="T64" s="1">
        <f>(Main_L[[#This Row],[P/E]]-VLOOKUP(Main_L[[#This Row],[Industry]], Mean_PE_L, 2, FALSE))/(VLOOKUP(Main_L[[#This Row],[Industry]], Mean_PE_L, 3, FALSE))</f>
        <v>0.98428033682584537</v>
      </c>
      <c r="U6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6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6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6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Yes</v>
      </c>
      <c r="Y6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6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65" spans="1:26" x14ac:dyDescent="0.25">
      <c r="A65" t="s">
        <v>235</v>
      </c>
      <c r="B65" t="s">
        <v>245</v>
      </c>
      <c r="C65" s="2">
        <v>11795</v>
      </c>
      <c r="D65">
        <f>RTD("tos.rtd", , "LAST", Main_L[[#This Row],[Symbol]])</f>
        <v>65.72</v>
      </c>
      <c r="E65">
        <v>-10.130000000000001</v>
      </c>
      <c r="F65">
        <v>39.700000000000003</v>
      </c>
      <c r="G65">
        <v>2.29</v>
      </c>
      <c r="H65" s="1">
        <f>IF(ISNUMBER(Main_L[[#This Row],[Free CF]]),IF(Main_L[[#This Row],[Free CF]]&lt;&gt;0,Main_L[[#This Row],[Current Price]]/Main_L[[#This Row],[Free CF]],""),"")</f>
        <v>-6.4876604146100689</v>
      </c>
      <c r="I65" s="1">
        <f>IF(ISNUMBER(Main_L[[#This Row],[BVPS]]),IF(Main_L[[#This Row],[BVPS]]&lt;&gt;0,Main_L[[#This Row],[Current Price]]/Main_L[[#This Row],[BVPS]],""),"")</f>
        <v>1.6554156171284633</v>
      </c>
      <c r="J65">
        <v>6.09</v>
      </c>
      <c r="K65">
        <v>2.31</v>
      </c>
      <c r="L65">
        <v>2.61</v>
      </c>
      <c r="M65" s="1">
        <f>IF(ISNUMBER(Main_L[[#This Row],[EPS]]),IF(Main_L[[#This Row],[EPS]]&lt;&gt;0,Main_L[[#This Row],[Current Price]]/Main_L[[#This Row],[EPS]],""),"")</f>
        <v>28.698689956331876</v>
      </c>
      <c r="N6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65" s="1">
        <f>(Main_L[[#This Row],[P/FCF]]-VLOOKUP(Main_L[[#This Row],[Industry]], Mean_PFCF_L, 2, FALSE))/(VLOOKUP(Main_L[[#This Row],[Industry]], Mean_PFCF_L, 3, FALSE))</f>
        <v>-5.362127554071308</v>
      </c>
      <c r="P65" s="1">
        <f>(Main_L[[#This Row],[P/B]]-VLOOKUP(Main_L[[#This Row],[Industry]], Mean_PB_L, 2, FALSE))/(VLOOKUP(Main_L[[#This Row],[Industry]], Mean_PB_L, 3, FALSE))</f>
        <v>-1.267488110632812</v>
      </c>
      <c r="Q65" s="1">
        <f>(Main_L[[#This Row],[ROE]]-VLOOKUP(Main_L[[#This Row],[Industry]], Mean_ROE_L, 2, FALSE))/(VLOOKUP(Main_L[[#This Row],[Industry]], Mean_ROE_L, 3, FALSE))</f>
        <v>-1.0098485893186404</v>
      </c>
      <c r="R65" s="1">
        <f>(Main_L[[#This Row],[ROA]]-VLOOKUP(Main_L[[#This Row],[Industry]], Mean_ROA_L, 2, FALSE))/(VLOOKUP(Main_L[[#This Row],[Industry]], Mean_ROA_L, 3, FALSE))</f>
        <v>-1.0245147411068436</v>
      </c>
      <c r="S65" s="1">
        <f>(Main_L[[#This Row],[A/E]]-VLOOKUP(Main_L[[#This Row],[Industry]], Mean_AE_L, 2, FALSE))/(VLOOKUP(Main_L[[#This Row],[Industry]], Mean_AE_L, 3, FALSE))</f>
        <v>1.7235186798135349E-2</v>
      </c>
      <c r="T65" s="1">
        <f>(Main_L[[#This Row],[P/E]]-VLOOKUP(Main_L[[#This Row],[Industry]], Mean_PE_L, 2, FALSE))/(VLOOKUP(Main_L[[#This Row],[Industry]], Mean_PE_L, 3, FALSE))</f>
        <v>0.46354812164577647</v>
      </c>
      <c r="U6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6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6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6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6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6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66" spans="1:26" x14ac:dyDescent="0.25">
      <c r="A66" t="s">
        <v>235</v>
      </c>
      <c r="B66" t="s">
        <v>246</v>
      </c>
      <c r="C66" s="2">
        <v>12897</v>
      </c>
      <c r="D66">
        <f>RTD("tos.rtd", , "LAST", Main_L[[#This Row],[Symbol]])</f>
        <v>126</v>
      </c>
      <c r="E66">
        <v>1.06</v>
      </c>
      <c r="F66">
        <v>13.92</v>
      </c>
      <c r="G66">
        <v>3.25</v>
      </c>
      <c r="H66" s="1">
        <f>IF(ISNUMBER(Main_L[[#This Row],[Free CF]]),IF(Main_L[[#This Row],[Free CF]]&lt;&gt;0,Main_L[[#This Row],[Current Price]]/Main_L[[#This Row],[Free CF]],""),"")</f>
        <v>118.86792452830188</v>
      </c>
      <c r="I66" s="1">
        <f>IF(ISNUMBER(Main_L[[#This Row],[BVPS]]),IF(Main_L[[#This Row],[BVPS]]&lt;&gt;0,Main_L[[#This Row],[Current Price]]/Main_L[[#This Row],[BVPS]],""),"")</f>
        <v>9.0517241379310338</v>
      </c>
      <c r="J66">
        <v>26.18</v>
      </c>
      <c r="K66">
        <v>5.81</v>
      </c>
      <c r="L66">
        <v>4.8</v>
      </c>
      <c r="M66" s="1">
        <f>IF(ISNUMBER(Main_L[[#This Row],[EPS]]),IF(Main_L[[#This Row],[EPS]]&lt;&gt;0,Main_L[[#This Row],[Current Price]]/Main_L[[#This Row],[EPS]],""),"")</f>
        <v>38.769230769230766</v>
      </c>
      <c r="N6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66" s="1">
        <f>(Main_L[[#This Row],[P/FCF]]-VLOOKUP(Main_L[[#This Row],[Industry]], Mean_PFCF_L, 2, FALSE))/(VLOOKUP(Main_L[[#This Row],[Industry]], Mean_PFCF_L, 3, FALSE))</f>
        <v>12.665617427025115</v>
      </c>
      <c r="P66" s="1">
        <f>(Main_L[[#This Row],[P/B]]-VLOOKUP(Main_L[[#This Row],[Industry]], Mean_PB_L, 2, FALSE))/(VLOOKUP(Main_L[[#This Row],[Industry]], Mean_PB_L, 3, FALSE))</f>
        <v>1.4448942830949225</v>
      </c>
      <c r="Q66" s="1">
        <f>(Main_L[[#This Row],[ROE]]-VLOOKUP(Main_L[[#This Row],[Industry]], Mean_ROE_L, 2, FALSE))/(VLOOKUP(Main_L[[#This Row],[Industry]], Mean_ROE_L, 3, FALSE))</f>
        <v>0.64384863004798665</v>
      </c>
      <c r="R66" s="1">
        <f>(Main_L[[#This Row],[ROA]]-VLOOKUP(Main_L[[#This Row],[Industry]], Mean_ROA_L, 2, FALSE))/(VLOOKUP(Main_L[[#This Row],[Industry]], Mean_ROA_L, 3, FALSE))</f>
        <v>0.26197637215517433</v>
      </c>
      <c r="S66" s="1">
        <f>(Main_L[[#This Row],[A/E]]-VLOOKUP(Main_L[[#This Row],[Industry]], Mean_AE_L, 2, FALSE))/(VLOOKUP(Main_L[[#This Row],[Industry]], Mean_AE_L, 3, FALSE))</f>
        <v>1.9865426174720469</v>
      </c>
      <c r="T66" s="1">
        <f>(Main_L[[#This Row],[P/E]]-VLOOKUP(Main_L[[#This Row],[Industry]], Mean_PE_L, 2, FALSE))/(VLOOKUP(Main_L[[#This Row],[Industry]], Mean_PE_L, 3, FALSE))</f>
        <v>1.9845994850996782</v>
      </c>
      <c r="U6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6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6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6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6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6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67" spans="1:26" x14ac:dyDescent="0.25">
      <c r="A67" t="s">
        <v>235</v>
      </c>
      <c r="B67" t="s">
        <v>247</v>
      </c>
      <c r="C67" s="2">
        <v>12164</v>
      </c>
      <c r="D67">
        <f>RTD("tos.rtd", , "LAST", Main_L[[#This Row],[Symbol]])</f>
        <v>12.68</v>
      </c>
      <c r="E67">
        <v>0.38</v>
      </c>
      <c r="F67">
        <v>4.97</v>
      </c>
      <c r="G67">
        <v>0.4</v>
      </c>
      <c r="H67" s="1">
        <f>IF(ISNUMBER(Main_L[[#This Row],[Free CF]]),IF(Main_L[[#This Row],[Free CF]]&lt;&gt;0,Main_L[[#This Row],[Current Price]]/Main_L[[#This Row],[Free CF]],""),"")</f>
        <v>33.368421052631575</v>
      </c>
      <c r="I67" s="1">
        <f>IF(ISNUMBER(Main_L[[#This Row],[BVPS]]),IF(Main_L[[#This Row],[BVPS]]&lt;&gt;0,Main_L[[#This Row],[Current Price]]/Main_L[[#This Row],[BVPS]],""),"")</f>
        <v>2.5513078470824953</v>
      </c>
      <c r="J67">
        <v>8.44</v>
      </c>
      <c r="K67">
        <v>3.84</v>
      </c>
      <c r="L67">
        <v>1.1000000000000001</v>
      </c>
      <c r="M67" s="1">
        <f>IF(ISNUMBER(Main_L[[#This Row],[EPS]]),IF(Main_L[[#This Row],[EPS]]&lt;&gt;0,Main_L[[#This Row],[Current Price]]/Main_L[[#This Row],[EPS]],""),"")</f>
        <v>31.7</v>
      </c>
      <c r="N6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67" s="1">
        <f>(Main_L[[#This Row],[P/FCF]]-VLOOKUP(Main_L[[#This Row],[Industry]], Mean_PFCF_L, 2, FALSE))/(VLOOKUP(Main_L[[#This Row],[Industry]], Mean_PFCF_L, 3, FALSE))</f>
        <v>0.36968944446492719</v>
      </c>
      <c r="P67" s="1">
        <f>(Main_L[[#This Row],[P/B]]-VLOOKUP(Main_L[[#This Row],[Industry]], Mean_PB_L, 2, FALSE))/(VLOOKUP(Main_L[[#This Row],[Industry]], Mean_PB_L, 3, FALSE))</f>
        <v>-0.93894552694119549</v>
      </c>
      <c r="Q67" s="1">
        <f>(Main_L[[#This Row],[ROE]]-VLOOKUP(Main_L[[#This Row],[Industry]], Mean_ROE_L, 2, FALSE))/(VLOOKUP(Main_L[[#This Row],[Industry]], Mean_ROE_L, 3, FALSE))</f>
        <v>-0.81640964130910476</v>
      </c>
      <c r="R67" s="1">
        <f>(Main_L[[#This Row],[ROA]]-VLOOKUP(Main_L[[#This Row],[Industry]], Mean_ROA_L, 2, FALSE))/(VLOOKUP(Main_L[[#This Row],[Industry]], Mean_ROA_L, 3, FALSE))</f>
        <v>-0.46213434016659005</v>
      </c>
      <c r="S67" s="1">
        <f>(Main_L[[#This Row],[A/E]]-VLOOKUP(Main_L[[#This Row],[Industry]], Mean_AE_L, 2, FALSE))/(VLOOKUP(Main_L[[#This Row],[Industry]], Mean_AE_L, 3, FALSE))</f>
        <v>-1.3405977905158399</v>
      </c>
      <c r="T67" s="1">
        <f>(Main_L[[#This Row],[P/E]]-VLOOKUP(Main_L[[#This Row],[Industry]], Mean_PE_L, 2, FALSE))/(VLOOKUP(Main_L[[#This Row],[Industry]], Mean_PE_L, 3, FALSE))</f>
        <v>0.91686506051583228</v>
      </c>
      <c r="U6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6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6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6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6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6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68" spans="1:26" x14ac:dyDescent="0.25">
      <c r="A68" t="s">
        <v>235</v>
      </c>
      <c r="B68" t="s">
        <v>556</v>
      </c>
      <c r="C68" s="2">
        <v>19960</v>
      </c>
      <c r="D68">
        <f>RTD("tos.rtd", , "LAST", Main_L[[#This Row],[Symbol]])</f>
        <v>5.03</v>
      </c>
      <c r="E68">
        <v>0.18</v>
      </c>
      <c r="F68">
        <v>1.57</v>
      </c>
      <c r="G68">
        <v>0</v>
      </c>
      <c r="H68" s="1">
        <f>IF(ISNUMBER(Main_L[[#This Row],[Free CF]]),IF(Main_L[[#This Row],[Free CF]]&lt;&gt;0,Main_L[[#This Row],[Current Price]]/Main_L[[#This Row],[Free CF]],""),"")</f>
        <v>27.944444444444446</v>
      </c>
      <c r="I68" s="1">
        <f>IF(ISNUMBER(Main_L[[#This Row],[BVPS]]),IF(Main_L[[#This Row],[BVPS]]&lt;&gt;0,Main_L[[#This Row],[Current Price]]/Main_L[[#This Row],[BVPS]],""),"")</f>
        <v>3.2038216560509554</v>
      </c>
      <c r="J68">
        <v>-2.46</v>
      </c>
      <c r="K68">
        <v>-1.08</v>
      </c>
      <c r="L68">
        <v>1.45</v>
      </c>
      <c r="M68" s="1" t="str">
        <f>IF(ISNUMBER(Main_L[[#This Row],[EPS]]),IF(Main_L[[#This Row],[EPS]]&lt;&gt;0,Main_L[[#This Row],[Current Price]]/Main_L[[#This Row],[EPS]],""),"")</f>
        <v/>
      </c>
      <c r="N6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68" s="1">
        <f>(Main_L[[#This Row],[P/FCF]]-VLOOKUP(Main_L[[#This Row],[Industry]], Mean_PFCF_L, 2, FALSE))/(VLOOKUP(Main_L[[#This Row],[Industry]], Mean_PFCF_L, 3, FALSE))</f>
        <v>-0.41034813519584923</v>
      </c>
      <c r="P68" s="1">
        <f>(Main_L[[#This Row],[P/B]]-VLOOKUP(Main_L[[#This Row],[Industry]], Mean_PB_L, 2, FALSE))/(VLOOKUP(Main_L[[#This Row],[Industry]], Mean_PB_L, 3, FALSE))</f>
        <v>-0.69965494541225925</v>
      </c>
      <c r="Q68" s="1">
        <f>(Main_L[[#This Row],[ROE]]-VLOOKUP(Main_L[[#This Row],[Industry]], Mean_ROE_L, 2, FALSE))/(VLOOKUP(Main_L[[#This Row],[Industry]], Mean_ROE_L, 3, FALSE))</f>
        <v>-1.7136371022895047</v>
      </c>
      <c r="R68" s="1">
        <f>(Main_L[[#This Row],[ROA]]-VLOOKUP(Main_L[[#This Row],[Industry]], Mean_ROA_L, 2, FALSE))/(VLOOKUP(Main_L[[#This Row],[Industry]], Mean_ROA_L, 3, FALSE))</f>
        <v>-2.2705732765234838</v>
      </c>
      <c r="S68" s="1">
        <f>(Main_L[[#This Row],[A/E]]-VLOOKUP(Main_L[[#This Row],[Industry]], Mean_AE_L, 2, FALSE))/(VLOOKUP(Main_L[[#This Row],[Industry]], Mean_AE_L, 3, FALSE))</f>
        <v>-1.0258682924629319</v>
      </c>
      <c r="T68" s="1" t="e">
        <f>(Main_L[[#This Row],[P/E]]-VLOOKUP(Main_L[[#This Row],[Industry]], Mean_PE_L, 2, FALSE))/(VLOOKUP(Main_L[[#This Row],[Industry]], Mean_PE_L, 3, FALSE))</f>
        <v>#VALUE!</v>
      </c>
      <c r="U6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6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6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6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6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6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69" spans="1:26" x14ac:dyDescent="0.25">
      <c r="A69" t="s">
        <v>235</v>
      </c>
      <c r="B69" t="s">
        <v>248</v>
      </c>
      <c r="C69" s="2">
        <v>174934</v>
      </c>
      <c r="D69">
        <f>RTD("tos.rtd", , "LAST", Main_L[[#This Row],[Symbol]])</f>
        <v>91.72</v>
      </c>
      <c r="E69">
        <v>3.29</v>
      </c>
      <c r="F69">
        <v>10.23</v>
      </c>
      <c r="G69">
        <v>4.5599999999999996</v>
      </c>
      <c r="H69" s="1">
        <f>IF(ISNUMBER(Main_L[[#This Row],[Free CF]]),IF(Main_L[[#This Row],[Free CF]]&lt;&gt;0,Main_L[[#This Row],[Current Price]]/Main_L[[#This Row],[Free CF]],""),"")</f>
        <v>27.878419452887538</v>
      </c>
      <c r="I69" s="1">
        <f>IF(ISNUMBER(Main_L[[#This Row],[BVPS]]),IF(Main_L[[#This Row],[BVPS]]&lt;&gt;0,Main_L[[#This Row],[Current Price]]/Main_L[[#This Row],[BVPS]],""),"")</f>
        <v>8.9657869012707714</v>
      </c>
      <c r="J69">
        <v>56</v>
      </c>
      <c r="K69">
        <v>3.89</v>
      </c>
      <c r="L69">
        <v>2.38</v>
      </c>
      <c r="M69" s="1">
        <f>IF(ISNUMBER(Main_L[[#This Row],[EPS]]),IF(Main_L[[#This Row],[EPS]]&lt;&gt;0,Main_L[[#This Row],[Current Price]]/Main_L[[#This Row],[EPS]],""),"")</f>
        <v>20.114035087719301</v>
      </c>
      <c r="N6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69" s="1">
        <f>(Main_L[[#This Row],[P/FCF]]-VLOOKUP(Main_L[[#This Row],[Industry]], Mean_PFCF_L, 2, FALSE))/(VLOOKUP(Main_L[[#This Row],[Industry]], Mean_PFCF_L, 3, FALSE))</f>
        <v>-0.41984337795435134</v>
      </c>
      <c r="P69" s="1">
        <f>(Main_L[[#This Row],[P/B]]-VLOOKUP(Main_L[[#This Row],[Industry]], Mean_PB_L, 2, FALSE))/(VLOOKUP(Main_L[[#This Row],[Industry]], Mean_PB_L, 3, FALSE))</f>
        <v>1.4133792851703069</v>
      </c>
      <c r="Q69" s="1">
        <f>(Main_L[[#This Row],[ROE]]-VLOOKUP(Main_L[[#This Row],[Industry]], Mean_ROE_L, 2, FALSE))/(VLOOKUP(Main_L[[#This Row],[Industry]], Mean_ROE_L, 3, FALSE))</f>
        <v>3.0984654086200534</v>
      </c>
      <c r="R69" s="1">
        <f>(Main_L[[#This Row],[ROA]]-VLOOKUP(Main_L[[#This Row],[Industry]], Mean_ROA_L, 2, FALSE))/(VLOOKUP(Main_L[[#This Row],[Industry]], Mean_ROA_L, 3, FALSE))</f>
        <v>-0.44375589569141827</v>
      </c>
      <c r="S69" s="1">
        <f>(Main_L[[#This Row],[A/E]]-VLOOKUP(Main_L[[#This Row],[Industry]], Mean_AE_L, 2, FALSE))/(VLOOKUP(Main_L[[#This Row],[Industry]], Mean_AE_L, 3, FALSE))</f>
        <v>-0.18958705477949003</v>
      </c>
      <c r="T69" s="1">
        <f>(Main_L[[#This Row],[P/E]]-VLOOKUP(Main_L[[#This Row],[Industry]], Mean_PE_L, 2, FALSE))/(VLOOKUP(Main_L[[#This Row],[Industry]], Mean_PE_L, 3, FALSE))</f>
        <v>-0.8330754892688752</v>
      </c>
      <c r="U6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6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6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6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6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6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70" spans="1:26" x14ac:dyDescent="0.25">
      <c r="A70" t="s">
        <v>154</v>
      </c>
      <c r="B70" t="s">
        <v>155</v>
      </c>
      <c r="C70" s="2">
        <v>138049</v>
      </c>
      <c r="D70">
        <f>RTD("tos.rtd", , "LAST", Main_L[[#This Row],[Symbol]])</f>
        <v>218.22</v>
      </c>
      <c r="E70">
        <v>7.79</v>
      </c>
      <c r="F70">
        <v>27.17</v>
      </c>
      <c r="G70">
        <v>8.6999999999999993</v>
      </c>
      <c r="H70" s="1">
        <f>IF(ISNUMBER(Main_L[[#This Row],[Free CF]]),IF(Main_L[[#This Row],[Free CF]]&lt;&gt;0,Main_L[[#This Row],[Current Price]]/Main_L[[#This Row],[Free CF]],""),"")</f>
        <v>28.012836970474968</v>
      </c>
      <c r="I70" s="1">
        <f>IF(ISNUMBER(Main_L[[#This Row],[BVPS]]),IF(Main_L[[#This Row],[BVPS]]&lt;&gt;0,Main_L[[#This Row],[Current Price]]/Main_L[[#This Row],[BVPS]],""),"")</f>
        <v>8.0316525579683464</v>
      </c>
      <c r="J70">
        <v>32.68</v>
      </c>
      <c r="K70">
        <v>7.41</v>
      </c>
      <c r="L70">
        <v>4.3099999999999996</v>
      </c>
      <c r="M70" s="1">
        <f>IF(ISNUMBER(Main_L[[#This Row],[EPS]]),IF(Main_L[[#This Row],[EPS]]&lt;&gt;0,Main_L[[#This Row],[Current Price]]/Main_L[[#This Row],[EPS]],""),"")</f>
        <v>25.082758620689656</v>
      </c>
      <c r="N7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70" s="1">
        <f>(Main_L[[#This Row],[P/FCF]]-VLOOKUP(Main_L[[#This Row],[Industry]], Mean_PFCF_L, 2, FALSE))/(VLOOKUP(Main_L[[#This Row],[Industry]], Mean_PFCF_L, 3, FALSE))</f>
        <v>0.99999999999999978</v>
      </c>
      <c r="P70" s="1">
        <f>(Main_L[[#This Row],[P/B]]-VLOOKUP(Main_L[[#This Row],[Industry]], Mean_PB_L, 2, FALSE))/(VLOOKUP(Main_L[[#This Row],[Industry]], Mean_PB_L, 3, FALSE))</f>
        <v>-1.0000000000000002</v>
      </c>
      <c r="Q70" s="1">
        <f>(Main_L[[#This Row],[ROE]]-VLOOKUP(Main_L[[#This Row],[Industry]], Mean_ROE_L, 2, FALSE))/(VLOOKUP(Main_L[[#This Row],[Industry]], Mean_ROE_L, 3, FALSE))</f>
        <v>-1.0000000000000009</v>
      </c>
      <c r="R70" s="1">
        <f>(Main_L[[#This Row],[ROA]]-VLOOKUP(Main_L[[#This Row],[Industry]], Mean_ROA_L, 2, FALSE))/(VLOOKUP(Main_L[[#This Row],[Industry]], Mean_ROA_L, 3, FALSE))</f>
        <v>0.99999999999999678</v>
      </c>
      <c r="S70" s="1">
        <f>(Main_L[[#This Row],[A/E]]-VLOOKUP(Main_L[[#This Row],[Industry]], Mean_AE_L, 2, FALSE))/(VLOOKUP(Main_L[[#This Row],[Industry]], Mean_AE_L, 3, FALSE))</f>
        <v>-0.99999999999999944</v>
      </c>
      <c r="T70" s="1">
        <f>(Main_L[[#This Row],[P/E]]-VLOOKUP(Main_L[[#This Row],[Industry]], Mean_PE_L, 2, FALSE))/(VLOOKUP(Main_L[[#This Row],[Industry]], Mean_PE_L, 3, FALSE))</f>
        <v>1.0000000000000056</v>
      </c>
      <c r="U7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7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7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7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7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7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71" spans="1:26" x14ac:dyDescent="0.25">
      <c r="A71" t="s">
        <v>154</v>
      </c>
      <c r="B71" t="s">
        <v>156</v>
      </c>
      <c r="C71" s="2">
        <v>74613</v>
      </c>
      <c r="D71">
        <f>RTD("tos.rtd", , "LAST", Main_L[[#This Row],[Symbol]])</f>
        <v>150.74</v>
      </c>
      <c r="E71">
        <v>-0.13</v>
      </c>
      <c r="F71">
        <v>8.2899999999999991</v>
      </c>
      <c r="G71">
        <v>8.0299999999999994</v>
      </c>
      <c r="H71" s="1">
        <f>IF(ISNUMBER(Main_L[[#This Row],[Free CF]]),IF(Main_L[[#This Row],[Free CF]]&lt;&gt;0,Main_L[[#This Row],[Current Price]]/Main_L[[#This Row],[Free CF]],""),"")</f>
        <v>-1159.5384615384617</v>
      </c>
      <c r="I71" s="1">
        <f>IF(ISNUMBER(Main_L[[#This Row],[BVPS]]),IF(Main_L[[#This Row],[BVPS]]&lt;&gt;0,Main_L[[#This Row],[Current Price]]/Main_L[[#This Row],[BVPS]],""),"")</f>
        <v>18.183353437876963</v>
      </c>
      <c r="J71">
        <v>93.82</v>
      </c>
      <c r="K71">
        <v>5.45</v>
      </c>
      <c r="L71">
        <v>8.9499999999999993</v>
      </c>
      <c r="M71" s="1">
        <f>IF(ISNUMBER(Main_L[[#This Row],[EPS]]),IF(Main_L[[#This Row],[EPS]]&lt;&gt;0,Main_L[[#This Row],[Current Price]]/Main_L[[#This Row],[EPS]],""),"")</f>
        <v>18.772104607721047</v>
      </c>
      <c r="N7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71" s="1">
        <f>(Main_L[[#This Row],[P/FCF]]-VLOOKUP(Main_L[[#This Row],[Industry]], Mean_PFCF_L, 2, FALSE))/(VLOOKUP(Main_L[[#This Row],[Industry]], Mean_PFCF_L, 3, FALSE))</f>
        <v>-1</v>
      </c>
      <c r="P71" s="1">
        <f>(Main_L[[#This Row],[P/B]]-VLOOKUP(Main_L[[#This Row],[Industry]], Mean_PB_L, 2, FALSE))/(VLOOKUP(Main_L[[#This Row],[Industry]], Mean_PB_L, 3, FALSE))</f>
        <v>1.0000000000000002</v>
      </c>
      <c r="Q71" s="1">
        <f>(Main_L[[#This Row],[ROE]]-VLOOKUP(Main_L[[#This Row],[Industry]], Mean_ROE_L, 2, FALSE))/(VLOOKUP(Main_L[[#This Row],[Industry]], Mean_ROE_L, 3, FALSE))</f>
        <v>1.0000000000000007</v>
      </c>
      <c r="R71" s="1">
        <f>(Main_L[[#This Row],[ROA]]-VLOOKUP(Main_L[[#This Row],[Industry]], Mean_ROA_L, 2, FALSE))/(VLOOKUP(Main_L[[#This Row],[Industry]], Mean_ROA_L, 3, FALSE))</f>
        <v>-0.99999999999999589</v>
      </c>
      <c r="S71" s="1">
        <f>(Main_L[[#This Row],[A/E]]-VLOOKUP(Main_L[[#This Row],[Industry]], Mean_AE_L, 2, FALSE))/(VLOOKUP(Main_L[[#This Row],[Industry]], Mean_AE_L, 3, FALSE))</f>
        <v>0.99999999999999978</v>
      </c>
      <c r="T71" s="1">
        <f>(Main_L[[#This Row],[P/E]]-VLOOKUP(Main_L[[#This Row],[Industry]], Mean_PE_L, 2, FALSE))/(VLOOKUP(Main_L[[#This Row],[Industry]], Mean_PE_L, 3, FALSE))</f>
        <v>-1.0000000000000067</v>
      </c>
      <c r="U7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7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7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7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7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7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72" spans="1:26" x14ac:dyDescent="0.25">
      <c r="A72" t="s">
        <v>157</v>
      </c>
      <c r="B72" t="s">
        <v>159</v>
      </c>
      <c r="C72" s="2">
        <v>150637</v>
      </c>
      <c r="D72">
        <f>RTD("tos.rtd", , "LAST", Main_L[[#This Row],[Symbol]])</f>
        <v>352.54</v>
      </c>
      <c r="E72">
        <v>16.34</v>
      </c>
      <c r="F72">
        <v>38.04</v>
      </c>
      <c r="G72">
        <v>20.51</v>
      </c>
      <c r="H72" s="1">
        <f>IF(ISNUMBER(Main_L[[#This Row],[Free CF]]),IF(Main_L[[#This Row],[Free CF]]&lt;&gt;0,Main_L[[#This Row],[Current Price]]/Main_L[[#This Row],[Free CF]],""),"")</f>
        <v>21.575275397796819</v>
      </c>
      <c r="I72" s="1">
        <f>IF(ISNUMBER(Main_L[[#This Row],[BVPS]]),IF(Main_L[[#This Row],[BVPS]]&lt;&gt;0,Main_L[[#This Row],[Current Price]]/Main_L[[#This Row],[BVPS]],""),"")</f>
        <v>9.2676130389064149</v>
      </c>
      <c r="J72">
        <v>55.65</v>
      </c>
      <c r="K72">
        <v>9.35</v>
      </c>
      <c r="L72">
        <v>4.7</v>
      </c>
      <c r="M72" s="1">
        <f>IF(ISNUMBER(Main_L[[#This Row],[EPS]]),IF(Main_L[[#This Row],[EPS]]&lt;&gt;0,Main_L[[#This Row],[Current Price]]/Main_L[[#This Row],[EPS]],""),"")</f>
        <v>17.188688444661139</v>
      </c>
      <c r="N7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72" s="1">
        <f>(Main_L[[#This Row],[P/FCF]]-VLOOKUP(Main_L[[#This Row],[Industry]], Mean_PFCF_L, 2, FALSE))/(VLOOKUP(Main_L[[#This Row],[Industry]], Mean_PFCF_L, 3, FALSE))</f>
        <v>-0.66865349919793471</v>
      </c>
      <c r="P72" s="1">
        <f>(Main_L[[#This Row],[P/B]]-VLOOKUP(Main_L[[#This Row],[Industry]], Mean_PB_L, 2, FALSE))/(VLOOKUP(Main_L[[#This Row],[Industry]], Mean_PB_L, 3, FALSE))</f>
        <v>2.570402603914077</v>
      </c>
      <c r="Q72" s="1">
        <f>(Main_L[[#This Row],[ROE]]-VLOOKUP(Main_L[[#This Row],[Industry]], Mean_ROE_L, 2, FALSE))/(VLOOKUP(Main_L[[#This Row],[Industry]], Mean_ROE_L, 3, FALSE))</f>
        <v>4.8982542211760185</v>
      </c>
      <c r="R72" s="1">
        <f>(Main_L[[#This Row],[ROA]]-VLOOKUP(Main_L[[#This Row],[Industry]], Mean_ROA_L, 2, FALSE))/(VLOOKUP(Main_L[[#This Row],[Industry]], Mean_ROA_L, 3, FALSE))</f>
        <v>0.51371878704396734</v>
      </c>
      <c r="S72" s="1">
        <f>(Main_L[[#This Row],[A/E]]-VLOOKUP(Main_L[[#This Row],[Industry]], Mean_AE_L, 2, FALSE))/(VLOOKUP(Main_L[[#This Row],[Industry]], Mean_AE_L, 3, FALSE))</f>
        <v>6.2932198432192363</v>
      </c>
      <c r="T72" s="1">
        <f>(Main_L[[#This Row],[P/E]]-VLOOKUP(Main_L[[#This Row],[Industry]], Mean_PE_L, 2, FALSE))/(VLOOKUP(Main_L[[#This Row],[Industry]], Mean_PE_L, 3, FALSE))</f>
        <v>-1.2588795727473361</v>
      </c>
      <c r="U7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7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7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7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7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7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73" spans="1:26" x14ac:dyDescent="0.25">
      <c r="A73" t="s">
        <v>157</v>
      </c>
      <c r="B73" t="s">
        <v>160</v>
      </c>
      <c r="C73" s="2">
        <v>41043</v>
      </c>
      <c r="D73">
        <f>RTD("tos.rtd", , "LAST", Main_L[[#This Row],[Symbol]])</f>
        <v>334.58</v>
      </c>
      <c r="E73">
        <v>0.05</v>
      </c>
      <c r="F73">
        <v>79.33</v>
      </c>
      <c r="G73">
        <v>20.100000000000001</v>
      </c>
      <c r="H73" s="1">
        <f>IF(ISNUMBER(Main_L[[#This Row],[Free CF]]),IF(Main_L[[#This Row],[Free CF]]&lt;&gt;0,Main_L[[#This Row],[Current Price]]/Main_L[[#This Row],[Free CF]],""),"")</f>
        <v>6691.5999999999995</v>
      </c>
      <c r="I73" s="1">
        <f>IF(ISNUMBER(Main_L[[#This Row],[BVPS]]),IF(Main_L[[#This Row],[BVPS]]&lt;&gt;0,Main_L[[#This Row],[Current Price]]/Main_L[[#This Row],[BVPS]],""),"")</f>
        <v>4.217572166897769</v>
      </c>
      <c r="J73">
        <v>26.19</v>
      </c>
      <c r="K73">
        <v>7.75</v>
      </c>
      <c r="L73">
        <v>2.98</v>
      </c>
      <c r="M73" s="1">
        <f>IF(ISNUMBER(Main_L[[#This Row],[EPS]]),IF(Main_L[[#This Row],[EPS]]&lt;&gt;0,Main_L[[#This Row],[Current Price]]/Main_L[[#This Row],[EPS]],""),"")</f>
        <v>16.645771144278605</v>
      </c>
      <c r="N7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73" s="1">
        <f>(Main_L[[#This Row],[P/FCF]]-VLOOKUP(Main_L[[#This Row],[Industry]], Mean_PFCF_L, 2, FALSE))/(VLOOKUP(Main_L[[#This Row],[Industry]], Mean_PFCF_L, 3, FALSE))</f>
        <v>1481.2699740710354</v>
      </c>
      <c r="P73" s="1">
        <f>(Main_L[[#This Row],[P/B]]-VLOOKUP(Main_L[[#This Row],[Industry]], Mean_PB_L, 2, FALSE))/(VLOOKUP(Main_L[[#This Row],[Industry]], Mean_PB_L, 3, FALSE))</f>
        <v>-0.17797598319377148</v>
      </c>
      <c r="Q73" s="1">
        <f>(Main_L[[#This Row],[ROE]]-VLOOKUP(Main_L[[#This Row],[Industry]], Mean_ROE_L, 2, FALSE))/(VLOOKUP(Main_L[[#This Row],[Industry]], Mean_ROE_L, 3, FALSE))</f>
        <v>1.0857689013386211</v>
      </c>
      <c r="R73" s="1">
        <f>(Main_L[[#This Row],[ROA]]-VLOOKUP(Main_L[[#This Row],[Industry]], Mean_ROA_L, 2, FALSE))/(VLOOKUP(Main_L[[#This Row],[Industry]], Mean_ROA_L, 3, FALSE))</f>
        <v>-5.4380562760929632E-2</v>
      </c>
      <c r="S73" s="1">
        <f>(Main_L[[#This Row],[A/E]]-VLOOKUP(Main_L[[#This Row],[Industry]], Mean_AE_L, 2, FALSE))/(VLOOKUP(Main_L[[#This Row],[Industry]], Mean_AE_L, 3, FALSE))</f>
        <v>2.4265216944049164</v>
      </c>
      <c r="T73" s="1">
        <f>(Main_L[[#This Row],[P/E]]-VLOOKUP(Main_L[[#This Row],[Industry]], Mean_PE_L, 2, FALSE))/(VLOOKUP(Main_L[[#This Row],[Industry]], Mean_PE_L, 3, FALSE))</f>
        <v>-1.3404682894991984</v>
      </c>
      <c r="U7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7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7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7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7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7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74" spans="1:26" x14ac:dyDescent="0.25">
      <c r="A74" t="s">
        <v>157</v>
      </c>
      <c r="B74" t="s">
        <v>161</v>
      </c>
      <c r="C74" s="2">
        <v>46589</v>
      </c>
      <c r="D74">
        <f>RTD("tos.rtd", , "LAST", Main_L[[#This Row],[Symbol]])</f>
        <v>96.26</v>
      </c>
      <c r="E74">
        <v>4.5</v>
      </c>
      <c r="F74">
        <v>34.33</v>
      </c>
      <c r="G74">
        <v>6.59</v>
      </c>
      <c r="H74" s="1">
        <f>IF(ISNUMBER(Main_L[[#This Row],[Free CF]]),IF(Main_L[[#This Row],[Free CF]]&lt;&gt;0,Main_L[[#This Row],[Current Price]]/Main_L[[#This Row],[Free CF]],""),"")</f>
        <v>21.391111111111112</v>
      </c>
      <c r="I74" s="1">
        <f>IF(ISNUMBER(Main_L[[#This Row],[BVPS]]),IF(Main_L[[#This Row],[BVPS]]&lt;&gt;0,Main_L[[#This Row],[Current Price]]/Main_L[[#This Row],[BVPS]],""),"")</f>
        <v>2.8039615496650163</v>
      </c>
      <c r="J74">
        <v>19.899999999999999</v>
      </c>
      <c r="K74">
        <v>6.7</v>
      </c>
      <c r="L74">
        <v>2.37</v>
      </c>
      <c r="M74" s="1">
        <f>IF(ISNUMBER(Main_L[[#This Row],[EPS]]),IF(Main_L[[#This Row],[EPS]]&lt;&gt;0,Main_L[[#This Row],[Current Price]]/Main_L[[#This Row],[EPS]],""),"")</f>
        <v>14.606980273141124</v>
      </c>
      <c r="N7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74" s="1">
        <f>(Main_L[[#This Row],[P/FCF]]-VLOOKUP(Main_L[[#This Row],[Industry]], Mean_PFCF_L, 2, FALSE))/(VLOOKUP(Main_L[[#This Row],[Industry]], Mean_PFCF_L, 3, FALSE))</f>
        <v>-0.70957091427914254</v>
      </c>
      <c r="P74" s="1">
        <f>(Main_L[[#This Row],[P/B]]-VLOOKUP(Main_L[[#This Row],[Industry]], Mean_PB_L, 2, FALSE))/(VLOOKUP(Main_L[[#This Row],[Industry]], Mean_PB_L, 3, FALSE))</f>
        <v>-0.94730384595332562</v>
      </c>
      <c r="Q74" s="1">
        <f>(Main_L[[#This Row],[ROE]]-VLOOKUP(Main_L[[#This Row],[Industry]], Mean_ROE_L, 2, FALSE))/(VLOOKUP(Main_L[[#This Row],[Industry]], Mean_ROE_L, 3, FALSE))</f>
        <v>0.271765755996556</v>
      </c>
      <c r="R74" s="1">
        <f>(Main_L[[#This Row],[ROA]]-VLOOKUP(Main_L[[#This Row],[Industry]], Mean_ROA_L, 2, FALSE))/(VLOOKUP(Main_L[[#This Row],[Industry]], Mean_ROA_L, 3, FALSE))</f>
        <v>-0.42719576107039331</v>
      </c>
      <c r="S74" s="1">
        <f>(Main_L[[#This Row],[A/E]]-VLOOKUP(Main_L[[#This Row],[Industry]], Mean_AE_L, 2, FALSE))/(VLOOKUP(Main_L[[#This Row],[Industry]], Mean_AE_L, 3, FALSE))</f>
        <v>1.05519269976728</v>
      </c>
      <c r="T74" s="1">
        <f>(Main_L[[#This Row],[P/E]]-VLOOKUP(Main_L[[#This Row],[Industry]], Mean_PE_L, 2, FALSE))/(VLOOKUP(Main_L[[#This Row],[Industry]], Mean_PE_L, 3, FALSE))</f>
        <v>-1.6468544201019903</v>
      </c>
      <c r="U7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7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7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7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7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7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75" spans="1:26" x14ac:dyDescent="0.25">
      <c r="A75" t="s">
        <v>157</v>
      </c>
      <c r="B75" t="s">
        <v>162</v>
      </c>
      <c r="C75" s="2">
        <v>32463</v>
      </c>
      <c r="D75">
        <f>RTD("tos.rtd", , "LAST", Main_L[[#This Row],[Symbol]])</f>
        <v>203.85</v>
      </c>
      <c r="E75">
        <v>8.52</v>
      </c>
      <c r="F75">
        <v>60.6</v>
      </c>
      <c r="G75">
        <v>6.39</v>
      </c>
      <c r="H75" s="1">
        <f>IF(ISNUMBER(Main_L[[#This Row],[Free CF]]),IF(Main_L[[#This Row],[Free CF]]&lt;&gt;0,Main_L[[#This Row],[Current Price]]/Main_L[[#This Row],[Free CF]],""),"")</f>
        <v>23.926056338028168</v>
      </c>
      <c r="I75" s="1">
        <f>IF(ISNUMBER(Main_L[[#This Row],[BVPS]]),IF(Main_L[[#This Row],[BVPS]]&lt;&gt;0,Main_L[[#This Row],[Current Price]]/Main_L[[#This Row],[BVPS]],""),"")</f>
        <v>3.3638613861386135</v>
      </c>
      <c r="J75">
        <v>10.68</v>
      </c>
      <c r="K75">
        <v>5.73</v>
      </c>
      <c r="L75">
        <v>1.84</v>
      </c>
      <c r="M75" s="1">
        <f>IF(ISNUMBER(Main_L[[#This Row],[EPS]]),IF(Main_L[[#This Row],[EPS]]&lt;&gt;0,Main_L[[#This Row],[Current Price]]/Main_L[[#This Row],[EPS]],""),"")</f>
        <v>31.901408450704228</v>
      </c>
      <c r="N7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YES</v>
      </c>
      <c r="O75" s="1">
        <f>(Main_L[[#This Row],[P/FCF]]-VLOOKUP(Main_L[[#This Row],[Industry]], Mean_PFCF_L, 2, FALSE))/(VLOOKUP(Main_L[[#This Row],[Industry]], Mean_PFCF_L, 3, FALSE))</f>
        <v>-0.14635962112052239</v>
      </c>
      <c r="P75" s="1">
        <f>(Main_L[[#This Row],[P/B]]-VLOOKUP(Main_L[[#This Row],[Industry]], Mean_PB_L, 2, FALSE))/(VLOOKUP(Main_L[[#This Row],[Industry]], Mean_PB_L, 3, FALSE))</f>
        <v>-0.64259012967063767</v>
      </c>
      <c r="Q75" s="1">
        <f>(Main_L[[#This Row],[ROE]]-VLOOKUP(Main_L[[#This Row],[Industry]], Mean_ROE_L, 2, FALSE))/(VLOOKUP(Main_L[[#This Row],[Industry]], Mean_ROE_L, 3, FALSE))</f>
        <v>-0.92141532509308421</v>
      </c>
      <c r="R75" s="1">
        <f>(Main_L[[#This Row],[ROA]]-VLOOKUP(Main_L[[#This Row],[Industry]], Mean_ROA_L, 2, FALSE))/(VLOOKUP(Main_L[[#This Row],[Industry]], Mean_ROA_L, 3, FALSE))</f>
        <v>-0.7716059918896121</v>
      </c>
      <c r="S75" s="1">
        <f>(Main_L[[#This Row],[A/E]]-VLOOKUP(Main_L[[#This Row],[Industry]], Mean_AE_L, 2, FALSE))/(VLOOKUP(Main_L[[#This Row],[Industry]], Mean_AE_L, 3, FALSE))</f>
        <v>-0.13628986934410922</v>
      </c>
      <c r="T75" s="1">
        <f>(Main_L[[#This Row],[P/E]]-VLOOKUP(Main_L[[#This Row],[Industry]], Mean_PE_L, 2, FALSE))/(VLOOKUP(Main_L[[#This Row],[Industry]], Mean_PE_L, 3, FALSE))</f>
        <v>0.95212373176464371</v>
      </c>
      <c r="U7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7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7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7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7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7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76" spans="1:26" x14ac:dyDescent="0.25">
      <c r="A76" t="s">
        <v>157</v>
      </c>
      <c r="B76" t="s">
        <v>163</v>
      </c>
      <c r="C76" s="2">
        <v>128216</v>
      </c>
      <c r="D76">
        <f>RTD("tos.rtd", , "LAST", Main_L[[#This Row],[Symbol]])</f>
        <v>498.57</v>
      </c>
      <c r="E76">
        <v>15.44</v>
      </c>
      <c r="F76">
        <v>82.82</v>
      </c>
      <c r="G76">
        <v>22.61</v>
      </c>
      <c r="H76" s="1">
        <f>IF(ISNUMBER(Main_L[[#This Row],[Free CF]]),IF(Main_L[[#This Row],[Free CF]]&lt;&gt;0,Main_L[[#This Row],[Current Price]]/Main_L[[#This Row],[Free CF]],""),"")</f>
        <v>32.290803108808291</v>
      </c>
      <c r="I76" s="1">
        <f>IF(ISNUMBER(Main_L[[#This Row],[BVPS]]),IF(Main_L[[#This Row],[BVPS]]&lt;&gt;0,Main_L[[#This Row],[Current Price]]/Main_L[[#This Row],[BVPS]],""),"")</f>
        <v>6.0199227239797155</v>
      </c>
      <c r="J76">
        <v>27.74</v>
      </c>
      <c r="K76">
        <v>4.96</v>
      </c>
      <c r="L76">
        <v>4.59</v>
      </c>
      <c r="M76" s="1">
        <f>IF(ISNUMBER(Main_L[[#This Row],[EPS]]),IF(Main_L[[#This Row],[EPS]]&lt;&gt;0,Main_L[[#This Row],[Current Price]]/Main_L[[#This Row],[EPS]],""),"")</f>
        <v>22.050862450243255</v>
      </c>
      <c r="N7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76" s="1">
        <f>(Main_L[[#This Row],[P/FCF]]-VLOOKUP(Main_L[[#This Row],[Industry]], Mean_PFCF_L, 2, FALSE))/(VLOOKUP(Main_L[[#This Row],[Industry]], Mean_PFCF_L, 3, FALSE))</f>
        <v>1.7121104537714009</v>
      </c>
      <c r="P76" s="1">
        <f>(Main_L[[#This Row],[P/B]]-VLOOKUP(Main_L[[#This Row],[Industry]], Mean_PB_L, 2, FALSE))/(VLOOKUP(Main_L[[#This Row],[Industry]], Mean_PB_L, 3, FALSE))</f>
        <v>0.80291542008226979</v>
      </c>
      <c r="Q76" s="1">
        <f>(Main_L[[#This Row],[ROE]]-VLOOKUP(Main_L[[#This Row],[Industry]], Mean_ROE_L, 2, FALSE))/(VLOOKUP(Main_L[[#This Row],[Industry]], Mean_ROE_L, 3, FALSE))</f>
        <v>1.2863579117170312</v>
      </c>
      <c r="R76" s="1">
        <f>(Main_L[[#This Row],[ROA]]-VLOOKUP(Main_L[[#This Row],[Industry]], Mean_ROA_L, 2, FALSE))/(VLOOKUP(Main_L[[#This Row],[Industry]], Mean_ROA_L, 3, FALSE))</f>
        <v>-1.045003803983219</v>
      </c>
      <c r="S76" s="1">
        <f>(Main_L[[#This Row],[A/E]]-VLOOKUP(Main_L[[#This Row],[Industry]], Mean_AE_L, 2, FALSE))/(VLOOKUP(Main_L[[#This Row],[Industry]], Mean_AE_L, 3, FALSE))</f>
        <v>6.0459310081206459</v>
      </c>
      <c r="T76" s="1">
        <f>(Main_L[[#This Row],[P/E]]-VLOOKUP(Main_L[[#This Row],[Industry]], Mean_PE_L, 2, FALSE))/(VLOOKUP(Main_L[[#This Row],[Industry]], Mean_PE_L, 3, FALSE))</f>
        <v>-0.52820007982972828</v>
      </c>
      <c r="U7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7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7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7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7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7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77" spans="1:26" x14ac:dyDescent="0.25">
      <c r="A77" t="s">
        <v>157</v>
      </c>
      <c r="B77" t="s">
        <v>165</v>
      </c>
      <c r="C77" s="2">
        <v>23508</v>
      </c>
      <c r="D77">
        <f>RTD("tos.rtd", , "LAST", Main_L[[#This Row],[Symbol]])</f>
        <v>185.59</v>
      </c>
      <c r="E77">
        <v>4.0999999999999996</v>
      </c>
      <c r="F77">
        <v>52.06</v>
      </c>
      <c r="G77">
        <v>7.5</v>
      </c>
      <c r="H77" s="1">
        <f>IF(ISNUMBER(Main_L[[#This Row],[Free CF]]),IF(Main_L[[#This Row],[Free CF]]&lt;&gt;0,Main_L[[#This Row],[Current Price]]/Main_L[[#This Row],[Free CF]],""),"")</f>
        <v>45.265853658536592</v>
      </c>
      <c r="I77" s="1">
        <f>IF(ISNUMBER(Main_L[[#This Row],[BVPS]]),IF(Main_L[[#This Row],[BVPS]]&lt;&gt;0,Main_L[[#This Row],[Current Price]]/Main_L[[#This Row],[BVPS]],""),"")</f>
        <v>3.5649250864387243</v>
      </c>
      <c r="J77">
        <v>16.88</v>
      </c>
      <c r="K77">
        <v>6.71</v>
      </c>
      <c r="L77">
        <v>1.77</v>
      </c>
      <c r="M77" s="1">
        <f>IF(ISNUMBER(Main_L[[#This Row],[EPS]]),IF(Main_L[[#This Row],[EPS]]&lt;&gt;0,Main_L[[#This Row],[Current Price]]/Main_L[[#This Row],[EPS]],""),"")</f>
        <v>24.745333333333335</v>
      </c>
      <c r="N7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77" s="1">
        <f>(Main_L[[#This Row],[P/FCF]]-VLOOKUP(Main_L[[#This Row],[Industry]], Mean_PFCF_L, 2, FALSE))/(VLOOKUP(Main_L[[#This Row],[Industry]], Mean_PFCF_L, 3, FALSE))</f>
        <v>4.5948926619686166</v>
      </c>
      <c r="P77" s="1">
        <f>(Main_L[[#This Row],[P/B]]-VLOOKUP(Main_L[[#This Row],[Industry]], Mean_PB_L, 2, FALSE))/(VLOOKUP(Main_L[[#This Row],[Industry]], Mean_PB_L, 3, FALSE))</f>
        <v>-0.53316543736518729</v>
      </c>
      <c r="Q77" s="1">
        <f>(Main_L[[#This Row],[ROE]]-VLOOKUP(Main_L[[#This Row],[Industry]], Mean_ROE_L, 2, FALSE))/(VLOOKUP(Main_L[[#This Row],[Industry]], Mean_ROE_L, 3, FALSE))</f>
        <v>-0.11905928357944326</v>
      </c>
      <c r="R77" s="1">
        <f>(Main_L[[#This Row],[ROA]]-VLOOKUP(Main_L[[#This Row],[Industry]], Mean_ROA_L, 2, FALSE))/(VLOOKUP(Main_L[[#This Row],[Industry]], Mean_ROA_L, 3, FALSE))</f>
        <v>-0.42364514013411275</v>
      </c>
      <c r="S77" s="1">
        <f>(Main_L[[#This Row],[A/E]]-VLOOKUP(Main_L[[#This Row],[Industry]], Mean_AE_L, 2, FALSE))/(VLOOKUP(Main_L[[#This Row],[Industry]], Mean_AE_L, 3, FALSE))</f>
        <v>-0.29365549167957583</v>
      </c>
      <c r="T77" s="1">
        <f>(Main_L[[#This Row],[P/E]]-VLOOKUP(Main_L[[#This Row],[Industry]], Mean_PE_L, 2, FALSE))/(VLOOKUP(Main_L[[#This Row],[Industry]], Mean_PE_L, 3, FALSE))</f>
        <v>-0.12327943810090401</v>
      </c>
      <c r="U7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7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7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7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7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7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78" spans="1:26" x14ac:dyDescent="0.25">
      <c r="A78" t="s">
        <v>157</v>
      </c>
      <c r="B78" t="s">
        <v>166</v>
      </c>
      <c r="C78" s="2">
        <v>23122</v>
      </c>
      <c r="D78">
        <f>RTD("tos.rtd", , "LAST", Main_L[[#This Row],[Symbol]])</f>
        <v>73.650000000000006</v>
      </c>
      <c r="E78">
        <v>4.01</v>
      </c>
      <c r="F78">
        <v>30.12</v>
      </c>
      <c r="G78">
        <v>2.2799999999999998</v>
      </c>
      <c r="H78" s="1">
        <f>IF(ISNUMBER(Main_L[[#This Row],[Free CF]]),IF(Main_L[[#This Row],[Free CF]]&lt;&gt;0,Main_L[[#This Row],[Current Price]]/Main_L[[#This Row],[Free CF]],""),"")</f>
        <v>18.366583541147136</v>
      </c>
      <c r="I78" s="1">
        <f>IF(ISNUMBER(Main_L[[#This Row],[BVPS]]),IF(Main_L[[#This Row],[BVPS]]&lt;&gt;0,Main_L[[#This Row],[Current Price]]/Main_L[[#This Row],[BVPS]],""),"")</f>
        <v>2.4452191235059764</v>
      </c>
      <c r="J78">
        <v>7.69</v>
      </c>
      <c r="K78">
        <v>4.0999999999999996</v>
      </c>
      <c r="L78">
        <v>1.67</v>
      </c>
      <c r="M78" s="1">
        <f>IF(ISNUMBER(Main_L[[#This Row],[EPS]]),IF(Main_L[[#This Row],[EPS]]&lt;&gt;0,Main_L[[#This Row],[Current Price]]/Main_L[[#This Row],[EPS]],""),"")</f>
        <v>32.302631578947377</v>
      </c>
      <c r="N7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78" s="1">
        <f>(Main_L[[#This Row],[P/FCF]]-VLOOKUP(Main_L[[#This Row],[Industry]], Mean_PFCF_L, 2, FALSE))/(VLOOKUP(Main_L[[#This Row],[Industry]], Mean_PFCF_L, 3, FALSE))</f>
        <v>-1.3815570644276431</v>
      </c>
      <c r="P78" s="1">
        <f>(Main_L[[#This Row],[P/B]]-VLOOKUP(Main_L[[#This Row],[Industry]], Mean_PB_L, 2, FALSE))/(VLOOKUP(Main_L[[#This Row],[Industry]], Mean_PB_L, 3, FALSE))</f>
        <v>-1.1425418702250896</v>
      </c>
      <c r="Q78" s="1">
        <f>(Main_L[[#This Row],[ROE]]-VLOOKUP(Main_L[[#This Row],[Industry]], Mean_ROE_L, 2, FALSE))/(VLOOKUP(Main_L[[#This Row],[Industry]], Mean_ROE_L, 3, FALSE))</f>
        <v>-1.3083579967262753</v>
      </c>
      <c r="R78" s="1">
        <f>(Main_L[[#This Row],[ROA]]-VLOOKUP(Main_L[[#This Row],[Industry]], Mean_ROA_L, 2, FALSE))/(VLOOKUP(Main_L[[#This Row],[Industry]], Mean_ROA_L, 3, FALSE))</f>
        <v>-1.3503572045033514</v>
      </c>
      <c r="S78" s="1">
        <f>(Main_L[[#This Row],[A/E]]-VLOOKUP(Main_L[[#This Row],[Industry]], Mean_AE_L, 2, FALSE))/(VLOOKUP(Main_L[[#This Row],[Industry]], Mean_AE_L, 3, FALSE))</f>
        <v>-0.51846352358738534</v>
      </c>
      <c r="T78" s="1">
        <f>(Main_L[[#This Row],[P/E]]-VLOOKUP(Main_L[[#This Row],[Industry]], Mean_PE_L, 2, FALSE))/(VLOOKUP(Main_L[[#This Row],[Industry]], Mean_PE_L, 3, FALSE))</f>
        <v>1.0124188819495088</v>
      </c>
      <c r="U7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7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7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7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7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7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79" spans="1:26" x14ac:dyDescent="0.25">
      <c r="A79" t="s">
        <v>157</v>
      </c>
      <c r="B79" t="s">
        <v>167</v>
      </c>
      <c r="C79" s="2">
        <v>13702</v>
      </c>
      <c r="D79">
        <f>RTD("tos.rtd", , "LAST", Main_L[[#This Row],[Symbol]])</f>
        <v>85.74</v>
      </c>
      <c r="E79">
        <v>3.24</v>
      </c>
      <c r="F79">
        <v>14.82</v>
      </c>
      <c r="G79">
        <v>2.83</v>
      </c>
      <c r="H79" s="1">
        <f>IF(ISNUMBER(Main_L[[#This Row],[Free CF]]),IF(Main_L[[#This Row],[Free CF]]&lt;&gt;0,Main_L[[#This Row],[Current Price]]/Main_L[[#This Row],[Free CF]],""),"")</f>
        <v>26.462962962962958</v>
      </c>
      <c r="I79" s="1">
        <f>IF(ISNUMBER(Main_L[[#This Row],[BVPS]]),IF(Main_L[[#This Row],[BVPS]]&lt;&gt;0,Main_L[[#This Row],[Current Price]]/Main_L[[#This Row],[BVPS]],""),"")</f>
        <v>5.7854251012145745</v>
      </c>
      <c r="J79">
        <v>20.28</v>
      </c>
      <c r="K79">
        <v>12.5</v>
      </c>
      <c r="L79">
        <v>1.21</v>
      </c>
      <c r="M79" s="1">
        <f>IF(ISNUMBER(Main_L[[#This Row],[EPS]]),IF(Main_L[[#This Row],[EPS]]&lt;&gt;0,Main_L[[#This Row],[Current Price]]/Main_L[[#This Row],[EPS]],""),"")</f>
        <v>30.296819787985864</v>
      </c>
      <c r="N7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79" s="1">
        <f>(Main_L[[#This Row],[P/FCF]]-VLOOKUP(Main_L[[#This Row],[Industry]], Mean_PFCF_L, 2, FALSE))/(VLOOKUP(Main_L[[#This Row],[Industry]], Mean_PFCF_L, 3, FALSE))</f>
        <v>0.41728745325429006</v>
      </c>
      <c r="P79" s="1">
        <f>(Main_L[[#This Row],[P/B]]-VLOOKUP(Main_L[[#This Row],[Industry]], Mean_PB_L, 2, FALSE))/(VLOOKUP(Main_L[[#This Row],[Industry]], Mean_PB_L, 3, FALSE))</f>
        <v>0.67529501829350902</v>
      </c>
      <c r="Q79" s="1">
        <f>(Main_L[[#This Row],[ROE]]-VLOOKUP(Main_L[[#This Row],[Industry]], Mean_ROE_L, 2, FALSE))/(VLOOKUP(Main_L[[#This Row],[Industry]], Mean_ROE_L, 3, FALSE))</f>
        <v>0.32094241660545691</v>
      </c>
      <c r="R79" s="1">
        <f>(Main_L[[#This Row],[ROA]]-VLOOKUP(Main_L[[#This Row],[Industry]], Mean_ROA_L, 2, FALSE))/(VLOOKUP(Main_L[[#This Row],[Industry]], Mean_ROA_L, 3, FALSE))</f>
        <v>1.6321643819723586</v>
      </c>
      <c r="S79" s="1">
        <f>(Main_L[[#This Row],[A/E]]-VLOOKUP(Main_L[[#This Row],[Industry]], Mean_AE_L, 2, FALSE))/(VLOOKUP(Main_L[[#This Row],[Industry]], Mean_AE_L, 3, FALSE))</f>
        <v>-1.5525804703633079</v>
      </c>
      <c r="T79" s="1">
        <f>(Main_L[[#This Row],[P/E]]-VLOOKUP(Main_L[[#This Row],[Industry]], Mean_PE_L, 2, FALSE))/(VLOOKUP(Main_L[[#This Row],[Industry]], Mean_PE_L, 3, FALSE))</f>
        <v>0.7109887931404083</v>
      </c>
      <c r="U7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7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7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7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7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7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80" spans="1:26" x14ac:dyDescent="0.25">
      <c r="A80" t="s">
        <v>157</v>
      </c>
      <c r="B80" t="s">
        <v>168</v>
      </c>
      <c r="C80" s="2">
        <v>13605</v>
      </c>
      <c r="D80">
        <f>RTD("tos.rtd", , "LAST", Main_L[[#This Row],[Symbol]])</f>
        <v>190.31</v>
      </c>
      <c r="E80">
        <v>7.37</v>
      </c>
      <c r="F80">
        <v>51.61</v>
      </c>
      <c r="G80">
        <v>6.3</v>
      </c>
      <c r="H80" s="1">
        <f>IF(ISNUMBER(Main_L[[#This Row],[Free CF]]),IF(Main_L[[#This Row],[Free CF]]&lt;&gt;0,Main_L[[#This Row],[Current Price]]/Main_L[[#This Row],[Free CF]],""),"")</f>
        <v>25.822252374491182</v>
      </c>
      <c r="I80" s="1">
        <f>IF(ISNUMBER(Main_L[[#This Row],[BVPS]]),IF(Main_L[[#This Row],[BVPS]]&lt;&gt;0,Main_L[[#This Row],[Current Price]]/Main_L[[#This Row],[BVPS]],""),"")</f>
        <v>3.6874636698314283</v>
      </c>
      <c r="J80">
        <v>12.72</v>
      </c>
      <c r="K80">
        <v>6.9</v>
      </c>
      <c r="L80">
        <v>1.74</v>
      </c>
      <c r="M80" s="1">
        <f>IF(ISNUMBER(Main_L[[#This Row],[EPS]]),IF(Main_L[[#This Row],[EPS]]&lt;&gt;0,Main_L[[#This Row],[Current Price]]/Main_L[[#This Row],[EPS]],""),"")</f>
        <v>30.207936507936509</v>
      </c>
      <c r="N8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80" s="1">
        <f>(Main_L[[#This Row],[P/FCF]]-VLOOKUP(Main_L[[#This Row],[Industry]], Mean_PFCF_L, 2, FALSE))/(VLOOKUP(Main_L[[#This Row],[Industry]], Mean_PFCF_L, 3, FALSE))</f>
        <v>0.27493509185337961</v>
      </c>
      <c r="P80" s="1">
        <f>(Main_L[[#This Row],[P/B]]-VLOOKUP(Main_L[[#This Row],[Industry]], Mean_PB_L, 2, FALSE))/(VLOOKUP(Main_L[[#This Row],[Industry]], Mean_PB_L, 3, FALSE))</f>
        <v>-0.46647638925119012</v>
      </c>
      <c r="Q80" s="1">
        <f>(Main_L[[#This Row],[ROE]]-VLOOKUP(Main_L[[#This Row],[Industry]], Mean_ROE_L, 2, FALSE))/(VLOOKUP(Main_L[[#This Row],[Industry]], Mean_ROE_L, 3, FALSE))</f>
        <v>-0.65741430498214415</v>
      </c>
      <c r="R80" s="1">
        <f>(Main_L[[#This Row],[ROA]]-VLOOKUP(Main_L[[#This Row],[Industry]], Mean_ROA_L, 2, FALSE))/(VLOOKUP(Main_L[[#This Row],[Industry]], Mean_ROA_L, 3, FALSE))</f>
        <v>-0.35618334234478111</v>
      </c>
      <c r="S80" s="1">
        <f>(Main_L[[#This Row],[A/E]]-VLOOKUP(Main_L[[#This Row],[Industry]], Mean_AE_L, 2, FALSE))/(VLOOKUP(Main_L[[#This Row],[Industry]], Mean_AE_L, 3, FALSE))</f>
        <v>-0.36109790125191865</v>
      </c>
      <c r="T80" s="1">
        <f>(Main_L[[#This Row],[P/E]]-VLOOKUP(Main_L[[#This Row],[Industry]], Mean_PE_L, 2, FALSE))/(VLOOKUP(Main_L[[#This Row],[Industry]], Mean_PE_L, 3, FALSE))</f>
        <v>0.69763156036331009</v>
      </c>
      <c r="U8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8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8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8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8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8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81" spans="1:26" x14ac:dyDescent="0.25">
      <c r="A81" t="s">
        <v>157</v>
      </c>
      <c r="B81" t="s">
        <v>169</v>
      </c>
      <c r="C81" s="2">
        <v>31414</v>
      </c>
      <c r="D81">
        <f>RTD("tos.rtd", , "LAST", Main_L[[#This Row],[Symbol]])</f>
        <v>84.5</v>
      </c>
      <c r="E81">
        <v>3.4</v>
      </c>
      <c r="F81">
        <v>25.99</v>
      </c>
      <c r="G81">
        <v>2.02</v>
      </c>
      <c r="H81" s="1">
        <f>IF(ISNUMBER(Main_L[[#This Row],[Free CF]]),IF(Main_L[[#This Row],[Free CF]]&lt;&gt;0,Main_L[[#This Row],[Current Price]]/Main_L[[#This Row],[Free CF]],""),"")</f>
        <v>24.852941176470591</v>
      </c>
      <c r="I81" s="1">
        <f>IF(ISNUMBER(Main_L[[#This Row],[BVPS]]),IF(Main_L[[#This Row],[BVPS]]&lt;&gt;0,Main_L[[#This Row],[Current Price]]/Main_L[[#This Row],[BVPS]],""),"")</f>
        <v>3.2512504809542135</v>
      </c>
      <c r="J81">
        <v>8.11</v>
      </c>
      <c r="K81">
        <v>5.39</v>
      </c>
      <c r="L81">
        <v>1.75</v>
      </c>
      <c r="M81" s="1">
        <f>IF(ISNUMBER(Main_L[[#This Row],[EPS]]),IF(Main_L[[#This Row],[EPS]]&lt;&gt;0,Main_L[[#This Row],[Current Price]]/Main_L[[#This Row],[EPS]],""),"")</f>
        <v>41.831683168316829</v>
      </c>
      <c r="N8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81" s="1">
        <f>(Main_L[[#This Row],[P/FCF]]-VLOOKUP(Main_L[[#This Row],[Industry]], Mean_PFCF_L, 2, FALSE))/(VLOOKUP(Main_L[[#This Row],[Industry]], Mean_PFCF_L, 3, FALSE))</f>
        <v>5.9574614824748552E-2</v>
      </c>
      <c r="P81" s="1">
        <f>(Main_L[[#This Row],[P/B]]-VLOOKUP(Main_L[[#This Row],[Industry]], Mean_PB_L, 2, FALSE))/(VLOOKUP(Main_L[[#This Row],[Industry]], Mean_PB_L, 3, FALSE))</f>
        <v>-0.70387624761061685</v>
      </c>
      <c r="Q81" s="1">
        <f>(Main_L[[#This Row],[ROE]]-VLOOKUP(Main_L[[#This Row],[Industry]], Mean_ROE_L, 2, FALSE))/(VLOOKUP(Main_L[[#This Row],[Industry]], Mean_ROE_L, 3, FALSE))</f>
        <v>-1.2540048455269643</v>
      </c>
      <c r="R81" s="1">
        <f>(Main_L[[#This Row],[ROA]]-VLOOKUP(Main_L[[#This Row],[Industry]], Mean_ROA_L, 2, FALSE))/(VLOOKUP(Main_L[[#This Row],[Industry]], Mean_ROA_L, 3, FALSE))</f>
        <v>-0.89232710372315305</v>
      </c>
      <c r="S81" s="1">
        <f>(Main_L[[#This Row],[A/E]]-VLOOKUP(Main_L[[#This Row],[Industry]], Mean_AE_L, 2, FALSE))/(VLOOKUP(Main_L[[#This Row],[Industry]], Mean_AE_L, 3, FALSE))</f>
        <v>-0.33861709806113771</v>
      </c>
      <c r="T81" s="1">
        <f>(Main_L[[#This Row],[P/E]]-VLOOKUP(Main_L[[#This Row],[Industry]], Mean_PE_L, 2, FALSE))/(VLOOKUP(Main_L[[#This Row],[Industry]], Mean_PE_L, 3, FALSE))</f>
        <v>2.4444290435176774</v>
      </c>
      <c r="U8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8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8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8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8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8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82" spans="1:26" x14ac:dyDescent="0.25">
      <c r="A82" t="s">
        <v>157</v>
      </c>
      <c r="B82" t="s">
        <v>170</v>
      </c>
      <c r="C82" s="2">
        <v>11131</v>
      </c>
      <c r="D82">
        <f>RTD("tos.rtd", , "LAST", Main_L[[#This Row],[Symbol]])</f>
        <v>150.44999999999999</v>
      </c>
      <c r="E82">
        <v>5.94</v>
      </c>
      <c r="F82">
        <v>34.31</v>
      </c>
      <c r="G82">
        <v>6.28</v>
      </c>
      <c r="H82" s="1">
        <f>IF(ISNUMBER(Main_L[[#This Row],[Free CF]]),IF(Main_L[[#This Row],[Free CF]]&lt;&gt;0,Main_L[[#This Row],[Current Price]]/Main_L[[#This Row],[Free CF]],""),"")</f>
        <v>25.328282828282823</v>
      </c>
      <c r="I82" s="1">
        <f>IF(ISNUMBER(Main_L[[#This Row],[BVPS]]),IF(Main_L[[#This Row],[BVPS]]&lt;&gt;0,Main_L[[#This Row],[Current Price]]/Main_L[[#This Row],[BVPS]],""),"")</f>
        <v>4.3850189449140187</v>
      </c>
      <c r="J82">
        <v>19.3</v>
      </c>
      <c r="K82">
        <v>8.58</v>
      </c>
      <c r="L82">
        <v>1.74</v>
      </c>
      <c r="M82" s="1">
        <f>IF(ISNUMBER(Main_L[[#This Row],[EPS]]),IF(Main_L[[#This Row],[EPS]]&lt;&gt;0,Main_L[[#This Row],[Current Price]]/Main_L[[#This Row],[EPS]],""),"")</f>
        <v>23.95700636942675</v>
      </c>
      <c r="N8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82" s="1">
        <f>(Main_L[[#This Row],[P/FCF]]-VLOOKUP(Main_L[[#This Row],[Industry]], Mean_PFCF_L, 2, FALSE))/(VLOOKUP(Main_L[[#This Row],[Industry]], Mean_PFCF_L, 3, FALSE))</f>
        <v>0.16518549097567614</v>
      </c>
      <c r="P82" s="1">
        <f>(Main_L[[#This Row],[P/B]]-VLOOKUP(Main_L[[#This Row],[Industry]], Mean_PB_L, 2, FALSE))/(VLOOKUP(Main_L[[#This Row],[Industry]], Mean_PB_L, 3, FALSE))</f>
        <v>-8.6846594176170314E-2</v>
      </c>
      <c r="Q82" s="1">
        <f>(Main_L[[#This Row],[ROE]]-VLOOKUP(Main_L[[#This Row],[Industry]], Mean_ROE_L, 2, FALSE))/(VLOOKUP(Main_L[[#This Row],[Industry]], Mean_ROE_L, 3, FALSE))</f>
        <v>0.19411839714039747</v>
      </c>
      <c r="R82" s="1">
        <f>(Main_L[[#This Row],[ROA]]-VLOOKUP(Main_L[[#This Row],[Industry]], Mean_ROA_L, 2, FALSE))/(VLOOKUP(Main_L[[#This Row],[Industry]], Mean_ROA_L, 3, FALSE))</f>
        <v>0.24032097495036078</v>
      </c>
      <c r="S82" s="1">
        <f>(Main_L[[#This Row],[A/E]]-VLOOKUP(Main_L[[#This Row],[Industry]], Mean_AE_L, 2, FALSE))/(VLOOKUP(Main_L[[#This Row],[Industry]], Mean_AE_L, 3, FALSE))</f>
        <v>-0.36109790125191865</v>
      </c>
      <c r="T82" s="1">
        <f>(Main_L[[#This Row],[P/E]]-VLOOKUP(Main_L[[#This Row],[Industry]], Mean_PE_L, 2, FALSE))/(VLOOKUP(Main_L[[#This Row],[Industry]], Mean_PE_L, 3, FALSE))</f>
        <v>-0.24174791446132132</v>
      </c>
      <c r="U8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8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8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8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8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8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83" spans="1:26" x14ac:dyDescent="0.25">
      <c r="A83" t="s">
        <v>157</v>
      </c>
      <c r="B83" t="s">
        <v>171</v>
      </c>
      <c r="C83" s="2">
        <v>70499</v>
      </c>
      <c r="D83">
        <f>RTD("tos.rtd", , "LAST", Main_L[[#This Row],[Symbol]])</f>
        <v>249.14</v>
      </c>
      <c r="E83">
        <v>9.6300000000000008</v>
      </c>
      <c r="F83">
        <v>11.06</v>
      </c>
      <c r="G83">
        <v>11.37</v>
      </c>
      <c r="H83" s="1">
        <f>IF(ISNUMBER(Main_L[[#This Row],[Free CF]]),IF(Main_L[[#This Row],[Free CF]]&lt;&gt;0,Main_L[[#This Row],[Current Price]]/Main_L[[#This Row],[Free CF]],""),"")</f>
        <v>25.871235721703009</v>
      </c>
      <c r="I83" s="1">
        <f>IF(ISNUMBER(Main_L[[#This Row],[BVPS]]),IF(Main_L[[#This Row],[BVPS]]&lt;&gt;0,Main_L[[#This Row],[Current Price]]/Main_L[[#This Row],[BVPS]],""),"")</f>
        <v>22.526220614828208</v>
      </c>
      <c r="J83">
        <v>107.58</v>
      </c>
      <c r="K83">
        <v>16.54</v>
      </c>
      <c r="L83">
        <v>4.7699999999999996</v>
      </c>
      <c r="M83" s="1">
        <f>IF(ISNUMBER(Main_L[[#This Row],[EPS]]),IF(Main_L[[#This Row],[EPS]]&lt;&gt;0,Main_L[[#This Row],[Current Price]]/Main_L[[#This Row],[EPS]],""),"")</f>
        <v>21.912049252418647</v>
      </c>
      <c r="N8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83" s="1">
        <f>(Main_L[[#This Row],[P/FCF]]-VLOOKUP(Main_L[[#This Row],[Industry]], Mean_PFCF_L, 2, FALSE))/(VLOOKUP(Main_L[[#This Row],[Industry]], Mean_PFCF_L, 3, FALSE))</f>
        <v>0.28581815710996611</v>
      </c>
      <c r="P83" s="1">
        <f>(Main_L[[#This Row],[P/B]]-VLOOKUP(Main_L[[#This Row],[Industry]], Mean_PB_L, 2, FALSE))/(VLOOKUP(Main_L[[#This Row],[Industry]], Mean_PB_L, 3, FALSE))</f>
        <v>9.7861210664134788</v>
      </c>
      <c r="Q83" s="1">
        <f>(Main_L[[#This Row],[ROE]]-VLOOKUP(Main_L[[#This Row],[Industry]], Mean_ROE_L, 2, FALSE))/(VLOOKUP(Main_L[[#This Row],[Industry]], Mean_ROE_L, 3, FALSE))</f>
        <v>11.618633130176564</v>
      </c>
      <c r="R83" s="1">
        <f>(Main_L[[#This Row],[ROA]]-VLOOKUP(Main_L[[#This Row],[Industry]], Mean_ROA_L, 2, FALSE))/(VLOOKUP(Main_L[[#This Row],[Industry]], Mean_ROA_L, 3, FALSE))</f>
        <v>3.0666152402297238</v>
      </c>
      <c r="S83" s="1">
        <f>(Main_L[[#This Row],[A/E]]-VLOOKUP(Main_L[[#This Row],[Industry]], Mean_AE_L, 2, FALSE))/(VLOOKUP(Main_L[[#This Row],[Industry]], Mean_AE_L, 3, FALSE))</f>
        <v>6.4505854655547017</v>
      </c>
      <c r="T83" s="1">
        <f>(Main_L[[#This Row],[P/E]]-VLOOKUP(Main_L[[#This Row],[Industry]], Mean_PE_L, 2, FALSE))/(VLOOKUP(Main_L[[#This Row],[Industry]], Mean_PE_L, 3, FALSE))</f>
        <v>-0.54906069832678528</v>
      </c>
      <c r="U8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8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8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8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Yes</v>
      </c>
      <c r="Y8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8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84" spans="1:26" x14ac:dyDescent="0.25">
      <c r="A84" t="s">
        <v>157</v>
      </c>
      <c r="B84" t="s">
        <v>172</v>
      </c>
      <c r="C84" s="2">
        <v>10131</v>
      </c>
      <c r="D84">
        <f>RTD("tos.rtd", , "LAST", Main_L[[#This Row],[Symbol]])</f>
        <v>195.57</v>
      </c>
      <c r="E84">
        <v>9.4600000000000009</v>
      </c>
      <c r="F84">
        <v>24.01</v>
      </c>
      <c r="G84">
        <v>8.11</v>
      </c>
      <c r="H84" s="1">
        <f>IF(ISNUMBER(Main_L[[#This Row],[Free CF]]),IF(Main_L[[#This Row],[Free CF]]&lt;&gt;0,Main_L[[#This Row],[Current Price]]/Main_L[[#This Row],[Free CF]],""),"")</f>
        <v>20.673361522198729</v>
      </c>
      <c r="I84" s="1">
        <f>IF(ISNUMBER(Main_L[[#This Row],[BVPS]]),IF(Main_L[[#This Row],[BVPS]]&lt;&gt;0,Main_L[[#This Row],[Current Price]]/Main_L[[#This Row],[BVPS]],""),"")</f>
        <v>8.1453561016243228</v>
      </c>
      <c r="J84">
        <v>34.83</v>
      </c>
      <c r="K84">
        <v>12.5</v>
      </c>
      <c r="L84">
        <v>2.7</v>
      </c>
      <c r="M84" s="1">
        <f>IF(ISNUMBER(Main_L[[#This Row],[EPS]]),IF(Main_L[[#This Row],[EPS]]&lt;&gt;0,Main_L[[#This Row],[Current Price]]/Main_L[[#This Row],[EPS]],""),"")</f>
        <v>24.114673242909987</v>
      </c>
      <c r="N8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84" s="1">
        <f>(Main_L[[#This Row],[P/FCF]]-VLOOKUP(Main_L[[#This Row],[Industry]], Mean_PFCF_L, 2, FALSE))/(VLOOKUP(Main_L[[#This Row],[Industry]], Mean_PFCF_L, 3, FALSE))</f>
        <v>-0.8690397145683878</v>
      </c>
      <c r="P84" s="1">
        <f>(Main_L[[#This Row],[P/B]]-VLOOKUP(Main_L[[#This Row],[Industry]], Mean_PB_L, 2, FALSE))/(VLOOKUP(Main_L[[#This Row],[Industry]], Mean_PB_L, 3, FALSE))</f>
        <v>1.9596378568888659</v>
      </c>
      <c r="Q84" s="1">
        <f>(Main_L[[#This Row],[ROE]]-VLOOKUP(Main_L[[#This Row],[Industry]], Mean_ROE_L, 2, FALSE))/(VLOOKUP(Main_L[[#This Row],[Industry]], Mean_ROE_L, 3, FALSE))</f>
        <v>2.2038908688673078</v>
      </c>
      <c r="R84" s="1">
        <f>(Main_L[[#This Row],[ROA]]-VLOOKUP(Main_L[[#This Row],[Industry]], Mean_ROA_L, 2, FALSE))/(VLOOKUP(Main_L[[#This Row],[Industry]], Mean_ROA_L, 3, FALSE))</f>
        <v>1.6321643819723586</v>
      </c>
      <c r="S84" s="1">
        <f>(Main_L[[#This Row],[A/E]]-VLOOKUP(Main_L[[#This Row],[Industry]], Mean_AE_L, 2, FALSE))/(VLOOKUP(Main_L[[#This Row],[Industry]], Mean_AE_L, 3, FALSE))</f>
        <v>1.7970592050630507</v>
      </c>
      <c r="T84" s="1">
        <f>(Main_L[[#This Row],[P/E]]-VLOOKUP(Main_L[[#This Row],[Industry]], Mean_PE_L, 2, FALSE))/(VLOOKUP(Main_L[[#This Row],[Industry]], Mean_PE_L, 3, FALSE))</f>
        <v>-0.21805399667179468</v>
      </c>
      <c r="U8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8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8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8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8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8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85" spans="1:26" x14ac:dyDescent="0.25">
      <c r="A85" t="s">
        <v>157</v>
      </c>
      <c r="B85" t="s">
        <v>173</v>
      </c>
      <c r="C85" s="2">
        <v>10773</v>
      </c>
      <c r="D85">
        <f>RTD("tos.rtd", , "LAST", Main_L[[#This Row],[Symbol]])</f>
        <v>202.6</v>
      </c>
      <c r="E85">
        <v>8.1199999999999992</v>
      </c>
      <c r="F85">
        <v>50.55</v>
      </c>
      <c r="G85">
        <v>7.86</v>
      </c>
      <c r="H85" s="1">
        <f>IF(ISNUMBER(Main_L[[#This Row],[Free CF]]),IF(Main_L[[#This Row],[Free CF]]&lt;&gt;0,Main_L[[#This Row],[Current Price]]/Main_L[[#This Row],[Free CF]],""),"")</f>
        <v>24.95073891625616</v>
      </c>
      <c r="I85" s="1">
        <f>IF(ISNUMBER(Main_L[[#This Row],[BVPS]]),IF(Main_L[[#This Row],[BVPS]]&lt;&gt;0,Main_L[[#This Row],[Current Price]]/Main_L[[#This Row],[BVPS]],""),"")</f>
        <v>4.0079129574678536</v>
      </c>
      <c r="J85">
        <v>16.149999999999999</v>
      </c>
      <c r="K85">
        <v>7.44</v>
      </c>
      <c r="L85">
        <v>2.04</v>
      </c>
      <c r="M85" s="1">
        <f>IF(ISNUMBER(Main_L[[#This Row],[EPS]]),IF(Main_L[[#This Row],[EPS]]&lt;&gt;0,Main_L[[#This Row],[Current Price]]/Main_L[[#This Row],[EPS]],""),"")</f>
        <v>25.776081424936386</v>
      </c>
      <c r="N8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85" s="1">
        <f>(Main_L[[#This Row],[P/FCF]]-VLOOKUP(Main_L[[#This Row],[Industry]], Mean_PFCF_L, 2, FALSE))/(VLOOKUP(Main_L[[#This Row],[Industry]], Mean_PFCF_L, 3, FALSE))</f>
        <v>8.1303207185542445E-2</v>
      </c>
      <c r="P85" s="1">
        <f>(Main_L[[#This Row],[P/B]]-VLOOKUP(Main_L[[#This Row],[Industry]], Mean_PB_L, 2, FALSE))/(VLOOKUP(Main_L[[#This Row],[Industry]], Mean_PB_L, 3, FALSE))</f>
        <v>-0.29207860065594415</v>
      </c>
      <c r="Q85" s="1">
        <f>(Main_L[[#This Row],[ROE]]-VLOOKUP(Main_L[[#This Row],[Industry]], Mean_ROE_L, 2, FALSE))/(VLOOKUP(Main_L[[#This Row],[Industry]], Mean_ROE_L, 3, FALSE))</f>
        <v>-0.21353023685443653</v>
      </c>
      <c r="R85" s="1">
        <f>(Main_L[[#This Row],[ROA]]-VLOOKUP(Main_L[[#This Row],[Industry]], Mean_ROA_L, 2, FALSE))/(VLOOKUP(Main_L[[#This Row],[Industry]], Mean_ROA_L, 3, FALSE))</f>
        <v>-0.16444981178562831</v>
      </c>
      <c r="S85" s="1">
        <f>(Main_L[[#This Row],[A/E]]-VLOOKUP(Main_L[[#This Row],[Industry]], Mean_AE_L, 2, FALSE))/(VLOOKUP(Main_L[[#This Row],[Industry]], Mean_AE_L, 3, FALSE))</f>
        <v>0.31332619447150922</v>
      </c>
      <c r="T85" s="1">
        <f>(Main_L[[#This Row],[P/E]]-VLOOKUP(Main_L[[#This Row],[Industry]], Mean_PE_L, 2, FALSE))/(VLOOKUP(Main_L[[#This Row],[Industry]], Mean_PE_L, 3, FALSE))</f>
        <v>3.1619685631328664E-2</v>
      </c>
      <c r="U8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8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8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8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8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8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86" spans="1:26" x14ac:dyDescent="0.25">
      <c r="A86" t="s">
        <v>157</v>
      </c>
      <c r="B86" t="s">
        <v>174</v>
      </c>
      <c r="C86" s="2">
        <v>38410</v>
      </c>
      <c r="D86">
        <f>RTD("tos.rtd", , "LAST", Main_L[[#This Row],[Symbol]])</f>
        <v>96.99</v>
      </c>
      <c r="E86">
        <v>3.64</v>
      </c>
      <c r="F86">
        <v>-12.97</v>
      </c>
      <c r="G86">
        <v>3.83</v>
      </c>
      <c r="H86" s="1">
        <f>IF(ISNUMBER(Main_L[[#This Row],[Free CF]]),IF(Main_L[[#This Row],[Free CF]]&lt;&gt;0,Main_L[[#This Row],[Current Price]]/Main_L[[#This Row],[Free CF]],""),"")</f>
        <v>26.645604395604394</v>
      </c>
      <c r="I86" s="1">
        <f>IF(ISNUMBER(Main_L[[#This Row],[BVPS]]),IF(Main_L[[#This Row],[BVPS]]&lt;&gt;0,Main_L[[#This Row],[Current Price]]/Main_L[[#This Row],[BVPS]],""),"")</f>
        <v>-7.4780262143407858</v>
      </c>
      <c r="J86">
        <v>-32.96</v>
      </c>
      <c r="K86">
        <v>13.96</v>
      </c>
      <c r="L86">
        <v>-2.1800000000000002</v>
      </c>
      <c r="M86" s="1">
        <f>IF(ISNUMBER(Main_L[[#This Row],[EPS]]),IF(Main_L[[#This Row],[EPS]]&lt;&gt;0,Main_L[[#This Row],[Current Price]]/Main_L[[#This Row],[EPS]],""),"")</f>
        <v>25.323759791122715</v>
      </c>
      <c r="N8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86" s="1">
        <f>(Main_L[[#This Row],[P/FCF]]-VLOOKUP(Main_L[[#This Row],[Industry]], Mean_PFCF_L, 2, FALSE))/(VLOOKUP(Main_L[[#This Row],[Industry]], Mean_PFCF_L, 3, FALSE))</f>
        <v>0.45786652232846847</v>
      </c>
      <c r="P86" s="1">
        <f>(Main_L[[#This Row],[P/B]]-VLOOKUP(Main_L[[#This Row],[Industry]], Mean_PB_L, 2, FALSE))/(VLOOKUP(Main_L[[#This Row],[Industry]], Mean_PB_L, 3, FALSE))</f>
        <v>-6.5430595476806586</v>
      </c>
      <c r="Q86" s="1">
        <f>(Main_L[[#This Row],[ROE]]-VLOOKUP(Main_L[[#This Row],[Industry]], Mean_ROE_L, 2, FALSE))/(VLOOKUP(Main_L[[#This Row],[Industry]], Mean_ROE_L, 3, FALSE))</f>
        <v>-6.5689665592310345</v>
      </c>
      <c r="R86" s="1">
        <f>(Main_L[[#This Row],[ROA]]-VLOOKUP(Main_L[[#This Row],[Industry]], Mean_ROA_L, 2, FALSE))/(VLOOKUP(Main_L[[#This Row],[Industry]], Mean_ROA_L, 3, FALSE))</f>
        <v>2.1505550386693275</v>
      </c>
      <c r="S86" s="1">
        <f>(Main_L[[#This Row],[A/E]]-VLOOKUP(Main_L[[#This Row],[Industry]], Mean_AE_L, 2, FALSE))/(VLOOKUP(Main_L[[#This Row],[Industry]], Mean_AE_L, 3, FALSE))</f>
        <v>-9.1735727520380426</v>
      </c>
      <c r="T86" s="1">
        <f>(Main_L[[#This Row],[P/E]]-VLOOKUP(Main_L[[#This Row],[Industry]], Mean_PE_L, 2, FALSE))/(VLOOKUP(Main_L[[#This Row],[Industry]], Mean_PE_L, 3, FALSE))</f>
        <v>-3.6354463720627408E-2</v>
      </c>
      <c r="U8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8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8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8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8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8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87" spans="1:26" x14ac:dyDescent="0.25">
      <c r="A87" t="s">
        <v>157</v>
      </c>
      <c r="B87" t="s">
        <v>175</v>
      </c>
      <c r="C87" s="2">
        <v>80223</v>
      </c>
      <c r="D87">
        <f>RTD("tos.rtd", , "LAST", Main_L[[#This Row],[Symbol]])</f>
        <v>678.42</v>
      </c>
      <c r="E87">
        <v>24.3</v>
      </c>
      <c r="F87">
        <v>104.26</v>
      </c>
      <c r="G87">
        <v>25.99</v>
      </c>
      <c r="H87" s="1">
        <f>IF(ISNUMBER(Main_L[[#This Row],[Free CF]]),IF(Main_L[[#This Row],[Free CF]]&lt;&gt;0,Main_L[[#This Row],[Current Price]]/Main_L[[#This Row],[Free CF]],""),"")</f>
        <v>27.918518518518518</v>
      </c>
      <c r="I87" s="1">
        <f>IF(ISNUMBER(Main_L[[#This Row],[BVPS]]),IF(Main_L[[#This Row],[BVPS]]&lt;&gt;0,Main_L[[#This Row],[Current Price]]/Main_L[[#This Row],[BVPS]],""),"")</f>
        <v>6.5070017264530975</v>
      </c>
      <c r="J87">
        <v>27.15</v>
      </c>
      <c r="K87">
        <v>8.8699999999999992</v>
      </c>
      <c r="L87">
        <v>2.16</v>
      </c>
      <c r="M87" s="1">
        <f>IF(ISNUMBER(Main_L[[#This Row],[EPS]]),IF(Main_L[[#This Row],[EPS]]&lt;&gt;0,Main_L[[#This Row],[Current Price]]/Main_L[[#This Row],[EPS]],""),"")</f>
        <v>26.103116583301269</v>
      </c>
      <c r="N8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87" s="1">
        <f>(Main_L[[#This Row],[P/FCF]]-VLOOKUP(Main_L[[#This Row],[Industry]], Mean_PFCF_L, 2, FALSE))/(VLOOKUP(Main_L[[#This Row],[Industry]], Mean_PFCF_L, 3, FALSE))</f>
        <v>0.74068115738795492</v>
      </c>
      <c r="P87" s="1">
        <f>(Main_L[[#This Row],[P/B]]-VLOOKUP(Main_L[[#This Row],[Industry]], Mean_PB_L, 2, FALSE))/(VLOOKUP(Main_L[[#This Row],[Industry]], Mean_PB_L, 3, FALSE))</f>
        <v>1.0679979282353647</v>
      </c>
      <c r="Q87" s="1">
        <f>(Main_L[[#This Row],[ROE]]-VLOOKUP(Main_L[[#This Row],[Industry]], Mean_ROE_L, 2, FALSE))/(VLOOKUP(Main_L[[#This Row],[Industry]], Mean_ROE_L, 3, FALSE))</f>
        <v>1.210004675508475</v>
      </c>
      <c r="R87" s="1">
        <f>(Main_L[[#This Row],[ROA]]-VLOOKUP(Main_L[[#This Row],[Industry]], Mean_ROA_L, 2, FALSE))/(VLOOKUP(Main_L[[#This Row],[Industry]], Mean_ROA_L, 3, FALSE))</f>
        <v>0.34328898210249809</v>
      </c>
      <c r="S87" s="1">
        <f>(Main_L[[#This Row],[A/E]]-VLOOKUP(Main_L[[#This Row],[Industry]], Mean_AE_L, 2, FALSE))/(VLOOKUP(Main_L[[#This Row],[Industry]], Mean_AE_L, 3, FALSE))</f>
        <v>0.58309583276088062</v>
      </c>
      <c r="T87" s="1">
        <f>(Main_L[[#This Row],[P/E]]-VLOOKUP(Main_L[[#This Row],[Industry]], Mean_PE_L, 2, FALSE))/(VLOOKUP(Main_L[[#This Row],[Industry]], Mean_PE_L, 3, FALSE))</f>
        <v>8.0765990022315395E-2</v>
      </c>
      <c r="U8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8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8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8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8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8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88" spans="1:26" x14ac:dyDescent="0.25">
      <c r="A88" t="s">
        <v>157</v>
      </c>
      <c r="B88" t="s">
        <v>176</v>
      </c>
      <c r="C88" s="2">
        <v>15100</v>
      </c>
      <c r="D88">
        <f>RTD("tos.rtd", , "LAST", Main_L[[#This Row],[Symbol]])</f>
        <v>98.46</v>
      </c>
      <c r="E88">
        <v>4.62</v>
      </c>
      <c r="F88">
        <v>22.09</v>
      </c>
      <c r="G88">
        <v>3.87</v>
      </c>
      <c r="H88" s="1">
        <f>IF(ISNUMBER(Main_L[[#This Row],[Free CF]]),IF(Main_L[[#This Row],[Free CF]]&lt;&gt;0,Main_L[[#This Row],[Current Price]]/Main_L[[#This Row],[Free CF]],""),"")</f>
        <v>21.311688311688311</v>
      </c>
      <c r="I88" s="1">
        <f>IF(ISNUMBER(Main_L[[#This Row],[BVPS]]),IF(Main_L[[#This Row],[BVPS]]&lt;&gt;0,Main_L[[#This Row],[Current Price]]/Main_L[[#This Row],[BVPS]],""),"")</f>
        <v>4.4572204617473972</v>
      </c>
      <c r="J88">
        <v>18.59</v>
      </c>
      <c r="K88">
        <v>8.5500000000000007</v>
      </c>
      <c r="L88">
        <v>1.86</v>
      </c>
      <c r="M88" s="1">
        <f>IF(ISNUMBER(Main_L[[#This Row],[EPS]]),IF(Main_L[[#This Row],[EPS]]&lt;&gt;0,Main_L[[#This Row],[Current Price]]/Main_L[[#This Row],[EPS]],""),"")</f>
        <v>25.441860465116278</v>
      </c>
      <c r="N8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YES</v>
      </c>
      <c r="O88" s="1">
        <f>(Main_L[[#This Row],[P/FCF]]-VLOOKUP(Main_L[[#This Row],[Industry]], Mean_PFCF_L, 2, FALSE))/(VLOOKUP(Main_L[[#This Row],[Industry]], Mean_PFCF_L, 3, FALSE))</f>
        <v>-0.72721698295716097</v>
      </c>
      <c r="P88" s="1">
        <f>(Main_L[[#This Row],[P/B]]-VLOOKUP(Main_L[[#This Row],[Industry]], Mean_PB_L, 2, FALSE))/(VLOOKUP(Main_L[[#This Row],[Industry]], Mean_PB_L, 3, FALSE))</f>
        <v>-4.7552436395891531E-2</v>
      </c>
      <c r="Q88" s="1">
        <f>(Main_L[[#This Row],[ROE]]-VLOOKUP(Main_L[[#This Row],[Industry]], Mean_ROE_L, 2, FALSE))/(VLOOKUP(Main_L[[#This Row],[Industry]], Mean_ROE_L, 3, FALSE))</f>
        <v>0.10223568916060945</v>
      </c>
      <c r="R88" s="1">
        <f>(Main_L[[#This Row],[ROA]]-VLOOKUP(Main_L[[#This Row],[Industry]], Mean_ROA_L, 2, FALSE))/(VLOOKUP(Main_L[[#This Row],[Industry]], Mean_ROA_L, 3, FALSE))</f>
        <v>0.22966911214151919</v>
      </c>
      <c r="S88" s="1">
        <f>(Main_L[[#This Row],[A/E]]-VLOOKUP(Main_L[[#This Row],[Industry]], Mean_AE_L, 2, FALSE))/(VLOOKUP(Main_L[[#This Row],[Industry]], Mean_AE_L, 3, FALSE))</f>
        <v>-9.1328262962547313E-2</v>
      </c>
      <c r="T88" s="1">
        <f>(Main_L[[#This Row],[P/E]]-VLOOKUP(Main_L[[#This Row],[Industry]], Mean_PE_L, 2, FALSE))/(VLOOKUP(Main_L[[#This Row],[Industry]], Mean_PE_L, 3, FALSE))</f>
        <v>-1.860648915456431E-2</v>
      </c>
      <c r="U8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8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8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8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8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8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89" spans="1:26" x14ac:dyDescent="0.25">
      <c r="A89" t="s">
        <v>157</v>
      </c>
      <c r="B89" t="s">
        <v>177</v>
      </c>
      <c r="C89" s="2">
        <v>10760</v>
      </c>
      <c r="D89">
        <f>RTD("tos.rtd", , "LAST", Main_L[[#This Row],[Symbol]])</f>
        <v>370</v>
      </c>
      <c r="E89">
        <v>7.98</v>
      </c>
      <c r="F89">
        <v>93.99</v>
      </c>
      <c r="G89">
        <v>7.3</v>
      </c>
      <c r="H89" s="1">
        <f>IF(ISNUMBER(Main_L[[#This Row],[Free CF]]),IF(Main_L[[#This Row],[Free CF]]&lt;&gt;0,Main_L[[#This Row],[Current Price]]/Main_L[[#This Row],[Free CF]],""),"")</f>
        <v>46.365914786967416</v>
      </c>
      <c r="I89" s="1">
        <f>IF(ISNUMBER(Main_L[[#This Row],[BVPS]]),IF(Main_L[[#This Row],[BVPS]]&lt;&gt;0,Main_L[[#This Row],[Current Price]]/Main_L[[#This Row],[BVPS]],""),"")</f>
        <v>3.936588998829663</v>
      </c>
      <c r="J89">
        <v>8.34</v>
      </c>
      <c r="K89">
        <v>4.9000000000000004</v>
      </c>
      <c r="L89">
        <v>1.59</v>
      </c>
      <c r="M89" s="1">
        <f>IF(ISNUMBER(Main_L[[#This Row],[EPS]]),IF(Main_L[[#This Row],[EPS]]&lt;&gt;0,Main_L[[#This Row],[Current Price]]/Main_L[[#This Row],[EPS]],""),"")</f>
        <v>50.684931506849317</v>
      </c>
      <c r="N8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89" s="1">
        <f>(Main_L[[#This Row],[P/FCF]]-VLOOKUP(Main_L[[#This Row],[Industry]], Mean_PFCF_L, 2, FALSE))/(VLOOKUP(Main_L[[#This Row],[Industry]], Mean_PFCF_L, 3, FALSE))</f>
        <v>4.8393030121877247</v>
      </c>
      <c r="P89" s="1">
        <f>(Main_L[[#This Row],[P/B]]-VLOOKUP(Main_L[[#This Row],[Industry]], Mean_PB_L, 2, FALSE))/(VLOOKUP(Main_L[[#This Row],[Industry]], Mean_PB_L, 3, FALSE))</f>
        <v>-0.33089516583574247</v>
      </c>
      <c r="Q89" s="1">
        <f>(Main_L[[#This Row],[ROE]]-VLOOKUP(Main_L[[#This Row],[Industry]], Mean_ROE_L, 2, FALSE))/(VLOOKUP(Main_L[[#This Row],[Industry]], Mean_ROE_L, 3, FALSE))</f>
        <v>-1.2242400246321035</v>
      </c>
      <c r="R89" s="1">
        <f>(Main_L[[#This Row],[ROA]]-VLOOKUP(Main_L[[#This Row],[Industry]], Mean_ROA_L, 2, FALSE))/(VLOOKUP(Main_L[[#This Row],[Industry]], Mean_ROA_L, 3, FALSE))</f>
        <v>-1.0663075296009026</v>
      </c>
      <c r="S89" s="1">
        <f>(Main_L[[#This Row],[A/E]]-VLOOKUP(Main_L[[#This Row],[Industry]], Mean_AE_L, 2, FALSE))/(VLOOKUP(Main_L[[#This Row],[Industry]], Mean_AE_L, 3, FALSE))</f>
        <v>-0.69830994911363242</v>
      </c>
      <c r="T89" s="1">
        <f>(Main_L[[#This Row],[P/E]]-VLOOKUP(Main_L[[#This Row],[Industry]], Mean_PE_L, 2, FALSE))/(VLOOKUP(Main_L[[#This Row],[Industry]], Mean_PE_L, 3, FALSE))</f>
        <v>3.7748806067990075</v>
      </c>
      <c r="U8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8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8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8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8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8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90" spans="1:26" x14ac:dyDescent="0.25">
      <c r="A90" t="s">
        <v>157</v>
      </c>
      <c r="B90" t="s">
        <v>178</v>
      </c>
      <c r="C90" s="2">
        <v>16454</v>
      </c>
      <c r="D90">
        <f>RTD("tos.rtd", , "LAST", Main_L[[#This Row],[Symbol]])</f>
        <v>327.32</v>
      </c>
      <c r="E90">
        <v>20.62</v>
      </c>
      <c r="F90">
        <v>105.58</v>
      </c>
      <c r="G90">
        <v>19.11</v>
      </c>
      <c r="H90" s="1">
        <f>IF(ISNUMBER(Main_L[[#This Row],[Free CF]]),IF(Main_L[[#This Row],[Free CF]]&lt;&gt;0,Main_L[[#This Row],[Current Price]]/Main_L[[#This Row],[Free CF]],""),"")</f>
        <v>15.873908826382152</v>
      </c>
      <c r="I90" s="1">
        <f>IF(ISNUMBER(Main_L[[#This Row],[BVPS]]),IF(Main_L[[#This Row],[BVPS]]&lt;&gt;0,Main_L[[#This Row],[Current Price]]/Main_L[[#This Row],[BVPS]],""),"")</f>
        <v>3.1002083727978782</v>
      </c>
      <c r="J90">
        <v>19.54</v>
      </c>
      <c r="K90">
        <v>10.83</v>
      </c>
      <c r="L90">
        <v>1.46</v>
      </c>
      <c r="M90" s="1">
        <f>IF(ISNUMBER(Main_L[[#This Row],[EPS]]),IF(Main_L[[#This Row],[EPS]]&lt;&gt;0,Main_L[[#This Row],[Current Price]]/Main_L[[#This Row],[EPS]],""),"")</f>
        <v>17.128205128205128</v>
      </c>
      <c r="N9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YES</v>
      </c>
      <c r="O90" s="1">
        <f>(Main_L[[#This Row],[P/FCF]]-VLOOKUP(Main_L[[#This Row],[Industry]], Mean_PFCF_L, 2, FALSE))/(VLOOKUP(Main_L[[#This Row],[Industry]], Mean_PFCF_L, 3, FALSE))</f>
        <v>-1.9353767425095938</v>
      </c>
      <c r="P90" s="1">
        <f>(Main_L[[#This Row],[P/B]]-VLOOKUP(Main_L[[#This Row],[Industry]], Mean_PB_L, 2, FALSE))/(VLOOKUP(Main_L[[#This Row],[Industry]], Mean_PB_L, 3, FALSE))</f>
        <v>-0.78607773990138841</v>
      </c>
      <c r="Q90" s="1">
        <f>(Main_L[[#This Row],[ROE]]-VLOOKUP(Main_L[[#This Row],[Industry]], Mean_ROE_L, 2, FALSE))/(VLOOKUP(Main_L[[#This Row],[Industry]], Mean_ROE_L, 3, FALSE))</f>
        <v>0.2251773406828608</v>
      </c>
      <c r="R90" s="1">
        <f>(Main_L[[#This Row],[ROA]]-VLOOKUP(Main_L[[#This Row],[Industry]], Mean_ROA_L, 2, FALSE))/(VLOOKUP(Main_L[[#This Row],[Industry]], Mean_ROA_L, 3, FALSE))</f>
        <v>1.0392106856134973</v>
      </c>
      <c r="S90" s="1">
        <f>(Main_L[[#This Row],[A/E]]-VLOOKUP(Main_L[[#This Row],[Industry]], Mean_AE_L, 2, FALSE))/(VLOOKUP(Main_L[[#This Row],[Industry]], Mean_AE_L, 3, FALSE))</f>
        <v>-0.99056039059378465</v>
      </c>
      <c r="T90" s="1">
        <f>(Main_L[[#This Row],[P/E]]-VLOOKUP(Main_L[[#This Row],[Industry]], Mean_PE_L, 2, FALSE))/(VLOOKUP(Main_L[[#This Row],[Industry]], Mean_PE_L, 3, FALSE))</f>
        <v>-1.267968905820837</v>
      </c>
      <c r="U9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9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9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9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9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9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91" spans="1:26" x14ac:dyDescent="0.25">
      <c r="A91" t="s">
        <v>157</v>
      </c>
      <c r="B91" t="s">
        <v>180</v>
      </c>
      <c r="C91" s="2">
        <v>29467</v>
      </c>
      <c r="D91">
        <f>RTD("tos.rtd", , "LAST", Main_L[[#This Row],[Symbol]])</f>
        <v>126.93</v>
      </c>
      <c r="E91">
        <v>3.66</v>
      </c>
      <c r="F91">
        <v>44.44</v>
      </c>
      <c r="G91">
        <v>3.71</v>
      </c>
      <c r="H91" s="1">
        <f>IF(ISNUMBER(Main_L[[#This Row],[Free CF]]),IF(Main_L[[#This Row],[Free CF]]&lt;&gt;0,Main_L[[#This Row],[Current Price]]/Main_L[[#This Row],[Free CF]],""),"")</f>
        <v>34.680327868852459</v>
      </c>
      <c r="I91" s="1">
        <f>IF(ISNUMBER(Main_L[[#This Row],[BVPS]]),IF(Main_L[[#This Row],[BVPS]]&lt;&gt;0,Main_L[[#This Row],[Current Price]]/Main_L[[#This Row],[BVPS]],""),"")</f>
        <v>2.8562106210621065</v>
      </c>
      <c r="J91">
        <v>8.51</v>
      </c>
      <c r="K91">
        <v>4.4400000000000004</v>
      </c>
      <c r="L91">
        <v>1.53</v>
      </c>
      <c r="M91" s="1">
        <f>IF(ISNUMBER(Main_L[[#This Row],[EPS]]),IF(Main_L[[#This Row],[EPS]]&lt;&gt;0,Main_L[[#This Row],[Current Price]]/Main_L[[#This Row],[EPS]],""),"")</f>
        <v>34.212938005390839</v>
      </c>
      <c r="N9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91" s="1">
        <f>(Main_L[[#This Row],[P/FCF]]-VLOOKUP(Main_L[[#This Row],[Industry]], Mean_PFCF_L, 2, FALSE))/(VLOOKUP(Main_L[[#This Row],[Industry]], Mean_PFCF_L, 3, FALSE))</f>
        <v>2.2430123903689654</v>
      </c>
      <c r="P91" s="1">
        <f>(Main_L[[#This Row],[P/B]]-VLOOKUP(Main_L[[#This Row],[Industry]], Mean_PB_L, 2, FALSE))/(VLOOKUP(Main_L[[#This Row],[Industry]], Mean_PB_L, 3, FALSE))</f>
        <v>-0.91886838717912467</v>
      </c>
      <c r="Q91" s="1">
        <f>(Main_L[[#This Row],[ROE]]-VLOOKUP(Main_L[[#This Row],[Industry]], Mean_ROE_L, 2, FALSE))/(VLOOKUP(Main_L[[#This Row],[Industry]], Mean_ROE_L, 3, FALSE))</f>
        <v>-1.2022399396228585</v>
      </c>
      <c r="R91" s="1">
        <f>(Main_L[[#This Row],[ROA]]-VLOOKUP(Main_L[[#This Row],[Industry]], Mean_ROA_L, 2, FALSE))/(VLOOKUP(Main_L[[#This Row],[Industry]], Mean_ROA_L, 3, FALSE))</f>
        <v>-1.2296360926698104</v>
      </c>
      <c r="S91" s="1">
        <f>(Main_L[[#This Row],[A/E]]-VLOOKUP(Main_L[[#This Row],[Industry]], Mean_AE_L, 2, FALSE))/(VLOOKUP(Main_L[[#This Row],[Industry]], Mean_AE_L, 3, FALSE))</f>
        <v>-0.83319476825831806</v>
      </c>
      <c r="T91" s="1">
        <f>(Main_L[[#This Row],[P/E]]-VLOOKUP(Main_L[[#This Row],[Industry]], Mean_PE_L, 2, FALSE))/(VLOOKUP(Main_L[[#This Row],[Industry]], Mean_PE_L, 3, FALSE))</f>
        <v>1.2994965820458968</v>
      </c>
      <c r="U9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9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9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9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9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9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92" spans="1:26" x14ac:dyDescent="0.25">
      <c r="A92" t="s">
        <v>229</v>
      </c>
      <c r="B92" t="s">
        <v>231</v>
      </c>
      <c r="C92" s="2">
        <v>29579</v>
      </c>
      <c r="D92">
        <f>RTD("tos.rtd", , "LAST", Main_L[[#This Row],[Symbol]])</f>
        <v>52.99</v>
      </c>
      <c r="E92">
        <v>4.4000000000000004</v>
      </c>
      <c r="F92">
        <v>23.81</v>
      </c>
      <c r="G92">
        <v>5.63</v>
      </c>
      <c r="H92" s="1">
        <f>IF(ISNUMBER(Main_L[[#This Row],[Free CF]]),IF(Main_L[[#This Row],[Free CF]]&lt;&gt;0,Main_L[[#This Row],[Current Price]]/Main_L[[#This Row],[Free CF]],""),"")</f>
        <v>12.043181818181818</v>
      </c>
      <c r="I92" s="1">
        <f>IF(ISNUMBER(Main_L[[#This Row],[BVPS]]),IF(Main_L[[#This Row],[BVPS]]&lt;&gt;0,Main_L[[#This Row],[Current Price]]/Main_L[[#This Row],[BVPS]],""),"")</f>
        <v>2.2255354892902144</v>
      </c>
      <c r="J92">
        <v>27.52</v>
      </c>
      <c r="K92">
        <v>4.7300000000000004</v>
      </c>
      <c r="L92">
        <v>5.01</v>
      </c>
      <c r="M92" s="1">
        <f>IF(ISNUMBER(Main_L[[#This Row],[EPS]]),IF(Main_L[[#This Row],[EPS]]&lt;&gt;0,Main_L[[#This Row],[Current Price]]/Main_L[[#This Row],[EPS]],""),"")</f>
        <v>9.412078152753109</v>
      </c>
      <c r="N9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92" s="1">
        <f>(Main_L[[#This Row],[P/FCF]]-VLOOKUP(Main_L[[#This Row],[Industry]], Mean_PFCF_L, 2, FALSE))/(VLOOKUP(Main_L[[#This Row],[Industry]], Mean_PFCF_L, 3, FALSE))</f>
        <v>0.24984435229952895</v>
      </c>
      <c r="P92" s="1">
        <f>(Main_L[[#This Row],[P/B]]-VLOOKUP(Main_L[[#This Row],[Industry]], Mean_PB_L, 2, FALSE))/(VLOOKUP(Main_L[[#This Row],[Industry]], Mean_PB_L, 3, FALSE))</f>
        <v>0.98369701463590564</v>
      </c>
      <c r="Q92" s="1">
        <f>(Main_L[[#This Row],[ROE]]-VLOOKUP(Main_L[[#This Row],[Industry]], Mean_ROE_L, 2, FALSE))/(VLOOKUP(Main_L[[#This Row],[Industry]], Mean_ROE_L, 3, FALSE))</f>
        <v>0.54292687002220119</v>
      </c>
      <c r="R92" s="1">
        <f>(Main_L[[#This Row],[ROA]]-VLOOKUP(Main_L[[#This Row],[Industry]], Mean_ROA_L, 2, FALSE))/(VLOOKUP(Main_L[[#This Row],[Industry]], Mean_ROA_L, 3, FALSE))</f>
        <v>-0.75557973874429929</v>
      </c>
      <c r="S92" s="1">
        <f>(Main_L[[#This Row],[A/E]]-VLOOKUP(Main_L[[#This Row],[Industry]], Mean_AE_L, 2, FALSE))/(VLOOKUP(Main_L[[#This Row],[Industry]], Mean_AE_L, 3, FALSE))</f>
        <v>0.56697809858423698</v>
      </c>
      <c r="T92" s="1">
        <f>(Main_L[[#This Row],[P/E]]-VLOOKUP(Main_L[[#This Row],[Industry]], Mean_PE_L, 2, FALSE))/(VLOOKUP(Main_L[[#This Row],[Industry]], Mean_PE_L, 3, FALSE))</f>
        <v>-0.92266665302503825</v>
      </c>
      <c r="U9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9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9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9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9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9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93" spans="1:26" x14ac:dyDescent="0.25">
      <c r="A93" t="s">
        <v>229</v>
      </c>
      <c r="B93" t="s">
        <v>232</v>
      </c>
      <c r="C93" s="2">
        <v>17256</v>
      </c>
      <c r="D93">
        <f>RTD("tos.rtd", , "LAST", Main_L[[#This Row],[Symbol]])</f>
        <v>31.29</v>
      </c>
      <c r="E93">
        <v>-0.95</v>
      </c>
      <c r="F93">
        <v>16.43</v>
      </c>
      <c r="G93">
        <v>0.88</v>
      </c>
      <c r="H93" s="1">
        <f>IF(ISNUMBER(Main_L[[#This Row],[Free CF]]),IF(Main_L[[#This Row],[Free CF]]&lt;&gt;0,Main_L[[#This Row],[Current Price]]/Main_L[[#This Row],[Free CF]],""),"")</f>
        <v>-32.93684210526316</v>
      </c>
      <c r="I93" s="1">
        <f>IF(ISNUMBER(Main_L[[#This Row],[BVPS]]),IF(Main_L[[#This Row],[BVPS]]&lt;&gt;0,Main_L[[#This Row],[Current Price]]/Main_L[[#This Row],[BVPS]],""),"")</f>
        <v>1.9044430919050517</v>
      </c>
      <c r="J93">
        <v>5.59</v>
      </c>
      <c r="K93">
        <v>0.93</v>
      </c>
      <c r="L93">
        <v>3.55</v>
      </c>
      <c r="M93" s="1">
        <f>IF(ISNUMBER(Main_L[[#This Row],[EPS]]),IF(Main_L[[#This Row],[EPS]]&lt;&gt;0,Main_L[[#This Row],[Current Price]]/Main_L[[#This Row],[EPS]],""),"")</f>
        <v>35.55681818181818</v>
      </c>
      <c r="N9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93" s="1">
        <f>(Main_L[[#This Row],[P/FCF]]-VLOOKUP(Main_L[[#This Row],[Industry]], Mean_PFCF_L, 2, FALSE))/(VLOOKUP(Main_L[[#This Row],[Industry]], Mean_PFCF_L, 3, FALSE))</f>
        <v>-1.5211441292588996</v>
      </c>
      <c r="P93" s="1">
        <f>(Main_L[[#This Row],[P/B]]-VLOOKUP(Main_L[[#This Row],[Industry]], Mean_PB_L, 2, FALSE))/(VLOOKUP(Main_L[[#This Row],[Industry]], Mean_PB_L, 3, FALSE))</f>
        <v>-1.3717661952566049</v>
      </c>
      <c r="Q93" s="1">
        <f>(Main_L[[#This Row],[ROE]]-VLOOKUP(Main_L[[#This Row],[Industry]], Mean_ROE_L, 2, FALSE))/(VLOOKUP(Main_L[[#This Row],[Industry]], Mean_ROE_L, 3, FALSE))</f>
        <v>-1.5597462001035165</v>
      </c>
      <c r="R93" s="1">
        <f>(Main_L[[#This Row],[ROA]]-VLOOKUP(Main_L[[#This Row],[Industry]], Mean_ROA_L, 2, FALSE))/(VLOOKUP(Main_L[[#This Row],[Industry]], Mean_ROA_L, 3, FALSE))</f>
        <v>-4.8967379222467144</v>
      </c>
      <c r="S93" s="1">
        <f>(Main_L[[#This Row],[A/E]]-VLOOKUP(Main_L[[#This Row],[Industry]], Mean_AE_L, 2, FALSE))/(VLOOKUP(Main_L[[#This Row],[Industry]], Mean_AE_L, 3, FALSE))</f>
        <v>-0.39277613206270351</v>
      </c>
      <c r="T93" s="1">
        <f>(Main_L[[#This Row],[P/E]]-VLOOKUP(Main_L[[#This Row],[Industry]], Mean_PE_L, 2, FALSE))/(VLOOKUP(Main_L[[#This Row],[Industry]], Mean_PE_L, 3, FALSE))</f>
        <v>1.1107801238903277</v>
      </c>
      <c r="U9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9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9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9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Yes</v>
      </c>
      <c r="Y9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9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94" spans="1:26" x14ac:dyDescent="0.25">
      <c r="A94" t="s">
        <v>229</v>
      </c>
      <c r="B94" t="s">
        <v>233</v>
      </c>
      <c r="C94" s="2">
        <v>27005</v>
      </c>
      <c r="D94">
        <f>RTD("tos.rtd", , "LAST", Main_L[[#This Row],[Symbol]])</f>
        <v>49.86</v>
      </c>
      <c r="E94">
        <v>1.31</v>
      </c>
      <c r="F94">
        <v>7.83</v>
      </c>
      <c r="G94">
        <v>1.53</v>
      </c>
      <c r="H94" s="1">
        <f>IF(ISNUMBER(Main_L[[#This Row],[Free CF]]),IF(Main_L[[#This Row],[Free CF]]&lt;&gt;0,Main_L[[#This Row],[Current Price]]/Main_L[[#This Row],[Free CF]],""),"")</f>
        <v>38.061068702290072</v>
      </c>
      <c r="I94" s="1">
        <f>IF(ISNUMBER(Main_L[[#This Row],[BVPS]]),IF(Main_L[[#This Row],[BVPS]]&lt;&gt;0,Main_L[[#This Row],[Current Price]]/Main_L[[#This Row],[BVPS]],""),"")</f>
        <v>6.3678160919540225</v>
      </c>
      <c r="J94">
        <v>20.75</v>
      </c>
      <c r="K94">
        <v>6.72</v>
      </c>
      <c r="L94">
        <v>2</v>
      </c>
      <c r="M94" s="1">
        <f>IF(ISNUMBER(Main_L[[#This Row],[EPS]]),IF(Main_L[[#This Row],[EPS]]&lt;&gt;0,Main_L[[#This Row],[Current Price]]/Main_L[[#This Row],[EPS]],""),"")</f>
        <v>32.588235294117645</v>
      </c>
      <c r="N9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94" s="1">
        <f>(Main_L[[#This Row],[P/FCF]]-VLOOKUP(Main_L[[#This Row],[Industry]], Mean_PFCF_L, 2, FALSE))/(VLOOKUP(Main_L[[#This Row],[Industry]], Mean_PFCF_L, 3, FALSE))</f>
        <v>1.2742408280477082</v>
      </c>
      <c r="P94" s="1">
        <f>(Main_L[[#This Row],[P/B]]-VLOOKUP(Main_L[[#This Row],[Industry]], Mean_PB_L, 2, FALSE))/(VLOOKUP(Main_L[[#This Row],[Industry]], Mean_PB_L, 3, FALSE))</f>
        <v>31.370556510789253</v>
      </c>
      <c r="Q94" s="1">
        <f>(Main_L[[#This Row],[ROE]]-VLOOKUP(Main_L[[#This Row],[Industry]], Mean_ROE_L, 2, FALSE))/(VLOOKUP(Main_L[[#This Row],[Industry]], Mean_ROE_L, 3, FALSE))</f>
        <v>-0.10618834588072211</v>
      </c>
      <c r="R94" s="1">
        <f>(Main_L[[#This Row],[ROA]]-VLOOKUP(Main_L[[#This Row],[Industry]], Mean_ROA_L, 2, FALSE))/(VLOOKUP(Main_L[[#This Row],[Industry]], Mean_ROA_L, 3, FALSE))</f>
        <v>1.4130794152477539</v>
      </c>
      <c r="S94" s="1">
        <f>(Main_L[[#This Row],[A/E]]-VLOOKUP(Main_L[[#This Row],[Industry]], Mean_AE_L, 2, FALSE))/(VLOOKUP(Main_L[[#This Row],[Industry]], Mean_AE_L, 3, FALSE))</f>
        <v>-1.4116932947358252</v>
      </c>
      <c r="T94" s="1">
        <f>(Main_L[[#This Row],[P/E]]-VLOOKUP(Main_L[[#This Row],[Industry]], Mean_PE_L, 2, FALSE))/(VLOOKUP(Main_L[[#This Row],[Industry]], Mean_PE_L, 3, FALSE))</f>
        <v>0.87989409104815597</v>
      </c>
      <c r="U9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9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9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9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9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9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95" spans="1:26" x14ac:dyDescent="0.25">
      <c r="A95" t="s">
        <v>229</v>
      </c>
      <c r="B95" t="s">
        <v>234</v>
      </c>
      <c r="C95" s="2">
        <v>24609</v>
      </c>
      <c r="D95">
        <f>RTD("tos.rtd", , "LAST", Main_L[[#This Row],[Symbol]])</f>
        <v>82.6</v>
      </c>
      <c r="E95">
        <v>14.69</v>
      </c>
      <c r="F95">
        <v>38.520000000000003</v>
      </c>
      <c r="G95">
        <v>10.95</v>
      </c>
      <c r="H95" s="1">
        <f>IF(ISNUMBER(Main_L[[#This Row],[Free CF]]),IF(Main_L[[#This Row],[Free CF]]&lt;&gt;0,Main_L[[#This Row],[Current Price]]/Main_L[[#This Row],[Free CF]],""),"")</f>
        <v>5.6228727025187197</v>
      </c>
      <c r="I95" s="1">
        <f>IF(ISNUMBER(Main_L[[#This Row],[BVPS]]),IF(Main_L[[#This Row],[BVPS]]&lt;&gt;0,Main_L[[#This Row],[Current Price]]/Main_L[[#This Row],[BVPS]],""),"")</f>
        <v>2.1443406022845273</v>
      </c>
      <c r="J95">
        <v>33.57</v>
      </c>
      <c r="K95">
        <v>4.82</v>
      </c>
      <c r="L95">
        <v>6.03</v>
      </c>
      <c r="M95" s="1">
        <f>IF(ISNUMBER(Main_L[[#This Row],[EPS]]),IF(Main_L[[#This Row],[EPS]]&lt;&gt;0,Main_L[[#This Row],[Current Price]]/Main_L[[#This Row],[EPS]],""),"")</f>
        <v>7.5433789954337902</v>
      </c>
      <c r="N9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95" s="1">
        <f>(Main_L[[#This Row],[P/FCF]]-VLOOKUP(Main_L[[#This Row],[Industry]], Mean_PFCF_L, 2, FALSE))/(VLOOKUP(Main_L[[#This Row],[Industry]], Mean_PFCF_L, 3, FALSE))</f>
        <v>-2.9410510883376268E-3</v>
      </c>
      <c r="P95" s="1">
        <f>(Main_L[[#This Row],[P/B]]-VLOOKUP(Main_L[[#This Row],[Industry]], Mean_PB_L, 2, FALSE))/(VLOOKUP(Main_L[[#This Row],[Industry]], Mean_PB_L, 3, FALSE))</f>
        <v>0.38806918062069595</v>
      </c>
      <c r="Q95" s="1">
        <f>(Main_L[[#This Row],[ROE]]-VLOOKUP(Main_L[[#This Row],[Industry]], Mean_ROE_L, 2, FALSE))/(VLOOKUP(Main_L[[#This Row],[Industry]], Mean_ROE_L, 3, FALSE))</f>
        <v>1.1230076759620367</v>
      </c>
      <c r="R95" s="1">
        <f>(Main_L[[#This Row],[ROA]]-VLOOKUP(Main_L[[#This Row],[Industry]], Mean_ROA_L, 2, FALSE))/(VLOOKUP(Main_L[[#This Row],[Industry]], Mean_ROA_L, 3, FALSE))</f>
        <v>-0.65749967650345276</v>
      </c>
      <c r="S95" s="1">
        <f>(Main_L[[#This Row],[A/E]]-VLOOKUP(Main_L[[#This Row],[Industry]], Mean_AE_L, 2, FALSE))/(VLOOKUP(Main_L[[#This Row],[Industry]], Mean_AE_L, 3, FALSE))</f>
        <v>1.2374913282142916</v>
      </c>
      <c r="T95" s="1">
        <f>(Main_L[[#This Row],[P/E]]-VLOOKUP(Main_L[[#This Row],[Industry]], Mean_PE_L, 2, FALSE))/(VLOOKUP(Main_L[[#This Row],[Industry]], Mean_PE_L, 3, FALSE))</f>
        <v>-1.068007561913445</v>
      </c>
      <c r="U9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9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9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9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9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9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96" spans="1:26" x14ac:dyDescent="0.25">
      <c r="A96" t="s">
        <v>204</v>
      </c>
      <c r="B96" t="s">
        <v>205</v>
      </c>
      <c r="C96" s="2">
        <v>123880</v>
      </c>
      <c r="D96">
        <f>RTD("tos.rtd", , "LAST", Main_L[[#This Row],[Symbol]])</f>
        <v>308.19</v>
      </c>
      <c r="E96">
        <v>10.4</v>
      </c>
      <c r="F96">
        <v>14.41</v>
      </c>
      <c r="G96">
        <v>9.7799999999999994</v>
      </c>
      <c r="H96" s="1">
        <f>IF(ISNUMBER(Main_L[[#This Row],[Free CF]]),IF(Main_L[[#This Row],[Free CF]]&lt;&gt;0,Main_L[[#This Row],[Current Price]]/Main_L[[#This Row],[Free CF]],""),"")</f>
        <v>29.633653846153845</v>
      </c>
      <c r="I96" s="1">
        <f>IF(ISNUMBER(Main_L[[#This Row],[BVPS]]),IF(Main_L[[#This Row],[BVPS]]&lt;&gt;0,Main_L[[#This Row],[Current Price]]/Main_L[[#This Row],[BVPS]],""),"")</f>
        <v>21.387231089521165</v>
      </c>
      <c r="J96">
        <v>76.290000000000006</v>
      </c>
      <c r="K96">
        <v>5.57</v>
      </c>
      <c r="L96">
        <v>9.64</v>
      </c>
      <c r="M96" s="1">
        <f>IF(ISNUMBER(Main_L[[#This Row],[EPS]]),IF(Main_L[[#This Row],[EPS]]&lt;&gt;0,Main_L[[#This Row],[Current Price]]/Main_L[[#This Row],[EPS]],""),"")</f>
        <v>31.512269938650309</v>
      </c>
      <c r="N9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96" s="1">
        <f>(Main_L[[#This Row],[P/FCF]]-VLOOKUP(Main_L[[#This Row],[Industry]], Mean_PFCF_L, 2, FALSE))/(VLOOKUP(Main_L[[#This Row],[Industry]], Mean_PFCF_L, 3, FALSE))</f>
        <v>-0.25915139390319708</v>
      </c>
      <c r="P96" s="1">
        <f>(Main_L[[#This Row],[P/B]]-VLOOKUP(Main_L[[#This Row],[Industry]], Mean_PB_L, 2, FALSE))/(VLOOKUP(Main_L[[#This Row],[Industry]], Mean_PB_L, 3, FALSE))</f>
        <v>1.8873883022779829</v>
      </c>
      <c r="Q96" s="1">
        <f>(Main_L[[#This Row],[ROE]]-VLOOKUP(Main_L[[#This Row],[Industry]], Mean_ROE_L, 2, FALSE))/(VLOOKUP(Main_L[[#This Row],[Industry]], Mean_ROE_L, 3, FALSE))</f>
        <v>1.9897985298990433</v>
      </c>
      <c r="R96" s="1">
        <f>(Main_L[[#This Row],[ROA]]-VLOOKUP(Main_L[[#This Row],[Industry]], Mean_ROA_L, 2, FALSE))/(VLOOKUP(Main_L[[#This Row],[Industry]], Mean_ROA_L, 3, FALSE))</f>
        <v>-0.67191794705134256</v>
      </c>
      <c r="S96" s="1">
        <f>(Main_L[[#This Row],[A/E]]-VLOOKUP(Main_L[[#This Row],[Industry]], Mean_AE_L, 2, FALSE))/(VLOOKUP(Main_L[[#This Row],[Industry]], Mean_AE_L, 3, FALSE))</f>
        <v>6.4142678020568198</v>
      </c>
      <c r="T96" s="1">
        <f>(Main_L[[#This Row],[P/E]]-VLOOKUP(Main_L[[#This Row],[Industry]], Mean_PE_L, 2, FALSE))/(VLOOKUP(Main_L[[#This Row],[Industry]], Mean_PE_L, 3, FALSE))</f>
        <v>-0.35109988759071853</v>
      </c>
      <c r="U9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9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9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9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9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9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97" spans="1:26" x14ac:dyDescent="0.25">
      <c r="A97" t="s">
        <v>204</v>
      </c>
      <c r="B97" t="s">
        <v>207</v>
      </c>
      <c r="C97" s="2">
        <v>12937</v>
      </c>
      <c r="D97">
        <f>RTD("tos.rtd", , "LAST", Main_L[[#This Row],[Symbol]])</f>
        <v>260.20999999999998</v>
      </c>
      <c r="E97">
        <v>5.99</v>
      </c>
      <c r="F97">
        <v>28.88</v>
      </c>
      <c r="G97">
        <v>8.92</v>
      </c>
      <c r="H97" s="1">
        <f>IF(ISNUMBER(Main_L[[#This Row],[Free CF]]),IF(Main_L[[#This Row],[Free CF]]&lt;&gt;0,Main_L[[#This Row],[Current Price]]/Main_L[[#This Row],[Free CF]],""),"")</f>
        <v>43.440734557595988</v>
      </c>
      <c r="I97" s="1">
        <f>IF(ISNUMBER(Main_L[[#This Row],[BVPS]]),IF(Main_L[[#This Row],[BVPS]]&lt;&gt;0,Main_L[[#This Row],[Current Price]]/Main_L[[#This Row],[BVPS]],""),"")</f>
        <v>9.0100415512465375</v>
      </c>
      <c r="J97">
        <v>34.869999999999997</v>
      </c>
      <c r="K97">
        <v>6.42</v>
      </c>
      <c r="L97">
        <v>3.72</v>
      </c>
      <c r="M97" s="1">
        <f>IF(ISNUMBER(Main_L[[#This Row],[EPS]]),IF(Main_L[[#This Row],[EPS]]&lt;&gt;0,Main_L[[#This Row],[Current Price]]/Main_L[[#This Row],[EPS]],""),"")</f>
        <v>29.171524663677129</v>
      </c>
      <c r="N9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97" s="1">
        <f>(Main_L[[#This Row],[P/FCF]]-VLOOKUP(Main_L[[#This Row],[Industry]], Mean_PFCF_L, 2, FALSE))/(VLOOKUP(Main_L[[#This Row],[Industry]], Mean_PFCF_L, 3, FALSE))</f>
        <v>1.0386976330579223</v>
      </c>
      <c r="P97" s="1">
        <f>(Main_L[[#This Row],[P/B]]-VLOOKUP(Main_L[[#This Row],[Industry]], Mean_PB_L, 2, FALSE))/(VLOOKUP(Main_L[[#This Row],[Industry]], Mean_PB_L, 3, FALSE))</f>
        <v>-0.12986911064135337</v>
      </c>
      <c r="Q97" s="1">
        <f>(Main_L[[#This Row],[ROE]]-VLOOKUP(Main_L[[#This Row],[Industry]], Mean_ROE_L, 2, FALSE))/(VLOOKUP(Main_L[[#This Row],[Industry]], Mean_ROE_L, 3, FALSE))</f>
        <v>0.11149498584380668</v>
      </c>
      <c r="R97" s="1">
        <f>(Main_L[[#This Row],[ROA]]-VLOOKUP(Main_L[[#This Row],[Industry]], Mean_ROA_L, 2, FALSE))/(VLOOKUP(Main_L[[#This Row],[Industry]], Mean_ROA_L, 3, FALSE))</f>
        <v>-0.44488480220914972</v>
      </c>
      <c r="S97" s="1">
        <f>(Main_L[[#This Row],[A/E]]-VLOOKUP(Main_L[[#This Row],[Industry]], Mean_AE_L, 2, FALSE))/(VLOOKUP(Main_L[[#This Row],[Industry]], Mean_AE_L, 3, FALSE))</f>
        <v>0.52184355649631009</v>
      </c>
      <c r="T97" s="1">
        <f>(Main_L[[#This Row],[P/E]]-VLOOKUP(Main_L[[#This Row],[Industry]], Mean_PE_L, 2, FALSE))/(VLOOKUP(Main_L[[#This Row],[Industry]], Mean_PE_L, 3, FALSE))</f>
        <v>-0.55977291719344269</v>
      </c>
      <c r="U9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9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9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9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9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9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98" spans="1:26" x14ac:dyDescent="0.25">
      <c r="A98" t="s">
        <v>204</v>
      </c>
      <c r="B98" t="s">
        <v>208</v>
      </c>
      <c r="C98" s="2">
        <v>54144</v>
      </c>
      <c r="D98">
        <f>RTD("tos.rtd", , "LAST", Main_L[[#This Row],[Symbol]])</f>
        <v>151.26</v>
      </c>
      <c r="E98">
        <v>4.46</v>
      </c>
      <c r="F98">
        <v>11.43</v>
      </c>
      <c r="G98">
        <v>4.8099999999999996</v>
      </c>
      <c r="H98" s="1">
        <f>IF(ISNUMBER(Main_L[[#This Row],[Free CF]]),IF(Main_L[[#This Row],[Free CF]]&lt;&gt;0,Main_L[[#This Row],[Current Price]]/Main_L[[#This Row],[Free CF]],""),"")</f>
        <v>33.914798206278029</v>
      </c>
      <c r="I98" s="1">
        <f>IF(ISNUMBER(Main_L[[#This Row],[BVPS]]),IF(Main_L[[#This Row],[BVPS]]&lt;&gt;0,Main_L[[#This Row],[Current Price]]/Main_L[[#This Row],[BVPS]],""),"")</f>
        <v>13.233595800524935</v>
      </c>
      <c r="J98">
        <v>44.25</v>
      </c>
      <c r="K98">
        <v>11.64</v>
      </c>
      <c r="L98">
        <v>2.73</v>
      </c>
      <c r="M98" s="1">
        <f>IF(ISNUMBER(Main_L[[#This Row],[EPS]]),IF(Main_L[[#This Row],[EPS]]&lt;&gt;0,Main_L[[#This Row],[Current Price]]/Main_L[[#This Row],[EPS]],""),"")</f>
        <v>31.446985446985448</v>
      </c>
      <c r="N9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98" s="1">
        <f>(Main_L[[#This Row],[P/FCF]]-VLOOKUP(Main_L[[#This Row],[Industry]], Mean_PFCF_L, 2, FALSE))/(VLOOKUP(Main_L[[#This Row],[Industry]], Mean_PFCF_L, 3, FALSE))</f>
        <v>0.14327104123638176</v>
      </c>
      <c r="P98" s="1">
        <f>(Main_L[[#This Row],[P/B]]-VLOOKUP(Main_L[[#This Row],[Industry]], Mean_PB_L, 2, FALSE))/(VLOOKUP(Main_L[[#This Row],[Industry]], Mean_PB_L, 3, FALSE))</f>
        <v>0.55849363050250489</v>
      </c>
      <c r="Q98" s="1">
        <f>(Main_L[[#This Row],[ROE]]-VLOOKUP(Main_L[[#This Row],[Industry]], Mean_ROE_L, 2, FALSE))/(VLOOKUP(Main_L[[#This Row],[Industry]], Mean_ROE_L, 3, FALSE))</f>
        <v>0.53685682175008675</v>
      </c>
      <c r="R98" s="1">
        <f>(Main_L[[#This Row],[ROA]]-VLOOKUP(Main_L[[#This Row],[Industry]], Mean_ROA_L, 2, FALSE))/(VLOOKUP(Main_L[[#This Row],[Industry]], Mean_ROA_L, 3, FALSE))</f>
        <v>0.94936580493937639</v>
      </c>
      <c r="S98" s="1">
        <f>(Main_L[[#This Row],[A/E]]-VLOOKUP(Main_L[[#This Row],[Industry]], Mean_AE_L, 2, FALSE))/(VLOOKUP(Main_L[[#This Row],[Industry]], Mean_AE_L, 3, FALSE))</f>
        <v>-0.46354495754168051</v>
      </c>
      <c r="T98" s="1">
        <f>(Main_L[[#This Row],[P/E]]-VLOOKUP(Main_L[[#This Row],[Industry]], Mean_PE_L, 2, FALSE))/(VLOOKUP(Main_L[[#This Row],[Industry]], Mean_PE_L, 3, FALSE))</f>
        <v>-0.35691987697932753</v>
      </c>
      <c r="U9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9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9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9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9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9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99" spans="1:26" x14ac:dyDescent="0.25">
      <c r="A99" t="s">
        <v>204</v>
      </c>
      <c r="B99" t="s">
        <v>209</v>
      </c>
      <c r="C99" s="2">
        <v>10140</v>
      </c>
      <c r="D99">
        <f>RTD("tos.rtd", , "LAST", Main_L[[#This Row],[Symbol]])</f>
        <v>199.23</v>
      </c>
      <c r="E99">
        <v>6.01</v>
      </c>
      <c r="F99">
        <v>21.76</v>
      </c>
      <c r="G99">
        <v>4.01</v>
      </c>
      <c r="H99" s="1">
        <f>IF(ISNUMBER(Main_L[[#This Row],[Free CF]]),IF(Main_L[[#This Row],[Free CF]]&lt;&gt;0,Main_L[[#This Row],[Current Price]]/Main_L[[#This Row],[Free CF]],""),"")</f>
        <v>33.149750415973379</v>
      </c>
      <c r="I99" s="1">
        <f>IF(ISNUMBER(Main_L[[#This Row],[BVPS]]),IF(Main_L[[#This Row],[BVPS]]&lt;&gt;0,Main_L[[#This Row],[Current Price]]/Main_L[[#This Row],[BVPS]],""),"")</f>
        <v>9.1557904411764692</v>
      </c>
      <c r="J99">
        <v>19.7</v>
      </c>
      <c r="K99">
        <v>3.68</v>
      </c>
      <c r="L99">
        <v>4.28</v>
      </c>
      <c r="M99" s="1">
        <f>IF(ISNUMBER(Main_L[[#This Row],[EPS]]),IF(Main_L[[#This Row],[EPS]]&lt;&gt;0,Main_L[[#This Row],[Current Price]]/Main_L[[#This Row],[EPS]],""),"")</f>
        <v>49.683291770573568</v>
      </c>
      <c r="N9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99" s="1">
        <f>(Main_L[[#This Row],[P/FCF]]-VLOOKUP(Main_L[[#This Row],[Industry]], Mean_PFCF_L, 2, FALSE))/(VLOOKUP(Main_L[[#This Row],[Industry]], Mean_PFCF_L, 3, FALSE))</f>
        <v>7.1357466529543237E-2</v>
      </c>
      <c r="P99" s="1">
        <f>(Main_L[[#This Row],[P/B]]-VLOOKUP(Main_L[[#This Row],[Industry]], Mean_PB_L, 2, FALSE))/(VLOOKUP(Main_L[[#This Row],[Industry]], Mean_PB_L, 3, FALSE))</f>
        <v>-0.10611468499191758</v>
      </c>
      <c r="Q99" s="1">
        <f>(Main_L[[#This Row],[ROE]]-VLOOKUP(Main_L[[#This Row],[Industry]], Mean_ROE_L, 2, FALSE))/(VLOOKUP(Main_L[[#This Row],[Industry]], Mean_ROE_L, 3, FALSE))</f>
        <v>-0.57643028608564595</v>
      </c>
      <c r="R99" s="1">
        <f>(Main_L[[#This Row],[ROA]]-VLOOKUP(Main_L[[#This Row],[Industry]], Mean_ROA_L, 2, FALSE))/(VLOOKUP(Main_L[[#This Row],[Industry]], Mean_ROA_L, 3, FALSE))</f>
        <v>-1.1767328220533952</v>
      </c>
      <c r="S99" s="1">
        <f>(Main_L[[#This Row],[A/E]]-VLOOKUP(Main_L[[#This Row],[Industry]], Mean_AE_L, 2, FALSE))/(VLOOKUP(Main_L[[#This Row],[Industry]], Mean_AE_L, 3, FALSE))</f>
        <v>1.0792350391844665</v>
      </c>
      <c r="T99" s="1">
        <f>(Main_L[[#This Row],[P/E]]-VLOOKUP(Main_L[[#This Row],[Industry]], Mean_PE_L, 2, FALSE))/(VLOOKUP(Main_L[[#This Row],[Industry]], Mean_PE_L, 3, FALSE))</f>
        <v>1.2688124613461449</v>
      </c>
      <c r="U9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9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9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9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9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9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00" spans="1:26" x14ac:dyDescent="0.25">
      <c r="A100" t="s">
        <v>204</v>
      </c>
      <c r="B100" t="s">
        <v>210</v>
      </c>
      <c r="C100" s="2">
        <v>15281</v>
      </c>
      <c r="D100">
        <f>RTD("tos.rtd", , "LAST", Main_L[[#This Row],[Symbol]])</f>
        <v>123.72</v>
      </c>
      <c r="E100">
        <v>6.56</v>
      </c>
      <c r="F100">
        <v>9.52</v>
      </c>
      <c r="G100">
        <v>6.7</v>
      </c>
      <c r="H100" s="1">
        <f>IF(ISNUMBER(Main_L[[#This Row],[Free CF]]),IF(Main_L[[#This Row],[Free CF]]&lt;&gt;0,Main_L[[#This Row],[Current Price]]/Main_L[[#This Row],[Free CF]],""),"")</f>
        <v>18.859756097560975</v>
      </c>
      <c r="I100" s="1">
        <f>IF(ISNUMBER(Main_L[[#This Row],[BVPS]]),IF(Main_L[[#This Row],[BVPS]]&lt;&gt;0,Main_L[[#This Row],[Current Price]]/Main_L[[#This Row],[BVPS]],""),"")</f>
        <v>12.995798319327731</v>
      </c>
      <c r="J100">
        <v>75.8</v>
      </c>
      <c r="K100">
        <v>11.65</v>
      </c>
      <c r="L100">
        <v>5.64</v>
      </c>
      <c r="M100" s="1">
        <f>IF(ISNUMBER(Main_L[[#This Row],[EPS]]),IF(Main_L[[#This Row],[EPS]]&lt;&gt;0,Main_L[[#This Row],[Current Price]]/Main_L[[#This Row],[EPS]],""),"")</f>
        <v>18.465671641791044</v>
      </c>
      <c r="N10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00" s="1">
        <f>(Main_L[[#This Row],[P/FCF]]-VLOOKUP(Main_L[[#This Row],[Industry]], Mean_PFCF_L, 2, FALSE))/(VLOOKUP(Main_L[[#This Row],[Industry]], Mean_PFCF_L, 3, FALSE))</f>
        <v>-1.271884860290629</v>
      </c>
      <c r="P100" s="1">
        <f>(Main_L[[#This Row],[P/B]]-VLOOKUP(Main_L[[#This Row],[Industry]], Mean_PB_L, 2, FALSE))/(VLOOKUP(Main_L[[#This Row],[Industry]], Mean_PB_L, 3, FALSE))</f>
        <v>0.51973695393750541</v>
      </c>
      <c r="Q100" s="1">
        <f>(Main_L[[#This Row],[ROE]]-VLOOKUP(Main_L[[#This Row],[Industry]], Mean_ROE_L, 2, FALSE))/(VLOOKUP(Main_L[[#This Row],[Industry]], Mean_ROE_L, 3, FALSE))</f>
        <v>1.9675781354860282</v>
      </c>
      <c r="R100" s="1">
        <f>(Main_L[[#This Row],[ROA]]-VLOOKUP(Main_L[[#This Row],[Industry]], Mean_ROA_L, 2, FALSE))/(VLOOKUP(Main_L[[#This Row],[Industry]], Mean_ROA_L, 3, FALSE))</f>
        <v>0.95203678311399043</v>
      </c>
      <c r="S100" s="1">
        <f>(Main_L[[#This Row],[A/E]]-VLOOKUP(Main_L[[#This Row],[Industry]], Mean_AE_L, 2, FALSE))/(VLOOKUP(Main_L[[#This Row],[Industry]], Mean_AE_L, 3, FALSE))</f>
        <v>2.432900068569988</v>
      </c>
      <c r="T100" s="1">
        <f>(Main_L[[#This Row],[P/E]]-VLOOKUP(Main_L[[#This Row],[Industry]], Mean_PE_L, 2, FALSE))/(VLOOKUP(Main_L[[#This Row],[Industry]], Mean_PE_L, 3, FALSE))</f>
        <v>-1.5141795365057664</v>
      </c>
      <c r="U10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0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0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0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0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0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01" spans="1:26" x14ac:dyDescent="0.25">
      <c r="A101" t="s">
        <v>204</v>
      </c>
      <c r="B101" t="s">
        <v>211</v>
      </c>
      <c r="C101" s="2">
        <v>10427</v>
      </c>
      <c r="D101">
        <f>RTD("tos.rtd", , "LAST", Main_L[[#This Row],[Symbol]])</f>
        <v>462.04</v>
      </c>
      <c r="E101">
        <v>21.86</v>
      </c>
      <c r="F101">
        <v>168.46</v>
      </c>
      <c r="G101">
        <v>21.19</v>
      </c>
      <c r="H101" s="1">
        <f>IF(ISNUMBER(Main_L[[#This Row],[Free CF]]),IF(Main_L[[#This Row],[Free CF]]&lt;&gt;0,Main_L[[#This Row],[Current Price]]/Main_L[[#This Row],[Free CF]],""),"")</f>
        <v>21.136322049405308</v>
      </c>
      <c r="I101" s="1">
        <f>IF(ISNUMBER(Main_L[[#This Row],[BVPS]]),IF(Main_L[[#This Row],[BVPS]]&lt;&gt;0,Main_L[[#This Row],[Current Price]]/Main_L[[#This Row],[BVPS]],""),"")</f>
        <v>2.7427282440935534</v>
      </c>
      <c r="J101">
        <v>13.48</v>
      </c>
      <c r="K101">
        <v>6.32</v>
      </c>
      <c r="L101">
        <v>2.3199999999999998</v>
      </c>
      <c r="M101" s="1">
        <f>IF(ISNUMBER(Main_L[[#This Row],[EPS]]),IF(Main_L[[#This Row],[EPS]]&lt;&gt;0,Main_L[[#This Row],[Current Price]]/Main_L[[#This Row],[EPS]],""),"")</f>
        <v>21.80462482302973</v>
      </c>
      <c r="N10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YES</v>
      </c>
      <c r="O101" s="1">
        <f>(Main_L[[#This Row],[P/FCF]]-VLOOKUP(Main_L[[#This Row],[Industry]], Mean_PFCF_L, 2, FALSE))/(VLOOKUP(Main_L[[#This Row],[Industry]], Mean_PFCF_L, 3, FALSE))</f>
        <v>-1.057890391281302</v>
      </c>
      <c r="P101" s="1">
        <f>(Main_L[[#This Row],[P/B]]-VLOOKUP(Main_L[[#This Row],[Industry]], Mean_PB_L, 2, FALSE))/(VLOOKUP(Main_L[[#This Row],[Industry]], Mean_PB_L, 3, FALSE))</f>
        <v>-1.1513275111002312</v>
      </c>
      <c r="Q101" s="1">
        <f>(Main_L[[#This Row],[ROE]]-VLOOKUP(Main_L[[#This Row],[Industry]], Mean_ROE_L, 2, FALSE))/(VLOOKUP(Main_L[[#This Row],[Industry]], Mean_ROE_L, 3, FALSE))</f>
        <v>-0.85849325189983161</v>
      </c>
      <c r="R101" s="1">
        <f>(Main_L[[#This Row],[ROA]]-VLOOKUP(Main_L[[#This Row],[Industry]], Mean_ROA_L, 2, FALSE))/(VLOOKUP(Main_L[[#This Row],[Industry]], Mean_ROA_L, 3, FALSE))</f>
        <v>-0.47159458395528997</v>
      </c>
      <c r="S101" s="1">
        <f>(Main_L[[#This Row],[A/E]]-VLOOKUP(Main_L[[#This Row],[Industry]], Mean_AE_L, 2, FALSE))/(VLOOKUP(Main_L[[#This Row],[Industry]], Mean_AE_L, 3, FALSE))</f>
        <v>-0.87163515022408078</v>
      </c>
      <c r="T101" s="1">
        <f>(Main_L[[#This Row],[P/E]]-VLOOKUP(Main_L[[#This Row],[Industry]], Mean_PE_L, 2, FALSE))/(VLOOKUP(Main_L[[#This Row],[Industry]], Mean_PE_L, 3, FALSE))</f>
        <v>-1.2165181534068672</v>
      </c>
      <c r="U10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0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0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0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0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0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02" spans="1:26" x14ac:dyDescent="0.25">
      <c r="A102" t="s">
        <v>204</v>
      </c>
      <c r="B102" t="s">
        <v>212</v>
      </c>
      <c r="C102" s="2">
        <v>33044</v>
      </c>
      <c r="D102">
        <f>RTD("tos.rtd", , "LAST", Main_L[[#This Row],[Symbol]])</f>
        <v>273.76</v>
      </c>
      <c r="E102">
        <v>6.53</v>
      </c>
      <c r="F102">
        <v>40.11</v>
      </c>
      <c r="G102">
        <v>4.9000000000000004</v>
      </c>
      <c r="H102" s="1">
        <f>IF(ISNUMBER(Main_L[[#This Row],[Free CF]]),IF(Main_L[[#This Row],[Free CF]]&lt;&gt;0,Main_L[[#This Row],[Current Price]]/Main_L[[#This Row],[Free CF]],""),"")</f>
        <v>41.923430321592647</v>
      </c>
      <c r="I102" s="1">
        <f>IF(ISNUMBER(Main_L[[#This Row],[BVPS]]),IF(Main_L[[#This Row],[BVPS]]&lt;&gt;0,Main_L[[#This Row],[Current Price]]/Main_L[[#This Row],[BVPS]],""),"")</f>
        <v>6.8252306158065323</v>
      </c>
      <c r="J102">
        <v>12.52</v>
      </c>
      <c r="K102">
        <v>5.64</v>
      </c>
      <c r="L102">
        <v>2.38</v>
      </c>
      <c r="M102" s="1">
        <f>IF(ISNUMBER(Main_L[[#This Row],[EPS]]),IF(Main_L[[#This Row],[EPS]]&lt;&gt;0,Main_L[[#This Row],[Current Price]]/Main_L[[#This Row],[EPS]],""),"")</f>
        <v>55.869387755102032</v>
      </c>
      <c r="N10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02" s="1">
        <f>(Main_L[[#This Row],[P/FCF]]-VLOOKUP(Main_L[[#This Row],[Industry]], Mean_PFCF_L, 2, FALSE))/(VLOOKUP(Main_L[[#This Row],[Industry]], Mean_PFCF_L, 3, FALSE))</f>
        <v>0.89607285469554276</v>
      </c>
      <c r="P102" s="1">
        <f>(Main_L[[#This Row],[P/B]]-VLOOKUP(Main_L[[#This Row],[Industry]], Mean_PB_L, 2, FALSE))/(VLOOKUP(Main_L[[#This Row],[Industry]], Mean_PB_L, 3, FALSE))</f>
        <v>-0.48595366777886634</v>
      </c>
      <c r="Q102" s="1">
        <f>(Main_L[[#This Row],[ROE]]-VLOOKUP(Main_L[[#This Row],[Industry]], Mean_ROE_L, 2, FALSE))/(VLOOKUP(Main_L[[#This Row],[Industry]], Mean_ROE_L, 3, FALSE))</f>
        <v>-0.90202708585186031</v>
      </c>
      <c r="R102" s="1">
        <f>(Main_L[[#This Row],[ROA]]-VLOOKUP(Main_L[[#This Row],[Industry]], Mean_ROA_L, 2, FALSE))/(VLOOKUP(Main_L[[#This Row],[Industry]], Mean_ROA_L, 3, FALSE))</f>
        <v>-0.65322109982904453</v>
      </c>
      <c r="S102" s="1">
        <f>(Main_L[[#This Row],[A/E]]-VLOOKUP(Main_L[[#This Row],[Industry]], Mean_AE_L, 2, FALSE))/(VLOOKUP(Main_L[[#This Row],[Industry]], Mean_AE_L, 3, FALSE))</f>
        <v>-0.81191463422177823</v>
      </c>
      <c r="T102" s="1">
        <f>(Main_L[[#This Row],[P/E]]-VLOOKUP(Main_L[[#This Row],[Industry]], Mean_PE_L, 2, FALSE))/(VLOOKUP(Main_L[[#This Row],[Industry]], Mean_PE_L, 3, FALSE))</f>
        <v>1.8202912592771123</v>
      </c>
      <c r="U10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0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0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0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0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0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03" spans="1:26" x14ac:dyDescent="0.25">
      <c r="A103" t="s">
        <v>204</v>
      </c>
      <c r="B103" t="s">
        <v>213</v>
      </c>
      <c r="C103" s="2">
        <v>14618</v>
      </c>
      <c r="D103">
        <f>RTD("tos.rtd", , "LAST", Main_L[[#This Row],[Symbol]])</f>
        <v>126.94</v>
      </c>
      <c r="E103">
        <v>5.04</v>
      </c>
      <c r="F103">
        <v>34.21</v>
      </c>
      <c r="G103">
        <v>3.67</v>
      </c>
      <c r="H103" s="1">
        <f>IF(ISNUMBER(Main_L[[#This Row],[Free CF]]),IF(Main_L[[#This Row],[Free CF]]&lt;&gt;0,Main_L[[#This Row],[Current Price]]/Main_L[[#This Row],[Free CF]],""),"")</f>
        <v>25.186507936507937</v>
      </c>
      <c r="I103" s="1">
        <f>IF(ISNUMBER(Main_L[[#This Row],[BVPS]]),IF(Main_L[[#This Row],[BVPS]]&lt;&gt;0,Main_L[[#This Row],[Current Price]]/Main_L[[#This Row],[BVPS]],""),"")</f>
        <v>3.710610932475884</v>
      </c>
      <c r="J103">
        <v>8.17</v>
      </c>
      <c r="K103">
        <v>4.55</v>
      </c>
      <c r="L103">
        <v>2.76</v>
      </c>
      <c r="M103" s="1">
        <f>IF(ISNUMBER(Main_L[[#This Row],[EPS]]),IF(Main_L[[#This Row],[EPS]]&lt;&gt;0,Main_L[[#This Row],[Current Price]]/Main_L[[#This Row],[EPS]],""),"")</f>
        <v>34.588555858310627</v>
      </c>
      <c r="N10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03" s="1">
        <f>(Main_L[[#This Row],[P/FCF]]-VLOOKUP(Main_L[[#This Row],[Industry]], Mean_PFCF_L, 2, FALSE))/(VLOOKUP(Main_L[[#This Row],[Industry]], Mean_PFCF_L, 3, FALSE))</f>
        <v>-0.67717777559914427</v>
      </c>
      <c r="P103" s="1">
        <f>(Main_L[[#This Row],[P/B]]-VLOOKUP(Main_L[[#This Row],[Industry]], Mean_PB_L, 2, FALSE))/(VLOOKUP(Main_L[[#This Row],[Industry]], Mean_PB_L, 3, FALSE))</f>
        <v>-0.9935801871267369</v>
      </c>
      <c r="Q103" s="1">
        <f>(Main_L[[#This Row],[ROE]]-VLOOKUP(Main_L[[#This Row],[Industry]], Mean_ROE_L, 2, FALSE))/(VLOOKUP(Main_L[[#This Row],[Industry]], Mean_ROE_L, 3, FALSE))</f>
        <v>-1.09928977094699</v>
      </c>
      <c r="R103" s="1">
        <f>(Main_L[[#This Row],[ROA]]-VLOOKUP(Main_L[[#This Row],[Industry]], Mean_ROA_L, 2, FALSE))/(VLOOKUP(Main_L[[#This Row],[Industry]], Mean_ROA_L, 3, FALSE))</f>
        <v>-0.94435772086197423</v>
      </c>
      <c r="S103" s="1">
        <f>(Main_L[[#This Row],[A/E]]-VLOOKUP(Main_L[[#This Row],[Industry]], Mean_AE_L, 2, FALSE))/(VLOOKUP(Main_L[[#This Row],[Industry]], Mean_AE_L, 3, FALSE))</f>
        <v>-0.43368469954052952</v>
      </c>
      <c r="T103" s="1">
        <f>(Main_L[[#This Row],[P/E]]-VLOOKUP(Main_L[[#This Row],[Industry]], Mean_PE_L, 2, FALSE))/(VLOOKUP(Main_L[[#This Row],[Industry]], Mean_PE_L, 3, FALSE))</f>
        <v>-7.6854795805976511E-2</v>
      </c>
      <c r="U10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0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0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0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0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0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04" spans="1:26" x14ac:dyDescent="0.25">
      <c r="A104" t="s">
        <v>204</v>
      </c>
      <c r="B104" t="s">
        <v>214</v>
      </c>
      <c r="C104" s="2">
        <v>19837</v>
      </c>
      <c r="D104">
        <f>RTD("tos.rtd", , "LAST", Main_L[[#This Row],[Symbol]])</f>
        <v>155.43</v>
      </c>
      <c r="E104">
        <v>9.2799999999999994</v>
      </c>
      <c r="F104">
        <v>33.64</v>
      </c>
      <c r="G104">
        <v>9.2200000000000006</v>
      </c>
      <c r="H104" s="1">
        <f>IF(ISNUMBER(Main_L[[#This Row],[Free CF]]),IF(Main_L[[#This Row],[Free CF]]&lt;&gt;0,Main_L[[#This Row],[Current Price]]/Main_L[[#This Row],[Free CF]],""),"")</f>
        <v>16.748922413793107</v>
      </c>
      <c r="I104" s="1">
        <f>IF(ISNUMBER(Main_L[[#This Row],[BVPS]]),IF(Main_L[[#This Row],[BVPS]]&lt;&gt;0,Main_L[[#This Row],[Current Price]]/Main_L[[#This Row],[BVPS]],""),"")</f>
        <v>4.6203923900118911</v>
      </c>
      <c r="J104">
        <v>28.7</v>
      </c>
      <c r="K104">
        <v>8.7899999999999991</v>
      </c>
      <c r="L104">
        <v>2.97</v>
      </c>
      <c r="M104" s="1">
        <f>IF(ISNUMBER(Main_L[[#This Row],[EPS]]),IF(Main_L[[#This Row],[EPS]]&lt;&gt;0,Main_L[[#This Row],[Current Price]]/Main_L[[#This Row],[EPS]],""),"")</f>
        <v>16.857917570498916</v>
      </c>
      <c r="N10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YES</v>
      </c>
      <c r="O104" s="1">
        <f>(Main_L[[#This Row],[P/FCF]]-VLOOKUP(Main_L[[#This Row],[Industry]], Mean_PFCF_L, 2, FALSE))/(VLOOKUP(Main_L[[#This Row],[Industry]], Mean_PFCF_L, 3, FALSE))</f>
        <v>-1.4703006948764716</v>
      </c>
      <c r="P104" s="1">
        <f>(Main_L[[#This Row],[P/B]]-VLOOKUP(Main_L[[#This Row],[Industry]], Mean_PB_L, 2, FALSE))/(VLOOKUP(Main_L[[#This Row],[Industry]], Mean_PB_L, 3, FALSE))</f>
        <v>-0.84530231001450651</v>
      </c>
      <c r="Q104" s="1">
        <f>(Main_L[[#This Row],[ROE]]-VLOOKUP(Main_L[[#This Row],[Industry]], Mean_ROE_L, 2, FALSE))/(VLOOKUP(Main_L[[#This Row],[Industry]], Mean_ROE_L, 3, FALSE))</f>
        <v>-0.16830059278537737</v>
      </c>
      <c r="R104" s="1">
        <f>(Main_L[[#This Row],[ROA]]-VLOOKUP(Main_L[[#This Row],[Industry]], Mean_ROA_L, 2, FALSE))/(VLOOKUP(Main_L[[#This Row],[Industry]], Mean_ROA_L, 3, FALSE))</f>
        <v>0.18813702517437622</v>
      </c>
      <c r="S104" s="1">
        <f>(Main_L[[#This Row],[A/E]]-VLOOKUP(Main_L[[#This Row],[Industry]], Mean_AE_L, 2, FALSE))/(VLOOKUP(Main_L[[#This Row],[Industry]], Mean_AE_L, 3, FALSE))</f>
        <v>-0.22466289353247051</v>
      </c>
      <c r="T104" s="1">
        <f>(Main_L[[#This Row],[P/E]]-VLOOKUP(Main_L[[#This Row],[Industry]], Mean_PE_L, 2, FALSE))/(VLOOKUP(Main_L[[#This Row],[Industry]], Mean_PE_L, 3, FALSE))</f>
        <v>-1.6575077817871702</v>
      </c>
      <c r="U10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0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0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0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0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0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05" spans="1:26" x14ac:dyDescent="0.25">
      <c r="A105" t="s">
        <v>204</v>
      </c>
      <c r="B105" t="s">
        <v>216</v>
      </c>
      <c r="C105" s="2">
        <v>100951</v>
      </c>
      <c r="D105">
        <f>RTD("tos.rtd", , "LAST", Main_L[[#This Row],[Symbol]])</f>
        <v>52.4</v>
      </c>
      <c r="E105">
        <v>1.43</v>
      </c>
      <c r="F105">
        <v>2.35</v>
      </c>
      <c r="G105">
        <v>1.29</v>
      </c>
      <c r="H105" s="1">
        <f>IF(ISNUMBER(Main_L[[#This Row],[Free CF]]),IF(Main_L[[#This Row],[Free CF]]&lt;&gt;0,Main_L[[#This Row],[Current Price]]/Main_L[[#This Row],[Free CF]],""),"")</f>
        <v>36.643356643356647</v>
      </c>
      <c r="I105" s="1">
        <f>IF(ISNUMBER(Main_L[[#This Row],[BVPS]]),IF(Main_L[[#This Row],[BVPS]]&lt;&gt;0,Main_L[[#This Row],[Current Price]]/Main_L[[#This Row],[BVPS]],""),"")</f>
        <v>22.297872340425531</v>
      </c>
      <c r="J105">
        <v>56</v>
      </c>
      <c r="K105">
        <v>11.72</v>
      </c>
      <c r="L105">
        <v>4.3499999999999996</v>
      </c>
      <c r="M105" s="1">
        <f>IF(ISNUMBER(Main_L[[#This Row],[EPS]]),IF(Main_L[[#This Row],[EPS]]&lt;&gt;0,Main_L[[#This Row],[Current Price]]/Main_L[[#This Row],[EPS]],""),"")</f>
        <v>40.620155038759691</v>
      </c>
      <c r="N10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05" s="1">
        <f>(Main_L[[#This Row],[P/FCF]]-VLOOKUP(Main_L[[#This Row],[Industry]], Mean_PFCF_L, 2, FALSE))/(VLOOKUP(Main_L[[#This Row],[Industry]], Mean_PFCF_L, 3, FALSE))</f>
        <v>0.39975226174770551</v>
      </c>
      <c r="P105" s="1">
        <f>(Main_L[[#This Row],[P/B]]-VLOOKUP(Main_L[[#This Row],[Industry]], Mean_PB_L, 2, FALSE))/(VLOOKUP(Main_L[[#This Row],[Industry]], Mean_PB_L, 3, FALSE))</f>
        <v>2.0358063101154102</v>
      </c>
      <c r="Q105" s="1">
        <f>(Main_L[[#This Row],[ROE]]-VLOOKUP(Main_L[[#This Row],[Industry]], Mean_ROE_L, 2, FALSE))/(VLOOKUP(Main_L[[#This Row],[Industry]], Mean_ROE_L, 3, FALSE))</f>
        <v>1.0696928102254375</v>
      </c>
      <c r="R105" s="1">
        <f>(Main_L[[#This Row],[ROA]]-VLOOKUP(Main_L[[#This Row],[Industry]], Mean_ROA_L, 2, FALSE))/(VLOOKUP(Main_L[[#This Row],[Industry]], Mean_ROA_L, 3, FALSE))</f>
        <v>0.97073363033628868</v>
      </c>
      <c r="S105" s="1">
        <f>(Main_L[[#This Row],[A/E]]-VLOOKUP(Main_L[[#This Row],[Industry]], Mean_AE_L, 2, FALSE))/(VLOOKUP(Main_L[[#This Row],[Industry]], Mean_AE_L, 3, FALSE))</f>
        <v>1.1489089745204852</v>
      </c>
      <c r="T105" s="1">
        <f>(Main_L[[#This Row],[P/E]]-VLOOKUP(Main_L[[#This Row],[Industry]], Mean_PE_L, 2, FALSE))/(VLOOKUP(Main_L[[#This Row],[Industry]], Mean_PE_L, 3, FALSE))</f>
        <v>0.46085090322530115</v>
      </c>
      <c r="U10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0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0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0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0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0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06" spans="1:26" x14ac:dyDescent="0.25">
      <c r="A106" t="s">
        <v>204</v>
      </c>
      <c r="B106" t="s">
        <v>217</v>
      </c>
      <c r="C106" s="2">
        <v>84942</v>
      </c>
      <c r="D106">
        <f>RTD("tos.rtd", , "LAST", Main_L[[#This Row],[Symbol]])</f>
        <v>184.26</v>
      </c>
      <c r="E106">
        <v>4.1100000000000003</v>
      </c>
      <c r="F106">
        <v>27.3</v>
      </c>
      <c r="G106">
        <v>4.76</v>
      </c>
      <c r="H106" s="1">
        <f>IF(ISNUMBER(Main_L[[#This Row],[Free CF]]),IF(Main_L[[#This Row],[Free CF]]&lt;&gt;0,Main_L[[#This Row],[Current Price]]/Main_L[[#This Row],[Free CF]],""),"")</f>
        <v>44.832116788321159</v>
      </c>
      <c r="I106" s="1">
        <f>IF(ISNUMBER(Main_L[[#This Row],[BVPS]]),IF(Main_L[[#This Row],[BVPS]]&lt;&gt;0,Main_L[[#This Row],[Current Price]]/Main_L[[#This Row],[BVPS]],""),"")</f>
        <v>6.7494505494505486</v>
      </c>
      <c r="J106">
        <v>18.46</v>
      </c>
      <c r="K106">
        <v>6.35</v>
      </c>
      <c r="L106">
        <v>1.5</v>
      </c>
      <c r="M106" s="1">
        <f>IF(ISNUMBER(Main_L[[#This Row],[EPS]]),IF(Main_L[[#This Row],[EPS]]&lt;&gt;0,Main_L[[#This Row],[Current Price]]/Main_L[[#This Row],[EPS]],""),"")</f>
        <v>38.710084033613448</v>
      </c>
      <c r="N10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06" s="1">
        <f>(Main_L[[#This Row],[P/FCF]]-VLOOKUP(Main_L[[#This Row],[Industry]], Mean_PFCF_L, 2, FALSE))/(VLOOKUP(Main_L[[#This Row],[Industry]], Mean_PFCF_L, 3, FALSE))</f>
        <v>1.1694858939522876</v>
      </c>
      <c r="P106" s="1">
        <f>(Main_L[[#This Row],[P/B]]-VLOOKUP(Main_L[[#This Row],[Industry]], Mean_PB_L, 2, FALSE))/(VLOOKUP(Main_L[[#This Row],[Industry]], Mean_PB_L, 3, FALSE))</f>
        <v>-0.49830444419183201</v>
      </c>
      <c r="Q106" s="1">
        <f>(Main_L[[#This Row],[ROE]]-VLOOKUP(Main_L[[#This Row],[Industry]], Mean_ROE_L, 2, FALSE))/(VLOOKUP(Main_L[[#This Row],[Industry]], Mean_ROE_L, 3, FALSE))</f>
        <v>-0.63266148827368296</v>
      </c>
      <c r="R106" s="1">
        <f>(Main_L[[#This Row],[ROA]]-VLOOKUP(Main_L[[#This Row],[Industry]], Mean_ROA_L, 2, FALSE))/(VLOOKUP(Main_L[[#This Row],[Industry]], Mean_ROA_L, 3, FALSE))</f>
        <v>-0.46358164943144803</v>
      </c>
      <c r="S106" s="1">
        <f>(Main_L[[#This Row],[A/E]]-VLOOKUP(Main_L[[#This Row],[Industry]], Mean_AE_L, 2, FALSE))/(VLOOKUP(Main_L[[#This Row],[Industry]], Mean_AE_L, 3, FALSE))</f>
        <v>-1.6878155355888809</v>
      </c>
      <c r="T106" s="1">
        <f>(Main_L[[#This Row],[P/E]]-VLOOKUP(Main_L[[#This Row],[Industry]], Mean_PE_L, 2, FALSE))/(VLOOKUP(Main_L[[#This Row],[Industry]], Mean_PE_L, 3, FALSE))</f>
        <v>0.29057167307508591</v>
      </c>
      <c r="U10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0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0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0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0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0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07" spans="1:26" x14ac:dyDescent="0.25">
      <c r="A107" t="s">
        <v>204</v>
      </c>
      <c r="B107" t="s">
        <v>218</v>
      </c>
      <c r="C107" s="2">
        <v>16630</v>
      </c>
      <c r="D107">
        <f>RTD("tos.rtd", , "LAST", Main_L[[#This Row],[Symbol]])</f>
        <v>91.47</v>
      </c>
      <c r="E107">
        <v>2.62</v>
      </c>
      <c r="F107">
        <v>22.48</v>
      </c>
      <c r="G107">
        <v>1.87</v>
      </c>
      <c r="H107" s="1">
        <f>IF(ISNUMBER(Main_L[[#This Row],[Free CF]]),IF(Main_L[[#This Row],[Free CF]]&lt;&gt;0,Main_L[[#This Row],[Current Price]]/Main_L[[#This Row],[Free CF]],""),"")</f>
        <v>34.912213740458014</v>
      </c>
      <c r="I107" s="1">
        <f>IF(ISNUMBER(Main_L[[#This Row],[BVPS]]),IF(Main_L[[#This Row],[BVPS]]&lt;&gt;0,Main_L[[#This Row],[Current Price]]/Main_L[[#This Row],[BVPS]],""),"")</f>
        <v>4.0689501779359425</v>
      </c>
      <c r="J107">
        <v>8.89</v>
      </c>
      <c r="K107">
        <v>4.9400000000000004</v>
      </c>
      <c r="L107">
        <v>2.5</v>
      </c>
      <c r="M107" s="1">
        <f>IF(ISNUMBER(Main_L[[#This Row],[EPS]]),IF(Main_L[[#This Row],[EPS]]&lt;&gt;0,Main_L[[#This Row],[Current Price]]/Main_L[[#This Row],[EPS]],""),"")</f>
        <v>48.914438502673796</v>
      </c>
      <c r="N10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07" s="1">
        <f>(Main_L[[#This Row],[P/FCF]]-VLOOKUP(Main_L[[#This Row],[Industry]], Mean_PFCF_L, 2, FALSE))/(VLOOKUP(Main_L[[#This Row],[Industry]], Mean_PFCF_L, 3, FALSE))</f>
        <v>0.23702690517064784</v>
      </c>
      <c r="P107" s="1">
        <f>(Main_L[[#This Row],[P/B]]-VLOOKUP(Main_L[[#This Row],[Industry]], Mean_PB_L, 2, FALSE))/(VLOOKUP(Main_L[[#This Row],[Industry]], Mean_PB_L, 3, FALSE))</f>
        <v>-0.93517738922105087</v>
      </c>
      <c r="Q107" s="1">
        <f>(Main_L[[#This Row],[ROE]]-VLOOKUP(Main_L[[#This Row],[Industry]], Mean_ROE_L, 2, FALSE))/(VLOOKUP(Main_L[[#This Row],[Industry]], Mean_ROE_L, 3, FALSE))</f>
        <v>-1.0666393954829685</v>
      </c>
      <c r="R107" s="1">
        <f>(Main_L[[#This Row],[ROA]]-VLOOKUP(Main_L[[#This Row],[Industry]], Mean_ROA_L, 2, FALSE))/(VLOOKUP(Main_L[[#This Row],[Industry]], Mean_ROA_L, 3, FALSE))</f>
        <v>-0.84018957205202671</v>
      </c>
      <c r="S107" s="1">
        <f>(Main_L[[#This Row],[A/E]]-VLOOKUP(Main_L[[#This Row],[Industry]], Mean_AE_L, 2, FALSE))/(VLOOKUP(Main_L[[#This Row],[Industry]], Mean_AE_L, 3, FALSE))</f>
        <v>-0.69247360221717325</v>
      </c>
      <c r="T107" s="1">
        <f>(Main_L[[#This Row],[P/E]]-VLOOKUP(Main_L[[#This Row],[Industry]], Mean_PE_L, 2, FALSE))/(VLOOKUP(Main_L[[#This Row],[Industry]], Mean_PE_L, 3, FALSE))</f>
        <v>1.2002706415898545</v>
      </c>
      <c r="U10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0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0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0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0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0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08" spans="1:26" x14ac:dyDescent="0.25">
      <c r="A108" t="s">
        <v>204</v>
      </c>
      <c r="B108" t="s">
        <v>219</v>
      </c>
      <c r="C108" s="2">
        <v>14013</v>
      </c>
      <c r="D108">
        <f>RTD("tos.rtd", , "LAST", Main_L[[#This Row],[Symbol]])</f>
        <v>71.14</v>
      </c>
      <c r="E108">
        <v>1.44</v>
      </c>
      <c r="F108">
        <v>4.5199999999999996</v>
      </c>
      <c r="G108">
        <v>1.62</v>
      </c>
      <c r="H108" s="1">
        <f>IF(ISNUMBER(Main_L[[#This Row],[Free CF]]),IF(Main_L[[#This Row],[Free CF]]&lt;&gt;0,Main_L[[#This Row],[Current Price]]/Main_L[[#This Row],[Free CF]],""),"")</f>
        <v>49.402777777777779</v>
      </c>
      <c r="I108" s="1">
        <f>IF(ISNUMBER(Main_L[[#This Row],[BVPS]]),IF(Main_L[[#This Row],[BVPS]]&lt;&gt;0,Main_L[[#This Row],[Current Price]]/Main_L[[#This Row],[BVPS]],""),"")</f>
        <v>15.738938053097346</v>
      </c>
      <c r="J108">
        <v>42.88</v>
      </c>
      <c r="K108">
        <v>10.27</v>
      </c>
      <c r="L108">
        <v>3.1</v>
      </c>
      <c r="M108" s="1">
        <f>IF(ISNUMBER(Main_L[[#This Row],[EPS]]),IF(Main_L[[#This Row],[EPS]]&lt;&gt;0,Main_L[[#This Row],[Current Price]]/Main_L[[#This Row],[EPS]],""),"")</f>
        <v>43.913580246913575</v>
      </c>
      <c r="N10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08" s="1">
        <f>(Main_L[[#This Row],[P/FCF]]-VLOOKUP(Main_L[[#This Row],[Industry]], Mean_PFCF_L, 2, FALSE))/(VLOOKUP(Main_L[[#This Row],[Industry]], Mean_PFCF_L, 3, FALSE))</f>
        <v>1.5991225450091222</v>
      </c>
      <c r="P108" s="1">
        <f>(Main_L[[#This Row],[P/B]]-VLOOKUP(Main_L[[#This Row],[Industry]], Mean_PB_L, 2, FALSE))/(VLOOKUP(Main_L[[#This Row],[Industry]], Mean_PB_L, 3, FALSE))</f>
        <v>0.96681897894071256</v>
      </c>
      <c r="Q108" s="1">
        <f>(Main_L[[#This Row],[ROE]]-VLOOKUP(Main_L[[#This Row],[Industry]], Mean_ROE_L, 2, FALSE))/(VLOOKUP(Main_L[[#This Row],[Industry]], Mean_ROE_L, 3, FALSE))</f>
        <v>0.47473041288104595</v>
      </c>
      <c r="R108" s="1">
        <f>(Main_L[[#This Row],[ROA]]-VLOOKUP(Main_L[[#This Row],[Industry]], Mean_ROA_L, 2, FALSE))/(VLOOKUP(Main_L[[#This Row],[Industry]], Mean_ROA_L, 3, FALSE))</f>
        <v>0.58344179501725346</v>
      </c>
      <c r="S108" s="1">
        <f>(Main_L[[#This Row],[A/E]]-VLOOKUP(Main_L[[#This Row],[Industry]], Mean_AE_L, 2, FALSE))/(VLOOKUP(Main_L[[#This Row],[Industry]], Mean_AE_L, 3, FALSE))</f>
        <v>-9.5268442194148636E-2</v>
      </c>
      <c r="T108" s="1">
        <f>(Main_L[[#This Row],[P/E]]-VLOOKUP(Main_L[[#This Row],[Industry]], Mean_PE_L, 2, FALSE))/(VLOOKUP(Main_L[[#This Row],[Industry]], Mean_PE_L, 3, FALSE))</f>
        <v>0.75445355333139941</v>
      </c>
      <c r="U10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0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0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0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0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0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09" spans="1:26" x14ac:dyDescent="0.25">
      <c r="A109" t="s">
        <v>204</v>
      </c>
      <c r="B109" t="s">
        <v>220</v>
      </c>
      <c r="C109" s="2">
        <v>43369</v>
      </c>
      <c r="D109">
        <f>RTD("tos.rtd", , "LAST", Main_L[[#This Row],[Symbol]])</f>
        <v>301.57</v>
      </c>
      <c r="E109">
        <v>6.47</v>
      </c>
      <c r="F109">
        <v>0.71</v>
      </c>
      <c r="G109">
        <v>6.66</v>
      </c>
      <c r="H109" s="1">
        <f>IF(ISNUMBER(Main_L[[#This Row],[Free CF]]),IF(Main_L[[#This Row],[Free CF]]&lt;&gt;0,Main_L[[#This Row],[Current Price]]/Main_L[[#This Row],[Free CF]],""),"")</f>
        <v>46.61051004636785</v>
      </c>
      <c r="I109" s="1">
        <f>IF(ISNUMBER(Main_L[[#This Row],[BVPS]]),IF(Main_L[[#This Row],[BVPS]]&lt;&gt;0,Main_L[[#This Row],[Current Price]]/Main_L[[#This Row],[BVPS]],""),"")</f>
        <v>424.74647887323943</v>
      </c>
      <c r="J109">
        <v>445.08</v>
      </c>
      <c r="K109">
        <v>18.28</v>
      </c>
      <c r="L109">
        <v>42.6</v>
      </c>
      <c r="M109" s="1">
        <f>IF(ISNUMBER(Main_L[[#This Row],[EPS]]),IF(Main_L[[#This Row],[EPS]]&lt;&gt;0,Main_L[[#This Row],[Current Price]]/Main_L[[#This Row],[EPS]],""),"")</f>
        <v>45.280780780780781</v>
      </c>
      <c r="N10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09" s="1">
        <f>(Main_L[[#This Row],[P/FCF]]-VLOOKUP(Main_L[[#This Row],[Industry]], Mean_PFCF_L, 2, FALSE))/(VLOOKUP(Main_L[[#This Row],[Industry]], Mean_PFCF_L, 3, FALSE))</f>
        <v>1.3366527272422071</v>
      </c>
      <c r="P109" s="1">
        <f>(Main_L[[#This Row],[P/B]]-VLOOKUP(Main_L[[#This Row],[Industry]], Mean_PB_L, 2, FALSE))/(VLOOKUP(Main_L[[#This Row],[Industry]], Mean_PB_L, 3, FALSE))</f>
        <v>67.62763007082242</v>
      </c>
      <c r="Q109" s="1">
        <f>(Main_L[[#This Row],[ROE]]-VLOOKUP(Main_L[[#This Row],[Industry]], Mean_ROE_L, 2, FALSE))/(VLOOKUP(Main_L[[#This Row],[Industry]], Mean_ROE_L, 3, FALSE))</f>
        <v>18.713592929033048</v>
      </c>
      <c r="R109" s="1">
        <f>(Main_L[[#This Row],[ROA]]-VLOOKUP(Main_L[[#This Row],[Industry]], Mean_ROA_L, 2, FALSE))/(VLOOKUP(Main_L[[#This Row],[Industry]], Mean_ROA_L, 3, FALSE))</f>
        <v>2.7228953128830953</v>
      </c>
      <c r="S109" s="1">
        <f>(Main_L[[#This Row],[A/E]]-VLOOKUP(Main_L[[#This Row],[Industry]], Mean_AE_L, 2, FALSE))/(VLOOKUP(Main_L[[#This Row],[Industry]], Mean_AE_L, 3, FALSE))</f>
        <v>39.220737925988296</v>
      </c>
      <c r="T109" s="1">
        <f>(Main_L[[#This Row],[P/E]]-VLOOKUP(Main_L[[#This Row],[Industry]], Mean_PE_L, 2, FALSE))/(VLOOKUP(Main_L[[#This Row],[Industry]], Mean_PE_L, 3, FALSE))</f>
        <v>0.87633690412863663</v>
      </c>
      <c r="U10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0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10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10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0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10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10" spans="1:26" x14ac:dyDescent="0.25">
      <c r="A110" t="s">
        <v>204</v>
      </c>
      <c r="B110" t="s">
        <v>221</v>
      </c>
      <c r="C110" s="2">
        <v>27744</v>
      </c>
      <c r="D110">
        <f>RTD("tos.rtd", , "LAST", Main_L[[#This Row],[Symbol]])</f>
        <v>237.31</v>
      </c>
      <c r="E110">
        <v>9.1999999999999993</v>
      </c>
      <c r="F110">
        <v>20.329999999999998</v>
      </c>
      <c r="G110">
        <v>6.66</v>
      </c>
      <c r="H110" s="1">
        <f>IF(ISNUMBER(Main_L[[#This Row],[Free CF]]),IF(Main_L[[#This Row],[Free CF]]&lt;&gt;0,Main_L[[#This Row],[Current Price]]/Main_L[[#This Row],[Free CF]],""),"")</f>
        <v>25.794565217391305</v>
      </c>
      <c r="I110" s="1">
        <f>IF(ISNUMBER(Main_L[[#This Row],[BVPS]]),IF(Main_L[[#This Row],[BVPS]]&lt;&gt;0,Main_L[[#This Row],[Current Price]]/Main_L[[#This Row],[BVPS]],""),"")</f>
        <v>11.672897196261683</v>
      </c>
      <c r="J110">
        <v>33.92</v>
      </c>
      <c r="K110">
        <v>9.02</v>
      </c>
      <c r="L110">
        <v>3.48</v>
      </c>
      <c r="M110" s="1">
        <f>IF(ISNUMBER(Main_L[[#This Row],[EPS]]),IF(Main_L[[#This Row],[EPS]]&lt;&gt;0,Main_L[[#This Row],[Current Price]]/Main_L[[#This Row],[EPS]],""),"")</f>
        <v>35.632132132132135</v>
      </c>
      <c r="N11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10" s="1">
        <f>(Main_L[[#This Row],[P/FCF]]-VLOOKUP(Main_L[[#This Row],[Industry]], Mean_PFCF_L, 2, FALSE))/(VLOOKUP(Main_L[[#This Row],[Industry]], Mean_PFCF_L, 3, FALSE))</f>
        <v>-0.62002112048687941</v>
      </c>
      <c r="P110" s="1">
        <f>(Main_L[[#This Row],[P/B]]-VLOOKUP(Main_L[[#This Row],[Industry]], Mean_PB_L, 2, FALSE))/(VLOOKUP(Main_L[[#This Row],[Industry]], Mean_PB_L, 3, FALSE))</f>
        <v>0.30412806398620024</v>
      </c>
      <c r="Q110" s="1">
        <f>(Main_L[[#This Row],[ROE]]-VLOOKUP(Main_L[[#This Row],[Industry]], Mean_ROE_L, 2, FALSE))/(VLOOKUP(Main_L[[#This Row],[Industry]], Mean_ROE_L, 3, FALSE))</f>
        <v>6.8414629328778523E-2</v>
      </c>
      <c r="R110" s="1">
        <f>(Main_L[[#This Row],[ROA]]-VLOOKUP(Main_L[[#This Row],[Industry]], Mean_ROA_L, 2, FALSE))/(VLOOKUP(Main_L[[#This Row],[Industry]], Mean_ROA_L, 3, FALSE))</f>
        <v>0.24956952319049913</v>
      </c>
      <c r="S110" s="1">
        <f>(Main_L[[#This Row],[A/E]]-VLOOKUP(Main_L[[#This Row],[Industry]], Mean_AE_L, 2, FALSE))/(VLOOKUP(Main_L[[#This Row],[Industry]], Mean_AE_L, 3, FALSE))</f>
        <v>0.28296149248710012</v>
      </c>
      <c r="T110" s="1">
        <f>(Main_L[[#This Row],[P/E]]-VLOOKUP(Main_L[[#This Row],[Industry]], Mean_PE_L, 2, FALSE))/(VLOOKUP(Main_L[[#This Row],[Industry]], Mean_PE_L, 3, FALSE))</f>
        <v>1.617806215091977E-2</v>
      </c>
      <c r="U11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1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1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1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1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1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11" spans="1:26" x14ac:dyDescent="0.25">
      <c r="A111" t="s">
        <v>204</v>
      </c>
      <c r="B111" t="s">
        <v>222</v>
      </c>
      <c r="C111" s="2">
        <v>18924</v>
      </c>
      <c r="D111">
        <f>RTD("tos.rtd", , "LAST", Main_L[[#This Row],[Symbol]])</f>
        <v>79.66</v>
      </c>
      <c r="E111">
        <v>4.96</v>
      </c>
      <c r="F111">
        <v>27.53</v>
      </c>
      <c r="G111">
        <v>3.22</v>
      </c>
      <c r="H111" s="1">
        <f>IF(ISNUMBER(Main_L[[#This Row],[Free CF]]),IF(Main_L[[#This Row],[Free CF]]&lt;&gt;0,Main_L[[#This Row],[Current Price]]/Main_L[[#This Row],[Free CF]],""),"")</f>
        <v>16.06048387096774</v>
      </c>
      <c r="I111" s="1">
        <f>IF(ISNUMBER(Main_L[[#This Row],[BVPS]]),IF(Main_L[[#This Row],[BVPS]]&lt;&gt;0,Main_L[[#This Row],[Current Price]]/Main_L[[#This Row],[BVPS]],""),"")</f>
        <v>2.893570650199782</v>
      </c>
      <c r="J111">
        <v>12.24</v>
      </c>
      <c r="K111">
        <v>4.53</v>
      </c>
      <c r="L111">
        <v>3.01</v>
      </c>
      <c r="M111" s="1">
        <f>IF(ISNUMBER(Main_L[[#This Row],[EPS]]),IF(Main_L[[#This Row],[EPS]]&lt;&gt;0,Main_L[[#This Row],[Current Price]]/Main_L[[#This Row],[EPS]],""),"")</f>
        <v>24.739130434782606</v>
      </c>
      <c r="N11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11" s="1">
        <f>(Main_L[[#This Row],[P/FCF]]-VLOOKUP(Main_L[[#This Row],[Industry]], Mean_PFCF_L, 2, FALSE))/(VLOOKUP(Main_L[[#This Row],[Industry]], Mean_PFCF_L, 3, FALSE))</f>
        <v>-1.5350130922037346</v>
      </c>
      <c r="P111" s="1">
        <f>(Main_L[[#This Row],[P/B]]-VLOOKUP(Main_L[[#This Row],[Industry]], Mean_PB_L, 2, FALSE))/(VLOOKUP(Main_L[[#This Row],[Industry]], Mean_PB_L, 3, FALSE))</f>
        <v>-1.1267429346938174</v>
      </c>
      <c r="Q111" s="1">
        <f>(Main_L[[#This Row],[ROE]]-VLOOKUP(Main_L[[#This Row],[Industry]], Mean_ROE_L, 2, FALSE))/(VLOOKUP(Main_L[[#This Row],[Industry]], Mean_ROE_L, 3, FALSE))</f>
        <v>-0.91472445408786851</v>
      </c>
      <c r="R111" s="1">
        <f>(Main_L[[#This Row],[ROA]]-VLOOKUP(Main_L[[#This Row],[Industry]], Mean_ROA_L, 2, FALSE))/(VLOOKUP(Main_L[[#This Row],[Industry]], Mean_ROA_L, 3, FALSE))</f>
        <v>-0.94969967721120219</v>
      </c>
      <c r="S111" s="1">
        <f>(Main_L[[#This Row],[A/E]]-VLOOKUP(Main_L[[#This Row],[Industry]], Mean_AE_L, 2, FALSE))/(VLOOKUP(Main_L[[#This Row],[Industry]], Mean_AE_L, 3, FALSE))</f>
        <v>-0.18484921619760261</v>
      </c>
      <c r="T111" s="1">
        <f>(Main_L[[#This Row],[P/E]]-VLOOKUP(Main_L[[#This Row],[Industry]], Mean_PE_L, 2, FALSE))/(VLOOKUP(Main_L[[#This Row],[Industry]], Mean_PE_L, 3, FALSE))</f>
        <v>-0.95491250885518297</v>
      </c>
      <c r="U11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1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1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1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1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1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12" spans="1:26" x14ac:dyDescent="0.25">
      <c r="A112" t="s">
        <v>181</v>
      </c>
      <c r="B112" t="s">
        <v>182</v>
      </c>
      <c r="C112" s="2">
        <v>19567</v>
      </c>
      <c r="D112">
        <f>RTD("tos.rtd", , "LAST", Main_L[[#This Row],[Symbol]])</f>
        <v>112.09</v>
      </c>
      <c r="E112">
        <v>-11.25</v>
      </c>
      <c r="F112">
        <v>97.37</v>
      </c>
      <c r="G112">
        <v>11.21</v>
      </c>
      <c r="H112" s="1">
        <f>IF(ISNUMBER(Main_L[[#This Row],[Free CF]]),IF(Main_L[[#This Row],[Free CF]]&lt;&gt;0,Main_L[[#This Row],[Current Price]]/Main_L[[#This Row],[Free CF]],""),"")</f>
        <v>-9.9635555555555566</v>
      </c>
      <c r="I112" s="1">
        <f>IF(ISNUMBER(Main_L[[#This Row],[BVPS]]),IF(Main_L[[#This Row],[BVPS]]&lt;&gt;0,Main_L[[#This Row],[Current Price]]/Main_L[[#This Row],[BVPS]],""),"")</f>
        <v>1.1511759268768615</v>
      </c>
      <c r="J112">
        <v>12.52</v>
      </c>
      <c r="K112">
        <v>3.68</v>
      </c>
      <c r="L112">
        <v>4.22</v>
      </c>
      <c r="M112" s="1">
        <f>IF(ISNUMBER(Main_L[[#This Row],[EPS]]),IF(Main_L[[#This Row],[EPS]]&lt;&gt;0,Main_L[[#This Row],[Current Price]]/Main_L[[#This Row],[EPS]],""),"")</f>
        <v>9.9991079393398739</v>
      </c>
      <c r="N11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12" s="1">
        <f>(Main_L[[#This Row],[P/FCF]]-VLOOKUP(Main_L[[#This Row],[Industry]], Mean_PFCF_L, 2, FALSE))/(VLOOKUP(Main_L[[#This Row],[Industry]], Mean_PFCF_L, 3, FALSE))</f>
        <v>-1.0896506005262185</v>
      </c>
      <c r="P112" s="1">
        <f>(Main_L[[#This Row],[P/B]]-VLOOKUP(Main_L[[#This Row],[Industry]], Mean_PB_L, 2, FALSE))/(VLOOKUP(Main_L[[#This Row],[Industry]], Mean_PB_L, 3, FALSE))</f>
        <v>-1.4747994473939099</v>
      </c>
      <c r="Q112" s="1">
        <f>(Main_L[[#This Row],[ROE]]-VLOOKUP(Main_L[[#This Row],[Industry]], Mean_ROE_L, 2, FALSE))/(VLOOKUP(Main_L[[#This Row],[Industry]], Mean_ROE_L, 3, FALSE))</f>
        <v>-1.2731078537373977</v>
      </c>
      <c r="R112" s="1">
        <f>(Main_L[[#This Row],[ROA]]-VLOOKUP(Main_L[[#This Row],[Industry]], Mean_ROA_L, 2, FALSE))/(VLOOKUP(Main_L[[#This Row],[Industry]], Mean_ROA_L, 3, FALSE))</f>
        <v>-1.4923873163935963</v>
      </c>
      <c r="S112" s="1">
        <f>(Main_L[[#This Row],[A/E]]-VLOOKUP(Main_L[[#This Row],[Industry]], Mean_AE_L, 2, FALSE))/(VLOOKUP(Main_L[[#This Row],[Industry]], Mean_AE_L, 3, FALSE))</f>
        <v>1.6191878179692289</v>
      </c>
      <c r="T112" s="1">
        <f>(Main_L[[#This Row],[P/E]]-VLOOKUP(Main_L[[#This Row],[Industry]], Mean_PE_L, 2, FALSE))/(VLOOKUP(Main_L[[#This Row],[Industry]], Mean_PE_L, 3, FALSE))</f>
        <v>-1.5246053017537877</v>
      </c>
      <c r="U11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1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1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1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1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1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13" spans="1:26" x14ac:dyDescent="0.25">
      <c r="A113" t="s">
        <v>181</v>
      </c>
      <c r="B113" t="s">
        <v>185</v>
      </c>
      <c r="C113" s="2">
        <v>45029</v>
      </c>
      <c r="D113">
        <f>RTD("tos.rtd", , "LAST", Main_L[[#This Row],[Symbol]])</f>
        <v>79.97</v>
      </c>
      <c r="E113">
        <v>1.52</v>
      </c>
      <c r="F113">
        <v>6.43</v>
      </c>
      <c r="G113">
        <v>2</v>
      </c>
      <c r="H113" s="1">
        <f>IF(ISNUMBER(Main_L[[#This Row],[Free CF]]),IF(Main_L[[#This Row],[Free CF]]&lt;&gt;0,Main_L[[#This Row],[Current Price]]/Main_L[[#This Row],[Free CF]],""),"")</f>
        <v>52.611842105263158</v>
      </c>
      <c r="I113" s="1">
        <f>IF(ISNUMBER(Main_L[[#This Row],[BVPS]]),IF(Main_L[[#This Row],[BVPS]]&lt;&gt;0,Main_L[[#This Row],[Current Price]]/Main_L[[#This Row],[BVPS]],""),"")</f>
        <v>12.437013996889581</v>
      </c>
      <c r="J113">
        <v>32.35</v>
      </c>
      <c r="K113">
        <v>20.12</v>
      </c>
      <c r="L113">
        <v>1.32</v>
      </c>
      <c r="M113" s="1">
        <f>IF(ISNUMBER(Main_L[[#This Row],[EPS]]),IF(Main_L[[#This Row],[EPS]]&lt;&gt;0,Main_L[[#This Row],[Current Price]]/Main_L[[#This Row],[EPS]],""),"")</f>
        <v>39.984999999999999</v>
      </c>
      <c r="N11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13" s="1">
        <f>(Main_L[[#This Row],[P/FCF]]-VLOOKUP(Main_L[[#This Row],[Industry]], Mean_PFCF_L, 2, FALSE))/(VLOOKUP(Main_L[[#This Row],[Industry]], Mean_PFCF_L, 3, FALSE))</f>
        <v>1.249443179241519</v>
      </c>
      <c r="P113" s="1">
        <f>(Main_L[[#This Row],[P/B]]-VLOOKUP(Main_L[[#This Row],[Industry]], Mean_PB_L, 2, FALSE))/(VLOOKUP(Main_L[[#This Row],[Industry]], Mean_PB_L, 3, FALSE))</f>
        <v>1.0214985074461302</v>
      </c>
      <c r="Q113" s="1">
        <f>(Main_L[[#This Row],[ROE]]-VLOOKUP(Main_L[[#This Row],[Industry]], Mean_ROE_L, 2, FALSE))/(VLOOKUP(Main_L[[#This Row],[Industry]], Mean_ROE_L, 3, FALSE))</f>
        <v>-0.18109709443882407</v>
      </c>
      <c r="R113" s="1">
        <f>(Main_L[[#This Row],[ROA]]-VLOOKUP(Main_L[[#This Row],[Industry]], Mean_ROA_L, 2, FALSE))/(VLOOKUP(Main_L[[#This Row],[Industry]], Mean_ROA_L, 3, FALSE))</f>
        <v>1.503320556806736</v>
      </c>
      <c r="S113" s="1">
        <f>(Main_L[[#This Row],[A/E]]-VLOOKUP(Main_L[[#This Row],[Industry]], Mean_AE_L, 2, FALSE))/(VLOOKUP(Main_L[[#This Row],[Industry]], Mean_AE_L, 3, FALSE))</f>
        <v>-1.3716686610822131</v>
      </c>
      <c r="T113" s="1">
        <f>(Main_L[[#This Row],[P/E]]-VLOOKUP(Main_L[[#This Row],[Industry]], Mean_PE_L, 2, FALSE))/(VLOOKUP(Main_L[[#This Row],[Industry]], Mean_PE_L, 3, FALSE))</f>
        <v>1.3696039647907765</v>
      </c>
      <c r="U11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1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1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1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1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1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14" spans="1:26" x14ac:dyDescent="0.25">
      <c r="A114" t="s">
        <v>181</v>
      </c>
      <c r="B114" t="s">
        <v>186</v>
      </c>
      <c r="C114" s="2">
        <v>33751</v>
      </c>
      <c r="D114">
        <f>RTD("tos.rtd", , "LAST", Main_L[[#This Row],[Symbol]])</f>
        <v>177.01</v>
      </c>
      <c r="E114">
        <v>6.74</v>
      </c>
      <c r="F114">
        <v>27.58</v>
      </c>
      <c r="G114">
        <v>8.1300000000000008</v>
      </c>
      <c r="H114" s="1">
        <f>IF(ISNUMBER(Main_L[[#This Row],[Free CF]]),IF(Main_L[[#This Row],[Free CF]]&lt;&gt;0,Main_L[[#This Row],[Current Price]]/Main_L[[#This Row],[Free CF]],""),"")</f>
        <v>26.262611275964389</v>
      </c>
      <c r="I114" s="1">
        <f>IF(ISNUMBER(Main_L[[#This Row],[BVPS]]),IF(Main_L[[#This Row],[BVPS]]&lt;&gt;0,Main_L[[#This Row],[Current Price]]/Main_L[[#This Row],[BVPS]],""),"")</f>
        <v>6.4180565627266137</v>
      </c>
      <c r="J114">
        <v>30.07</v>
      </c>
      <c r="K114">
        <v>9.7100000000000009</v>
      </c>
      <c r="L114">
        <v>3.01</v>
      </c>
      <c r="M114" s="1">
        <f>IF(ISNUMBER(Main_L[[#This Row],[EPS]]),IF(Main_L[[#This Row],[EPS]]&lt;&gt;0,Main_L[[#This Row],[Current Price]]/Main_L[[#This Row],[EPS]],""),"")</f>
        <v>21.772447724477242</v>
      </c>
      <c r="N11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14" s="1">
        <f>(Main_L[[#This Row],[P/FCF]]-VLOOKUP(Main_L[[#This Row],[Industry]], Mean_PFCF_L, 2, FALSE))/(VLOOKUP(Main_L[[#This Row],[Industry]], Mean_PFCF_L, 3, FALSE))</f>
        <v>0.26449822901440334</v>
      </c>
      <c r="P114" s="1">
        <f>(Main_L[[#This Row],[P/B]]-VLOOKUP(Main_L[[#This Row],[Industry]], Mean_PB_L, 2, FALSE))/(VLOOKUP(Main_L[[#This Row],[Industry]], Mean_PB_L, 3, FALSE))</f>
        <v>-0.30982585145044728</v>
      </c>
      <c r="Q114" s="1">
        <f>(Main_L[[#This Row],[ROE]]-VLOOKUP(Main_L[[#This Row],[Industry]], Mean_ROE_L, 2, FALSE))/(VLOOKUP(Main_L[[#This Row],[Industry]], Mean_ROE_L, 3, FALSE))</f>
        <v>-0.30665355087859958</v>
      </c>
      <c r="R114" s="1">
        <f>(Main_L[[#This Row],[ROA]]-VLOOKUP(Main_L[[#This Row],[Industry]], Mean_ROA_L, 2, FALSE))/(VLOOKUP(Main_L[[#This Row],[Industry]], Mean_ROA_L, 3, FALSE))</f>
        <v>-0.39359665487303636</v>
      </c>
      <c r="S114" s="1">
        <f>(Main_L[[#This Row],[A/E]]-VLOOKUP(Main_L[[#This Row],[Industry]], Mean_AE_L, 2, FALSE))/(VLOOKUP(Main_L[[#This Row],[Industry]], Mean_AE_L, 3, FALSE))</f>
        <v>0.37127873533052375</v>
      </c>
      <c r="T114" s="1">
        <f>(Main_L[[#This Row],[P/E]]-VLOOKUP(Main_L[[#This Row],[Industry]], Mean_PE_L, 2, FALSE))/(VLOOKUP(Main_L[[#This Row],[Industry]], Mean_PE_L, 3, FALSE))</f>
        <v>-0.38825394574306299</v>
      </c>
      <c r="U11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1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1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1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1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1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15" spans="1:26" x14ac:dyDescent="0.25">
      <c r="A115" t="s">
        <v>181</v>
      </c>
      <c r="B115" t="s">
        <v>555</v>
      </c>
      <c r="C115" s="2">
        <v>11282</v>
      </c>
      <c r="D115">
        <f>RTD("tos.rtd", , "LAST", Main_L[[#This Row],[Symbol]])</f>
        <v>117.81</v>
      </c>
      <c r="E115">
        <v>-3.99</v>
      </c>
      <c r="F115">
        <v>0.28000000000000003</v>
      </c>
      <c r="G115">
        <v>0.25</v>
      </c>
      <c r="H115" s="1">
        <f>IF(ISNUMBER(Main_L[[#This Row],[Free CF]]),IF(Main_L[[#This Row],[Free CF]]&lt;&gt;0,Main_L[[#This Row],[Current Price]]/Main_L[[#This Row],[Free CF]],""),"")</f>
        <v>-29.526315789473685</v>
      </c>
      <c r="I115" s="1">
        <f>IF(ISNUMBER(Main_L[[#This Row],[BVPS]]),IF(Main_L[[#This Row],[BVPS]]&lt;&gt;0,Main_L[[#This Row],[Current Price]]/Main_L[[#This Row],[BVPS]],""),"")</f>
        <v>420.74999999999994</v>
      </c>
      <c r="J115">
        <v>69.39</v>
      </c>
      <c r="K115">
        <v>10.25</v>
      </c>
      <c r="L115">
        <v>151</v>
      </c>
      <c r="M115" s="1">
        <f>IF(ISNUMBER(Main_L[[#This Row],[EPS]]),IF(Main_L[[#This Row],[EPS]]&lt;&gt;0,Main_L[[#This Row],[Current Price]]/Main_L[[#This Row],[EPS]],""),"")</f>
        <v>471.24</v>
      </c>
      <c r="N11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15" s="1">
        <f>(Main_L[[#This Row],[P/FCF]]-VLOOKUP(Main_L[[#This Row],[Industry]], Mean_PFCF_L, 2, FALSE))/(VLOOKUP(Main_L[[#This Row],[Industry]], Mean_PFCF_L, 3, FALSE))</f>
        <v>-1.8209145235503532</v>
      </c>
      <c r="P115" s="1">
        <f>(Main_L[[#This Row],[P/B]]-VLOOKUP(Main_L[[#This Row],[Industry]], Mean_PB_L, 2, FALSE))/(VLOOKUP(Main_L[[#This Row],[Industry]], Mean_PB_L, 3, FALSE))</f>
        <v>91.335648468756503</v>
      </c>
      <c r="Q115" s="1">
        <f>(Main_L[[#This Row],[ROE]]-VLOOKUP(Main_L[[#This Row],[Industry]], Mean_ROE_L, 2, FALSE))/(VLOOKUP(Main_L[[#This Row],[Industry]], Mean_ROE_L, 3, FALSE))</f>
        <v>1.8586446364950719</v>
      </c>
      <c r="R115" s="1">
        <f>(Main_L[[#This Row],[ROA]]-VLOOKUP(Main_L[[#This Row],[Industry]], Mean_ROA_L, 2, FALSE))/(VLOOKUP(Main_L[[#This Row],[Industry]], Mean_ROA_L, 3, FALSE))</f>
        <v>-0.29519749115477745</v>
      </c>
      <c r="S115" s="1">
        <f>(Main_L[[#This Row],[A/E]]-VLOOKUP(Main_L[[#This Row],[Industry]], Mean_AE_L, 2, FALSE))/(VLOOKUP(Main_L[[#This Row],[Industry]], Mean_AE_L, 3, FALSE))</f>
        <v>152.99777885078672</v>
      </c>
      <c r="T115" s="1">
        <f>(Main_L[[#This Row],[P/E]]-VLOOKUP(Main_L[[#This Row],[Industry]], Mean_PE_L, 2, FALSE))/(VLOOKUP(Main_L[[#This Row],[Industry]], Mean_PE_L, 3, FALSE))</f>
        <v>42.993918983291472</v>
      </c>
      <c r="U11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1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11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1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1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11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116" spans="1:26" x14ac:dyDescent="0.25">
      <c r="A116" t="s">
        <v>181</v>
      </c>
      <c r="B116" t="s">
        <v>187</v>
      </c>
      <c r="C116" s="2">
        <v>50140</v>
      </c>
      <c r="D116">
        <f>RTD("tos.rtd", , "LAST", Main_L[[#This Row],[Symbol]])</f>
        <v>1066.3699999999999</v>
      </c>
      <c r="E116">
        <v>31.84</v>
      </c>
      <c r="F116">
        <v>72.39</v>
      </c>
      <c r="G116">
        <v>38.950000000000003</v>
      </c>
      <c r="H116" s="1">
        <f>IF(ISNUMBER(Main_L[[#This Row],[Free CF]]),IF(Main_L[[#This Row],[Free CF]]&lt;&gt;0,Main_L[[#This Row],[Current Price]]/Main_L[[#This Row],[Free CF]],""),"")</f>
        <v>33.491520100502512</v>
      </c>
      <c r="I116" s="1">
        <f>IF(ISNUMBER(Main_L[[#This Row],[BVPS]]),IF(Main_L[[#This Row],[BVPS]]&lt;&gt;0,Main_L[[#This Row],[Current Price]]/Main_L[[#This Row],[BVPS]],""),"")</f>
        <v>14.730902058295342</v>
      </c>
      <c r="J116">
        <v>54.16</v>
      </c>
      <c r="K116">
        <v>19.600000000000001</v>
      </c>
      <c r="L116">
        <v>2.4900000000000002</v>
      </c>
      <c r="M116" s="1">
        <f>IF(ISNUMBER(Main_L[[#This Row],[EPS]]),IF(Main_L[[#This Row],[EPS]]&lt;&gt;0,Main_L[[#This Row],[Current Price]]/Main_L[[#This Row],[EPS]],""),"")</f>
        <v>27.377920410783052</v>
      </c>
      <c r="N11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16" s="1">
        <f>(Main_L[[#This Row],[P/FCF]]-VLOOKUP(Main_L[[#This Row],[Industry]], Mean_PFCF_L, 2, FALSE))/(VLOOKUP(Main_L[[#This Row],[Industry]], Mean_PFCF_L, 3, FALSE))</f>
        <v>0.5347177769210526</v>
      </c>
      <c r="P116" s="1">
        <f>(Main_L[[#This Row],[P/B]]-VLOOKUP(Main_L[[#This Row],[Industry]], Mean_PB_L, 2, FALSE))/(VLOOKUP(Main_L[[#This Row],[Industry]], Mean_PB_L, 3, FALSE))</f>
        <v>1.5288802402688071</v>
      </c>
      <c r="Q116" s="1">
        <f>(Main_L[[#This Row],[ROE]]-VLOOKUP(Main_L[[#This Row],[Industry]], Mean_ROE_L, 2, FALSE))/(VLOOKUP(Main_L[[#This Row],[Industry]], Mean_ROE_L, 3, FALSE))</f>
        <v>1.0199495349258698</v>
      </c>
      <c r="R116" s="1">
        <f>(Main_L[[#This Row],[ROA]]-VLOOKUP(Main_L[[#This Row],[Industry]], Mean_ROA_L, 2, FALSE))/(VLOOKUP(Main_L[[#This Row],[Industry]], Mean_ROA_L, 3, FALSE))</f>
        <v>1.4085658065595237</v>
      </c>
      <c r="S116" s="1">
        <f>(Main_L[[#This Row],[A/E]]-VLOOKUP(Main_L[[#This Row],[Industry]], Mean_AE_L, 2, FALSE))/(VLOOKUP(Main_L[[#This Row],[Industry]], Mean_AE_L, 3, FALSE))</f>
        <v>-0.16501277125801031</v>
      </c>
      <c r="T116" s="1">
        <f>(Main_L[[#This Row],[P/E]]-VLOOKUP(Main_L[[#This Row],[Industry]], Mean_PE_L, 2, FALSE))/(VLOOKUP(Main_L[[#This Row],[Industry]], Mean_PE_L, 3, FALSE))</f>
        <v>0.15278085019528984</v>
      </c>
      <c r="U11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1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1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1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1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1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17" spans="1:26" x14ac:dyDescent="0.25">
      <c r="A117" t="s">
        <v>181</v>
      </c>
      <c r="B117" t="s">
        <v>188</v>
      </c>
      <c r="C117" s="2">
        <v>42363</v>
      </c>
      <c r="D117">
        <f>RTD("tos.rtd", , "LAST", Main_L[[#This Row],[Symbol]])</f>
        <v>721.95</v>
      </c>
      <c r="E117">
        <v>32.700000000000003</v>
      </c>
      <c r="F117">
        <v>135.22</v>
      </c>
      <c r="G117">
        <v>38.61</v>
      </c>
      <c r="H117" s="1">
        <f>IF(ISNUMBER(Main_L[[#This Row],[Free CF]]),IF(Main_L[[#This Row],[Free CF]]&lt;&gt;0,Main_L[[#This Row],[Current Price]]/Main_L[[#This Row],[Free CF]],""),"")</f>
        <v>22.077981651376145</v>
      </c>
      <c r="I117" s="1">
        <f>IF(ISNUMBER(Main_L[[#This Row],[BVPS]]),IF(Main_L[[#This Row],[BVPS]]&lt;&gt;0,Main_L[[#This Row],[Current Price]]/Main_L[[#This Row],[BVPS]],""),"")</f>
        <v>5.3390770596065673</v>
      </c>
      <c r="J117">
        <v>30.17</v>
      </c>
      <c r="K117">
        <v>9.32</v>
      </c>
      <c r="L117">
        <v>3.19</v>
      </c>
      <c r="M117" s="1">
        <f>IF(ISNUMBER(Main_L[[#This Row],[EPS]]),IF(Main_L[[#This Row],[EPS]]&lt;&gt;0,Main_L[[#This Row],[Current Price]]/Main_L[[#This Row],[EPS]],""),"")</f>
        <v>18.698523698523701</v>
      </c>
      <c r="N11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17" s="1">
        <f>(Main_L[[#This Row],[P/FCF]]-VLOOKUP(Main_L[[#This Row],[Industry]], Mean_PFCF_L, 2, FALSE))/(VLOOKUP(Main_L[[#This Row],[Industry]], Mean_PFCF_L, 3, FALSE))</f>
        <v>0.10807507404602472</v>
      </c>
      <c r="P117" s="1">
        <f>(Main_L[[#This Row],[P/B]]-VLOOKUP(Main_L[[#This Row],[Industry]], Mean_PB_L, 2, FALSE))/(VLOOKUP(Main_L[[#This Row],[Industry]], Mean_PB_L, 3, FALSE))</f>
        <v>-0.54848374377920539</v>
      </c>
      <c r="Q117" s="1">
        <f>(Main_L[[#This Row],[ROE]]-VLOOKUP(Main_L[[#This Row],[Industry]], Mean_ROE_L, 2, FALSE))/(VLOOKUP(Main_L[[#This Row],[Industry]], Mean_ROE_L, 3, FALSE))</f>
        <v>-0.30114668875404799</v>
      </c>
      <c r="R117" s="1">
        <f>(Main_L[[#This Row],[ROA]]-VLOOKUP(Main_L[[#This Row],[Industry]], Mean_ROA_L, 2, FALSE))/(VLOOKUP(Main_L[[#This Row],[Industry]], Mean_ROA_L, 3, FALSE))</f>
        <v>-0.46466271755844579</v>
      </c>
      <c r="S117" s="1">
        <f>(Main_L[[#This Row],[A/E]]-VLOOKUP(Main_L[[#This Row],[Industry]], Mean_AE_L, 2, FALSE))/(VLOOKUP(Main_L[[#This Row],[Industry]], Mean_AE_L, 3, FALSE))</f>
        <v>0.55691810299578581</v>
      </c>
      <c r="T117" s="1">
        <f>(Main_L[[#This Row],[P/E]]-VLOOKUP(Main_L[[#This Row],[Industry]], Mean_PE_L, 2, FALSE))/(VLOOKUP(Main_L[[#This Row],[Industry]], Mean_PE_L, 3, FALSE))</f>
        <v>-0.68494611626683222</v>
      </c>
      <c r="U11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1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1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1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1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1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18" spans="1:26" x14ac:dyDescent="0.25">
      <c r="A118" t="s">
        <v>181</v>
      </c>
      <c r="B118" t="s">
        <v>190</v>
      </c>
      <c r="C118" s="2">
        <v>19014</v>
      </c>
      <c r="D118">
        <f>RTD("tos.rtd", , "LAST", Main_L[[#This Row],[Symbol]])</f>
        <v>481.29</v>
      </c>
      <c r="E118">
        <v>12.23</v>
      </c>
      <c r="F118">
        <v>70.400000000000006</v>
      </c>
      <c r="G118">
        <v>13.03</v>
      </c>
      <c r="H118" s="1">
        <f>IF(ISNUMBER(Main_L[[#This Row],[Free CF]]),IF(Main_L[[#This Row],[Free CF]]&lt;&gt;0,Main_L[[#This Row],[Current Price]]/Main_L[[#This Row],[Free CF]],""),"")</f>
        <v>39.353229762878172</v>
      </c>
      <c r="I118" s="1">
        <f>IF(ISNUMBER(Main_L[[#This Row],[BVPS]]),IF(Main_L[[#This Row],[BVPS]]&lt;&gt;0,Main_L[[#This Row],[Current Price]]/Main_L[[#This Row],[BVPS]],""),"")</f>
        <v>6.8365056818181813</v>
      </c>
      <c r="J118">
        <v>20.81</v>
      </c>
      <c r="K118">
        <v>10.41</v>
      </c>
      <c r="L118">
        <v>1.67</v>
      </c>
      <c r="M118" s="1">
        <f>IF(ISNUMBER(Main_L[[#This Row],[EPS]]),IF(Main_L[[#This Row],[EPS]]&lt;&gt;0,Main_L[[#This Row],[Current Price]]/Main_L[[#This Row],[EPS]],""),"")</f>
        <v>36.937068303914046</v>
      </c>
      <c r="N11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18" s="1">
        <f>(Main_L[[#This Row],[P/FCF]]-VLOOKUP(Main_L[[#This Row],[Industry]], Mean_PFCF_L, 2, FALSE))/(VLOOKUP(Main_L[[#This Row],[Industry]], Mean_PFCF_L, 3, FALSE))</f>
        <v>0.7538308648535722</v>
      </c>
      <c r="P118" s="1">
        <f>(Main_L[[#This Row],[P/B]]-VLOOKUP(Main_L[[#This Row],[Industry]], Mean_PB_L, 2, FALSE))/(VLOOKUP(Main_L[[#This Row],[Industry]], Mean_PB_L, 3, FALSE))</f>
        <v>-0.21726970509137414</v>
      </c>
      <c r="Q118" s="1">
        <f>(Main_L[[#This Row],[ROE]]-VLOOKUP(Main_L[[#This Row],[Industry]], Mean_ROE_L, 2, FALSE))/(VLOOKUP(Main_L[[#This Row],[Industry]], Mean_ROE_L, 3, FALSE))</f>
        <v>-0.81658898361207366</v>
      </c>
      <c r="R118" s="1">
        <f>(Main_L[[#This Row],[ROA]]-VLOOKUP(Main_L[[#This Row],[Industry]], Mean_ROA_L, 2, FALSE))/(VLOOKUP(Main_L[[#This Row],[Industry]], Mean_ROA_L, 3, FALSE))</f>
        <v>-0.26604218338640434</v>
      </c>
      <c r="S118" s="1">
        <f>(Main_L[[#This Row],[A/E]]-VLOOKUP(Main_L[[#This Row],[Industry]], Mean_AE_L, 2, FALSE))/(VLOOKUP(Main_L[[#This Row],[Industry]], Mean_AE_L, 3, FALSE))</f>
        <v>-1.0107032239553149</v>
      </c>
      <c r="T118" s="1">
        <f>(Main_L[[#This Row],[P/E]]-VLOOKUP(Main_L[[#This Row],[Industry]], Mean_PE_L, 2, FALSE))/(VLOOKUP(Main_L[[#This Row],[Industry]], Mean_PE_L, 3, FALSE))</f>
        <v>1.0754205487776176</v>
      </c>
      <c r="U11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1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1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1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1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1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19" spans="1:26" x14ac:dyDescent="0.25">
      <c r="A119" t="s">
        <v>250</v>
      </c>
      <c r="B119" t="s">
        <v>408</v>
      </c>
      <c r="C119" s="2">
        <v>11240</v>
      </c>
      <c r="D119">
        <f>RTD("tos.rtd", , "LAST", Main_L[[#This Row],[Symbol]])</f>
        <v>214.95</v>
      </c>
      <c r="E119">
        <v>0.82</v>
      </c>
      <c r="F119">
        <v>2.42</v>
      </c>
      <c r="G119">
        <v>0.86</v>
      </c>
      <c r="H119" s="1">
        <f>IF(ISNUMBER(Main_L[[#This Row],[Free CF]]),IF(Main_L[[#This Row],[Free CF]]&lt;&gt;0,Main_L[[#This Row],[Current Price]]/Main_L[[#This Row],[Free CF]],""),"")</f>
        <v>262.13414634146341</v>
      </c>
      <c r="I119" s="1">
        <f>IF(ISNUMBER(Main_L[[#This Row],[BVPS]]),IF(Main_L[[#This Row],[BVPS]]&lt;&gt;0,Main_L[[#This Row],[Current Price]]/Main_L[[#This Row],[BVPS]],""),"")</f>
        <v>88.82231404958678</v>
      </c>
      <c r="J119">
        <v>36.65</v>
      </c>
      <c r="K119">
        <v>12.76</v>
      </c>
      <c r="L119">
        <v>3.36</v>
      </c>
      <c r="M119" s="1">
        <f>IF(ISNUMBER(Main_L[[#This Row],[EPS]]),IF(Main_L[[#This Row],[EPS]]&lt;&gt;0,Main_L[[#This Row],[Current Price]]/Main_L[[#This Row],[EPS]],""),"")</f>
        <v>249.94186046511626</v>
      </c>
      <c r="N11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19" s="1" t="e">
        <f>(Main_L[[#This Row],[P/FCF]]-VLOOKUP(Main_L[[#This Row],[Industry]], Mean_PFCF_L, 2, FALSE))/(VLOOKUP(Main_L[[#This Row],[Industry]], Mean_PFCF_L, 3, FALSE))</f>
        <v>#DIV/0!</v>
      </c>
      <c r="P119" s="1" t="e">
        <f>(Main_L[[#This Row],[P/B]]-VLOOKUP(Main_L[[#This Row],[Industry]], Mean_PB_L, 2, FALSE))/(VLOOKUP(Main_L[[#This Row],[Industry]], Mean_PB_L, 3, FALSE))</f>
        <v>#DIV/0!</v>
      </c>
      <c r="Q119" s="1" t="e">
        <f>(Main_L[[#This Row],[ROE]]-VLOOKUP(Main_L[[#This Row],[Industry]], Mean_ROE_L, 2, FALSE))/(VLOOKUP(Main_L[[#This Row],[Industry]], Mean_ROE_L, 3, FALSE))</f>
        <v>#DIV/0!</v>
      </c>
      <c r="R119" s="1" t="e">
        <f>(Main_L[[#This Row],[ROA]]-VLOOKUP(Main_L[[#This Row],[Industry]], Mean_ROA_L, 2, FALSE))/(VLOOKUP(Main_L[[#This Row],[Industry]], Mean_ROA_L, 3, FALSE))</f>
        <v>#DIV/0!</v>
      </c>
      <c r="S119" s="1" t="e">
        <f>(Main_L[[#This Row],[A/E]]-VLOOKUP(Main_L[[#This Row],[Industry]], Mean_AE_L, 2, FALSE))/(VLOOKUP(Main_L[[#This Row],[Industry]], Mean_AE_L, 3, FALSE))</f>
        <v>#DIV/0!</v>
      </c>
      <c r="T119" s="1" t="e">
        <f>(Main_L[[#This Row],[P/E]]-VLOOKUP(Main_L[[#This Row],[Industry]], Mean_PE_L, 2, FALSE))/(VLOOKUP(Main_L[[#This Row],[Industry]], Mean_PE_L, 3, FALSE))</f>
        <v>#DIV/0!</v>
      </c>
      <c r="U11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1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1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1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1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1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BEE163-3A46-4293-9585-D09BA5F26B8C}">
  <sheetPr codeName="Sheet3"/>
  <dimension ref="A1:Z161"/>
  <sheetViews>
    <sheetView topLeftCell="H1" workbookViewId="0">
      <selection activeCell="B24" sqref="B24"/>
    </sheetView>
  </sheetViews>
  <sheetFormatPr defaultRowHeight="15" x14ac:dyDescent="0.25"/>
  <cols>
    <col min="1" max="1" width="31.42578125" bestFit="1" customWidth="1"/>
    <col min="2" max="2" width="10" bestFit="1" customWidth="1"/>
    <col min="3" max="3" width="17" style="2" bestFit="1" customWidth="1"/>
    <col min="4" max="4" width="32.42578125" bestFit="1" customWidth="1"/>
    <col min="5" max="5" width="10.140625" bestFit="1" customWidth="1"/>
    <col min="6" max="6" width="7.85546875" bestFit="1" customWidth="1"/>
    <col min="7" max="7" width="6.7109375" bestFit="1" customWidth="1"/>
    <col min="8" max="8" width="75.85546875" bestFit="1" customWidth="1"/>
    <col min="9" max="9" width="66.42578125" bestFit="1" customWidth="1"/>
    <col min="10" max="10" width="7.7109375" bestFit="1" customWidth="1"/>
    <col min="11" max="11" width="7.140625" bestFit="1" customWidth="1"/>
    <col min="12" max="12" width="6.7109375" bestFit="1" customWidth="1"/>
    <col min="13" max="13" width="62.42578125" bestFit="1" customWidth="1"/>
    <col min="14" max="14" width="21.140625" bestFit="1" customWidth="1"/>
    <col min="15" max="15" width="16" bestFit="1" customWidth="1"/>
    <col min="16" max="16" width="13.5703125" bestFit="1" customWidth="1"/>
    <col min="17" max="18" width="14.42578125" bestFit="1" customWidth="1"/>
    <col min="19" max="20" width="13.5703125" bestFit="1" customWidth="1"/>
    <col min="21" max="21" width="15.42578125" bestFit="1" customWidth="1"/>
    <col min="22" max="22" width="13" bestFit="1" customWidth="1"/>
    <col min="23" max="24" width="13.85546875" bestFit="1" customWidth="1"/>
    <col min="25" max="28" width="13" bestFit="1" customWidth="1"/>
    <col min="30" max="30" width="13" bestFit="1" customWidth="1"/>
  </cols>
  <sheetData>
    <row r="1" spans="1:26" x14ac:dyDescent="0.25">
      <c r="A1" t="s">
        <v>1</v>
      </c>
      <c r="B1" t="s">
        <v>24</v>
      </c>
      <c r="C1" s="2" t="s">
        <v>54</v>
      </c>
      <c r="D1" t="s">
        <v>25</v>
      </c>
      <c r="E1" t="s">
        <v>26</v>
      </c>
      <c r="F1" t="s">
        <v>27</v>
      </c>
      <c r="G1" t="s">
        <v>28</v>
      </c>
      <c r="H1" s="1" t="s">
        <v>29</v>
      </c>
      <c r="I1" t="s">
        <v>71</v>
      </c>
      <c r="J1" t="s">
        <v>30</v>
      </c>
      <c r="K1" t="s">
        <v>31</v>
      </c>
      <c r="L1" t="s">
        <v>33</v>
      </c>
      <c r="M1" t="s">
        <v>32</v>
      </c>
      <c r="N1" t="s">
        <v>34</v>
      </c>
      <c r="O1" t="s">
        <v>90</v>
      </c>
      <c r="P1" t="s">
        <v>91</v>
      </c>
      <c r="Q1" t="s">
        <v>92</v>
      </c>
      <c r="R1" t="s">
        <v>93</v>
      </c>
      <c r="S1" t="s">
        <v>94</v>
      </c>
      <c r="T1" t="s">
        <v>95</v>
      </c>
      <c r="U1" t="s">
        <v>35</v>
      </c>
      <c r="V1" t="s">
        <v>76</v>
      </c>
      <c r="W1" t="s">
        <v>36</v>
      </c>
      <c r="X1" t="s">
        <v>37</v>
      </c>
      <c r="Y1" t="s">
        <v>39</v>
      </c>
      <c r="Z1" t="s">
        <v>38</v>
      </c>
    </row>
    <row r="2" spans="1:26" x14ac:dyDescent="0.25">
      <c r="A2" t="s">
        <v>105</v>
      </c>
      <c r="B2" t="s">
        <v>251</v>
      </c>
      <c r="C2" s="2">
        <v>4700</v>
      </c>
      <c r="D2">
        <f>RTD("tos.rtd", , "LAST", Main_M[[#This Row],[Symbol]])</f>
        <v>11.16</v>
      </c>
      <c r="E2">
        <v>-1.2</v>
      </c>
      <c r="F2">
        <v>1.49</v>
      </c>
      <c r="G2">
        <v>-1.42</v>
      </c>
      <c r="H2" s="1">
        <f>IF(ISNUMBER(Main_M[[#This Row],[Free CF]]),IF(Main_M[[#This Row],[Free CF]]&lt;&gt;0,Main_M[[#This Row],[Current Price]]/Main_M[[#This Row],[Free CF]],""),"")</f>
        <v>-9.3000000000000007</v>
      </c>
      <c r="I2" s="1">
        <f>IF(ISNUMBER(Main_M[[#This Row],[BVPS]]),IF(Main_M[[#This Row],[BVPS]]&lt;&gt;0,Main_M[[#This Row],[Current Price]]/Main_M[[#This Row],[BVPS]],""),"")</f>
        <v>7.4899328859060406</v>
      </c>
      <c r="J2">
        <v>-95.88</v>
      </c>
      <c r="K2">
        <v>-40.96</v>
      </c>
      <c r="L2">
        <v>1.33</v>
      </c>
      <c r="M2" s="1">
        <f>IF(ISNUMBER(Main_M[[#This Row],[EPS]]),IF(Main_M[[#This Row],[EPS]]&lt;&gt;0,Main_M[[#This Row],[Current Price]]/Main_M[[#This Row],[EPS]],""),"")</f>
        <v>-7.859154929577465</v>
      </c>
      <c r="N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" s="1">
        <f>(Main_M[[#This Row],[P/FCF]]-VLOOKUP(Main_M[[#This Row],[Industry]], Mean_PFCF_M, 2, FALSE))/(VLOOKUP(Main_M[[#This Row],[Industry]], Mean_PFCF_M, 3, FALSE))</f>
        <v>-6.158344582091637E-2</v>
      </c>
      <c r="P2" s="1">
        <f>(Main_M[[#This Row],[P/B]]-VLOOKUP(Main_M[[#This Row],[Industry]], Mean_PB_M, 2, FALSE))/(VLOOKUP(Main_M[[#This Row],[Industry]], Mean_PB_M, 3, FALSE))</f>
        <v>0.85281173020458279</v>
      </c>
      <c r="Q2" s="1">
        <f>(Main_M[[#This Row],[ROE]]-VLOOKUP(Main_M[[#This Row],[Industry]], Mean_ROE_M, 2, FALSE))/(VLOOKUP(Main_M[[#This Row],[Industry]], Mean_ROE_M, 3, FALSE))</f>
        <v>-10.328009553323982</v>
      </c>
      <c r="R2" s="1">
        <f>(Main_M[[#This Row],[ROA]]-VLOOKUP(Main_M[[#This Row],[Industry]], Mean_ROA_M, 2, FALSE))/(VLOOKUP(Main_M[[#This Row],[Industry]], Mean_ROA_M, 3, FALSE))</f>
        <v>-19.759556636276027</v>
      </c>
      <c r="S2" s="1">
        <f>(Main_M[[#This Row],[A/E]]-VLOOKUP(Main_M[[#This Row],[Industry]], Mean_AE_M, 2, FALSE))/(VLOOKUP(Main_M[[#This Row],[Industry]], Mean_AE_M, 3, FALSE))</f>
        <v>-1.1254244889653049</v>
      </c>
      <c r="T2" s="1">
        <f>(Main_M[[#This Row],[P/E]]-VLOOKUP(Main_M[[#This Row],[Industry]], Mean_PE_M, 2, FALSE))/(VLOOKUP(Main_M[[#This Row],[Industry]], Mean_PE_M, 3, FALSE))</f>
        <v>-0.38219219960263762</v>
      </c>
      <c r="U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Yes</v>
      </c>
      <c r="X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" spans="1:26" x14ac:dyDescent="0.25">
      <c r="A3" t="s">
        <v>105</v>
      </c>
      <c r="B3" t="s">
        <v>252</v>
      </c>
      <c r="C3" s="2">
        <v>2132</v>
      </c>
      <c r="D3">
        <f>RTD("tos.rtd", , "LAST", Main_M[[#This Row],[Symbol]])</f>
        <v>61.38</v>
      </c>
      <c r="E3">
        <v>-0.65</v>
      </c>
      <c r="F3">
        <v>33.340000000000003</v>
      </c>
      <c r="G3">
        <v>-0.36</v>
      </c>
      <c r="H3" s="1">
        <f>IF(ISNUMBER(Main_M[[#This Row],[Free CF]]),IF(Main_M[[#This Row],[Free CF]]&lt;&gt;0,Main_M[[#This Row],[Current Price]]/Main_M[[#This Row],[Free CF]],""),"")</f>
        <v>-94.430769230769229</v>
      </c>
      <c r="I3" s="1">
        <f>IF(ISNUMBER(Main_M[[#This Row],[BVPS]]),IF(Main_M[[#This Row],[BVPS]]&lt;&gt;0,Main_M[[#This Row],[Current Price]]/Main_M[[#This Row],[BVPS]],""),"")</f>
        <v>1.8410317936412717</v>
      </c>
      <c r="J3">
        <v>-1.06</v>
      </c>
      <c r="K3">
        <v>4.13</v>
      </c>
      <c r="L3">
        <v>2.42</v>
      </c>
      <c r="M3" s="1">
        <f>IF(ISNUMBER(Main_M[[#This Row],[EPS]]),IF(Main_M[[#This Row],[EPS]]&lt;&gt;0,Main_M[[#This Row],[Current Price]]/Main_M[[#This Row],[EPS]],""),"")</f>
        <v>-170.5</v>
      </c>
      <c r="N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" s="1">
        <f>(Main_M[[#This Row],[P/FCF]]-VLOOKUP(Main_M[[#This Row],[Industry]], Mean_PFCF_M, 2, FALSE))/(VLOOKUP(Main_M[[#This Row],[Industry]], Mean_PFCF_M, 3, FALSE))</f>
        <v>-0.99610096177551144</v>
      </c>
      <c r="P3" s="1">
        <f>(Main_M[[#This Row],[P/B]]-VLOOKUP(Main_M[[#This Row],[Industry]], Mean_PB_M, 2, FALSE))/(VLOOKUP(Main_M[[#This Row],[Industry]], Mean_PB_M, 3, FALSE))</f>
        <v>-0.82775401700195306</v>
      </c>
      <c r="Q3" s="1">
        <f>(Main_M[[#This Row],[ROE]]-VLOOKUP(Main_M[[#This Row],[Industry]], Mean_ROE_M, 2, FALSE))/(VLOOKUP(Main_M[[#This Row],[Industry]], Mean_ROE_M, 3, FALSE))</f>
        <v>-0.78516035687373953</v>
      </c>
      <c r="R3" s="1">
        <f>(Main_M[[#This Row],[ROA]]-VLOOKUP(Main_M[[#This Row],[Industry]], Mean_ROA_M, 2, FALSE))/(VLOOKUP(Main_M[[#This Row],[Industry]], Mean_ROA_M, 3, FALSE))</f>
        <v>0.14704881107362022</v>
      </c>
      <c r="S3" s="1">
        <f>(Main_M[[#This Row],[A/E]]-VLOOKUP(Main_M[[#This Row],[Industry]], Mean_AE_M, 2, FALSE))/(VLOOKUP(Main_M[[#This Row],[Industry]], Mean_AE_M, 3, FALSE))</f>
        <v>0.15240123288071883</v>
      </c>
      <c r="T3" s="1">
        <f>(Main_M[[#This Row],[P/E]]-VLOOKUP(Main_M[[#This Row],[Industry]], Mean_PE_M, 2, FALSE))/(VLOOKUP(Main_M[[#This Row],[Industry]], Mean_PE_M, 3, FALSE))</f>
        <v>-1.837453773031134</v>
      </c>
      <c r="U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" spans="1:26" x14ac:dyDescent="0.25">
      <c r="A4" t="s">
        <v>105</v>
      </c>
      <c r="B4" t="s">
        <v>557</v>
      </c>
      <c r="C4" s="2">
        <v>9841</v>
      </c>
      <c r="D4">
        <f>RTD("tos.rtd", , "LAST", Main_M[[#This Row],[Symbol]])</f>
        <v>73.930000000000007</v>
      </c>
      <c r="E4">
        <v>1.39</v>
      </c>
      <c r="F4">
        <v>13.28</v>
      </c>
      <c r="G4">
        <v>2.76</v>
      </c>
      <c r="H4" s="1">
        <f>IF(ISNUMBER(Main_M[[#This Row],[Free CF]]),IF(Main_M[[#This Row],[Free CF]]&lt;&gt;0,Main_M[[#This Row],[Current Price]]/Main_M[[#This Row],[Free CF]],""),"")</f>
        <v>53.187050359712238</v>
      </c>
      <c r="I4" s="1">
        <f>IF(ISNUMBER(Main_M[[#This Row],[BVPS]]),IF(Main_M[[#This Row],[BVPS]]&lt;&gt;0,Main_M[[#This Row],[Current Price]]/Main_M[[#This Row],[BVPS]],""),"")</f>
        <v>5.5670180722891578</v>
      </c>
      <c r="J4">
        <v>24.72</v>
      </c>
      <c r="K4">
        <v>7.28</v>
      </c>
      <c r="L4">
        <v>2.77</v>
      </c>
      <c r="M4" s="1">
        <f>IF(ISNUMBER(Main_M[[#This Row],[EPS]]),IF(Main_M[[#This Row],[EPS]]&lt;&gt;0,Main_M[[#This Row],[Current Price]]/Main_M[[#This Row],[EPS]],""),"")</f>
        <v>26.786231884057976</v>
      </c>
      <c r="N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" s="1">
        <f>(Main_M[[#This Row],[P/FCF]]-VLOOKUP(Main_M[[#This Row],[Industry]], Mean_PFCF_M, 2, FALSE))/(VLOOKUP(Main_M[[#This Row],[Industry]], Mean_PFCF_M, 3, FALSE))</f>
        <v>0.62436411002921788</v>
      </c>
      <c r="P4" s="1">
        <f>(Main_M[[#This Row],[P/B]]-VLOOKUP(Main_M[[#This Row],[Industry]], Mean_PB_M, 2, FALSE))/(VLOOKUP(Main_M[[#This Row],[Industry]], Mean_PB_M, 3, FALSE))</f>
        <v>0.28073855742666115</v>
      </c>
      <c r="Q4" s="1">
        <f>(Main_M[[#This Row],[ROE]]-VLOOKUP(Main_M[[#This Row],[Industry]], Mean_ROE_M, 2, FALSE))/(VLOOKUP(Main_M[[#This Row],[Industry]], Mean_ROE_M, 3, FALSE))</f>
        <v>1.8093835398198617</v>
      </c>
      <c r="R4" s="1">
        <f>(Main_M[[#This Row],[ROA]]-VLOOKUP(Main_M[[#This Row],[Industry]], Mean_ROA_M, 2, FALSE))/(VLOOKUP(Main_M[[#This Row],[Industry]], Mean_ROA_M, 3, FALSE))</f>
        <v>1.5377298303495437</v>
      </c>
      <c r="S4" s="1">
        <f>(Main_M[[#This Row],[A/E]]-VLOOKUP(Main_M[[#This Row],[Industry]], Mean_AE_M, 2, FALSE))/(VLOOKUP(Main_M[[#This Row],[Industry]], Mean_AE_M, 3, FALSE))</f>
        <v>0.56271224448265322</v>
      </c>
      <c r="T4" s="1">
        <f>(Main_M[[#This Row],[P/E]]-VLOOKUP(Main_M[[#This Row],[Industry]], Mean_PE_M, 2, FALSE))/(VLOOKUP(Main_M[[#This Row],[Industry]], Mean_PE_M, 3, FALSE))</f>
        <v>-7.2195654118511254E-2</v>
      </c>
      <c r="U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5" spans="1:26" x14ac:dyDescent="0.25">
      <c r="A5" t="s">
        <v>105</v>
      </c>
      <c r="B5" t="s">
        <v>253</v>
      </c>
      <c r="C5" s="2">
        <v>7304</v>
      </c>
      <c r="D5">
        <f>RTD("tos.rtd", , "LAST", Main_M[[#This Row],[Symbol]])</f>
        <v>166.6</v>
      </c>
      <c r="E5">
        <v>-1.29</v>
      </c>
      <c r="F5">
        <v>30.73</v>
      </c>
      <c r="G5">
        <v>1.17</v>
      </c>
      <c r="H5" s="1">
        <f>IF(ISNUMBER(Main_M[[#This Row],[Free CF]]),IF(Main_M[[#This Row],[Free CF]]&lt;&gt;0,Main_M[[#This Row],[Current Price]]/Main_M[[#This Row],[Free CF]],""),"")</f>
        <v>-129.14728682170542</v>
      </c>
      <c r="I5" s="1">
        <f>IF(ISNUMBER(Main_M[[#This Row],[BVPS]]),IF(Main_M[[#This Row],[BVPS]]&lt;&gt;0,Main_M[[#This Row],[Current Price]]/Main_M[[#This Row],[BVPS]],""),"")</f>
        <v>5.4214123006833708</v>
      </c>
      <c r="J5">
        <v>3.94</v>
      </c>
      <c r="K5">
        <v>2.15</v>
      </c>
      <c r="L5">
        <v>1.22</v>
      </c>
      <c r="M5" s="1">
        <f>IF(ISNUMBER(Main_M[[#This Row],[EPS]]),IF(Main_M[[#This Row],[EPS]]&lt;&gt;0,Main_M[[#This Row],[Current Price]]/Main_M[[#This Row],[EPS]],""),"")</f>
        <v>142.39316239316238</v>
      </c>
      <c r="N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" s="1">
        <f>(Main_M[[#This Row],[P/FCF]]-VLOOKUP(Main_M[[#This Row],[Industry]], Mean_PFCF_M, 2, FALSE))/(VLOOKUP(Main_M[[#This Row],[Industry]], Mean_PFCF_M, 3, FALSE))</f>
        <v>-1.3771992893817138</v>
      </c>
      <c r="P5" s="1">
        <f>(Main_M[[#This Row],[P/B]]-VLOOKUP(Main_M[[#This Row],[Industry]], Mean_PB_M, 2, FALSE))/(VLOOKUP(Main_M[[#This Row],[Industry]], Mean_PB_M, 3, FALSE))</f>
        <v>0.23742038485477104</v>
      </c>
      <c r="Q5" s="1">
        <f>(Main_M[[#This Row],[ROE]]-VLOOKUP(Main_M[[#This Row],[Industry]], Mean_ROE_M, 2, FALSE))/(VLOOKUP(Main_M[[#This Row],[Industry]], Mean_ROE_M, 3, FALSE))</f>
        <v>-0.28195168800376258</v>
      </c>
      <c r="R5" s="1">
        <f>(Main_M[[#This Row],[ROA]]-VLOOKUP(Main_M[[#This Row],[Industry]], Mean_ROA_M, 2, FALSE))/(VLOOKUP(Main_M[[#This Row],[Industry]], Mean_ROA_M, 3, FALSE))</f>
        <v>-0.72709354389981729</v>
      </c>
      <c r="S5" s="1">
        <f>(Main_M[[#This Row],[A/E]]-VLOOKUP(Main_M[[#This Row],[Industry]], Mean_AE_M, 2, FALSE))/(VLOOKUP(Main_M[[#This Row],[Industry]], Mean_AE_M, 3, FALSE))</f>
        <v>-1.254379378325913</v>
      </c>
      <c r="T5" s="1">
        <f>(Main_M[[#This Row],[P/E]]-VLOOKUP(Main_M[[#This Row],[Industry]], Mean_PE_M, 2, FALSE))/(VLOOKUP(Main_M[[#This Row],[Industry]], Mean_PE_M, 3, FALSE))</f>
        <v>0.96222053770016702</v>
      </c>
      <c r="U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6" spans="1:26" x14ac:dyDescent="0.25">
      <c r="A6" t="s">
        <v>105</v>
      </c>
      <c r="B6" t="s">
        <v>108</v>
      </c>
      <c r="C6" s="2">
        <v>9845</v>
      </c>
      <c r="D6">
        <f>RTD("tos.rtd", , "LAST", Main_M[[#This Row],[Symbol]])</f>
        <v>107.19</v>
      </c>
      <c r="E6">
        <v>2.94</v>
      </c>
      <c r="F6">
        <v>12.04</v>
      </c>
      <c r="G6">
        <v>3.14</v>
      </c>
      <c r="H6" s="1">
        <f>IF(ISNUMBER(Main_M[[#This Row],[Free CF]]),IF(Main_M[[#This Row],[Free CF]]&lt;&gt;0,Main_M[[#This Row],[Current Price]]/Main_M[[#This Row],[Free CF]],""),"")</f>
        <v>36.45918367346939</v>
      </c>
      <c r="I6" s="1">
        <f>IF(ISNUMBER(Main_M[[#This Row],[BVPS]]),IF(Main_M[[#This Row],[BVPS]]&lt;&gt;0,Main_M[[#This Row],[Current Price]]/Main_M[[#This Row],[BVPS]],""),"")</f>
        <v>8.9028239202657815</v>
      </c>
      <c r="J6">
        <v>28.28</v>
      </c>
      <c r="K6">
        <v>6.97</v>
      </c>
      <c r="L6">
        <v>2.78</v>
      </c>
      <c r="M6" s="1">
        <f>IF(ISNUMBER(Main_M[[#This Row],[EPS]]),IF(Main_M[[#This Row],[EPS]]&lt;&gt;0,Main_M[[#This Row],[Current Price]]/Main_M[[#This Row],[EPS]],""),"")</f>
        <v>34.136942675159233</v>
      </c>
      <c r="N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6" s="1">
        <f>(Main_M[[#This Row],[P/FCF]]-VLOOKUP(Main_M[[#This Row],[Industry]], Mean_PFCF_M, 2, FALSE))/(VLOOKUP(Main_M[[#This Row],[Industry]], Mean_PFCF_M, 3, FALSE))</f>
        <v>0.44073503485345683</v>
      </c>
      <c r="P6" s="1">
        <f>(Main_M[[#This Row],[P/B]]-VLOOKUP(Main_M[[#This Row],[Industry]], Mean_PB_M, 2, FALSE))/(VLOOKUP(Main_M[[#This Row],[Industry]], Mean_PB_M, 3, FALSE))</f>
        <v>1.2731512330738428</v>
      </c>
      <c r="Q6" s="1">
        <f>(Main_M[[#This Row],[ROE]]-VLOOKUP(Main_M[[#This Row],[Industry]], Mean_ROE_M, 2, FALSE))/(VLOOKUP(Main_M[[#This Row],[Industry]], Mean_ROE_M, 3, FALSE))</f>
        <v>2.1676681120552854</v>
      </c>
      <c r="R6" s="1">
        <f>(Main_M[[#This Row],[ROA]]-VLOOKUP(Main_M[[#This Row],[Industry]], Mean_ROA_M, 2, FALSE))/(VLOOKUP(Main_M[[#This Row],[Industry]], Mean_ROA_M, 3, FALSE))</f>
        <v>1.400869158611278</v>
      </c>
      <c r="S6" s="1">
        <f>(Main_M[[#This Row],[A/E]]-VLOOKUP(Main_M[[#This Row],[Industry]], Mean_AE_M, 2, FALSE))/(VLOOKUP(Main_M[[#This Row],[Industry]], Mean_AE_M, 3, FALSE))</f>
        <v>0.57443541624270822</v>
      </c>
      <c r="T6" s="1">
        <f>(Main_M[[#This Row],[P/E]]-VLOOKUP(Main_M[[#This Row],[Industry]], Mean_PE_M, 2, FALSE))/(VLOOKUP(Main_M[[#This Row],[Industry]], Mean_PE_M, 3, FALSE))</f>
        <v>-6.4236953768801817E-3</v>
      </c>
      <c r="U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7" spans="1:26" x14ac:dyDescent="0.25">
      <c r="A7" t="s">
        <v>105</v>
      </c>
      <c r="B7" t="s">
        <v>254</v>
      </c>
      <c r="C7" s="2">
        <v>8254</v>
      </c>
      <c r="D7">
        <f>RTD("tos.rtd", , "LAST", Main_M[[#This Row],[Symbol]])</f>
        <v>25.99</v>
      </c>
      <c r="E7">
        <v>0.74</v>
      </c>
      <c r="F7">
        <v>10.17</v>
      </c>
      <c r="G7">
        <v>-0.51</v>
      </c>
      <c r="H7" s="1">
        <f>IF(ISNUMBER(Main_M[[#This Row],[Free CF]]),IF(Main_M[[#This Row],[Free CF]]&lt;&gt;0,Main_M[[#This Row],[Current Price]]/Main_M[[#This Row],[Free CF]],""),"")</f>
        <v>35.121621621621621</v>
      </c>
      <c r="I7" s="1">
        <f>IF(ISNUMBER(Main_M[[#This Row],[BVPS]]),IF(Main_M[[#This Row],[BVPS]]&lt;&gt;0,Main_M[[#This Row],[Current Price]]/Main_M[[#This Row],[BVPS]],""),"")</f>
        <v>2.5555555555555554</v>
      </c>
      <c r="J7">
        <v>-4.8099999999999996</v>
      </c>
      <c r="K7">
        <v>3.38</v>
      </c>
      <c r="L7">
        <v>2.37</v>
      </c>
      <c r="M7" s="1">
        <f>IF(ISNUMBER(Main_M[[#This Row],[EPS]]),IF(Main_M[[#This Row],[EPS]]&lt;&gt;0,Main_M[[#This Row],[Current Price]]/Main_M[[#This Row],[EPS]],""),"")</f>
        <v>-50.960784313725483</v>
      </c>
      <c r="N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7" s="1">
        <f>(Main_M[[#This Row],[P/FCF]]-VLOOKUP(Main_M[[#This Row],[Industry]], Mean_PFCF_M, 2, FALSE))/(VLOOKUP(Main_M[[#This Row],[Industry]], Mean_PFCF_M, 3, FALSE))</f>
        <v>0.42605203389595903</v>
      </c>
      <c r="P7" s="1">
        <f>(Main_M[[#This Row],[P/B]]-VLOOKUP(Main_M[[#This Row],[Industry]], Mean_PB_M, 2, FALSE))/(VLOOKUP(Main_M[[#This Row],[Industry]], Mean_PB_M, 3, FALSE))</f>
        <v>-0.61518096248651744</v>
      </c>
      <c r="Q7" s="1">
        <f>(Main_M[[#This Row],[ROE]]-VLOOKUP(Main_M[[#This Row],[Industry]], Mean_ROE_M, 2, FALSE))/(VLOOKUP(Main_M[[#This Row],[Industry]], Mean_ROE_M, 3, FALSE))</f>
        <v>-1.1625668585262223</v>
      </c>
      <c r="R7" s="1">
        <f>(Main_M[[#This Row],[ROA]]-VLOOKUP(Main_M[[#This Row],[Industry]], Mean_ROA_M, 2, FALSE))/(VLOOKUP(Main_M[[#This Row],[Industry]], Mean_ROA_M, 3, FALSE))</f>
        <v>-0.18406571732540916</v>
      </c>
      <c r="S7" s="1">
        <f>(Main_M[[#This Row],[A/E]]-VLOOKUP(Main_M[[#This Row],[Industry]], Mean_AE_M, 2, FALSE))/(VLOOKUP(Main_M[[#This Row],[Industry]], Mean_AE_M, 3, FALSE))</f>
        <v>9.3785374080442727E-2</v>
      </c>
      <c r="T7" s="1">
        <f>(Main_M[[#This Row],[P/E]]-VLOOKUP(Main_M[[#This Row],[Industry]], Mean_PE_M, 2, FALSE))/(VLOOKUP(Main_M[[#This Row],[Industry]], Mean_PE_M, 3, FALSE))</f>
        <v>-0.76785267110195865</v>
      </c>
      <c r="U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8" spans="1:26" x14ac:dyDescent="0.25">
      <c r="A8" t="s">
        <v>105</v>
      </c>
      <c r="B8" t="s">
        <v>256</v>
      </c>
      <c r="C8" s="2">
        <v>8626</v>
      </c>
      <c r="D8">
        <f>RTD("tos.rtd", , "LAST", Main_M[[#This Row],[Symbol]])</f>
        <v>49.4</v>
      </c>
      <c r="E8">
        <v>0.66</v>
      </c>
      <c r="F8">
        <v>4.1900000000000004</v>
      </c>
      <c r="G8">
        <v>0.42</v>
      </c>
      <c r="H8" s="1">
        <f>IF(ISNUMBER(Main_M[[#This Row],[Free CF]]),IF(Main_M[[#This Row],[Free CF]]&lt;&gt;0,Main_M[[#This Row],[Current Price]]/Main_M[[#This Row],[Free CF]],""),"")</f>
        <v>74.848484848484844</v>
      </c>
      <c r="I8" s="1">
        <f>IF(ISNUMBER(Main_M[[#This Row],[BVPS]]),IF(Main_M[[#This Row],[BVPS]]&lt;&gt;0,Main_M[[#This Row],[Current Price]]/Main_M[[#This Row],[BVPS]],""),"")</f>
        <v>11.78997613365155</v>
      </c>
      <c r="J8">
        <v>10.86</v>
      </c>
      <c r="K8">
        <v>2.85</v>
      </c>
      <c r="L8">
        <v>3.84</v>
      </c>
      <c r="M8" s="1">
        <f>IF(ISNUMBER(Main_M[[#This Row],[EPS]]),IF(Main_M[[#This Row],[EPS]]&lt;&gt;0,Main_M[[#This Row],[Current Price]]/Main_M[[#This Row],[EPS]],""),"")</f>
        <v>117.61904761904762</v>
      </c>
      <c r="N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8" s="1">
        <f>(Main_M[[#This Row],[P/FCF]]-VLOOKUP(Main_M[[#This Row],[Industry]], Mean_PFCF_M, 2, FALSE))/(VLOOKUP(Main_M[[#This Row],[Industry]], Mean_PFCF_M, 3, FALSE))</f>
        <v>0.86215110682689788</v>
      </c>
      <c r="P8" s="1">
        <f>(Main_M[[#This Row],[P/B]]-VLOOKUP(Main_M[[#This Row],[Industry]], Mean_PB_M, 2, FALSE))/(VLOOKUP(Main_M[[#This Row],[Industry]], Mean_PB_M, 3, FALSE))</f>
        <v>2.1320880488435034</v>
      </c>
      <c r="Q8" s="1">
        <f>(Main_M[[#This Row],[ROE]]-VLOOKUP(Main_M[[#This Row],[Industry]], Mean_ROE_M, 2, FALSE))/(VLOOKUP(Main_M[[#This Row],[Industry]], Mean_ROE_M, 3, FALSE))</f>
        <v>0.41448910971228542</v>
      </c>
      <c r="R8" s="1">
        <f>(Main_M[[#This Row],[ROA]]-VLOOKUP(Main_M[[#This Row],[Industry]], Mean_ROA_M, 2, FALSE))/(VLOOKUP(Main_M[[#This Row],[Industry]], Mean_ROA_M, 3, FALSE))</f>
        <v>-0.41805331739405649</v>
      </c>
      <c r="S8" s="1">
        <f>(Main_M[[#This Row],[A/E]]-VLOOKUP(Main_M[[#This Row],[Industry]], Mean_AE_M, 2, FALSE))/(VLOOKUP(Main_M[[#This Row],[Industry]], Mean_AE_M, 3, FALSE))</f>
        <v>1.8170916228085663</v>
      </c>
      <c r="T8" s="1">
        <f>(Main_M[[#This Row],[P/E]]-VLOOKUP(Main_M[[#This Row],[Industry]], Mean_PE_M, 2, FALSE))/(VLOOKUP(Main_M[[#This Row],[Industry]], Mean_PE_M, 3, FALSE))</f>
        <v>0.74054917814183618</v>
      </c>
      <c r="U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9" spans="1:26" x14ac:dyDescent="0.25">
      <c r="A9" t="s">
        <v>105</v>
      </c>
      <c r="B9" t="s">
        <v>257</v>
      </c>
      <c r="C9" s="2">
        <v>9033</v>
      </c>
      <c r="D9">
        <f>RTD("tos.rtd", , "LAST", Main_M[[#This Row],[Symbol]])</f>
        <v>225.73</v>
      </c>
      <c r="E9">
        <v>-4.04</v>
      </c>
      <c r="F9">
        <v>121.64</v>
      </c>
      <c r="G9">
        <v>13.88</v>
      </c>
      <c r="H9" s="1">
        <f>IF(ISNUMBER(Main_M[[#This Row],[Free CF]]),IF(Main_M[[#This Row],[Free CF]]&lt;&gt;0,Main_M[[#This Row],[Current Price]]/Main_M[[#This Row],[Free CF]],""),"")</f>
        <v>-55.873762376237622</v>
      </c>
      <c r="I9" s="1">
        <f>IF(ISNUMBER(Main_M[[#This Row],[BVPS]]),IF(Main_M[[#This Row],[BVPS]]&lt;&gt;0,Main_M[[#This Row],[Current Price]]/Main_M[[#This Row],[BVPS]],""),"")</f>
        <v>1.8557218020388029</v>
      </c>
      <c r="J9">
        <v>12.27</v>
      </c>
      <c r="K9">
        <v>3.63</v>
      </c>
      <c r="L9">
        <v>2.54</v>
      </c>
      <c r="M9" s="1">
        <f>IF(ISNUMBER(Main_M[[#This Row],[EPS]]),IF(Main_M[[#This Row],[EPS]]&lt;&gt;0,Main_M[[#This Row],[Current Price]]/Main_M[[#This Row],[EPS]],""),"")</f>
        <v>16.262968299711815</v>
      </c>
      <c r="N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9" s="1">
        <f>(Main_M[[#This Row],[P/FCF]]-VLOOKUP(Main_M[[#This Row],[Industry]], Mean_PFCF_M, 2, FALSE))/(VLOOKUP(Main_M[[#This Row],[Industry]], Mean_PFCF_M, 3, FALSE))</f>
        <v>-0.5728439115465106</v>
      </c>
      <c r="P9" s="1">
        <f>(Main_M[[#This Row],[P/B]]-VLOOKUP(Main_M[[#This Row],[Industry]], Mean_PB_M, 2, FALSE))/(VLOOKUP(Main_M[[#This Row],[Industry]], Mean_PB_M, 3, FALSE))</f>
        <v>-0.8233836935468527</v>
      </c>
      <c r="Q9" s="1">
        <f>(Main_M[[#This Row],[ROE]]-VLOOKUP(Main_M[[#This Row],[Industry]], Mean_ROE_M, 2, FALSE))/(VLOOKUP(Main_M[[#This Row],[Industry]], Mean_ROE_M, 3, FALSE))</f>
        <v>0.55639395433361893</v>
      </c>
      <c r="R9" s="1">
        <f>(Main_M[[#This Row],[ROA]]-VLOOKUP(Main_M[[#This Row],[Industry]], Mean_ROA_M, 2, FALSE))/(VLOOKUP(Main_M[[#This Row],[Industry]], Mean_ROA_M, 3, FALSE))</f>
        <v>-7.3694207859066038E-2</v>
      </c>
      <c r="S9" s="1">
        <f>(Main_M[[#This Row],[A/E]]-VLOOKUP(Main_M[[#This Row],[Industry]], Mean_AE_M, 2, FALSE))/(VLOOKUP(Main_M[[#This Row],[Industry]], Mean_AE_M, 3, FALSE))</f>
        <v>0.29307929400138216</v>
      </c>
      <c r="T9" s="1">
        <f>(Main_M[[#This Row],[P/E]]-VLOOKUP(Main_M[[#This Row],[Industry]], Mean_PE_M, 2, FALSE))/(VLOOKUP(Main_M[[#This Row],[Industry]], Mean_PE_M, 3, FALSE))</f>
        <v>-0.16635466512664684</v>
      </c>
      <c r="U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0" spans="1:26" x14ac:dyDescent="0.25">
      <c r="A10" t="s">
        <v>105</v>
      </c>
      <c r="B10" t="s">
        <v>258</v>
      </c>
      <c r="C10" s="2">
        <v>4064</v>
      </c>
      <c r="D10">
        <f>RTD("tos.rtd", , "LAST", Main_M[[#This Row],[Symbol]])</f>
        <v>53.58</v>
      </c>
      <c r="E10">
        <v>2.25</v>
      </c>
      <c r="F10">
        <v>19.059999999999999</v>
      </c>
      <c r="G10">
        <v>1.51</v>
      </c>
      <c r="H10" s="1">
        <f>IF(ISNUMBER(Main_M[[#This Row],[Free CF]]),IF(Main_M[[#This Row],[Free CF]]&lt;&gt;0,Main_M[[#This Row],[Current Price]]/Main_M[[#This Row],[Free CF]],""),"")</f>
        <v>23.813333333333333</v>
      </c>
      <c r="I10" s="1">
        <f>IF(ISNUMBER(Main_M[[#This Row],[BVPS]]),IF(Main_M[[#This Row],[BVPS]]&lt;&gt;0,Main_M[[#This Row],[Current Price]]/Main_M[[#This Row],[BVPS]],""),"")</f>
        <v>2.8111227701993706</v>
      </c>
      <c r="J10">
        <v>7.87</v>
      </c>
      <c r="K10">
        <v>5.0999999999999996</v>
      </c>
      <c r="L10">
        <v>1.81</v>
      </c>
      <c r="M10" s="1">
        <f>IF(ISNUMBER(Main_M[[#This Row],[EPS]]),IF(Main_M[[#This Row],[EPS]]&lt;&gt;0,Main_M[[#This Row],[Current Price]]/Main_M[[#This Row],[EPS]],""),"")</f>
        <v>35.483443708609272</v>
      </c>
      <c r="N1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0" s="1">
        <f>(Main_M[[#This Row],[P/FCF]]-VLOOKUP(Main_M[[#This Row],[Industry]], Mean_PFCF_M, 2, FALSE))/(VLOOKUP(Main_M[[#This Row],[Industry]], Mean_PFCF_M, 3, FALSE))</f>
        <v>0.30191603023525154</v>
      </c>
      <c r="P10" s="1">
        <f>(Main_M[[#This Row],[P/B]]-VLOOKUP(Main_M[[#This Row],[Industry]], Mean_PB_M, 2, FALSE))/(VLOOKUP(Main_M[[#This Row],[Industry]], Mean_PB_M, 3, FALSE))</f>
        <v>-0.53914891660284958</v>
      </c>
      <c r="Q10" s="1">
        <f>(Main_M[[#This Row],[ROE]]-VLOOKUP(Main_M[[#This Row],[Industry]], Mean_ROE_M, 2, FALSE))/(VLOOKUP(Main_M[[#This Row],[Industry]], Mean_ROE_M, 3, FALSE))</f>
        <v>0.1135703257280393</v>
      </c>
      <c r="R10" s="1">
        <f>(Main_M[[#This Row],[ROA]]-VLOOKUP(Main_M[[#This Row],[Industry]], Mean_ROA_M, 2, FALSE))/(VLOOKUP(Main_M[[#This Row],[Industry]], Mean_ROA_M, 3, FALSE))</f>
        <v>0.57529026780303139</v>
      </c>
      <c r="S10" s="1">
        <f>(Main_M[[#This Row],[A/E]]-VLOOKUP(Main_M[[#This Row],[Industry]], Mean_AE_M, 2, FALSE))/(VLOOKUP(Main_M[[#This Row],[Industry]], Mean_AE_M, 3, FALSE))</f>
        <v>-0.56271224448265211</v>
      </c>
      <c r="T10" s="1">
        <f>(Main_M[[#This Row],[P/E]]-VLOOKUP(Main_M[[#This Row],[Industry]], Mean_PE_M, 2, FALSE))/(VLOOKUP(Main_M[[#This Row],[Industry]], Mean_PE_M, 3, FALSE))</f>
        <v>5.6243926154881767E-3</v>
      </c>
      <c r="U1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1" spans="1:26" x14ac:dyDescent="0.25">
      <c r="A11" t="s">
        <v>105</v>
      </c>
      <c r="B11" t="s">
        <v>558</v>
      </c>
      <c r="C11" s="2">
        <v>5036</v>
      </c>
      <c r="D11">
        <f>RTD("tos.rtd", , "LAST", Main_M[[#This Row],[Symbol]])</f>
        <v>40.159999999999997</v>
      </c>
      <c r="H11" s="1" t="str">
        <f>IF(ISNUMBER(Main_M[[#This Row],[Free CF]]),IF(Main_M[[#This Row],[Free CF]]&lt;&gt;0,Main_M[[#This Row],[Current Price]]/Main_M[[#This Row],[Free CF]],""),"")</f>
        <v/>
      </c>
      <c r="I11" s="1" t="str">
        <f>IF(ISNUMBER(Main_M[[#This Row],[BVPS]]),IF(Main_M[[#This Row],[BVPS]]&lt;&gt;0,Main_M[[#This Row],[Current Price]]/Main_M[[#This Row],[BVPS]],""),"")</f>
        <v/>
      </c>
      <c r="J11">
        <v>6.71</v>
      </c>
      <c r="K11">
        <v>5.35</v>
      </c>
      <c r="L11">
        <v>3.95</v>
      </c>
      <c r="M11" s="1" t="str">
        <f>IF(ISNUMBER(Main_M[[#This Row],[EPS]]),IF(Main_M[[#This Row],[EPS]]&lt;&gt;0,Main_M[[#This Row],[Current Price]]/Main_M[[#This Row],[EPS]],""),"")</f>
        <v/>
      </c>
      <c r="N1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1" s="1" t="e">
        <f>(Main_M[[#This Row],[P/FCF]]-VLOOKUP(Main_M[[#This Row],[Industry]], Mean_PFCF_M, 2, FALSE))/(VLOOKUP(Main_M[[#This Row],[Industry]], Mean_PFCF_M, 3, FALSE))</f>
        <v>#VALUE!</v>
      </c>
      <c r="P11" s="1" t="e">
        <f>(Main_M[[#This Row],[P/B]]-VLOOKUP(Main_M[[#This Row],[Industry]], Mean_PB_M, 2, FALSE))/(VLOOKUP(Main_M[[#This Row],[Industry]], Mean_PB_M, 3, FALSE))</f>
        <v>#VALUE!</v>
      </c>
      <c r="Q11" s="1">
        <f>(Main_M[[#This Row],[ROE]]-VLOOKUP(Main_M[[#This Row],[Industry]], Mean_ROE_M, 2, FALSE))/(VLOOKUP(Main_M[[#This Row],[Industry]], Mean_ROE_M, 3, FALSE))</f>
        <v>-3.1740854497953708E-3</v>
      </c>
      <c r="R11" s="1">
        <f>(Main_M[[#This Row],[ROA]]-VLOOKUP(Main_M[[#This Row],[Industry]], Mean_ROA_M, 2, FALSE))/(VLOOKUP(Main_M[[#This Row],[Industry]], Mean_ROA_M, 3, FALSE))</f>
        <v>0.68566177726937449</v>
      </c>
      <c r="S11" s="1">
        <f>(Main_M[[#This Row],[A/E]]-VLOOKUP(Main_M[[#This Row],[Industry]], Mean_AE_M, 2, FALSE))/(VLOOKUP(Main_M[[#This Row],[Industry]], Mean_AE_M, 3, FALSE))</f>
        <v>1.9460465121691746</v>
      </c>
      <c r="T11" s="1" t="e">
        <f>(Main_M[[#This Row],[P/E]]-VLOOKUP(Main_M[[#This Row],[Industry]], Mean_PE_M, 2, FALSE))/(VLOOKUP(Main_M[[#This Row],[Industry]], Mean_PE_M, 3, FALSE))</f>
        <v>#VALUE!</v>
      </c>
      <c r="U1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1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1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12" spans="1:26" x14ac:dyDescent="0.25">
      <c r="A12" t="s">
        <v>105</v>
      </c>
      <c r="B12" t="s">
        <v>259</v>
      </c>
      <c r="C12" s="2">
        <v>5527</v>
      </c>
      <c r="D12">
        <f>RTD("tos.rtd", , "LAST", Main_M[[#This Row],[Symbol]])</f>
        <v>33.78</v>
      </c>
      <c r="E12">
        <v>-0.06</v>
      </c>
      <c r="F12">
        <v>8.9600000000000009</v>
      </c>
      <c r="G12">
        <v>0.11</v>
      </c>
      <c r="H12" s="1">
        <f>IF(ISNUMBER(Main_M[[#This Row],[Free CF]]),IF(Main_M[[#This Row],[Free CF]]&lt;&gt;0,Main_M[[#This Row],[Current Price]]/Main_M[[#This Row],[Free CF]],""),"")</f>
        <v>-563</v>
      </c>
      <c r="I12" s="1">
        <f>IF(ISNUMBER(Main_M[[#This Row],[BVPS]]),IF(Main_M[[#This Row],[BVPS]]&lt;&gt;0,Main_M[[#This Row],[Current Price]]/Main_M[[#This Row],[BVPS]],""),"")</f>
        <v>3.7700892857142856</v>
      </c>
      <c r="J12">
        <v>1.39</v>
      </c>
      <c r="K12">
        <v>1.1499999999999999</v>
      </c>
      <c r="L12">
        <v>1.44</v>
      </c>
      <c r="M12" s="1">
        <f>IF(ISNUMBER(Main_M[[#This Row],[EPS]]),IF(Main_M[[#This Row],[EPS]]&lt;&gt;0,Main_M[[#This Row],[Current Price]]/Main_M[[#This Row],[EPS]],""),"")</f>
        <v>307.09090909090912</v>
      </c>
      <c r="N1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2" s="1">
        <f>(Main_M[[#This Row],[P/FCF]]-VLOOKUP(Main_M[[#This Row],[Industry]], Mean_PFCF_M, 2, FALSE))/(VLOOKUP(Main_M[[#This Row],[Industry]], Mean_PFCF_M, 3, FALSE))</f>
        <v>-6.1397894019000443</v>
      </c>
      <c r="P12" s="1">
        <f>(Main_M[[#This Row],[P/B]]-VLOOKUP(Main_M[[#This Row],[Industry]], Mean_PB_M, 2, FALSE))/(VLOOKUP(Main_M[[#This Row],[Industry]], Mean_PB_M, 3, FALSE))</f>
        <v>-0.25385337816632103</v>
      </c>
      <c r="Q12" s="1">
        <f>(Main_M[[#This Row],[ROE]]-VLOOKUP(Main_M[[#This Row],[Industry]], Mean_ROE_M, 2, FALSE))/(VLOOKUP(Main_M[[#This Row],[Industry]], Mean_ROE_M, 3, FALSE))</f>
        <v>-0.53858810912745081</v>
      </c>
      <c r="R12" s="1">
        <f>(Main_M[[#This Row],[ROA]]-VLOOKUP(Main_M[[#This Row],[Industry]], Mean_ROA_M, 2, FALSE))/(VLOOKUP(Main_M[[#This Row],[Industry]], Mean_ROA_M, 3, FALSE))</f>
        <v>-1.1685795817651898</v>
      </c>
      <c r="S12" s="1">
        <f>(Main_M[[#This Row],[A/E]]-VLOOKUP(Main_M[[#This Row],[Industry]], Mean_AE_M, 2, FALSE))/(VLOOKUP(Main_M[[#This Row],[Industry]], Mean_AE_M, 3, FALSE))</f>
        <v>-0.99646959960469705</v>
      </c>
      <c r="T12" s="1">
        <f>(Main_M[[#This Row],[P/E]]-VLOOKUP(Main_M[[#This Row],[Industry]], Mean_PE_M, 2, FALSE))/(VLOOKUP(Main_M[[#This Row],[Industry]], Mean_PE_M, 3, FALSE))</f>
        <v>2.4358866508817085</v>
      </c>
      <c r="U1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1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3" spans="1:26" x14ac:dyDescent="0.25">
      <c r="A13" t="s">
        <v>105</v>
      </c>
      <c r="B13" t="s">
        <v>260</v>
      </c>
      <c r="C13" s="2">
        <v>9123</v>
      </c>
      <c r="D13">
        <f>RTD("tos.rtd", , "LAST", Main_M[[#This Row],[Symbol]])</f>
        <v>93.14</v>
      </c>
      <c r="E13">
        <v>0.52</v>
      </c>
      <c r="F13">
        <v>11.63</v>
      </c>
      <c r="G13">
        <v>0.24</v>
      </c>
      <c r="H13" s="1">
        <f>IF(ISNUMBER(Main_M[[#This Row],[Free CF]]),IF(Main_M[[#This Row],[Free CF]]&lt;&gt;0,Main_M[[#This Row],[Current Price]]/Main_M[[#This Row],[Free CF]],""),"")</f>
        <v>179.11538461538461</v>
      </c>
      <c r="I13" s="1">
        <f>IF(ISNUMBER(Main_M[[#This Row],[BVPS]]),IF(Main_M[[#This Row],[BVPS]]&lt;&gt;0,Main_M[[#This Row],[Current Price]]/Main_M[[#This Row],[BVPS]],""),"")</f>
        <v>8.0085984522785889</v>
      </c>
      <c r="J13">
        <v>2.95</v>
      </c>
      <c r="K13">
        <v>4.6900000000000004</v>
      </c>
      <c r="L13">
        <v>1.33</v>
      </c>
      <c r="M13" s="1">
        <f>IF(ISNUMBER(Main_M[[#This Row],[EPS]]),IF(Main_M[[#This Row],[EPS]]&lt;&gt;0,Main_M[[#This Row],[Current Price]]/Main_M[[#This Row],[EPS]],""),"")</f>
        <v>388.08333333333337</v>
      </c>
      <c r="N1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3" s="1">
        <f>(Main_M[[#This Row],[P/FCF]]-VLOOKUP(Main_M[[#This Row],[Industry]], Mean_PFCF_M, 2, FALSE))/(VLOOKUP(Main_M[[#This Row],[Industry]], Mean_PFCF_M, 3, FALSE))</f>
        <v>2.0067342586872479</v>
      </c>
      <c r="P13" s="1">
        <f>(Main_M[[#This Row],[P/B]]-VLOOKUP(Main_M[[#This Row],[Industry]], Mean_PB_M, 2, FALSE))/(VLOOKUP(Main_M[[#This Row],[Industry]], Mean_PB_M, 3, FALSE))</f>
        <v>1.0071163588154048</v>
      </c>
      <c r="Q13" s="1">
        <f>(Main_M[[#This Row],[ROE]]-VLOOKUP(Main_M[[#This Row],[Industry]], Mean_ROE_M, 2, FALSE))/(VLOOKUP(Main_M[[#This Row],[Industry]], Mean_ROE_M, 3, FALSE))</f>
        <v>-0.38158700444001797</v>
      </c>
      <c r="R13" s="1">
        <f>(Main_M[[#This Row],[ROA]]-VLOOKUP(Main_M[[#This Row],[Industry]], Mean_ROA_M, 2, FALSE))/(VLOOKUP(Main_M[[#This Row],[Industry]], Mean_ROA_M, 3, FALSE))</f>
        <v>0.39428099227822905</v>
      </c>
      <c r="S13" s="1">
        <f>(Main_M[[#This Row],[A/E]]-VLOOKUP(Main_M[[#This Row],[Industry]], Mean_AE_M, 2, FALSE))/(VLOOKUP(Main_M[[#This Row],[Industry]], Mean_AE_M, 3, FALSE))</f>
        <v>-1.1254244889653049</v>
      </c>
      <c r="T13" s="1">
        <f>(Main_M[[#This Row],[P/E]]-VLOOKUP(Main_M[[#This Row],[Industry]], Mean_PE_M, 2, FALSE))/(VLOOKUP(Main_M[[#This Row],[Industry]], Mean_PE_M, 3, FALSE))</f>
        <v>3.1605826071021998</v>
      </c>
      <c r="U1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14" spans="1:26" x14ac:dyDescent="0.25">
      <c r="A14" t="s">
        <v>105</v>
      </c>
      <c r="B14" t="s">
        <v>261</v>
      </c>
      <c r="C14" s="2">
        <v>2862</v>
      </c>
      <c r="D14">
        <f>RTD("tos.rtd", , "LAST", Main_M[[#This Row],[Symbol]])</f>
        <v>46.73</v>
      </c>
      <c r="E14">
        <v>1.66</v>
      </c>
      <c r="F14">
        <v>24.89</v>
      </c>
      <c r="G14">
        <v>-1.55</v>
      </c>
      <c r="H14" s="1">
        <f>IF(ISNUMBER(Main_M[[#This Row],[Free CF]]),IF(Main_M[[#This Row],[Free CF]]&lt;&gt;0,Main_M[[#This Row],[Current Price]]/Main_M[[#This Row],[Free CF]],""),"")</f>
        <v>28.150602409638555</v>
      </c>
      <c r="I14" s="1">
        <f>IF(ISNUMBER(Main_M[[#This Row],[BVPS]]),IF(Main_M[[#This Row],[BVPS]]&lt;&gt;0,Main_M[[#This Row],[Current Price]]/Main_M[[#This Row],[BVPS]],""),"")</f>
        <v>1.8774608276416229</v>
      </c>
      <c r="J14">
        <v>-6.1</v>
      </c>
      <c r="K14">
        <v>-1.54</v>
      </c>
      <c r="L14">
        <v>1.64</v>
      </c>
      <c r="M14" s="1">
        <f>IF(ISNUMBER(Main_M[[#This Row],[EPS]]),IF(Main_M[[#This Row],[EPS]]&lt;&gt;0,Main_M[[#This Row],[Current Price]]/Main_M[[#This Row],[EPS]],""),"")</f>
        <v>-30.14838709677419</v>
      </c>
      <c r="N1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4" s="1">
        <f>(Main_M[[#This Row],[P/FCF]]-VLOOKUP(Main_M[[#This Row],[Industry]], Mean_PFCF_M, 2, FALSE))/(VLOOKUP(Main_M[[#This Row],[Industry]], Mean_PFCF_M, 3, FALSE))</f>
        <v>0.34952812113775511</v>
      </c>
      <c r="P14" s="1">
        <f>(Main_M[[#This Row],[P/B]]-VLOOKUP(Main_M[[#This Row],[Industry]], Mean_PB_M, 2, FALSE))/(VLOOKUP(Main_M[[#This Row],[Industry]], Mean_PB_M, 3, FALSE))</f>
        <v>-0.81691626542073936</v>
      </c>
      <c r="Q14" s="1">
        <f>(Main_M[[#This Row],[ROE]]-VLOOKUP(Main_M[[#This Row],[Industry]], Mean_ROE_M, 2, FALSE))/(VLOOKUP(Main_M[[#This Row],[Industry]], Mean_ROE_M, 3, FALSE))</f>
        <v>-1.2923946950946763</v>
      </c>
      <c r="R14" s="1">
        <f>(Main_M[[#This Row],[ROA]]-VLOOKUP(Main_M[[#This Row],[Industry]], Mean_ROA_M, 2, FALSE))/(VLOOKUP(Main_M[[#This Row],[Industry]], Mean_ROA_M, 3, FALSE))</f>
        <v>-2.3561770236230415</v>
      </c>
      <c r="S14" s="1">
        <f>(Main_M[[#This Row],[A/E]]-VLOOKUP(Main_M[[#This Row],[Industry]], Mean_AE_M, 2, FALSE))/(VLOOKUP(Main_M[[#This Row],[Industry]], Mean_AE_M, 3, FALSE))</f>
        <v>-0.76200616440359181</v>
      </c>
      <c r="T14" s="1">
        <f>(Main_M[[#This Row],[P/E]]-VLOOKUP(Main_M[[#This Row],[Industry]], Mean_PE_M, 2, FALSE))/(VLOOKUP(Main_M[[#This Row],[Industry]], Mean_PE_M, 3, FALSE))</f>
        <v>-0.58162957377579128</v>
      </c>
      <c r="U1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5" spans="1:26" x14ac:dyDescent="0.25">
      <c r="A15" t="s">
        <v>105</v>
      </c>
      <c r="B15" t="s">
        <v>262</v>
      </c>
      <c r="C15" s="2">
        <v>9071</v>
      </c>
      <c r="D15">
        <f>RTD("tos.rtd", , "LAST", Main_M[[#This Row],[Symbol]])</f>
        <v>29.85</v>
      </c>
      <c r="E15">
        <v>-0.16</v>
      </c>
      <c r="F15">
        <v>7.1</v>
      </c>
      <c r="G15">
        <v>0.04</v>
      </c>
      <c r="H15" s="1">
        <f>IF(ISNUMBER(Main_M[[#This Row],[Free CF]]),IF(Main_M[[#This Row],[Free CF]]&lt;&gt;0,Main_M[[#This Row],[Current Price]]/Main_M[[#This Row],[Free CF]],""),"")</f>
        <v>-186.5625</v>
      </c>
      <c r="I15" s="1">
        <f>IF(ISNUMBER(Main_M[[#This Row],[BVPS]]),IF(Main_M[[#This Row],[BVPS]]&lt;&gt;0,Main_M[[#This Row],[Current Price]]/Main_M[[#This Row],[BVPS]],""),"")</f>
        <v>4.2042253521126769</v>
      </c>
      <c r="J15">
        <v>0.62</v>
      </c>
      <c r="K15">
        <v>4.22</v>
      </c>
      <c r="L15">
        <v>2.62</v>
      </c>
      <c r="M15" s="1">
        <f>IF(ISNUMBER(Main_M[[#This Row],[EPS]]),IF(Main_M[[#This Row],[EPS]]&lt;&gt;0,Main_M[[#This Row],[Current Price]]/Main_M[[#This Row],[EPS]],""),"")</f>
        <v>746.25</v>
      </c>
      <c r="N1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5" s="1">
        <f>(Main_M[[#This Row],[P/FCF]]-VLOOKUP(Main_M[[#This Row],[Industry]], Mean_PFCF_M, 2, FALSE))/(VLOOKUP(Main_M[[#This Row],[Industry]], Mean_PFCF_M, 3, FALSE))</f>
        <v>-2.0074710804416069</v>
      </c>
      <c r="P15" s="1">
        <f>(Main_M[[#This Row],[P/B]]-VLOOKUP(Main_M[[#This Row],[Industry]], Mean_PB_M, 2, FALSE))/(VLOOKUP(Main_M[[#This Row],[Industry]], Mean_PB_M, 3, FALSE))</f>
        <v>-0.12469654024342366</v>
      </c>
      <c r="Q15" s="1">
        <f>(Main_M[[#This Row],[ROE]]-VLOOKUP(Main_M[[#This Row],[Industry]], Mean_ROE_M, 2, FALSE))/(VLOOKUP(Main_M[[#This Row],[Industry]], Mean_ROE_M, 3, FALSE))</f>
        <v>-0.61608224413342727</v>
      </c>
      <c r="R15" s="1">
        <f>(Main_M[[#This Row],[ROA]]-VLOOKUP(Main_M[[#This Row],[Industry]], Mean_ROA_M, 2, FALSE))/(VLOOKUP(Main_M[[#This Row],[Industry]], Mean_ROA_M, 3, FALSE))</f>
        <v>0.18678255448150366</v>
      </c>
      <c r="S15" s="1">
        <f>(Main_M[[#This Row],[A/E]]-VLOOKUP(Main_M[[#This Row],[Industry]], Mean_AE_M, 2, FALSE))/(VLOOKUP(Main_M[[#This Row],[Industry]], Mean_AE_M, 3, FALSE))</f>
        <v>0.38686466808182435</v>
      </c>
      <c r="T15" s="1">
        <f>(Main_M[[#This Row],[P/E]]-VLOOKUP(Main_M[[#This Row],[Industry]], Mean_PE_M, 2, FALSE))/(VLOOKUP(Main_M[[#This Row],[Industry]], Mean_PE_M, 3, FALSE))</f>
        <v>6.3653506754019249</v>
      </c>
      <c r="U1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16" spans="1:26" x14ac:dyDescent="0.25">
      <c r="A16" t="s">
        <v>105</v>
      </c>
      <c r="B16" t="s">
        <v>263</v>
      </c>
      <c r="C16" s="2">
        <v>4208</v>
      </c>
      <c r="D16">
        <f>RTD("tos.rtd", , "LAST", Main_M[[#This Row],[Symbol]])</f>
        <v>37.299999999999997</v>
      </c>
      <c r="E16">
        <v>-11.13</v>
      </c>
      <c r="F16">
        <v>-27.27</v>
      </c>
      <c r="G16">
        <v>-18.23</v>
      </c>
      <c r="H16" s="1">
        <f>IF(ISNUMBER(Main_M[[#This Row],[Free CF]]),IF(Main_M[[#This Row],[Free CF]]&lt;&gt;0,Main_M[[#This Row],[Current Price]]/Main_M[[#This Row],[Free CF]],""),"")</f>
        <v>-3.351302785265049</v>
      </c>
      <c r="I16" s="1">
        <f>IF(ISNUMBER(Main_M[[#This Row],[BVPS]]),IF(Main_M[[#This Row],[BVPS]]&lt;&gt;0,Main_M[[#This Row],[Current Price]]/Main_M[[#This Row],[BVPS]],""),"")</f>
        <v>-1.3678034470113678</v>
      </c>
      <c r="J16">
        <v>99.14</v>
      </c>
      <c r="K16">
        <v>-16.28</v>
      </c>
      <c r="L16">
        <v>-2.02</v>
      </c>
      <c r="M16" s="1">
        <f>IF(ISNUMBER(Main_M[[#This Row],[EPS]]),IF(Main_M[[#This Row],[EPS]]&lt;&gt;0,Main_M[[#This Row],[Current Price]]/Main_M[[#This Row],[EPS]],""),"")</f>
        <v>-2.0460778935820074</v>
      </c>
      <c r="N1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6" s="1">
        <f>(Main_M[[#This Row],[P/FCF]]-VLOOKUP(Main_M[[#This Row],[Industry]], Mean_PFCF_M, 2, FALSE))/(VLOOKUP(Main_M[[#This Row],[Industry]], Mean_PFCF_M, 3, FALSE))</f>
        <v>3.7179933004730086E-3</v>
      </c>
      <c r="P16" s="1">
        <f>(Main_M[[#This Row],[P/B]]-VLOOKUP(Main_M[[#This Row],[Industry]], Mean_PB_M, 2, FALSE))/(VLOOKUP(Main_M[[#This Row],[Industry]], Mean_PB_M, 3, FALSE))</f>
        <v>-1.7823925397501061</v>
      </c>
      <c r="Q16" s="1">
        <f>(Main_M[[#This Row],[ROE]]-VLOOKUP(Main_M[[#This Row],[Industry]], Mean_ROE_M, 2, FALSE))/(VLOOKUP(Main_M[[#This Row],[Industry]], Mean_ROE_M, 3, FALSE))</f>
        <v>9.2991413672805976</v>
      </c>
      <c r="R16" s="1">
        <f>(Main_M[[#This Row],[ROA]]-VLOOKUP(Main_M[[#This Row],[Industry]], Mean_ROA_M, 2, FALSE))/(VLOOKUP(Main_M[[#This Row],[Industry]], Mean_ROA_M, 3, FALSE))</f>
        <v>-8.8636812217586325</v>
      </c>
      <c r="S16" s="1">
        <f>(Main_M[[#This Row],[A/E]]-VLOOKUP(Main_M[[#This Row],[Industry]], Mean_AE_M, 2, FALSE))/(VLOOKUP(Main_M[[#This Row],[Industry]], Mean_AE_M, 3, FALSE))</f>
        <v>-5.0526870285838186</v>
      </c>
      <c r="T16" s="1">
        <f>(Main_M[[#This Row],[P/E]]-VLOOKUP(Main_M[[#This Row],[Industry]], Mean_PE_M, 2, FALSE))/(VLOOKUP(Main_M[[#This Row],[Industry]], Mean_PE_M, 3, FALSE))</f>
        <v>-0.33017852720564</v>
      </c>
      <c r="U1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Yes</v>
      </c>
      <c r="X1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1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1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7" spans="1:26" x14ac:dyDescent="0.25">
      <c r="A17" t="s">
        <v>223</v>
      </c>
      <c r="B17" t="s">
        <v>385</v>
      </c>
      <c r="C17" s="2">
        <v>4458</v>
      </c>
      <c r="D17">
        <f>RTD("tos.rtd", , "LAST", Main_M[[#This Row],[Symbol]])</f>
        <v>40.56</v>
      </c>
      <c r="E17">
        <v>1.59</v>
      </c>
      <c r="F17">
        <v>25.13</v>
      </c>
      <c r="G17">
        <v>1.1200000000000001</v>
      </c>
      <c r="H17" s="1">
        <f>IF(ISNUMBER(Main_M[[#This Row],[Free CF]]),IF(Main_M[[#This Row],[Free CF]]&lt;&gt;0,Main_M[[#This Row],[Current Price]]/Main_M[[#This Row],[Free CF]],""),"")</f>
        <v>25.509433962264151</v>
      </c>
      <c r="I17" s="1">
        <f>IF(ISNUMBER(Main_M[[#This Row],[BVPS]]),IF(Main_M[[#This Row],[BVPS]]&lt;&gt;0,Main_M[[#This Row],[Current Price]]/Main_M[[#This Row],[BVPS]],""),"")</f>
        <v>1.6140071627536809</v>
      </c>
      <c r="J17">
        <v>4.6100000000000003</v>
      </c>
      <c r="K17">
        <v>2.41</v>
      </c>
      <c r="L17">
        <v>3.75</v>
      </c>
      <c r="M17" s="1">
        <f>IF(ISNUMBER(Main_M[[#This Row],[EPS]]),IF(Main_M[[#This Row],[EPS]]&lt;&gt;0,Main_M[[#This Row],[Current Price]]/Main_M[[#This Row],[EPS]],""),"")</f>
        <v>36.214285714285715</v>
      </c>
      <c r="N1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7" s="1" t="e">
        <f>(Main_M[[#This Row],[P/FCF]]-VLOOKUP(Main_M[[#This Row],[Industry]], Mean_PFCF_M, 2, FALSE))/(VLOOKUP(Main_M[[#This Row],[Industry]], Mean_PFCF_M, 3, FALSE))</f>
        <v>#DIV/0!</v>
      </c>
      <c r="P17" s="1" t="e">
        <f>(Main_M[[#This Row],[P/B]]-VLOOKUP(Main_M[[#This Row],[Industry]], Mean_PB_M, 2, FALSE))/(VLOOKUP(Main_M[[#This Row],[Industry]], Mean_PB_M, 3, FALSE))</f>
        <v>#DIV/0!</v>
      </c>
      <c r="Q17" s="1" t="e">
        <f>(Main_M[[#This Row],[ROE]]-VLOOKUP(Main_M[[#This Row],[Industry]], Mean_ROE_M, 2, FALSE))/(VLOOKUP(Main_M[[#This Row],[Industry]], Mean_ROE_M, 3, FALSE))</f>
        <v>#DIV/0!</v>
      </c>
      <c r="R17" s="1" t="e">
        <f>(Main_M[[#This Row],[ROA]]-VLOOKUP(Main_M[[#This Row],[Industry]], Mean_ROA_M, 2, FALSE))/(VLOOKUP(Main_M[[#This Row],[Industry]], Mean_ROA_M, 3, FALSE))</f>
        <v>#DIV/0!</v>
      </c>
      <c r="S17" s="1" t="e">
        <f>(Main_M[[#This Row],[A/E]]-VLOOKUP(Main_M[[#This Row],[Industry]], Mean_AE_M, 2, FALSE))/(VLOOKUP(Main_M[[#This Row],[Industry]], Mean_AE_M, 3, FALSE))</f>
        <v>#DIV/0!</v>
      </c>
      <c r="T17" s="1" t="e">
        <f>(Main_M[[#This Row],[P/E]]-VLOOKUP(Main_M[[#This Row],[Industry]], Mean_PE_M, 2, FALSE))/(VLOOKUP(Main_M[[#This Row],[Industry]], Mean_PE_M, 3, FALSE))</f>
        <v>#DIV/0!</v>
      </c>
      <c r="U1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8" spans="1:26" x14ac:dyDescent="0.25">
      <c r="A18" t="s">
        <v>122</v>
      </c>
      <c r="B18" t="s">
        <v>123</v>
      </c>
      <c r="C18" s="2">
        <v>7788</v>
      </c>
      <c r="D18">
        <f>RTD("tos.rtd", , "LAST", Main_M[[#This Row],[Symbol]])</f>
        <v>105.95</v>
      </c>
      <c r="E18">
        <v>-1.64</v>
      </c>
      <c r="F18">
        <v>10.029999999999999</v>
      </c>
      <c r="G18">
        <v>1.91</v>
      </c>
      <c r="H18" s="1">
        <f>IF(ISNUMBER(Main_M[[#This Row],[Free CF]]),IF(Main_M[[#This Row],[Free CF]]&lt;&gt;0,Main_M[[#This Row],[Current Price]]/Main_M[[#This Row],[Free CF]],""),"")</f>
        <v>-64.603658536585371</v>
      </c>
      <c r="I18" s="1">
        <f>IF(ISNUMBER(Main_M[[#This Row],[BVPS]]),IF(Main_M[[#This Row],[BVPS]]&lt;&gt;0,Main_M[[#This Row],[Current Price]]/Main_M[[#This Row],[BVPS]],""),"")</f>
        <v>10.56331006979063</v>
      </c>
      <c r="J18">
        <v>19.850000000000001</v>
      </c>
      <c r="K18">
        <v>11.04</v>
      </c>
      <c r="L18">
        <v>1.59</v>
      </c>
      <c r="M18" s="1">
        <f>IF(ISNUMBER(Main_M[[#This Row],[EPS]]),IF(Main_M[[#This Row],[EPS]]&lt;&gt;0,Main_M[[#This Row],[Current Price]]/Main_M[[#This Row],[EPS]],""),"")</f>
        <v>55.471204188481678</v>
      </c>
      <c r="N1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8" s="1">
        <f>(Main_M[[#This Row],[P/FCF]]-VLOOKUP(Main_M[[#This Row],[Industry]], Mean_PFCF_M, 2, FALSE))/(VLOOKUP(Main_M[[#This Row],[Industry]], Mean_PFCF_M, 3, FALSE))</f>
        <v>-7.4571032690358301</v>
      </c>
      <c r="P18" s="1">
        <f>(Main_M[[#This Row],[P/B]]-VLOOKUP(Main_M[[#This Row],[Industry]], Mean_PB_M, 2, FALSE))/(VLOOKUP(Main_M[[#This Row],[Industry]], Mean_PB_M, 3, FALSE))</f>
        <v>2.1675494536925388</v>
      </c>
      <c r="Q18" s="1">
        <f>(Main_M[[#This Row],[ROE]]-VLOOKUP(Main_M[[#This Row],[Industry]], Mean_ROE_M, 2, FALSE))/(VLOOKUP(Main_M[[#This Row],[Industry]], Mean_ROE_M, 3, FALSE))</f>
        <v>-0.20879854744818335</v>
      </c>
      <c r="R18" s="1">
        <f>(Main_M[[#This Row],[ROA]]-VLOOKUP(Main_M[[#This Row],[Industry]], Mean_ROA_M, 2, FALSE))/(VLOOKUP(Main_M[[#This Row],[Industry]], Mean_ROA_M, 3, FALSE))</f>
        <v>0.44472961409772221</v>
      </c>
      <c r="S18" s="1">
        <f>(Main_M[[#This Row],[A/E]]-VLOOKUP(Main_M[[#This Row],[Industry]], Mean_AE_M, 2, FALSE))/(VLOOKUP(Main_M[[#This Row],[Industry]], Mean_AE_M, 3, FALSE))</f>
        <v>-0.62539250869722407</v>
      </c>
      <c r="T18" s="1">
        <f>(Main_M[[#This Row],[P/E]]-VLOOKUP(Main_M[[#This Row],[Industry]], Mean_PE_M, 2, FALSE))/(VLOOKUP(Main_M[[#This Row],[Industry]], Mean_PE_M, 3, FALSE))</f>
        <v>1.8710650869873382</v>
      </c>
      <c r="U1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1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9" spans="1:26" x14ac:dyDescent="0.25">
      <c r="A19" t="s">
        <v>122</v>
      </c>
      <c r="B19" t="s">
        <v>125</v>
      </c>
      <c r="C19" s="2">
        <v>9511</v>
      </c>
      <c r="D19">
        <f>RTD("tos.rtd", , "LAST", Main_M[[#This Row],[Symbol]])</f>
        <v>70.12</v>
      </c>
      <c r="E19">
        <v>2.8</v>
      </c>
      <c r="F19">
        <v>13.05</v>
      </c>
      <c r="G19">
        <v>3.58</v>
      </c>
      <c r="H19" s="1">
        <f>IF(ISNUMBER(Main_M[[#This Row],[Free CF]]),IF(Main_M[[#This Row],[Free CF]]&lt;&gt;0,Main_M[[#This Row],[Current Price]]/Main_M[[#This Row],[Free CF]],""),"")</f>
        <v>25.042857142857144</v>
      </c>
      <c r="I19" s="1">
        <f>IF(ISNUMBER(Main_M[[#This Row],[BVPS]]),IF(Main_M[[#This Row],[BVPS]]&lt;&gt;0,Main_M[[#This Row],[Current Price]]/Main_M[[#This Row],[BVPS]],""),"")</f>
        <v>5.3731800766283522</v>
      </c>
      <c r="J19">
        <v>27.97</v>
      </c>
      <c r="K19">
        <v>13.35</v>
      </c>
      <c r="L19">
        <v>1.76</v>
      </c>
      <c r="M19" s="1">
        <f>IF(ISNUMBER(Main_M[[#This Row],[EPS]]),IF(Main_M[[#This Row],[EPS]]&lt;&gt;0,Main_M[[#This Row],[Current Price]]/Main_M[[#This Row],[EPS]],""),"")</f>
        <v>19.58659217877095</v>
      </c>
      <c r="N1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9" s="1">
        <f>(Main_M[[#This Row],[P/FCF]]-VLOOKUP(Main_M[[#This Row],[Industry]], Mean_PFCF_M, 2, FALSE))/(VLOOKUP(Main_M[[#This Row],[Industry]], Mean_PFCF_M, 3, FALSE))</f>
        <v>-0.11387041761550318</v>
      </c>
      <c r="P19" s="1">
        <f>(Main_M[[#This Row],[P/B]]-VLOOKUP(Main_M[[#This Row],[Industry]], Mean_PB_M, 2, FALSE))/(VLOOKUP(Main_M[[#This Row],[Industry]], Mean_PB_M, 3, FALSE))</f>
        <v>0.16035663925859542</v>
      </c>
      <c r="Q19" s="1">
        <f>(Main_M[[#This Row],[ROE]]-VLOOKUP(Main_M[[#This Row],[Industry]], Mean_ROE_M, 2, FALSE))/(VLOOKUP(Main_M[[#This Row],[Industry]], Mean_ROE_M, 3, FALSE))</f>
        <v>0.19142433960504709</v>
      </c>
      <c r="R19" s="1">
        <f>(Main_M[[#This Row],[ROA]]-VLOOKUP(Main_M[[#This Row],[Industry]], Mean_ROA_M, 2, FALSE))/(VLOOKUP(Main_M[[#This Row],[Industry]], Mean_ROA_M, 3, FALSE))</f>
        <v>1.0963102114967109</v>
      </c>
      <c r="S19" s="1">
        <f>(Main_M[[#This Row],[A/E]]-VLOOKUP(Main_M[[#This Row],[Industry]], Mean_AE_M, 2, FALSE))/(VLOOKUP(Main_M[[#This Row],[Industry]], Mean_AE_M, 3, FALSE))</f>
        <v>-0.28095386999788885</v>
      </c>
      <c r="T19" s="1">
        <f>(Main_M[[#This Row],[P/E]]-VLOOKUP(Main_M[[#This Row],[Industry]], Mean_PE_M, 2, FALSE))/(VLOOKUP(Main_M[[#This Row],[Industry]], Mean_PE_M, 3, FALSE))</f>
        <v>-0.83619955935798107</v>
      </c>
      <c r="U1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0" spans="1:26" x14ac:dyDescent="0.25">
      <c r="A20" t="s">
        <v>122</v>
      </c>
      <c r="B20" t="s">
        <v>264</v>
      </c>
      <c r="C20" s="2">
        <v>6479</v>
      </c>
      <c r="D20">
        <f>RTD("tos.rtd", , "LAST", Main_M[[#This Row],[Symbol]])</f>
        <v>157.65</v>
      </c>
      <c r="E20">
        <v>4.45</v>
      </c>
      <c r="F20">
        <v>18.27</v>
      </c>
      <c r="G20">
        <v>6.24</v>
      </c>
      <c r="H20" s="1">
        <f>IF(ISNUMBER(Main_M[[#This Row],[Free CF]]),IF(Main_M[[#This Row],[Free CF]]&lt;&gt;0,Main_M[[#This Row],[Current Price]]/Main_M[[#This Row],[Free CF]],""),"")</f>
        <v>35.426966292134829</v>
      </c>
      <c r="I20" s="1">
        <f>IF(ISNUMBER(Main_M[[#This Row],[BVPS]]),IF(Main_M[[#This Row],[BVPS]]&lt;&gt;0,Main_M[[#This Row],[Current Price]]/Main_M[[#This Row],[BVPS]],""),"")</f>
        <v>8.6288998357963873</v>
      </c>
      <c r="J20">
        <v>38.6</v>
      </c>
      <c r="K20">
        <v>10.38</v>
      </c>
      <c r="L20">
        <v>2.34</v>
      </c>
      <c r="M20" s="1">
        <f>IF(ISNUMBER(Main_M[[#This Row],[EPS]]),IF(Main_M[[#This Row],[EPS]]&lt;&gt;0,Main_M[[#This Row],[Current Price]]/Main_M[[#This Row],[EPS]],""),"")</f>
        <v>25.264423076923077</v>
      </c>
      <c r="N2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0" s="1">
        <f>(Main_M[[#This Row],[P/FCF]]-VLOOKUP(Main_M[[#This Row],[Industry]], Mean_PFCF_M, 2, FALSE))/(VLOOKUP(Main_M[[#This Row],[Industry]], Mean_PFCF_M, 3, FALSE))</f>
        <v>0.73672517842946816</v>
      </c>
      <c r="P20" s="1">
        <f>(Main_M[[#This Row],[P/B]]-VLOOKUP(Main_M[[#This Row],[Industry]], Mean_PB_M, 2, FALSE))/(VLOOKUP(Main_M[[#This Row],[Industry]], Mean_PB_M, 3, FALSE))</f>
        <v>1.4194498247899825</v>
      </c>
      <c r="Q20" s="1">
        <f>(Main_M[[#This Row],[ROE]]-VLOOKUP(Main_M[[#This Row],[Industry]], Mean_ROE_M, 2, FALSE))/(VLOOKUP(Main_M[[#This Row],[Industry]], Mean_ROE_M, 3, FALSE))</f>
        <v>0.71536144420798331</v>
      </c>
      <c r="R20" s="1">
        <f>(Main_M[[#This Row],[ROA]]-VLOOKUP(Main_M[[#This Row],[Industry]], Mean_ROA_M, 2, FALSE))/(VLOOKUP(Main_M[[#This Row],[Industry]], Mean_ROA_M, 3, FALSE))</f>
        <v>0.2585637291265831</v>
      </c>
      <c r="S20" s="1">
        <f>(Main_M[[#This Row],[A/E]]-VLOOKUP(Main_M[[#This Row],[Industry]], Mean_AE_M, 2, FALSE))/(VLOOKUP(Main_M[[#This Row],[Industry]], Mean_AE_M, 3, FALSE))</f>
        <v>0.89418972085866666</v>
      </c>
      <c r="T20" s="1">
        <f>(Main_M[[#This Row],[P/E]]-VLOOKUP(Main_M[[#This Row],[Industry]], Mean_PE_M, 2, FALSE))/(VLOOKUP(Main_M[[#This Row],[Industry]], Mean_PE_M, 3, FALSE))</f>
        <v>-0.40784350372235945</v>
      </c>
      <c r="U2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1" spans="1:26" x14ac:dyDescent="0.25">
      <c r="A21" t="s">
        <v>122</v>
      </c>
      <c r="B21" t="s">
        <v>265</v>
      </c>
      <c r="C21" s="2">
        <v>7049</v>
      </c>
      <c r="D21">
        <f>RTD("tos.rtd", , "LAST", Main_M[[#This Row],[Symbol]])</f>
        <v>51.91</v>
      </c>
      <c r="E21">
        <v>1.2</v>
      </c>
      <c r="F21">
        <v>9.67</v>
      </c>
      <c r="G21">
        <v>0.99</v>
      </c>
      <c r="H21" s="1">
        <f>IF(ISNUMBER(Main_M[[#This Row],[Free CF]]),IF(Main_M[[#This Row],[Free CF]]&lt;&gt;0,Main_M[[#This Row],[Current Price]]/Main_M[[#This Row],[Free CF]],""),"")</f>
        <v>43.258333333333333</v>
      </c>
      <c r="I21" s="1">
        <f>IF(ISNUMBER(Main_M[[#This Row],[BVPS]]),IF(Main_M[[#This Row],[BVPS]]&lt;&gt;0,Main_M[[#This Row],[Current Price]]/Main_M[[#This Row],[BVPS]],""),"")</f>
        <v>5.368148914167528</v>
      </c>
      <c r="J21">
        <v>10.73</v>
      </c>
      <c r="K21">
        <v>6.49</v>
      </c>
      <c r="L21">
        <v>1.57</v>
      </c>
      <c r="M21" s="1">
        <f>IF(ISNUMBER(Main_M[[#This Row],[EPS]]),IF(Main_M[[#This Row],[EPS]]&lt;&gt;0,Main_M[[#This Row],[Current Price]]/Main_M[[#This Row],[EPS]],""),"")</f>
        <v>52.434343434343432</v>
      </c>
      <c r="N2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1" s="1">
        <f>(Main_M[[#This Row],[P/FCF]]-VLOOKUP(Main_M[[#This Row],[Industry]], Mean_PFCF_M, 2, FALSE))/(VLOOKUP(Main_M[[#This Row],[Industry]], Mean_PFCF_M, 3, FALSE))</f>
        <v>1.3782175029509747</v>
      </c>
      <c r="P21" s="1">
        <f>(Main_M[[#This Row],[P/B]]-VLOOKUP(Main_M[[#This Row],[Industry]], Mean_PB_M, 2, FALSE))/(VLOOKUP(Main_M[[#This Row],[Industry]], Mean_PB_M, 3, FALSE))</f>
        <v>0.15841092438191212</v>
      </c>
      <c r="Q21" s="1">
        <f>(Main_M[[#This Row],[ROE]]-VLOOKUP(Main_M[[#This Row],[Industry]], Mean_ROE_M, 2, FALSE))/(VLOOKUP(Main_M[[#This Row],[Industry]], Mean_ROE_M, 3, FALSE))</f>
        <v>-0.65830996738974279</v>
      </c>
      <c r="R21" s="1">
        <f>(Main_M[[#This Row],[ROA]]-VLOOKUP(Main_M[[#This Row],[Industry]], Mean_ROA_M, 2, FALSE))/(VLOOKUP(Main_M[[#This Row],[Industry]], Mean_ROA_M, 3, FALSE))</f>
        <v>-0.83868671411240647</v>
      </c>
      <c r="S21" s="1">
        <f>(Main_M[[#This Row],[A/E]]-VLOOKUP(Main_M[[#This Row],[Industry]], Mean_AE_M, 2, FALSE))/(VLOOKUP(Main_M[[#This Row],[Industry]], Mean_AE_M, 3, FALSE))</f>
        <v>-0.66591470148538112</v>
      </c>
      <c r="T21" s="1">
        <f>(Main_M[[#This Row],[P/E]]-VLOOKUP(Main_M[[#This Row],[Industry]], Mean_PE_M, 2, FALSE))/(VLOOKUP(Main_M[[#This Row],[Industry]], Mean_PE_M, 3, FALSE))</f>
        <v>1.6419533509226647</v>
      </c>
      <c r="U2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2" spans="1:26" x14ac:dyDescent="0.25">
      <c r="A22" t="s">
        <v>122</v>
      </c>
      <c r="B22" t="s">
        <v>266</v>
      </c>
      <c r="C22" s="2">
        <v>2647</v>
      </c>
      <c r="D22">
        <f>RTD("tos.rtd", , "LAST", Main_M[[#This Row],[Symbol]])</f>
        <v>94.15</v>
      </c>
      <c r="E22">
        <v>4.6100000000000003</v>
      </c>
      <c r="F22">
        <v>34.950000000000003</v>
      </c>
      <c r="G22">
        <v>1.79</v>
      </c>
      <c r="H22" s="1">
        <f>IF(ISNUMBER(Main_M[[#This Row],[Free CF]]),IF(Main_M[[#This Row],[Free CF]]&lt;&gt;0,Main_M[[#This Row],[Current Price]]/Main_M[[#This Row],[Free CF]],""),"")</f>
        <v>20.422993492407809</v>
      </c>
      <c r="I22" s="1">
        <f>IF(ISNUMBER(Main_M[[#This Row],[BVPS]]),IF(Main_M[[#This Row],[BVPS]]&lt;&gt;0,Main_M[[#This Row],[Current Price]]/Main_M[[#This Row],[BVPS]],""),"")</f>
        <v>2.6938483547925607</v>
      </c>
      <c r="J22">
        <v>13.01</v>
      </c>
      <c r="K22">
        <v>6.89</v>
      </c>
      <c r="L22">
        <v>2.13</v>
      </c>
      <c r="M22" s="1">
        <f>IF(ISNUMBER(Main_M[[#This Row],[EPS]]),IF(Main_M[[#This Row],[EPS]]&lt;&gt;0,Main_M[[#This Row],[Current Price]]/Main_M[[#This Row],[EPS]],""),"")</f>
        <v>52.597765363128495</v>
      </c>
      <c r="N2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2" s="1">
        <f>(Main_M[[#This Row],[P/FCF]]-VLOOKUP(Main_M[[#This Row],[Industry]], Mean_PFCF_M, 2, FALSE))/(VLOOKUP(Main_M[[#This Row],[Industry]], Mean_PFCF_M, 3, FALSE))</f>
        <v>-0.49229822677174595</v>
      </c>
      <c r="P22" s="1">
        <f>(Main_M[[#This Row],[P/B]]-VLOOKUP(Main_M[[#This Row],[Industry]], Mean_PB_M, 2, FALSE))/(VLOOKUP(Main_M[[#This Row],[Industry]], Mean_PB_M, 3, FALSE))</f>
        <v>-0.87582846335711395</v>
      </c>
      <c r="Q22" s="1">
        <f>(Main_M[[#This Row],[ROE]]-VLOOKUP(Main_M[[#This Row],[Industry]], Mean_ROE_M, 2, FALSE))/(VLOOKUP(Main_M[[#This Row],[Industry]], Mean_ROE_M, 3, FALSE))</f>
        <v>-0.54593211240435302</v>
      </c>
      <c r="R22" s="1">
        <f>(Main_M[[#This Row],[ROA]]-VLOOKUP(Main_M[[#This Row],[Industry]], Mean_ROA_M, 2, FALSE))/(VLOOKUP(Main_M[[#This Row],[Industry]], Mean_ROA_M, 3, FALSE))</f>
        <v>-0.72585890503898864</v>
      </c>
      <c r="S22" s="1">
        <f>(Main_M[[#This Row],[A/E]]-VLOOKUP(Main_M[[#This Row],[Industry]], Mean_AE_M, 2, FALSE))/(VLOOKUP(Main_M[[#This Row],[Industry]], Mean_AE_M, 3, FALSE))</f>
        <v>0.46870669658301722</v>
      </c>
      <c r="T22" s="1">
        <f>(Main_M[[#This Row],[P/E]]-VLOOKUP(Main_M[[#This Row],[Industry]], Mean_PE_M, 2, FALSE))/(VLOOKUP(Main_M[[#This Row],[Industry]], Mean_PE_M, 3, FALSE))</f>
        <v>1.654282491059881</v>
      </c>
      <c r="U2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3" spans="1:26" x14ac:dyDescent="0.25">
      <c r="A23" t="s">
        <v>122</v>
      </c>
      <c r="B23" t="s">
        <v>267</v>
      </c>
      <c r="C23" s="2">
        <v>5143</v>
      </c>
      <c r="D23">
        <f>RTD("tos.rtd", , "LAST", Main_M[[#This Row],[Symbol]])</f>
        <v>336.3</v>
      </c>
      <c r="E23">
        <v>9.2200000000000006</v>
      </c>
      <c r="F23">
        <v>62.2</v>
      </c>
      <c r="G23">
        <v>8.33</v>
      </c>
      <c r="H23" s="1">
        <f>IF(ISNUMBER(Main_M[[#This Row],[Free CF]]),IF(Main_M[[#This Row],[Free CF]]&lt;&gt;0,Main_M[[#This Row],[Current Price]]/Main_M[[#This Row],[Free CF]],""),"")</f>
        <v>36.475054229934926</v>
      </c>
      <c r="I23" s="1">
        <f>IF(ISNUMBER(Main_M[[#This Row],[BVPS]]),IF(Main_M[[#This Row],[BVPS]]&lt;&gt;0,Main_M[[#This Row],[Current Price]]/Main_M[[#This Row],[BVPS]],""),"")</f>
        <v>5.406752411575563</v>
      </c>
      <c r="J23">
        <v>16.079999999999998</v>
      </c>
      <c r="K23">
        <v>9.74</v>
      </c>
      <c r="L23">
        <v>1.29</v>
      </c>
      <c r="M23" s="1">
        <f>IF(ISNUMBER(Main_M[[#This Row],[EPS]]),IF(Main_M[[#This Row],[EPS]]&lt;&gt;0,Main_M[[#This Row],[Current Price]]/Main_M[[#This Row],[EPS]],""),"")</f>
        <v>40.37214885954382</v>
      </c>
      <c r="N2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3" s="1">
        <f>(Main_M[[#This Row],[P/FCF]]-VLOOKUP(Main_M[[#This Row],[Industry]], Mean_PFCF_M, 2, FALSE))/(VLOOKUP(Main_M[[#This Row],[Industry]], Mean_PFCF_M, 3, FALSE))</f>
        <v>0.82257741393131001</v>
      </c>
      <c r="P23" s="1">
        <f>(Main_M[[#This Row],[P/B]]-VLOOKUP(Main_M[[#This Row],[Industry]], Mean_PB_M, 2, FALSE))/(VLOOKUP(Main_M[[#This Row],[Industry]], Mean_PB_M, 3, FALSE))</f>
        <v>0.17334015789080479</v>
      </c>
      <c r="Q23" s="1">
        <f>(Main_M[[#This Row],[ROE]]-VLOOKUP(Main_M[[#This Row],[Industry]], Mean_ROE_M, 2, FALSE))/(VLOOKUP(Main_M[[#This Row],[Industry]], Mean_ROE_M, 3, FALSE))</f>
        <v>-0.39461631643718342</v>
      </c>
      <c r="R23" s="1">
        <f>(Main_M[[#This Row],[ROA]]-VLOOKUP(Main_M[[#This Row],[Industry]], Mean_ROA_M, 2, FALSE))/(VLOOKUP(Main_M[[#This Row],[Industry]], Mean_ROA_M, 3, FALSE))</f>
        <v>7.8039234609114244E-2</v>
      </c>
      <c r="S23" s="1">
        <f>(Main_M[[#This Row],[A/E]]-VLOOKUP(Main_M[[#This Row],[Industry]], Mean_AE_M, 2, FALSE))/(VLOOKUP(Main_M[[#This Row],[Industry]], Mean_AE_M, 3, FALSE))</f>
        <v>-1.2332254005195806</v>
      </c>
      <c r="T23" s="1">
        <f>(Main_M[[#This Row],[P/E]]-VLOOKUP(Main_M[[#This Row],[Industry]], Mean_PE_M, 2, FALSE))/(VLOOKUP(Main_M[[#This Row],[Industry]], Mean_PE_M, 3, FALSE))</f>
        <v>0.73193785679230072</v>
      </c>
      <c r="U2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4" spans="1:26" x14ac:dyDescent="0.25">
      <c r="A24" t="s">
        <v>122</v>
      </c>
      <c r="B24" t="s">
        <v>268</v>
      </c>
      <c r="C24" s="2">
        <v>5838</v>
      </c>
      <c r="D24">
        <f>RTD("tos.rtd", , "LAST", Main_M[[#This Row],[Symbol]])</f>
        <v>56.44</v>
      </c>
      <c r="E24">
        <v>3.8</v>
      </c>
      <c r="F24">
        <v>19.59</v>
      </c>
      <c r="G24">
        <v>3.75</v>
      </c>
      <c r="H24" s="1">
        <f>IF(ISNUMBER(Main_M[[#This Row],[Free CF]]),IF(Main_M[[#This Row],[Free CF]]&lt;&gt;0,Main_M[[#This Row],[Current Price]]/Main_M[[#This Row],[Free CF]],""),"")</f>
        <v>14.852631578947369</v>
      </c>
      <c r="I24" s="1">
        <f>IF(ISNUMBER(Main_M[[#This Row],[BVPS]]),IF(Main_M[[#This Row],[BVPS]]&lt;&gt;0,Main_M[[#This Row],[Current Price]]/Main_M[[#This Row],[BVPS]],""),"")</f>
        <v>2.8810617662072486</v>
      </c>
      <c r="J24">
        <v>20.02</v>
      </c>
      <c r="K24">
        <v>7.31</v>
      </c>
      <c r="L24">
        <v>2.71</v>
      </c>
      <c r="M24" s="1">
        <f>IF(ISNUMBER(Main_M[[#This Row],[EPS]]),IF(Main_M[[#This Row],[EPS]]&lt;&gt;0,Main_M[[#This Row],[Current Price]]/Main_M[[#This Row],[EPS]],""),"")</f>
        <v>15.050666666666666</v>
      </c>
      <c r="N2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4" s="1">
        <f>(Main_M[[#This Row],[P/FCF]]-VLOOKUP(Main_M[[#This Row],[Industry]], Mean_PFCF_M, 2, FALSE))/(VLOOKUP(Main_M[[#This Row],[Industry]], Mean_PFCF_M, 3, FALSE))</f>
        <v>-0.94858438900798092</v>
      </c>
      <c r="P24" s="1">
        <f>(Main_M[[#This Row],[P/B]]-VLOOKUP(Main_M[[#This Row],[Industry]], Mean_PB_M, 2, FALSE))/(VLOOKUP(Main_M[[#This Row],[Industry]], Mean_PB_M, 3, FALSE))</f>
        <v>-0.8034269214588784</v>
      </c>
      <c r="Q24" s="1">
        <f>(Main_M[[#This Row],[ROE]]-VLOOKUP(Main_M[[#This Row],[Industry]], Mean_ROE_M, 2, FALSE))/(VLOOKUP(Main_M[[#This Row],[Industry]], Mean_ROE_M, 3, FALSE))</f>
        <v>-0.20041949685716753</v>
      </c>
      <c r="R24" s="1">
        <f>(Main_M[[#This Row],[ROA]]-VLOOKUP(Main_M[[#This Row],[Industry]], Mean_ROA_M, 2, FALSE))/(VLOOKUP(Main_M[[#This Row],[Industry]], Mean_ROA_M, 3, FALSE))</f>
        <v>-0.60738970551189986</v>
      </c>
      <c r="S24" s="1">
        <f>(Main_M[[#This Row],[A/E]]-VLOOKUP(Main_M[[#This Row],[Industry]], Mean_AE_M, 2, FALSE))/(VLOOKUP(Main_M[[#This Row],[Industry]], Mean_AE_M, 3, FALSE))</f>
        <v>1.6438502874395733</v>
      </c>
      <c r="T24" s="1">
        <f>(Main_M[[#This Row],[P/E]]-VLOOKUP(Main_M[[#This Row],[Industry]], Mean_PE_M, 2, FALSE))/(VLOOKUP(Main_M[[#This Row],[Industry]], Mean_PE_M, 3, FALSE))</f>
        <v>-1.1784061512546034</v>
      </c>
      <c r="U2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5" spans="1:26" x14ac:dyDescent="0.25">
      <c r="A25" t="s">
        <v>122</v>
      </c>
      <c r="B25" t="s">
        <v>269</v>
      </c>
      <c r="C25" s="2">
        <v>3227</v>
      </c>
      <c r="D25">
        <f>RTD("tos.rtd", , "LAST", Main_M[[#This Row],[Symbol]])</f>
        <v>73.52</v>
      </c>
      <c r="E25">
        <v>6.53</v>
      </c>
      <c r="F25">
        <v>4.7300000000000004</v>
      </c>
      <c r="G25">
        <v>4.9000000000000004</v>
      </c>
      <c r="H25" s="1">
        <f>IF(ISNUMBER(Main_M[[#This Row],[Free CF]]),IF(Main_M[[#This Row],[Free CF]]&lt;&gt;0,Main_M[[#This Row],[Current Price]]/Main_M[[#This Row],[Free CF]],""),"")</f>
        <v>11.258805513016844</v>
      </c>
      <c r="I25" s="1">
        <f>IF(ISNUMBER(Main_M[[#This Row],[BVPS]]),IF(Main_M[[#This Row],[BVPS]]&lt;&gt;0,Main_M[[#This Row],[Current Price]]/Main_M[[#This Row],[BVPS]],""),"")</f>
        <v>15.543340380549681</v>
      </c>
      <c r="J25">
        <v>93.05</v>
      </c>
      <c r="K25">
        <v>12.1</v>
      </c>
      <c r="L25">
        <v>10.210000000000001</v>
      </c>
      <c r="M25" s="1">
        <f>IF(ISNUMBER(Main_M[[#This Row],[EPS]]),IF(Main_M[[#This Row],[EPS]]&lt;&gt;0,Main_M[[#This Row],[Current Price]]/Main_M[[#This Row],[EPS]],""),"")</f>
        <v>15.00408163265306</v>
      </c>
      <c r="N2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5" s="1">
        <f>(Main_M[[#This Row],[P/FCF]]-VLOOKUP(Main_M[[#This Row],[Industry]], Mean_PFCF_M, 2, FALSE))/(VLOOKUP(Main_M[[#This Row],[Industry]], Mean_PFCF_M, 3, FALSE))</f>
        <v>-1.2429661776320697</v>
      </c>
      <c r="P25" s="1">
        <f>(Main_M[[#This Row],[P/B]]-VLOOKUP(Main_M[[#This Row],[Industry]], Mean_PB_M, 2, FALSE))/(VLOOKUP(Main_M[[#This Row],[Industry]], Mean_PB_M, 3, FALSE))</f>
        <v>4.0934898576107157</v>
      </c>
      <c r="Q25" s="1">
        <f>(Main_M[[#This Row],[ROE]]-VLOOKUP(Main_M[[#This Row],[Industry]], Mean_ROE_M, 2, FALSE))/(VLOOKUP(Main_M[[#This Row],[Industry]], Mean_ROE_M, 3, FALSE))</f>
        <v>3.3991220599774907</v>
      </c>
      <c r="R25" s="1">
        <f>(Main_M[[#This Row],[ROA]]-VLOOKUP(Main_M[[#This Row],[Industry]], Mean_ROA_M, 2, FALSE))/(VLOOKUP(Main_M[[#This Row],[Industry]], Mean_ROA_M, 3, FALSE))</f>
        <v>0.74372330814227983</v>
      </c>
      <c r="S25" s="1">
        <f>(Main_M[[#This Row],[A/E]]-VLOOKUP(Main_M[[#This Row],[Industry]], Mean_AE_M, 2, FALSE))/(VLOOKUP(Main_M[[#This Row],[Industry]], Mean_AE_M, 3, FALSE))</f>
        <v>16.839672582998485</v>
      </c>
      <c r="T25" s="1">
        <f>(Main_M[[#This Row],[P/E]]-VLOOKUP(Main_M[[#This Row],[Industry]], Mean_PE_M, 2, FALSE))/(VLOOKUP(Main_M[[#This Row],[Industry]], Mean_PE_M, 3, FALSE))</f>
        <v>-1.1819206943573601</v>
      </c>
      <c r="U2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2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2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2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6" spans="1:26" x14ac:dyDescent="0.25">
      <c r="A26" t="s">
        <v>122</v>
      </c>
      <c r="B26" t="s">
        <v>270</v>
      </c>
      <c r="C26" s="2">
        <v>2976</v>
      </c>
      <c r="D26">
        <f>RTD("tos.rtd", , "LAST", Main_M[[#This Row],[Symbol]])</f>
        <v>14.76</v>
      </c>
      <c r="E26">
        <v>1.2</v>
      </c>
      <c r="F26">
        <v>6.66</v>
      </c>
      <c r="G26">
        <v>0.56000000000000005</v>
      </c>
      <c r="H26" s="1">
        <f>IF(ISNUMBER(Main_M[[#This Row],[Free CF]]),IF(Main_M[[#This Row],[Free CF]]&lt;&gt;0,Main_M[[#This Row],[Current Price]]/Main_M[[#This Row],[Free CF]],""),"")</f>
        <v>12.3</v>
      </c>
      <c r="I26" s="1">
        <f>IF(ISNUMBER(Main_M[[#This Row],[BVPS]]),IF(Main_M[[#This Row],[BVPS]]&lt;&gt;0,Main_M[[#This Row],[Current Price]]/Main_M[[#This Row],[BVPS]],""),"")</f>
        <v>2.2162162162162162</v>
      </c>
      <c r="J26">
        <v>8.92</v>
      </c>
      <c r="K26">
        <v>4.6399999999999997</v>
      </c>
      <c r="L26">
        <v>2.0699999999999998</v>
      </c>
      <c r="M26" s="1">
        <f>IF(ISNUMBER(Main_M[[#This Row],[EPS]]),IF(Main_M[[#This Row],[EPS]]&lt;&gt;0,Main_M[[#This Row],[Current Price]]/Main_M[[#This Row],[EPS]],""),"")</f>
        <v>26.357142857142854</v>
      </c>
      <c r="N2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6" s="1">
        <f>(Main_M[[#This Row],[P/FCF]]-VLOOKUP(Main_M[[#This Row],[Industry]], Mean_PFCF_M, 2, FALSE))/(VLOOKUP(Main_M[[#This Row],[Industry]], Mean_PFCF_M, 3, FALSE))</f>
        <v>-1.1576786067367097</v>
      </c>
      <c r="P26" s="1">
        <f>(Main_M[[#This Row],[P/B]]-VLOOKUP(Main_M[[#This Row],[Industry]], Mean_PB_M, 2, FALSE))/(VLOOKUP(Main_M[[#This Row],[Industry]], Mean_PB_M, 3, FALSE))</f>
        <v>-1.0605444141630076</v>
      </c>
      <c r="Q26" s="1">
        <f>(Main_M[[#This Row],[ROE]]-VLOOKUP(Main_M[[#This Row],[Industry]], Mean_ROE_M, 2, FALSE))/(VLOOKUP(Main_M[[#This Row],[Industry]], Mean_ROE_M, 3, FALSE))</f>
        <v>-0.74752221191761814</v>
      </c>
      <c r="R26" s="1">
        <f>(Main_M[[#This Row],[ROA]]-VLOOKUP(Main_M[[#This Row],[Industry]], Mean_ROA_M, 2, FALSE))/(VLOOKUP(Main_M[[#This Row],[Industry]], Mean_ROA_M, 3, FALSE))</f>
        <v>-1.3605153310769644</v>
      </c>
      <c r="S26" s="1">
        <f>(Main_M[[#This Row],[A/E]]-VLOOKUP(Main_M[[#This Row],[Industry]], Mean_AE_M, 2, FALSE))/(VLOOKUP(Main_M[[#This Row],[Industry]], Mean_AE_M, 3, FALSE))</f>
        <v>0.34714011821854579</v>
      </c>
      <c r="T26" s="1">
        <f>(Main_M[[#This Row],[P/E]]-VLOOKUP(Main_M[[#This Row],[Industry]], Mean_PE_M, 2, FALSE))/(VLOOKUP(Main_M[[#This Row],[Industry]], Mean_PE_M, 3, FALSE))</f>
        <v>-0.32540477960989889</v>
      </c>
      <c r="U2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7" spans="1:26" x14ac:dyDescent="0.25">
      <c r="A27" t="s">
        <v>122</v>
      </c>
      <c r="B27" t="s">
        <v>272</v>
      </c>
      <c r="C27" s="2">
        <v>2826</v>
      </c>
      <c r="D27">
        <f>RTD("tos.rtd", , "LAST", Main_M[[#This Row],[Symbol]])</f>
        <v>21.51</v>
      </c>
      <c r="E27">
        <v>2.41</v>
      </c>
      <c r="F27">
        <v>19.2</v>
      </c>
      <c r="G27">
        <v>0.61</v>
      </c>
      <c r="H27" s="1">
        <f>IF(ISNUMBER(Main_M[[#This Row],[Free CF]]),IF(Main_M[[#This Row],[Free CF]]&lt;&gt;0,Main_M[[#This Row],[Current Price]]/Main_M[[#This Row],[Free CF]],""),"")</f>
        <v>8.9253112033195023</v>
      </c>
      <c r="I27" s="1">
        <f>IF(ISNUMBER(Main_M[[#This Row],[BVPS]]),IF(Main_M[[#This Row],[BVPS]]&lt;&gt;0,Main_M[[#This Row],[Current Price]]/Main_M[[#This Row],[BVPS]],""),"")</f>
        <v>1.1203125</v>
      </c>
      <c r="J27">
        <v>3.83</v>
      </c>
      <c r="K27">
        <v>5.07</v>
      </c>
      <c r="L27">
        <v>2.9</v>
      </c>
      <c r="M27" s="1">
        <f>IF(ISNUMBER(Main_M[[#This Row],[EPS]]),IF(Main_M[[#This Row],[EPS]]&lt;&gt;0,Main_M[[#This Row],[Current Price]]/Main_M[[#This Row],[EPS]],""),"")</f>
        <v>35.262295081967217</v>
      </c>
      <c r="N2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7" s="1">
        <f>(Main_M[[#This Row],[P/FCF]]-VLOOKUP(Main_M[[#This Row],[Industry]], Mean_PFCF_M, 2, FALSE))/(VLOOKUP(Main_M[[#This Row],[Industry]], Mean_PFCF_M, 3, FALSE))</f>
        <v>-1.4341101606826163</v>
      </c>
      <c r="P27" s="1">
        <f>(Main_M[[#This Row],[P/B]]-VLOOKUP(Main_M[[#This Row],[Industry]], Mean_PB_M, 2, FALSE))/(VLOOKUP(Main_M[[#This Row],[Industry]], Mean_PB_M, 3, FALSE))</f>
        <v>-1.4843661811319697</v>
      </c>
      <c r="Q27" s="1">
        <f>(Main_M[[#This Row],[ROE]]-VLOOKUP(Main_M[[#This Row],[Industry]], Mean_ROE_M, 2, FALSE))/(VLOOKUP(Main_M[[#This Row],[Industry]], Mean_ROE_M, 3, FALSE))</f>
        <v>-0.99840084431921206</v>
      </c>
      <c r="R27" s="1">
        <f>(Main_M[[#This Row],[ROA]]-VLOOKUP(Main_M[[#This Row],[Industry]], Mean_ROA_M, 2, FALSE))/(VLOOKUP(Main_M[[#This Row],[Industry]], Mean_ROA_M, 3, FALSE))</f>
        <v>-1.2392254363230402</v>
      </c>
      <c r="S27" s="1">
        <f>(Main_M[[#This Row],[A/E]]-VLOOKUP(Main_M[[#This Row],[Industry]], Mean_AE_M, 2, FALSE))/(VLOOKUP(Main_M[[#This Row],[Industry]], Mean_AE_M, 3, FALSE))</f>
        <v>2.0288111189270657</v>
      </c>
      <c r="T27" s="1">
        <f>(Main_M[[#This Row],[P/E]]-VLOOKUP(Main_M[[#This Row],[Industry]], Mean_PE_M, 2, FALSE))/(VLOOKUP(Main_M[[#This Row],[Industry]], Mean_PE_M, 3, FALSE))</f>
        <v>0.34643204510110359</v>
      </c>
      <c r="U2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8" spans="1:26" x14ac:dyDescent="0.25">
      <c r="A28" t="s">
        <v>122</v>
      </c>
      <c r="B28" t="s">
        <v>274</v>
      </c>
      <c r="C28" s="2">
        <v>6458</v>
      </c>
      <c r="D28">
        <f>RTD("tos.rtd", , "LAST", Main_M[[#This Row],[Symbol]])</f>
        <v>165.8</v>
      </c>
      <c r="E28">
        <v>3.74</v>
      </c>
      <c r="F28">
        <v>44.47</v>
      </c>
      <c r="G28">
        <v>7.68</v>
      </c>
      <c r="H28" s="1">
        <f>IF(ISNUMBER(Main_M[[#This Row],[Free CF]]),IF(Main_M[[#This Row],[Free CF]]&lt;&gt;0,Main_M[[#This Row],[Current Price]]/Main_M[[#This Row],[Free CF]],""),"")</f>
        <v>44.331550802139041</v>
      </c>
      <c r="I28" s="1">
        <f>IF(ISNUMBER(Main_M[[#This Row],[BVPS]]),IF(Main_M[[#This Row],[BVPS]]&lt;&gt;0,Main_M[[#This Row],[Current Price]]/Main_M[[#This Row],[BVPS]],""),"")</f>
        <v>3.7283561951877675</v>
      </c>
      <c r="J28">
        <v>18.100000000000001</v>
      </c>
      <c r="K28">
        <v>9.91</v>
      </c>
      <c r="L28">
        <v>1.52</v>
      </c>
      <c r="M28" s="1">
        <f>IF(ISNUMBER(Main_M[[#This Row],[EPS]]),IF(Main_M[[#This Row],[EPS]]&lt;&gt;0,Main_M[[#This Row],[Current Price]]/Main_M[[#This Row],[EPS]],""),"")</f>
        <v>21.588541666666668</v>
      </c>
      <c r="N2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8" s="1">
        <f>(Main_M[[#This Row],[P/FCF]]-VLOOKUP(Main_M[[#This Row],[Industry]], Mean_PFCF_M, 2, FALSE))/(VLOOKUP(Main_M[[#This Row],[Industry]], Mean_PFCF_M, 3, FALSE))</f>
        <v>1.466128178719263</v>
      </c>
      <c r="P28" s="1">
        <f>(Main_M[[#This Row],[P/B]]-VLOOKUP(Main_M[[#This Row],[Industry]], Mean_PB_M, 2, FALSE))/(VLOOKUP(Main_M[[#This Row],[Industry]], Mean_PB_M, 3, FALSE))</f>
        <v>-0.47575048718841334</v>
      </c>
      <c r="Q28" s="1">
        <f>(Main_M[[#This Row],[ROE]]-VLOOKUP(Main_M[[#This Row],[Industry]], Mean_ROE_M, 2, FALSE))/(VLOOKUP(Main_M[[#This Row],[Industry]], Mean_ROE_M, 3, FALSE))</f>
        <v>-0.29505348000275888</v>
      </c>
      <c r="R28" s="1">
        <f>(Main_M[[#This Row],[ROA]]-VLOOKUP(Main_M[[#This Row],[Industry]], Mean_ROA_M, 2, FALSE))/(VLOOKUP(Main_M[[#This Row],[Industry]], Mean_ROA_M, 3, FALSE))</f>
        <v>0.12599105346531683</v>
      </c>
      <c r="S28" s="1">
        <f>(Main_M[[#This Row],[A/E]]-VLOOKUP(Main_M[[#This Row],[Industry]], Mean_AE_M, 2, FALSE))/(VLOOKUP(Main_M[[#This Row],[Industry]], Mean_AE_M, 3, FALSE))</f>
        <v>-0.76722018345577403</v>
      </c>
      <c r="T28" s="1">
        <f>(Main_M[[#This Row],[P/E]]-VLOOKUP(Main_M[[#This Row],[Industry]], Mean_PE_M, 2, FALSE))/(VLOOKUP(Main_M[[#This Row],[Industry]], Mean_PE_M, 3, FALSE))</f>
        <v>-0.68516526446627257</v>
      </c>
      <c r="U2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9" spans="1:26" x14ac:dyDescent="0.25">
      <c r="A29" t="s">
        <v>122</v>
      </c>
      <c r="B29" t="s">
        <v>275</v>
      </c>
      <c r="C29" s="2">
        <v>3328</v>
      </c>
      <c r="D29">
        <f>RTD("tos.rtd", , "LAST", Main_M[[#This Row],[Symbol]])</f>
        <v>87.5</v>
      </c>
      <c r="E29">
        <v>1.94</v>
      </c>
      <c r="F29">
        <v>13.43</v>
      </c>
      <c r="G29">
        <v>3.43</v>
      </c>
      <c r="H29" s="1">
        <f>IF(ISNUMBER(Main_M[[#This Row],[Free CF]]),IF(Main_M[[#This Row],[Free CF]]&lt;&gt;0,Main_M[[#This Row],[Current Price]]/Main_M[[#This Row],[Free CF]],""),"")</f>
        <v>45.103092783505154</v>
      </c>
      <c r="I29" s="1">
        <f>IF(ISNUMBER(Main_M[[#This Row],[BVPS]]),IF(Main_M[[#This Row],[BVPS]]&lt;&gt;0,Main_M[[#This Row],[Current Price]]/Main_M[[#This Row],[BVPS]],""),"")</f>
        <v>6.5152643335815341</v>
      </c>
      <c r="J29">
        <v>27.36</v>
      </c>
      <c r="K29">
        <v>14.34</v>
      </c>
      <c r="L29">
        <v>1.61</v>
      </c>
      <c r="M29" s="1">
        <f>IF(ISNUMBER(Main_M[[#This Row],[EPS]]),IF(Main_M[[#This Row],[EPS]]&lt;&gt;0,Main_M[[#This Row],[Current Price]]/Main_M[[#This Row],[EPS]],""),"")</f>
        <v>25.510204081632651</v>
      </c>
      <c r="N2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9" s="1">
        <f>(Main_M[[#This Row],[P/FCF]]-VLOOKUP(Main_M[[#This Row],[Industry]], Mean_PFCF_M, 2, FALSE))/(VLOOKUP(Main_M[[#This Row],[Industry]], Mean_PFCF_M, 3, FALSE))</f>
        <v>1.5293276503426403</v>
      </c>
      <c r="P29" s="1">
        <f>(Main_M[[#This Row],[P/B]]-VLOOKUP(Main_M[[#This Row],[Industry]], Mean_PB_M, 2, FALSE))/(VLOOKUP(Main_M[[#This Row],[Industry]], Mean_PB_M, 3, FALSE))</f>
        <v>0.60203792991117067</v>
      </c>
      <c r="Q29" s="1">
        <f>(Main_M[[#This Row],[ROE]]-VLOOKUP(Main_M[[#This Row],[Industry]], Mean_ROE_M, 2, FALSE))/(VLOOKUP(Main_M[[#This Row],[Industry]], Mean_ROE_M, 3, FALSE))</f>
        <v>0.1613583345431665</v>
      </c>
      <c r="R29" s="1">
        <f>(Main_M[[#This Row],[ROA]]-VLOOKUP(Main_M[[#This Row],[Industry]], Mean_ROA_M, 2, FALSE))/(VLOOKUP(Main_M[[#This Row],[Industry]], Mean_ROA_M, 3, FALSE))</f>
        <v>1.3755590389534202</v>
      </c>
      <c r="S29" s="1">
        <f>(Main_M[[#This Row],[A/E]]-VLOOKUP(Main_M[[#This Row],[Industry]], Mean_AE_M, 2, FALSE))/(VLOOKUP(Main_M[[#This Row],[Industry]], Mean_AE_M, 3, FALSE))</f>
        <v>-0.58487031590906691</v>
      </c>
      <c r="T29" s="1">
        <f>(Main_M[[#This Row],[P/E]]-VLOOKUP(Main_M[[#This Row],[Industry]], Mean_PE_M, 2, FALSE))/(VLOOKUP(Main_M[[#This Row],[Industry]], Mean_PE_M, 3, FALSE))</f>
        <v>-0.38930089764336934</v>
      </c>
      <c r="U2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0" spans="1:26" x14ac:dyDescent="0.25">
      <c r="A30" t="s">
        <v>122</v>
      </c>
      <c r="B30" t="s">
        <v>276</v>
      </c>
      <c r="C30" s="2">
        <v>6064</v>
      </c>
      <c r="D30">
        <f>RTD("tos.rtd", , "LAST", Main_M[[#This Row],[Symbol]])</f>
        <v>61.67</v>
      </c>
      <c r="E30">
        <v>-0.86</v>
      </c>
      <c r="F30">
        <v>7.93</v>
      </c>
      <c r="G30">
        <v>2.09</v>
      </c>
      <c r="H30" s="1">
        <f>IF(ISNUMBER(Main_M[[#This Row],[Free CF]]),IF(Main_M[[#This Row],[Free CF]]&lt;&gt;0,Main_M[[#This Row],[Current Price]]/Main_M[[#This Row],[Free CF]],""),"")</f>
        <v>-71.709302325581405</v>
      </c>
      <c r="I30" s="1">
        <f>IF(ISNUMBER(Main_M[[#This Row],[BVPS]]),IF(Main_M[[#This Row],[BVPS]]&lt;&gt;0,Main_M[[#This Row],[Current Price]]/Main_M[[#This Row],[BVPS]],""),"")</f>
        <v>7.7767969735182856</v>
      </c>
      <c r="J30">
        <v>28.9</v>
      </c>
      <c r="K30">
        <v>16.93</v>
      </c>
      <c r="L30">
        <v>1.56</v>
      </c>
      <c r="M30" s="1">
        <f>IF(ISNUMBER(Main_M[[#This Row],[EPS]]),IF(Main_M[[#This Row],[EPS]]&lt;&gt;0,Main_M[[#This Row],[Current Price]]/Main_M[[#This Row],[EPS]],""),"")</f>
        <v>29.507177033492827</v>
      </c>
      <c r="N3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0" s="1">
        <f>(Main_M[[#This Row],[P/FCF]]-VLOOKUP(Main_M[[#This Row],[Industry]], Mean_PFCF_M, 2, FALSE))/(VLOOKUP(Main_M[[#This Row],[Industry]], Mean_PFCF_M, 3, FALSE))</f>
        <v>-8.0391492806000233</v>
      </c>
      <c r="P30" s="1">
        <f>(Main_M[[#This Row],[P/B]]-VLOOKUP(Main_M[[#This Row],[Industry]], Mean_PB_M, 2, FALSE))/(VLOOKUP(Main_M[[#This Row],[Industry]], Mean_PB_M, 3, FALSE))</f>
        <v>1.0899138122861574</v>
      </c>
      <c r="Q30" s="1">
        <f>(Main_M[[#This Row],[ROE]]-VLOOKUP(Main_M[[#This Row],[Industry]], Mean_ROE_M, 2, FALSE))/(VLOOKUP(Main_M[[#This Row],[Industry]], Mean_ROE_M, 3, FALSE))</f>
        <v>0.23726267519119296</v>
      </c>
      <c r="R30" s="1">
        <f>(Main_M[[#This Row],[ROA]]-VLOOKUP(Main_M[[#This Row],[Industry]], Mean_ROA_M, 2, FALSE))/(VLOOKUP(Main_M[[#This Row],[Industry]], Mean_ROA_M, 3, FALSE))</f>
        <v>2.1061191027038015</v>
      </c>
      <c r="S30" s="1">
        <f>(Main_M[[#This Row],[A/E]]-VLOOKUP(Main_M[[#This Row],[Industry]], Mean_AE_M, 2, FALSE))/(VLOOKUP(Main_M[[#This Row],[Industry]], Mean_AE_M, 3, FALSE))</f>
        <v>-0.6861757978794597</v>
      </c>
      <c r="T30" s="1">
        <f>(Main_M[[#This Row],[P/E]]-VLOOKUP(Main_M[[#This Row],[Industry]], Mean_PE_M, 2, FALSE))/(VLOOKUP(Main_M[[#This Row],[Industry]], Mean_PE_M, 3, FALSE))</f>
        <v>-8.7754832103039304E-2</v>
      </c>
      <c r="U3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3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1" spans="1:26" x14ac:dyDescent="0.25">
      <c r="A31" t="s">
        <v>122</v>
      </c>
      <c r="B31" t="s">
        <v>277</v>
      </c>
      <c r="C31" s="2">
        <v>5894</v>
      </c>
      <c r="D31">
        <f>RTD("tos.rtd", , "LAST", Main_M[[#This Row],[Symbol]])</f>
        <v>103.59</v>
      </c>
      <c r="E31">
        <v>5.13</v>
      </c>
      <c r="F31">
        <v>53.8</v>
      </c>
      <c r="G31">
        <v>6.08</v>
      </c>
      <c r="H31" s="1">
        <f>IF(ISNUMBER(Main_M[[#This Row],[Free CF]]),IF(Main_M[[#This Row],[Free CF]]&lt;&gt;0,Main_M[[#This Row],[Current Price]]/Main_M[[#This Row],[Free CF]],""),"")</f>
        <v>20.192982456140353</v>
      </c>
      <c r="I31" s="1">
        <f>IF(ISNUMBER(Main_M[[#This Row],[BVPS]]),IF(Main_M[[#This Row],[BVPS]]&lt;&gt;0,Main_M[[#This Row],[Current Price]]/Main_M[[#This Row],[BVPS]],""),"")</f>
        <v>1.9254646840148701</v>
      </c>
      <c r="J31">
        <v>11.79</v>
      </c>
      <c r="K31">
        <v>6.94</v>
      </c>
      <c r="L31">
        <v>1.27</v>
      </c>
      <c r="M31" s="1">
        <f>IF(ISNUMBER(Main_M[[#This Row],[EPS]]),IF(Main_M[[#This Row],[EPS]]&lt;&gt;0,Main_M[[#This Row],[Current Price]]/Main_M[[#This Row],[EPS]],""),"")</f>
        <v>17.037828947368421</v>
      </c>
      <c r="N3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YES</v>
      </c>
      <c r="O31" s="1">
        <f>(Main_M[[#This Row],[P/FCF]]-VLOOKUP(Main_M[[#This Row],[Industry]], Mean_PFCF_M, 2, FALSE))/(VLOOKUP(Main_M[[#This Row],[Industry]], Mean_PFCF_M, 3, FALSE))</f>
        <v>-0.511139166488221</v>
      </c>
      <c r="P31" s="1">
        <f>(Main_M[[#This Row],[P/B]]-VLOOKUP(Main_M[[#This Row],[Industry]], Mean_PB_M, 2, FALSE))/(VLOOKUP(Main_M[[#This Row],[Industry]], Mean_PB_M, 3, FALSE))</f>
        <v>-1.1729875296512622</v>
      </c>
      <c r="Q31" s="1">
        <f>(Main_M[[#This Row],[ROE]]-VLOOKUP(Main_M[[#This Row],[Industry]], Mean_ROE_M, 2, FALSE))/(VLOOKUP(Main_M[[#This Row],[Industry]], Mean_ROE_M, 3, FALSE))</f>
        <v>-0.60606412252811426</v>
      </c>
      <c r="R31" s="1">
        <f>(Main_M[[#This Row],[ROA]]-VLOOKUP(Main_M[[#This Row],[Industry]], Mean_ROA_M, 2, FALSE))/(VLOOKUP(Main_M[[#This Row],[Industry]], Mean_ROA_M, 3, FALSE))</f>
        <v>-0.71175542890481125</v>
      </c>
      <c r="S31" s="1">
        <f>(Main_M[[#This Row],[A/E]]-VLOOKUP(Main_M[[#This Row],[Industry]], Mean_AE_M, 2, FALSE))/(VLOOKUP(Main_M[[#This Row],[Industry]], Mean_AE_M, 3, FALSE))</f>
        <v>-1.2737475933077378</v>
      </c>
      <c r="T31" s="1">
        <f>(Main_M[[#This Row],[P/E]]-VLOOKUP(Main_M[[#This Row],[Industry]], Mean_PE_M, 2, FALSE))/(VLOOKUP(Main_M[[#This Row],[Industry]], Mean_PE_M, 3, FALSE))</f>
        <v>-1.0284874566442515</v>
      </c>
      <c r="U3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2" spans="1:26" x14ac:dyDescent="0.25">
      <c r="A32" t="s">
        <v>122</v>
      </c>
      <c r="B32" t="s">
        <v>134</v>
      </c>
      <c r="C32" s="2">
        <v>8627</v>
      </c>
      <c r="D32">
        <f>RTD("tos.rtd", , "LAST", Main_M[[#This Row],[Symbol]])</f>
        <v>123.55</v>
      </c>
      <c r="E32">
        <v>4.4400000000000004</v>
      </c>
      <c r="F32">
        <v>20.239999999999998</v>
      </c>
      <c r="G32">
        <v>5.98</v>
      </c>
      <c r="H32" s="1">
        <f>IF(ISNUMBER(Main_M[[#This Row],[Free CF]]),IF(Main_M[[#This Row],[Free CF]]&lt;&gt;0,Main_M[[#This Row],[Current Price]]/Main_M[[#This Row],[Free CF]],""),"")</f>
        <v>27.826576576576574</v>
      </c>
      <c r="I32" s="1">
        <f>IF(ISNUMBER(Main_M[[#This Row],[BVPS]]),IF(Main_M[[#This Row],[BVPS]]&lt;&gt;0,Main_M[[#This Row],[Current Price]]/Main_M[[#This Row],[BVPS]],""),"")</f>
        <v>6.104249011857708</v>
      </c>
      <c r="J32">
        <v>36.68</v>
      </c>
      <c r="K32">
        <v>12.72</v>
      </c>
      <c r="L32">
        <v>2.48</v>
      </c>
      <c r="M32" s="1">
        <f>IF(ISNUMBER(Main_M[[#This Row],[EPS]]),IF(Main_M[[#This Row],[EPS]]&lt;&gt;0,Main_M[[#This Row],[Current Price]]/Main_M[[#This Row],[EPS]],""),"")</f>
        <v>20.660535117056853</v>
      </c>
      <c r="N3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2" s="1">
        <f>(Main_M[[#This Row],[P/FCF]]-VLOOKUP(Main_M[[#This Row],[Industry]], Mean_PFCF_M, 2, FALSE))/(VLOOKUP(Main_M[[#This Row],[Industry]], Mean_PFCF_M, 3, FALSE))</f>
        <v>0.11415294547782999</v>
      </c>
      <c r="P32" s="1">
        <f>(Main_M[[#This Row],[P/B]]-VLOOKUP(Main_M[[#This Row],[Industry]], Mean_PB_M, 2, FALSE))/(VLOOKUP(Main_M[[#This Row],[Industry]], Mean_PB_M, 3, FALSE))</f>
        <v>0.4430848783550061</v>
      </c>
      <c r="Q32" s="1">
        <f>(Main_M[[#This Row],[ROE]]-VLOOKUP(Main_M[[#This Row],[Industry]], Mean_ROE_M, 2, FALSE))/(VLOOKUP(Main_M[[#This Row],[Industry]], Mean_ROE_M, 3, FALSE))</f>
        <v>0.62072746106239174</v>
      </c>
      <c r="R32" s="1">
        <f>(Main_M[[#This Row],[ROA]]-VLOOKUP(Main_M[[#This Row],[Industry]], Mean_ROA_M, 2, FALSE))/(VLOOKUP(Main_M[[#This Row],[Industry]], Mean_ROA_M, 3, FALSE))</f>
        <v>0.91860641220607797</v>
      </c>
      <c r="S32" s="1">
        <f>(Main_M[[#This Row],[A/E]]-VLOOKUP(Main_M[[#This Row],[Industry]], Mean_AE_M, 2, FALSE))/(VLOOKUP(Main_M[[#This Row],[Industry]], Mean_AE_M, 3, FALSE))</f>
        <v>1.1778450703757666</v>
      </c>
      <c r="T32" s="1">
        <f>(Main_M[[#This Row],[P/E]]-VLOOKUP(Main_M[[#This Row],[Industry]], Mean_PE_M, 2, FALSE))/(VLOOKUP(Main_M[[#This Row],[Industry]], Mean_PE_M, 3, FALSE))</f>
        <v>-0.75517742797122245</v>
      </c>
      <c r="U3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3" spans="1:26" x14ac:dyDescent="0.25">
      <c r="A33" t="s">
        <v>122</v>
      </c>
      <c r="B33" t="s">
        <v>278</v>
      </c>
      <c r="C33" s="2">
        <v>5763</v>
      </c>
      <c r="D33">
        <f>RTD("tos.rtd", , "LAST", Main_M[[#This Row],[Symbol]])</f>
        <v>37.46</v>
      </c>
      <c r="E33">
        <v>1.52</v>
      </c>
      <c r="F33">
        <v>9.19</v>
      </c>
      <c r="G33">
        <v>0.96</v>
      </c>
      <c r="H33" s="1">
        <f>IF(ISNUMBER(Main_M[[#This Row],[Free CF]]),IF(Main_M[[#This Row],[Free CF]]&lt;&gt;0,Main_M[[#This Row],[Current Price]]/Main_M[[#This Row],[Free CF]],""),"")</f>
        <v>24.644736842105264</v>
      </c>
      <c r="I33" s="1">
        <f>IF(ISNUMBER(Main_M[[#This Row],[BVPS]]),IF(Main_M[[#This Row],[BVPS]]&lt;&gt;0,Main_M[[#This Row],[Current Price]]/Main_M[[#This Row],[BVPS]],""),"")</f>
        <v>4.0761697497279652</v>
      </c>
      <c r="J33">
        <v>10.49</v>
      </c>
      <c r="K33">
        <v>6.2</v>
      </c>
      <c r="L33">
        <v>1.68</v>
      </c>
      <c r="M33" s="1">
        <f>IF(ISNUMBER(Main_M[[#This Row],[EPS]]),IF(Main_M[[#This Row],[EPS]]&lt;&gt;0,Main_M[[#This Row],[Current Price]]/Main_M[[#This Row],[EPS]],""),"")</f>
        <v>39.020833333333336</v>
      </c>
      <c r="N3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YES</v>
      </c>
      <c r="O33" s="1">
        <f>(Main_M[[#This Row],[P/FCF]]-VLOOKUP(Main_M[[#This Row],[Industry]], Mean_PFCF_M, 2, FALSE))/(VLOOKUP(Main_M[[#This Row],[Industry]], Mean_PFCF_M, 3, FALSE))</f>
        <v>-0.1464817249166408</v>
      </c>
      <c r="P33" s="1">
        <f>(Main_M[[#This Row],[P/B]]-VLOOKUP(Main_M[[#This Row],[Industry]], Mean_PB_M, 2, FALSE))/(VLOOKUP(Main_M[[#This Row],[Industry]], Mean_PB_M, 3, FALSE))</f>
        <v>-0.34123962361552379</v>
      </c>
      <c r="Q33" s="1">
        <f>(Main_M[[#This Row],[ROE]]-VLOOKUP(Main_M[[#This Row],[Industry]], Mean_ROE_M, 2, FALSE))/(VLOOKUP(Main_M[[#This Row],[Industry]], Mean_ROE_M, 3, FALSE))</f>
        <v>-0.67013921528294174</v>
      </c>
      <c r="R33" s="1">
        <f>(Main_M[[#This Row],[ROA]]-VLOOKUP(Main_M[[#This Row],[Industry]], Mean_ROA_M, 2, FALSE))/(VLOOKUP(Main_M[[#This Row],[Industry]], Mean_ROA_M, 3, FALSE))</f>
        <v>-0.92048687569063448</v>
      </c>
      <c r="S33" s="1">
        <f>(Main_M[[#This Row],[A/E]]-VLOOKUP(Main_M[[#This Row],[Industry]], Mean_AE_M, 2, FALSE))/(VLOOKUP(Main_M[[#This Row],[Industry]], Mean_AE_M, 3, FALSE))</f>
        <v>-0.44304264115051739</v>
      </c>
      <c r="T33" s="1">
        <f>(Main_M[[#This Row],[P/E]]-VLOOKUP(Main_M[[#This Row],[Industry]], Mean_PE_M, 2, FALSE))/(VLOOKUP(Main_M[[#This Row],[Industry]], Mean_PE_M, 3, FALSE))</f>
        <v>0.629989736267069</v>
      </c>
      <c r="U3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4" spans="1:26" x14ac:dyDescent="0.25">
      <c r="A34" t="s">
        <v>191</v>
      </c>
      <c r="B34" t="s">
        <v>347</v>
      </c>
      <c r="C34" s="2">
        <v>3407</v>
      </c>
      <c r="D34">
        <f>RTD("tos.rtd", , "LAST", Main_M[[#This Row],[Symbol]])</f>
        <v>75.010000000000005</v>
      </c>
      <c r="E34">
        <v>3.9</v>
      </c>
      <c r="F34">
        <v>23.45</v>
      </c>
      <c r="G34">
        <v>3.99</v>
      </c>
      <c r="H34" s="1">
        <f>IF(ISNUMBER(Main_M[[#This Row],[Free CF]]),IF(Main_M[[#This Row],[Free CF]]&lt;&gt;0,Main_M[[#This Row],[Current Price]]/Main_M[[#This Row],[Free CF]],""),"")</f>
        <v>19.233333333333334</v>
      </c>
      <c r="I34" s="1">
        <f>IF(ISNUMBER(Main_M[[#This Row],[BVPS]]),IF(Main_M[[#This Row],[BVPS]]&lt;&gt;0,Main_M[[#This Row],[Current Price]]/Main_M[[#This Row],[BVPS]],""),"")</f>
        <v>3.1987206823027723</v>
      </c>
      <c r="J34">
        <v>17.920000000000002</v>
      </c>
      <c r="K34">
        <v>10.46</v>
      </c>
      <c r="L34">
        <v>1.42</v>
      </c>
      <c r="M34" s="1">
        <f>IF(ISNUMBER(Main_M[[#This Row],[EPS]]),IF(Main_M[[#This Row],[EPS]]&lt;&gt;0,Main_M[[#This Row],[Current Price]]/Main_M[[#This Row],[EPS]],""),"")</f>
        <v>18.799498746867169</v>
      </c>
      <c r="N3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4" s="1">
        <f>(Main_M[[#This Row],[P/FCF]]-VLOOKUP(Main_M[[#This Row],[Industry]], Mean_PFCF_M, 2, FALSE))/(VLOOKUP(Main_M[[#This Row],[Industry]], Mean_PFCF_M, 3, FALSE))</f>
        <v>3.842359711733502E-2</v>
      </c>
      <c r="P34" s="1">
        <f>(Main_M[[#This Row],[P/B]]-VLOOKUP(Main_M[[#This Row],[Industry]], Mean_PB_M, 2, FALSE))/(VLOOKUP(Main_M[[#This Row],[Industry]], Mean_PB_M, 3, FALSE))</f>
        <v>-0.1614988441616311</v>
      </c>
      <c r="Q34" s="1">
        <f>(Main_M[[#This Row],[ROE]]-VLOOKUP(Main_M[[#This Row],[Industry]], Mean_ROE_M, 2, FALSE))/(VLOOKUP(Main_M[[#This Row],[Industry]], Mean_ROE_M, 3, FALSE))</f>
        <v>0.62249933449729711</v>
      </c>
      <c r="R34" s="1">
        <f>(Main_M[[#This Row],[ROA]]-VLOOKUP(Main_M[[#This Row],[Industry]], Mean_ROA_M, 2, FALSE))/(VLOOKUP(Main_M[[#This Row],[Industry]], Mean_ROA_M, 3, FALSE))</f>
        <v>1.2951506863698856</v>
      </c>
      <c r="S34" s="1">
        <f>(Main_M[[#This Row],[A/E]]-VLOOKUP(Main_M[[#This Row],[Industry]], Mean_AE_M, 2, FALSE))/(VLOOKUP(Main_M[[#This Row],[Industry]], Mean_AE_M, 3, FALSE))</f>
        <v>-1.311959324428587</v>
      </c>
      <c r="T34" s="1">
        <f>(Main_M[[#This Row],[P/E]]-VLOOKUP(Main_M[[#This Row],[Industry]], Mean_PE_M, 2, FALSE))/(VLOOKUP(Main_M[[#This Row],[Industry]], Mean_PE_M, 3, FALSE))</f>
        <v>-0.57027165788867951</v>
      </c>
      <c r="U3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5" spans="1:26" x14ac:dyDescent="0.25">
      <c r="A35" t="s">
        <v>191</v>
      </c>
      <c r="B35" t="s">
        <v>348</v>
      </c>
      <c r="C35" s="2">
        <v>3102</v>
      </c>
      <c r="D35">
        <f>RTD("tos.rtd", , "LAST", Main_M[[#This Row],[Symbol]])</f>
        <v>51.95</v>
      </c>
      <c r="E35">
        <v>0.92</v>
      </c>
      <c r="F35">
        <v>28.6</v>
      </c>
      <c r="G35">
        <v>1.27</v>
      </c>
      <c r="H35" s="1">
        <f>IF(ISNUMBER(Main_M[[#This Row],[Free CF]]),IF(Main_M[[#This Row],[Free CF]]&lt;&gt;0,Main_M[[#This Row],[Current Price]]/Main_M[[#This Row],[Free CF]],""),"")</f>
        <v>56.467391304347828</v>
      </c>
      <c r="I35" s="1">
        <f>IF(ISNUMBER(Main_M[[#This Row],[BVPS]]),IF(Main_M[[#This Row],[BVPS]]&lt;&gt;0,Main_M[[#This Row],[Current Price]]/Main_M[[#This Row],[BVPS]],""),"")</f>
        <v>1.8164335664335665</v>
      </c>
      <c r="J35">
        <v>4.46</v>
      </c>
      <c r="K35">
        <v>3.82</v>
      </c>
      <c r="L35">
        <v>2.93</v>
      </c>
      <c r="M35" s="1">
        <f>IF(ISNUMBER(Main_M[[#This Row],[EPS]]),IF(Main_M[[#This Row],[EPS]]&lt;&gt;0,Main_M[[#This Row],[Current Price]]/Main_M[[#This Row],[EPS]],""),"")</f>
        <v>40.905511811023622</v>
      </c>
      <c r="N3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5" s="1">
        <f>(Main_M[[#This Row],[P/FCF]]-VLOOKUP(Main_M[[#This Row],[Industry]], Mean_PFCF_M, 2, FALSE))/(VLOOKUP(Main_M[[#This Row],[Industry]], Mean_PFCF_M, 3, FALSE))</f>
        <v>7.3202230485800408</v>
      </c>
      <c r="P35" s="1">
        <f>(Main_M[[#This Row],[P/B]]-VLOOKUP(Main_M[[#This Row],[Industry]], Mean_PB_M, 2, FALSE))/(VLOOKUP(Main_M[[#This Row],[Industry]], Mean_PB_M, 3, FALSE))</f>
        <v>-1.0154951418846254</v>
      </c>
      <c r="Q35" s="1">
        <f>(Main_M[[#This Row],[ROE]]-VLOOKUP(Main_M[[#This Row],[Industry]], Mean_ROE_M, 2, FALSE))/(VLOOKUP(Main_M[[#This Row],[Industry]], Mean_ROE_M, 3, FALSE))</f>
        <v>-0.14678982011634822</v>
      </c>
      <c r="R35" s="1">
        <f>(Main_M[[#This Row],[ROA]]-VLOOKUP(Main_M[[#This Row],[Industry]], Mean_ROA_M, 2, FALSE))/(VLOOKUP(Main_M[[#This Row],[Industry]], Mean_ROA_M, 3, FALSE))</f>
        <v>-0.29470614139089829</v>
      </c>
      <c r="S35" s="1">
        <f>(Main_M[[#This Row],[A/E]]-VLOOKUP(Main_M[[#This Row],[Industry]], Mean_AE_M, 2, FALSE))/(VLOOKUP(Main_M[[#This Row],[Industry]], Mean_AE_M, 3, FALSE))</f>
        <v>1.2278593677344463</v>
      </c>
      <c r="T35" s="1">
        <f>(Main_M[[#This Row],[P/E]]-VLOOKUP(Main_M[[#This Row],[Industry]], Mean_PE_M, 2, FALSE))/(VLOOKUP(Main_M[[#This Row],[Industry]], Mean_PE_M, 3, FALSE))</f>
        <v>0.61388682360082214</v>
      </c>
      <c r="U3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3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6" spans="1:26" x14ac:dyDescent="0.25">
      <c r="A36" t="s">
        <v>191</v>
      </c>
      <c r="B36" t="s">
        <v>349</v>
      </c>
      <c r="C36" s="2">
        <v>7631</v>
      </c>
      <c r="D36">
        <f>RTD("tos.rtd", , "LAST", Main_M[[#This Row],[Symbol]])</f>
        <v>112.23</v>
      </c>
      <c r="E36">
        <v>1.56</v>
      </c>
      <c r="F36">
        <v>24.37</v>
      </c>
      <c r="G36">
        <v>0.21</v>
      </c>
      <c r="H36" s="1">
        <f>IF(ISNUMBER(Main_M[[#This Row],[Free CF]]),IF(Main_M[[#This Row],[Free CF]]&lt;&gt;0,Main_M[[#This Row],[Current Price]]/Main_M[[#This Row],[Free CF]],""),"")</f>
        <v>71.942307692307693</v>
      </c>
      <c r="I36" s="1">
        <f>IF(ISNUMBER(Main_M[[#This Row],[BVPS]]),IF(Main_M[[#This Row],[BVPS]]&lt;&gt;0,Main_M[[#This Row],[Current Price]]/Main_M[[#This Row],[BVPS]],""),"")</f>
        <v>4.6052523594583503</v>
      </c>
      <c r="J36">
        <v>1</v>
      </c>
      <c r="K36">
        <v>2.2200000000000002</v>
      </c>
      <c r="L36">
        <v>2.0699999999999998</v>
      </c>
      <c r="M36" s="1">
        <f>IF(ISNUMBER(Main_M[[#This Row],[EPS]]),IF(Main_M[[#This Row],[EPS]]&lt;&gt;0,Main_M[[#This Row],[Current Price]]/Main_M[[#This Row],[EPS]],""),"")</f>
        <v>534.42857142857144</v>
      </c>
      <c r="N3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6" s="1">
        <f>(Main_M[[#This Row],[P/FCF]]-VLOOKUP(Main_M[[#This Row],[Industry]], Mean_PFCF_M, 2, FALSE))/(VLOOKUP(Main_M[[#This Row],[Industry]], Mean_PFCF_M, 3, FALSE))</f>
        <v>10.346625321278847</v>
      </c>
      <c r="P36" s="1">
        <f>(Main_M[[#This Row],[P/B]]-VLOOKUP(Main_M[[#This Row],[Industry]], Mean_PB_M, 2, FALSE))/(VLOOKUP(Main_M[[#This Row],[Industry]], Mean_PB_M, 3, FALSE))</f>
        <v>0.70747608234317061</v>
      </c>
      <c r="Q36" s="1">
        <f>(Main_M[[#This Row],[ROE]]-VLOOKUP(Main_M[[#This Row],[Industry]], Mean_ROE_M, 2, FALSE))/(VLOOKUP(Main_M[[#This Row],[Industry]], Mean_ROE_M, 3, FALSE))</f>
        <v>-0.34454171275848883</v>
      </c>
      <c r="R36" s="1">
        <f>(Main_M[[#This Row],[ROA]]-VLOOKUP(Main_M[[#This Row],[Industry]], Mean_ROA_M, 2, FALSE))/(VLOOKUP(Main_M[[#This Row],[Industry]], Mean_ROA_M, 3, FALSE))</f>
        <v>-0.67780417217662925</v>
      </c>
      <c r="S36" s="1">
        <f>(Main_M[[#This Row],[A/E]]-VLOOKUP(Main_M[[#This Row],[Industry]], Mean_AE_M, 2, FALSE))/(VLOOKUP(Main_M[[#This Row],[Industry]], Mean_AE_M, 3, FALSE))</f>
        <v>-0.21865988740476497</v>
      </c>
      <c r="T36" s="1">
        <f>(Main_M[[#This Row],[P/E]]-VLOOKUP(Main_M[[#This Row],[Industry]], Mean_PE_M, 2, FALSE))/(VLOOKUP(Main_M[[#This Row],[Industry]], Mean_PE_M, 3, FALSE))</f>
        <v>27.050563358654195</v>
      </c>
      <c r="U3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3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37" spans="1:26" x14ac:dyDescent="0.25">
      <c r="A37" t="s">
        <v>191</v>
      </c>
      <c r="B37" t="s">
        <v>197</v>
      </c>
      <c r="C37" s="2">
        <v>8277</v>
      </c>
      <c r="D37">
        <f>RTD("tos.rtd", , "LAST", Main_M[[#This Row],[Symbol]])</f>
        <v>35.04</v>
      </c>
      <c r="E37">
        <v>1.29</v>
      </c>
      <c r="F37">
        <v>6.31</v>
      </c>
      <c r="G37">
        <v>0.95</v>
      </c>
      <c r="H37" s="1">
        <f>IF(ISNUMBER(Main_M[[#This Row],[Free CF]]),IF(Main_M[[#This Row],[Free CF]]&lt;&gt;0,Main_M[[#This Row],[Current Price]]/Main_M[[#This Row],[Free CF]],""),"")</f>
        <v>27.162790697674417</v>
      </c>
      <c r="I37" s="1">
        <f>IF(ISNUMBER(Main_M[[#This Row],[BVPS]]),IF(Main_M[[#This Row],[BVPS]]&lt;&gt;0,Main_M[[#This Row],[Current Price]]/Main_M[[#This Row],[BVPS]],""),"")</f>
        <v>5.5530903328050716</v>
      </c>
      <c r="J37">
        <v>16.05</v>
      </c>
      <c r="K37">
        <v>8.2799999999999994</v>
      </c>
      <c r="L37">
        <v>2.4700000000000002</v>
      </c>
      <c r="M37" s="1">
        <f>IF(ISNUMBER(Main_M[[#This Row],[EPS]]),IF(Main_M[[#This Row],[EPS]]&lt;&gt;0,Main_M[[#This Row],[Current Price]]/Main_M[[#This Row],[EPS]],""),"")</f>
        <v>36.88421052631579</v>
      </c>
      <c r="N3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7" s="1">
        <f>(Main_M[[#This Row],[P/FCF]]-VLOOKUP(Main_M[[#This Row],[Industry]], Mean_PFCF_M, 2, FALSE))/(VLOOKUP(Main_M[[#This Row],[Industry]], Mean_PFCF_M, 3, FALSE))</f>
        <v>1.5891736746674394</v>
      </c>
      <c r="P37" s="1">
        <f>(Main_M[[#This Row],[P/B]]-VLOOKUP(Main_M[[#This Row],[Industry]], Mean_PB_M, 2, FALSE))/(VLOOKUP(Main_M[[#This Row],[Industry]], Mean_PB_M, 3, FALSE))</f>
        <v>1.2930636283649461</v>
      </c>
      <c r="Q37" s="1">
        <f>(Main_M[[#This Row],[ROE]]-VLOOKUP(Main_M[[#This Row],[Industry]], Mean_ROE_M, 2, FALSE))/(VLOOKUP(Main_M[[#This Row],[Industry]], Mean_ROE_M, 3, FALSE))</f>
        <v>0.51562186650862563</v>
      </c>
      <c r="R37" s="1">
        <f>(Main_M[[#This Row],[ROA]]-VLOOKUP(Main_M[[#This Row],[Industry]], Mean_ROA_M, 2, FALSE))/(VLOOKUP(Main_M[[#This Row],[Industry]], Mean_ROA_M, 3, FALSE))</f>
        <v>0.77317961942432678</v>
      </c>
      <c r="S37" s="1">
        <f>(Main_M[[#This Row],[A/E]]-VLOOKUP(Main_M[[#This Row],[Industry]], Mean_AE_M, 2, FALSE))/(VLOOKUP(Main_M[[#This Row],[Industry]], Mean_AE_M, 3, FALSE))</f>
        <v>0.45413976614835688</v>
      </c>
      <c r="T37" s="1">
        <f>(Main_M[[#This Row],[P/E]]-VLOOKUP(Main_M[[#This Row],[Industry]], Mean_PE_M, 2, FALSE))/(VLOOKUP(Main_M[[#This Row],[Industry]], Mean_PE_M, 3, FALSE))</f>
        <v>0.39847674449286802</v>
      </c>
      <c r="U3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8" spans="1:26" x14ac:dyDescent="0.25">
      <c r="A38" t="s">
        <v>191</v>
      </c>
      <c r="B38" t="s">
        <v>350</v>
      </c>
      <c r="C38" s="2">
        <v>2055</v>
      </c>
      <c r="D38">
        <f>RTD("tos.rtd", , "LAST", Main_M[[#This Row],[Symbol]])</f>
        <v>48.76</v>
      </c>
      <c r="E38">
        <v>3.67</v>
      </c>
      <c r="F38">
        <v>17.8</v>
      </c>
      <c r="G38">
        <v>2.88</v>
      </c>
      <c r="H38" s="1">
        <f>IF(ISNUMBER(Main_M[[#This Row],[Free CF]]),IF(Main_M[[#This Row],[Free CF]]&lt;&gt;0,Main_M[[#This Row],[Current Price]]/Main_M[[#This Row],[Free CF]],""),"")</f>
        <v>13.286103542234333</v>
      </c>
      <c r="I38" s="1">
        <f>IF(ISNUMBER(Main_M[[#This Row],[BVPS]]),IF(Main_M[[#This Row],[BVPS]]&lt;&gt;0,Main_M[[#This Row],[Current Price]]/Main_M[[#This Row],[BVPS]],""),"")</f>
        <v>2.7393258426966289</v>
      </c>
      <c r="J38">
        <v>17.420000000000002</v>
      </c>
      <c r="K38">
        <v>7.16</v>
      </c>
      <c r="L38">
        <v>2.23</v>
      </c>
      <c r="M38" s="1">
        <f>IF(ISNUMBER(Main_M[[#This Row],[EPS]]),IF(Main_M[[#This Row],[EPS]]&lt;&gt;0,Main_M[[#This Row],[Current Price]]/Main_M[[#This Row],[EPS]],""),"")</f>
        <v>16.930555555555557</v>
      </c>
      <c r="N3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8" s="1">
        <f>(Main_M[[#This Row],[P/FCF]]-VLOOKUP(Main_M[[#This Row],[Industry]], Mean_PFCF_M, 2, FALSE))/(VLOOKUP(Main_M[[#This Row],[Industry]], Mean_PFCF_M, 3, FALSE))</f>
        <v>-1.1246657084926015</v>
      </c>
      <c r="P38" s="1">
        <f>(Main_M[[#This Row],[P/B]]-VLOOKUP(Main_M[[#This Row],[Industry]], Mean_PB_M, 2, FALSE))/(VLOOKUP(Main_M[[#This Row],[Industry]], Mean_PB_M, 3, FALSE))</f>
        <v>-0.44531939613863242</v>
      </c>
      <c r="Q38" s="1">
        <f>(Main_M[[#This Row],[ROE]]-VLOOKUP(Main_M[[#This Row],[Industry]], Mean_ROE_M, 2, FALSE))/(VLOOKUP(Main_M[[#This Row],[Industry]], Mean_ROE_M, 3, FALSE))</f>
        <v>0.5939224713987219</v>
      </c>
      <c r="R38" s="1">
        <f>(Main_M[[#This Row],[ROA]]-VLOOKUP(Main_M[[#This Row],[Industry]], Mean_ROA_M, 2, FALSE))/(VLOOKUP(Main_M[[#This Row],[Industry]], Mean_ROA_M, 3, FALSE))</f>
        <v>0.50501099787431525</v>
      </c>
      <c r="S38" s="1">
        <f>(Main_M[[#This Row],[A/E]]-VLOOKUP(Main_M[[#This Row],[Industry]], Mean_AE_M, 2, FALSE))/(VLOOKUP(Main_M[[#This Row],[Industry]], Mean_AE_M, 3, FALSE))</f>
        <v>5.0459974016483763E-2</v>
      </c>
      <c r="T38" s="1">
        <f>(Main_M[[#This Row],[P/E]]-VLOOKUP(Main_M[[#This Row],[Industry]], Mean_PE_M, 2, FALSE))/(VLOOKUP(Main_M[[#This Row],[Industry]], Mean_PE_M, 3, FALSE))</f>
        <v>-0.67038581800388131</v>
      </c>
      <c r="U3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9" spans="1:26" x14ac:dyDescent="0.25">
      <c r="A39" t="s">
        <v>191</v>
      </c>
      <c r="B39" t="s">
        <v>351</v>
      </c>
      <c r="C39" s="2">
        <v>6124</v>
      </c>
      <c r="D39">
        <f>RTD("tos.rtd", , "LAST", Main_M[[#This Row],[Symbol]])</f>
        <v>161</v>
      </c>
      <c r="E39">
        <v>6.44</v>
      </c>
      <c r="F39">
        <v>30.19</v>
      </c>
      <c r="G39">
        <v>7.25</v>
      </c>
      <c r="H39" s="1">
        <f>IF(ISNUMBER(Main_M[[#This Row],[Free CF]]),IF(Main_M[[#This Row],[Free CF]]&lt;&gt;0,Main_M[[#This Row],[Current Price]]/Main_M[[#This Row],[Free CF]],""),"")</f>
        <v>25</v>
      </c>
      <c r="I39" s="1">
        <f>IF(ISNUMBER(Main_M[[#This Row],[BVPS]]),IF(Main_M[[#This Row],[BVPS]]&lt;&gt;0,Main_M[[#This Row],[Current Price]]/Main_M[[#This Row],[BVPS]],""),"")</f>
        <v>5.3328916859887379</v>
      </c>
      <c r="J39">
        <v>26.22</v>
      </c>
      <c r="K39">
        <v>11.96</v>
      </c>
      <c r="L39">
        <v>1.88</v>
      </c>
      <c r="M39" s="1">
        <f>IF(ISNUMBER(Main_M[[#This Row],[EPS]]),IF(Main_M[[#This Row],[EPS]]&lt;&gt;0,Main_M[[#This Row],[Current Price]]/Main_M[[#This Row],[EPS]],""),"")</f>
        <v>22.206896551724139</v>
      </c>
      <c r="N3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9" s="1">
        <f>(Main_M[[#This Row],[P/FCF]]-VLOOKUP(Main_M[[#This Row],[Industry]], Mean_PFCF_M, 2, FALSE))/(VLOOKUP(Main_M[[#This Row],[Industry]], Mean_PFCF_M, 3, FALSE))</f>
        <v>1.1662004889831312</v>
      </c>
      <c r="P39" s="1">
        <f>(Main_M[[#This Row],[P/B]]-VLOOKUP(Main_M[[#This Row],[Industry]], Mean_PB_M, 2, FALSE))/(VLOOKUP(Main_M[[#This Row],[Industry]], Mean_PB_M, 3, FALSE))</f>
        <v>1.1570218270735309</v>
      </c>
      <c r="Q39" s="1">
        <f>(Main_M[[#This Row],[ROE]]-VLOOKUP(Main_M[[#This Row],[Industry]], Mean_ROE_M, 2, FALSE))/(VLOOKUP(Main_M[[#This Row],[Industry]], Mean_ROE_M, 3, FALSE))</f>
        <v>1.0968752619336457</v>
      </c>
      <c r="R39" s="1">
        <f>(Main_M[[#This Row],[ROA]]-VLOOKUP(Main_M[[#This Row],[Industry]], Mean_ROA_M, 2, FALSE))/(VLOOKUP(Main_M[[#This Row],[Industry]], Mean_ROA_M, 3, FALSE))</f>
        <v>1.6543050902315084</v>
      </c>
      <c r="S39" s="1">
        <f>(Main_M[[#This Row],[A/E]]-VLOOKUP(Main_M[[#This Row],[Industry]], Mean_AE_M, 2, FALSE))/(VLOOKUP(Main_M[[#This Row],[Industry]], Mean_AE_M, 3, FALSE))</f>
        <v>-0.53823972284249744</v>
      </c>
      <c r="T39" s="1">
        <f>(Main_M[[#This Row],[P/E]]-VLOOKUP(Main_M[[#This Row],[Industry]], Mean_PE_M, 2, FALSE))/(VLOOKUP(Main_M[[#This Row],[Industry]], Mean_PE_M, 3, FALSE))</f>
        <v>-0.38774670421567042</v>
      </c>
      <c r="U3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Yes</v>
      </c>
      <c r="X3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0" spans="1:26" x14ac:dyDescent="0.25">
      <c r="A40" t="s">
        <v>191</v>
      </c>
      <c r="B40" t="s">
        <v>352</v>
      </c>
      <c r="C40" s="2">
        <v>2826</v>
      </c>
      <c r="D40">
        <f>RTD("tos.rtd", , "LAST", Main_M[[#This Row],[Symbol]])</f>
        <v>16.920000000000002</v>
      </c>
      <c r="E40">
        <v>0.19</v>
      </c>
      <c r="F40">
        <v>2.62</v>
      </c>
      <c r="G40">
        <v>-0.48</v>
      </c>
      <c r="H40" s="1">
        <f>IF(ISNUMBER(Main_M[[#This Row],[Free CF]]),IF(Main_M[[#This Row],[Free CF]]&lt;&gt;0,Main_M[[#This Row],[Current Price]]/Main_M[[#This Row],[Free CF]],""),"")</f>
        <v>89.05263157894737</v>
      </c>
      <c r="I40" s="1">
        <f>IF(ISNUMBER(Main_M[[#This Row],[BVPS]]),IF(Main_M[[#This Row],[BVPS]]&lt;&gt;0,Main_M[[#This Row],[Current Price]]/Main_M[[#This Row],[BVPS]],""),"")</f>
        <v>6.4580152671755728</v>
      </c>
      <c r="J40">
        <v>-17.78</v>
      </c>
      <c r="K40">
        <v>-5.15</v>
      </c>
      <c r="L40">
        <v>2.2400000000000002</v>
      </c>
      <c r="M40" s="1">
        <f>IF(ISNUMBER(Main_M[[#This Row],[EPS]]),IF(Main_M[[#This Row],[EPS]]&lt;&gt;0,Main_M[[#This Row],[Current Price]]/Main_M[[#This Row],[EPS]],""),"")</f>
        <v>-35.250000000000007</v>
      </c>
      <c r="N4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0" s="1">
        <f>(Main_M[[#This Row],[P/FCF]]-VLOOKUP(Main_M[[#This Row],[Industry]], Mean_PFCF_M, 2, FALSE))/(VLOOKUP(Main_M[[#This Row],[Industry]], Mean_PFCF_M, 3, FALSE))</f>
        <v>13.692861371861204</v>
      </c>
      <c r="P40" s="1">
        <f>(Main_M[[#This Row],[P/B]]-VLOOKUP(Main_M[[#This Row],[Industry]], Mean_PB_M, 2, FALSE))/(VLOOKUP(Main_M[[#This Row],[Industry]], Mean_PB_M, 3, FALSE))</f>
        <v>1.8521388991951167</v>
      </c>
      <c r="Q40" s="1">
        <f>(Main_M[[#This Row],[ROE]]-VLOOKUP(Main_M[[#This Row],[Industry]], Mean_ROE_M, 2, FALSE))/(VLOOKUP(Main_M[[#This Row],[Industry]], Mean_ROE_M, 3, FALSE))</f>
        <v>-1.4178886907409747</v>
      </c>
      <c r="R40" s="1">
        <f>(Main_M[[#This Row],[ROA]]-VLOOKUP(Main_M[[#This Row],[Industry]], Mean_ROA_M, 2, FALSE))/(VLOOKUP(Main_M[[#This Row],[Industry]], Mean_ROA_M, 3, FALSE))</f>
        <v>-2.4424494764834028</v>
      </c>
      <c r="S40" s="1">
        <f>(Main_M[[#This Row],[A/E]]-VLOOKUP(Main_M[[#This Row],[Industry]], Mean_AE_M, 2, FALSE))/(VLOOKUP(Main_M[[#This Row],[Industry]], Mean_AE_M, 3, FALSE))</f>
        <v>6.727996535531218E-2</v>
      </c>
      <c r="T40" s="1">
        <f>(Main_M[[#This Row],[P/E]]-VLOOKUP(Main_M[[#This Row],[Industry]], Mean_PE_M, 2, FALSE))/(VLOOKUP(Main_M[[#This Row],[Industry]], Mean_PE_M, 3, FALSE))</f>
        <v>-3.4655550441604532</v>
      </c>
      <c r="U4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4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Yes</v>
      </c>
      <c r="X4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41" spans="1:26" x14ac:dyDescent="0.25">
      <c r="A41" t="s">
        <v>191</v>
      </c>
      <c r="B41" t="s">
        <v>353</v>
      </c>
      <c r="C41" s="2">
        <v>2995</v>
      </c>
      <c r="D41">
        <f>RTD("tos.rtd", , "LAST", Main_M[[#This Row],[Symbol]])</f>
        <v>17.850000000000001</v>
      </c>
      <c r="E41">
        <v>-0.28999999999999998</v>
      </c>
      <c r="F41">
        <v>3.71</v>
      </c>
      <c r="G41">
        <v>-1.82</v>
      </c>
      <c r="H41" s="1">
        <f>IF(ISNUMBER(Main_M[[#This Row],[Free CF]]),IF(Main_M[[#This Row],[Free CF]]&lt;&gt;0,Main_M[[#This Row],[Current Price]]/Main_M[[#This Row],[Free CF]],""),"")</f>
        <v>-61.551724137931046</v>
      </c>
      <c r="I41" s="1">
        <f>IF(ISNUMBER(Main_M[[#This Row],[BVPS]]),IF(Main_M[[#This Row],[BVPS]]&lt;&gt;0,Main_M[[#This Row],[Current Price]]/Main_M[[#This Row],[BVPS]],""),"")</f>
        <v>4.8113207547169816</v>
      </c>
      <c r="J41">
        <v>-38.64</v>
      </c>
      <c r="K41">
        <v>2.79</v>
      </c>
      <c r="L41">
        <v>8.66</v>
      </c>
      <c r="M41" s="1">
        <f>IF(ISNUMBER(Main_M[[#This Row],[EPS]]),IF(Main_M[[#This Row],[EPS]]&lt;&gt;0,Main_M[[#This Row],[Current Price]]/Main_M[[#This Row],[EPS]],""),"")</f>
        <v>-9.8076923076923084</v>
      </c>
      <c r="N4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1" s="1">
        <f>(Main_M[[#This Row],[P/FCF]]-VLOOKUP(Main_M[[#This Row],[Industry]], Mean_PFCF_M, 2, FALSE))/(VLOOKUP(Main_M[[#This Row],[Industry]], Mean_PFCF_M, 3, FALSE))</f>
        <v>-15.760568487994041</v>
      </c>
      <c r="P41" s="1">
        <f>(Main_M[[#This Row],[P/B]]-VLOOKUP(Main_M[[#This Row],[Industry]], Mean_PB_M, 2, FALSE))/(VLOOKUP(Main_M[[#This Row],[Industry]], Mean_PB_M, 3, FALSE))</f>
        <v>0.8347880167511893</v>
      </c>
      <c r="Q41" s="1">
        <f>(Main_M[[#This Row],[ROE]]-VLOOKUP(Main_M[[#This Row],[Industry]], Mean_ROE_M, 2, FALSE))/(VLOOKUP(Main_M[[#This Row],[Industry]], Mean_ROE_M, 3, FALSE))</f>
        <v>-2.6101154192135332</v>
      </c>
      <c r="R41" s="1">
        <f>(Main_M[[#This Row],[ROA]]-VLOOKUP(Main_M[[#This Row],[Industry]], Mean_ROA_M, 2, FALSE))/(VLOOKUP(Main_M[[#This Row],[Industry]], Mean_ROA_M, 3, FALSE))</f>
        <v>-0.54132549870921254</v>
      </c>
      <c r="S41" s="1">
        <f>(Main_M[[#This Row],[A/E]]-VLOOKUP(Main_M[[#This Row],[Industry]], Mean_AE_M, 2, FALSE))/(VLOOKUP(Main_M[[#This Row],[Industry]], Mean_AE_M, 3, FALSE))</f>
        <v>10.865714404882908</v>
      </c>
      <c r="T41" s="1">
        <f>(Main_M[[#This Row],[P/E]]-VLOOKUP(Main_M[[#This Row],[Industry]], Mean_PE_M, 2, FALSE))/(VLOOKUP(Main_M[[#This Row],[Industry]], Mean_PE_M, 3, FALSE))</f>
        <v>-2.1026804111330253</v>
      </c>
      <c r="U4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4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4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4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2" spans="1:26" x14ac:dyDescent="0.25">
      <c r="A42" t="s">
        <v>191</v>
      </c>
      <c r="B42" t="s">
        <v>354</v>
      </c>
      <c r="C42" s="2">
        <v>2059</v>
      </c>
      <c r="D42">
        <f>RTD("tos.rtd", , "LAST", Main_M[[#This Row],[Symbol]])</f>
        <v>22.33</v>
      </c>
      <c r="E42">
        <v>1.8</v>
      </c>
      <c r="F42">
        <v>12.57</v>
      </c>
      <c r="G42">
        <v>0.45</v>
      </c>
      <c r="H42" s="1">
        <f>IF(ISNUMBER(Main_M[[#This Row],[Free CF]]),IF(Main_M[[#This Row],[Free CF]]&lt;&gt;0,Main_M[[#This Row],[Current Price]]/Main_M[[#This Row],[Free CF]],""),"")</f>
        <v>12.405555555555555</v>
      </c>
      <c r="I42" s="1">
        <f>IF(ISNUMBER(Main_M[[#This Row],[BVPS]]),IF(Main_M[[#This Row],[BVPS]]&lt;&gt;0,Main_M[[#This Row],[Current Price]]/Main_M[[#This Row],[BVPS]],""),"")</f>
        <v>1.7764518695306284</v>
      </c>
      <c r="J42">
        <v>5.64</v>
      </c>
      <c r="K42">
        <v>3.82</v>
      </c>
      <c r="L42">
        <v>3.44</v>
      </c>
      <c r="M42" s="1">
        <f>IF(ISNUMBER(Main_M[[#This Row],[EPS]]),IF(Main_M[[#This Row],[EPS]]&lt;&gt;0,Main_M[[#This Row],[Current Price]]/Main_M[[#This Row],[EPS]],""),"")</f>
        <v>49.62222222222222</v>
      </c>
      <c r="N4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2" s="1">
        <f>(Main_M[[#This Row],[P/FCF]]-VLOOKUP(Main_M[[#This Row],[Industry]], Mean_PFCF_M, 2, FALSE))/(VLOOKUP(Main_M[[#This Row],[Industry]], Mean_PFCF_M, 3, FALSE))</f>
        <v>-1.2968729347738635</v>
      </c>
      <c r="P42" s="1">
        <f>(Main_M[[#This Row],[P/B]]-VLOOKUP(Main_M[[#This Row],[Industry]], Mean_PB_M, 2, FALSE))/(VLOOKUP(Main_M[[#This Row],[Industry]], Mean_PB_M, 3, FALSE))</f>
        <v>-1.040196392977689</v>
      </c>
      <c r="Q42" s="1">
        <f>(Main_M[[#This Row],[ROE]]-VLOOKUP(Main_M[[#This Row],[Industry]], Mean_ROE_M, 2, FALSE))/(VLOOKUP(Main_M[[#This Row],[Industry]], Mean_ROE_M, 3, FALSE))</f>
        <v>-7.9348423203710675E-2</v>
      </c>
      <c r="R42" s="1">
        <f>(Main_M[[#This Row],[ROA]]-VLOOKUP(Main_M[[#This Row],[Industry]], Mean_ROA_M, 2, FALSE))/(VLOOKUP(Main_M[[#This Row],[Industry]], Mean_ROA_M, 3, FALSE))</f>
        <v>-0.29470614139089829</v>
      </c>
      <c r="S42" s="1">
        <f>(Main_M[[#This Row],[A/E]]-VLOOKUP(Main_M[[#This Row],[Industry]], Mean_AE_M, 2, FALSE))/(VLOOKUP(Main_M[[#This Row],[Industry]], Mean_AE_M, 3, FALSE))</f>
        <v>2.0856789260146757</v>
      </c>
      <c r="T42" s="1">
        <f>(Main_M[[#This Row],[P/E]]-VLOOKUP(Main_M[[#This Row],[Industry]], Mean_PE_M, 2, FALSE))/(VLOOKUP(Main_M[[#This Row],[Industry]], Mean_PE_M, 3, FALSE))</f>
        <v>1.0808170897755536</v>
      </c>
      <c r="U4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3" spans="1:26" x14ac:dyDescent="0.25">
      <c r="A43" t="s">
        <v>191</v>
      </c>
      <c r="B43" t="s">
        <v>355</v>
      </c>
      <c r="C43" s="2">
        <v>3356</v>
      </c>
      <c r="D43">
        <f>RTD("tos.rtd", , "LAST", Main_M[[#This Row],[Symbol]])</f>
        <v>186.05</v>
      </c>
      <c r="E43">
        <v>8.7799999999999994</v>
      </c>
      <c r="F43">
        <v>115.47</v>
      </c>
      <c r="G43">
        <v>8.0399999999999991</v>
      </c>
      <c r="H43" s="1">
        <f>IF(ISNUMBER(Main_M[[#This Row],[Free CF]]),IF(Main_M[[#This Row],[Free CF]]&lt;&gt;0,Main_M[[#This Row],[Current Price]]/Main_M[[#This Row],[Free CF]],""),"")</f>
        <v>21.190205011389523</v>
      </c>
      <c r="I43" s="1">
        <f>IF(ISNUMBER(Main_M[[#This Row],[BVPS]]),IF(Main_M[[#This Row],[BVPS]]&lt;&gt;0,Main_M[[#This Row],[Current Price]]/Main_M[[#This Row],[BVPS]],""),"")</f>
        <v>1.6112410149822465</v>
      </c>
      <c r="J43">
        <v>7.17</v>
      </c>
      <c r="K43">
        <v>4.66</v>
      </c>
      <c r="L43">
        <v>1.28</v>
      </c>
      <c r="M43" s="1">
        <f>IF(ISNUMBER(Main_M[[#This Row],[EPS]]),IF(Main_M[[#This Row],[EPS]]&lt;&gt;0,Main_M[[#This Row],[Current Price]]/Main_M[[#This Row],[EPS]],""),"")</f>
        <v>23.140547263681597</v>
      </c>
      <c r="N4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3" s="1">
        <f>(Main_M[[#This Row],[P/FCF]]-VLOOKUP(Main_M[[#This Row],[Industry]], Mean_PFCF_M, 2, FALSE))/(VLOOKUP(Main_M[[#This Row],[Industry]], Mean_PFCF_M, 3, FALSE))</f>
        <v>0.42112556108122173</v>
      </c>
      <c r="P43" s="1">
        <f>(Main_M[[#This Row],[P/B]]-VLOOKUP(Main_M[[#This Row],[Industry]], Mean_PB_M, 2, FALSE))/(VLOOKUP(Main_M[[#This Row],[Industry]], Mean_PB_M, 3, FALSE))</f>
        <v>-1.1422659677485214</v>
      </c>
      <c r="Q43" s="1">
        <f>(Main_M[[#This Row],[ROE]]-VLOOKUP(Main_M[[#This Row],[Industry]], Mean_ROE_M, 2, FALSE))/(VLOOKUP(Main_M[[#This Row],[Industry]], Mean_ROE_M, 3, FALSE))</f>
        <v>8.0967778779295445E-3</v>
      </c>
      <c r="R43" s="1">
        <f>(Main_M[[#This Row],[ROA]]-VLOOKUP(Main_M[[#This Row],[Industry]], Mean_ROA_M, 2, FALSE))/(VLOOKUP(Main_M[[#This Row],[Industry]], Mean_ROA_M, 3, FALSE))</f>
        <v>-9.3579675228389447E-2</v>
      </c>
      <c r="S43" s="1">
        <f>(Main_M[[#This Row],[A/E]]-VLOOKUP(Main_M[[#This Row],[Industry]], Mean_AE_M, 2, FALSE))/(VLOOKUP(Main_M[[#This Row],[Industry]], Mean_AE_M, 3, FALSE))</f>
        <v>-1.5474392031721791</v>
      </c>
      <c r="T43" s="1">
        <f>(Main_M[[#This Row],[P/E]]-VLOOKUP(Main_M[[#This Row],[Industry]], Mean_PE_M, 2, FALSE))/(VLOOKUP(Main_M[[#This Row],[Industry]], Mean_PE_M, 3, FALSE))</f>
        <v>-0.33773359664604796</v>
      </c>
      <c r="U4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4" spans="1:26" x14ac:dyDescent="0.25">
      <c r="A44" t="s">
        <v>191</v>
      </c>
      <c r="B44" t="s">
        <v>356</v>
      </c>
      <c r="C44" s="2">
        <v>2631</v>
      </c>
      <c r="D44">
        <f>RTD("tos.rtd", , "LAST", Main_M[[#This Row],[Symbol]])</f>
        <v>132.54</v>
      </c>
      <c r="E44">
        <v>-2.89</v>
      </c>
      <c r="F44">
        <v>47.99</v>
      </c>
      <c r="G44">
        <v>2.0299999999999998</v>
      </c>
      <c r="H44" s="1">
        <f>IF(ISNUMBER(Main_M[[#This Row],[Free CF]]),IF(Main_M[[#This Row],[Free CF]]&lt;&gt;0,Main_M[[#This Row],[Current Price]]/Main_M[[#This Row],[Free CF]],""),"")</f>
        <v>-45.861591695501723</v>
      </c>
      <c r="I44" s="1">
        <f>IF(ISNUMBER(Main_M[[#This Row],[BVPS]]),IF(Main_M[[#This Row],[BVPS]]&lt;&gt;0,Main_M[[#This Row],[Current Price]]/Main_M[[#This Row],[BVPS]],""),"")</f>
        <v>2.7618253802875596</v>
      </c>
      <c r="J44">
        <v>4.55</v>
      </c>
      <c r="K44">
        <v>4.16</v>
      </c>
      <c r="L44">
        <v>1.76</v>
      </c>
      <c r="M44" s="1">
        <f>IF(ISNUMBER(Main_M[[#This Row],[EPS]]),IF(Main_M[[#This Row],[EPS]]&lt;&gt;0,Main_M[[#This Row],[Current Price]]/Main_M[[#This Row],[EPS]],""),"")</f>
        <v>65.290640394088669</v>
      </c>
      <c r="N4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4" s="1">
        <f>(Main_M[[#This Row],[P/FCF]]-VLOOKUP(Main_M[[#This Row],[Industry]], Mean_PFCF_M, 2, FALSE))/(VLOOKUP(Main_M[[#This Row],[Industry]], Mean_PFCF_M, 3, FALSE))</f>
        <v>-12.692076788765316</v>
      </c>
      <c r="P44" s="1">
        <f>(Main_M[[#This Row],[P/B]]-VLOOKUP(Main_M[[#This Row],[Industry]], Mean_PB_M, 2, FALSE))/(VLOOKUP(Main_M[[#This Row],[Industry]], Mean_PB_M, 3, FALSE))</f>
        <v>-0.43141886738267149</v>
      </c>
      <c r="Q44" s="1">
        <f>(Main_M[[#This Row],[ROE]]-VLOOKUP(Main_M[[#This Row],[Industry]], Mean_ROE_M, 2, FALSE))/(VLOOKUP(Main_M[[#This Row],[Industry]], Mean_ROE_M, 3, FALSE))</f>
        <v>-0.14164598475860468</v>
      </c>
      <c r="R44" s="1">
        <f>(Main_M[[#This Row],[ROA]]-VLOOKUP(Main_M[[#This Row],[Industry]], Mean_ROA_M, 2, FALSE))/(VLOOKUP(Main_M[[#This Row],[Industry]], Mean_ROA_M, 3, FALSE))</f>
        <v>-0.21329780984893038</v>
      </c>
      <c r="S44" s="1">
        <f>(Main_M[[#This Row],[A/E]]-VLOOKUP(Main_M[[#This Row],[Industry]], Mean_AE_M, 2, FALSE))/(VLOOKUP(Main_M[[#This Row],[Industry]], Mean_AE_M, 3, FALSE))</f>
        <v>-0.74007961890843366</v>
      </c>
      <c r="T44" s="1">
        <f>(Main_M[[#This Row],[P/E]]-VLOOKUP(Main_M[[#This Row],[Industry]], Mean_PE_M, 2, FALSE))/(VLOOKUP(Main_M[[#This Row],[Industry]], Mean_PE_M, 3, FALSE))</f>
        <v>1.9201312716631906</v>
      </c>
      <c r="U4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4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5" spans="1:26" x14ac:dyDescent="0.25">
      <c r="A45" t="s">
        <v>191</v>
      </c>
      <c r="B45" t="s">
        <v>358</v>
      </c>
      <c r="C45" s="2">
        <v>3934</v>
      </c>
      <c r="D45">
        <f>RTD("tos.rtd", , "LAST", Main_M[[#This Row],[Symbol]])</f>
        <v>89.87</v>
      </c>
      <c r="E45">
        <v>4.59</v>
      </c>
      <c r="F45">
        <v>4.3099999999999996</v>
      </c>
      <c r="G45">
        <v>3.61</v>
      </c>
      <c r="H45" s="1">
        <f>IF(ISNUMBER(Main_M[[#This Row],[Free CF]]),IF(Main_M[[#This Row],[Free CF]]&lt;&gt;0,Main_M[[#This Row],[Current Price]]/Main_M[[#This Row],[Free CF]],""),"")</f>
        <v>19.579520697167759</v>
      </c>
      <c r="I45" s="1">
        <f>IF(ISNUMBER(Main_M[[#This Row],[BVPS]]),IF(Main_M[[#This Row],[BVPS]]&lt;&gt;0,Main_M[[#This Row],[Current Price]]/Main_M[[#This Row],[BVPS]],""),"")</f>
        <v>20.851508120649655</v>
      </c>
      <c r="J45">
        <v>41.7</v>
      </c>
      <c r="K45">
        <v>4.2300000000000004</v>
      </c>
      <c r="L45">
        <v>35.82</v>
      </c>
      <c r="M45" s="1">
        <f>IF(ISNUMBER(Main_M[[#This Row],[EPS]]),IF(Main_M[[#This Row],[EPS]]&lt;&gt;0,Main_M[[#This Row],[Current Price]]/Main_M[[#This Row],[EPS]],""),"")</f>
        <v>24.894736842105264</v>
      </c>
      <c r="N4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5" s="1">
        <f>(Main_M[[#This Row],[P/FCF]]-VLOOKUP(Main_M[[#This Row],[Industry]], Mean_PFCF_M, 2, FALSE))/(VLOOKUP(Main_M[[#This Row],[Industry]], Mean_PFCF_M, 3, FALSE))</f>
        <v>0.10612685304595942</v>
      </c>
      <c r="P45" s="1">
        <f>(Main_M[[#This Row],[P/B]]-VLOOKUP(Main_M[[#This Row],[Industry]], Mean_PB_M, 2, FALSE))/(VLOOKUP(Main_M[[#This Row],[Industry]], Mean_PB_M, 3, FALSE))</f>
        <v>10.744639933931181</v>
      </c>
      <c r="Q45" s="1">
        <f>(Main_M[[#This Row],[ROE]]-VLOOKUP(Main_M[[#This Row],[Industry]], Mean_ROE_M, 2, FALSE))/(VLOOKUP(Main_M[[#This Row],[Industry]], Mean_ROE_M, 3, FALSE))</f>
        <v>1.9816149434655352</v>
      </c>
      <c r="R45" s="1">
        <f>(Main_M[[#This Row],[ROA]]-VLOOKUP(Main_M[[#This Row],[Industry]], Mean_ROA_M, 2, FALSE))/(VLOOKUP(Main_M[[#This Row],[Industry]], Mean_ROA_M, 3, FALSE))</f>
        <v>-0.19653727100205459</v>
      </c>
      <c r="S45" s="1">
        <f>(Main_M[[#This Row],[A/E]]-VLOOKUP(Main_M[[#This Row],[Industry]], Mean_AE_M, 2, FALSE))/(VLOOKUP(Main_M[[#This Row],[Industry]], Mean_AE_M, 3, FALSE))</f>
        <v>56.548810881139836</v>
      </c>
      <c r="T45" s="1">
        <f>(Main_M[[#This Row],[P/E]]-VLOOKUP(Main_M[[#This Row],[Industry]], Mean_PE_M, 2, FALSE))/(VLOOKUP(Main_M[[#This Row],[Industry]], Mean_PE_M, 3, FALSE))</f>
        <v>-0.24376647279597691</v>
      </c>
      <c r="U4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4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4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4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6" spans="1:26" x14ac:dyDescent="0.25">
      <c r="A46" t="s">
        <v>191</v>
      </c>
      <c r="B46" t="s">
        <v>359</v>
      </c>
      <c r="C46" s="2">
        <v>2471</v>
      </c>
      <c r="D46">
        <f>RTD("tos.rtd", , "LAST", Main_M[[#This Row],[Symbol]])</f>
        <v>21.72</v>
      </c>
      <c r="E46">
        <v>1.78</v>
      </c>
      <c r="F46">
        <v>13.59</v>
      </c>
      <c r="G46">
        <v>0.62</v>
      </c>
      <c r="H46" s="1">
        <f>IF(ISNUMBER(Main_M[[#This Row],[Free CF]]),IF(Main_M[[#This Row],[Free CF]]&lt;&gt;0,Main_M[[#This Row],[Current Price]]/Main_M[[#This Row],[Free CF]],""),"")</f>
        <v>12.202247191011235</v>
      </c>
      <c r="I46" s="1">
        <f>IF(ISNUMBER(Main_M[[#This Row],[BVPS]]),IF(Main_M[[#This Row],[BVPS]]&lt;&gt;0,Main_M[[#This Row],[Current Price]]/Main_M[[#This Row],[BVPS]],""),"")</f>
        <v>1.5982339955849889</v>
      </c>
      <c r="J46">
        <v>4.6399999999999997</v>
      </c>
      <c r="K46">
        <v>3.9</v>
      </c>
      <c r="L46">
        <v>1.96</v>
      </c>
      <c r="M46" s="1">
        <f>IF(ISNUMBER(Main_M[[#This Row],[EPS]]),IF(Main_M[[#This Row],[EPS]]&lt;&gt;0,Main_M[[#This Row],[Current Price]]/Main_M[[#This Row],[EPS]],""),"")</f>
        <v>35.032258064516128</v>
      </c>
      <c r="N4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6" s="1">
        <f>(Main_M[[#This Row],[P/FCF]]-VLOOKUP(Main_M[[#This Row],[Industry]], Mean_PFCF_M, 2, FALSE))/(VLOOKUP(Main_M[[#This Row],[Industry]], Mean_PFCF_M, 3, FALSE))</f>
        <v>-1.3366335952575821</v>
      </c>
      <c r="P46" s="1">
        <f>(Main_M[[#This Row],[P/B]]-VLOOKUP(Main_M[[#This Row],[Industry]], Mean_PB_M, 2, FALSE))/(VLOOKUP(Main_M[[#This Row],[Industry]], Mean_PB_M, 3, FALSE))</f>
        <v>-1.1503018861059635</v>
      </c>
      <c r="Q46" s="1">
        <f>(Main_M[[#This Row],[ROE]]-VLOOKUP(Main_M[[#This Row],[Industry]], Mean_ROE_M, 2, FALSE))/(VLOOKUP(Main_M[[#This Row],[Industry]], Mean_ROE_M, 3, FALSE))</f>
        <v>-0.13650214940086114</v>
      </c>
      <c r="R46" s="1">
        <f>(Main_M[[#This Row],[ROA]]-VLOOKUP(Main_M[[#This Row],[Industry]], Mean_ROA_M, 2, FALSE))/(VLOOKUP(Main_M[[#This Row],[Industry]], Mean_ROA_M, 3, FALSE))</f>
        <v>-0.27555123985161173</v>
      </c>
      <c r="S46" s="1">
        <f>(Main_M[[#This Row],[A/E]]-VLOOKUP(Main_M[[#This Row],[Industry]], Mean_AE_M, 2, FALSE))/(VLOOKUP(Main_M[[#This Row],[Industry]], Mean_AE_M, 3, FALSE))</f>
        <v>-0.40367979213187311</v>
      </c>
      <c r="T46" s="1">
        <f>(Main_M[[#This Row],[P/E]]-VLOOKUP(Main_M[[#This Row],[Industry]], Mean_PE_M, 2, FALSE))/(VLOOKUP(Main_M[[#This Row],[Industry]], Mean_PE_M, 3, FALSE))</f>
        <v>0.29927273115084863</v>
      </c>
      <c r="U4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7" spans="1:26" x14ac:dyDescent="0.25">
      <c r="A47" t="s">
        <v>191</v>
      </c>
      <c r="B47" t="s">
        <v>360</v>
      </c>
      <c r="C47" s="2">
        <v>3902</v>
      </c>
      <c r="D47">
        <f>RTD("tos.rtd", , "LAST", Main_M[[#This Row],[Symbol]])</f>
        <v>26.59</v>
      </c>
      <c r="E47">
        <v>1.25</v>
      </c>
      <c r="F47">
        <v>9.7799999999999994</v>
      </c>
      <c r="G47">
        <v>0.22</v>
      </c>
      <c r="H47" s="1">
        <f>IF(ISNUMBER(Main_M[[#This Row],[Free CF]]),IF(Main_M[[#This Row],[Free CF]]&lt;&gt;0,Main_M[[#This Row],[Current Price]]/Main_M[[#This Row],[Free CF]],""),"")</f>
        <v>21.271999999999998</v>
      </c>
      <c r="I47" s="1">
        <f>IF(ISNUMBER(Main_M[[#This Row],[BVPS]]),IF(Main_M[[#This Row],[BVPS]]&lt;&gt;0,Main_M[[#This Row],[Current Price]]/Main_M[[#This Row],[BVPS]],""),"")</f>
        <v>2.7188139059304706</v>
      </c>
      <c r="J47">
        <v>2.4300000000000002</v>
      </c>
      <c r="K47">
        <v>5.32</v>
      </c>
      <c r="L47">
        <v>2.72</v>
      </c>
      <c r="M47" s="1">
        <f>IF(ISNUMBER(Main_M[[#This Row],[EPS]]),IF(Main_M[[#This Row],[EPS]]&lt;&gt;0,Main_M[[#This Row],[Current Price]]/Main_M[[#This Row],[EPS]],""),"")</f>
        <v>120.86363636363636</v>
      </c>
      <c r="N4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7" s="1">
        <f>(Main_M[[#This Row],[P/FCF]]-VLOOKUP(Main_M[[#This Row],[Industry]], Mean_PFCF_M, 2, FALSE))/(VLOOKUP(Main_M[[#This Row],[Industry]], Mean_PFCF_M, 3, FALSE))</f>
        <v>0.43712206362896516</v>
      </c>
      <c r="P47" s="1">
        <f>(Main_M[[#This Row],[P/B]]-VLOOKUP(Main_M[[#This Row],[Industry]], Mean_PB_M, 2, FALSE))/(VLOOKUP(Main_M[[#This Row],[Industry]], Mean_PB_M, 3, FALSE))</f>
        <v>-0.45799195732821735</v>
      </c>
      <c r="Q47" s="1">
        <f>(Main_M[[#This Row],[ROE]]-VLOOKUP(Main_M[[#This Row],[Industry]], Mean_ROE_M, 2, FALSE))/(VLOOKUP(Main_M[[#This Row],[Industry]], Mean_ROE_M, 3, FALSE))</f>
        <v>-0.2628118842965636</v>
      </c>
      <c r="R47" s="1">
        <f>(Main_M[[#This Row],[ROA]]-VLOOKUP(Main_M[[#This Row],[Industry]], Mean_ROA_M, 2, FALSE))/(VLOOKUP(Main_M[[#This Row],[Industry]], Mean_ROA_M, 3, FALSE))</f>
        <v>6.4448262470724618E-2</v>
      </c>
      <c r="S47" s="1">
        <f>(Main_M[[#This Row],[A/E]]-VLOOKUP(Main_M[[#This Row],[Industry]], Mean_AE_M, 2, FALSE))/(VLOOKUP(Main_M[[#This Row],[Industry]], Mean_AE_M, 3, FALSE))</f>
        <v>0.87463954961905765</v>
      </c>
      <c r="T47" s="1">
        <f>(Main_M[[#This Row],[P/E]]-VLOOKUP(Main_M[[#This Row],[Industry]], Mean_PE_M, 2, FALSE))/(VLOOKUP(Main_M[[#This Row],[Industry]], Mean_PE_M, 3, FALSE))</f>
        <v>4.8970242250933227</v>
      </c>
      <c r="U4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48" spans="1:26" x14ac:dyDescent="0.25">
      <c r="A48" t="s">
        <v>135</v>
      </c>
      <c r="B48" t="s">
        <v>279</v>
      </c>
      <c r="C48" s="2">
        <v>4002</v>
      </c>
      <c r="D48">
        <f>RTD("tos.rtd", , "LAST", Main_M[[#This Row],[Symbol]])</f>
        <v>90.5</v>
      </c>
      <c r="E48">
        <v>6.43</v>
      </c>
      <c r="F48">
        <v>49.76</v>
      </c>
      <c r="G48">
        <v>1.91</v>
      </c>
      <c r="H48" s="1">
        <f>IF(ISNUMBER(Main_M[[#This Row],[Free CF]]),IF(Main_M[[#This Row],[Free CF]]&lt;&gt;0,Main_M[[#This Row],[Current Price]]/Main_M[[#This Row],[Free CF]],""),"")</f>
        <v>14.074650077760499</v>
      </c>
      <c r="I48" s="1">
        <f>IF(ISNUMBER(Main_M[[#This Row],[BVPS]]),IF(Main_M[[#This Row],[BVPS]]&lt;&gt;0,Main_M[[#This Row],[Current Price]]/Main_M[[#This Row],[BVPS]],""),"")</f>
        <v>1.8187299035369775</v>
      </c>
      <c r="J48">
        <v>3.94</v>
      </c>
      <c r="K48">
        <v>3.32</v>
      </c>
      <c r="L48">
        <v>2.02</v>
      </c>
      <c r="M48" s="1">
        <f>IF(ISNUMBER(Main_M[[#This Row],[EPS]]),IF(Main_M[[#This Row],[EPS]]&lt;&gt;0,Main_M[[#This Row],[Current Price]]/Main_M[[#This Row],[EPS]],""),"")</f>
        <v>47.382198952879584</v>
      </c>
      <c r="N4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8" s="1">
        <f>(Main_M[[#This Row],[P/FCF]]-VLOOKUP(Main_M[[#This Row],[Industry]], Mean_PFCF_M, 2, FALSE))/(VLOOKUP(Main_M[[#This Row],[Industry]], Mean_PFCF_M, 3, FALSE))</f>
        <v>-0.4397950534326357</v>
      </c>
      <c r="P48" s="1">
        <f>(Main_M[[#This Row],[P/B]]-VLOOKUP(Main_M[[#This Row],[Industry]], Mean_PB_M, 2, FALSE))/(VLOOKUP(Main_M[[#This Row],[Industry]], Mean_PB_M, 3, FALSE))</f>
        <v>-1.590586856114498</v>
      </c>
      <c r="Q48" s="1">
        <f>(Main_M[[#This Row],[ROE]]-VLOOKUP(Main_M[[#This Row],[Industry]], Mean_ROE_M, 2, FALSE))/(VLOOKUP(Main_M[[#This Row],[Industry]], Mean_ROE_M, 3, FALSE))</f>
        <v>-1.0087151885017442</v>
      </c>
      <c r="R48" s="1">
        <f>(Main_M[[#This Row],[ROA]]-VLOOKUP(Main_M[[#This Row],[Industry]], Mean_ROA_M, 2, FALSE))/(VLOOKUP(Main_M[[#This Row],[Industry]], Mean_ROA_M, 3, FALSE))</f>
        <v>-0.98292855145195424</v>
      </c>
      <c r="S48" s="1">
        <f>(Main_M[[#This Row],[A/E]]-VLOOKUP(Main_M[[#This Row],[Industry]], Mean_AE_M, 2, FALSE))/(VLOOKUP(Main_M[[#This Row],[Industry]], Mean_AE_M, 3, FALSE))</f>
        <v>-1.2865339628918078</v>
      </c>
      <c r="T48" s="1">
        <f>(Main_M[[#This Row],[P/E]]-VLOOKUP(Main_M[[#This Row],[Industry]], Mean_PE_M, 2, FALSE))/(VLOOKUP(Main_M[[#This Row],[Industry]], Mean_PE_M, 3, FALSE))</f>
        <v>1.0056490487711471</v>
      </c>
      <c r="U4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9" spans="1:26" x14ac:dyDescent="0.25">
      <c r="A49" t="s">
        <v>135</v>
      </c>
      <c r="B49" t="s">
        <v>428</v>
      </c>
      <c r="C49" s="2">
        <v>2290</v>
      </c>
      <c r="D49">
        <f>RTD("tos.rtd", , "LAST", Main_M[[#This Row],[Symbol]])</f>
        <v>175.52</v>
      </c>
      <c r="E49">
        <v>11.97</v>
      </c>
      <c r="F49">
        <v>25.81</v>
      </c>
      <c r="G49">
        <v>6.15</v>
      </c>
      <c r="H49" s="1">
        <f>IF(ISNUMBER(Main_M[[#This Row],[Free CF]]),IF(Main_M[[#This Row],[Free CF]]&lt;&gt;0,Main_M[[#This Row],[Current Price]]/Main_M[[#This Row],[Free CF]],""),"")</f>
        <v>14.663324979114453</v>
      </c>
      <c r="I49" s="1">
        <f>IF(ISNUMBER(Main_M[[#This Row],[BVPS]]),IF(Main_M[[#This Row],[BVPS]]&lt;&gt;0,Main_M[[#This Row],[Current Price]]/Main_M[[#This Row],[BVPS]],""),"")</f>
        <v>6.8004649360712905</v>
      </c>
      <c r="J49">
        <v>26.59</v>
      </c>
      <c r="K49">
        <v>7.69</v>
      </c>
      <c r="L49">
        <v>2.38</v>
      </c>
      <c r="M49" s="1">
        <f>IF(ISNUMBER(Main_M[[#This Row],[EPS]]),IF(Main_M[[#This Row],[EPS]]&lt;&gt;0,Main_M[[#This Row],[Current Price]]/Main_M[[#This Row],[EPS]],""),"")</f>
        <v>28.539837398373983</v>
      </c>
      <c r="N4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9" s="1">
        <f>(Main_M[[#This Row],[P/FCF]]-VLOOKUP(Main_M[[#This Row],[Industry]], Mean_PFCF_M, 2, FALSE))/(VLOOKUP(Main_M[[#This Row],[Industry]], Mean_PFCF_M, 3, FALSE))</f>
        <v>-0.35056925720382581</v>
      </c>
      <c r="P49" s="1">
        <f>(Main_M[[#This Row],[P/B]]-VLOOKUP(Main_M[[#This Row],[Industry]], Mean_PB_M, 2, FALSE))/(VLOOKUP(Main_M[[#This Row],[Industry]], Mean_PB_M, 3, FALSE))</f>
        <v>0.97511113368594948</v>
      </c>
      <c r="Q49" s="1">
        <f>(Main_M[[#This Row],[ROE]]-VLOOKUP(Main_M[[#This Row],[Industry]], Mean_ROE_M, 2, FALSE))/(VLOOKUP(Main_M[[#This Row],[Industry]], Mean_ROE_M, 3, FALSE))</f>
        <v>0.33039191433489756</v>
      </c>
      <c r="R49" s="1">
        <f>(Main_M[[#This Row],[ROA]]-VLOOKUP(Main_M[[#This Row],[Industry]], Mean_ROA_M, 2, FALSE))/(VLOOKUP(Main_M[[#This Row],[Industry]], Mean_ROA_M, 3, FALSE))</f>
        <v>0.18429910339724181</v>
      </c>
      <c r="S49" s="1">
        <f>(Main_M[[#This Row],[A/E]]-VLOOKUP(Main_M[[#This Row],[Industry]], Mean_AE_M, 2, FALSE))/(VLOOKUP(Main_M[[#This Row],[Industry]], Mean_AE_M, 3, FALSE))</f>
        <v>-0.39728168774098999</v>
      </c>
      <c r="T49" s="1">
        <f>(Main_M[[#This Row],[P/E]]-VLOOKUP(Main_M[[#This Row],[Industry]], Mean_PE_M, 2, FALSE))/(VLOOKUP(Main_M[[#This Row],[Industry]], Mean_PE_M, 3, FALSE))</f>
        <v>-1.4281216182961463E-2</v>
      </c>
      <c r="U4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50" spans="1:26" x14ac:dyDescent="0.25">
      <c r="A50" t="s">
        <v>135</v>
      </c>
      <c r="B50" t="s">
        <v>281</v>
      </c>
      <c r="C50" s="2">
        <v>5276</v>
      </c>
      <c r="D50">
        <f>RTD("tos.rtd", , "LAST", Main_M[[#This Row],[Symbol]])</f>
        <v>193.99</v>
      </c>
      <c r="E50">
        <v>3.39</v>
      </c>
      <c r="F50">
        <v>42.76</v>
      </c>
      <c r="G50">
        <v>7.92</v>
      </c>
      <c r="H50" s="1">
        <f>IF(ISNUMBER(Main_M[[#This Row],[Free CF]]),IF(Main_M[[#This Row],[Free CF]]&lt;&gt;0,Main_M[[#This Row],[Current Price]]/Main_M[[#This Row],[Free CF]],""),"")</f>
        <v>57.224188790560476</v>
      </c>
      <c r="I50" s="1">
        <f>IF(ISNUMBER(Main_M[[#This Row],[BVPS]]),IF(Main_M[[#This Row],[BVPS]]&lt;&gt;0,Main_M[[#This Row],[Current Price]]/Main_M[[#This Row],[BVPS]],""),"")</f>
        <v>4.5367165575304025</v>
      </c>
      <c r="J50">
        <v>20.350000000000001</v>
      </c>
      <c r="K50">
        <v>7.89</v>
      </c>
      <c r="L50">
        <v>2.38</v>
      </c>
      <c r="M50" s="1">
        <f>IF(ISNUMBER(Main_M[[#This Row],[EPS]]),IF(Main_M[[#This Row],[EPS]]&lt;&gt;0,Main_M[[#This Row],[Current Price]]/Main_M[[#This Row],[EPS]],""),"")</f>
        <v>24.493686868686869</v>
      </c>
      <c r="N5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0" s="1">
        <f>(Main_M[[#This Row],[P/FCF]]-VLOOKUP(Main_M[[#This Row],[Industry]], Mean_PFCF_M, 2, FALSE))/(VLOOKUP(Main_M[[#This Row],[Industry]], Mean_PFCF_M, 3, FALSE))</f>
        <v>6.1004055559364776</v>
      </c>
      <c r="P50" s="1">
        <f>(Main_M[[#This Row],[P/B]]-VLOOKUP(Main_M[[#This Row],[Industry]], Mean_PB_M, 2, FALSE))/(VLOOKUP(Main_M[[#This Row],[Industry]], Mean_PB_M, 3, FALSE))</f>
        <v>-0.19076674346033451</v>
      </c>
      <c r="Q50" s="1">
        <f>(Main_M[[#This Row],[ROE]]-VLOOKUP(Main_M[[#This Row],[Industry]], Mean_ROE_M, 2, FALSE))/(VLOOKUP(Main_M[[#This Row],[Industry]], Mean_ROE_M, 3, FALSE))</f>
        <v>-3.8527658367117544E-2</v>
      </c>
      <c r="R50" s="1">
        <f>(Main_M[[#This Row],[ROA]]-VLOOKUP(Main_M[[#This Row],[Industry]], Mean_ROA_M, 2, FALSE))/(VLOOKUP(Main_M[[#This Row],[Industry]], Mean_ROA_M, 3, FALSE))</f>
        <v>0.23771913336745654</v>
      </c>
      <c r="S50" s="1">
        <f>(Main_M[[#This Row],[A/E]]-VLOOKUP(Main_M[[#This Row],[Industry]], Mean_AE_M, 2, FALSE))/(VLOOKUP(Main_M[[#This Row],[Industry]], Mean_AE_M, 3, FALSE))</f>
        <v>-0.39728168774098999</v>
      </c>
      <c r="T50" s="1">
        <f>(Main_M[[#This Row],[P/E]]-VLOOKUP(Main_M[[#This Row],[Industry]], Mean_PE_M, 2, FALSE))/(VLOOKUP(Main_M[[#This Row],[Industry]], Mean_PE_M, 3, FALSE))</f>
        <v>-0.2332978914468529</v>
      </c>
      <c r="U5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5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5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5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51" spans="1:26" x14ac:dyDescent="0.25">
      <c r="A51" t="s">
        <v>135</v>
      </c>
      <c r="B51" t="s">
        <v>282</v>
      </c>
      <c r="C51" s="2">
        <v>2376</v>
      </c>
      <c r="D51">
        <f>RTD("tos.rtd", , "LAST", Main_M[[#This Row],[Symbol]])</f>
        <v>51.42</v>
      </c>
      <c r="E51">
        <v>2.2599999999999998</v>
      </c>
      <c r="F51">
        <v>8.2899999999999991</v>
      </c>
      <c r="G51">
        <v>2.81</v>
      </c>
      <c r="H51" s="1">
        <f>IF(ISNUMBER(Main_M[[#This Row],[Free CF]]),IF(Main_M[[#This Row],[Free CF]]&lt;&gt;0,Main_M[[#This Row],[Current Price]]/Main_M[[#This Row],[Free CF]],""),"")</f>
        <v>22.752212389380535</v>
      </c>
      <c r="I51" s="1">
        <f>IF(ISNUMBER(Main_M[[#This Row],[BVPS]]),IF(Main_M[[#This Row],[BVPS]]&lt;&gt;0,Main_M[[#This Row],[Current Price]]/Main_M[[#This Row],[BVPS]],""),"")</f>
        <v>6.2026537997587461</v>
      </c>
      <c r="J51">
        <v>32.92</v>
      </c>
      <c r="K51">
        <v>10.14</v>
      </c>
      <c r="L51">
        <v>3.05</v>
      </c>
      <c r="M51" s="1">
        <f>IF(ISNUMBER(Main_M[[#This Row],[EPS]]),IF(Main_M[[#This Row],[EPS]]&lt;&gt;0,Main_M[[#This Row],[Current Price]]/Main_M[[#This Row],[EPS]],""),"")</f>
        <v>18.298932384341636</v>
      </c>
      <c r="N5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1" s="1">
        <f>(Main_M[[#This Row],[P/FCF]]-VLOOKUP(Main_M[[#This Row],[Industry]], Mean_PFCF_M, 2, FALSE))/(VLOOKUP(Main_M[[#This Row],[Industry]], Mean_PFCF_M, 3, FALSE))</f>
        <v>0.87546809911319834</v>
      </c>
      <c r="P51" s="1">
        <f>(Main_M[[#This Row],[P/B]]-VLOOKUP(Main_M[[#This Row],[Industry]], Mean_PB_M, 2, FALSE))/(VLOOKUP(Main_M[[#This Row],[Industry]], Mean_PB_M, 3, FALSE))</f>
        <v>0.66722586465807454</v>
      </c>
      <c r="Q51" s="1">
        <f>(Main_M[[#This Row],[ROE]]-VLOOKUP(Main_M[[#This Row],[Industry]], Mean_ROE_M, 2, FALSE))/(VLOOKUP(Main_M[[#This Row],[Industry]], Mean_ROE_M, 3, FALSE))</f>
        <v>0.70463244241242273</v>
      </c>
      <c r="R51" s="1">
        <f>(Main_M[[#This Row],[ROA]]-VLOOKUP(Main_M[[#This Row],[Industry]], Mean_ROA_M, 2, FALSE))/(VLOOKUP(Main_M[[#This Row],[Industry]], Mean_ROA_M, 3, FALSE))</f>
        <v>0.83869447053237456</v>
      </c>
      <c r="S51" s="1">
        <f>(Main_M[[#This Row],[A/E]]-VLOOKUP(Main_M[[#This Row],[Industry]], Mean_AE_M, 2, FALSE))/(VLOOKUP(Main_M[[#This Row],[Industry]], Mean_AE_M, 3, FALSE))</f>
        <v>1.2577156021230322</v>
      </c>
      <c r="T51" s="1">
        <f>(Main_M[[#This Row],[P/E]]-VLOOKUP(Main_M[[#This Row],[Industry]], Mean_PE_M, 2, FALSE))/(VLOOKUP(Main_M[[#This Row],[Industry]], Mean_PE_M, 3, FALSE))</f>
        <v>-0.56861772724700332</v>
      </c>
      <c r="U5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5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5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5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52" spans="1:26" x14ac:dyDescent="0.25">
      <c r="A52" t="s">
        <v>135</v>
      </c>
      <c r="B52" t="s">
        <v>283</v>
      </c>
      <c r="C52" s="2">
        <v>5732</v>
      </c>
      <c r="D52">
        <f>RTD("tos.rtd", , "LAST", Main_M[[#This Row],[Symbol]])</f>
        <v>38.770000000000003</v>
      </c>
      <c r="E52">
        <v>2.99</v>
      </c>
      <c r="F52">
        <v>21.61</v>
      </c>
      <c r="G52">
        <v>10.64</v>
      </c>
      <c r="H52" s="1">
        <f>IF(ISNUMBER(Main_M[[#This Row],[Free CF]]),IF(Main_M[[#This Row],[Free CF]]&lt;&gt;0,Main_M[[#This Row],[Current Price]]/Main_M[[#This Row],[Free CF]],""),"")</f>
        <v>12.966555183946488</v>
      </c>
      <c r="I52" s="1">
        <f>IF(ISNUMBER(Main_M[[#This Row],[BVPS]]),IF(Main_M[[#This Row],[BVPS]]&lt;&gt;0,Main_M[[#This Row],[Current Price]]/Main_M[[#This Row],[BVPS]],""),"")</f>
        <v>1.7940768162887555</v>
      </c>
      <c r="J52">
        <v>63.65</v>
      </c>
      <c r="K52">
        <v>3.68</v>
      </c>
      <c r="L52">
        <v>2.35</v>
      </c>
      <c r="M52" s="1">
        <f>IF(ISNUMBER(Main_M[[#This Row],[EPS]]),IF(Main_M[[#This Row],[EPS]]&lt;&gt;0,Main_M[[#This Row],[Current Price]]/Main_M[[#This Row],[EPS]],""),"")</f>
        <v>3.643796992481203</v>
      </c>
      <c r="N5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2" s="1">
        <f>(Main_M[[#This Row],[P/FCF]]-VLOOKUP(Main_M[[#This Row],[Industry]], Mean_PFCF_M, 2, FALSE))/(VLOOKUP(Main_M[[#This Row],[Industry]], Mean_PFCF_M, 3, FALSE))</f>
        <v>-0.60774963918146041</v>
      </c>
      <c r="P52" s="1">
        <f>(Main_M[[#This Row],[P/B]]-VLOOKUP(Main_M[[#This Row],[Industry]], Mean_PB_M, 2, FALSE))/(VLOOKUP(Main_M[[#This Row],[Industry]], Mean_PB_M, 3, FALSE))</f>
        <v>-1.603283712928852</v>
      </c>
      <c r="Q52" s="1">
        <f>(Main_M[[#This Row],[ROE]]-VLOOKUP(Main_M[[#This Row],[Industry]], Mean_ROE_M, 2, FALSE))/(VLOOKUP(Main_M[[#This Row],[Industry]], Mean_ROE_M, 3, FALSE))</f>
        <v>2.5214430945170583</v>
      </c>
      <c r="R52" s="1">
        <f>(Main_M[[#This Row],[ROA]]-VLOOKUP(Main_M[[#This Row],[Industry]], Mean_ROA_M, 2, FALSE))/(VLOOKUP(Main_M[[#This Row],[Industry]], Mean_ROA_M, 3, FALSE))</f>
        <v>-0.8867724975055673</v>
      </c>
      <c r="S52" s="1">
        <f>(Main_M[[#This Row],[A/E]]-VLOOKUP(Main_M[[#This Row],[Industry]], Mean_AE_M, 2, FALSE))/(VLOOKUP(Main_M[[#This Row],[Industry]], Mean_AE_M, 3, FALSE))</f>
        <v>-0.47138604400355771</v>
      </c>
      <c r="T52" s="1">
        <f>(Main_M[[#This Row],[P/E]]-VLOOKUP(Main_M[[#This Row],[Industry]], Mean_PE_M, 2, FALSE))/(VLOOKUP(Main_M[[#This Row],[Industry]], Mean_PE_M, 3, FALSE))</f>
        <v>-1.3618949435832091</v>
      </c>
      <c r="U5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5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5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5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53" spans="1:26" x14ac:dyDescent="0.25">
      <c r="A53" t="s">
        <v>135</v>
      </c>
      <c r="B53" t="s">
        <v>284</v>
      </c>
      <c r="C53" s="2">
        <v>3550</v>
      </c>
      <c r="D53">
        <f>RTD("tos.rtd", , "LAST", Main_M[[#This Row],[Symbol]])</f>
        <v>85.62</v>
      </c>
      <c r="E53">
        <v>6.75</v>
      </c>
      <c r="F53">
        <v>22.72</v>
      </c>
      <c r="G53">
        <v>2.58</v>
      </c>
      <c r="H53" s="1">
        <f>IF(ISNUMBER(Main_M[[#This Row],[Free CF]]),IF(Main_M[[#This Row],[Free CF]]&lt;&gt;0,Main_M[[#This Row],[Current Price]]/Main_M[[#This Row],[Free CF]],""),"")</f>
        <v>12.684444444444445</v>
      </c>
      <c r="I53" s="1">
        <f>IF(ISNUMBER(Main_M[[#This Row],[BVPS]]),IF(Main_M[[#This Row],[BVPS]]&lt;&gt;0,Main_M[[#This Row],[Current Price]]/Main_M[[#This Row],[BVPS]],""),"")</f>
        <v>3.768485915492958</v>
      </c>
      <c r="J53">
        <v>13.86</v>
      </c>
      <c r="K53">
        <v>4.6399999999999997</v>
      </c>
      <c r="L53">
        <v>2.93</v>
      </c>
      <c r="M53" s="1">
        <f>IF(ISNUMBER(Main_M[[#This Row],[EPS]]),IF(Main_M[[#This Row],[EPS]]&lt;&gt;0,Main_M[[#This Row],[Current Price]]/Main_M[[#This Row],[EPS]],""),"")</f>
        <v>33.186046511627907</v>
      </c>
      <c r="N5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3" s="1">
        <f>(Main_M[[#This Row],[P/FCF]]-VLOOKUP(Main_M[[#This Row],[Industry]], Mean_PFCF_M, 2, FALSE))/(VLOOKUP(Main_M[[#This Row],[Industry]], Mean_PFCF_M, 3, FALSE))</f>
        <v>-0.65050932759160585</v>
      </c>
      <c r="P53" s="1">
        <f>(Main_M[[#This Row],[P/B]]-VLOOKUP(Main_M[[#This Row],[Industry]], Mean_PB_M, 2, FALSE))/(VLOOKUP(Main_M[[#This Row],[Industry]], Mean_PB_M, 3, FALSE))</f>
        <v>-0.58642163098570843</v>
      </c>
      <c r="Q53" s="1">
        <f>(Main_M[[#This Row],[ROE]]-VLOOKUP(Main_M[[#This Row],[Industry]], Mean_ROE_M, 2, FALSE))/(VLOOKUP(Main_M[[#This Row],[Industry]], Mean_ROE_M, 3, FALSE))</f>
        <v>-0.42222766266777134</v>
      </c>
      <c r="R53" s="1">
        <f>(Main_M[[#This Row],[ROA]]-VLOOKUP(Main_M[[#This Row],[Industry]], Mean_ROA_M, 2, FALSE))/(VLOOKUP(Main_M[[#This Row],[Industry]], Mean_ROA_M, 3, FALSE))</f>
        <v>-0.63035635364853582</v>
      </c>
      <c r="S53" s="1">
        <f>(Main_M[[#This Row],[A/E]]-VLOOKUP(Main_M[[#This Row],[Industry]], Mean_AE_M, 2, FALSE))/(VLOOKUP(Main_M[[#This Row],[Industry]], Mean_AE_M, 3, FALSE))</f>
        <v>0.96129817707276033</v>
      </c>
      <c r="T53" s="1">
        <f>(Main_M[[#This Row],[P/E]]-VLOOKUP(Main_M[[#This Row],[Industry]], Mean_PE_M, 2, FALSE))/(VLOOKUP(Main_M[[#This Row],[Industry]], Mean_PE_M, 3, FALSE))</f>
        <v>0.23721641473794192</v>
      </c>
      <c r="U5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5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5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5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54" spans="1:26" x14ac:dyDescent="0.25">
      <c r="A54" t="s">
        <v>135</v>
      </c>
      <c r="B54" t="s">
        <v>285</v>
      </c>
      <c r="C54" s="2">
        <v>4797</v>
      </c>
      <c r="D54">
        <f>RTD("tos.rtd", , "LAST", Main_M[[#This Row],[Symbol]])</f>
        <v>272.97000000000003</v>
      </c>
      <c r="E54">
        <v>8.7799999999999994</v>
      </c>
      <c r="F54">
        <v>35.49</v>
      </c>
      <c r="G54">
        <v>11.95</v>
      </c>
      <c r="H54" s="1">
        <f>IF(ISNUMBER(Main_M[[#This Row],[Free CF]]),IF(Main_M[[#This Row],[Free CF]]&lt;&gt;0,Main_M[[#This Row],[Current Price]]/Main_M[[#This Row],[Free CF]],""),"")</f>
        <v>31.089977220956726</v>
      </c>
      <c r="I54" s="1">
        <f>IF(ISNUMBER(Main_M[[#This Row],[BVPS]]),IF(Main_M[[#This Row],[BVPS]]&lt;&gt;0,Main_M[[#This Row],[Current Price]]/Main_M[[#This Row],[BVPS]],""),"")</f>
        <v>7.6914623837700766</v>
      </c>
      <c r="J54">
        <v>39.119999999999997</v>
      </c>
      <c r="K54">
        <v>16.899999999999999</v>
      </c>
      <c r="L54">
        <v>1.93</v>
      </c>
      <c r="M54" s="1">
        <f>IF(ISNUMBER(Main_M[[#This Row],[EPS]]),IF(Main_M[[#This Row],[EPS]]&lt;&gt;0,Main_M[[#This Row],[Current Price]]/Main_M[[#This Row],[EPS]],""),"")</f>
        <v>22.842677824267785</v>
      </c>
      <c r="N5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4" s="1">
        <f>(Main_M[[#This Row],[P/FCF]]-VLOOKUP(Main_M[[#This Row],[Industry]], Mean_PFCF_M, 2, FALSE))/(VLOOKUP(Main_M[[#This Row],[Industry]], Mean_PFCF_M, 3, FALSE))</f>
        <v>2.13922795052674</v>
      </c>
      <c r="P54" s="1">
        <f>(Main_M[[#This Row],[P/B]]-VLOOKUP(Main_M[[#This Row],[Industry]], Mean_PB_M, 2, FALSE))/(VLOOKUP(Main_M[[#This Row],[Industry]], Mean_PB_M, 3, FALSE))</f>
        <v>1.4339935000801238</v>
      </c>
      <c r="Q54" s="1">
        <f>(Main_M[[#This Row],[ROE]]-VLOOKUP(Main_M[[#This Row],[Industry]], Mean_ROE_M, 2, FALSE))/(VLOOKUP(Main_M[[#This Row],[Industry]], Mean_ROE_M, 3, FALSE))</f>
        <v>1.0711871460586555</v>
      </c>
      <c r="R54" s="1">
        <f>(Main_M[[#This Row],[ROA]]-VLOOKUP(Main_M[[#This Row],[Industry]], Mean_ROA_M, 2, FALSE))/(VLOOKUP(Main_M[[#This Row],[Industry]], Mean_ROA_M, 3, FALSE))</f>
        <v>2.6442914835256381</v>
      </c>
      <c r="S54" s="1">
        <f>(Main_M[[#This Row],[A/E]]-VLOOKUP(Main_M[[#This Row],[Industry]], Mean_AE_M, 2, FALSE))/(VLOOKUP(Main_M[[#This Row],[Industry]], Mean_AE_M, 3, FALSE))</f>
        <v>-1.5088470316795124</v>
      </c>
      <c r="T54" s="1">
        <f>(Main_M[[#This Row],[P/E]]-VLOOKUP(Main_M[[#This Row],[Industry]], Mean_PE_M, 2, FALSE))/(VLOOKUP(Main_M[[#This Row],[Industry]], Mean_PE_M, 3, FALSE))</f>
        <v>-0.32266641817026281</v>
      </c>
      <c r="U5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5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5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Yes</v>
      </c>
      <c r="X5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5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55" spans="1:26" x14ac:dyDescent="0.25">
      <c r="A55" t="s">
        <v>135</v>
      </c>
      <c r="B55" t="s">
        <v>286</v>
      </c>
      <c r="C55" s="2">
        <v>2410</v>
      </c>
      <c r="D55">
        <f>RTD("tos.rtd", , "LAST", Main_M[[#This Row],[Symbol]])</f>
        <v>164.3</v>
      </c>
      <c r="E55">
        <v>6.11</v>
      </c>
      <c r="F55">
        <v>35.35</v>
      </c>
      <c r="G55">
        <v>2.12</v>
      </c>
      <c r="H55" s="1">
        <f>IF(ISNUMBER(Main_M[[#This Row],[Free CF]]),IF(Main_M[[#This Row],[Free CF]]&lt;&gt;0,Main_M[[#This Row],[Current Price]]/Main_M[[#This Row],[Free CF]],""),"")</f>
        <v>26.890343698854338</v>
      </c>
      <c r="I55" s="1">
        <f>IF(ISNUMBER(Main_M[[#This Row],[BVPS]]),IF(Main_M[[#This Row],[BVPS]]&lt;&gt;0,Main_M[[#This Row],[Current Price]]/Main_M[[#This Row],[BVPS]],""),"")</f>
        <v>4.6478076379066477</v>
      </c>
      <c r="J55">
        <v>5.71</v>
      </c>
      <c r="K55">
        <v>2.3199999999999998</v>
      </c>
      <c r="L55">
        <v>2.77</v>
      </c>
      <c r="M55" s="1">
        <f>IF(ISNUMBER(Main_M[[#This Row],[EPS]]),IF(Main_M[[#This Row],[EPS]]&lt;&gt;0,Main_M[[#This Row],[Current Price]]/Main_M[[#This Row],[EPS]],""),"")</f>
        <v>77.5</v>
      </c>
      <c r="N5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5" s="1">
        <f>(Main_M[[#This Row],[P/FCF]]-VLOOKUP(Main_M[[#This Row],[Industry]], Mean_PFCF_M, 2, FALSE))/(VLOOKUP(Main_M[[#This Row],[Industry]], Mean_PFCF_M, 3, FALSE))</f>
        <v>1.5026870618003147</v>
      </c>
      <c r="P55" s="1">
        <f>(Main_M[[#This Row],[P/B]]-VLOOKUP(Main_M[[#This Row],[Industry]], Mean_PB_M, 2, FALSE))/(VLOOKUP(Main_M[[#This Row],[Industry]], Mean_PB_M, 3, FALSE))</f>
        <v>-0.13355250790893192</v>
      </c>
      <c r="Q55" s="1">
        <f>(Main_M[[#This Row],[ROE]]-VLOOKUP(Main_M[[#This Row],[Industry]], Mean_ROE_M, 2, FALSE))/(VLOOKUP(Main_M[[#This Row],[Industry]], Mean_ROE_M, 3, FALSE))</f>
        <v>-0.90406973278338409</v>
      </c>
      <c r="R55" s="1">
        <f>(Main_M[[#This Row],[ROA]]-VLOOKUP(Main_M[[#This Row],[Industry]], Mean_ROA_M, 2, FALSE))/(VLOOKUP(Main_M[[#This Row],[Industry]], Mean_ROA_M, 3, FALSE))</f>
        <v>-1.2500287013030289</v>
      </c>
      <c r="S55" s="1">
        <f>(Main_M[[#This Row],[A/E]]-VLOOKUP(Main_M[[#This Row],[Industry]], Mean_AE_M, 2, FALSE))/(VLOOKUP(Main_M[[#This Row],[Industry]], Mean_AE_M, 3, FALSE))</f>
        <v>0.56607494367239641</v>
      </c>
      <c r="T55" s="1">
        <f>(Main_M[[#This Row],[P/E]]-VLOOKUP(Main_M[[#This Row],[Industry]], Mean_PE_M, 2, FALSE))/(VLOOKUP(Main_M[[#This Row],[Industry]], Mean_PE_M, 3, FALSE))</f>
        <v>2.6359148046301484</v>
      </c>
      <c r="U5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5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5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5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56" spans="1:26" x14ac:dyDescent="0.25">
      <c r="A56" t="s">
        <v>135</v>
      </c>
      <c r="B56" t="s">
        <v>287</v>
      </c>
      <c r="C56" s="2">
        <v>3597</v>
      </c>
      <c r="D56">
        <f>RTD("tos.rtd", , "LAST", Main_M[[#This Row],[Symbol]])</f>
        <v>76.53</v>
      </c>
      <c r="E56">
        <v>8.31</v>
      </c>
      <c r="F56">
        <v>26.87</v>
      </c>
      <c r="G56">
        <v>3.77</v>
      </c>
      <c r="H56" s="1">
        <f>IF(ISNUMBER(Main_M[[#This Row],[Free CF]]),IF(Main_M[[#This Row],[Free CF]]&lt;&gt;0,Main_M[[#This Row],[Current Price]]/Main_M[[#This Row],[Free CF]],""),"")</f>
        <v>9.2093862815884471</v>
      </c>
      <c r="I56" s="1">
        <f>IF(ISNUMBER(Main_M[[#This Row],[BVPS]]),IF(Main_M[[#This Row],[BVPS]]&lt;&gt;0,Main_M[[#This Row],[Current Price]]/Main_M[[#This Row],[BVPS]],""),"")</f>
        <v>2.8481577967994043</v>
      </c>
      <c r="J56">
        <v>15.3</v>
      </c>
      <c r="K56">
        <v>5.3</v>
      </c>
      <c r="L56">
        <v>2.92</v>
      </c>
      <c r="M56" s="1">
        <f>IF(ISNUMBER(Main_M[[#This Row],[EPS]]),IF(Main_M[[#This Row],[EPS]]&lt;&gt;0,Main_M[[#This Row],[Current Price]]/Main_M[[#This Row],[EPS]],""),"")</f>
        <v>20.299734748010611</v>
      </c>
      <c r="N5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6" s="1">
        <f>(Main_M[[#This Row],[P/FCF]]-VLOOKUP(Main_M[[#This Row],[Industry]], Mean_PFCF_M, 2, FALSE))/(VLOOKUP(Main_M[[#This Row],[Industry]], Mean_PFCF_M, 3, FALSE))</f>
        <v>-1.1772259088643957</v>
      </c>
      <c r="P56" s="1">
        <f>(Main_M[[#This Row],[P/B]]-VLOOKUP(Main_M[[#This Row],[Industry]], Mean_PB_M, 2, FALSE))/(VLOOKUP(Main_M[[#This Row],[Industry]], Mean_PB_M, 3, FALSE))</f>
        <v>-1.0604099078948566</v>
      </c>
      <c r="Q56" s="1">
        <f>(Main_M[[#This Row],[ROE]]-VLOOKUP(Main_M[[#This Row],[Industry]], Mean_ROE_M, 2, FALSE))/(VLOOKUP(Main_M[[#This Row],[Industry]], Mean_ROE_M, 3, FALSE))</f>
        <v>-0.33709237665961389</v>
      </c>
      <c r="R56" s="1">
        <f>(Main_M[[#This Row],[ROA]]-VLOOKUP(Main_M[[#This Row],[Industry]], Mean_ROA_M, 2, FALSE))/(VLOOKUP(Main_M[[#This Row],[Industry]], Mean_ROA_M, 3, FALSE))</f>
        <v>-0.45407025474682661</v>
      </c>
      <c r="S56" s="1">
        <f>(Main_M[[#This Row],[A/E]]-VLOOKUP(Main_M[[#This Row],[Industry]], Mean_AE_M, 2, FALSE))/(VLOOKUP(Main_M[[#This Row],[Industry]], Mean_AE_M, 3, FALSE))</f>
        <v>0.93659672498523705</v>
      </c>
      <c r="T56" s="1">
        <f>(Main_M[[#This Row],[P/E]]-VLOOKUP(Main_M[[#This Row],[Industry]], Mean_PE_M, 2, FALSE))/(VLOOKUP(Main_M[[#This Row],[Industry]], Mean_PE_M, 3, FALSE))</f>
        <v>-0.46031501375779443</v>
      </c>
      <c r="U5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5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5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5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57" spans="1:26" x14ac:dyDescent="0.25">
      <c r="A57" t="s">
        <v>135</v>
      </c>
      <c r="B57" t="s">
        <v>288</v>
      </c>
      <c r="C57" s="2">
        <v>5032</v>
      </c>
      <c r="D57">
        <f>RTD("tos.rtd", , "LAST", Main_M[[#This Row],[Symbol]])</f>
        <v>103.36</v>
      </c>
      <c r="E57">
        <v>1.93</v>
      </c>
      <c r="F57">
        <v>14.5</v>
      </c>
      <c r="G57">
        <v>1.05</v>
      </c>
      <c r="H57" s="1">
        <f>IF(ISNUMBER(Main_M[[#This Row],[Free CF]]),IF(Main_M[[#This Row],[Free CF]]&lt;&gt;0,Main_M[[#This Row],[Current Price]]/Main_M[[#This Row],[Free CF]],""),"")</f>
        <v>53.554404145077719</v>
      </c>
      <c r="I57" s="1">
        <f>IF(ISNUMBER(Main_M[[#This Row],[BVPS]]),IF(Main_M[[#This Row],[BVPS]]&lt;&gt;0,Main_M[[#This Row],[Current Price]]/Main_M[[#This Row],[BVPS]],""),"")</f>
        <v>7.1282758620689659</v>
      </c>
      <c r="J57">
        <v>8.41</v>
      </c>
      <c r="K57">
        <v>4.38</v>
      </c>
      <c r="L57">
        <v>3.17</v>
      </c>
      <c r="M57" s="1">
        <f>IF(ISNUMBER(Main_M[[#This Row],[EPS]]),IF(Main_M[[#This Row],[EPS]]&lt;&gt;0,Main_M[[#This Row],[Current Price]]/Main_M[[#This Row],[EPS]],""),"")</f>
        <v>98.438095238095229</v>
      </c>
      <c r="N5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7" s="1">
        <f>(Main_M[[#This Row],[P/FCF]]-VLOOKUP(Main_M[[#This Row],[Industry]], Mean_PFCF_M, 2, FALSE))/(VLOOKUP(Main_M[[#This Row],[Industry]], Mean_PFCF_M, 3, FALSE))</f>
        <v>5.544174168750871</v>
      </c>
      <c r="P57" s="1">
        <f>(Main_M[[#This Row],[P/B]]-VLOOKUP(Main_M[[#This Row],[Industry]], Mean_PB_M, 2, FALSE))/(VLOOKUP(Main_M[[#This Row],[Industry]], Mean_PB_M, 3, FALSE))</f>
        <v>1.1439406335236781</v>
      </c>
      <c r="Q57" s="1">
        <f>(Main_M[[#This Row],[ROE]]-VLOOKUP(Main_M[[#This Row],[Industry]], Mean_ROE_M, 2, FALSE))/(VLOOKUP(Main_M[[#This Row],[Industry]], Mean_ROE_M, 3, FALSE))</f>
        <v>-0.74444107151808903</v>
      </c>
      <c r="R57" s="1">
        <f>(Main_M[[#This Row],[ROA]]-VLOOKUP(Main_M[[#This Row],[Industry]], Mean_ROA_M, 2, FALSE))/(VLOOKUP(Main_M[[#This Row],[Industry]], Mean_ROA_M, 3, FALSE))</f>
        <v>-0.69980239260981514</v>
      </c>
      <c r="S57" s="1">
        <f>(Main_M[[#This Row],[A/E]]-VLOOKUP(Main_M[[#This Row],[Industry]], Mean_AE_M, 2, FALSE))/(VLOOKUP(Main_M[[#This Row],[Industry]], Mean_AE_M, 3, FALSE))</f>
        <v>1.5541330271733051</v>
      </c>
      <c r="T57" s="1">
        <f>(Main_M[[#This Row],[P/E]]-VLOOKUP(Main_M[[#This Row],[Industry]], Mean_PE_M, 2, FALSE))/(VLOOKUP(Main_M[[#This Row],[Industry]], Mean_PE_M, 3, FALSE))</f>
        <v>3.7692863813324489</v>
      </c>
      <c r="U5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5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5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5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58" spans="1:26" x14ac:dyDescent="0.25">
      <c r="A58" t="s">
        <v>135</v>
      </c>
      <c r="B58" t="s">
        <v>290</v>
      </c>
      <c r="C58" s="2">
        <v>5464</v>
      </c>
      <c r="D58">
        <f>RTD("tos.rtd", , "LAST", Main_M[[#This Row],[Symbol]])</f>
        <v>187.48</v>
      </c>
      <c r="E58">
        <v>14.84</v>
      </c>
      <c r="F58">
        <v>26.37</v>
      </c>
      <c r="G58">
        <v>8.56</v>
      </c>
      <c r="H58" s="1">
        <f>IF(ISNUMBER(Main_M[[#This Row],[Free CF]]),IF(Main_M[[#This Row],[Free CF]]&lt;&gt;0,Main_M[[#This Row],[Current Price]]/Main_M[[#This Row],[Free CF]],""),"")</f>
        <v>12.633423180592992</v>
      </c>
      <c r="I58" s="1">
        <f>IF(ISNUMBER(Main_M[[#This Row],[BVPS]]),IF(Main_M[[#This Row],[BVPS]]&lt;&gt;0,Main_M[[#This Row],[Current Price]]/Main_M[[#This Row],[BVPS]],""),"")</f>
        <v>7.1095942358740984</v>
      </c>
      <c r="J58">
        <v>37.83</v>
      </c>
      <c r="K58">
        <v>9.07</v>
      </c>
      <c r="L58">
        <v>2.5299999999999998</v>
      </c>
      <c r="M58" s="1">
        <f>IF(ISNUMBER(Main_M[[#This Row],[EPS]]),IF(Main_M[[#This Row],[EPS]]&lt;&gt;0,Main_M[[#This Row],[Current Price]]/Main_M[[#This Row],[EPS]],""),"")</f>
        <v>21.901869158878501</v>
      </c>
      <c r="N5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8" s="1">
        <f>(Main_M[[#This Row],[P/FCF]]-VLOOKUP(Main_M[[#This Row],[Industry]], Mean_PFCF_M, 2, FALSE))/(VLOOKUP(Main_M[[#This Row],[Industry]], Mean_PFCF_M, 3, FALSE))</f>
        <v>-0.65824265014582972</v>
      </c>
      <c r="P58" s="1">
        <f>(Main_M[[#This Row],[P/B]]-VLOOKUP(Main_M[[#This Row],[Industry]], Mean_PB_M, 2, FALSE))/(VLOOKUP(Main_M[[#This Row],[Industry]], Mean_PB_M, 3, FALSE))</f>
        <v>1.1343192043506394</v>
      </c>
      <c r="Q58" s="1">
        <f>(Main_M[[#This Row],[ROE]]-VLOOKUP(Main_M[[#This Row],[Industry]], Mean_ROE_M, 2, FALSE))/(VLOOKUP(Main_M[[#This Row],[Industry]], Mean_ROE_M, 3, FALSE))</f>
        <v>0.99492011900968136</v>
      </c>
      <c r="R58" s="1">
        <f>(Main_M[[#This Row],[ROA]]-VLOOKUP(Main_M[[#This Row],[Industry]], Mean_ROA_M, 2, FALSE))/(VLOOKUP(Main_M[[#This Row],[Industry]], Mean_ROA_M, 3, FALSE))</f>
        <v>0.55289731019172472</v>
      </c>
      <c r="S58" s="1">
        <f>(Main_M[[#This Row],[A/E]]-VLOOKUP(Main_M[[#This Row],[Industry]], Mean_AE_M, 2, FALSE))/(VLOOKUP(Main_M[[#This Row],[Industry]], Mean_AE_M, 3, FALSE))</f>
        <v>-2.6759906428149408E-2</v>
      </c>
      <c r="T58" s="1">
        <f>(Main_M[[#This Row],[P/E]]-VLOOKUP(Main_M[[#This Row],[Industry]], Mean_PE_M, 2, FALSE))/(VLOOKUP(Main_M[[#This Row],[Industry]], Mean_PE_M, 3, FALSE))</f>
        <v>-0.37359205339840984</v>
      </c>
      <c r="U5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5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5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5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59" spans="1:26" x14ac:dyDescent="0.25">
      <c r="A59" t="s">
        <v>135</v>
      </c>
      <c r="B59" t="s">
        <v>291</v>
      </c>
      <c r="C59" s="2">
        <v>6039</v>
      </c>
      <c r="D59">
        <f>RTD("tos.rtd", , "LAST", Main_M[[#This Row],[Symbol]])</f>
        <v>322.33999999999997</v>
      </c>
      <c r="E59">
        <v>25.87</v>
      </c>
      <c r="F59">
        <v>81.459999999999994</v>
      </c>
      <c r="G59">
        <v>17.190000000000001</v>
      </c>
      <c r="H59" s="1">
        <f>IF(ISNUMBER(Main_M[[#This Row],[Free CF]]),IF(Main_M[[#This Row],[Free CF]]&lt;&gt;0,Main_M[[#This Row],[Current Price]]/Main_M[[#This Row],[Free CF]],""),"")</f>
        <v>12.459992269037494</v>
      </c>
      <c r="I59" s="1">
        <f>IF(ISNUMBER(Main_M[[#This Row],[BVPS]]),IF(Main_M[[#This Row],[BVPS]]&lt;&gt;0,Main_M[[#This Row],[Current Price]]/Main_M[[#This Row],[BVPS]],""),"")</f>
        <v>3.9570341271789835</v>
      </c>
      <c r="J59">
        <v>22.18</v>
      </c>
      <c r="K59">
        <v>9.51</v>
      </c>
      <c r="L59">
        <v>2.06</v>
      </c>
      <c r="M59" s="1">
        <f>IF(ISNUMBER(Main_M[[#This Row],[EPS]]),IF(Main_M[[#This Row],[EPS]]&lt;&gt;0,Main_M[[#This Row],[Current Price]]/Main_M[[#This Row],[EPS]],""),"")</f>
        <v>18.751599767306569</v>
      </c>
      <c r="N5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YES</v>
      </c>
      <c r="O59" s="1">
        <f>(Main_M[[#This Row],[P/FCF]]-VLOOKUP(Main_M[[#This Row],[Industry]], Mean_PFCF_M, 2, FALSE))/(VLOOKUP(Main_M[[#This Row],[Industry]], Mean_PFCF_M, 3, FALSE))</f>
        <v>-0.68452967399997433</v>
      </c>
      <c r="P59" s="1">
        <f>(Main_M[[#This Row],[P/B]]-VLOOKUP(Main_M[[#This Row],[Industry]], Mean_PB_M, 2, FALSE))/(VLOOKUP(Main_M[[#This Row],[Industry]], Mean_PB_M, 3, FALSE))</f>
        <v>-0.48931534882818323</v>
      </c>
      <c r="Q59" s="1">
        <f>(Main_M[[#This Row],[ROE]]-VLOOKUP(Main_M[[#This Row],[Industry]], Mean_ROE_M, 2, FALSE))/(VLOOKUP(Main_M[[#This Row],[Industry]], Mean_ROE_M, 3, FALSE))</f>
        <v>6.9665100934915666E-2</v>
      </c>
      <c r="R59" s="1">
        <f>(Main_M[[#This Row],[ROA]]-VLOOKUP(Main_M[[#This Row],[Industry]], Mean_ROA_M, 2, FALSE))/(VLOOKUP(Main_M[[#This Row],[Industry]], Mean_ROA_M, 3, FALSE))</f>
        <v>0.67042137612619734</v>
      </c>
      <c r="S59" s="1">
        <f>(Main_M[[#This Row],[A/E]]-VLOOKUP(Main_M[[#This Row],[Industry]], Mean_AE_M, 2, FALSE))/(VLOOKUP(Main_M[[#This Row],[Industry]], Mean_AE_M, 3, FALSE))</f>
        <v>-1.1877281545417167</v>
      </c>
      <c r="T59" s="1">
        <f>(Main_M[[#This Row],[P/E]]-VLOOKUP(Main_M[[#This Row],[Industry]], Mean_PE_M, 2, FALSE))/(VLOOKUP(Main_M[[#This Row],[Industry]], Mean_PE_M, 3, FALSE))</f>
        <v>-0.5441150043527434</v>
      </c>
      <c r="U5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5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5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5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60" spans="1:26" x14ac:dyDescent="0.25">
      <c r="A60" t="s">
        <v>135</v>
      </c>
      <c r="B60" t="s">
        <v>292</v>
      </c>
      <c r="C60" s="2">
        <v>4832</v>
      </c>
      <c r="D60">
        <f>RTD("tos.rtd", , "LAST", Main_M[[#This Row],[Symbol]])</f>
        <v>30.3</v>
      </c>
      <c r="E60">
        <v>1.75</v>
      </c>
      <c r="F60">
        <v>5.52</v>
      </c>
      <c r="G60">
        <v>0.08</v>
      </c>
      <c r="H60" s="1">
        <f>IF(ISNUMBER(Main_M[[#This Row],[Free CF]]),IF(Main_M[[#This Row],[Free CF]]&lt;&gt;0,Main_M[[#This Row],[Current Price]]/Main_M[[#This Row],[Free CF]],""),"")</f>
        <v>17.314285714285713</v>
      </c>
      <c r="I60" s="1">
        <f>IF(ISNUMBER(Main_M[[#This Row],[BVPS]]),IF(Main_M[[#This Row],[BVPS]]&lt;&gt;0,Main_M[[#This Row],[Current Price]]/Main_M[[#This Row],[BVPS]],""),"")</f>
        <v>5.4891304347826093</v>
      </c>
      <c r="J60">
        <v>1.28</v>
      </c>
      <c r="K60">
        <v>6.16</v>
      </c>
      <c r="L60">
        <v>5.89</v>
      </c>
      <c r="M60" s="1">
        <f>IF(ISNUMBER(Main_M[[#This Row],[EPS]]),IF(Main_M[[#This Row],[EPS]]&lt;&gt;0,Main_M[[#This Row],[Current Price]]/Main_M[[#This Row],[EPS]],""),"")</f>
        <v>378.75</v>
      </c>
      <c r="N6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60" s="1">
        <f>(Main_M[[#This Row],[P/FCF]]-VLOOKUP(Main_M[[#This Row],[Industry]], Mean_PFCF_M, 2, FALSE))/(VLOOKUP(Main_M[[#This Row],[Industry]], Mean_PFCF_M, 3, FALSE))</f>
        <v>5.1238398979472827E-2</v>
      </c>
      <c r="P60" s="1">
        <f>(Main_M[[#This Row],[P/B]]-VLOOKUP(Main_M[[#This Row],[Industry]], Mean_PB_M, 2, FALSE))/(VLOOKUP(Main_M[[#This Row],[Industry]], Mean_PB_M, 3, FALSE))</f>
        <v>0.29974637182290115</v>
      </c>
      <c r="Q60" s="1">
        <f>(Main_M[[#This Row],[ROE]]-VLOOKUP(Main_M[[#This Row],[Industry]], Mean_ROE_M, 2, FALSE))/(VLOOKUP(Main_M[[#This Row],[Industry]], Mean_ROE_M, 3, FALSE))</f>
        <v>-1.1659789807112571</v>
      </c>
      <c r="R60" s="1">
        <f>(Main_M[[#This Row],[ROA]]-VLOOKUP(Main_M[[#This Row],[Industry]], Mean_ROA_M, 2, FALSE))/(VLOOKUP(Main_M[[#This Row],[Industry]], Mean_ROA_M, 3, FALSE))</f>
        <v>-0.22436412587490237</v>
      </c>
      <c r="S60" s="1">
        <f>(Main_M[[#This Row],[A/E]]-VLOOKUP(Main_M[[#This Row],[Industry]], Mean_AE_M, 2, FALSE))/(VLOOKUP(Main_M[[#This Row],[Industry]], Mean_AE_M, 3, FALSE))</f>
        <v>8.2729279949794847</v>
      </c>
      <c r="T60" s="1">
        <f>(Main_M[[#This Row],[P/E]]-VLOOKUP(Main_M[[#This Row],[Industry]], Mean_PE_M, 2, FALSE))/(VLOOKUP(Main_M[[#This Row],[Industry]], Mean_PE_M, 3, FALSE))</f>
        <v>18.942469130563584</v>
      </c>
      <c r="U6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6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6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6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6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6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61" spans="1:26" x14ac:dyDescent="0.25">
      <c r="A61" t="s">
        <v>142</v>
      </c>
      <c r="B61" t="s">
        <v>293</v>
      </c>
      <c r="C61" s="2">
        <v>2310</v>
      </c>
      <c r="D61">
        <f>RTD("tos.rtd", , "LAST", Main_M[[#This Row],[Symbol]])</f>
        <v>70.16</v>
      </c>
      <c r="E61">
        <v>8.9</v>
      </c>
      <c r="F61">
        <v>43.82</v>
      </c>
      <c r="G61">
        <v>10.43</v>
      </c>
      <c r="H61" s="1">
        <f>IF(ISNUMBER(Main_M[[#This Row],[Free CF]]),IF(Main_M[[#This Row],[Free CF]]&lt;&gt;0,Main_M[[#This Row],[Current Price]]/Main_M[[#This Row],[Free CF]],""),"")</f>
        <v>7.8831460674157299</v>
      </c>
      <c r="I61" s="1">
        <f>IF(ISNUMBER(Main_M[[#This Row],[BVPS]]),IF(Main_M[[#This Row],[BVPS]]&lt;&gt;0,Main_M[[#This Row],[Current Price]]/Main_M[[#This Row],[BVPS]],""),"")</f>
        <v>1.6010953902327703</v>
      </c>
      <c r="J61">
        <v>25.31</v>
      </c>
      <c r="K61">
        <v>10.95</v>
      </c>
      <c r="L61">
        <v>1.96</v>
      </c>
      <c r="M61" s="1">
        <f>IF(ISNUMBER(Main_M[[#This Row],[EPS]]),IF(Main_M[[#This Row],[EPS]]&lt;&gt;0,Main_M[[#This Row],[Current Price]]/Main_M[[#This Row],[EPS]],""),"")</f>
        <v>6.7267497603068067</v>
      </c>
      <c r="N6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YES</v>
      </c>
      <c r="O61" s="1">
        <f>(Main_M[[#This Row],[P/FCF]]-VLOOKUP(Main_M[[#This Row],[Industry]], Mean_PFCF_M, 2, FALSE))/(VLOOKUP(Main_M[[#This Row],[Industry]], Mean_PFCF_M, 3, FALSE))</f>
        <v>-1.5141828363391672</v>
      </c>
      <c r="P61" s="1">
        <f>(Main_M[[#This Row],[P/B]]-VLOOKUP(Main_M[[#This Row],[Industry]], Mean_PB_M, 2, FALSE))/(VLOOKUP(Main_M[[#This Row],[Industry]], Mean_PB_M, 3, FALSE))</f>
        <v>-1.0224638967292665</v>
      </c>
      <c r="Q61" s="1">
        <f>(Main_M[[#This Row],[ROE]]-VLOOKUP(Main_M[[#This Row],[Industry]], Mean_ROE_M, 2, FALSE))/(VLOOKUP(Main_M[[#This Row],[Industry]], Mean_ROE_M, 3, FALSE))</f>
        <v>0.44770844819748251</v>
      </c>
      <c r="R61" s="1">
        <f>(Main_M[[#This Row],[ROA]]-VLOOKUP(Main_M[[#This Row],[Industry]], Mean_ROA_M, 2, FALSE))/(VLOOKUP(Main_M[[#This Row],[Industry]], Mean_ROA_M, 3, FALSE))</f>
        <v>1.130465219027454</v>
      </c>
      <c r="S61" s="1">
        <f>(Main_M[[#This Row],[A/E]]-VLOOKUP(Main_M[[#This Row],[Industry]], Mean_AE_M, 2, FALSE))/(VLOOKUP(Main_M[[#This Row],[Industry]], Mean_AE_M, 3, FALSE))</f>
        <v>-0.4691493011999382</v>
      </c>
      <c r="T61" s="1">
        <f>(Main_M[[#This Row],[P/E]]-VLOOKUP(Main_M[[#This Row],[Industry]], Mean_PE_M, 2, FALSE))/(VLOOKUP(Main_M[[#This Row],[Industry]], Mean_PE_M, 3, FALSE))</f>
        <v>-0.78355520432302272</v>
      </c>
      <c r="U6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6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6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6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6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6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62" spans="1:26" x14ac:dyDescent="0.25">
      <c r="A62" t="s">
        <v>142</v>
      </c>
      <c r="B62" t="s">
        <v>144</v>
      </c>
      <c r="C62" s="2">
        <v>7761</v>
      </c>
      <c r="D62">
        <f>RTD("tos.rtd", , "LAST", Main_M[[#This Row],[Symbol]])</f>
        <v>274.05</v>
      </c>
      <c r="E62">
        <v>14.72</v>
      </c>
      <c r="F62">
        <v>82.1</v>
      </c>
      <c r="G62">
        <v>13.18</v>
      </c>
      <c r="H62" s="1">
        <f>IF(ISNUMBER(Main_M[[#This Row],[Free CF]]),IF(Main_M[[#This Row],[Free CF]]&lt;&gt;0,Main_M[[#This Row],[Current Price]]/Main_M[[#This Row],[Free CF]],""),"")</f>
        <v>18.617527173913043</v>
      </c>
      <c r="I62" s="1">
        <f>IF(ISNUMBER(Main_M[[#This Row],[BVPS]]),IF(Main_M[[#This Row],[BVPS]]&lt;&gt;0,Main_M[[#This Row],[Current Price]]/Main_M[[#This Row],[BVPS]],""),"")</f>
        <v>3.3380024360535936</v>
      </c>
      <c r="J62">
        <v>17.86</v>
      </c>
      <c r="K62">
        <v>8.68</v>
      </c>
      <c r="L62">
        <v>1.82</v>
      </c>
      <c r="M62" s="1">
        <f>IF(ISNUMBER(Main_M[[#This Row],[EPS]]),IF(Main_M[[#This Row],[EPS]]&lt;&gt;0,Main_M[[#This Row],[Current Price]]/Main_M[[#This Row],[EPS]],""),"")</f>
        <v>20.792867981790593</v>
      </c>
      <c r="N6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62" s="1">
        <f>(Main_M[[#This Row],[P/FCF]]-VLOOKUP(Main_M[[#This Row],[Industry]], Mean_PFCF_M, 2, FALSE))/(VLOOKUP(Main_M[[#This Row],[Industry]], Mean_PFCF_M, 3, FALSE))</f>
        <v>0.31878825274123679</v>
      </c>
      <c r="P62" s="1">
        <f>(Main_M[[#This Row],[P/B]]-VLOOKUP(Main_M[[#This Row],[Industry]], Mean_PB_M, 2, FALSE))/(VLOOKUP(Main_M[[#This Row],[Industry]], Mean_PB_M, 3, FALSE))</f>
        <v>-8.612472952642887E-2</v>
      </c>
      <c r="Q62" s="1">
        <f>(Main_M[[#This Row],[ROE]]-VLOOKUP(Main_M[[#This Row],[Industry]], Mean_ROE_M, 2, FALSE))/(VLOOKUP(Main_M[[#This Row],[Industry]], Mean_ROE_M, 3, FALSE))</f>
        <v>-2.3663504752099999E-2</v>
      </c>
      <c r="R62" s="1">
        <f>(Main_M[[#This Row],[ROA]]-VLOOKUP(Main_M[[#This Row],[Industry]], Mean_ROA_M, 2, FALSE))/(VLOOKUP(Main_M[[#This Row],[Industry]], Mean_ROA_M, 3, FALSE))</f>
        <v>0.51866642631935111</v>
      </c>
      <c r="S62" s="1">
        <f>(Main_M[[#This Row],[A/E]]-VLOOKUP(Main_M[[#This Row],[Industry]], Mean_AE_M, 2, FALSE))/(VLOOKUP(Main_M[[#This Row],[Industry]], Mean_AE_M, 3, FALSE))</f>
        <v>-1.1728732529998456</v>
      </c>
      <c r="T62" s="1">
        <f>(Main_M[[#This Row],[P/E]]-VLOOKUP(Main_M[[#This Row],[Industry]], Mean_PE_M, 2, FALSE))/(VLOOKUP(Main_M[[#This Row],[Industry]], Mean_PE_M, 3, FALSE))</f>
        <v>4.7804474678339405E-2</v>
      </c>
      <c r="U6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6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6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6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6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6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63" spans="1:26" x14ac:dyDescent="0.25">
      <c r="A63" t="s">
        <v>142</v>
      </c>
      <c r="B63" t="s">
        <v>294</v>
      </c>
      <c r="C63" s="2">
        <v>3567</v>
      </c>
      <c r="D63">
        <f>RTD("tos.rtd", , "LAST", Main_M[[#This Row],[Symbol]])</f>
        <v>100.4</v>
      </c>
      <c r="E63">
        <v>3.59</v>
      </c>
      <c r="F63">
        <v>46.79</v>
      </c>
      <c r="G63">
        <v>8.0500000000000007</v>
      </c>
      <c r="H63" s="1">
        <f>IF(ISNUMBER(Main_M[[#This Row],[Free CF]]),IF(Main_M[[#This Row],[Free CF]]&lt;&gt;0,Main_M[[#This Row],[Current Price]]/Main_M[[#This Row],[Free CF]],""),"")</f>
        <v>27.966573816155993</v>
      </c>
      <c r="I63" s="1">
        <f>IF(ISNUMBER(Main_M[[#This Row],[BVPS]]),IF(Main_M[[#This Row],[BVPS]]&lt;&gt;0,Main_M[[#This Row],[Current Price]]/Main_M[[#This Row],[BVPS]],""),"")</f>
        <v>2.1457576405214791</v>
      </c>
      <c r="J63">
        <v>18.34</v>
      </c>
      <c r="K63">
        <v>7.34</v>
      </c>
      <c r="L63">
        <v>2.1800000000000002</v>
      </c>
      <c r="M63" s="1">
        <f>IF(ISNUMBER(Main_M[[#This Row],[EPS]]),IF(Main_M[[#This Row],[EPS]]&lt;&gt;0,Main_M[[#This Row],[Current Price]]/Main_M[[#This Row],[EPS]],""),"")</f>
        <v>12.472049689440993</v>
      </c>
      <c r="N6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63" s="1">
        <f>(Main_M[[#This Row],[P/FCF]]-VLOOKUP(Main_M[[#This Row],[Industry]], Mean_PFCF_M, 2, FALSE))/(VLOOKUP(Main_M[[#This Row],[Industry]], Mean_PFCF_M, 3, FALSE))</f>
        <v>1.915203736380358</v>
      </c>
      <c r="P63" s="1">
        <f>(Main_M[[#This Row],[P/B]]-VLOOKUP(Main_M[[#This Row],[Industry]], Mean_PB_M, 2, FALSE))/(VLOOKUP(Main_M[[#This Row],[Industry]], Mean_PB_M, 3, FALSE))</f>
        <v>-0.72884507638465557</v>
      </c>
      <c r="Q63" s="1">
        <f>(Main_M[[#This Row],[ROE]]-VLOOKUP(Main_M[[#This Row],[Industry]], Mean_ROE_M, 2, FALSE))/(VLOOKUP(Main_M[[#This Row],[Industry]], Mean_ROE_M, 3, FALSE))</f>
        <v>6.7067687265308529E-3</v>
      </c>
      <c r="R63" s="1">
        <f>(Main_M[[#This Row],[ROA]]-VLOOKUP(Main_M[[#This Row],[Industry]], Mean_ROA_M, 2, FALSE))/(VLOOKUP(Main_M[[#This Row],[Industry]], Mean_ROA_M, 3, FALSE))</f>
        <v>0.15751647820091147</v>
      </c>
      <c r="S63" s="1">
        <f>(Main_M[[#This Row],[A/E]]-VLOOKUP(Main_M[[#This Row],[Industry]], Mean_AE_M, 2, FALSE))/(VLOOKUP(Main_M[[#This Row],[Industry]], Mean_AE_M, 3, FALSE))</f>
        <v>0.63670262305706071</v>
      </c>
      <c r="T63" s="1">
        <f>(Main_M[[#This Row],[P/E]]-VLOOKUP(Main_M[[#This Row],[Industry]], Mean_PE_M, 2, FALSE))/(VLOOKUP(Main_M[[#This Row],[Industry]], Mean_PE_M, 3, FALSE))</f>
        <v>-0.44398670151061714</v>
      </c>
      <c r="U6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6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6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6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6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6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64" spans="1:26" x14ac:dyDescent="0.25">
      <c r="A64" t="s">
        <v>142</v>
      </c>
      <c r="B64" t="s">
        <v>147</v>
      </c>
      <c r="C64" s="2">
        <v>6881</v>
      </c>
      <c r="D64">
        <f>RTD("tos.rtd", , "LAST", Main_M[[#This Row],[Symbol]])</f>
        <v>129.07</v>
      </c>
      <c r="E64">
        <v>9.2100000000000009</v>
      </c>
      <c r="F64">
        <v>41.79</v>
      </c>
      <c r="G64">
        <v>5.74</v>
      </c>
      <c r="H64" s="1">
        <f>IF(ISNUMBER(Main_M[[#This Row],[Free CF]]),IF(Main_M[[#This Row],[Free CF]]&lt;&gt;0,Main_M[[#This Row],[Current Price]]/Main_M[[#This Row],[Free CF]],""),"")</f>
        <v>14.014115092290986</v>
      </c>
      <c r="I64" s="1">
        <f>IF(ISNUMBER(Main_M[[#This Row],[BVPS]]),IF(Main_M[[#This Row],[BVPS]]&lt;&gt;0,Main_M[[#This Row],[Current Price]]/Main_M[[#This Row],[BVPS]],""),"")</f>
        <v>3.0885379277339076</v>
      </c>
      <c r="J64">
        <v>13.8</v>
      </c>
      <c r="K64">
        <v>6.79</v>
      </c>
      <c r="L64">
        <v>2.0499999999999998</v>
      </c>
      <c r="M64" s="1">
        <f>IF(ISNUMBER(Main_M[[#This Row],[EPS]]),IF(Main_M[[#This Row],[EPS]]&lt;&gt;0,Main_M[[#This Row],[Current Price]]/Main_M[[#This Row],[EPS]],""),"")</f>
        <v>22.486062717770032</v>
      </c>
      <c r="N6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YES</v>
      </c>
      <c r="O64" s="1">
        <f>(Main_M[[#This Row],[P/FCF]]-VLOOKUP(Main_M[[#This Row],[Industry]], Mean_PFCF_M, 2, FALSE))/(VLOOKUP(Main_M[[#This Row],[Industry]], Mean_PFCF_M, 3, FALSE))</f>
        <v>-0.46727674467434421</v>
      </c>
      <c r="P64" s="1">
        <f>(Main_M[[#This Row],[P/B]]-VLOOKUP(Main_M[[#This Row],[Industry]], Mean_PB_M, 2, FALSE))/(VLOOKUP(Main_M[[#This Row],[Industry]], Mean_PB_M, 3, FALSE))</f>
        <v>-0.2206071075723616</v>
      </c>
      <c r="Q64" s="1">
        <f>(Main_M[[#This Row],[ROE]]-VLOOKUP(Main_M[[#This Row],[Industry]], Mean_ROE_M, 2, FALSE))/(VLOOKUP(Main_M[[#This Row],[Industry]], Mean_ROE_M, 3, FALSE))</f>
        <v>-0.2805454012588523</v>
      </c>
      <c r="R64" s="1">
        <f>(Main_M[[#This Row],[ROA]]-VLOOKUP(Main_M[[#This Row],[Industry]], Mean_ROA_M, 2, FALSE))/(VLOOKUP(Main_M[[#This Row],[Industry]], Mean_ROA_M, 3, FALSE))</f>
        <v>9.283290540357916E-3</v>
      </c>
      <c r="S64" s="1">
        <f>(Main_M[[#This Row],[A/E]]-VLOOKUP(Main_M[[#This Row],[Industry]], Mean_AE_M, 2, FALSE))/(VLOOKUP(Main_M[[#This Row],[Industry]], Mean_AE_M, 3, FALSE))</f>
        <v>-1.6755332185712478E-2</v>
      </c>
      <c r="T64" s="1">
        <f>(Main_M[[#This Row],[P/E]]-VLOOKUP(Main_M[[#This Row],[Industry]], Mean_PE_M, 2, FALSE))/(VLOOKUP(Main_M[[#This Row],[Industry]], Mean_PE_M, 3, FALSE))</f>
        <v>0.14787855410991224</v>
      </c>
      <c r="U6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6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6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6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6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6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65" spans="1:26" x14ac:dyDescent="0.25">
      <c r="A65" t="s">
        <v>142</v>
      </c>
      <c r="B65" t="s">
        <v>149</v>
      </c>
      <c r="C65" s="2">
        <v>9901</v>
      </c>
      <c r="D65">
        <f>RTD("tos.rtd", , "LAST", Main_M[[#This Row],[Symbol]])</f>
        <v>68.099999999999994</v>
      </c>
      <c r="E65">
        <v>3.23</v>
      </c>
      <c r="F65">
        <v>21.96</v>
      </c>
      <c r="G65">
        <v>1.44</v>
      </c>
      <c r="H65" s="1">
        <f>IF(ISNUMBER(Main_M[[#This Row],[Free CF]]),IF(Main_M[[#This Row],[Free CF]]&lt;&gt;0,Main_M[[#This Row],[Current Price]]/Main_M[[#This Row],[Free CF]],""),"")</f>
        <v>21.08359133126935</v>
      </c>
      <c r="I65" s="1">
        <f>IF(ISNUMBER(Main_M[[#This Row],[BVPS]]),IF(Main_M[[#This Row],[BVPS]]&lt;&gt;0,Main_M[[#This Row],[Current Price]]/Main_M[[#This Row],[BVPS]],""),"")</f>
        <v>3.1010928961748632</v>
      </c>
      <c r="J65">
        <v>7.11</v>
      </c>
      <c r="K65">
        <v>5.1100000000000003</v>
      </c>
      <c r="L65">
        <v>1.86</v>
      </c>
      <c r="M65" s="1">
        <f>IF(ISNUMBER(Main_M[[#This Row],[EPS]]),IF(Main_M[[#This Row],[EPS]]&lt;&gt;0,Main_M[[#This Row],[Current Price]]/Main_M[[#This Row],[EPS]],""),"")</f>
        <v>47.291666666666664</v>
      </c>
      <c r="N6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65" s="1">
        <f>(Main_M[[#This Row],[P/FCF]]-VLOOKUP(Main_M[[#This Row],[Industry]], Mean_PFCF_M, 2, FALSE))/(VLOOKUP(Main_M[[#This Row],[Industry]], Mean_PFCF_M, 3, FALSE))</f>
        <v>0.73988605608972557</v>
      </c>
      <c r="P65" s="1">
        <f>(Main_M[[#This Row],[P/B]]-VLOOKUP(Main_M[[#This Row],[Industry]], Mean_PB_M, 2, FALSE))/(VLOOKUP(Main_M[[#This Row],[Industry]], Mean_PB_M, 3, FALSE))</f>
        <v>-0.21383892229581053</v>
      </c>
      <c r="Q65" s="1">
        <f>(Main_M[[#This Row],[ROE]]-VLOOKUP(Main_M[[#This Row],[Industry]], Mean_ROE_M, 2, FALSE))/(VLOOKUP(Main_M[[#This Row],[Industry]], Mean_ROE_M, 3, FALSE))</f>
        <v>-0.70383108786726944</v>
      </c>
      <c r="R65" s="1">
        <f>(Main_M[[#This Row],[ROA]]-VLOOKUP(Main_M[[#This Row],[Industry]], Mean_ROA_M, 2, FALSE))/(VLOOKUP(Main_M[[#This Row],[Industry]], Mean_ROA_M, 3, FALSE))</f>
        <v>-0.44350171904096936</v>
      </c>
      <c r="S65" s="1">
        <f>(Main_M[[#This Row],[A/E]]-VLOOKUP(Main_M[[#This Row],[Industry]], Mean_AE_M, 2, FALSE))/(VLOOKUP(Main_M[[#This Row],[Industry]], Mean_AE_M, 3, FALSE))</f>
        <v>-0.97180926677130031</v>
      </c>
      <c r="T65" s="1">
        <f>(Main_M[[#This Row],[P/E]]-VLOOKUP(Main_M[[#This Row],[Industry]], Mean_PE_M, 2, FALSE))/(VLOOKUP(Main_M[[#This Row],[Industry]], Mean_PE_M, 3, FALSE))</f>
        <v>1.6139816119451704</v>
      </c>
      <c r="U6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6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6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6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6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6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66" spans="1:26" x14ac:dyDescent="0.25">
      <c r="A66" t="s">
        <v>142</v>
      </c>
      <c r="B66" t="s">
        <v>296</v>
      </c>
      <c r="C66" s="2">
        <v>6290</v>
      </c>
      <c r="D66">
        <f>RTD("tos.rtd", , "LAST", Main_M[[#This Row],[Symbol]])</f>
        <v>54.09</v>
      </c>
      <c r="E66">
        <v>3.55</v>
      </c>
      <c r="F66">
        <v>9.7899999999999991</v>
      </c>
      <c r="G66">
        <v>3.48</v>
      </c>
      <c r="H66" s="1">
        <f>IF(ISNUMBER(Main_M[[#This Row],[Free CF]]),IF(Main_M[[#This Row],[Free CF]]&lt;&gt;0,Main_M[[#This Row],[Current Price]]/Main_M[[#This Row],[Free CF]],""),"")</f>
        <v>15.236619718309861</v>
      </c>
      <c r="I66" s="1">
        <f>IF(ISNUMBER(Main_M[[#This Row],[BVPS]]),IF(Main_M[[#This Row],[BVPS]]&lt;&gt;0,Main_M[[#This Row],[Current Price]]/Main_M[[#This Row],[BVPS]],""),"")</f>
        <v>5.5250255362614924</v>
      </c>
      <c r="J66">
        <v>53.54</v>
      </c>
      <c r="K66">
        <v>17.7</v>
      </c>
      <c r="L66">
        <v>2.12</v>
      </c>
      <c r="M66" s="1">
        <f>IF(ISNUMBER(Main_M[[#This Row],[EPS]]),IF(Main_M[[#This Row],[EPS]]&lt;&gt;0,Main_M[[#This Row],[Current Price]]/Main_M[[#This Row],[EPS]],""),"")</f>
        <v>15.543103448275863</v>
      </c>
      <c r="N6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66" s="1">
        <f>(Main_M[[#This Row],[P/FCF]]-VLOOKUP(Main_M[[#This Row],[Industry]], Mean_PFCF_M, 2, FALSE))/(VLOOKUP(Main_M[[#This Row],[Industry]], Mean_PFCF_M, 3, FALSE))</f>
        <v>-0.25852547960109967</v>
      </c>
      <c r="P66" s="1">
        <f>(Main_M[[#This Row],[P/B]]-VLOOKUP(Main_M[[#This Row],[Industry]], Mean_PB_M, 2, FALSE))/(VLOOKUP(Main_M[[#This Row],[Industry]], Mean_PB_M, 3, FALSE))</f>
        <v>1.0928648964464969</v>
      </c>
      <c r="Q66" s="1">
        <f>(Main_M[[#This Row],[ROE]]-VLOOKUP(Main_M[[#This Row],[Industry]], Mean_ROE_M, 2, FALSE))/(VLOOKUP(Main_M[[#This Row],[Industry]], Mean_ROE_M, 3, FALSE))</f>
        <v>2.2338601571594578</v>
      </c>
      <c r="R66" s="1">
        <f>(Main_M[[#This Row],[ROA]]-VLOOKUP(Main_M[[#This Row],[Industry]], Mean_ROA_M, 2, FALSE))/(VLOOKUP(Main_M[[#This Row],[Industry]], Mean_ROA_M, 3, FALSE))</f>
        <v>2.9496907039524296</v>
      </c>
      <c r="S66" s="1">
        <f>(Main_M[[#This Row],[A/E]]-VLOOKUP(Main_M[[#This Row],[Industry]], Mean_AE_M, 2, FALSE))/(VLOOKUP(Main_M[[#This Row],[Industry]], Mean_AE_M, 3, FALSE))</f>
        <v>0.33510664371424287</v>
      </c>
      <c r="T66" s="1">
        <f>(Main_M[[#This Row],[P/E]]-VLOOKUP(Main_M[[#This Row],[Industry]], Mean_PE_M, 2, FALSE))/(VLOOKUP(Main_M[[#This Row],[Industry]], Mean_PE_M, 3, FALSE))</f>
        <v>-0.26247605109952166</v>
      </c>
      <c r="U6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6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6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6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6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6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67" spans="1:26" x14ac:dyDescent="0.25">
      <c r="A67" t="s">
        <v>142</v>
      </c>
      <c r="B67" t="s">
        <v>298</v>
      </c>
      <c r="C67" s="2">
        <v>2110</v>
      </c>
      <c r="D67">
        <f>RTD("tos.rtd", , "LAST", Main_M[[#This Row],[Symbol]])</f>
        <v>194.88</v>
      </c>
      <c r="E67">
        <v>4.07</v>
      </c>
      <c r="F67">
        <v>41.14</v>
      </c>
      <c r="G67">
        <v>13.17</v>
      </c>
      <c r="H67" s="1">
        <f>IF(ISNUMBER(Main_M[[#This Row],[Free CF]]),IF(Main_M[[#This Row],[Free CF]]&lt;&gt;0,Main_M[[#This Row],[Current Price]]/Main_M[[#This Row],[Free CF]],""),"")</f>
        <v>47.882063882063875</v>
      </c>
      <c r="I67" s="1">
        <f>IF(ISNUMBER(Main_M[[#This Row],[BVPS]]),IF(Main_M[[#This Row],[BVPS]]&lt;&gt;0,Main_M[[#This Row],[Current Price]]/Main_M[[#This Row],[BVPS]],""),"")</f>
        <v>4.7369956246961591</v>
      </c>
      <c r="J67">
        <v>37.22</v>
      </c>
      <c r="K67">
        <v>13.69</v>
      </c>
      <c r="L67">
        <v>1.84</v>
      </c>
      <c r="M67" s="1">
        <f>IF(ISNUMBER(Main_M[[#This Row],[EPS]]),IF(Main_M[[#This Row],[EPS]]&lt;&gt;0,Main_M[[#This Row],[Current Price]]/Main_M[[#This Row],[EPS]],""),"")</f>
        <v>14.797266514806378</v>
      </c>
      <c r="N6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67" s="1">
        <f>(Main_M[[#This Row],[P/FCF]]-VLOOKUP(Main_M[[#This Row],[Industry]], Mean_PFCF_M, 2, FALSE))/(VLOOKUP(Main_M[[#This Row],[Industry]], Mean_PFCF_M, 3, FALSE))</f>
        <v>5.3159137683338216</v>
      </c>
      <c r="P67" s="1">
        <f>(Main_M[[#This Row],[P/B]]-VLOOKUP(Main_M[[#This Row],[Industry]], Mean_PB_M, 2, FALSE))/(VLOOKUP(Main_M[[#This Row],[Industry]], Mean_PB_M, 3, FALSE))</f>
        <v>0.66805041204367022</v>
      </c>
      <c r="Q67" s="1">
        <f>(Main_M[[#This Row],[ROE]]-VLOOKUP(Main_M[[#This Row],[Industry]], Mean_ROE_M, 2, FALSE))/(VLOOKUP(Main_M[[#This Row],[Industry]], Mean_ROE_M, 3, FALSE))</f>
        <v>1.2012708588860099</v>
      </c>
      <c r="R67" s="1">
        <f>(Main_M[[#This Row],[ROA]]-VLOOKUP(Main_M[[#This Row],[Industry]], Mean_ROA_M, 2, FALSE))/(VLOOKUP(Main_M[[#This Row],[Industry]], Mean_ROA_M, 3, FALSE))</f>
        <v>1.8689360084636664</v>
      </c>
      <c r="S67" s="1">
        <f>(Main_M[[#This Row],[A/E]]-VLOOKUP(Main_M[[#This Row],[Industry]], Mean_AE_M, 2, FALSE))/(VLOOKUP(Main_M[[#This Row],[Industry]], Mean_AE_M, 3, FALSE))</f>
        <v>-1.0723412598855728</v>
      </c>
      <c r="T67" s="1">
        <f>(Main_M[[#This Row],[P/E]]-VLOOKUP(Main_M[[#This Row],[Industry]], Mean_PE_M, 2, FALSE))/(VLOOKUP(Main_M[[#This Row],[Industry]], Mean_PE_M, 3, FALSE))</f>
        <v>-0.30655777598148015</v>
      </c>
      <c r="U6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6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6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6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6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6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68" spans="1:26" x14ac:dyDescent="0.25">
      <c r="A68" t="s">
        <v>142</v>
      </c>
      <c r="B68" t="s">
        <v>151</v>
      </c>
      <c r="C68" s="2">
        <v>8616</v>
      </c>
      <c r="D68">
        <f>RTD("tos.rtd", , "LAST", Main_M[[#This Row],[Symbol]])</f>
        <v>144.34</v>
      </c>
      <c r="E68">
        <v>7.85</v>
      </c>
      <c r="F68">
        <v>96.87</v>
      </c>
      <c r="G68">
        <v>3.5</v>
      </c>
      <c r="H68" s="1">
        <f>IF(ISNUMBER(Main_M[[#This Row],[Free CF]]),IF(Main_M[[#This Row],[Free CF]]&lt;&gt;0,Main_M[[#This Row],[Current Price]]/Main_M[[#This Row],[Free CF]],""),"")</f>
        <v>18.387261146496815</v>
      </c>
      <c r="I68" s="1">
        <f>IF(ISNUMBER(Main_M[[#This Row],[BVPS]]),IF(Main_M[[#This Row],[BVPS]]&lt;&gt;0,Main_M[[#This Row],[Current Price]]/Main_M[[#This Row],[BVPS]],""),"")</f>
        <v>1.4900381955197688</v>
      </c>
      <c r="J68">
        <v>3.71</v>
      </c>
      <c r="K68">
        <v>3.04</v>
      </c>
      <c r="L68">
        <v>2.1800000000000002</v>
      </c>
      <c r="M68" s="1">
        <f>IF(ISNUMBER(Main_M[[#This Row],[EPS]]),IF(Main_M[[#This Row],[EPS]]&lt;&gt;0,Main_M[[#This Row],[Current Price]]/Main_M[[#This Row],[EPS]],""),"")</f>
        <v>41.24</v>
      </c>
      <c r="N6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68" s="1">
        <f>(Main_M[[#This Row],[P/FCF]]-VLOOKUP(Main_M[[#This Row],[Industry]], Mean_PFCF_M, 2, FALSE))/(VLOOKUP(Main_M[[#This Row],[Industry]], Mean_PFCF_M, 3, FALSE))</f>
        <v>0.27946870866469287</v>
      </c>
      <c r="P68" s="1">
        <f>(Main_M[[#This Row],[P/B]]-VLOOKUP(Main_M[[#This Row],[Industry]], Mean_PB_M, 2, FALSE))/(VLOOKUP(Main_M[[#This Row],[Industry]], Mean_PB_M, 3, FALSE))</f>
        <v>-1.0823330770977031</v>
      </c>
      <c r="Q68" s="1">
        <f>(Main_M[[#This Row],[ROE]]-VLOOKUP(Main_M[[#This Row],[Industry]], Mean_ROE_M, 2, FALSE))/(VLOOKUP(Main_M[[#This Row],[Industry]], Mean_ROE_M, 3, FALSE))</f>
        <v>-0.91895385834090437</v>
      </c>
      <c r="R68" s="1">
        <f>(Main_M[[#This Row],[ROA]]-VLOOKUP(Main_M[[#This Row],[Industry]], Mean_ROA_M, 2, FALSE))/(VLOOKUP(Main_M[[#This Row],[Industry]], Mean_ROA_M, 3, FALSE))</f>
        <v>-1.001397534417962</v>
      </c>
      <c r="S68" s="1">
        <f>(Main_M[[#This Row],[A/E]]-VLOOKUP(Main_M[[#This Row],[Industry]], Mean_AE_M, 2, FALSE))/(VLOOKUP(Main_M[[#This Row],[Industry]], Mean_AE_M, 3, FALSE))</f>
        <v>0.63670262305706071</v>
      </c>
      <c r="T68" s="1">
        <f>(Main_M[[#This Row],[P/E]]-VLOOKUP(Main_M[[#This Row],[Industry]], Mean_PE_M, 2, FALSE))/(VLOOKUP(Main_M[[#This Row],[Industry]], Mean_PE_M, 3, FALSE))</f>
        <v>1.2563057003536551</v>
      </c>
      <c r="U6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6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6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6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6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6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69" spans="1:26" x14ac:dyDescent="0.25">
      <c r="A69" t="s">
        <v>142</v>
      </c>
      <c r="B69" t="s">
        <v>300</v>
      </c>
      <c r="C69" s="2">
        <v>3173</v>
      </c>
      <c r="D69">
        <f>RTD("tos.rtd", , "LAST", Main_M[[#This Row],[Symbol]])</f>
        <v>28.23</v>
      </c>
      <c r="E69">
        <v>2.61</v>
      </c>
      <c r="F69">
        <v>19.329999999999998</v>
      </c>
      <c r="G69">
        <v>0.85</v>
      </c>
      <c r="H69" s="1">
        <f>IF(ISNUMBER(Main_M[[#This Row],[Free CF]]),IF(Main_M[[#This Row],[Free CF]]&lt;&gt;0,Main_M[[#This Row],[Current Price]]/Main_M[[#This Row],[Free CF]],""),"")</f>
        <v>10.816091954022989</v>
      </c>
      <c r="I69" s="1">
        <f>IF(ISNUMBER(Main_M[[#This Row],[BVPS]]),IF(Main_M[[#This Row],[BVPS]]&lt;&gt;0,Main_M[[#This Row],[Current Price]]/Main_M[[#This Row],[BVPS]],""),"")</f>
        <v>1.4604242110708745</v>
      </c>
      <c r="J69">
        <v>4.3600000000000003</v>
      </c>
      <c r="K69">
        <v>3.85</v>
      </c>
      <c r="L69">
        <v>2.4700000000000002</v>
      </c>
      <c r="M69" s="1">
        <f>IF(ISNUMBER(Main_M[[#This Row],[EPS]]),IF(Main_M[[#This Row],[EPS]]&lt;&gt;0,Main_M[[#This Row],[Current Price]]/Main_M[[#This Row],[EPS]],""),"")</f>
        <v>33.211764705882352</v>
      </c>
      <c r="N6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69" s="1">
        <f>(Main_M[[#This Row],[P/FCF]]-VLOOKUP(Main_M[[#This Row],[Industry]], Mean_PFCF_M, 2, FALSE))/(VLOOKUP(Main_M[[#This Row],[Industry]], Mean_PFCF_M, 3, FALSE))</f>
        <v>-1.0133616932613976</v>
      </c>
      <c r="P69" s="1">
        <f>(Main_M[[#This Row],[P/B]]-VLOOKUP(Main_M[[#This Row],[Industry]], Mean_PB_M, 2, FALSE))/(VLOOKUP(Main_M[[#This Row],[Industry]], Mean_PB_M, 3, FALSE))</f>
        <v>-1.0982975085870874</v>
      </c>
      <c r="Q69" s="1">
        <f>(Main_M[[#This Row],[ROE]]-VLOOKUP(Main_M[[#This Row],[Industry]], Mean_ROE_M, 2, FALSE))/(VLOOKUP(Main_M[[#This Row],[Industry]], Mean_ROE_M, 3, FALSE))</f>
        <v>-0.87782744633859189</v>
      </c>
      <c r="R69" s="1">
        <f>(Main_M[[#This Row],[ROA]]-VLOOKUP(Main_M[[#This Row],[Industry]], Mean_ROA_M, 2, FALSE))/(VLOOKUP(Main_M[[#This Row],[Industry]], Mean_ROA_M, 3, FALSE))</f>
        <v>-0.78309047622696493</v>
      </c>
      <c r="S69" s="1">
        <f>(Main_M[[#This Row],[A/E]]-VLOOKUP(Main_M[[#This Row],[Industry]], Mean_AE_M, 2, FALSE))/(VLOOKUP(Main_M[[#This Row],[Industry]], Mean_AE_M, 3, FALSE))</f>
        <v>2.0944165232140128</v>
      </c>
      <c r="T69" s="1">
        <f>(Main_M[[#This Row],[P/E]]-VLOOKUP(Main_M[[#This Row],[Industry]], Mean_PE_M, 2, FALSE))/(VLOOKUP(Main_M[[#This Row],[Industry]], Mean_PE_M, 3, FALSE))</f>
        <v>0.78180726290479075</v>
      </c>
      <c r="U6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6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6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6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6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6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70" spans="1:26" x14ac:dyDescent="0.25">
      <c r="A70" t="s">
        <v>142</v>
      </c>
      <c r="B70" t="s">
        <v>302</v>
      </c>
      <c r="C70" s="2">
        <v>3839</v>
      </c>
      <c r="D70">
        <f>RTD("tos.rtd", , "LAST", Main_M[[#This Row],[Symbol]])</f>
        <v>19.16</v>
      </c>
      <c r="E70">
        <v>0.34</v>
      </c>
      <c r="F70">
        <v>2.4900000000000002</v>
      </c>
      <c r="G70">
        <v>0.02</v>
      </c>
      <c r="H70" s="1">
        <f>IF(ISNUMBER(Main_M[[#This Row],[Free CF]]),IF(Main_M[[#This Row],[Free CF]]&lt;&gt;0,Main_M[[#This Row],[Current Price]]/Main_M[[#This Row],[Free CF]],""),"")</f>
        <v>56.352941176470587</v>
      </c>
      <c r="I70" s="1">
        <f>IF(ISNUMBER(Main_M[[#This Row],[BVPS]]),IF(Main_M[[#This Row],[BVPS]]&lt;&gt;0,Main_M[[#This Row],[Current Price]]/Main_M[[#This Row],[BVPS]],""),"")</f>
        <v>7.6947791164658632</v>
      </c>
      <c r="J70">
        <v>1.0900000000000001</v>
      </c>
      <c r="K70">
        <v>1.35</v>
      </c>
      <c r="L70">
        <v>4.51</v>
      </c>
      <c r="M70" s="1">
        <f>IF(ISNUMBER(Main_M[[#This Row],[EPS]]),IF(Main_M[[#This Row],[EPS]]&lt;&gt;0,Main_M[[#This Row],[Current Price]]/Main_M[[#This Row],[EPS]],""),"")</f>
        <v>958</v>
      </c>
      <c r="N7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70" s="1">
        <f>(Main_M[[#This Row],[P/FCF]]-VLOOKUP(Main_M[[#This Row],[Industry]], Mean_PFCF_M, 2, FALSE))/(VLOOKUP(Main_M[[#This Row],[Industry]], Mean_PFCF_M, 3, FALSE))</f>
        <v>6.7623756580087679</v>
      </c>
      <c r="P70" s="1">
        <f>(Main_M[[#This Row],[P/B]]-VLOOKUP(Main_M[[#This Row],[Industry]], Mean_PB_M, 2, FALSE))/(VLOOKUP(Main_M[[#This Row],[Industry]], Mean_PB_M, 3, FALSE))</f>
        <v>2.2625447968258725</v>
      </c>
      <c r="Q70" s="1">
        <f>(Main_M[[#This Row],[ROE]]-VLOOKUP(Main_M[[#This Row],[Industry]], Mean_ROE_M, 2, FALSE))/(VLOOKUP(Main_M[[#This Row],[Industry]], Mean_ROE_M, 3, FALSE))</f>
        <v>-1.0847249344117644</v>
      </c>
      <c r="R70" s="1">
        <f>(Main_M[[#This Row],[ROA]]-VLOOKUP(Main_M[[#This Row],[Industry]], Mean_ROA_M, 2, FALSE))/(VLOOKUP(Main_M[[#This Row],[Industry]], Mean_ROA_M, 3, FALSE))</f>
        <v>-1.4568776928658447</v>
      </c>
      <c r="S70" s="1">
        <f>(Main_M[[#This Row],[A/E]]-VLOOKUP(Main_M[[#This Row],[Industry]], Mean_AE_M, 2, FALSE))/(VLOOKUP(Main_M[[#This Row],[Industry]], Mean_AE_M, 3, FALSE))</f>
        <v>12.34867982086981</v>
      </c>
      <c r="T70" s="1">
        <f>(Main_M[[#This Row],[P/E]]-VLOOKUP(Main_M[[#This Row],[Industry]], Mean_PE_M, 2, FALSE))/(VLOOKUP(Main_M[[#This Row],[Industry]], Mean_PE_M, 3, FALSE))</f>
        <v>55.440216806490461</v>
      </c>
      <c r="U7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7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7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7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7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7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71" spans="1:26" x14ac:dyDescent="0.25">
      <c r="A71" t="s">
        <v>142</v>
      </c>
      <c r="B71" t="s">
        <v>303</v>
      </c>
      <c r="C71" s="2">
        <v>2209</v>
      </c>
      <c r="D71">
        <f>RTD("tos.rtd", , "LAST", Main_M[[#This Row],[Symbol]])</f>
        <v>21.64</v>
      </c>
      <c r="E71">
        <v>-1.17</v>
      </c>
      <c r="F71">
        <v>5.04</v>
      </c>
      <c r="G71">
        <v>-1.47</v>
      </c>
      <c r="H71" s="1">
        <f>IF(ISNUMBER(Main_M[[#This Row],[Free CF]]),IF(Main_M[[#This Row],[Free CF]]&lt;&gt;0,Main_M[[#This Row],[Current Price]]/Main_M[[#This Row],[Free CF]],""),"")</f>
        <v>-18.495726495726498</v>
      </c>
      <c r="I71" s="1">
        <f>IF(ISNUMBER(Main_M[[#This Row],[BVPS]]),IF(Main_M[[#This Row],[BVPS]]&lt;&gt;0,Main_M[[#This Row],[Current Price]]/Main_M[[#This Row],[BVPS]],""),"")</f>
        <v>4.2936507936507935</v>
      </c>
      <c r="J71">
        <v>-119.63</v>
      </c>
      <c r="K71">
        <v>-22.01</v>
      </c>
      <c r="L71">
        <v>0.88</v>
      </c>
      <c r="M71" s="1">
        <f>IF(ISNUMBER(Main_M[[#This Row],[EPS]]),IF(Main_M[[#This Row],[EPS]]&lt;&gt;0,Main_M[[#This Row],[Current Price]]/Main_M[[#This Row],[EPS]],""),"")</f>
        <v>-14.721088435374151</v>
      </c>
      <c r="N7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71" s="1">
        <f>(Main_M[[#This Row],[P/FCF]]-VLOOKUP(Main_M[[#This Row],[Industry]], Mean_PFCF_M, 2, FALSE))/(VLOOKUP(Main_M[[#This Row],[Industry]], Mean_PFCF_M, 3, FALSE))</f>
        <v>-6.0185608988536083</v>
      </c>
      <c r="P71" s="1">
        <f>(Main_M[[#This Row],[P/B]]-VLOOKUP(Main_M[[#This Row],[Industry]], Mean_PB_M, 2, FALSE))/(VLOOKUP(Main_M[[#This Row],[Industry]], Mean_PB_M, 3, FALSE))</f>
        <v>0.42905021287727019</v>
      </c>
      <c r="Q71" s="1">
        <f>(Main_M[[#This Row],[ROE]]-VLOOKUP(Main_M[[#This Row],[Industry]], Mean_ROE_M, 2, FALSE))/(VLOOKUP(Main_M[[#This Row],[Industry]], Mean_ROE_M, 3, FALSE))</f>
        <v>-8.7228487142874158</v>
      </c>
      <c r="R71" s="1">
        <f>(Main_M[[#This Row],[ROA]]-VLOOKUP(Main_M[[#This Row],[Industry]], Mean_ROA_M, 2, FALSE))/(VLOOKUP(Main_M[[#This Row],[Industry]], Mean_ROA_M, 3, FALSE))</f>
        <v>-7.7527454451395394</v>
      </c>
      <c r="S71" s="1">
        <f>(Main_M[[#This Row],[A/E]]-VLOOKUP(Main_M[[#This Row],[Industry]], Mean_AE_M, 2, FALSE))/(VLOOKUP(Main_M[[#This Row],[Industry]], Mean_AE_M, 3, FALSE))</f>
        <v>-5.8978769293706561</v>
      </c>
      <c r="T71" s="1">
        <f>(Main_M[[#This Row],[P/E]]-VLOOKUP(Main_M[[#This Row],[Industry]], Mean_PE_M, 2, FALSE))/(VLOOKUP(Main_M[[#This Row],[Industry]], Mean_PE_M, 3, FALSE))</f>
        <v>-2.0512018710772253</v>
      </c>
      <c r="U7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7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7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Yes</v>
      </c>
      <c r="X7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7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7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72" spans="1:26" x14ac:dyDescent="0.25">
      <c r="A72" t="s">
        <v>235</v>
      </c>
      <c r="B72" t="s">
        <v>397</v>
      </c>
      <c r="C72" s="2">
        <v>6735</v>
      </c>
      <c r="D72">
        <f>RTD("tos.rtd", , "LAST", Main_M[[#This Row],[Symbol]])</f>
        <v>46.05</v>
      </c>
      <c r="E72">
        <v>0.68</v>
      </c>
      <c r="F72">
        <v>43.91</v>
      </c>
      <c r="G72">
        <v>0.93</v>
      </c>
      <c r="H72" s="1">
        <f>IF(ISNUMBER(Main_M[[#This Row],[Free CF]]),IF(Main_M[[#This Row],[Free CF]]&lt;&gt;0,Main_M[[#This Row],[Current Price]]/Main_M[[#This Row],[Free CF]],""),"")</f>
        <v>67.720588235294102</v>
      </c>
      <c r="I72" s="1">
        <f>IF(ISNUMBER(Main_M[[#This Row],[BVPS]]),IF(Main_M[[#This Row],[BVPS]]&lt;&gt;0,Main_M[[#This Row],[Current Price]]/Main_M[[#This Row],[BVPS]],""),"")</f>
        <v>1.0487360510134367</v>
      </c>
      <c r="J72">
        <v>2.1</v>
      </c>
      <c r="K72">
        <v>1.28</v>
      </c>
      <c r="L72">
        <v>1.77</v>
      </c>
      <c r="M72" s="1">
        <f>IF(ISNUMBER(Main_M[[#This Row],[EPS]]),IF(Main_M[[#This Row],[EPS]]&lt;&gt;0,Main_M[[#This Row],[Current Price]]/Main_M[[#This Row],[EPS]],""),"")</f>
        <v>49.516129032258057</v>
      </c>
      <c r="N7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72" s="1">
        <f>(Main_M[[#This Row],[P/FCF]]-VLOOKUP(Main_M[[#This Row],[Industry]], Mean_PFCF_M, 2, FALSE))/(VLOOKUP(Main_M[[#This Row],[Industry]], Mean_PFCF_M, 3, FALSE))</f>
        <v>5.7939237222720195</v>
      </c>
      <c r="P72" s="1">
        <f>(Main_M[[#This Row],[P/B]]-VLOOKUP(Main_M[[#This Row],[Industry]], Mean_PB_M, 2, FALSE))/(VLOOKUP(Main_M[[#This Row],[Industry]], Mean_PB_M, 3, FALSE))</f>
        <v>-1.1415925573522085</v>
      </c>
      <c r="Q72" s="1">
        <f>(Main_M[[#This Row],[ROE]]-VLOOKUP(Main_M[[#This Row],[Industry]], Mean_ROE_M, 2, FALSE))/(VLOOKUP(Main_M[[#This Row],[Industry]], Mean_ROE_M, 3, FALSE))</f>
        <v>-0.43192711318916521</v>
      </c>
      <c r="R72" s="1">
        <f>(Main_M[[#This Row],[ROA]]-VLOOKUP(Main_M[[#This Row],[Industry]], Mean_ROA_M, 2, FALSE))/(VLOOKUP(Main_M[[#This Row],[Industry]], Mean_ROA_M, 3, FALSE))</f>
        <v>-0.8278014086012554</v>
      </c>
      <c r="S72" s="1">
        <f>(Main_M[[#This Row],[A/E]]-VLOOKUP(Main_M[[#This Row],[Industry]], Mean_AE_M, 2, FALSE))/(VLOOKUP(Main_M[[#This Row],[Industry]], Mean_AE_M, 3, FALSE))</f>
        <v>-0.38412374535124516</v>
      </c>
      <c r="T72" s="1">
        <f>(Main_M[[#This Row],[P/E]]-VLOOKUP(Main_M[[#This Row],[Industry]], Mean_PE_M, 2, FALSE))/(VLOOKUP(Main_M[[#This Row],[Industry]], Mean_PE_M, 3, FALSE))</f>
        <v>1.7214500733669222</v>
      </c>
      <c r="U7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7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7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7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7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7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73" spans="1:26" x14ac:dyDescent="0.25">
      <c r="A73" t="s">
        <v>235</v>
      </c>
      <c r="B73" t="s">
        <v>398</v>
      </c>
      <c r="C73" s="2">
        <v>4624</v>
      </c>
      <c r="D73">
        <f>RTD("tos.rtd", , "LAST", Main_M[[#This Row],[Symbol]])</f>
        <v>140.21</v>
      </c>
      <c r="E73">
        <v>7.19</v>
      </c>
      <c r="F73">
        <v>27.54</v>
      </c>
      <c r="G73">
        <v>5.51</v>
      </c>
      <c r="H73" s="1">
        <f>IF(ISNUMBER(Main_M[[#This Row],[Free CF]]),IF(Main_M[[#This Row],[Free CF]]&lt;&gt;0,Main_M[[#This Row],[Current Price]]/Main_M[[#This Row],[Free CF]],""),"")</f>
        <v>19.500695410292071</v>
      </c>
      <c r="I73" s="1">
        <f>IF(ISNUMBER(Main_M[[#This Row],[BVPS]]),IF(Main_M[[#This Row],[BVPS]]&lt;&gt;0,Main_M[[#This Row],[Current Price]]/Main_M[[#This Row],[BVPS]],""),"")</f>
        <v>5.0911401597676109</v>
      </c>
      <c r="J73">
        <v>20.03</v>
      </c>
      <c r="K73">
        <v>8.5500000000000007</v>
      </c>
      <c r="L73">
        <v>1.86</v>
      </c>
      <c r="M73" s="1">
        <f>IF(ISNUMBER(Main_M[[#This Row],[EPS]]),IF(Main_M[[#This Row],[EPS]]&lt;&gt;0,Main_M[[#This Row],[Current Price]]/Main_M[[#This Row],[EPS]],""),"")</f>
        <v>25.446460980036299</v>
      </c>
      <c r="N7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73" s="1">
        <f>(Main_M[[#This Row],[P/FCF]]-VLOOKUP(Main_M[[#This Row],[Industry]], Mean_PFCF_M, 2, FALSE))/(VLOOKUP(Main_M[[#This Row],[Industry]], Mean_PFCF_M, 3, FALSE))</f>
        <v>0.41629200159763813</v>
      </c>
      <c r="P73" s="1">
        <f>(Main_M[[#This Row],[P/B]]-VLOOKUP(Main_M[[#This Row],[Industry]], Mean_PB_M, 2, FALSE))/(VLOOKUP(Main_M[[#This Row],[Industry]], Mean_PB_M, 3, FALSE))</f>
        <v>2.0283705779344707</v>
      </c>
      <c r="Q73" s="1">
        <f>(Main_M[[#This Row],[ROE]]-VLOOKUP(Main_M[[#This Row],[Industry]], Mean_ROE_M, 2, FALSE))/(VLOOKUP(Main_M[[#This Row],[Industry]], Mean_ROE_M, 3, FALSE))</f>
        <v>-1.5060616446727432E-2</v>
      </c>
      <c r="R73" s="1">
        <f>(Main_M[[#This Row],[ROA]]-VLOOKUP(Main_M[[#This Row],[Industry]], Mean_ROA_M, 2, FALSE))/(VLOOKUP(Main_M[[#This Row],[Industry]], Mean_ROA_M, 3, FALSE))</f>
        <v>1.2231632303334039</v>
      </c>
      <c r="S73" s="1">
        <f>(Main_M[[#This Row],[A/E]]-VLOOKUP(Main_M[[#This Row],[Industry]], Mean_AE_M, 2, FALSE))/(VLOOKUP(Main_M[[#This Row],[Industry]], Mean_AE_M, 3, FALSE))</f>
        <v>-0.16108415127632844</v>
      </c>
      <c r="T73" s="1">
        <f>(Main_M[[#This Row],[P/E]]-VLOOKUP(Main_M[[#This Row],[Industry]], Mean_PE_M, 2, FALSE))/(VLOOKUP(Main_M[[#This Row],[Industry]], Mean_PE_M, 3, FALSE))</f>
        <v>0.33423902956023577</v>
      </c>
      <c r="U7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7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7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7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7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7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74" spans="1:26" x14ac:dyDescent="0.25">
      <c r="A74" t="s">
        <v>235</v>
      </c>
      <c r="B74" t="s">
        <v>399</v>
      </c>
      <c r="C74" s="2">
        <v>5839</v>
      </c>
      <c r="D74">
        <f>RTD("tos.rtd", , "LAST", Main_M[[#This Row],[Symbol]])</f>
        <v>159.81</v>
      </c>
      <c r="E74">
        <v>8.64</v>
      </c>
      <c r="F74">
        <v>72.64</v>
      </c>
      <c r="G74">
        <v>11.48</v>
      </c>
      <c r="H74" s="1">
        <f>IF(ISNUMBER(Main_M[[#This Row],[Free CF]]),IF(Main_M[[#This Row],[Free CF]]&lt;&gt;0,Main_M[[#This Row],[Current Price]]/Main_M[[#This Row],[Free CF]],""),"")</f>
        <v>18.496527777777779</v>
      </c>
      <c r="I74" s="1">
        <f>IF(ISNUMBER(Main_M[[#This Row],[BVPS]]),IF(Main_M[[#This Row],[BVPS]]&lt;&gt;0,Main_M[[#This Row],[Current Price]]/Main_M[[#This Row],[BVPS]],""),"")</f>
        <v>2.2000275330396475</v>
      </c>
      <c r="J74">
        <v>16.55</v>
      </c>
      <c r="K74">
        <v>3.78</v>
      </c>
      <c r="L74">
        <v>5.47</v>
      </c>
      <c r="M74" s="1">
        <f>IF(ISNUMBER(Main_M[[#This Row],[EPS]]),IF(Main_M[[#This Row],[EPS]]&lt;&gt;0,Main_M[[#This Row],[Current Price]]/Main_M[[#This Row],[EPS]],""),"")</f>
        <v>13.920731707317072</v>
      </c>
      <c r="N7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74" s="1">
        <f>(Main_M[[#This Row],[P/FCF]]-VLOOKUP(Main_M[[#This Row],[Industry]], Mean_PFCF_M, 2, FALSE))/(VLOOKUP(Main_M[[#This Row],[Industry]], Mean_PFCF_M, 3, FALSE))</f>
        <v>0.30430411864897616</v>
      </c>
      <c r="P74" s="1">
        <f>(Main_M[[#This Row],[P/B]]-VLOOKUP(Main_M[[#This Row],[Industry]], Mean_PB_M, 2, FALSE))/(VLOOKUP(Main_M[[#This Row],[Industry]], Mean_PB_M, 3, FALSE))</f>
        <v>-0.23877545698135824</v>
      </c>
      <c r="Q74" s="1">
        <f>(Main_M[[#This Row],[ROE]]-VLOOKUP(Main_M[[#This Row],[Industry]], Mean_ROE_M, 2, FALSE))/(VLOOKUP(Main_M[[#This Row],[Industry]], Mean_ROE_M, 3, FALSE))</f>
        <v>-9.5969451285750504E-2</v>
      </c>
      <c r="R74" s="1">
        <f>(Main_M[[#This Row],[ROA]]-VLOOKUP(Main_M[[#This Row],[Industry]], Mean_ROA_M, 2, FALSE))/(VLOOKUP(Main_M[[#This Row],[Industry]], Mean_ROA_M, 3, FALSE))</f>
        <v>-0.12251783262647585</v>
      </c>
      <c r="S74" s="1">
        <f>(Main_M[[#This Row],[A/E]]-VLOOKUP(Main_M[[#This Row],[Industry]], Mean_AE_M, 2, FALSE))/(VLOOKUP(Main_M[[#This Row],[Industry]], Mean_AE_M, 3, FALSE))</f>
        <v>8.7852817888397663</v>
      </c>
      <c r="T74" s="1">
        <f>(Main_M[[#This Row],[P/E]]-VLOOKUP(Main_M[[#This Row],[Industry]], Mean_PE_M, 2, FALSE))/(VLOOKUP(Main_M[[#This Row],[Industry]], Mean_PE_M, 3, FALSE))</f>
        <v>-0.33002517634210893</v>
      </c>
      <c r="U7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7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7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7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7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7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75" spans="1:26" x14ac:dyDescent="0.25">
      <c r="A75" t="s">
        <v>235</v>
      </c>
      <c r="B75" t="s">
        <v>400</v>
      </c>
      <c r="C75" s="2">
        <v>2129</v>
      </c>
      <c r="D75">
        <f>RTD("tos.rtd", , "LAST", Main_M[[#This Row],[Symbol]])</f>
        <v>16.62</v>
      </c>
      <c r="E75">
        <v>-0.43</v>
      </c>
      <c r="F75">
        <v>9.92</v>
      </c>
      <c r="G75">
        <v>-2.17</v>
      </c>
      <c r="H75" s="1">
        <f>IF(ISNUMBER(Main_M[[#This Row],[Free CF]]),IF(Main_M[[#This Row],[Free CF]]&lt;&gt;0,Main_M[[#This Row],[Current Price]]/Main_M[[#This Row],[Free CF]],""),"")</f>
        <v>-38.651162790697676</v>
      </c>
      <c r="I75" s="1">
        <f>IF(ISNUMBER(Main_M[[#This Row],[BVPS]]),IF(Main_M[[#This Row],[BVPS]]&lt;&gt;0,Main_M[[#This Row],[Current Price]]/Main_M[[#This Row],[BVPS]],""),"")</f>
        <v>1.6754032258064517</v>
      </c>
      <c r="J75">
        <v>-26.29</v>
      </c>
      <c r="K75">
        <v>0.72</v>
      </c>
      <c r="L75">
        <v>2.12</v>
      </c>
      <c r="M75" s="1">
        <f>IF(ISNUMBER(Main_M[[#This Row],[EPS]]),IF(Main_M[[#This Row],[EPS]]&lt;&gt;0,Main_M[[#This Row],[Current Price]]/Main_M[[#This Row],[EPS]],""),"")</f>
        <v>-7.6589861751152082</v>
      </c>
      <c r="N7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75" s="1">
        <f>(Main_M[[#This Row],[P/FCF]]-VLOOKUP(Main_M[[#This Row],[Industry]], Mean_PFCF_M, 2, FALSE))/(VLOOKUP(Main_M[[#This Row],[Industry]], Mean_PFCF_M, 3, FALSE))</f>
        <v>-6.0689832438847837</v>
      </c>
      <c r="P75" s="1">
        <f>(Main_M[[#This Row],[P/B]]-VLOOKUP(Main_M[[#This Row],[Industry]], Mean_PB_M, 2, FALSE))/(VLOOKUP(Main_M[[#This Row],[Industry]], Mean_PB_M, 3, FALSE))</f>
        <v>-0.6501741368419609</v>
      </c>
      <c r="Q75" s="1">
        <f>(Main_M[[#This Row],[ROE]]-VLOOKUP(Main_M[[#This Row],[Industry]], Mean_ROE_M, 2, FALSE))/(VLOOKUP(Main_M[[#This Row],[Industry]], Mean_ROE_M, 3, FALSE))</f>
        <v>-1.0919851077523446</v>
      </c>
      <c r="R75" s="1">
        <f>(Main_M[[#This Row],[ROA]]-VLOOKUP(Main_M[[#This Row],[Industry]], Mean_ROA_M, 2, FALSE))/(VLOOKUP(Main_M[[#This Row],[Industry]], Mean_ROA_M, 3, FALSE))</f>
        <v>-0.98578492961960618</v>
      </c>
      <c r="S75" s="1">
        <f>(Main_M[[#This Row],[A/E]]-VLOOKUP(Main_M[[#This Row],[Industry]], Mean_AE_M, 2, FALSE))/(VLOOKUP(Main_M[[#This Row],[Industry]], Mean_AE_M, 3, FALSE))</f>
        <v>0.48325245382898591</v>
      </c>
      <c r="T75" s="1">
        <f>(Main_M[[#This Row],[P/E]]-VLOOKUP(Main_M[[#This Row],[Industry]], Mean_PE_M, 2, FALSE))/(VLOOKUP(Main_M[[#This Row],[Industry]], Mean_PE_M, 3, FALSE))</f>
        <v>-1.5737325221930827</v>
      </c>
      <c r="U7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7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7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7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7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7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76" spans="1:26" x14ac:dyDescent="0.25">
      <c r="A76" t="s">
        <v>235</v>
      </c>
      <c r="B76" t="s">
        <v>243</v>
      </c>
      <c r="C76" s="2">
        <v>6924</v>
      </c>
      <c r="D76">
        <f>RTD("tos.rtd", , "LAST", Main_M[[#This Row],[Symbol]])</f>
        <v>285.05</v>
      </c>
      <c r="E76">
        <v>-7.6</v>
      </c>
      <c r="F76">
        <v>88.87</v>
      </c>
      <c r="G76">
        <v>11.99</v>
      </c>
      <c r="H76" s="1">
        <f>IF(ISNUMBER(Main_M[[#This Row],[Free CF]]),IF(Main_M[[#This Row],[Free CF]]&lt;&gt;0,Main_M[[#This Row],[Current Price]]/Main_M[[#This Row],[Free CF]],""),"")</f>
        <v>-37.506578947368425</v>
      </c>
      <c r="I76" s="1">
        <f>IF(ISNUMBER(Main_M[[#This Row],[BVPS]]),IF(Main_M[[#This Row],[BVPS]]&lt;&gt;0,Main_M[[#This Row],[Current Price]]/Main_M[[#This Row],[BVPS]],""),"")</f>
        <v>3.2074940924946551</v>
      </c>
      <c r="J76">
        <v>14.63</v>
      </c>
      <c r="K76">
        <v>8.9499999999999993</v>
      </c>
      <c r="L76">
        <v>1.43</v>
      </c>
      <c r="M76" s="1">
        <f>IF(ISNUMBER(Main_M[[#This Row],[EPS]]),IF(Main_M[[#This Row],[EPS]]&lt;&gt;0,Main_M[[#This Row],[Current Price]]/Main_M[[#This Row],[EPS]],""),"")</f>
        <v>23.77397831526272</v>
      </c>
      <c r="N7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76" s="1">
        <f>(Main_M[[#This Row],[P/FCF]]-VLOOKUP(Main_M[[#This Row],[Industry]], Mean_PFCF_M, 2, FALSE))/(VLOOKUP(Main_M[[#This Row],[Industry]], Mean_PFCF_M, 3, FALSE))</f>
        <v>-5.9413357104239184</v>
      </c>
      <c r="P76" s="1">
        <f>(Main_M[[#This Row],[P/B]]-VLOOKUP(Main_M[[#This Row],[Industry]], Mean_PB_M, 2, FALSE))/(VLOOKUP(Main_M[[#This Row],[Industry]], Mean_PB_M, 3, FALSE))</f>
        <v>0.55125734715873131</v>
      </c>
      <c r="Q76" s="1">
        <f>(Main_M[[#This Row],[ROE]]-VLOOKUP(Main_M[[#This Row],[Industry]], Mean_ROE_M, 2, FALSE))/(VLOOKUP(Main_M[[#This Row],[Industry]], Mean_ROE_M, 3, FALSE))</f>
        <v>-0.14060880843831494</v>
      </c>
      <c r="R76" s="1">
        <f>(Main_M[[#This Row],[ROA]]-VLOOKUP(Main_M[[#This Row],[Industry]], Mean_ROA_M, 2, FALSE))/(VLOOKUP(Main_M[[#This Row],[Industry]], Mean_ROA_M, 3, FALSE))</f>
        <v>1.3360086024893683</v>
      </c>
      <c r="S76" s="1">
        <f>(Main_M[[#This Row],[A/E]]-VLOOKUP(Main_M[[#This Row],[Industry]], Mean_AE_M, 2, FALSE))/(VLOOKUP(Main_M[[#This Row],[Industry]], Mean_AE_M, 3, FALSE))</f>
        <v>-1.2267177674120411</v>
      </c>
      <c r="T76" s="1">
        <f>(Main_M[[#This Row],[P/E]]-VLOOKUP(Main_M[[#This Row],[Industry]], Mean_PE_M, 2, FALSE))/(VLOOKUP(Main_M[[#This Row],[Industry]], Mean_PE_M, 3, FALSE))</f>
        <v>0.23784856758479575</v>
      </c>
      <c r="U7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7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7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7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7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7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77" spans="1:26" x14ac:dyDescent="0.25">
      <c r="A77" t="s">
        <v>235</v>
      </c>
      <c r="B77" t="s">
        <v>401</v>
      </c>
      <c r="C77" s="2">
        <v>3924</v>
      </c>
      <c r="D77">
        <f>RTD("tos.rtd", , "LAST", Main_M[[#This Row],[Symbol]])</f>
        <v>24.37</v>
      </c>
      <c r="E77">
        <v>0.76</v>
      </c>
      <c r="F77">
        <v>17.059999999999999</v>
      </c>
      <c r="G77">
        <v>0.71</v>
      </c>
      <c r="H77" s="1">
        <f>IF(ISNUMBER(Main_M[[#This Row],[Free CF]]),IF(Main_M[[#This Row],[Free CF]]&lt;&gt;0,Main_M[[#This Row],[Current Price]]/Main_M[[#This Row],[Free CF]],""),"")</f>
        <v>32.065789473684212</v>
      </c>
      <c r="I77" s="1">
        <f>IF(ISNUMBER(Main_M[[#This Row],[BVPS]]),IF(Main_M[[#This Row],[BVPS]]&lt;&gt;0,Main_M[[#This Row],[Current Price]]/Main_M[[#This Row],[BVPS]],""),"")</f>
        <v>1.4284876905041033</v>
      </c>
      <c r="J77">
        <v>4.2</v>
      </c>
      <c r="K77">
        <v>2.36</v>
      </c>
      <c r="L77">
        <v>1.67</v>
      </c>
      <c r="M77" s="1">
        <f>IF(ISNUMBER(Main_M[[#This Row],[EPS]]),IF(Main_M[[#This Row],[EPS]]&lt;&gt;0,Main_M[[#This Row],[Current Price]]/Main_M[[#This Row],[EPS]],""),"")</f>
        <v>34.323943661971832</v>
      </c>
      <c r="N7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77" s="1">
        <f>(Main_M[[#This Row],[P/FCF]]-VLOOKUP(Main_M[[#This Row],[Industry]], Mean_PFCF_M, 2, FALSE))/(VLOOKUP(Main_M[[#This Row],[Industry]], Mean_PFCF_M, 3, FALSE))</f>
        <v>1.817590188920021</v>
      </c>
      <c r="P77" s="1">
        <f>(Main_M[[#This Row],[P/B]]-VLOOKUP(Main_M[[#This Row],[Industry]], Mean_PB_M, 2, FALSE))/(VLOOKUP(Main_M[[#This Row],[Industry]], Mean_PB_M, 3, FALSE))</f>
        <v>-0.84379979211551182</v>
      </c>
      <c r="Q77" s="1">
        <f>(Main_M[[#This Row],[ROE]]-VLOOKUP(Main_M[[#This Row],[Industry]], Mean_ROE_M, 2, FALSE))/(VLOOKUP(Main_M[[#This Row],[Industry]], Mean_ROE_M, 3, FALSE))</f>
        <v>-0.38310281630354787</v>
      </c>
      <c r="R77" s="1">
        <f>(Main_M[[#This Row],[ROA]]-VLOOKUP(Main_M[[#This Row],[Industry]], Mean_ROA_M, 2, FALSE))/(VLOOKUP(Main_M[[#This Row],[Industry]], Mean_ROA_M, 3, FALSE))</f>
        <v>-0.52311890378015069</v>
      </c>
      <c r="S77" s="1">
        <f>(Main_M[[#This Row],[A/E]]-VLOOKUP(Main_M[[#This Row],[Industry]], Mean_AE_M, 2, FALSE))/(VLOOKUP(Main_M[[#This Row],[Industry]], Mean_AE_M, 3, FALSE))</f>
        <v>-0.63194551654559705</v>
      </c>
      <c r="T77" s="1">
        <f>(Main_M[[#This Row],[P/E]]-VLOOKUP(Main_M[[#This Row],[Industry]], Mean_PE_M, 2, FALSE))/(VLOOKUP(Main_M[[#This Row],[Industry]], Mean_PE_M, 3, FALSE))</f>
        <v>0.84587641445748363</v>
      </c>
      <c r="U7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7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7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7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7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7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78" spans="1:26" x14ac:dyDescent="0.25">
      <c r="A78" t="s">
        <v>235</v>
      </c>
      <c r="B78" t="s">
        <v>244</v>
      </c>
      <c r="C78" s="2">
        <v>6830</v>
      </c>
      <c r="D78">
        <f>RTD("tos.rtd", , "LAST", Main_M[[#This Row],[Symbol]])</f>
        <v>90.27</v>
      </c>
      <c r="E78">
        <v>8.2100000000000009</v>
      </c>
      <c r="F78">
        <v>31.34</v>
      </c>
      <c r="G78">
        <v>4.53</v>
      </c>
      <c r="H78" s="1">
        <f>IF(ISNUMBER(Main_M[[#This Row],[Free CF]]),IF(Main_M[[#This Row],[Free CF]]&lt;&gt;0,Main_M[[#This Row],[Current Price]]/Main_M[[#This Row],[Free CF]],""),"")</f>
        <v>10.99512789281364</v>
      </c>
      <c r="I78" s="1">
        <f>IF(ISNUMBER(Main_M[[#This Row],[BVPS]]),IF(Main_M[[#This Row],[BVPS]]&lt;&gt;0,Main_M[[#This Row],[Current Price]]/Main_M[[#This Row],[BVPS]],""),"")</f>
        <v>2.8803446075303127</v>
      </c>
      <c r="J78">
        <v>14.78</v>
      </c>
      <c r="K78">
        <v>5.97</v>
      </c>
      <c r="L78">
        <v>2.7</v>
      </c>
      <c r="M78" s="1">
        <f>IF(ISNUMBER(Main_M[[#This Row],[EPS]]),IF(Main_M[[#This Row],[EPS]]&lt;&gt;0,Main_M[[#This Row],[Current Price]]/Main_M[[#This Row],[EPS]],""),"")</f>
        <v>19.927152317880793</v>
      </c>
      <c r="N7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78" s="1">
        <f>(Main_M[[#This Row],[P/FCF]]-VLOOKUP(Main_M[[#This Row],[Industry]], Mean_PFCF_M, 2, FALSE))/(VLOOKUP(Main_M[[#This Row],[Industry]], Mean_PFCF_M, 3, FALSE))</f>
        <v>-0.53227521837373337</v>
      </c>
      <c r="P78" s="1">
        <f>(Main_M[[#This Row],[P/B]]-VLOOKUP(Main_M[[#This Row],[Industry]], Mean_PB_M, 2, FALSE))/(VLOOKUP(Main_M[[#This Row],[Industry]], Mean_PB_M, 3, FALSE))</f>
        <v>0.29471401819783793</v>
      </c>
      <c r="Q78" s="1">
        <f>(Main_M[[#This Row],[ROE]]-VLOOKUP(Main_M[[#This Row],[Industry]], Mean_ROE_M, 2, FALSE))/(VLOOKUP(Main_M[[#This Row],[Industry]], Mean_ROE_M, 3, FALSE))</f>
        <v>-0.13712135866077088</v>
      </c>
      <c r="R78" s="1">
        <f>(Main_M[[#This Row],[ROA]]-VLOOKUP(Main_M[[#This Row],[Industry]], Mean_ROA_M, 2, FALSE))/(VLOOKUP(Main_M[[#This Row],[Industry]], Mean_ROA_M, 3, FALSE))</f>
        <v>0.4953105799274311</v>
      </c>
      <c r="S78" s="1">
        <f>(Main_M[[#This Row],[A/E]]-VLOOKUP(Main_M[[#This Row],[Industry]], Mean_AE_M, 2, FALSE))/(VLOOKUP(Main_M[[#This Row],[Industry]], Mean_AE_M, 3, FALSE))</f>
        <v>1.9206187267562256</v>
      </c>
      <c r="T78" s="1">
        <f>(Main_M[[#This Row],[P/E]]-VLOOKUP(Main_M[[#This Row],[Industry]], Mean_PE_M, 2, FALSE))/(VLOOKUP(Main_M[[#This Row],[Industry]], Mean_PE_M, 3, FALSE))</f>
        <v>1.6143827179025703E-2</v>
      </c>
      <c r="U7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7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7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7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7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7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79" spans="1:26" x14ac:dyDescent="0.25">
      <c r="A79" t="s">
        <v>235</v>
      </c>
      <c r="B79" t="s">
        <v>403</v>
      </c>
      <c r="C79" s="2">
        <v>3537</v>
      </c>
      <c r="D79">
        <f>RTD("tos.rtd", , "LAST", Main_M[[#This Row],[Symbol]])</f>
        <v>106.35</v>
      </c>
      <c r="E79">
        <v>23.94</v>
      </c>
      <c r="F79">
        <v>-66.3</v>
      </c>
      <c r="G79">
        <v>-51.3</v>
      </c>
      <c r="H79" s="1">
        <f>IF(ISNUMBER(Main_M[[#This Row],[Free CF]]),IF(Main_M[[#This Row],[Free CF]]&lt;&gt;0,Main_M[[#This Row],[Current Price]]/Main_M[[#This Row],[Free CF]],""),"")</f>
        <v>4.4423558897243103</v>
      </c>
      <c r="I79" s="1">
        <f>IF(ISNUMBER(Main_M[[#This Row],[BVPS]]),IF(Main_M[[#This Row],[BVPS]]&lt;&gt;0,Main_M[[#This Row],[Current Price]]/Main_M[[#This Row],[BVPS]],""),"")</f>
        <v>-1.6040723981900453</v>
      </c>
      <c r="J79">
        <v>136.62</v>
      </c>
      <c r="K79">
        <v>2.63</v>
      </c>
      <c r="L79">
        <v>-12.48</v>
      </c>
      <c r="M79" s="1">
        <f>IF(ISNUMBER(Main_M[[#This Row],[EPS]]),IF(Main_M[[#This Row],[EPS]]&lt;&gt;0,Main_M[[#This Row],[Current Price]]/Main_M[[#This Row],[EPS]],""),"")</f>
        <v>-2.0730994152046782</v>
      </c>
      <c r="N7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79" s="1">
        <f>(Main_M[[#This Row],[P/FCF]]-VLOOKUP(Main_M[[#This Row],[Industry]], Mean_PFCF_M, 2, FALSE))/(VLOOKUP(Main_M[[#This Row],[Industry]], Mean_PFCF_M, 3, FALSE))</f>
        <v>-1.2630606373717836</v>
      </c>
      <c r="P79" s="1">
        <f>(Main_M[[#This Row],[P/B]]-VLOOKUP(Main_M[[#This Row],[Industry]], Mean_PB_M, 2, FALSE))/(VLOOKUP(Main_M[[#This Row],[Industry]], Mean_PB_M, 3, FALSE))</f>
        <v>-3.2218657716854784</v>
      </c>
      <c r="Q79" s="1">
        <f>(Main_M[[#This Row],[ROE]]-VLOOKUP(Main_M[[#This Row],[Industry]], Mean_ROE_M, 2, FALSE))/(VLOOKUP(Main_M[[#This Row],[Industry]], Mean_ROE_M, 3, FALSE))</f>
        <v>2.6956178473123815</v>
      </c>
      <c r="R79" s="1">
        <f>(Main_M[[#This Row],[ROA]]-VLOOKUP(Main_M[[#This Row],[Industry]], Mean_ROA_M, 2, FALSE))/(VLOOKUP(Main_M[[#This Row],[Industry]], Mean_ROA_M, 3, FALSE))</f>
        <v>-0.44694827757487449</v>
      </c>
      <c r="S79" s="1">
        <f>(Main_M[[#This Row],[A/E]]-VLOOKUP(Main_M[[#This Row],[Industry]], Mean_AE_M, 2, FALSE))/(VLOOKUP(Main_M[[#This Row],[Industry]], Mean_AE_M, 3, FALSE))</f>
        <v>-35.698726140546363</v>
      </c>
      <c r="T79" s="1">
        <f>(Main_M[[#This Row],[P/E]]-VLOOKUP(Main_M[[#This Row],[Industry]], Mean_PE_M, 2, FALSE))/(VLOOKUP(Main_M[[#This Row],[Industry]], Mean_PE_M, 3, FALSE))</f>
        <v>-1.2518002136132733</v>
      </c>
      <c r="U7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7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7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7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7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7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80" spans="1:26" x14ac:dyDescent="0.25">
      <c r="A80" t="s">
        <v>235</v>
      </c>
      <c r="B80" t="s">
        <v>404</v>
      </c>
      <c r="C80" s="2">
        <v>5292</v>
      </c>
      <c r="D80">
        <f>RTD("tos.rtd", , "LAST", Main_M[[#This Row],[Symbol]])</f>
        <v>17.03</v>
      </c>
      <c r="E80">
        <v>1.87</v>
      </c>
      <c r="F80">
        <v>1.83</v>
      </c>
      <c r="G80">
        <v>0.06</v>
      </c>
      <c r="H80" s="1">
        <f>IF(ISNUMBER(Main_M[[#This Row],[Free CF]]),IF(Main_M[[#This Row],[Free CF]]&lt;&gt;0,Main_M[[#This Row],[Current Price]]/Main_M[[#This Row],[Free CF]],""),"")</f>
        <v>9.1069518716577544</v>
      </c>
      <c r="I80" s="1">
        <f>IF(ISNUMBER(Main_M[[#This Row],[BVPS]]),IF(Main_M[[#This Row],[BVPS]]&lt;&gt;0,Main_M[[#This Row],[Current Price]]/Main_M[[#This Row],[BVPS]],""),"")</f>
        <v>9.306010928961749</v>
      </c>
      <c r="J80">
        <v>3.48</v>
      </c>
      <c r="K80">
        <v>-1.39</v>
      </c>
      <c r="L80">
        <v>7.09</v>
      </c>
      <c r="M80" s="1">
        <f>IF(ISNUMBER(Main_M[[#This Row],[EPS]]),IF(Main_M[[#This Row],[EPS]]&lt;&gt;0,Main_M[[#This Row],[Current Price]]/Main_M[[#This Row],[EPS]],""),"")</f>
        <v>283.83333333333337</v>
      </c>
      <c r="N8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80" s="1">
        <f>(Main_M[[#This Row],[P/FCF]]-VLOOKUP(Main_M[[#This Row],[Industry]], Mean_PFCF_M, 2, FALSE))/(VLOOKUP(Main_M[[#This Row],[Industry]], Mean_PFCF_M, 3, FALSE))</f>
        <v>-0.74285045342112077</v>
      </c>
      <c r="P80" s="1">
        <f>(Main_M[[#This Row],[P/B]]-VLOOKUP(Main_M[[#This Row],[Industry]], Mean_PB_M, 2, FALSE))/(VLOOKUP(Main_M[[#This Row],[Industry]], Mean_PB_M, 3, FALSE))</f>
        <v>5.3335782214277243</v>
      </c>
      <c r="Q80" s="1">
        <f>(Main_M[[#This Row],[ROE]]-VLOOKUP(Main_M[[#This Row],[Industry]], Mean_ROE_M, 2, FALSE))/(VLOOKUP(Main_M[[#This Row],[Industry]], Mean_ROE_M, 3, FALSE))</f>
        <v>-0.3998425752357595</v>
      </c>
      <c r="R80" s="1">
        <f>(Main_M[[#This Row],[ROA]]-VLOOKUP(Main_M[[#This Row],[Industry]], Mean_ROA_M, 2, FALSE))/(VLOOKUP(Main_M[[#This Row],[Industry]], Mean_ROA_M, 3, FALSE))</f>
        <v>-1.58104426774232</v>
      </c>
      <c r="S80" s="1">
        <f>(Main_M[[#This Row],[A/E]]-VLOOKUP(Main_M[[#This Row],[Industry]], Mean_AE_M, 2, FALSE))/(VLOOKUP(Main_M[[#This Row],[Industry]], Mean_AE_M, 3, FALSE))</f>
        <v>12.799994482188263</v>
      </c>
      <c r="T80" s="1">
        <f>(Main_M[[#This Row],[P/E]]-VLOOKUP(Main_M[[#This Row],[Industry]], Mean_PE_M, 2, FALSE))/(VLOOKUP(Main_M[[#This Row],[Industry]], Mean_PE_M, 3, FALSE))</f>
        <v>15.225891134005302</v>
      </c>
      <c r="U8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8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8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8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8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8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81" spans="1:26" x14ac:dyDescent="0.25">
      <c r="A81" t="s">
        <v>154</v>
      </c>
      <c r="B81" t="s">
        <v>304</v>
      </c>
      <c r="C81" s="2">
        <v>4365</v>
      </c>
      <c r="D81">
        <f>RTD("tos.rtd", , "LAST", Main_M[[#This Row],[Symbol]])</f>
        <v>9.19</v>
      </c>
      <c r="E81">
        <v>1.18</v>
      </c>
      <c r="F81">
        <v>6.2</v>
      </c>
      <c r="G81">
        <v>-0.94</v>
      </c>
      <c r="H81" s="1">
        <f>IF(ISNUMBER(Main_M[[#This Row],[Free CF]]),IF(Main_M[[#This Row],[Free CF]]&lt;&gt;0,Main_M[[#This Row],[Current Price]]/Main_M[[#This Row],[Free CF]],""),"")</f>
        <v>7.7881355932203391</v>
      </c>
      <c r="I81" s="1">
        <f>IF(ISNUMBER(Main_M[[#This Row],[BVPS]]),IF(Main_M[[#This Row],[BVPS]]&lt;&gt;0,Main_M[[#This Row],[Current Price]]/Main_M[[#This Row],[BVPS]],""),"")</f>
        <v>1.482258064516129</v>
      </c>
      <c r="J81">
        <v>-10.14</v>
      </c>
      <c r="K81">
        <v>7.0000000000000007E-2</v>
      </c>
      <c r="L81">
        <v>5.0199999999999996</v>
      </c>
      <c r="M81" s="1">
        <f>IF(ISNUMBER(Main_M[[#This Row],[EPS]]),IF(Main_M[[#This Row],[EPS]]&lt;&gt;0,Main_M[[#This Row],[Current Price]]/Main_M[[#This Row],[EPS]],""),"")</f>
        <v>-9.7765957446808507</v>
      </c>
      <c r="N8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81" s="1" t="e">
        <f>(Main_M[[#This Row],[P/FCF]]-VLOOKUP(Main_M[[#This Row],[Industry]], Mean_PFCF_M, 2, FALSE))/(VLOOKUP(Main_M[[#This Row],[Industry]], Mean_PFCF_M, 3, FALSE))</f>
        <v>#DIV/0!</v>
      </c>
      <c r="P81" s="1" t="e">
        <f>(Main_M[[#This Row],[P/B]]-VLOOKUP(Main_M[[#This Row],[Industry]], Mean_PB_M, 2, FALSE))/(VLOOKUP(Main_M[[#This Row],[Industry]], Mean_PB_M, 3, FALSE))</f>
        <v>#DIV/0!</v>
      </c>
      <c r="Q81" s="1" t="e">
        <f>(Main_M[[#This Row],[ROE]]-VLOOKUP(Main_M[[#This Row],[Industry]], Mean_ROE_M, 2, FALSE))/(VLOOKUP(Main_M[[#This Row],[Industry]], Mean_ROE_M, 3, FALSE))</f>
        <v>#DIV/0!</v>
      </c>
      <c r="R81" s="1" t="e">
        <f>(Main_M[[#This Row],[ROA]]-VLOOKUP(Main_M[[#This Row],[Industry]], Mean_ROA_M, 2, FALSE))/(VLOOKUP(Main_M[[#This Row],[Industry]], Mean_ROA_M, 3, FALSE))</f>
        <v>#DIV/0!</v>
      </c>
      <c r="S81" s="1" t="e">
        <f>(Main_M[[#This Row],[A/E]]-VLOOKUP(Main_M[[#This Row],[Industry]], Mean_AE_M, 2, FALSE))/(VLOOKUP(Main_M[[#This Row],[Industry]], Mean_AE_M, 3, FALSE))</f>
        <v>#DIV/0!</v>
      </c>
      <c r="T81" s="1" t="e">
        <f>(Main_M[[#This Row],[P/E]]-VLOOKUP(Main_M[[#This Row],[Industry]], Mean_PE_M, 2, FALSE))/(VLOOKUP(Main_M[[#This Row],[Industry]], Mean_PE_M, 3, FALSE))</f>
        <v>#DIV/0!</v>
      </c>
      <c r="U8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8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8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8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8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8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82" spans="1:26" x14ac:dyDescent="0.25">
      <c r="A82" t="s">
        <v>157</v>
      </c>
      <c r="B82" t="s">
        <v>158</v>
      </c>
      <c r="C82" s="2">
        <v>8192</v>
      </c>
      <c r="D82">
        <f>RTD("tos.rtd", , "LAST", Main_M[[#This Row],[Symbol]])</f>
        <v>104.98</v>
      </c>
      <c r="E82">
        <v>7.55</v>
      </c>
      <c r="F82">
        <v>19.670000000000002</v>
      </c>
      <c r="G82">
        <v>8.64</v>
      </c>
      <c r="H82" s="1">
        <f>IF(ISNUMBER(Main_M[[#This Row],[Free CF]]),IF(Main_M[[#This Row],[Free CF]]&lt;&gt;0,Main_M[[#This Row],[Current Price]]/Main_M[[#This Row],[Free CF]],""),"")</f>
        <v>13.904635761589406</v>
      </c>
      <c r="I82" s="1">
        <f>IF(ISNUMBER(Main_M[[#This Row],[BVPS]]),IF(Main_M[[#This Row],[BVPS]]&lt;&gt;0,Main_M[[#This Row],[Current Price]]/Main_M[[#This Row],[BVPS]],""),"")</f>
        <v>5.3370615149974574</v>
      </c>
      <c r="J82">
        <v>50.15</v>
      </c>
      <c r="K82">
        <v>12.17</v>
      </c>
      <c r="L82">
        <v>3.22</v>
      </c>
      <c r="M82" s="1">
        <f>IF(ISNUMBER(Main_M[[#This Row],[EPS]]),IF(Main_M[[#This Row],[EPS]]&lt;&gt;0,Main_M[[#This Row],[Current Price]]/Main_M[[#This Row],[EPS]],""),"")</f>
        <v>12.150462962962962</v>
      </c>
      <c r="N8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82" s="1">
        <f>(Main_M[[#This Row],[P/FCF]]-VLOOKUP(Main_M[[#This Row],[Industry]], Mean_PFCF_M, 2, FALSE))/(VLOOKUP(Main_M[[#This Row],[Industry]], Mean_PFCF_M, 3, FALSE))</f>
        <v>-1.1651824774799733</v>
      </c>
      <c r="P82" s="1">
        <f>(Main_M[[#This Row],[P/B]]-VLOOKUP(Main_M[[#This Row],[Industry]], Mean_PB_M, 2, FALSE))/(VLOOKUP(Main_M[[#This Row],[Industry]], Mean_PB_M, 3, FALSE))</f>
        <v>1.292168119370388</v>
      </c>
      <c r="Q82" s="1">
        <f>(Main_M[[#This Row],[ROE]]-VLOOKUP(Main_M[[#This Row],[Industry]], Mean_ROE_M, 2, FALSE))/(VLOOKUP(Main_M[[#This Row],[Industry]], Mean_ROE_M, 3, FALSE))</f>
        <v>1.7966063435071671</v>
      </c>
      <c r="R82" s="1">
        <f>(Main_M[[#This Row],[ROA]]-VLOOKUP(Main_M[[#This Row],[Industry]], Mean_ROA_M, 2, FALSE))/(VLOOKUP(Main_M[[#This Row],[Industry]], Mean_ROA_M, 3, FALSE))</f>
        <v>1.5368301714415211</v>
      </c>
      <c r="S82" s="1">
        <f>(Main_M[[#This Row],[A/E]]-VLOOKUP(Main_M[[#This Row],[Industry]], Mean_AE_M, 2, FALSE))/(VLOOKUP(Main_M[[#This Row],[Industry]], Mean_AE_M, 3, FALSE))</f>
        <v>1.957207738107225</v>
      </c>
      <c r="T82" s="1">
        <f>(Main_M[[#This Row],[P/E]]-VLOOKUP(Main_M[[#This Row],[Industry]], Mean_PE_M, 2, FALSE))/(VLOOKUP(Main_M[[#This Row],[Industry]], Mean_PE_M, 3, FALSE))</f>
        <v>-1.3584711176497357</v>
      </c>
      <c r="U8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8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8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8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8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8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83" spans="1:26" x14ac:dyDescent="0.25">
      <c r="A83" t="s">
        <v>157</v>
      </c>
      <c r="B83" t="s">
        <v>305</v>
      </c>
      <c r="C83" s="2">
        <v>2941</v>
      </c>
      <c r="D83">
        <f>RTD("tos.rtd", , "LAST", Main_M[[#This Row],[Symbol]])</f>
        <v>38.82</v>
      </c>
      <c r="E83">
        <v>1.1100000000000001</v>
      </c>
      <c r="F83">
        <v>3.21</v>
      </c>
      <c r="G83">
        <v>2.2200000000000002</v>
      </c>
      <c r="H83" s="1">
        <f>IF(ISNUMBER(Main_M[[#This Row],[Free CF]]),IF(Main_M[[#This Row],[Free CF]]&lt;&gt;0,Main_M[[#This Row],[Current Price]]/Main_M[[#This Row],[Free CF]],""),"")</f>
        <v>34.972972972972968</v>
      </c>
      <c r="I83" s="1">
        <f>IF(ISNUMBER(Main_M[[#This Row],[BVPS]]),IF(Main_M[[#This Row],[BVPS]]&lt;&gt;0,Main_M[[#This Row],[Current Price]]/Main_M[[#This Row],[BVPS]],""),"")</f>
        <v>12.093457943925234</v>
      </c>
      <c r="J83">
        <v>95.48</v>
      </c>
      <c r="K83">
        <v>14.36</v>
      </c>
      <c r="L83">
        <v>4.63</v>
      </c>
      <c r="M83" s="1">
        <f>IF(ISNUMBER(Main_M[[#This Row],[EPS]]),IF(Main_M[[#This Row],[EPS]]&lt;&gt;0,Main_M[[#This Row],[Current Price]]/Main_M[[#This Row],[EPS]],""),"")</f>
        <v>17.486486486486484</v>
      </c>
      <c r="N8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83" s="1">
        <f>(Main_M[[#This Row],[P/FCF]]-VLOOKUP(Main_M[[#This Row],[Industry]], Mean_PFCF_M, 2, FALSE))/(VLOOKUP(Main_M[[#This Row],[Industry]], Mean_PFCF_M, 3, FALSE))</f>
        <v>1.4434997488250025</v>
      </c>
      <c r="P83" s="1">
        <f>(Main_M[[#This Row],[P/B]]-VLOOKUP(Main_M[[#This Row],[Industry]], Mean_PB_M, 2, FALSE))/(VLOOKUP(Main_M[[#This Row],[Industry]], Mean_PB_M, 3, FALSE))</f>
        <v>5.8953939148668377</v>
      </c>
      <c r="Q83" s="1">
        <f>(Main_M[[#This Row],[ROE]]-VLOOKUP(Main_M[[#This Row],[Industry]], Mean_ROE_M, 2, FALSE))/(VLOOKUP(Main_M[[#This Row],[Industry]], Mean_ROE_M, 3, FALSE))</f>
        <v>4.2455536692892251</v>
      </c>
      <c r="R83" s="1">
        <f>(Main_M[[#This Row],[ROA]]-VLOOKUP(Main_M[[#This Row],[Industry]], Mean_ROA_M, 2, FALSE))/(VLOOKUP(Main_M[[#This Row],[Industry]], Mean_ROA_M, 3, FALSE))</f>
        <v>2.1788014865459169</v>
      </c>
      <c r="S83" s="1">
        <f>(Main_M[[#This Row],[A/E]]-VLOOKUP(Main_M[[#This Row],[Industry]], Mean_AE_M, 2, FALSE))/(VLOOKUP(Main_M[[#This Row],[Industry]], Mean_AE_M, 3, FALSE))</f>
        <v>4.4282842171757633</v>
      </c>
      <c r="T83" s="1">
        <f>(Main_M[[#This Row],[P/E]]-VLOOKUP(Main_M[[#This Row],[Industry]], Mean_PE_M, 2, FALSE))/(VLOOKUP(Main_M[[#This Row],[Industry]], Mean_PE_M, 3, FALSE))</f>
        <v>-0.8868656518705379</v>
      </c>
      <c r="U8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8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8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8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8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8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84" spans="1:26" x14ac:dyDescent="0.25">
      <c r="A84" t="s">
        <v>157</v>
      </c>
      <c r="B84" t="s">
        <v>306</v>
      </c>
      <c r="C84" s="2">
        <v>5381</v>
      </c>
      <c r="D84">
        <f>RTD("tos.rtd", , "LAST", Main_M[[#This Row],[Symbol]])</f>
        <v>94.4</v>
      </c>
      <c r="E84">
        <v>3.26</v>
      </c>
      <c r="F84">
        <v>19.72</v>
      </c>
      <c r="G84">
        <v>3.41</v>
      </c>
      <c r="H84" s="1">
        <f>IF(ISNUMBER(Main_M[[#This Row],[Free CF]]),IF(Main_M[[#This Row],[Free CF]]&lt;&gt;0,Main_M[[#This Row],[Current Price]]/Main_M[[#This Row],[Free CF]],""),"")</f>
        <v>28.95705521472393</v>
      </c>
      <c r="I84" s="1">
        <f>IF(ISNUMBER(Main_M[[#This Row],[BVPS]]),IF(Main_M[[#This Row],[BVPS]]&lt;&gt;0,Main_M[[#This Row],[Current Price]]/Main_M[[#This Row],[BVPS]],""),"")</f>
        <v>4.7870182555780936</v>
      </c>
      <c r="J84">
        <v>18.78</v>
      </c>
      <c r="K84">
        <v>10.41</v>
      </c>
      <c r="L84">
        <v>1.56</v>
      </c>
      <c r="M84" s="1">
        <f>IF(ISNUMBER(Main_M[[#This Row],[EPS]]),IF(Main_M[[#This Row],[EPS]]&lt;&gt;0,Main_M[[#This Row],[Current Price]]/Main_M[[#This Row],[EPS]],""),"")</f>
        <v>27.683284457478006</v>
      </c>
      <c r="N8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84" s="1">
        <f>(Main_M[[#This Row],[P/FCF]]-VLOOKUP(Main_M[[#This Row],[Industry]], Mean_PFCF_M, 2, FALSE))/(VLOOKUP(Main_M[[#This Row],[Industry]], Mean_PFCF_M, 3, FALSE))</f>
        <v>0.69860860846594153</v>
      </c>
      <c r="P84" s="1">
        <f>(Main_M[[#This Row],[P/B]]-VLOOKUP(Main_M[[#This Row],[Industry]], Mean_PB_M, 2, FALSE))/(VLOOKUP(Main_M[[#This Row],[Industry]], Mean_PB_M, 3, FALSE))</f>
        <v>0.91741608298048383</v>
      </c>
      <c r="Q84" s="1">
        <f>(Main_M[[#This Row],[ROE]]-VLOOKUP(Main_M[[#This Row],[Industry]], Mean_ROE_M, 2, FALSE))/(VLOOKUP(Main_M[[#This Row],[Industry]], Mean_ROE_M, 3, FALSE))</f>
        <v>0.10184619328031609</v>
      </c>
      <c r="R84" s="1">
        <f>(Main_M[[#This Row],[ROA]]-VLOOKUP(Main_M[[#This Row],[Industry]], Mean_ROA_M, 2, FALSE))/(VLOOKUP(Main_M[[#This Row],[Industry]], Mean_ROA_M, 3, FALSE))</f>
        <v>1.0209080186635591</v>
      </c>
      <c r="S84" s="1">
        <f>(Main_M[[#This Row],[A/E]]-VLOOKUP(Main_M[[#This Row],[Industry]], Mean_AE_M, 2, FALSE))/(VLOOKUP(Main_M[[#This Row],[Industry]], Mean_AE_M, 3, FALSE))</f>
        <v>-0.95200286845573601</v>
      </c>
      <c r="T84" s="1">
        <f>(Main_M[[#This Row],[P/E]]-VLOOKUP(Main_M[[#This Row],[Industry]], Mean_PE_M, 2, FALSE))/(VLOOKUP(Main_M[[#This Row],[Industry]], Mean_PE_M, 3, FALSE))</f>
        <v>1.4342079948157475E-2</v>
      </c>
      <c r="U8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8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8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8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8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8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85" spans="1:26" x14ac:dyDescent="0.25">
      <c r="A85" t="s">
        <v>157</v>
      </c>
      <c r="B85" t="s">
        <v>308</v>
      </c>
      <c r="C85" s="2">
        <v>5707</v>
      </c>
      <c r="D85">
        <f>RTD("tos.rtd", , "LAST", Main_M[[#This Row],[Symbol]])</f>
        <v>100.16</v>
      </c>
      <c r="E85">
        <v>4.4400000000000004</v>
      </c>
      <c r="F85">
        <v>65.66</v>
      </c>
      <c r="G85">
        <v>9.3699999999999992</v>
      </c>
      <c r="H85" s="1">
        <f>IF(ISNUMBER(Main_M[[#This Row],[Free CF]]),IF(Main_M[[#This Row],[Free CF]]&lt;&gt;0,Main_M[[#This Row],[Current Price]]/Main_M[[#This Row],[Free CF]],""),"")</f>
        <v>22.558558558558556</v>
      </c>
      <c r="I85" s="1">
        <f>IF(ISNUMBER(Main_M[[#This Row],[BVPS]]),IF(Main_M[[#This Row],[BVPS]]&lt;&gt;0,Main_M[[#This Row],[Current Price]]/Main_M[[#This Row],[BVPS]],""),"")</f>
        <v>1.5254340542187024</v>
      </c>
      <c r="J85">
        <v>15.24</v>
      </c>
      <c r="K85">
        <v>6.39</v>
      </c>
      <c r="L85">
        <v>2.31</v>
      </c>
      <c r="M85" s="1">
        <f>IF(ISNUMBER(Main_M[[#This Row],[EPS]]),IF(Main_M[[#This Row],[EPS]]&lt;&gt;0,Main_M[[#This Row],[Current Price]]/Main_M[[#This Row],[EPS]],""),"")</f>
        <v>10.689434364994664</v>
      </c>
      <c r="N8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85" s="1">
        <f>(Main_M[[#This Row],[P/FCF]]-VLOOKUP(Main_M[[#This Row],[Industry]], Mean_PFCF_M, 2, FALSE))/(VLOOKUP(Main_M[[#This Row],[Industry]], Mean_PFCF_M, 3, FALSE))</f>
        <v>-9.3653463976665283E-2</v>
      </c>
      <c r="P85" s="1">
        <f>(Main_M[[#This Row],[P/B]]-VLOOKUP(Main_M[[#This Row],[Industry]], Mean_PB_M, 2, FALSE))/(VLOOKUP(Main_M[[#This Row],[Industry]], Mean_PB_M, 3, FALSE))</f>
        <v>-1.3047460840585945</v>
      </c>
      <c r="Q85" s="1">
        <f>(Main_M[[#This Row],[ROE]]-VLOOKUP(Main_M[[#This Row],[Industry]], Mean_ROE_M, 2, FALSE))/(VLOOKUP(Main_M[[#This Row],[Industry]], Mean_ROE_M, 3, FALSE))</f>
        <v>-8.9401844073941292E-2</v>
      </c>
      <c r="R85" s="1">
        <f>(Main_M[[#This Row],[ROA]]-VLOOKUP(Main_M[[#This Row],[Industry]], Mean_ROA_M, 2, FALSE))/(VLOOKUP(Main_M[[#This Row],[Industry]], Mean_ROA_M, 3, FALSE))</f>
        <v>-0.15750508029519569</v>
      </c>
      <c r="S85" s="1">
        <f>(Main_M[[#This Row],[A/E]]-VLOOKUP(Main_M[[#This Row],[Industry]], Mean_AE_M, 2, FALSE))/(VLOOKUP(Main_M[[#This Row],[Industry]], Mean_AE_M, 3, FALSE))</f>
        <v>0.3623995140275294</v>
      </c>
      <c r="T85" s="1">
        <f>(Main_M[[#This Row],[P/E]]-VLOOKUP(Main_M[[#This Row],[Industry]], Mean_PE_M, 2, FALSE))/(VLOOKUP(Main_M[[#This Row],[Industry]], Mean_PE_M, 3, FALSE))</f>
        <v>-1.4875989352884749</v>
      </c>
      <c r="U8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8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8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8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8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8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86" spans="1:26" x14ac:dyDescent="0.25">
      <c r="A86" t="s">
        <v>157</v>
      </c>
      <c r="B86" t="s">
        <v>309</v>
      </c>
      <c r="C86" s="2">
        <v>2556</v>
      </c>
      <c r="D86">
        <f>RTD("tos.rtd", , "LAST", Main_M[[#This Row],[Symbol]])</f>
        <v>46.85</v>
      </c>
      <c r="E86">
        <v>3.01</v>
      </c>
      <c r="F86">
        <v>28.15</v>
      </c>
      <c r="G86">
        <v>3.67</v>
      </c>
      <c r="H86" s="1">
        <f>IF(ISNUMBER(Main_M[[#This Row],[Free CF]]),IF(Main_M[[#This Row],[Free CF]]&lt;&gt;0,Main_M[[#This Row],[Current Price]]/Main_M[[#This Row],[Free CF]],""),"")</f>
        <v>15.564784053156147</v>
      </c>
      <c r="I86" s="1">
        <f>IF(ISNUMBER(Main_M[[#This Row],[BVPS]]),IF(Main_M[[#This Row],[BVPS]]&lt;&gt;0,Main_M[[#This Row],[Current Price]]/Main_M[[#This Row],[BVPS]],""),"")</f>
        <v>1.6642984014209592</v>
      </c>
      <c r="J86">
        <v>13.82</v>
      </c>
      <c r="K86">
        <v>5.64</v>
      </c>
      <c r="L86">
        <v>3.17</v>
      </c>
      <c r="M86" s="1">
        <f>IF(ISNUMBER(Main_M[[#This Row],[EPS]]),IF(Main_M[[#This Row],[EPS]]&lt;&gt;0,Main_M[[#This Row],[Current Price]]/Main_M[[#This Row],[EPS]],""),"")</f>
        <v>12.76566757493188</v>
      </c>
      <c r="N8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86" s="1">
        <f>(Main_M[[#This Row],[P/FCF]]-VLOOKUP(Main_M[[#This Row],[Industry]], Mean_PFCF_M, 2, FALSE))/(VLOOKUP(Main_M[[#This Row],[Industry]], Mean_PFCF_M, 3, FALSE))</f>
        <v>-0.95962285985145301</v>
      </c>
      <c r="P86" s="1">
        <f>(Main_M[[#This Row],[P/B]]-VLOOKUP(Main_M[[#This Row],[Industry]], Mean_PB_M, 2, FALSE))/(VLOOKUP(Main_M[[#This Row],[Industry]], Mean_PB_M, 3, FALSE))</f>
        <v>-1.2101358947601482</v>
      </c>
      <c r="Q86" s="1">
        <f>(Main_M[[#This Row],[ROE]]-VLOOKUP(Main_M[[#This Row],[Industry]], Mean_ROE_M, 2, FALSE))/(VLOOKUP(Main_M[[#This Row],[Industry]], Mean_ROE_M, 3, FALSE))</f>
        <v>-0.16611715849288067</v>
      </c>
      <c r="R86" s="1">
        <f>(Main_M[[#This Row],[ROA]]-VLOOKUP(Main_M[[#This Row],[Industry]], Mean_ROA_M, 2, FALSE))/(VLOOKUP(Main_M[[#This Row],[Industry]], Mean_ROA_M, 3, FALSE))</f>
        <v>-0.37735827039944092</v>
      </c>
      <c r="S86" s="1">
        <f>(Main_M[[#This Row],[A/E]]-VLOOKUP(Main_M[[#This Row],[Industry]], Mean_AE_M, 2, FALSE))/(VLOOKUP(Main_M[[#This Row],[Industry]], Mean_AE_M, 3, FALSE))</f>
        <v>1.8695809126083403</v>
      </c>
      <c r="T86" s="1">
        <f>(Main_M[[#This Row],[P/E]]-VLOOKUP(Main_M[[#This Row],[Industry]], Mean_PE_M, 2, FALSE))/(VLOOKUP(Main_M[[#This Row],[Industry]], Mean_PE_M, 3, FALSE))</f>
        <v>-1.3040984455095033</v>
      </c>
      <c r="U8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8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8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8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8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8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87" spans="1:26" x14ac:dyDescent="0.25">
      <c r="A87" t="s">
        <v>157</v>
      </c>
      <c r="B87" t="s">
        <v>311</v>
      </c>
      <c r="C87" s="2">
        <v>7044</v>
      </c>
      <c r="D87">
        <f>RTD("tos.rtd", , "LAST", Main_M[[#This Row],[Symbol]])</f>
        <v>105.99</v>
      </c>
      <c r="E87">
        <v>6.72</v>
      </c>
      <c r="F87">
        <v>51.08</v>
      </c>
      <c r="G87">
        <v>-7.81</v>
      </c>
      <c r="H87" s="1">
        <f>IF(ISNUMBER(Main_M[[#This Row],[Free CF]]),IF(Main_M[[#This Row],[Free CF]]&lt;&gt;0,Main_M[[#This Row],[Current Price]]/Main_M[[#This Row],[Free CF]],""),"")</f>
        <v>15.772321428571429</v>
      </c>
      <c r="I87" s="1">
        <f>IF(ISNUMBER(Main_M[[#This Row],[BVPS]]),IF(Main_M[[#This Row],[BVPS]]&lt;&gt;0,Main_M[[#This Row],[Current Price]]/Main_M[[#This Row],[BVPS]],""),"")</f>
        <v>2.0749804228660924</v>
      </c>
      <c r="J87">
        <v>-14.55</v>
      </c>
      <c r="K87">
        <v>3.55</v>
      </c>
      <c r="L87">
        <v>3.01</v>
      </c>
      <c r="M87" s="1">
        <f>IF(ISNUMBER(Main_M[[#This Row],[EPS]]),IF(Main_M[[#This Row],[EPS]]&lt;&gt;0,Main_M[[#This Row],[Current Price]]/Main_M[[#This Row],[EPS]],""),"")</f>
        <v>-13.571062740076824</v>
      </c>
      <c r="N8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87" s="1">
        <f>(Main_M[[#This Row],[P/FCF]]-VLOOKUP(Main_M[[#This Row],[Industry]], Mean_PFCF_M, 2, FALSE))/(VLOOKUP(Main_M[[#This Row],[Industry]], Mean_PFCF_M, 3, FALSE))</f>
        <v>-0.93392557500605478</v>
      </c>
      <c r="P87" s="1">
        <f>(Main_M[[#This Row],[P/B]]-VLOOKUP(Main_M[[#This Row],[Industry]], Mean_PB_M, 2, FALSE))/(VLOOKUP(Main_M[[#This Row],[Industry]], Mean_PB_M, 3, FALSE))</f>
        <v>-0.93033258618447379</v>
      </c>
      <c r="Q87" s="1">
        <f>(Main_M[[#This Row],[ROE]]-VLOOKUP(Main_M[[#This Row],[Industry]], Mean_ROE_M, 2, FALSE))/(VLOOKUP(Main_M[[#This Row],[Industry]], Mean_ROE_M, 3, FALSE))</f>
        <v>-1.6988027007923949</v>
      </c>
      <c r="R87" s="1">
        <f>(Main_M[[#This Row],[ROA]]-VLOOKUP(Main_M[[#This Row],[Industry]], Mean_ROA_M, 2, FALSE))/(VLOOKUP(Main_M[[#This Row],[Industry]], Mean_ROA_M, 3, FALSE))</f>
        <v>-0.99001582682327094</v>
      </c>
      <c r="S87" s="1">
        <f>(Main_M[[#This Row],[A/E]]-VLOOKUP(Main_M[[#This Row],[Industry]], Mean_AE_M, 2, FALSE))/(VLOOKUP(Main_M[[#This Row],[Industry]], Mean_AE_M, 3, FALSE))</f>
        <v>1.5891750710119099</v>
      </c>
      <c r="T87" s="1">
        <f>(Main_M[[#This Row],[P/E]]-VLOOKUP(Main_M[[#This Row],[Industry]], Mean_PE_M, 2, FALSE))/(VLOOKUP(Main_M[[#This Row],[Industry]], Mean_PE_M, 3, FALSE))</f>
        <v>-3.6317767086497628</v>
      </c>
      <c r="U8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8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8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8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8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8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88" spans="1:26" x14ac:dyDescent="0.25">
      <c r="A88" t="s">
        <v>157</v>
      </c>
      <c r="B88" t="s">
        <v>312</v>
      </c>
      <c r="C88" s="2">
        <v>2080</v>
      </c>
      <c r="D88">
        <f>RTD("tos.rtd", , "LAST", Main_M[[#This Row],[Symbol]])</f>
        <v>202.64</v>
      </c>
      <c r="E88">
        <v>15.42</v>
      </c>
      <c r="F88">
        <v>85.32</v>
      </c>
      <c r="G88">
        <v>9.6300000000000008</v>
      </c>
      <c r="H88" s="1">
        <f>IF(ISNUMBER(Main_M[[#This Row],[Free CF]]),IF(Main_M[[#This Row],[Free CF]]&lt;&gt;0,Main_M[[#This Row],[Current Price]]/Main_M[[#This Row],[Free CF]],""),"")</f>
        <v>13.141374837872892</v>
      </c>
      <c r="I88" s="1">
        <f>IF(ISNUMBER(Main_M[[#This Row],[BVPS]]),IF(Main_M[[#This Row],[BVPS]]&lt;&gt;0,Main_M[[#This Row],[Current Price]]/Main_M[[#This Row],[BVPS]],""),"")</f>
        <v>2.3750586029067042</v>
      </c>
      <c r="J88">
        <v>11.88</v>
      </c>
      <c r="K88">
        <v>7.2</v>
      </c>
      <c r="L88">
        <v>1.42</v>
      </c>
      <c r="M88" s="1">
        <f>IF(ISNUMBER(Main_M[[#This Row],[EPS]]),IF(Main_M[[#This Row],[EPS]]&lt;&gt;0,Main_M[[#This Row],[Current Price]]/Main_M[[#This Row],[EPS]],""),"")</f>
        <v>21.042575285565938</v>
      </c>
      <c r="N8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YES</v>
      </c>
      <c r="O88" s="1">
        <f>(Main_M[[#This Row],[P/FCF]]-VLOOKUP(Main_M[[#This Row],[Industry]], Mean_PFCF_M, 2, FALSE))/(VLOOKUP(Main_M[[#This Row],[Industry]], Mean_PFCF_M, 3, FALSE))</f>
        <v>-1.2596894708774666</v>
      </c>
      <c r="P88" s="1">
        <f>(Main_M[[#This Row],[P/B]]-VLOOKUP(Main_M[[#This Row],[Industry]], Mean_PB_M, 2, FALSE))/(VLOOKUP(Main_M[[#This Row],[Industry]], Mean_PB_M, 3, FALSE))</f>
        <v>-0.72588519569176024</v>
      </c>
      <c r="Q88" s="1">
        <f>(Main_M[[#This Row],[ROE]]-VLOOKUP(Main_M[[#This Row],[Industry]], Mean_ROE_M, 2, FALSE))/(VLOOKUP(Main_M[[#This Row],[Industry]], Mean_ROE_M, 3, FALSE))</f>
        <v>-0.2709254049525584</v>
      </c>
      <c r="R88" s="1">
        <f>(Main_M[[#This Row],[ROA]]-VLOOKUP(Main_M[[#This Row],[Industry]], Mean_ROA_M, 2, FALSE))/(VLOOKUP(Main_M[[#This Row],[Industry]], Mean_ROA_M, 3, FALSE))</f>
        <v>7.9936365017389321E-2</v>
      </c>
      <c r="S88" s="1">
        <f>(Main_M[[#This Row],[A/E]]-VLOOKUP(Main_M[[#This Row],[Industry]], Mean_AE_M, 2, FALSE))/(VLOOKUP(Main_M[[#This Row],[Industry]], Mean_AE_M, 3, FALSE))</f>
        <v>-1.1973579798526124</v>
      </c>
      <c r="T88" s="1">
        <f>(Main_M[[#This Row],[P/E]]-VLOOKUP(Main_M[[#This Row],[Industry]], Mean_PE_M, 2, FALSE))/(VLOOKUP(Main_M[[#This Row],[Industry]], Mean_PE_M, 3, FALSE))</f>
        <v>-0.57257338778122246</v>
      </c>
      <c r="U8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8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8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8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8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8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89" spans="1:26" x14ac:dyDescent="0.25">
      <c r="A89" t="s">
        <v>157</v>
      </c>
      <c r="B89" t="s">
        <v>313</v>
      </c>
      <c r="C89" s="2">
        <v>6930</v>
      </c>
      <c r="D89">
        <f>RTD("tos.rtd", , "LAST", Main_M[[#This Row],[Symbol]])</f>
        <v>75.900000000000006</v>
      </c>
      <c r="E89">
        <v>4.9400000000000004</v>
      </c>
      <c r="F89">
        <v>14.63</v>
      </c>
      <c r="G89">
        <v>3.92</v>
      </c>
      <c r="H89" s="1">
        <f>IF(ISNUMBER(Main_M[[#This Row],[Free CF]]),IF(Main_M[[#This Row],[Free CF]]&lt;&gt;0,Main_M[[#This Row],[Current Price]]/Main_M[[#This Row],[Free CF]],""),"")</f>
        <v>15.364372469635628</v>
      </c>
      <c r="I89" s="1">
        <f>IF(ISNUMBER(Main_M[[#This Row],[BVPS]]),IF(Main_M[[#This Row],[BVPS]]&lt;&gt;0,Main_M[[#This Row],[Current Price]]/Main_M[[#This Row],[BVPS]],""),"")</f>
        <v>5.1879699248120303</v>
      </c>
      <c r="J89">
        <v>26.98</v>
      </c>
      <c r="K89">
        <v>8.99</v>
      </c>
      <c r="L89">
        <v>2.52</v>
      </c>
      <c r="M89" s="1">
        <f>IF(ISNUMBER(Main_M[[#This Row],[EPS]]),IF(Main_M[[#This Row],[EPS]]&lt;&gt;0,Main_M[[#This Row],[Current Price]]/Main_M[[#This Row],[EPS]],""),"")</f>
        <v>19.362244897959187</v>
      </c>
      <c r="N8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89" s="1">
        <f>(Main_M[[#This Row],[P/FCF]]-VLOOKUP(Main_M[[#This Row],[Industry]], Mean_PFCF_M, 2, FALSE))/(VLOOKUP(Main_M[[#This Row],[Industry]], Mean_PFCF_M, 3, FALSE))</f>
        <v>-0.98443782890335962</v>
      </c>
      <c r="P89" s="1">
        <f>(Main_M[[#This Row],[P/B]]-VLOOKUP(Main_M[[#This Row],[Industry]], Mean_PB_M, 2, FALSE))/(VLOOKUP(Main_M[[#This Row],[Industry]], Mean_PB_M, 3, FALSE))</f>
        <v>1.1905899687907813</v>
      </c>
      <c r="Q89" s="1">
        <f>(Main_M[[#This Row],[ROE]]-VLOOKUP(Main_M[[#This Row],[Industry]], Mean_ROE_M, 2, FALSE))/(VLOOKUP(Main_M[[#This Row],[Industry]], Mean_ROE_M, 3, FALSE))</f>
        <v>0.54485012161503643</v>
      </c>
      <c r="R89" s="1">
        <f>(Main_M[[#This Row],[ROA]]-VLOOKUP(Main_M[[#This Row],[Industry]], Mean_ROA_M, 2, FALSE))/(VLOOKUP(Main_M[[#This Row],[Industry]], Mean_ROA_M, 3, FALSE))</f>
        <v>0.60465264539952135</v>
      </c>
      <c r="S89" s="1">
        <f>(Main_M[[#This Row],[A/E]]-VLOOKUP(Main_M[[#This Row],[Industry]], Mean_AE_M, 2, FALSE))/(VLOOKUP(Main_M[[#This Row],[Industry]], Mean_AE_M, 3, FALSE))</f>
        <v>0.73043218112284369</v>
      </c>
      <c r="T89" s="1">
        <f>(Main_M[[#This Row],[P/E]]-VLOOKUP(Main_M[[#This Row],[Industry]], Mean_PE_M, 2, FALSE))/(VLOOKUP(Main_M[[#This Row],[Industry]], Mean_PE_M, 3, FALSE))</f>
        <v>-0.72108341432378609</v>
      </c>
      <c r="U8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8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8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8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8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8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90" spans="1:26" x14ac:dyDescent="0.25">
      <c r="A90" t="s">
        <v>157</v>
      </c>
      <c r="B90" t="s">
        <v>315</v>
      </c>
      <c r="C90" s="2">
        <v>2486</v>
      </c>
      <c r="D90">
        <f>RTD("tos.rtd", , "LAST", Main_M[[#This Row],[Symbol]])</f>
        <v>28.09</v>
      </c>
      <c r="E90">
        <v>-0.52</v>
      </c>
      <c r="F90">
        <v>12.55</v>
      </c>
      <c r="G90">
        <v>0.63</v>
      </c>
      <c r="H90" s="1">
        <f>IF(ISNUMBER(Main_M[[#This Row],[Free CF]]),IF(Main_M[[#This Row],[Free CF]]&lt;&gt;0,Main_M[[#This Row],[Current Price]]/Main_M[[#This Row],[Free CF]],""),"")</f>
        <v>-54.019230769230766</v>
      </c>
      <c r="I90" s="1">
        <f>IF(ISNUMBER(Main_M[[#This Row],[BVPS]]),IF(Main_M[[#This Row],[BVPS]]&lt;&gt;0,Main_M[[#This Row],[Current Price]]/Main_M[[#This Row],[BVPS]],""),"")</f>
        <v>2.2382470119521911</v>
      </c>
      <c r="J90">
        <v>5.3</v>
      </c>
      <c r="K90">
        <v>3.37</v>
      </c>
      <c r="L90">
        <v>2.66</v>
      </c>
      <c r="M90" s="1">
        <f>IF(ISNUMBER(Main_M[[#This Row],[EPS]]),IF(Main_M[[#This Row],[EPS]]&lt;&gt;0,Main_M[[#This Row],[Current Price]]/Main_M[[#This Row],[EPS]],""),"")</f>
        <v>44.587301587301589</v>
      </c>
      <c r="N9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90" s="1">
        <f>(Main_M[[#This Row],[P/FCF]]-VLOOKUP(Main_M[[#This Row],[Industry]], Mean_PFCF_M, 2, FALSE))/(VLOOKUP(Main_M[[#This Row],[Industry]], Mean_PFCF_M, 3, FALSE))</f>
        <v>-9.5755179293504895</v>
      </c>
      <c r="P90" s="1">
        <f>(Main_M[[#This Row],[P/B]]-VLOOKUP(Main_M[[#This Row],[Industry]], Mean_PB_M, 2, FALSE))/(VLOOKUP(Main_M[[#This Row],[Industry]], Mean_PB_M, 3, FALSE))</f>
        <v>-0.8190968139307846</v>
      </c>
      <c r="Q90" s="1">
        <f>(Main_M[[#This Row],[ROE]]-VLOOKUP(Main_M[[#This Row],[Industry]], Mean_ROE_M, 2, FALSE))/(VLOOKUP(Main_M[[#This Row],[Industry]], Mean_ROE_M, 3, FALSE))</f>
        <v>-0.62640904500651695</v>
      </c>
      <c r="R90" s="1">
        <f>(Main_M[[#This Row],[ROA]]-VLOOKUP(Main_M[[#This Row],[Industry]], Mean_ROA_M, 2, FALSE))/(VLOOKUP(Main_M[[#This Row],[Industry]], Mean_ROA_M, 3, FALSE))</f>
        <v>-1.0427805924482898</v>
      </c>
      <c r="S90" s="1">
        <f>(Main_M[[#This Row],[A/E]]-VLOOKUP(Main_M[[#This Row],[Industry]], Mean_AE_M, 2, FALSE))/(VLOOKUP(Main_M[[#This Row],[Industry]], Mean_AE_M, 3, FALSE))</f>
        <v>0.97578729251972007</v>
      </c>
      <c r="T90" s="1">
        <f>(Main_M[[#This Row],[P/E]]-VLOOKUP(Main_M[[#This Row],[Industry]], Mean_PE_M, 2, FALSE))/(VLOOKUP(Main_M[[#This Row],[Industry]], Mean_PE_M, 3, FALSE))</f>
        <v>1.5083435281999902</v>
      </c>
      <c r="U9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9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9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9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9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9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91" spans="1:26" x14ac:dyDescent="0.25">
      <c r="A91" t="s">
        <v>157</v>
      </c>
      <c r="B91" t="s">
        <v>164</v>
      </c>
      <c r="C91" s="2">
        <v>9629</v>
      </c>
      <c r="D91">
        <f>RTD("tos.rtd", , "LAST", Main_M[[#This Row],[Symbol]])</f>
        <v>175.89</v>
      </c>
      <c r="E91">
        <v>4.5999999999999996</v>
      </c>
      <c r="F91">
        <v>30.56</v>
      </c>
      <c r="G91">
        <v>4.92</v>
      </c>
      <c r="H91" s="1">
        <f>IF(ISNUMBER(Main_M[[#This Row],[Free CF]]),IF(Main_M[[#This Row],[Free CF]]&lt;&gt;0,Main_M[[#This Row],[Current Price]]/Main_M[[#This Row],[Free CF]],""),"")</f>
        <v>38.236956521739131</v>
      </c>
      <c r="I91" s="1">
        <f>IF(ISNUMBER(Main_M[[#This Row],[BVPS]]),IF(Main_M[[#This Row],[BVPS]]&lt;&gt;0,Main_M[[#This Row],[Current Price]]/Main_M[[#This Row],[BVPS]],""),"")</f>
        <v>5.7555628272251305</v>
      </c>
      <c r="J91">
        <v>18.170000000000002</v>
      </c>
      <c r="K91">
        <v>8.85</v>
      </c>
      <c r="L91">
        <v>1.49</v>
      </c>
      <c r="M91" s="1">
        <f>IF(ISNUMBER(Main_M[[#This Row],[EPS]]),IF(Main_M[[#This Row],[EPS]]&lt;&gt;0,Main_M[[#This Row],[Current Price]]/Main_M[[#This Row],[EPS]],""),"")</f>
        <v>35.75</v>
      </c>
      <c r="N9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91" s="1">
        <f>(Main_M[[#This Row],[P/FCF]]-VLOOKUP(Main_M[[#This Row],[Industry]], Mean_PFCF_M, 2, FALSE))/(VLOOKUP(Main_M[[#This Row],[Industry]], Mean_PFCF_M, 3, FALSE))</f>
        <v>1.8476463022614789</v>
      </c>
      <c r="P91" s="1">
        <f>(Main_M[[#This Row],[P/B]]-VLOOKUP(Main_M[[#This Row],[Industry]], Mean_PB_M, 2, FALSE))/(VLOOKUP(Main_M[[#This Row],[Industry]], Mean_PB_M, 3, FALSE))</f>
        <v>1.5772988182807335</v>
      </c>
      <c r="Q91" s="1">
        <f>(Main_M[[#This Row],[ROE]]-VLOOKUP(Main_M[[#This Row],[Industry]], Mean_ROE_M, 2, FALSE))/(VLOOKUP(Main_M[[#This Row],[Industry]], Mean_ROE_M, 3, FALSE))</f>
        <v>6.8891023001757645E-2</v>
      </c>
      <c r="R91" s="1">
        <f>(Main_M[[#This Row],[ROA]]-VLOOKUP(Main_M[[#This Row],[Industry]], Mean_ROA_M, 2, FALSE))/(VLOOKUP(Main_M[[#This Row],[Industry]], Mean_ROA_M, 3, FALSE))</f>
        <v>0.56361338324672872</v>
      </c>
      <c r="S91" s="1">
        <f>(Main_M[[#This Row],[A/E]]-VLOOKUP(Main_M[[#This Row],[Industry]], Mean_AE_M, 2, FALSE))/(VLOOKUP(Main_M[[#This Row],[Industry]], Mean_AE_M, 3, FALSE))</f>
        <v>-1.0746804241541743</v>
      </c>
      <c r="T91" s="1">
        <f>(Main_M[[#This Row],[P/E]]-VLOOKUP(Main_M[[#This Row],[Industry]], Mean_PE_M, 2, FALSE))/(VLOOKUP(Main_M[[#This Row],[Industry]], Mean_PE_M, 3, FALSE))</f>
        <v>0.72729005028005955</v>
      </c>
      <c r="U9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9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9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9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9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9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92" spans="1:26" x14ac:dyDescent="0.25">
      <c r="A92" t="s">
        <v>157</v>
      </c>
      <c r="B92" t="s">
        <v>316</v>
      </c>
      <c r="C92" s="2">
        <v>7906</v>
      </c>
      <c r="D92">
        <f>RTD("tos.rtd", , "LAST", Main_M[[#This Row],[Symbol]])</f>
        <v>70.319999999999993</v>
      </c>
      <c r="E92">
        <v>2.88</v>
      </c>
      <c r="F92">
        <v>12.92</v>
      </c>
      <c r="G92">
        <v>3.42</v>
      </c>
      <c r="H92" s="1">
        <f>IF(ISNUMBER(Main_M[[#This Row],[Free CF]]),IF(Main_M[[#This Row],[Free CF]]&lt;&gt;0,Main_M[[#This Row],[Current Price]]/Main_M[[#This Row],[Free CF]],""),"")</f>
        <v>24.416666666666664</v>
      </c>
      <c r="I92" s="1">
        <f>IF(ISNUMBER(Main_M[[#This Row],[BVPS]]),IF(Main_M[[#This Row],[BVPS]]&lt;&gt;0,Main_M[[#This Row],[Current Price]]/Main_M[[#This Row],[BVPS]],""),"")</f>
        <v>5.4427244582043341</v>
      </c>
      <c r="J92">
        <v>28.64</v>
      </c>
      <c r="K92">
        <v>12.11</v>
      </c>
      <c r="L92">
        <v>1.92</v>
      </c>
      <c r="M92" s="1">
        <f>IF(ISNUMBER(Main_M[[#This Row],[EPS]]),IF(Main_M[[#This Row],[EPS]]&lt;&gt;0,Main_M[[#This Row],[Current Price]]/Main_M[[#This Row],[EPS]],""),"")</f>
        <v>20.561403508771928</v>
      </c>
      <c r="N9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92" s="1">
        <f>(Main_M[[#This Row],[P/FCF]]-VLOOKUP(Main_M[[#This Row],[Industry]], Mean_PFCF_M, 2, FALSE))/(VLOOKUP(Main_M[[#This Row],[Industry]], Mean_PFCF_M, 3, FALSE))</f>
        <v>0.13641754483345384</v>
      </c>
      <c r="P92" s="1">
        <f>(Main_M[[#This Row],[P/B]]-VLOOKUP(Main_M[[#This Row],[Industry]], Mean_PB_M, 2, FALSE))/(VLOOKUP(Main_M[[#This Row],[Industry]], Mean_PB_M, 3, FALSE))</f>
        <v>1.3641577355680807</v>
      </c>
      <c r="Q92" s="1">
        <f>(Main_M[[#This Row],[ROE]]-VLOOKUP(Main_M[[#This Row],[Industry]], Mean_ROE_M, 2, FALSE))/(VLOOKUP(Main_M[[#This Row],[Industry]], Mean_ROE_M, 3, FALSE))</f>
        <v>0.63453140466816271</v>
      </c>
      <c r="R92" s="1">
        <f>(Main_M[[#This Row],[ROA]]-VLOOKUP(Main_M[[#This Row],[Industry]], Mean_ROA_M, 2, FALSE))/(VLOOKUP(Main_M[[#This Row],[Industry]], Mean_ROA_M, 3, FALSE))</f>
        <v>1.5192419162331814</v>
      </c>
      <c r="S92" s="1">
        <f>(Main_M[[#This Row],[A/E]]-VLOOKUP(Main_M[[#This Row],[Industry]], Mean_AE_M, 2, FALSE))/(VLOOKUP(Main_M[[#This Row],[Industry]], Mean_AE_M, 3, FALSE))</f>
        <v>-0.32108972486376886</v>
      </c>
      <c r="T92" s="1">
        <f>(Main_M[[#This Row],[P/E]]-VLOOKUP(Main_M[[#This Row],[Industry]], Mean_PE_M, 2, FALSE))/(VLOOKUP(Main_M[[#This Row],[Industry]], Mean_PE_M, 3, FALSE))</f>
        <v>-0.61510004436629306</v>
      </c>
      <c r="U9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9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9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9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9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9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93" spans="1:26" x14ac:dyDescent="0.25">
      <c r="A93" t="s">
        <v>157</v>
      </c>
      <c r="B93" t="s">
        <v>317</v>
      </c>
      <c r="C93" s="2">
        <v>2255</v>
      </c>
      <c r="D93">
        <f>RTD("tos.rtd", , "LAST", Main_M[[#This Row],[Symbol]])</f>
        <v>46.08</v>
      </c>
      <c r="E93">
        <v>1.31</v>
      </c>
      <c r="F93">
        <v>7.48</v>
      </c>
      <c r="G93">
        <v>1.62</v>
      </c>
      <c r="H93" s="1">
        <f>IF(ISNUMBER(Main_M[[#This Row],[Free CF]]),IF(Main_M[[#This Row],[Free CF]]&lt;&gt;0,Main_M[[#This Row],[Current Price]]/Main_M[[#This Row],[Free CF]],""),"")</f>
        <v>35.175572519083964</v>
      </c>
      <c r="I93" s="1">
        <f>IF(ISNUMBER(Main_M[[#This Row],[BVPS]]),IF(Main_M[[#This Row],[BVPS]]&lt;&gt;0,Main_M[[#This Row],[Current Price]]/Main_M[[#This Row],[BVPS]],""),"")</f>
        <v>6.1604278074866308</v>
      </c>
      <c r="J93">
        <v>23.87</v>
      </c>
      <c r="K93">
        <v>10.93</v>
      </c>
      <c r="L93">
        <v>1.91</v>
      </c>
      <c r="M93" s="1">
        <f>IF(ISNUMBER(Main_M[[#This Row],[EPS]]),IF(Main_M[[#This Row],[EPS]]&lt;&gt;0,Main_M[[#This Row],[Current Price]]/Main_M[[#This Row],[EPS]],""),"")</f>
        <v>28.444444444444443</v>
      </c>
      <c r="N9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93" s="1">
        <f>(Main_M[[#This Row],[P/FCF]]-VLOOKUP(Main_M[[#This Row],[Industry]], Mean_PFCF_M, 2, FALSE))/(VLOOKUP(Main_M[[#This Row],[Industry]], Mean_PFCF_M, 3, FALSE))</f>
        <v>1.4685856314788857</v>
      </c>
      <c r="P93" s="1">
        <f>(Main_M[[#This Row],[P/B]]-VLOOKUP(Main_M[[#This Row],[Industry]], Mean_PB_M, 2, FALSE))/(VLOOKUP(Main_M[[#This Row],[Industry]], Mean_PB_M, 3, FALSE))</f>
        <v>1.8531388967067801</v>
      </c>
      <c r="Q93" s="1">
        <f>(Main_M[[#This Row],[ROE]]-VLOOKUP(Main_M[[#This Row],[Industry]], Mean_ROE_M, 2, FALSE))/(VLOOKUP(Main_M[[#This Row],[Industry]], Mean_ROE_M, 3, FALSE))</f>
        <v>0.37683277806369736</v>
      </c>
      <c r="R93" s="1">
        <f>(Main_M[[#This Row],[ROA]]-VLOOKUP(Main_M[[#This Row],[Industry]], Mean_ROA_M, 2, FALSE))/(VLOOKUP(Main_M[[#This Row],[Industry]], Mean_ROA_M, 3, FALSE))</f>
        <v>1.1733395638025022</v>
      </c>
      <c r="S93" s="1">
        <f>(Main_M[[#This Row],[A/E]]-VLOOKUP(Main_M[[#This Row],[Industry]], Mean_AE_M, 2, FALSE))/(VLOOKUP(Main_M[[#This Row],[Industry]], Mean_AE_M, 3, FALSE))</f>
        <v>-0.33861508996354572</v>
      </c>
      <c r="T93" s="1">
        <f>(Main_M[[#This Row],[P/E]]-VLOOKUP(Main_M[[#This Row],[Industry]], Mean_PE_M, 2, FALSE))/(VLOOKUP(Main_M[[#This Row],[Industry]], Mean_PE_M, 3, FALSE))</f>
        <v>8.1614498932689739E-2</v>
      </c>
      <c r="U9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9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9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9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9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9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94" spans="1:26" x14ac:dyDescent="0.25">
      <c r="A94" t="s">
        <v>157</v>
      </c>
      <c r="B94" t="s">
        <v>318</v>
      </c>
      <c r="C94" s="2">
        <v>7400</v>
      </c>
      <c r="D94">
        <f>RTD("tos.rtd", , "LAST", Main_M[[#This Row],[Symbol]])</f>
        <v>129.44</v>
      </c>
      <c r="E94">
        <v>4.87</v>
      </c>
      <c r="F94">
        <v>31.56</v>
      </c>
      <c r="G94">
        <v>4.82</v>
      </c>
      <c r="H94" s="1">
        <f>IF(ISNUMBER(Main_M[[#This Row],[Free CF]]),IF(Main_M[[#This Row],[Free CF]]&lt;&gt;0,Main_M[[#This Row],[Current Price]]/Main_M[[#This Row],[Free CF]],""),"")</f>
        <v>26.579055441478438</v>
      </c>
      <c r="I94" s="1">
        <f>IF(ISNUMBER(Main_M[[#This Row],[BVPS]]),IF(Main_M[[#This Row],[BVPS]]&lt;&gt;0,Main_M[[#This Row],[Current Price]]/Main_M[[#This Row],[BVPS]],""),"")</f>
        <v>4.1013941698352347</v>
      </c>
      <c r="J94">
        <v>16.670000000000002</v>
      </c>
      <c r="K94">
        <v>7.25</v>
      </c>
      <c r="L94">
        <v>2.21</v>
      </c>
      <c r="M94" s="1">
        <f>IF(ISNUMBER(Main_M[[#This Row],[EPS]]),IF(Main_M[[#This Row],[EPS]]&lt;&gt;0,Main_M[[#This Row],[Current Price]]/Main_M[[#This Row],[EPS]],""),"")</f>
        <v>26.854771784232362</v>
      </c>
      <c r="N9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94" s="1">
        <f>(Main_M[[#This Row],[P/FCF]]-VLOOKUP(Main_M[[#This Row],[Industry]], Mean_PFCF_M, 2, FALSE))/(VLOOKUP(Main_M[[#This Row],[Industry]], Mean_PFCF_M, 3, FALSE))</f>
        <v>0.40416459608935229</v>
      </c>
      <c r="P94" s="1">
        <f>(Main_M[[#This Row],[P/B]]-VLOOKUP(Main_M[[#This Row],[Industry]], Mean_PB_M, 2, FALSE))/(VLOOKUP(Main_M[[#This Row],[Industry]], Mean_PB_M, 3, FALSE))</f>
        <v>0.4502909652191418</v>
      </c>
      <c r="Q94" s="1">
        <f>(Main_M[[#This Row],[ROE]]-VLOOKUP(Main_M[[#This Row],[Industry]], Mean_ROE_M, 2, FALSE))/(VLOOKUP(Main_M[[#This Row],[Industry]], Mean_ROE_M, 3, FALSE))</f>
        <v>-1.2146280961910711E-2</v>
      </c>
      <c r="R94" s="1">
        <f>(Main_M[[#This Row],[ROA]]-VLOOKUP(Main_M[[#This Row],[Industry]], Mean_ROA_M, 2, FALSE))/(VLOOKUP(Main_M[[#This Row],[Industry]], Mean_ROA_M, 3, FALSE))</f>
        <v>9.4593244357672288E-2</v>
      </c>
      <c r="S94" s="1">
        <f>(Main_M[[#This Row],[A/E]]-VLOOKUP(Main_M[[#This Row],[Industry]], Mean_AE_M, 2, FALSE))/(VLOOKUP(Main_M[[#This Row],[Industry]], Mean_AE_M, 3, FALSE))</f>
        <v>0.18714586302976052</v>
      </c>
      <c r="T94" s="1">
        <f>(Main_M[[#This Row],[P/E]]-VLOOKUP(Main_M[[#This Row],[Industry]], Mean_PE_M, 2, FALSE))/(VLOOKUP(Main_M[[#This Row],[Industry]], Mean_PE_M, 3, FALSE))</f>
        <v>-5.8883066726602665E-2</v>
      </c>
      <c r="U9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9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9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9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9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9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95" spans="1:26" x14ac:dyDescent="0.25">
      <c r="A95" t="s">
        <v>157</v>
      </c>
      <c r="B95" t="s">
        <v>319</v>
      </c>
      <c r="C95" s="2">
        <v>4220</v>
      </c>
      <c r="D95">
        <f>RTD("tos.rtd", , "LAST", Main_M[[#This Row],[Symbol]])</f>
        <v>185.41</v>
      </c>
      <c r="E95">
        <v>4.18</v>
      </c>
      <c r="F95">
        <v>47.93</v>
      </c>
      <c r="G95">
        <v>4.26</v>
      </c>
      <c r="H95" s="1">
        <f>IF(ISNUMBER(Main_M[[#This Row],[Free CF]]),IF(Main_M[[#This Row],[Free CF]]&lt;&gt;0,Main_M[[#This Row],[Current Price]]/Main_M[[#This Row],[Free CF]],""),"")</f>
        <v>44.356459330143544</v>
      </c>
      <c r="I95" s="1">
        <f>IF(ISNUMBER(Main_M[[#This Row],[BVPS]]),IF(Main_M[[#This Row],[BVPS]]&lt;&gt;0,Main_M[[#This Row],[Current Price]]/Main_M[[#This Row],[BVPS]],""),"")</f>
        <v>3.8683496766117256</v>
      </c>
      <c r="J95">
        <v>9.2200000000000006</v>
      </c>
      <c r="K95">
        <v>5.48</v>
      </c>
      <c r="L95">
        <v>1.45</v>
      </c>
      <c r="M95" s="1">
        <f>IF(ISNUMBER(Main_M[[#This Row],[EPS]]),IF(Main_M[[#This Row],[EPS]]&lt;&gt;0,Main_M[[#This Row],[Current Price]]/Main_M[[#This Row],[EPS]],""),"")</f>
        <v>43.52347417840376</v>
      </c>
      <c r="N9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95" s="1">
        <f>(Main_M[[#This Row],[P/FCF]]-VLOOKUP(Main_M[[#This Row],[Industry]], Mean_PFCF_M, 2, FALSE))/(VLOOKUP(Main_M[[#This Row],[Industry]], Mean_PFCF_M, 3, FALSE))</f>
        <v>2.6053633470353046</v>
      </c>
      <c r="P95" s="1">
        <f>(Main_M[[#This Row],[P/B]]-VLOOKUP(Main_M[[#This Row],[Industry]], Mean_PB_M, 2, FALSE))/(VLOOKUP(Main_M[[#This Row],[Industry]], Mean_PB_M, 3, FALSE))</f>
        <v>0.29151454734765542</v>
      </c>
      <c r="Q95" s="1">
        <f>(Main_M[[#This Row],[ROE]]-VLOOKUP(Main_M[[#This Row],[Industry]], Mean_ROE_M, 2, FALSE))/(VLOOKUP(Main_M[[#This Row],[Industry]], Mean_ROE_M, 3, FALSE))</f>
        <v>-0.41463155731479695</v>
      </c>
      <c r="R95" s="1">
        <f>(Main_M[[#This Row],[ROA]]-VLOOKUP(Main_M[[#This Row],[Industry]], Mean_ROA_M, 2, FALSE))/(VLOOKUP(Main_M[[#This Row],[Industry]], Mean_ROA_M, 3, FALSE))</f>
        <v>-0.42426028428834639</v>
      </c>
      <c r="S95" s="1">
        <f>(Main_M[[#This Row],[A/E]]-VLOOKUP(Main_M[[#This Row],[Industry]], Mean_AE_M, 2, FALSE))/(VLOOKUP(Main_M[[#This Row],[Industry]], Mean_AE_M, 3, FALSE))</f>
        <v>-1.1447818845532818</v>
      </c>
      <c r="T95" s="1">
        <f>(Main_M[[#This Row],[P/E]]-VLOOKUP(Main_M[[#This Row],[Industry]], Mean_PE_M, 2, FALSE))/(VLOOKUP(Main_M[[#This Row],[Industry]], Mean_PE_M, 3, FALSE))</f>
        <v>1.4143209253253599</v>
      </c>
      <c r="U9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9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9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9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9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9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96" spans="1:26" x14ac:dyDescent="0.25">
      <c r="A96" t="s">
        <v>157</v>
      </c>
      <c r="B96" t="s">
        <v>320</v>
      </c>
      <c r="C96" s="2">
        <v>3925</v>
      </c>
      <c r="D96">
        <f>RTD("tos.rtd", , "LAST", Main_M[[#This Row],[Symbol]])</f>
        <v>89.68</v>
      </c>
      <c r="E96">
        <v>4.45</v>
      </c>
      <c r="F96">
        <v>28.37</v>
      </c>
      <c r="G96">
        <v>3.83</v>
      </c>
      <c r="H96" s="1">
        <f>IF(ISNUMBER(Main_M[[#This Row],[Free CF]]),IF(Main_M[[#This Row],[Free CF]]&lt;&gt;0,Main_M[[#This Row],[Current Price]]/Main_M[[#This Row],[Free CF]],""),"")</f>
        <v>20.152808988764047</v>
      </c>
      <c r="I96" s="1">
        <f>IF(ISNUMBER(Main_M[[#This Row],[BVPS]]),IF(Main_M[[#This Row],[BVPS]]&lt;&gt;0,Main_M[[#This Row],[Current Price]]/Main_M[[#This Row],[BVPS]],""),"")</f>
        <v>3.1610856538597112</v>
      </c>
      <c r="J96">
        <v>14.25</v>
      </c>
      <c r="K96">
        <v>8.3699999999999992</v>
      </c>
      <c r="L96">
        <v>1.49</v>
      </c>
      <c r="M96" s="1">
        <f>IF(ISNUMBER(Main_M[[#This Row],[EPS]]),IF(Main_M[[#This Row],[EPS]]&lt;&gt;0,Main_M[[#This Row],[Current Price]]/Main_M[[#This Row],[EPS]],""),"")</f>
        <v>23.41514360313316</v>
      </c>
      <c r="N9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YES</v>
      </c>
      <c r="O96" s="1">
        <f>(Main_M[[#This Row],[P/FCF]]-VLOOKUP(Main_M[[#This Row],[Industry]], Mean_PFCF_M, 2, FALSE))/(VLOOKUP(Main_M[[#This Row],[Industry]], Mean_PFCF_M, 3, FALSE))</f>
        <v>-0.39153345710079474</v>
      </c>
      <c r="P96" s="1">
        <f>(Main_M[[#This Row],[P/B]]-VLOOKUP(Main_M[[#This Row],[Industry]], Mean_PB_M, 2, FALSE))/(VLOOKUP(Main_M[[#This Row],[Industry]], Mean_PB_M, 3, FALSE))</f>
        <v>-0.19035415707283576</v>
      </c>
      <c r="Q96" s="1">
        <f>(Main_M[[#This Row],[ROE]]-VLOOKUP(Main_M[[#This Row],[Industry]], Mean_ROE_M, 2, FALSE))/(VLOOKUP(Main_M[[#This Row],[Industry]], Mean_ROE_M, 3, FALSE))</f>
        <v>-0.14288646468996241</v>
      </c>
      <c r="R96" s="1">
        <f>(Main_M[[#This Row],[ROA]]-VLOOKUP(Main_M[[#This Row],[Industry]], Mean_ROA_M, 2, FALSE))/(VLOOKUP(Main_M[[#This Row],[Industry]], Mean_ROA_M, 3, FALSE))</f>
        <v>0.42290734158001164</v>
      </c>
      <c r="S96" s="1">
        <f>(Main_M[[#This Row],[A/E]]-VLOOKUP(Main_M[[#This Row],[Industry]], Mean_AE_M, 2, FALSE))/(VLOOKUP(Main_M[[#This Row],[Industry]], Mean_AE_M, 3, FALSE))</f>
        <v>-1.0746804241541743</v>
      </c>
      <c r="T96" s="1">
        <f>(Main_M[[#This Row],[P/E]]-VLOOKUP(Main_M[[#This Row],[Industry]], Mean_PE_M, 2, FALSE))/(VLOOKUP(Main_M[[#This Row],[Industry]], Mean_PE_M, 3, FALSE))</f>
        <v>-0.36288237319581329</v>
      </c>
      <c r="U9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9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9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9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9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9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97" spans="1:26" x14ac:dyDescent="0.25">
      <c r="A97" t="s">
        <v>157</v>
      </c>
      <c r="B97" t="s">
        <v>321</v>
      </c>
      <c r="C97" s="2">
        <v>6104</v>
      </c>
      <c r="D97">
        <f>RTD("tos.rtd", , "LAST", Main_M[[#This Row],[Symbol]])</f>
        <v>52.11</v>
      </c>
      <c r="E97">
        <v>1.78</v>
      </c>
      <c r="F97">
        <v>15.85</v>
      </c>
      <c r="G97">
        <v>2.14</v>
      </c>
      <c r="H97" s="1">
        <f>IF(ISNUMBER(Main_M[[#This Row],[Free CF]]),IF(Main_M[[#This Row],[Free CF]]&lt;&gt;0,Main_M[[#This Row],[Current Price]]/Main_M[[#This Row],[Free CF]],""),"")</f>
        <v>29.275280898876403</v>
      </c>
      <c r="I97" s="1">
        <f>IF(ISNUMBER(Main_M[[#This Row],[BVPS]]),IF(Main_M[[#This Row],[BVPS]]&lt;&gt;0,Main_M[[#This Row],[Current Price]]/Main_M[[#This Row],[BVPS]],""),"")</f>
        <v>3.287697160883281</v>
      </c>
      <c r="J97">
        <v>14.68</v>
      </c>
      <c r="K97">
        <v>6.21</v>
      </c>
      <c r="L97">
        <v>2.64</v>
      </c>
      <c r="M97" s="1">
        <f>IF(ISNUMBER(Main_M[[#This Row],[EPS]]),IF(Main_M[[#This Row],[EPS]]&lt;&gt;0,Main_M[[#This Row],[Current Price]]/Main_M[[#This Row],[EPS]],""),"")</f>
        <v>24.350467289719624</v>
      </c>
      <c r="N9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97" s="1">
        <f>(Main_M[[#This Row],[P/FCF]]-VLOOKUP(Main_M[[#This Row],[Industry]], Mean_PFCF_M, 2, FALSE))/(VLOOKUP(Main_M[[#This Row],[Industry]], Mean_PFCF_M, 3, FALSE))</f>
        <v>0.73801132344402498</v>
      </c>
      <c r="P97" s="1">
        <f>(Main_M[[#This Row],[P/B]]-VLOOKUP(Main_M[[#This Row],[Industry]], Mean_PB_M, 2, FALSE))/(VLOOKUP(Main_M[[#This Row],[Industry]], Mean_PB_M, 3, FALSE))</f>
        <v>-0.10409199627922039</v>
      </c>
      <c r="Q97" s="1">
        <f>(Main_M[[#This Row],[ROE]]-VLOOKUP(Main_M[[#This Row],[Industry]], Mean_ROE_M, 2, FALSE))/(VLOOKUP(Main_M[[#This Row],[Industry]], Mean_ROE_M, 3, FALSE))</f>
        <v>-0.11965577088704418</v>
      </c>
      <c r="R97" s="1">
        <f>(Main_M[[#This Row],[ROA]]-VLOOKUP(Main_M[[#This Row],[Industry]], Mean_ROA_M, 2, FALSE))/(VLOOKUP(Main_M[[#This Row],[Industry]], Mean_ROA_M, 3, FALSE))</f>
        <v>-0.21026984592021447</v>
      </c>
      <c r="S97" s="1">
        <f>(Main_M[[#This Row],[A/E]]-VLOOKUP(Main_M[[#This Row],[Industry]], Mean_AE_M, 2, FALSE))/(VLOOKUP(Main_M[[#This Row],[Industry]], Mean_AE_M, 3, FALSE))</f>
        <v>0.94073656232016634</v>
      </c>
      <c r="T97" s="1">
        <f>(Main_M[[#This Row],[P/E]]-VLOOKUP(Main_M[[#This Row],[Industry]], Mean_PE_M, 2, FALSE))/(VLOOKUP(Main_M[[#This Row],[Industry]], Mean_PE_M, 3, FALSE))</f>
        <v>-0.28021711489581741</v>
      </c>
      <c r="U9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9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9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9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9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9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98" spans="1:26" x14ac:dyDescent="0.25">
      <c r="A98" t="s">
        <v>157</v>
      </c>
      <c r="B98" t="s">
        <v>322</v>
      </c>
      <c r="C98" s="2">
        <v>5184</v>
      </c>
      <c r="D98">
        <f>RTD("tos.rtd", , "LAST", Main_M[[#This Row],[Symbol]])</f>
        <v>22.6</v>
      </c>
      <c r="E98">
        <v>1.1399999999999999</v>
      </c>
      <c r="F98">
        <v>12.08</v>
      </c>
      <c r="G98">
        <v>0.83</v>
      </c>
      <c r="H98" s="1">
        <f>IF(ISNUMBER(Main_M[[#This Row],[Free CF]]),IF(Main_M[[#This Row],[Free CF]]&lt;&gt;0,Main_M[[#This Row],[Current Price]]/Main_M[[#This Row],[Free CF]],""),"")</f>
        <v>19.824561403508774</v>
      </c>
      <c r="I98" s="1">
        <f>IF(ISNUMBER(Main_M[[#This Row],[BVPS]]),IF(Main_M[[#This Row],[BVPS]]&lt;&gt;0,Main_M[[#This Row],[Current Price]]/Main_M[[#This Row],[BVPS]],""),"")</f>
        <v>1.870860927152318</v>
      </c>
      <c r="J98">
        <v>7.02</v>
      </c>
      <c r="K98">
        <v>4.54</v>
      </c>
      <c r="L98">
        <v>2.2200000000000002</v>
      </c>
      <c r="M98" s="1">
        <f>IF(ISNUMBER(Main_M[[#This Row],[EPS]]),IF(Main_M[[#This Row],[EPS]]&lt;&gt;0,Main_M[[#This Row],[Current Price]]/Main_M[[#This Row],[EPS]],""),"")</f>
        <v>27.228915662650607</v>
      </c>
      <c r="N9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98" s="1">
        <f>(Main_M[[#This Row],[P/FCF]]-VLOOKUP(Main_M[[#This Row],[Industry]], Mean_PFCF_M, 2, FALSE))/(VLOOKUP(Main_M[[#This Row],[Industry]], Mean_PFCF_M, 3, FALSE))</f>
        <v>-0.43217708421249146</v>
      </c>
      <c r="P98" s="1">
        <f>(Main_M[[#This Row],[P/B]]-VLOOKUP(Main_M[[#This Row],[Industry]], Mean_PB_M, 2, FALSE))/(VLOOKUP(Main_M[[#This Row],[Industry]], Mean_PB_M, 3, FALSE))</f>
        <v>-1.0694020054995401</v>
      </c>
      <c r="Q98" s="1">
        <f>(Main_M[[#This Row],[ROE]]-VLOOKUP(Main_M[[#This Row],[Industry]], Mean_ROE_M, 2, FALSE))/(VLOOKUP(Main_M[[#This Row],[Industry]], Mean_ROE_M, 3, FALSE))</f>
        <v>-0.53348626979484393</v>
      </c>
      <c r="R98" s="1">
        <f>(Main_M[[#This Row],[ROA]]-VLOOKUP(Main_M[[#This Row],[Industry]], Mean_ROA_M, 2, FALSE))/(VLOOKUP(Main_M[[#This Row],[Industry]], Mean_ROA_M, 3, FALSE))</f>
        <v>-0.69980961588566715</v>
      </c>
      <c r="S98" s="1">
        <f>(Main_M[[#This Row],[A/E]]-VLOOKUP(Main_M[[#This Row],[Industry]], Mean_AE_M, 2, FALSE))/(VLOOKUP(Main_M[[#This Row],[Industry]], Mean_AE_M, 3, FALSE))</f>
        <v>0.20467122812953781</v>
      </c>
      <c r="T98" s="1">
        <f>(Main_M[[#This Row],[P/E]]-VLOOKUP(Main_M[[#This Row],[Industry]], Mean_PE_M, 2, FALSE))/(VLOOKUP(Main_M[[#This Row],[Industry]], Mean_PE_M, 3, FALSE))</f>
        <v>-2.5815690379401266E-2</v>
      </c>
      <c r="U9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9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9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9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9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9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99" spans="1:26" x14ac:dyDescent="0.25">
      <c r="A99" t="s">
        <v>157</v>
      </c>
      <c r="B99" t="s">
        <v>323</v>
      </c>
      <c r="C99" s="2">
        <v>6889</v>
      </c>
      <c r="D99">
        <f>RTD("tos.rtd", , "LAST", Main_M[[#This Row],[Symbol]])</f>
        <v>175.1</v>
      </c>
      <c r="E99">
        <v>9.6999999999999993</v>
      </c>
      <c r="F99">
        <v>66.69</v>
      </c>
      <c r="G99">
        <v>5.03</v>
      </c>
      <c r="H99" s="1">
        <f>IF(ISNUMBER(Main_M[[#This Row],[Free CF]]),IF(Main_M[[#This Row],[Free CF]]&lt;&gt;0,Main_M[[#This Row],[Current Price]]/Main_M[[#This Row],[Free CF]],""),"")</f>
        <v>18.051546391752577</v>
      </c>
      <c r="I99" s="1">
        <f>IF(ISNUMBER(Main_M[[#This Row],[BVPS]]),IF(Main_M[[#This Row],[BVPS]]&lt;&gt;0,Main_M[[#This Row],[Current Price]]/Main_M[[#This Row],[BVPS]],""),"")</f>
        <v>2.6255810466336782</v>
      </c>
      <c r="J99">
        <v>9.0299999999999994</v>
      </c>
      <c r="K99">
        <v>4.71</v>
      </c>
      <c r="L99">
        <v>3.11</v>
      </c>
      <c r="M99" s="1">
        <f>IF(ISNUMBER(Main_M[[#This Row],[EPS]]),IF(Main_M[[#This Row],[EPS]]&lt;&gt;0,Main_M[[#This Row],[Current Price]]/Main_M[[#This Row],[EPS]],""),"")</f>
        <v>34.811133200795226</v>
      </c>
      <c r="N9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99" s="1">
        <f>(Main_M[[#This Row],[P/FCF]]-VLOOKUP(Main_M[[#This Row],[Industry]], Mean_PFCF_M, 2, FALSE))/(VLOOKUP(Main_M[[#This Row],[Industry]], Mean_PFCF_M, 3, FALSE))</f>
        <v>-0.65171186295341699</v>
      </c>
      <c r="P99" s="1">
        <f>(Main_M[[#This Row],[P/B]]-VLOOKUP(Main_M[[#This Row],[Industry]], Mean_PB_M, 2, FALSE))/(VLOOKUP(Main_M[[#This Row],[Industry]], Mean_PB_M, 3, FALSE))</f>
        <v>-0.55520080979970465</v>
      </c>
      <c r="Q99" s="1">
        <f>(Main_M[[#This Row],[ROE]]-VLOOKUP(Main_M[[#This Row],[Industry]], Mean_ROE_M, 2, FALSE))/(VLOOKUP(Main_M[[#This Row],[Industry]], Mean_ROE_M, 3, FALSE))</f>
        <v>-0.42489628248352834</v>
      </c>
      <c r="R99" s="1">
        <f>(Main_M[[#This Row],[ROA]]-VLOOKUP(Main_M[[#This Row],[Industry]], Mean_ROA_M, 2, FALSE))/(VLOOKUP(Main_M[[#This Row],[Industry]], Mean_ROA_M, 3, FALSE))</f>
        <v>-0.64997622612870498</v>
      </c>
      <c r="S99" s="1">
        <f>(Main_M[[#This Row],[A/E]]-VLOOKUP(Main_M[[#This Row],[Industry]], Mean_AE_M, 2, FALSE))/(VLOOKUP(Main_M[[#This Row],[Industry]], Mean_AE_M, 3, FALSE))</f>
        <v>1.7644287220096788</v>
      </c>
      <c r="T99" s="1">
        <f>(Main_M[[#This Row],[P/E]]-VLOOKUP(Main_M[[#This Row],[Industry]], Mean_PE_M, 2, FALSE))/(VLOOKUP(Main_M[[#This Row],[Industry]], Mean_PE_M, 3, FALSE))</f>
        <v>0.64431164656957218</v>
      </c>
      <c r="U9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9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9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9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9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9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00" spans="1:26" x14ac:dyDescent="0.25">
      <c r="A100" t="s">
        <v>157</v>
      </c>
      <c r="B100" t="s">
        <v>559</v>
      </c>
      <c r="C100" s="2">
        <v>5522</v>
      </c>
      <c r="D100">
        <f>RTD("tos.rtd", , "LAST", Main_M[[#This Row],[Symbol]])</f>
        <v>118.78</v>
      </c>
      <c r="E100">
        <v>5.7</v>
      </c>
      <c r="F100">
        <v>79.44</v>
      </c>
      <c r="G100">
        <v>-3.02</v>
      </c>
      <c r="H100" s="1">
        <f>IF(ISNUMBER(Main_M[[#This Row],[Free CF]]),IF(Main_M[[#This Row],[Free CF]]&lt;&gt;0,Main_M[[#This Row],[Current Price]]/Main_M[[#This Row],[Free CF]],""),"")</f>
        <v>20.838596491228071</v>
      </c>
      <c r="I100" s="1">
        <f>IF(ISNUMBER(Main_M[[#This Row],[BVPS]]),IF(Main_M[[#This Row],[BVPS]]&lt;&gt;0,Main_M[[#This Row],[Current Price]]/Main_M[[#This Row],[BVPS]],""),"")</f>
        <v>1.4952165156092649</v>
      </c>
      <c r="J100">
        <v>-3.97</v>
      </c>
      <c r="K100">
        <v>-0.24</v>
      </c>
      <c r="L100">
        <v>1.95</v>
      </c>
      <c r="M100" s="1">
        <f>IF(ISNUMBER(Main_M[[#This Row],[EPS]]),IF(Main_M[[#This Row],[EPS]]&lt;&gt;0,Main_M[[#This Row],[Current Price]]/Main_M[[#This Row],[EPS]],""),"")</f>
        <v>-39.331125827814567</v>
      </c>
      <c r="N10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00" s="1">
        <f>(Main_M[[#This Row],[P/FCF]]-VLOOKUP(Main_M[[#This Row],[Industry]], Mean_PFCF_M, 2, FALSE))/(VLOOKUP(Main_M[[#This Row],[Industry]], Mean_PFCF_M, 3, FALSE))</f>
        <v>-0.30661922534389313</v>
      </c>
      <c r="P100" s="1">
        <f>(Main_M[[#This Row],[P/B]]-VLOOKUP(Main_M[[#This Row],[Industry]], Mean_PB_M, 2, FALSE))/(VLOOKUP(Main_M[[#This Row],[Industry]], Mean_PB_M, 3, FALSE))</f>
        <v>-1.3253337086402159</v>
      </c>
      <c r="Q100" s="1">
        <f>(Main_M[[#This Row],[ROE]]-VLOOKUP(Main_M[[#This Row],[Industry]], Mean_ROE_M, 2, FALSE))/(VLOOKUP(Main_M[[#This Row],[Industry]], Mean_ROE_M, 3, FALSE))</f>
        <v>-1.1272195835019874</v>
      </c>
      <c r="R100" s="1">
        <f>(Main_M[[#This Row],[ROA]]-VLOOKUP(Main_M[[#This Row],[Industry]], Mean_ROA_M, 2, FALSE))/(VLOOKUP(Main_M[[#This Row],[Industry]], Mean_ROA_M, 3, FALSE))</f>
        <v>-2.1010072808167237</v>
      </c>
      <c r="S100" s="1">
        <f>(Main_M[[#This Row],[A/E]]-VLOOKUP(Main_M[[#This Row],[Industry]], Mean_AE_M, 2, FALSE))/(VLOOKUP(Main_M[[#This Row],[Industry]], Mean_AE_M, 3, FALSE))</f>
        <v>-0.26851362956443819</v>
      </c>
      <c r="T100" s="1">
        <f>(Main_M[[#This Row],[P/E]]-VLOOKUP(Main_M[[#This Row],[Industry]], Mean_PE_M, 2, FALSE))/(VLOOKUP(Main_M[[#This Row],[Industry]], Mean_PE_M, 3, FALSE))</f>
        <v>-5.9084882893685897</v>
      </c>
      <c r="U10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0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0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0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0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0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101" spans="1:26" x14ac:dyDescent="0.25">
      <c r="A101" t="s">
        <v>157</v>
      </c>
      <c r="B101" t="s">
        <v>326</v>
      </c>
      <c r="C101" s="2">
        <v>3423</v>
      </c>
      <c r="D101">
        <f>RTD("tos.rtd", , "LAST", Main_M[[#This Row],[Symbol]])</f>
        <v>327.69</v>
      </c>
      <c r="E101">
        <v>11.44</v>
      </c>
      <c r="F101">
        <v>75.39</v>
      </c>
      <c r="G101">
        <v>9.42</v>
      </c>
      <c r="H101" s="1">
        <f>IF(ISNUMBER(Main_M[[#This Row],[Free CF]]),IF(Main_M[[#This Row],[Free CF]]&lt;&gt;0,Main_M[[#This Row],[Current Price]]/Main_M[[#This Row],[Free CF]],""),"")</f>
        <v>28.64423076923077</v>
      </c>
      <c r="I101" s="1">
        <f>IF(ISNUMBER(Main_M[[#This Row],[BVPS]]),IF(Main_M[[#This Row],[BVPS]]&lt;&gt;0,Main_M[[#This Row],[Current Price]]/Main_M[[#This Row],[BVPS]],""),"")</f>
        <v>4.3465976920015921</v>
      </c>
      <c r="J101">
        <v>13.32</v>
      </c>
      <c r="K101">
        <v>7.75</v>
      </c>
      <c r="L101">
        <v>1.62</v>
      </c>
      <c r="M101" s="1">
        <f>IF(ISNUMBER(Main_M[[#This Row],[EPS]]),IF(Main_M[[#This Row],[EPS]]&lt;&gt;0,Main_M[[#This Row],[Current Price]]/Main_M[[#This Row],[EPS]],""),"")</f>
        <v>34.786624203821653</v>
      </c>
      <c r="N10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01" s="1">
        <f>(Main_M[[#This Row],[P/FCF]]-VLOOKUP(Main_M[[#This Row],[Industry]], Mean_PFCF_M, 2, FALSE))/(VLOOKUP(Main_M[[#This Row],[Industry]], Mean_PFCF_M, 3, FALSE))</f>
        <v>0.65987467504139075</v>
      </c>
      <c r="P101" s="1">
        <f>(Main_M[[#This Row],[P/B]]-VLOOKUP(Main_M[[#This Row],[Industry]], Mean_PB_M, 2, FALSE))/(VLOOKUP(Main_M[[#This Row],[Industry]], Mean_PB_M, 3, FALSE))</f>
        <v>0.61735149671046641</v>
      </c>
      <c r="Q101" s="1">
        <f>(Main_M[[#This Row],[ROE]]-VLOOKUP(Main_M[[#This Row],[Industry]], Mean_ROE_M, 2, FALSE))/(VLOOKUP(Main_M[[#This Row],[Industry]], Mean_ROE_M, 3, FALSE))</f>
        <v>-0.1931295931474368</v>
      </c>
      <c r="R101" s="1">
        <f>(Main_M[[#This Row],[ROA]]-VLOOKUP(Main_M[[#This Row],[Industry]], Mean_ROA_M, 2, FALSE))/(VLOOKUP(Main_M[[#This Row],[Industry]], Mean_ROA_M, 3, FALSE))</f>
        <v>0.24116203776050246</v>
      </c>
      <c r="S101" s="1">
        <f>(Main_M[[#This Row],[A/E]]-VLOOKUP(Main_M[[#This Row],[Industry]], Mean_AE_M, 2, FALSE))/(VLOOKUP(Main_M[[#This Row],[Industry]], Mean_AE_M, 3, FALSE))</f>
        <v>-0.84685067785707469</v>
      </c>
      <c r="T101" s="1">
        <f>(Main_M[[#This Row],[P/E]]-VLOOKUP(Main_M[[#This Row],[Industry]], Mean_PE_M, 2, FALSE))/(VLOOKUP(Main_M[[#This Row],[Industry]], Mean_PE_M, 3, FALSE))</f>
        <v>0.64214550601892662</v>
      </c>
      <c r="U10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0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0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0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0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0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02" spans="1:26" x14ac:dyDescent="0.25">
      <c r="A102" t="s">
        <v>157</v>
      </c>
      <c r="B102" t="s">
        <v>328</v>
      </c>
      <c r="C102" s="2">
        <v>7061</v>
      </c>
      <c r="D102">
        <f>RTD("tos.rtd", , "LAST", Main_M[[#This Row],[Symbol]])</f>
        <v>149.91</v>
      </c>
      <c r="E102">
        <v>11.86</v>
      </c>
      <c r="F102">
        <v>67.77</v>
      </c>
      <c r="G102">
        <v>7.9</v>
      </c>
      <c r="H102" s="1">
        <f>IF(ISNUMBER(Main_M[[#This Row],[Free CF]]),IF(Main_M[[#This Row],[Free CF]]&lt;&gt;0,Main_M[[#This Row],[Current Price]]/Main_M[[#This Row],[Free CF]],""),"")</f>
        <v>12.639966273187184</v>
      </c>
      <c r="I102" s="1">
        <f>IF(ISNUMBER(Main_M[[#This Row],[BVPS]]),IF(Main_M[[#This Row],[BVPS]]&lt;&gt;0,Main_M[[#This Row],[Current Price]]/Main_M[[#This Row],[BVPS]],""),"")</f>
        <v>2.2120407259849491</v>
      </c>
      <c r="J102">
        <v>12.44</v>
      </c>
      <c r="K102">
        <v>6.34</v>
      </c>
      <c r="L102">
        <v>2</v>
      </c>
      <c r="M102" s="1">
        <f>IF(ISNUMBER(Main_M[[#This Row],[EPS]]),IF(Main_M[[#This Row],[EPS]]&lt;&gt;0,Main_M[[#This Row],[Current Price]]/Main_M[[#This Row],[EPS]],""),"")</f>
        <v>18.975949367088607</v>
      </c>
      <c r="N10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YES</v>
      </c>
      <c r="O102" s="1">
        <f>(Main_M[[#This Row],[P/FCF]]-VLOOKUP(Main_M[[#This Row],[Industry]], Mean_PFCF_M, 2, FALSE))/(VLOOKUP(Main_M[[#This Row],[Industry]], Mean_PFCF_M, 3, FALSE))</f>
        <v>-1.3217738963206835</v>
      </c>
      <c r="P102" s="1">
        <f>(Main_M[[#This Row],[P/B]]-VLOOKUP(Main_M[[#This Row],[Industry]], Mean_PB_M, 2, FALSE))/(VLOOKUP(Main_M[[#This Row],[Industry]], Mean_PB_M, 3, FALSE))</f>
        <v>-0.83695151692779479</v>
      </c>
      <c r="Q102" s="1">
        <f>(Main_M[[#This Row],[ROE]]-VLOOKUP(Main_M[[#This Row],[Industry]], Mean_ROE_M, 2, FALSE))/(VLOOKUP(Main_M[[#This Row],[Industry]], Mean_ROE_M, 3, FALSE))</f>
        <v>-0.24067147813945561</v>
      </c>
      <c r="R102" s="1">
        <f>(Main_M[[#This Row],[ROA]]-VLOOKUP(Main_M[[#This Row],[Industry]], Mean_ROA_M, 2, FALSE))/(VLOOKUP(Main_M[[#This Row],[Industry]], Mean_ROA_M, 3, FALSE))</f>
        <v>-0.17216195963547865</v>
      </c>
      <c r="S102" s="1">
        <f>(Main_M[[#This Row],[A/E]]-VLOOKUP(Main_M[[#This Row],[Industry]], Mean_AE_M, 2, FALSE))/(VLOOKUP(Main_M[[#This Row],[Industry]], Mean_AE_M, 3, FALSE))</f>
        <v>-0.18088680406555374</v>
      </c>
      <c r="T102" s="1">
        <f>(Main_M[[#This Row],[P/E]]-VLOOKUP(Main_M[[#This Row],[Industry]], Mean_PE_M, 2, FALSE))/(VLOOKUP(Main_M[[#This Row],[Industry]], Mean_PE_M, 3, FALSE))</f>
        <v>-0.7552247712652459</v>
      </c>
      <c r="U10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0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0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0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0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0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03" spans="1:26" x14ac:dyDescent="0.25">
      <c r="A103" t="s">
        <v>157</v>
      </c>
      <c r="B103" t="s">
        <v>329</v>
      </c>
      <c r="C103" s="2">
        <v>8166</v>
      </c>
      <c r="D103">
        <f>RTD("tos.rtd", , "LAST", Main_M[[#This Row],[Symbol]])</f>
        <v>79.05</v>
      </c>
      <c r="E103">
        <v>4.54</v>
      </c>
      <c r="F103">
        <v>24.1</v>
      </c>
      <c r="G103">
        <v>5.49</v>
      </c>
      <c r="H103" s="1">
        <f>IF(ISNUMBER(Main_M[[#This Row],[Free CF]]),IF(Main_M[[#This Row],[Free CF]]&lt;&gt;0,Main_M[[#This Row],[Current Price]]/Main_M[[#This Row],[Free CF]],""),"")</f>
        <v>17.411894273127754</v>
      </c>
      <c r="I103" s="1">
        <f>IF(ISNUMBER(Main_M[[#This Row],[BVPS]]),IF(Main_M[[#This Row],[BVPS]]&lt;&gt;0,Main_M[[#This Row],[Current Price]]/Main_M[[#This Row],[BVPS]],""),"")</f>
        <v>3.2800829875518671</v>
      </c>
      <c r="J103">
        <v>24.74</v>
      </c>
      <c r="K103">
        <v>15.76</v>
      </c>
      <c r="L103">
        <v>1.21</v>
      </c>
      <c r="M103" s="1">
        <f>IF(ISNUMBER(Main_M[[#This Row],[EPS]]),IF(Main_M[[#This Row],[EPS]]&lt;&gt;0,Main_M[[#This Row],[Current Price]]/Main_M[[#This Row],[EPS]],""),"")</f>
        <v>14.398907103825136</v>
      </c>
      <c r="N10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YES</v>
      </c>
      <c r="O103" s="1">
        <f>(Main_M[[#This Row],[P/FCF]]-VLOOKUP(Main_M[[#This Row],[Industry]], Mean_PFCF_M, 2, FALSE))/(VLOOKUP(Main_M[[#This Row],[Industry]], Mean_PFCF_M, 3, FALSE))</f>
        <v>-0.73091360992248022</v>
      </c>
      <c r="P103" s="1">
        <f>(Main_M[[#This Row],[P/B]]-VLOOKUP(Main_M[[#This Row],[Industry]], Mean_PB_M, 2, FALSE))/(VLOOKUP(Main_M[[#This Row],[Industry]], Mean_PB_M, 3, FALSE))</f>
        <v>-0.10927963727383087</v>
      </c>
      <c r="Q103" s="1">
        <f>(Main_M[[#This Row],[ROE]]-VLOOKUP(Main_M[[#This Row],[Industry]], Mean_ROE_M, 2, FALSE))/(VLOOKUP(Main_M[[#This Row],[Industry]], Mean_ROE_M, 3, FALSE))</f>
        <v>0.42383441436262487</v>
      </c>
      <c r="R103" s="1">
        <f>(Main_M[[#This Row],[ROA]]-VLOOKUP(Main_M[[#This Row],[Industry]], Mean_ROA_M, 2, FALSE))/(VLOOKUP(Main_M[[#This Row],[Industry]], Mean_ROA_M, 3, FALSE))</f>
        <v>2.5891941080738414</v>
      </c>
      <c r="S103" s="1">
        <f>(Main_M[[#This Row],[A/E]]-VLOOKUP(Main_M[[#This Row],[Industry]], Mean_AE_M, 2, FALSE))/(VLOOKUP(Main_M[[#This Row],[Industry]], Mean_AE_M, 3, FALSE))</f>
        <v>-1.5653906469479266</v>
      </c>
      <c r="T103" s="1">
        <f>(Main_M[[#This Row],[P/E]]-VLOOKUP(Main_M[[#This Row],[Industry]], Mean_PE_M, 2, FALSE))/(VLOOKUP(Main_M[[#This Row],[Industry]], Mean_PE_M, 3, FALSE))</f>
        <v>-1.1597503770729369</v>
      </c>
      <c r="U10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0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0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0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0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0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04" spans="1:26" x14ac:dyDescent="0.25">
      <c r="A104" t="s">
        <v>157</v>
      </c>
      <c r="B104" t="s">
        <v>330</v>
      </c>
      <c r="C104" s="2">
        <v>3703</v>
      </c>
      <c r="D104">
        <f>RTD("tos.rtd", , "LAST", Main_M[[#This Row],[Symbol]])</f>
        <v>25.95</v>
      </c>
      <c r="E104">
        <v>1.23</v>
      </c>
      <c r="F104">
        <v>5.58</v>
      </c>
      <c r="G104">
        <v>0.92</v>
      </c>
      <c r="H104" s="1">
        <f>IF(ISNUMBER(Main_M[[#This Row],[Free CF]]),IF(Main_M[[#This Row],[Free CF]]&lt;&gt;0,Main_M[[#This Row],[Current Price]]/Main_M[[#This Row],[Free CF]],""),"")</f>
        <v>21.097560975609756</v>
      </c>
      <c r="I104" s="1">
        <f>IF(ISNUMBER(Main_M[[#This Row],[BVPS]]),IF(Main_M[[#This Row],[BVPS]]&lt;&gt;0,Main_M[[#This Row],[Current Price]]/Main_M[[#This Row],[BVPS]],""),"")</f>
        <v>4.650537634408602</v>
      </c>
      <c r="J104">
        <v>17.68</v>
      </c>
      <c r="K104">
        <v>9.24</v>
      </c>
      <c r="L104">
        <v>1.91</v>
      </c>
      <c r="M104" s="1">
        <f>IF(ISNUMBER(Main_M[[#This Row],[EPS]]),IF(Main_M[[#This Row],[EPS]]&lt;&gt;0,Main_M[[#This Row],[Current Price]]/Main_M[[#This Row],[EPS]],""),"")</f>
        <v>28.206521739130434</v>
      </c>
      <c r="N10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04" s="1">
        <f>(Main_M[[#This Row],[P/FCF]]-VLOOKUP(Main_M[[#This Row],[Industry]], Mean_PFCF_M, 2, FALSE))/(VLOOKUP(Main_M[[#This Row],[Industry]], Mean_PFCF_M, 3, FALSE))</f>
        <v>-0.27455423412637442</v>
      </c>
      <c r="P104" s="1">
        <f>(Main_M[[#This Row],[P/B]]-VLOOKUP(Main_M[[#This Row],[Industry]], Mean_PB_M, 2, FALSE))/(VLOOKUP(Main_M[[#This Row],[Industry]], Mean_PB_M, 3, FALSE))</f>
        <v>0.82442995900722182</v>
      </c>
      <c r="Q104" s="1">
        <f>(Main_M[[#This Row],[ROE]]-VLOOKUP(Main_M[[#This Row],[Industry]], Mean_ROE_M, 2, FALSE))/(VLOOKUP(Main_M[[#This Row],[Industry]], Mean_ROE_M, 3, FALSE))</f>
        <v>4.2418837040292541E-2</v>
      </c>
      <c r="R104" s="1">
        <f>(Main_M[[#This Row],[ROA]]-VLOOKUP(Main_M[[#This Row],[Industry]], Mean_ROA_M, 2, FALSE))/(VLOOKUP(Main_M[[#This Row],[Industry]], Mean_ROA_M, 3, FALSE))</f>
        <v>0.67793704210093642</v>
      </c>
      <c r="S104" s="1">
        <f>(Main_M[[#This Row],[A/E]]-VLOOKUP(Main_M[[#This Row],[Industry]], Mean_AE_M, 2, FALSE))/(VLOOKUP(Main_M[[#This Row],[Industry]], Mean_AE_M, 3, FALSE))</f>
        <v>-0.33861508996354572</v>
      </c>
      <c r="T104" s="1">
        <f>(Main_M[[#This Row],[P/E]]-VLOOKUP(Main_M[[#This Row],[Industry]], Mean_PE_M, 2, FALSE))/(VLOOKUP(Main_M[[#This Row],[Industry]], Mean_PE_M, 3, FALSE))</f>
        <v>6.0586546607440686E-2</v>
      </c>
      <c r="U10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0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0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0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0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0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05" spans="1:26" x14ac:dyDescent="0.25">
      <c r="A105" t="s">
        <v>157</v>
      </c>
      <c r="B105" t="s">
        <v>331</v>
      </c>
      <c r="C105" s="2">
        <v>3640</v>
      </c>
      <c r="D105">
        <f>RTD("tos.rtd", , "LAST", Main_M[[#This Row],[Symbol]])</f>
        <v>186.5</v>
      </c>
      <c r="E105">
        <v>6.19</v>
      </c>
      <c r="F105">
        <v>68</v>
      </c>
      <c r="G105">
        <v>3.45</v>
      </c>
      <c r="H105" s="1">
        <f>IF(ISNUMBER(Main_M[[#This Row],[Free CF]]),IF(Main_M[[#This Row],[Free CF]]&lt;&gt;0,Main_M[[#This Row],[Current Price]]/Main_M[[#This Row],[Free CF]],""),"")</f>
        <v>30.129240710823908</v>
      </c>
      <c r="I105" s="1">
        <f>IF(ISNUMBER(Main_M[[#This Row],[BVPS]]),IF(Main_M[[#This Row],[BVPS]]&lt;&gt;0,Main_M[[#This Row],[Current Price]]/Main_M[[#This Row],[BVPS]],""),"")</f>
        <v>2.7426470588235294</v>
      </c>
      <c r="J105">
        <v>5.0999999999999996</v>
      </c>
      <c r="K105">
        <v>3.82</v>
      </c>
      <c r="L105">
        <v>1.74</v>
      </c>
      <c r="M105" s="1">
        <f>IF(ISNUMBER(Main_M[[#This Row],[EPS]]),IF(Main_M[[#This Row],[EPS]]&lt;&gt;0,Main_M[[#This Row],[Current Price]]/Main_M[[#This Row],[EPS]],""),"")</f>
        <v>54.05797101449275</v>
      </c>
      <c r="N10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05" s="1">
        <f>(Main_M[[#This Row],[P/FCF]]-VLOOKUP(Main_M[[#This Row],[Industry]], Mean_PFCF_M, 2, FALSE))/(VLOOKUP(Main_M[[#This Row],[Industry]], Mean_PFCF_M, 3, FALSE))</f>
        <v>0.8437486562508365</v>
      </c>
      <c r="P105" s="1">
        <f>(Main_M[[#This Row],[P/B]]-VLOOKUP(Main_M[[#This Row],[Industry]], Mean_PB_M, 2, FALSE))/(VLOOKUP(Main_M[[#This Row],[Industry]], Mean_PB_M, 3, FALSE))</f>
        <v>-0.47544212589818236</v>
      </c>
      <c r="Q105" s="1">
        <f>(Main_M[[#This Row],[ROE]]-VLOOKUP(Main_M[[#This Row],[Industry]], Mean_ROE_M, 2, FALSE))/(VLOOKUP(Main_M[[#This Row],[Industry]], Mean_ROE_M, 3, FALSE))</f>
        <v>-0.63721401886833939</v>
      </c>
      <c r="R105" s="1">
        <f>(Main_M[[#This Row],[ROA]]-VLOOKUP(Main_M[[#This Row],[Industry]], Mean_ROA_M, 2, FALSE))/(VLOOKUP(Main_M[[#This Row],[Industry]], Mean_ROA_M, 3, FALSE))</f>
        <v>-0.9108686783857427</v>
      </c>
      <c r="S105" s="1">
        <f>(Main_M[[#This Row],[A/E]]-VLOOKUP(Main_M[[#This Row],[Industry]], Mean_AE_M, 2, FALSE))/(VLOOKUP(Main_M[[#This Row],[Industry]], Mean_AE_M, 3, FALSE))</f>
        <v>-0.63654629665975238</v>
      </c>
      <c r="T105" s="1">
        <f>(Main_M[[#This Row],[P/E]]-VLOOKUP(Main_M[[#This Row],[Industry]], Mean_PE_M, 2, FALSE))/(VLOOKUP(Main_M[[#This Row],[Industry]], Mean_PE_M, 3, FALSE))</f>
        <v>2.3453749705767657</v>
      </c>
      <c r="U10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0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0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0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0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0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06" spans="1:26" x14ac:dyDescent="0.25">
      <c r="A106" t="s">
        <v>157</v>
      </c>
      <c r="B106" t="s">
        <v>332</v>
      </c>
      <c r="C106" s="2">
        <v>7031</v>
      </c>
      <c r="D106">
        <f>RTD("tos.rtd", , "LAST", Main_M[[#This Row],[Symbol]])</f>
        <v>157.06</v>
      </c>
      <c r="E106">
        <v>4.9800000000000004</v>
      </c>
      <c r="F106">
        <v>30.91</v>
      </c>
      <c r="G106">
        <v>4.34</v>
      </c>
      <c r="H106" s="1">
        <f>IF(ISNUMBER(Main_M[[#This Row],[Free CF]]),IF(Main_M[[#This Row],[Free CF]]&lt;&gt;0,Main_M[[#This Row],[Current Price]]/Main_M[[#This Row],[Free CF]],""),"")</f>
        <v>31.538152610441763</v>
      </c>
      <c r="I106" s="1">
        <f>IF(ISNUMBER(Main_M[[#This Row],[BVPS]]),IF(Main_M[[#This Row],[BVPS]]&lt;&gt;0,Main_M[[#This Row],[Current Price]]/Main_M[[#This Row],[BVPS]],""),"")</f>
        <v>5.0812034940148818</v>
      </c>
      <c r="J106">
        <v>15.24</v>
      </c>
      <c r="K106">
        <v>6.83</v>
      </c>
      <c r="L106">
        <v>2.17</v>
      </c>
      <c r="M106" s="1">
        <f>IF(ISNUMBER(Main_M[[#This Row],[EPS]]),IF(Main_M[[#This Row],[EPS]]&lt;&gt;0,Main_M[[#This Row],[Current Price]]/Main_M[[#This Row],[EPS]],""),"")</f>
        <v>36.1889400921659</v>
      </c>
      <c r="N10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06" s="1">
        <f>(Main_M[[#This Row],[P/FCF]]-VLOOKUP(Main_M[[#This Row],[Industry]], Mean_PFCF_M, 2, FALSE))/(VLOOKUP(Main_M[[#This Row],[Industry]], Mean_PFCF_M, 3, FALSE))</f>
        <v>1.018200175328327</v>
      </c>
      <c r="P106" s="1">
        <f>(Main_M[[#This Row],[P/B]]-VLOOKUP(Main_M[[#This Row],[Industry]], Mean_PB_M, 2, FALSE))/(VLOOKUP(Main_M[[#This Row],[Industry]], Mean_PB_M, 3, FALSE))</f>
        <v>1.1178485313235726</v>
      </c>
      <c r="Q106" s="1">
        <f>(Main_M[[#This Row],[ROE]]-VLOOKUP(Main_M[[#This Row],[Industry]], Mean_ROE_M, 2, FALSE))/(VLOOKUP(Main_M[[#This Row],[Industry]], Mean_ROE_M, 3, FALSE))</f>
        <v>-8.9401844073941292E-2</v>
      </c>
      <c r="R106" s="1">
        <f>(Main_M[[#This Row],[ROA]]-VLOOKUP(Main_M[[#This Row],[Industry]], Mean_ROA_M, 2, FALSE))/(VLOOKUP(Main_M[[#This Row],[Industry]], Mean_ROA_M, 3, FALSE))</f>
        <v>-2.8524542100705035E-2</v>
      </c>
      <c r="S106" s="1">
        <f>(Main_M[[#This Row],[A/E]]-VLOOKUP(Main_M[[#This Row],[Industry]], Mean_AE_M, 2, FALSE))/(VLOOKUP(Main_M[[#This Row],[Industry]], Mean_AE_M, 3, FALSE))</f>
        <v>0.11704440263065297</v>
      </c>
      <c r="T106" s="1">
        <f>(Main_M[[#This Row],[P/E]]-VLOOKUP(Main_M[[#This Row],[Industry]], Mean_PE_M, 2, FALSE))/(VLOOKUP(Main_M[[#This Row],[Industry]], Mean_PE_M, 3, FALSE))</f>
        <v>0.76608420958286028</v>
      </c>
      <c r="U10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0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0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0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0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0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07" spans="1:26" x14ac:dyDescent="0.25">
      <c r="A107" t="s">
        <v>157</v>
      </c>
      <c r="B107" t="s">
        <v>179</v>
      </c>
      <c r="C107" s="2">
        <v>9117</v>
      </c>
      <c r="D107">
        <f>RTD("tos.rtd", , "LAST", Main_M[[#This Row],[Symbol]])</f>
        <v>73.819999999999993</v>
      </c>
      <c r="E107">
        <v>5.07</v>
      </c>
      <c r="F107">
        <v>57.16</v>
      </c>
      <c r="G107">
        <v>2.36</v>
      </c>
      <c r="H107" s="1">
        <f>IF(ISNUMBER(Main_M[[#This Row],[Free CF]]),IF(Main_M[[#This Row],[Free CF]]&lt;&gt;0,Main_M[[#This Row],[Current Price]]/Main_M[[#This Row],[Free CF]],""),"")</f>
        <v>14.56015779092702</v>
      </c>
      <c r="I107" s="1">
        <f>IF(ISNUMBER(Main_M[[#This Row],[BVPS]]),IF(Main_M[[#This Row],[BVPS]]&lt;&gt;0,Main_M[[#This Row],[Current Price]]/Main_M[[#This Row],[BVPS]],""),"")</f>
        <v>1.2914625612316304</v>
      </c>
      <c r="J107">
        <v>4.03</v>
      </c>
      <c r="K107">
        <v>2.8</v>
      </c>
      <c r="L107">
        <v>2.54</v>
      </c>
      <c r="M107" s="1">
        <f>IF(ISNUMBER(Main_M[[#This Row],[EPS]]),IF(Main_M[[#This Row],[EPS]]&lt;&gt;0,Main_M[[#This Row],[Current Price]]/Main_M[[#This Row],[EPS]],""),"")</f>
        <v>31.279661016949152</v>
      </c>
      <c r="N10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07" s="1">
        <f>(Main_M[[#This Row],[P/FCF]]-VLOOKUP(Main_M[[#This Row],[Industry]], Mean_PFCF_M, 2, FALSE))/(VLOOKUP(Main_M[[#This Row],[Industry]], Mean_PFCF_M, 3, FALSE))</f>
        <v>-1.084015717629536</v>
      </c>
      <c r="P107" s="1">
        <f>(Main_M[[#This Row],[P/B]]-VLOOKUP(Main_M[[#This Row],[Industry]], Mean_PB_M, 2, FALSE))/(VLOOKUP(Main_M[[#This Row],[Industry]], Mean_PB_M, 3, FALSE))</f>
        <v>-1.4641540796163433</v>
      </c>
      <c r="Q107" s="1">
        <f>(Main_M[[#This Row],[ROE]]-VLOOKUP(Main_M[[#This Row],[Industry]], Mean_ROE_M, 2, FALSE))/(VLOOKUP(Main_M[[#This Row],[Industry]], Mean_ROE_M, 3, FALSE))</f>
        <v>-0.69502062902908945</v>
      </c>
      <c r="R107" s="1">
        <f>(Main_M[[#This Row],[ROA]]-VLOOKUP(Main_M[[#This Row],[Industry]], Mean_ROA_M, 2, FALSE))/(VLOOKUP(Main_M[[#This Row],[Industry]], Mean_ROA_M, 3, FALSE))</f>
        <v>-1.2098690169275161</v>
      </c>
      <c r="S107" s="1">
        <f>(Main_M[[#This Row],[A/E]]-VLOOKUP(Main_M[[#This Row],[Industry]], Mean_AE_M, 2, FALSE))/(VLOOKUP(Main_M[[#This Row],[Industry]], Mean_AE_M, 3, FALSE))</f>
        <v>0.76548291132239743</v>
      </c>
      <c r="T107" s="1">
        <f>(Main_M[[#This Row],[P/E]]-VLOOKUP(Main_M[[#This Row],[Industry]], Mean_PE_M, 2, FALSE))/(VLOOKUP(Main_M[[#This Row],[Industry]], Mean_PE_M, 3, FALSE))</f>
        <v>0.33219503448813614</v>
      </c>
      <c r="U10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0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0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0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0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0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08" spans="1:26" x14ac:dyDescent="0.25">
      <c r="A108" t="s">
        <v>157</v>
      </c>
      <c r="B108" t="s">
        <v>560</v>
      </c>
      <c r="C108" s="2">
        <v>2419</v>
      </c>
      <c r="D108">
        <f>RTD("tos.rtd", , "LAST", Main_M[[#This Row],[Symbol]])</f>
        <v>26.7</v>
      </c>
      <c r="E108">
        <v>1.27</v>
      </c>
      <c r="F108">
        <v>1.85</v>
      </c>
      <c r="G108">
        <v>-0.14000000000000001</v>
      </c>
      <c r="H108" s="1">
        <f>IF(ISNUMBER(Main_M[[#This Row],[Free CF]]),IF(Main_M[[#This Row],[Free CF]]&lt;&gt;0,Main_M[[#This Row],[Current Price]]/Main_M[[#This Row],[Free CF]],""),"")</f>
        <v>21.023622047244093</v>
      </c>
      <c r="I108" s="1">
        <f>IF(ISNUMBER(Main_M[[#This Row],[BVPS]]),IF(Main_M[[#This Row],[BVPS]]&lt;&gt;0,Main_M[[#This Row],[Current Price]]/Main_M[[#This Row],[BVPS]],""),"")</f>
        <v>14.432432432432432</v>
      </c>
      <c r="J108">
        <v>-30.06</v>
      </c>
      <c r="K108">
        <v>-3.42</v>
      </c>
      <c r="L108">
        <v>8.73</v>
      </c>
      <c r="M108" s="1">
        <f>IF(ISNUMBER(Main_M[[#This Row],[EPS]]),IF(Main_M[[#This Row],[EPS]]&lt;&gt;0,Main_M[[#This Row],[Current Price]]/Main_M[[#This Row],[EPS]],""),"")</f>
        <v>-190.71428571428569</v>
      </c>
      <c r="N10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08" s="1">
        <f>(Main_M[[#This Row],[P/FCF]]-VLOOKUP(Main_M[[#This Row],[Industry]], Mean_PFCF_M, 2, FALSE))/(VLOOKUP(Main_M[[#This Row],[Industry]], Mean_PFCF_M, 3, FALSE))</f>
        <v>-0.28370935473813896</v>
      </c>
      <c r="P108" s="1">
        <f>(Main_M[[#This Row],[P/B]]-VLOOKUP(Main_M[[#This Row],[Industry]], Mean_PB_M, 2, FALSE))/(VLOOKUP(Main_M[[#This Row],[Industry]], Mean_PB_M, 3, FALSE))</f>
        <v>7.4889693975614078</v>
      </c>
      <c r="Q108" s="1">
        <f>(Main_M[[#This Row],[ROE]]-VLOOKUP(Main_M[[#This Row],[Industry]], Mean_ROE_M, 2, FALSE))/(VLOOKUP(Main_M[[#This Row],[Industry]], Mean_ROE_M, 3, FALSE))</f>
        <v>-2.5367284237767258</v>
      </c>
      <c r="R108" s="1">
        <f>(Main_M[[#This Row],[ROA]]-VLOOKUP(Main_M[[#This Row],[Industry]], Mean_ROA_M, 2, FALSE))/(VLOOKUP(Main_M[[#This Row],[Industry]], Mean_ROA_M, 3, FALSE))</f>
        <v>-3.0331848068587237</v>
      </c>
      <c r="S108" s="1">
        <f>(Main_M[[#This Row],[A/E]]-VLOOKUP(Main_M[[#This Row],[Industry]], Mean_AE_M, 2, FALSE))/(VLOOKUP(Main_M[[#This Row],[Industry]], Mean_AE_M, 3, FALSE))</f>
        <v>11.613683908084282</v>
      </c>
      <c r="T108" s="1">
        <f>(Main_M[[#This Row],[P/E]]-VLOOKUP(Main_M[[#This Row],[Industry]], Mean_PE_M, 2, FALSE))/(VLOOKUP(Main_M[[#This Row],[Industry]], Mean_PE_M, 3, FALSE))</f>
        <v>-19.287950601454344</v>
      </c>
      <c r="U10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0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10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Yes</v>
      </c>
      <c r="X10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10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10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109" spans="1:26" x14ac:dyDescent="0.25">
      <c r="A109" t="s">
        <v>157</v>
      </c>
      <c r="B109" t="s">
        <v>334</v>
      </c>
      <c r="C109" s="2">
        <v>4625</v>
      </c>
      <c r="D109">
        <f>RTD("tos.rtd", , "LAST", Main_M[[#This Row],[Symbol]])</f>
        <v>73.3</v>
      </c>
      <c r="E109">
        <v>4.62</v>
      </c>
      <c r="F109">
        <v>41.7</v>
      </c>
      <c r="G109">
        <v>4.6399999999999997</v>
      </c>
      <c r="H109" s="1">
        <f>IF(ISNUMBER(Main_M[[#This Row],[Free CF]]),IF(Main_M[[#This Row],[Free CF]]&lt;&gt;0,Main_M[[#This Row],[Current Price]]/Main_M[[#This Row],[Free CF]],""),"")</f>
        <v>15.865800865800864</v>
      </c>
      <c r="I109" s="1">
        <f>IF(ISNUMBER(Main_M[[#This Row],[BVPS]]),IF(Main_M[[#This Row],[BVPS]]&lt;&gt;0,Main_M[[#This Row],[Current Price]]/Main_M[[#This Row],[BVPS]],""),"")</f>
        <v>1.7577937649880093</v>
      </c>
      <c r="J109">
        <v>12.23</v>
      </c>
      <c r="K109">
        <v>5.52</v>
      </c>
      <c r="L109">
        <v>2.25</v>
      </c>
      <c r="M109" s="1">
        <f>IF(ISNUMBER(Main_M[[#This Row],[EPS]]),IF(Main_M[[#This Row],[EPS]]&lt;&gt;0,Main_M[[#This Row],[Current Price]]/Main_M[[#This Row],[EPS]],""),"")</f>
        <v>15.797413793103448</v>
      </c>
      <c r="N10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09" s="1">
        <f>(Main_M[[#This Row],[P/FCF]]-VLOOKUP(Main_M[[#This Row],[Industry]], Mean_PFCF_M, 2, FALSE))/(VLOOKUP(Main_M[[#This Row],[Industry]], Mean_PFCF_M, 3, FALSE))</f>
        <v>-0.92235094792567662</v>
      </c>
      <c r="P109" s="1">
        <f>(Main_M[[#This Row],[P/B]]-VLOOKUP(Main_M[[#This Row],[Industry]], Mean_PB_M, 2, FALSE))/(VLOOKUP(Main_M[[#This Row],[Industry]], Mean_PB_M, 3, FALSE))</f>
        <v>-1.1464362178897274</v>
      </c>
      <c r="Q109" s="1">
        <f>(Main_M[[#This Row],[ROE]]-VLOOKUP(Main_M[[#This Row],[Industry]], Mean_ROE_M, 2, FALSE))/(VLOOKUP(Main_M[[#This Row],[Industry]], Mean_ROE_M, 3, FALSE))</f>
        <v>-0.2520167006943691</v>
      </c>
      <c r="R109" s="1">
        <f>(Main_M[[#This Row],[ROA]]-VLOOKUP(Main_M[[#This Row],[Industry]], Mean_ROA_M, 2, FALSE))/(VLOOKUP(Main_M[[#This Row],[Industry]], Mean_ROA_M, 3, FALSE))</f>
        <v>-0.41253478081612022</v>
      </c>
      <c r="S109" s="1">
        <f>(Main_M[[#This Row],[A/E]]-VLOOKUP(Main_M[[#This Row],[Industry]], Mean_AE_M, 2, FALSE))/(VLOOKUP(Main_M[[#This Row],[Industry]], Mean_AE_M, 3, FALSE))</f>
        <v>0.25724732342886808</v>
      </c>
      <c r="T109" s="1">
        <f>(Main_M[[#This Row],[P/E]]-VLOOKUP(Main_M[[#This Row],[Industry]], Mean_PE_M, 2, FALSE))/(VLOOKUP(Main_M[[#This Row],[Industry]], Mean_PE_M, 3, FALSE))</f>
        <v>-1.0361483360240422</v>
      </c>
      <c r="U10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0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0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0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0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0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10" spans="1:26" x14ac:dyDescent="0.25">
      <c r="A110" t="s">
        <v>157</v>
      </c>
      <c r="B110" t="s">
        <v>561</v>
      </c>
      <c r="C110" s="2">
        <v>2829</v>
      </c>
      <c r="D110">
        <f>RTD("tos.rtd", , "LAST", Main_M[[#This Row],[Symbol]])</f>
        <v>61.3</v>
      </c>
      <c r="E110">
        <v>2.91</v>
      </c>
      <c r="F110">
        <v>18.78</v>
      </c>
      <c r="G110">
        <v>1.21</v>
      </c>
      <c r="H110" s="1">
        <f>IF(ISNUMBER(Main_M[[#This Row],[Free CF]]),IF(Main_M[[#This Row],[Free CF]]&lt;&gt;0,Main_M[[#This Row],[Current Price]]/Main_M[[#This Row],[Free CF]],""),"")</f>
        <v>21.065292096219931</v>
      </c>
      <c r="I110" s="1">
        <f>IF(ISNUMBER(Main_M[[#This Row],[BVPS]]),IF(Main_M[[#This Row],[BVPS]]&lt;&gt;0,Main_M[[#This Row],[Current Price]]/Main_M[[#This Row],[BVPS]],""),"")</f>
        <v>3.2641107561235354</v>
      </c>
      <c r="J110">
        <v>6.43</v>
      </c>
      <c r="K110">
        <v>1.28</v>
      </c>
      <c r="L110">
        <v>1.79</v>
      </c>
      <c r="M110" s="1">
        <f>IF(ISNUMBER(Main_M[[#This Row],[EPS]]),IF(Main_M[[#This Row],[EPS]]&lt;&gt;0,Main_M[[#This Row],[Current Price]]/Main_M[[#This Row],[EPS]],""),"")</f>
        <v>50.66115702479339</v>
      </c>
      <c r="N11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10" s="1">
        <f>(Main_M[[#This Row],[P/FCF]]-VLOOKUP(Main_M[[#This Row],[Industry]], Mean_PFCF_M, 2, FALSE))/(VLOOKUP(Main_M[[#This Row],[Industry]], Mean_PFCF_M, 3, FALSE))</f>
        <v>-0.27854976786415475</v>
      </c>
      <c r="P110" s="1">
        <f>(Main_M[[#This Row],[P/B]]-VLOOKUP(Main_M[[#This Row],[Industry]], Mean_PB_M, 2, FALSE))/(VLOOKUP(Main_M[[#This Row],[Industry]], Mean_PB_M, 3, FALSE))</f>
        <v>-0.12016173818308785</v>
      </c>
      <c r="Q110" s="1">
        <f>(Main_M[[#This Row],[ROE]]-VLOOKUP(Main_M[[#This Row],[Industry]], Mean_ROE_M, 2, FALSE))/(VLOOKUP(Main_M[[#This Row],[Industry]], Mean_ROE_M, 3, FALSE))</f>
        <v>-0.56536094268722015</v>
      </c>
      <c r="R110" s="1">
        <f>(Main_M[[#This Row],[ROA]]-VLOOKUP(Main_M[[#This Row],[Industry]], Mean_ROA_M, 2, FALSE))/(VLOOKUP(Main_M[[#This Row],[Industry]], Mean_ROA_M, 3, FALSE))</f>
        <v>-1.6554381488721197</v>
      </c>
      <c r="S110" s="1">
        <f>(Main_M[[#This Row],[A/E]]-VLOOKUP(Main_M[[#This Row],[Industry]], Mean_AE_M, 2, FALSE))/(VLOOKUP(Main_M[[#This Row],[Industry]], Mean_AE_M, 3, FALSE))</f>
        <v>-0.54891947116086803</v>
      </c>
      <c r="T110" s="1">
        <f>(Main_M[[#This Row],[P/E]]-VLOOKUP(Main_M[[#This Row],[Industry]], Mean_PE_M, 2, FALSE))/(VLOOKUP(Main_M[[#This Row],[Industry]], Mean_PE_M, 3, FALSE))</f>
        <v>2.0451596441796198</v>
      </c>
      <c r="U11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1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1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1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1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1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11" spans="1:26" x14ac:dyDescent="0.25">
      <c r="A111" t="s">
        <v>157</v>
      </c>
      <c r="B111" t="s">
        <v>335</v>
      </c>
      <c r="C111" s="2">
        <v>7056</v>
      </c>
      <c r="D111">
        <f>RTD("tos.rtd", , "LAST", Main_M[[#This Row],[Symbol]])</f>
        <v>243.38</v>
      </c>
      <c r="E111">
        <v>9.73</v>
      </c>
      <c r="F111">
        <v>51.26</v>
      </c>
      <c r="G111">
        <v>8.69</v>
      </c>
      <c r="H111" s="1">
        <f>IF(ISNUMBER(Main_M[[#This Row],[Free CF]]),IF(Main_M[[#This Row],[Free CF]]&lt;&gt;0,Main_M[[#This Row],[Current Price]]/Main_M[[#This Row],[Free CF]],""),"")</f>
        <v>25.013360739979444</v>
      </c>
      <c r="I111" s="1">
        <f>IF(ISNUMBER(Main_M[[#This Row],[BVPS]]),IF(Main_M[[#This Row],[BVPS]]&lt;&gt;0,Main_M[[#This Row],[Current Price]]/Main_M[[#This Row],[BVPS]],""),"")</f>
        <v>4.7479516191962547</v>
      </c>
      <c r="J111">
        <v>18.079999999999998</v>
      </c>
      <c r="K111">
        <v>10.56</v>
      </c>
      <c r="L111">
        <v>1.4</v>
      </c>
      <c r="M111" s="1">
        <f>IF(ISNUMBER(Main_M[[#This Row],[EPS]]),IF(Main_M[[#This Row],[EPS]]&lt;&gt;0,Main_M[[#This Row],[Current Price]]/Main_M[[#This Row],[EPS]],""),"")</f>
        <v>28.006904487917147</v>
      </c>
      <c r="N11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11" s="1">
        <f>(Main_M[[#This Row],[P/FCF]]-VLOOKUP(Main_M[[#This Row],[Industry]], Mean_PFCF_M, 2, FALSE))/(VLOOKUP(Main_M[[#This Row],[Industry]], Mean_PFCF_M, 3, FALSE))</f>
        <v>0.21030022517860786</v>
      </c>
      <c r="P111" s="1">
        <f>(Main_M[[#This Row],[P/B]]-VLOOKUP(Main_M[[#This Row],[Industry]], Mean_PB_M, 2, FALSE))/(VLOOKUP(Main_M[[#This Row],[Industry]], Mean_PB_M, 3, FALSE))</f>
        <v>0.89079944640093078</v>
      </c>
      <c r="Q111" s="1">
        <f>(Main_M[[#This Row],[ROE]]-VLOOKUP(Main_M[[#This Row],[Industry]], Mean_ROE_M, 2, FALSE))/(VLOOKUP(Main_M[[#This Row],[Industry]], Mean_ROE_M, 3, FALSE))</f>
        <v>6.4028784763937363E-2</v>
      </c>
      <c r="R111" s="1">
        <f>(Main_M[[#This Row],[ROA]]-VLOOKUP(Main_M[[#This Row],[Industry]], Mean_ROA_M, 2, FALSE))/(VLOOKUP(Main_M[[#This Row],[Industry]], Mean_ROA_M, 3, FALSE))</f>
        <v>1.0648786566844082</v>
      </c>
      <c r="S111" s="1">
        <f>(Main_M[[#This Row],[A/E]]-VLOOKUP(Main_M[[#This Row],[Industry]], Mean_AE_M, 2, FALSE))/(VLOOKUP(Main_M[[#This Row],[Industry]], Mean_AE_M, 3, FALSE))</f>
        <v>-1.2324087100521661</v>
      </c>
      <c r="T111" s="1">
        <f>(Main_M[[#This Row],[P/E]]-VLOOKUP(Main_M[[#This Row],[Industry]], Mean_PE_M, 2, FALSE))/(VLOOKUP(Main_M[[#This Row],[Industry]], Mean_PE_M, 3, FALSE))</f>
        <v>4.2944085639832062E-2</v>
      </c>
      <c r="U11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1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1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1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1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1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12" spans="1:26" x14ac:dyDescent="0.25">
      <c r="A112" t="s">
        <v>249</v>
      </c>
      <c r="B112" t="s">
        <v>393</v>
      </c>
      <c r="C112" s="2">
        <v>5815</v>
      </c>
      <c r="D112">
        <f>RTD("tos.rtd", , "LAST", Main_M[[#This Row],[Symbol]])</f>
        <v>108.53</v>
      </c>
      <c r="E112">
        <v>7.14</v>
      </c>
      <c r="F112">
        <v>58.54</v>
      </c>
      <c r="G112">
        <v>5.05</v>
      </c>
      <c r="H112" s="1">
        <f>IF(ISNUMBER(Main_M[[#This Row],[Free CF]]),IF(Main_M[[#This Row],[Free CF]]&lt;&gt;0,Main_M[[#This Row],[Current Price]]/Main_M[[#This Row],[Free CF]],""),"")</f>
        <v>15.200280112044819</v>
      </c>
      <c r="I112" s="1">
        <f>IF(ISNUMBER(Main_M[[#This Row],[BVPS]]),IF(Main_M[[#This Row],[BVPS]]&lt;&gt;0,Main_M[[#This Row],[Current Price]]/Main_M[[#This Row],[BVPS]],""),"")</f>
        <v>1.8539460198155109</v>
      </c>
      <c r="J112">
        <v>8.77</v>
      </c>
      <c r="K112">
        <v>4.4000000000000004</v>
      </c>
      <c r="L112">
        <v>1.75</v>
      </c>
      <c r="M112" s="1">
        <f>IF(ISNUMBER(Main_M[[#This Row],[EPS]]),IF(Main_M[[#This Row],[EPS]]&lt;&gt;0,Main_M[[#This Row],[Current Price]]/Main_M[[#This Row],[EPS]],""),"")</f>
        <v>21.491089108910892</v>
      </c>
      <c r="N11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12" s="1">
        <f>(Main_M[[#This Row],[P/FCF]]-VLOOKUP(Main_M[[#This Row],[Industry]], Mean_PFCF_M, 2, FALSE))/(VLOOKUP(Main_M[[#This Row],[Industry]], Mean_PFCF_M, 3, FALSE))</f>
        <v>0.99999999999999989</v>
      </c>
      <c r="P112" s="1">
        <f>(Main_M[[#This Row],[P/B]]-VLOOKUP(Main_M[[#This Row],[Industry]], Mean_PB_M, 2, FALSE))/(VLOOKUP(Main_M[[#This Row],[Industry]], Mean_PB_M, 3, FALSE))</f>
        <v>0.99999999999999745</v>
      </c>
      <c r="Q112" s="1">
        <f>(Main_M[[#This Row],[ROE]]-VLOOKUP(Main_M[[#This Row],[Industry]], Mean_ROE_M, 2, FALSE))/(VLOOKUP(Main_M[[#This Row],[Industry]], Mean_ROE_M, 3, FALSE))</f>
        <v>-1.0000000000000002</v>
      </c>
      <c r="R112" s="1">
        <f>(Main_M[[#This Row],[ROA]]-VLOOKUP(Main_M[[#This Row],[Industry]], Mean_ROA_M, 2, FALSE))/(VLOOKUP(Main_M[[#This Row],[Industry]], Mean_ROA_M, 3, FALSE))</f>
        <v>-1.0000000000000007</v>
      </c>
      <c r="S112" s="1">
        <f>(Main_M[[#This Row],[A/E]]-VLOOKUP(Main_M[[#This Row],[Industry]], Mean_AE_M, 2, FALSE))/(VLOOKUP(Main_M[[#This Row],[Industry]], Mean_AE_M, 3, FALSE))</f>
        <v>1.0000000000001867</v>
      </c>
      <c r="T112" s="1">
        <f>(Main_M[[#This Row],[P/E]]-VLOOKUP(Main_M[[#This Row],[Industry]], Mean_PE_M, 2, FALSE))/(VLOOKUP(Main_M[[#This Row],[Industry]], Mean_PE_M, 3, FALSE))</f>
        <v>1.0000000000000002</v>
      </c>
      <c r="U11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1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1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1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1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1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13" spans="1:26" x14ac:dyDescent="0.25">
      <c r="A113" t="s">
        <v>249</v>
      </c>
      <c r="B113" t="s">
        <v>394</v>
      </c>
      <c r="C113" s="2">
        <v>3102</v>
      </c>
      <c r="D113">
        <f>RTD("tos.rtd", , "LAST", Main_M[[#This Row],[Symbol]])</f>
        <v>117.62</v>
      </c>
      <c r="E113">
        <v>14.28</v>
      </c>
      <c r="F113">
        <v>80.28</v>
      </c>
      <c r="G113">
        <v>15.15</v>
      </c>
      <c r="H113" s="1">
        <f>IF(ISNUMBER(Main_M[[#This Row],[Free CF]]),IF(Main_M[[#This Row],[Free CF]]&lt;&gt;0,Main_M[[#This Row],[Current Price]]/Main_M[[#This Row],[Free CF]],""),"")</f>
        <v>8.2366946778711494</v>
      </c>
      <c r="I113" s="1">
        <f>IF(ISNUMBER(Main_M[[#This Row],[BVPS]]),IF(Main_M[[#This Row],[BVPS]]&lt;&gt;0,Main_M[[#This Row],[Current Price]]/Main_M[[#This Row],[BVPS]],""),"")</f>
        <v>1.4651220727453911</v>
      </c>
      <c r="J113">
        <v>20.48</v>
      </c>
      <c r="K113">
        <v>8.57</v>
      </c>
      <c r="L113">
        <v>1.72</v>
      </c>
      <c r="M113" s="1">
        <f>IF(ISNUMBER(Main_M[[#This Row],[EPS]]),IF(Main_M[[#This Row],[EPS]]&lt;&gt;0,Main_M[[#This Row],[Current Price]]/Main_M[[#This Row],[EPS]],""),"")</f>
        <v>7.7636963696369641</v>
      </c>
      <c r="N11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YES</v>
      </c>
      <c r="O113" s="1">
        <f>(Main_M[[#This Row],[P/FCF]]-VLOOKUP(Main_M[[#This Row],[Industry]], Mean_PFCF_M, 2, FALSE))/(VLOOKUP(Main_M[[#This Row],[Industry]], Mean_PFCF_M, 3, FALSE))</f>
        <v>-0.99999999999999989</v>
      </c>
      <c r="P113" s="1">
        <f>(Main_M[[#This Row],[P/B]]-VLOOKUP(Main_M[[#This Row],[Industry]], Mean_PB_M, 2, FALSE))/(VLOOKUP(Main_M[[#This Row],[Industry]], Mean_PB_M, 3, FALSE))</f>
        <v>-0.99999999999999634</v>
      </c>
      <c r="Q113" s="1">
        <f>(Main_M[[#This Row],[ROE]]-VLOOKUP(Main_M[[#This Row],[Industry]], Mean_ROE_M, 2, FALSE))/(VLOOKUP(Main_M[[#This Row],[Industry]], Mean_ROE_M, 3, FALSE))</f>
        <v>1.0000000000000002</v>
      </c>
      <c r="R113" s="1">
        <f>(Main_M[[#This Row],[ROA]]-VLOOKUP(Main_M[[#This Row],[Industry]], Mean_ROA_M, 2, FALSE))/(VLOOKUP(Main_M[[#This Row],[Industry]], Mean_ROA_M, 3, FALSE))</f>
        <v>1.0000000000000007</v>
      </c>
      <c r="S113" s="1">
        <f>(Main_M[[#This Row],[A/E]]-VLOOKUP(Main_M[[#This Row],[Industry]], Mean_AE_M, 2, FALSE))/(VLOOKUP(Main_M[[#This Row],[Industry]], Mean_AE_M, 3, FALSE))</f>
        <v>-1.0000000000001719</v>
      </c>
      <c r="T113" s="1">
        <f>(Main_M[[#This Row],[P/E]]-VLOOKUP(Main_M[[#This Row],[Industry]], Mean_PE_M, 2, FALSE))/(VLOOKUP(Main_M[[#This Row],[Industry]], Mean_PE_M, 3, FALSE))</f>
        <v>-1.0000000000000002</v>
      </c>
      <c r="U11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1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1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1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1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1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14" spans="1:26" x14ac:dyDescent="0.25">
      <c r="A114" t="s">
        <v>229</v>
      </c>
      <c r="B114" t="s">
        <v>230</v>
      </c>
      <c r="C114" s="2">
        <v>6964</v>
      </c>
      <c r="D114">
        <f>RTD("tos.rtd", , "LAST", Main_M[[#This Row],[Symbol]])</f>
        <v>12.3</v>
      </c>
      <c r="E114">
        <v>2.4</v>
      </c>
      <c r="F114">
        <v>-6.84</v>
      </c>
      <c r="G114">
        <v>1.02</v>
      </c>
      <c r="H114" s="1">
        <f>IF(ISNUMBER(Main_M[[#This Row],[Free CF]]),IF(Main_M[[#This Row],[Free CF]]&lt;&gt;0,Main_M[[#This Row],[Current Price]]/Main_M[[#This Row],[Free CF]],""),"")</f>
        <v>5.1250000000000009</v>
      </c>
      <c r="I114" s="1">
        <f>IF(ISNUMBER(Main_M[[#This Row],[BVPS]]),IF(Main_M[[#This Row],[BVPS]]&lt;&gt;0,Main_M[[#This Row],[Current Price]]/Main_M[[#This Row],[BVPS]],""),"")</f>
        <v>-1.7982456140350878</v>
      </c>
      <c r="J114">
        <v>-13.69</v>
      </c>
      <c r="K114">
        <v>3.03</v>
      </c>
      <c r="L114">
        <v>-13.89</v>
      </c>
      <c r="M114" s="1">
        <f>IF(ISNUMBER(Main_M[[#This Row],[EPS]]),IF(Main_M[[#This Row],[EPS]]&lt;&gt;0,Main_M[[#This Row],[Current Price]]/Main_M[[#This Row],[EPS]],""),"")</f>
        <v>12.058823529411764</v>
      </c>
      <c r="N11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14" s="1">
        <f>(Main_M[[#This Row],[P/FCF]]-VLOOKUP(Main_M[[#This Row],[Industry]], Mean_PFCF_M, 2, FALSE))/(VLOOKUP(Main_M[[#This Row],[Industry]], Mean_PFCF_M, 3, FALSE))</f>
        <v>-1.4141473015819692</v>
      </c>
      <c r="P114" s="1">
        <f>(Main_M[[#This Row],[P/B]]-VLOOKUP(Main_M[[#This Row],[Industry]], Mean_PB_M, 2, FALSE))/(VLOOKUP(Main_M[[#This Row],[Industry]], Mean_PB_M, 3, FALSE))</f>
        <v>-59.380115580540945</v>
      </c>
      <c r="Q114" s="1">
        <f>(Main_M[[#This Row],[ROE]]-VLOOKUP(Main_M[[#This Row],[Industry]], Mean_ROE_M, 2, FALSE))/(VLOOKUP(Main_M[[#This Row],[Industry]], Mean_ROE_M, 3, FALSE))</f>
        <v>-0.91275999511360717</v>
      </c>
      <c r="R114" s="1">
        <f>(Main_M[[#This Row],[ROA]]-VLOOKUP(Main_M[[#This Row],[Industry]], Mean_ROA_M, 2, FALSE))/(VLOOKUP(Main_M[[#This Row],[Industry]], Mean_ROA_M, 3, FALSE))</f>
        <v>-0.85139913985081817</v>
      </c>
      <c r="S114" s="1">
        <f>(Main_M[[#This Row],[A/E]]-VLOOKUP(Main_M[[#This Row],[Industry]], Mean_AE_M, 2, FALSE))/(VLOOKUP(Main_M[[#This Row],[Industry]], Mean_AE_M, 3, FALSE))</f>
        <v>-13.351051988632756</v>
      </c>
      <c r="T114" s="1">
        <f>(Main_M[[#This Row],[P/E]]-VLOOKUP(Main_M[[#This Row],[Industry]], Mean_PE_M, 2, FALSE))/(VLOOKUP(Main_M[[#This Row],[Industry]], Mean_PE_M, 3, FALSE))</f>
        <v>-0.1186991523200777</v>
      </c>
      <c r="U11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1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11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1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1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11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15" spans="1:26" x14ac:dyDescent="0.25">
      <c r="A115" t="s">
        <v>229</v>
      </c>
      <c r="B115" t="s">
        <v>387</v>
      </c>
      <c r="C115" s="2">
        <v>6164</v>
      </c>
      <c r="D115">
        <f>RTD("tos.rtd", , "LAST", Main_M[[#This Row],[Symbol]])</f>
        <v>54.88</v>
      </c>
      <c r="E115">
        <v>1.35</v>
      </c>
      <c r="F115">
        <v>33.67</v>
      </c>
      <c r="G115">
        <v>2.83</v>
      </c>
      <c r="H115" s="1">
        <f>IF(ISNUMBER(Main_M[[#This Row],[Free CF]]),IF(Main_M[[#This Row],[Free CF]]&lt;&gt;0,Main_M[[#This Row],[Current Price]]/Main_M[[#This Row],[Free CF]],""),"")</f>
        <v>40.651851851851852</v>
      </c>
      <c r="I115" s="1">
        <f>IF(ISNUMBER(Main_M[[#This Row],[BVPS]]),IF(Main_M[[#This Row],[BVPS]]&lt;&gt;0,Main_M[[#This Row],[Current Price]]/Main_M[[#This Row],[BVPS]],""),"")</f>
        <v>1.62993762993763</v>
      </c>
      <c r="J115">
        <v>8.9</v>
      </c>
      <c r="K115">
        <v>3.34</v>
      </c>
      <c r="L115">
        <v>4.79</v>
      </c>
      <c r="M115" s="1">
        <f>IF(ISNUMBER(Main_M[[#This Row],[EPS]]),IF(Main_M[[#This Row],[EPS]]&lt;&gt;0,Main_M[[#This Row],[Current Price]]/Main_M[[#This Row],[EPS]],""),"")</f>
        <v>19.392226148409893</v>
      </c>
      <c r="N11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15" s="1">
        <f>(Main_M[[#This Row],[P/FCF]]-VLOOKUP(Main_M[[#This Row],[Industry]], Mean_PFCF_M, 2, FALSE))/(VLOOKUP(Main_M[[#This Row],[Industry]], Mean_PFCF_M, 3, FALSE))</f>
        <v>8.8570378765450908</v>
      </c>
      <c r="P115" s="1">
        <f>(Main_M[[#This Row],[P/B]]-VLOOKUP(Main_M[[#This Row],[Industry]], Mean_PB_M, 2, FALSE))/(VLOOKUP(Main_M[[#This Row],[Industry]], Mean_PB_M, 3, FALSE))</f>
        <v>-1.2256445403859562</v>
      </c>
      <c r="Q115" s="1">
        <f>(Main_M[[#This Row],[ROE]]-VLOOKUP(Main_M[[#This Row],[Industry]], Mean_ROE_M, 2, FALSE))/(VLOOKUP(Main_M[[#This Row],[Industry]], Mean_ROE_M, 3, FALSE))</f>
        <v>-0.49543388821560719</v>
      </c>
      <c r="R115" s="1">
        <f>(Main_M[[#This Row],[ROA]]-VLOOKUP(Main_M[[#This Row],[Industry]], Mean_ROA_M, 2, FALSE))/(VLOOKUP(Main_M[[#This Row],[Industry]], Mean_ROA_M, 3, FALSE))</f>
        <v>-0.71156669833889574</v>
      </c>
      <c r="S115" s="1">
        <f>(Main_M[[#This Row],[A/E]]-VLOOKUP(Main_M[[#This Row],[Industry]], Mean_AE_M, 2, FALSE))/(VLOOKUP(Main_M[[#This Row],[Industry]], Mean_AE_M, 3, FALSE))</f>
        <v>1.5450299075989826</v>
      </c>
      <c r="T115" s="1">
        <f>(Main_M[[#This Row],[P/E]]-VLOOKUP(Main_M[[#This Row],[Industry]], Mean_PE_M, 2, FALSE))/(VLOOKUP(Main_M[[#This Row],[Industry]], Mean_PE_M, 3, FALSE))</f>
        <v>1.5391794318271295</v>
      </c>
      <c r="U11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11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1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1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1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1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16" spans="1:26" x14ac:dyDescent="0.25">
      <c r="A116" t="s">
        <v>229</v>
      </c>
      <c r="B116" t="s">
        <v>388</v>
      </c>
      <c r="C116" s="2">
        <v>3979</v>
      </c>
      <c r="D116">
        <f>RTD("tos.rtd", , "LAST", Main_M[[#This Row],[Symbol]])</f>
        <v>101.9</v>
      </c>
      <c r="E116">
        <v>8.15</v>
      </c>
      <c r="F116">
        <v>57.43</v>
      </c>
      <c r="G116">
        <v>14.55</v>
      </c>
      <c r="H116" s="1">
        <f>IF(ISNUMBER(Main_M[[#This Row],[Free CF]]),IF(Main_M[[#This Row],[Free CF]]&lt;&gt;0,Main_M[[#This Row],[Current Price]]/Main_M[[#This Row],[Free CF]],""),"")</f>
        <v>12.503067484662576</v>
      </c>
      <c r="I116" s="1">
        <f>IF(ISNUMBER(Main_M[[#This Row],[BVPS]]),IF(Main_M[[#This Row],[BVPS]]&lt;&gt;0,Main_M[[#This Row],[Current Price]]/Main_M[[#This Row],[BVPS]],""),"")</f>
        <v>1.7743339717917466</v>
      </c>
      <c r="J116">
        <v>27.06</v>
      </c>
      <c r="K116">
        <v>8.6</v>
      </c>
      <c r="L116">
        <v>2.42</v>
      </c>
      <c r="M116" s="1">
        <f>IF(ISNUMBER(Main_M[[#This Row],[EPS]]),IF(Main_M[[#This Row],[EPS]]&lt;&gt;0,Main_M[[#This Row],[Current Price]]/Main_M[[#This Row],[EPS]],""),"")</f>
        <v>7.0034364261168385</v>
      </c>
      <c r="N11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16" s="1">
        <f>(Main_M[[#This Row],[P/FCF]]-VLOOKUP(Main_M[[#This Row],[Industry]], Mean_PFCF_M, 2, FALSE))/(VLOOKUP(Main_M[[#This Row],[Industry]], Mean_PFCF_M, 3, FALSE))</f>
        <v>0.71892932754629679</v>
      </c>
      <c r="P116" s="1">
        <f>(Main_M[[#This Row],[P/B]]-VLOOKUP(Main_M[[#This Row],[Industry]], Mean_PB_M, 2, FALSE))/(VLOOKUP(Main_M[[#This Row],[Industry]], Mean_PB_M, 3, FALSE))</f>
        <v>1.2238432153876868</v>
      </c>
      <c r="Q116" s="1">
        <f>(Main_M[[#This Row],[ROE]]-VLOOKUP(Main_M[[#This Row],[Industry]], Mean_ROE_M, 2, FALSE))/(VLOOKUP(Main_M[[#This Row],[Industry]], Mean_ROE_M, 3, FALSE))</f>
        <v>-0.15994729674736105</v>
      </c>
      <c r="R116" s="1">
        <f>(Main_M[[#This Row],[ROA]]-VLOOKUP(Main_M[[#This Row],[Industry]], Mean_ROA_M, 2, FALSE))/(VLOOKUP(Main_M[[#This Row],[Industry]], Mean_ROA_M, 3, FALSE))</f>
        <v>1.6610740834440469</v>
      </c>
      <c r="S116" s="1">
        <f>(Main_M[[#This Row],[A/E]]-VLOOKUP(Main_M[[#This Row],[Industry]], Mean_AE_M, 2, FALSE))/(VLOOKUP(Main_M[[#This Row],[Industry]], Mean_AE_M, 3, FALSE))</f>
        <v>-0.34489054711564393</v>
      </c>
      <c r="T116" s="1">
        <f>(Main_M[[#This Row],[P/E]]-VLOOKUP(Main_M[[#This Row],[Industry]], Mean_PE_M, 2, FALSE))/(VLOOKUP(Main_M[[#This Row],[Industry]], Mean_PE_M, 3, FALSE))</f>
        <v>-1.2615817197402834</v>
      </c>
      <c r="U11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1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1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1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1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1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17" spans="1:26" x14ac:dyDescent="0.25">
      <c r="A117" t="s">
        <v>229</v>
      </c>
      <c r="B117" t="s">
        <v>390</v>
      </c>
      <c r="C117" s="2">
        <v>5079</v>
      </c>
      <c r="D117">
        <f>RTD("tos.rtd", , "LAST", Main_M[[#This Row],[Symbol]])</f>
        <v>7.19</v>
      </c>
      <c r="E117">
        <v>-0.68</v>
      </c>
      <c r="F117">
        <v>1.1599999999999999</v>
      </c>
      <c r="G117">
        <v>-0.87</v>
      </c>
      <c r="H117" s="1">
        <f>IF(ISNUMBER(Main_M[[#This Row],[Free CF]]),IF(Main_M[[#This Row],[Free CF]]&lt;&gt;0,Main_M[[#This Row],[Current Price]]/Main_M[[#This Row],[Free CF]],""),"")</f>
        <v>-10.573529411764707</v>
      </c>
      <c r="I117" s="1">
        <f>IF(ISNUMBER(Main_M[[#This Row],[BVPS]]),IF(Main_M[[#This Row],[BVPS]]&lt;&gt;0,Main_M[[#This Row],[Current Price]]/Main_M[[#This Row],[BVPS]],""),"")</f>
        <v>6.1982758620689662</v>
      </c>
      <c r="J117">
        <v>-62.47</v>
      </c>
      <c r="K117">
        <v>-30.16</v>
      </c>
      <c r="L117">
        <v>1.32</v>
      </c>
      <c r="M117" s="1">
        <f>IF(ISNUMBER(Main_M[[#This Row],[EPS]]),IF(Main_M[[#This Row],[EPS]]&lt;&gt;0,Main_M[[#This Row],[Current Price]]/Main_M[[#This Row],[EPS]],""),"")</f>
        <v>-8.2643678160919549</v>
      </c>
      <c r="N11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17" s="1">
        <f>(Main_M[[#This Row],[P/FCF]]-VLOOKUP(Main_M[[#This Row],[Industry]], Mean_PFCF_M, 2, FALSE))/(VLOOKUP(Main_M[[#This Row],[Industry]], Mean_PFCF_M, 3, FALSE))</f>
        <v>-5.9527566690794318</v>
      </c>
      <c r="P117" s="1">
        <f>(Main_M[[#This Row],[P/B]]-VLOOKUP(Main_M[[#This Row],[Industry]], Mean_PB_M, 2, FALSE))/(VLOOKUP(Main_M[[#This Row],[Industry]], Mean_PB_M, 3, FALSE))</f>
        <v>76.270006804740589</v>
      </c>
      <c r="Q117" s="1">
        <f>(Main_M[[#This Row],[ROE]]-VLOOKUP(Main_M[[#This Row],[Industry]], Mean_ROE_M, 2, FALSE))/(VLOOKUP(Main_M[[#This Row],[Industry]], Mean_ROE_M, 3, FALSE))</f>
        <v>-1.8139183614033125</v>
      </c>
      <c r="R117" s="1">
        <f>(Main_M[[#This Row],[ROA]]-VLOOKUP(Main_M[[#This Row],[Industry]], Mean_ROA_M, 2, FALSE))/(VLOOKUP(Main_M[[#This Row],[Industry]], Mean_ROA_M, 3, FALSE))</f>
        <v>-15.822491829466003</v>
      </c>
      <c r="S117" s="1">
        <f>(Main_M[[#This Row],[A/E]]-VLOOKUP(Main_M[[#This Row],[Industry]], Mean_AE_M, 2, FALSE))/(VLOOKUP(Main_M[[#This Row],[Industry]], Mean_AE_M, 3, FALSE))</f>
        <v>-1.2220688172363565</v>
      </c>
      <c r="T117" s="1">
        <f>(Main_M[[#This Row],[P/E]]-VLOOKUP(Main_M[[#This Row],[Industry]], Mean_PE_M, 2, FALSE))/(VLOOKUP(Main_M[[#This Row],[Industry]], Mean_PE_M, 3, FALSE))</f>
        <v>-4.7132080649971755</v>
      </c>
      <c r="U11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11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11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Yes</v>
      </c>
      <c r="X11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11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1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118" spans="1:26" x14ac:dyDescent="0.25">
      <c r="A118" t="s">
        <v>229</v>
      </c>
      <c r="B118" t="s">
        <v>391</v>
      </c>
      <c r="C118" s="2">
        <v>9919</v>
      </c>
      <c r="D118">
        <f>RTD("tos.rtd", , "LAST", Main_M[[#This Row],[Symbol]])</f>
        <v>35.25</v>
      </c>
      <c r="E118">
        <v>0</v>
      </c>
      <c r="F118">
        <v>0</v>
      </c>
      <c r="G118">
        <v>0</v>
      </c>
      <c r="H118" s="1" t="str">
        <f>IF(ISNUMBER(Main_M[[#This Row],[Free CF]]),IF(Main_M[[#This Row],[Free CF]]&lt;&gt;0,Main_M[[#This Row],[Current Price]]/Main_M[[#This Row],[Free CF]],""),"")</f>
        <v/>
      </c>
      <c r="I118" s="1" t="str">
        <f>IF(ISNUMBER(Main_M[[#This Row],[BVPS]]),IF(Main_M[[#This Row],[BVPS]]&lt;&gt;0,Main_M[[#This Row],[Current Price]]/Main_M[[#This Row],[BVPS]],""),"")</f>
        <v/>
      </c>
      <c r="J118">
        <v>140.66</v>
      </c>
      <c r="K118">
        <v>6.93</v>
      </c>
      <c r="L118">
        <v>16.690000000000001</v>
      </c>
      <c r="M118" s="1" t="str">
        <f>IF(ISNUMBER(Main_M[[#This Row],[EPS]]),IF(Main_M[[#This Row],[EPS]]&lt;&gt;0,Main_M[[#This Row],[Current Price]]/Main_M[[#This Row],[EPS]],""),"")</f>
        <v/>
      </c>
      <c r="N11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18" s="1" t="e">
        <f>(Main_M[[#This Row],[P/FCF]]-VLOOKUP(Main_M[[#This Row],[Industry]], Mean_PFCF_M, 2, FALSE))/(VLOOKUP(Main_M[[#This Row],[Industry]], Mean_PFCF_M, 3, FALSE))</f>
        <v>#VALUE!</v>
      </c>
      <c r="P118" s="1" t="e">
        <f>(Main_M[[#This Row],[P/B]]-VLOOKUP(Main_M[[#This Row],[Industry]], Mean_PB_M, 2, FALSE))/(VLOOKUP(Main_M[[#This Row],[Industry]], Mean_PB_M, 3, FALSE))</f>
        <v>#VALUE!</v>
      </c>
      <c r="Q118" s="1">
        <f>(Main_M[[#This Row],[ROE]]-VLOOKUP(Main_M[[#This Row],[Industry]], Mean_ROE_M, 2, FALSE))/(VLOOKUP(Main_M[[#This Row],[Industry]], Mean_ROE_M, 3, FALSE))</f>
        <v>1.9386912930540026</v>
      </c>
      <c r="R118" s="1">
        <f>(Main_M[[#This Row],[ROA]]-VLOOKUP(Main_M[[#This Row],[Industry]], Mean_ROA_M, 2, FALSE))/(VLOOKUP(Main_M[[#This Row],[Industry]], Mean_ROA_M, 3, FALSE))</f>
        <v>0.90778318884756137</v>
      </c>
      <c r="S118" s="1">
        <f>(Main_M[[#This Row],[A/E]]-VLOOKUP(Main_M[[#This Row],[Industry]], Mean_AE_M, 2, FALSE))/(VLOOKUP(Main_M[[#This Row],[Industry]], Mean_AE_M, 3, FALSE))</f>
        <v>11.034503920723058</v>
      </c>
      <c r="T118" s="1" t="e">
        <f>(Main_M[[#This Row],[P/E]]-VLOOKUP(Main_M[[#This Row],[Industry]], Mean_PE_M, 2, FALSE))/(VLOOKUP(Main_M[[#This Row],[Industry]], Mean_PE_M, 3, FALSE))</f>
        <v>#VALUE!</v>
      </c>
      <c r="U11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11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11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1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11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11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119" spans="1:26" x14ac:dyDescent="0.25">
      <c r="A119" t="s">
        <v>229</v>
      </c>
      <c r="B119" t="s">
        <v>392</v>
      </c>
      <c r="C119" s="2">
        <v>3926</v>
      </c>
      <c r="D119">
        <f>RTD("tos.rtd", , "LAST", Main_M[[#This Row],[Symbol]])</f>
        <v>103.84</v>
      </c>
      <c r="E119">
        <v>8.36</v>
      </c>
      <c r="F119">
        <v>61</v>
      </c>
      <c r="G119">
        <v>8.74</v>
      </c>
      <c r="H119" s="1">
        <f>IF(ISNUMBER(Main_M[[#This Row],[Free CF]]),IF(Main_M[[#This Row],[Free CF]]&lt;&gt;0,Main_M[[#This Row],[Current Price]]/Main_M[[#This Row],[Free CF]],""),"")</f>
        <v>12.421052631578949</v>
      </c>
      <c r="I119" s="1">
        <f>IF(ISNUMBER(Main_M[[#This Row],[BVPS]]),IF(Main_M[[#This Row],[BVPS]]&lt;&gt;0,Main_M[[#This Row],[Current Price]]/Main_M[[#This Row],[BVPS]],""),"")</f>
        <v>1.7022950819672131</v>
      </c>
      <c r="J119">
        <v>15.66</v>
      </c>
      <c r="K119">
        <v>4.7</v>
      </c>
      <c r="L119">
        <v>2.88</v>
      </c>
      <c r="M119" s="1">
        <f>IF(ISNUMBER(Main_M[[#This Row],[EPS]]),IF(Main_M[[#This Row],[EPS]]&lt;&gt;0,Main_M[[#This Row],[Current Price]]/Main_M[[#This Row],[EPS]],""),"")</f>
        <v>11.881006864988558</v>
      </c>
      <c r="N11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19" s="1">
        <f>(Main_M[[#This Row],[P/FCF]]-VLOOKUP(Main_M[[#This Row],[Industry]], Mean_PFCF_M, 2, FALSE))/(VLOOKUP(Main_M[[#This Row],[Industry]], Mean_PFCF_M, 3, FALSE))</f>
        <v>0.69521797403567276</v>
      </c>
      <c r="P119" s="1">
        <f>(Main_M[[#This Row],[P/B]]-VLOOKUP(Main_M[[#This Row],[Industry]], Mean_PB_M, 2, FALSE))/(VLOOKUP(Main_M[[#This Row],[Industry]], Mean_PB_M, 3, FALSE))</f>
        <v>1.8013249982693706E-3</v>
      </c>
      <c r="Q119" s="1">
        <f>(Main_M[[#This Row],[ROE]]-VLOOKUP(Main_M[[#This Row],[Industry]], Mean_ROE_M, 2, FALSE))/(VLOOKUP(Main_M[[#This Row],[Industry]], Mean_ROE_M, 3, FALSE))</f>
        <v>-0.37055011297742746</v>
      </c>
      <c r="R119" s="1">
        <f>(Main_M[[#This Row],[ROA]]-VLOOKUP(Main_M[[#This Row],[Industry]], Mean_ROA_M, 2, FALSE))/(VLOOKUP(Main_M[[#This Row],[Industry]], Mean_ROA_M, 3, FALSE))</f>
        <v>-9.8108245254332413E-2</v>
      </c>
      <c r="S119" s="1">
        <f>(Main_M[[#This Row],[A/E]]-VLOOKUP(Main_M[[#This Row],[Industry]], Mean_AE_M, 2, FALSE))/(VLOOKUP(Main_M[[#This Row],[Industry]], Mean_AE_M, 3, FALSE))</f>
        <v>2.1929456753017704E-2</v>
      </c>
      <c r="T119" s="1">
        <f>(Main_M[[#This Row],[P/E]]-VLOOKUP(Main_M[[#This Row],[Industry]], Mean_PE_M, 2, FALSE))/(VLOOKUP(Main_M[[#This Row],[Industry]], Mean_PE_M, 3, FALSE))</f>
        <v>-0.15889855976676701</v>
      </c>
      <c r="U11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1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1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1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1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1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20" spans="1:26" x14ac:dyDescent="0.25">
      <c r="A120" t="s">
        <v>204</v>
      </c>
      <c r="B120" t="s">
        <v>361</v>
      </c>
      <c r="C120" s="2">
        <v>2782</v>
      </c>
      <c r="D120">
        <f>RTD("tos.rtd", , "LAST", Main_M[[#This Row],[Symbol]])</f>
        <v>5.89</v>
      </c>
      <c r="E120">
        <v>0.24</v>
      </c>
      <c r="F120">
        <v>8.1</v>
      </c>
      <c r="G120">
        <v>-0.26</v>
      </c>
      <c r="H120" s="1">
        <f>IF(ISNUMBER(Main_M[[#This Row],[Free CF]]),IF(Main_M[[#This Row],[Free CF]]&lt;&gt;0,Main_M[[#This Row],[Current Price]]/Main_M[[#This Row],[Free CF]],""),"")</f>
        <v>24.541666666666668</v>
      </c>
      <c r="I120" s="1">
        <f>IF(ISNUMBER(Main_M[[#This Row],[BVPS]]),IF(Main_M[[#This Row],[BVPS]]&lt;&gt;0,Main_M[[#This Row],[Current Price]]/Main_M[[#This Row],[BVPS]],""),"")</f>
        <v>0.72716049382716053</v>
      </c>
      <c r="J120">
        <v>-3.09</v>
      </c>
      <c r="K120">
        <v>-0.59</v>
      </c>
      <c r="L120">
        <v>1.9</v>
      </c>
      <c r="M120" s="1">
        <f>IF(ISNUMBER(Main_M[[#This Row],[EPS]]),IF(Main_M[[#This Row],[EPS]]&lt;&gt;0,Main_M[[#This Row],[Current Price]]/Main_M[[#This Row],[EPS]],""),"")</f>
        <v>-22.653846153846153</v>
      </c>
      <c r="N12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20" s="1">
        <f>(Main_M[[#This Row],[P/FCF]]-VLOOKUP(Main_M[[#This Row],[Industry]], Mean_PFCF_M, 2, FALSE))/(VLOOKUP(Main_M[[#This Row],[Industry]], Mean_PFCF_M, 3, FALSE))</f>
        <v>0.87234853119082445</v>
      </c>
      <c r="P120" s="1">
        <f>(Main_M[[#This Row],[P/B]]-VLOOKUP(Main_M[[#This Row],[Industry]], Mean_PB_M, 2, FALSE))/(VLOOKUP(Main_M[[#This Row],[Industry]], Mean_PB_M, 3, FALSE))</f>
        <v>-1.1626371279570846</v>
      </c>
      <c r="Q120" s="1">
        <f>(Main_M[[#This Row],[ROE]]-VLOOKUP(Main_M[[#This Row],[Industry]], Mean_ROE_M, 2, FALSE))/(VLOOKUP(Main_M[[#This Row],[Industry]], Mean_ROE_M, 3, FALSE))</f>
        <v>-0.71420091084957338</v>
      </c>
      <c r="R120" s="1">
        <f>(Main_M[[#This Row],[ROA]]-VLOOKUP(Main_M[[#This Row],[Industry]], Mean_ROA_M, 2, FALSE))/(VLOOKUP(Main_M[[#This Row],[Industry]], Mean_ROA_M, 3, FALSE))</f>
        <v>-1.6489814190198213</v>
      </c>
      <c r="S120" s="1">
        <f>(Main_M[[#This Row],[A/E]]-VLOOKUP(Main_M[[#This Row],[Industry]], Mean_AE_M, 2, FALSE))/(VLOOKUP(Main_M[[#This Row],[Industry]], Mean_AE_M, 3, FALSE))</f>
        <v>-0.80062766602212698</v>
      </c>
      <c r="T120" s="1">
        <f>(Main_M[[#This Row],[P/E]]-VLOOKUP(Main_M[[#This Row],[Industry]], Mean_PE_M, 2, FALSE))/(VLOOKUP(Main_M[[#This Row],[Industry]], Mean_PE_M, 3, FALSE))</f>
        <v>-3.6867894322829424</v>
      </c>
      <c r="U12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2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2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2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2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2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121" spans="1:26" x14ac:dyDescent="0.25">
      <c r="A121" t="s">
        <v>204</v>
      </c>
      <c r="B121" t="s">
        <v>206</v>
      </c>
      <c r="C121" s="2">
        <v>8616</v>
      </c>
      <c r="D121">
        <f>RTD("tos.rtd", , "LAST", Main_M[[#This Row],[Symbol]])</f>
        <v>59.26</v>
      </c>
      <c r="E121">
        <v>1.0900000000000001</v>
      </c>
      <c r="F121">
        <v>16.010000000000002</v>
      </c>
      <c r="G121">
        <v>0.11</v>
      </c>
      <c r="H121" s="1">
        <f>IF(ISNUMBER(Main_M[[#This Row],[Free CF]]),IF(Main_M[[#This Row],[Free CF]]&lt;&gt;0,Main_M[[#This Row],[Current Price]]/Main_M[[#This Row],[Free CF]],""),"")</f>
        <v>54.366972477064216</v>
      </c>
      <c r="I121" s="1">
        <f>IF(ISNUMBER(Main_M[[#This Row],[BVPS]]),IF(Main_M[[#This Row],[BVPS]]&lt;&gt;0,Main_M[[#This Row],[Current Price]]/Main_M[[#This Row],[BVPS]],""),"")</f>
        <v>3.7014366021236724</v>
      </c>
      <c r="J121">
        <v>0.73</v>
      </c>
      <c r="K121">
        <v>0.7</v>
      </c>
      <c r="L121">
        <v>3.58</v>
      </c>
      <c r="M121" s="1">
        <f>IF(ISNUMBER(Main_M[[#This Row],[EPS]]),IF(Main_M[[#This Row],[EPS]]&lt;&gt;0,Main_M[[#This Row],[Current Price]]/Main_M[[#This Row],[EPS]],""),"")</f>
        <v>538.72727272727275</v>
      </c>
      <c r="N12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21" s="1">
        <f>(Main_M[[#This Row],[P/FCF]]-VLOOKUP(Main_M[[#This Row],[Industry]], Mean_PFCF_M, 2, FALSE))/(VLOOKUP(Main_M[[#This Row],[Industry]], Mean_PFCF_M, 3, FALSE))</f>
        <v>4.8156524650343675</v>
      </c>
      <c r="P121" s="1">
        <f>(Main_M[[#This Row],[P/B]]-VLOOKUP(Main_M[[#This Row],[Industry]], Mean_PB_M, 2, FALSE))/(VLOOKUP(Main_M[[#This Row],[Industry]], Mean_PB_M, 3, FALSE))</f>
        <v>0.24670037654528262</v>
      </c>
      <c r="Q121" s="1">
        <f>(Main_M[[#This Row],[ROE]]-VLOOKUP(Main_M[[#This Row],[Industry]], Mean_ROE_M, 2, FALSE))/(VLOOKUP(Main_M[[#This Row],[Industry]], Mean_ROE_M, 3, FALSE))</f>
        <v>-0.59899586561998486</v>
      </c>
      <c r="R121" s="1">
        <f>(Main_M[[#This Row],[ROA]]-VLOOKUP(Main_M[[#This Row],[Industry]], Mean_ROA_M, 2, FALSE))/(VLOOKUP(Main_M[[#This Row],[Industry]], Mean_ROA_M, 3, FALSE))</f>
        <v>-1.2838946441349761</v>
      </c>
      <c r="S121" s="1">
        <f>(Main_M[[#This Row],[A/E]]-VLOOKUP(Main_M[[#This Row],[Industry]], Mean_AE_M, 2, FALSE))/(VLOOKUP(Main_M[[#This Row],[Industry]], Mean_AE_M, 3, FALSE))</f>
        <v>1.5610900645180605</v>
      </c>
      <c r="T121" s="1">
        <f>(Main_M[[#This Row],[P/E]]-VLOOKUP(Main_M[[#This Row],[Industry]], Mean_PE_M, 2, FALSE))/(VLOOKUP(Main_M[[#This Row],[Industry]], Mean_PE_M, 3, FALSE))</f>
        <v>42.265357475613754</v>
      </c>
      <c r="U12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12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2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2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2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2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122" spans="1:26" x14ac:dyDescent="0.25">
      <c r="A122" t="s">
        <v>204</v>
      </c>
      <c r="B122" t="s">
        <v>362</v>
      </c>
      <c r="C122" s="2">
        <v>2599</v>
      </c>
      <c r="D122">
        <f>RTD("tos.rtd", , "LAST", Main_M[[#This Row],[Symbol]])</f>
        <v>17.829999999999998</v>
      </c>
      <c r="E122">
        <v>-0.03</v>
      </c>
      <c r="F122">
        <v>7.55</v>
      </c>
      <c r="G122">
        <v>-0.74</v>
      </c>
      <c r="H122" s="1">
        <f>IF(ISNUMBER(Main_M[[#This Row],[Free CF]]),IF(Main_M[[#This Row],[Free CF]]&lt;&gt;0,Main_M[[#This Row],[Current Price]]/Main_M[[#This Row],[Free CF]],""),"")</f>
        <v>-594.33333333333326</v>
      </c>
      <c r="I122" s="1">
        <f>IF(ISNUMBER(Main_M[[#This Row],[BVPS]]),IF(Main_M[[#This Row],[BVPS]]&lt;&gt;0,Main_M[[#This Row],[Current Price]]/Main_M[[#This Row],[BVPS]],""),"")</f>
        <v>2.3615894039735097</v>
      </c>
      <c r="J122">
        <v>-9.9600000000000009</v>
      </c>
      <c r="K122">
        <v>-1.4</v>
      </c>
      <c r="L122">
        <v>3</v>
      </c>
      <c r="M122" s="1">
        <f>IF(ISNUMBER(Main_M[[#This Row],[EPS]]),IF(Main_M[[#This Row],[EPS]]&lt;&gt;0,Main_M[[#This Row],[Current Price]]/Main_M[[#This Row],[EPS]],""),"")</f>
        <v>-24.094594594594593</v>
      </c>
      <c r="N12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22" s="1">
        <f>(Main_M[[#This Row],[P/FCF]]-VLOOKUP(Main_M[[#This Row],[Industry]], Mean_PFCF_M, 2, FALSE))/(VLOOKUP(Main_M[[#This Row],[Industry]], Mean_PFCF_M, 3, FALSE))</f>
        <v>-80.951195460993773</v>
      </c>
      <c r="P122" s="1">
        <f>(Main_M[[#This Row],[P/B]]-VLOOKUP(Main_M[[#This Row],[Industry]], Mean_PB_M, 2, FALSE))/(VLOOKUP(Main_M[[#This Row],[Industry]], Mean_PB_M, 3, FALSE))</f>
        <v>-0.38817575394851445</v>
      </c>
      <c r="Q122" s="1">
        <f>(Main_M[[#This Row],[ROE]]-VLOOKUP(Main_M[[#This Row],[Industry]], Mean_ROE_M, 2, FALSE))/(VLOOKUP(Main_M[[#This Row],[Industry]], Mean_ROE_M, 3, FALSE))</f>
        <v>-0.92138904193001114</v>
      </c>
      <c r="R122" s="1">
        <f>(Main_M[[#This Row],[ROA]]-VLOOKUP(Main_M[[#This Row],[Industry]], Mean_ROA_M, 2, FALSE))/(VLOOKUP(Main_M[[#This Row],[Industry]], Mean_ROA_M, 3, FALSE))</f>
        <v>-1.8782219520870493</v>
      </c>
      <c r="S122" s="1">
        <f>(Main_M[[#This Row],[A/E]]-VLOOKUP(Main_M[[#This Row],[Industry]], Mean_AE_M, 2, FALSE))/(VLOOKUP(Main_M[[#This Row],[Industry]], Mean_AE_M, 3, FALSE))</f>
        <v>0.74573513373632905</v>
      </c>
      <c r="T122" s="1">
        <f>(Main_M[[#This Row],[P/E]]-VLOOKUP(Main_M[[#This Row],[Industry]], Mean_PE_M, 2, FALSE))/(VLOOKUP(Main_M[[#This Row],[Industry]], Mean_PE_M, 3, FALSE))</f>
        <v>-3.8047226540816177</v>
      </c>
      <c r="U12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12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2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2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2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2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123" spans="1:26" x14ac:dyDescent="0.25">
      <c r="A123" t="s">
        <v>204</v>
      </c>
      <c r="B123" t="s">
        <v>363</v>
      </c>
      <c r="C123" s="2">
        <v>3324</v>
      </c>
      <c r="D123">
        <f>RTD("tos.rtd", , "LAST", Main_M[[#This Row],[Symbol]])</f>
        <v>68.459999999999994</v>
      </c>
      <c r="E123">
        <v>6.13</v>
      </c>
      <c r="F123">
        <v>34.76</v>
      </c>
      <c r="G123">
        <v>4.63</v>
      </c>
      <c r="H123" s="1">
        <f>IF(ISNUMBER(Main_M[[#This Row],[Free CF]]),IF(Main_M[[#This Row],[Free CF]]&lt;&gt;0,Main_M[[#This Row],[Current Price]]/Main_M[[#This Row],[Free CF]],""),"")</f>
        <v>11.168026101141924</v>
      </c>
      <c r="I123" s="1">
        <f>IF(ISNUMBER(Main_M[[#This Row],[BVPS]]),IF(Main_M[[#This Row],[BVPS]]&lt;&gt;0,Main_M[[#This Row],[Current Price]]/Main_M[[#This Row],[BVPS]],""),"")</f>
        <v>1.9695051783659379</v>
      </c>
      <c r="J123">
        <v>14.36</v>
      </c>
      <c r="K123">
        <v>5.45</v>
      </c>
      <c r="L123">
        <v>2.04</v>
      </c>
      <c r="M123" s="1">
        <f>IF(ISNUMBER(Main_M[[#This Row],[EPS]]),IF(Main_M[[#This Row],[EPS]]&lt;&gt;0,Main_M[[#This Row],[Current Price]]/Main_M[[#This Row],[EPS]],""),"")</f>
        <v>14.786177105831532</v>
      </c>
      <c r="N12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YES</v>
      </c>
      <c r="O123" s="1">
        <f>(Main_M[[#This Row],[P/FCF]]-VLOOKUP(Main_M[[#This Row],[Industry]], Mean_PFCF_M, 2, FALSE))/(VLOOKUP(Main_M[[#This Row],[Industry]], Mean_PFCF_M, 3, FALSE))</f>
        <v>-0.89582544117658158</v>
      </c>
      <c r="P123" s="1">
        <f>(Main_M[[#This Row],[P/B]]-VLOOKUP(Main_M[[#This Row],[Industry]], Mean_PB_M, 2, FALSE))/(VLOOKUP(Main_M[[#This Row],[Industry]], Mean_PB_M, 3, FALSE))</f>
        <v>-0.57396180203300207</v>
      </c>
      <c r="Q123" s="1">
        <f>(Main_M[[#This Row],[ROE]]-VLOOKUP(Main_M[[#This Row],[Industry]], Mean_ROE_M, 2, FALSE))/(VLOOKUP(Main_M[[#This Row],[Industry]], Mean_ROE_M, 3, FALSE))</f>
        <v>-0.18793702622750055</v>
      </c>
      <c r="R123" s="1">
        <f>(Main_M[[#This Row],[ROA]]-VLOOKUP(Main_M[[#This Row],[Industry]], Mean_ROA_M, 2, FALSE))/(VLOOKUP(Main_M[[#This Row],[Industry]], Mean_ROA_M, 3, FALSE))</f>
        <v>6.0417123851856519E-2</v>
      </c>
      <c r="S123" s="1">
        <f>(Main_M[[#This Row],[A/E]]-VLOOKUP(Main_M[[#This Row],[Industry]], Mean_AE_M, 2, FALSE))/(VLOOKUP(Main_M[[#This Row],[Industry]], Mean_AE_M, 3, FALSE))</f>
        <v>-0.60381785514377784</v>
      </c>
      <c r="T123" s="1">
        <f>(Main_M[[#This Row],[P/E]]-VLOOKUP(Main_M[[#This Row],[Industry]], Mean_PE_M, 2, FALSE))/(VLOOKUP(Main_M[[#This Row],[Industry]], Mean_PE_M, 3, FALSE))</f>
        <v>-0.62211662587865335</v>
      </c>
      <c r="U12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2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2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2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2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2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24" spans="1:26" x14ac:dyDescent="0.25">
      <c r="A124" t="s">
        <v>204</v>
      </c>
      <c r="B124" t="s">
        <v>365</v>
      </c>
      <c r="C124" s="2">
        <v>2455</v>
      </c>
      <c r="D124">
        <f>RTD("tos.rtd", , "LAST", Main_M[[#This Row],[Symbol]])</f>
        <v>69.319999999999993</v>
      </c>
      <c r="E124">
        <v>0.18</v>
      </c>
      <c r="F124">
        <v>3.16</v>
      </c>
      <c r="G124">
        <v>1.65</v>
      </c>
      <c r="H124" s="1">
        <f>IF(ISNUMBER(Main_M[[#This Row],[Free CF]]),IF(Main_M[[#This Row],[Free CF]]&lt;&gt;0,Main_M[[#This Row],[Current Price]]/Main_M[[#This Row],[Free CF]],""),"")</f>
        <v>385.11111111111109</v>
      </c>
      <c r="I124" s="1">
        <f>IF(ISNUMBER(Main_M[[#This Row],[BVPS]]),IF(Main_M[[#This Row],[BVPS]]&lt;&gt;0,Main_M[[#This Row],[Current Price]]/Main_M[[#This Row],[BVPS]],""),"")</f>
        <v>21.936708860759492</v>
      </c>
      <c r="J124">
        <v>48.65</v>
      </c>
      <c r="K124">
        <v>2.25</v>
      </c>
      <c r="L124">
        <v>18.010000000000002</v>
      </c>
      <c r="M124" s="1">
        <f>IF(ISNUMBER(Main_M[[#This Row],[EPS]]),IF(Main_M[[#This Row],[EPS]]&lt;&gt;0,Main_M[[#This Row],[Current Price]]/Main_M[[#This Row],[EPS]],""),"")</f>
        <v>42.012121212121208</v>
      </c>
      <c r="N12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24" s="1">
        <f>(Main_M[[#This Row],[P/FCF]]-VLOOKUP(Main_M[[#This Row],[Industry]], Mean_PFCF_M, 2, FALSE))/(VLOOKUP(Main_M[[#This Row],[Industry]], Mean_PFCF_M, 3, FALSE))</f>
        <v>48.544446773546007</v>
      </c>
      <c r="P124" s="1">
        <f>(Main_M[[#This Row],[P/B]]-VLOOKUP(Main_M[[#This Row],[Industry]], Mean_PB_M, 2, FALSE))/(VLOOKUP(Main_M[[#This Row],[Industry]], Mean_PB_M, 3, FALSE))</f>
        <v>8.8873417168767581</v>
      </c>
      <c r="Q124" s="1">
        <f>(Main_M[[#This Row],[ROE]]-VLOOKUP(Main_M[[#This Row],[Industry]], Mean_ROE_M, 2, FALSE))/(VLOOKUP(Main_M[[#This Row],[Industry]], Mean_ROE_M, 3, FALSE))</f>
        <v>0.84619412584647513</v>
      </c>
      <c r="R124" s="1">
        <f>(Main_M[[#This Row],[ROA]]-VLOOKUP(Main_M[[#This Row],[Industry]], Mean_ROA_M, 2, FALSE))/(VLOOKUP(Main_M[[#This Row],[Industry]], Mean_ROA_M, 3, FALSE))</f>
        <v>-0.84522448826558871</v>
      </c>
      <c r="S124" s="1">
        <f>(Main_M[[#This Row],[A/E]]-VLOOKUP(Main_M[[#This Row],[Industry]], Mean_AE_M, 2, FALSE))/(VLOOKUP(Main_M[[#This Row],[Industry]], Mean_AE_M, 3, FALSE))</f>
        <v>21.846558428622171</v>
      </c>
      <c r="T124" s="1">
        <f>(Main_M[[#This Row],[P/E]]-VLOOKUP(Main_M[[#This Row],[Industry]], Mean_PE_M, 2, FALSE))/(VLOOKUP(Main_M[[#This Row],[Industry]], Mean_PE_M, 3, FALSE))</f>
        <v>1.6064773563556247</v>
      </c>
      <c r="U12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12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12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2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2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12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25" spans="1:26" x14ac:dyDescent="0.25">
      <c r="A125" t="s">
        <v>204</v>
      </c>
      <c r="B125" t="s">
        <v>366</v>
      </c>
      <c r="C125" s="2">
        <v>4433</v>
      </c>
      <c r="D125">
        <f>RTD("tos.rtd", , "LAST", Main_M[[#This Row],[Symbol]])</f>
        <v>47.69</v>
      </c>
      <c r="E125">
        <v>3.04</v>
      </c>
      <c r="F125">
        <v>13.08</v>
      </c>
      <c r="G125">
        <v>2.0099999999999998</v>
      </c>
      <c r="H125" s="1">
        <f>IF(ISNUMBER(Main_M[[#This Row],[Free CF]]),IF(Main_M[[#This Row],[Free CF]]&lt;&gt;0,Main_M[[#This Row],[Current Price]]/Main_M[[#This Row],[Free CF]],""),"")</f>
        <v>15.687499999999998</v>
      </c>
      <c r="I125" s="1">
        <f>IF(ISNUMBER(Main_M[[#This Row],[BVPS]]),IF(Main_M[[#This Row],[BVPS]]&lt;&gt;0,Main_M[[#This Row],[Current Price]]/Main_M[[#This Row],[BVPS]],""),"")</f>
        <v>3.6460244648318039</v>
      </c>
      <c r="J125">
        <v>14.49</v>
      </c>
      <c r="K125">
        <v>5.36</v>
      </c>
      <c r="L125">
        <v>2.0499999999999998</v>
      </c>
      <c r="M125" s="1">
        <f>IF(ISNUMBER(Main_M[[#This Row],[EPS]]),IF(Main_M[[#This Row],[EPS]]&lt;&gt;0,Main_M[[#This Row],[Current Price]]/Main_M[[#This Row],[EPS]],""),"")</f>
        <v>23.726368159203982</v>
      </c>
      <c r="N12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25" s="1">
        <f>(Main_M[[#This Row],[P/FCF]]-VLOOKUP(Main_M[[#This Row],[Industry]], Mean_PFCF_M, 2, FALSE))/(VLOOKUP(Main_M[[#This Row],[Industry]], Mean_PFCF_M, 3, FALSE))</f>
        <v>-0.29829060557206749</v>
      </c>
      <c r="P125" s="1">
        <f>(Main_M[[#This Row],[P/B]]-VLOOKUP(Main_M[[#This Row],[Industry]], Mean_PB_M, 2, FALSE))/(VLOOKUP(Main_M[[#This Row],[Industry]], Mean_PB_M, 3, FALSE))</f>
        <v>0.22044376806423865</v>
      </c>
      <c r="Q125" s="1">
        <f>(Main_M[[#This Row],[ROE]]-VLOOKUP(Main_M[[#This Row],[Industry]], Mean_ROE_M, 2, FALSE))/(VLOOKUP(Main_M[[#This Row],[Industry]], Mean_ROE_M, 3, FALSE))</f>
        <v>-0.1840164356830381</v>
      </c>
      <c r="R125" s="1">
        <f>(Main_M[[#This Row],[ROA]]-VLOOKUP(Main_M[[#This Row],[Industry]], Mean_ROA_M, 2, FALSE))/(VLOOKUP(Main_M[[#This Row],[Industry]], Mean_ROA_M, 3, FALSE))</f>
        <v>3.4945953511053417E-2</v>
      </c>
      <c r="S125" s="1">
        <f>(Main_M[[#This Row],[A/E]]-VLOOKUP(Main_M[[#This Row],[Industry]], Mean_AE_M, 2, FALSE))/(VLOOKUP(Main_M[[#This Row],[Industry]], Mean_AE_M, 3, FALSE))</f>
        <v>-0.58976001150961044</v>
      </c>
      <c r="T125" s="1">
        <f>(Main_M[[#This Row],[P/E]]-VLOOKUP(Main_M[[#This Row],[Industry]], Mean_PE_M, 2, FALSE))/(VLOOKUP(Main_M[[#This Row],[Industry]], Mean_PE_M, 3, FALSE))</f>
        <v>0.10968741749216088</v>
      </c>
      <c r="U12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2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2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2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2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2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26" spans="1:26" x14ac:dyDescent="0.25">
      <c r="A126" t="s">
        <v>204</v>
      </c>
      <c r="B126" t="s">
        <v>367</v>
      </c>
      <c r="C126" s="2">
        <v>3918</v>
      </c>
      <c r="D126">
        <f>RTD("tos.rtd", , "LAST", Main_M[[#This Row],[Symbol]])</f>
        <v>83.85</v>
      </c>
      <c r="E126">
        <v>4.18</v>
      </c>
      <c r="F126">
        <v>1.3</v>
      </c>
      <c r="G126">
        <v>3.32</v>
      </c>
      <c r="H126" s="1">
        <f>IF(ISNUMBER(Main_M[[#This Row],[Free CF]]),IF(Main_M[[#This Row],[Free CF]]&lt;&gt;0,Main_M[[#This Row],[Current Price]]/Main_M[[#This Row],[Free CF]],""),"")</f>
        <v>20.059808612440193</v>
      </c>
      <c r="I126" s="1">
        <f>IF(ISNUMBER(Main_M[[#This Row],[BVPS]]),IF(Main_M[[#This Row],[BVPS]]&lt;&gt;0,Main_M[[#This Row],[Current Price]]/Main_M[[#This Row],[BVPS]],""),"")</f>
        <v>64.5</v>
      </c>
      <c r="J126">
        <v>162.13999999999999</v>
      </c>
      <c r="K126">
        <v>3.83</v>
      </c>
      <c r="L126">
        <v>59.92</v>
      </c>
      <c r="M126" s="1">
        <f>IF(ISNUMBER(Main_M[[#This Row],[EPS]]),IF(Main_M[[#This Row],[EPS]]&lt;&gt;0,Main_M[[#This Row],[Current Price]]/Main_M[[#This Row],[EPS]],""),"")</f>
        <v>25.256024096385541</v>
      </c>
      <c r="N12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26" s="1">
        <f>(Main_M[[#This Row],[P/FCF]]-VLOOKUP(Main_M[[#This Row],[Industry]], Mean_PFCF_M, 2, FALSE))/(VLOOKUP(Main_M[[#This Row],[Industry]], Mean_PFCF_M, 3, FALSE))</f>
        <v>0.27978701284426527</v>
      </c>
      <c r="P126" s="1">
        <f>(Main_M[[#This Row],[P/B]]-VLOOKUP(Main_M[[#This Row],[Industry]], Mean_PB_M, 2, FALSE))/(VLOOKUP(Main_M[[#This Row],[Industry]], Mean_PB_M, 3, FALSE))</f>
        <v>29.055624799358085</v>
      </c>
      <c r="Q126" s="1">
        <f>(Main_M[[#This Row],[ROE]]-VLOOKUP(Main_M[[#This Row],[Industry]], Mean_ROE_M, 2, FALSE))/(VLOOKUP(Main_M[[#This Row],[Industry]], Mean_ROE_M, 3, FALSE))</f>
        <v>4.2688696711621787</v>
      </c>
      <c r="R126" s="1">
        <f>(Main_M[[#This Row],[ROA]]-VLOOKUP(Main_M[[#This Row],[Industry]], Mean_ROA_M, 2, FALSE))/(VLOOKUP(Main_M[[#This Row],[Industry]], Mean_ROA_M, 3, FALSE))</f>
        <v>-0.39806394228260011</v>
      </c>
      <c r="S126" s="1">
        <f>(Main_M[[#This Row],[A/E]]-VLOOKUP(Main_M[[#This Row],[Industry]], Mean_AE_M, 2, FALSE))/(VLOOKUP(Main_M[[#This Row],[Industry]], Mean_AE_M, 3, FALSE))</f>
        <v>80.762981099419349</v>
      </c>
      <c r="T126" s="1">
        <f>(Main_M[[#This Row],[P/E]]-VLOOKUP(Main_M[[#This Row],[Industry]], Mean_PE_M, 2, FALSE))/(VLOOKUP(Main_M[[#This Row],[Industry]], Mean_PE_M, 3, FALSE))</f>
        <v>0.23489820919815804</v>
      </c>
      <c r="U12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2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12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2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12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12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27" spans="1:26" x14ac:dyDescent="0.25">
      <c r="A127" t="s">
        <v>204</v>
      </c>
      <c r="B127" t="s">
        <v>368</v>
      </c>
      <c r="C127" s="2">
        <v>2141</v>
      </c>
      <c r="D127">
        <f>RTD("tos.rtd", , "LAST", Main_M[[#This Row],[Symbol]])</f>
        <v>17.5</v>
      </c>
      <c r="E127">
        <v>1.18</v>
      </c>
      <c r="F127">
        <v>4.4000000000000004</v>
      </c>
      <c r="G127">
        <v>1.66</v>
      </c>
      <c r="H127" s="1">
        <f>IF(ISNUMBER(Main_M[[#This Row],[Free CF]]),IF(Main_M[[#This Row],[Free CF]]&lt;&gt;0,Main_M[[#This Row],[Current Price]]/Main_M[[#This Row],[Free CF]],""),"")</f>
        <v>14.830508474576272</v>
      </c>
      <c r="I127" s="1">
        <f>IF(ISNUMBER(Main_M[[#This Row],[BVPS]]),IF(Main_M[[#This Row],[BVPS]]&lt;&gt;0,Main_M[[#This Row],[Current Price]]/Main_M[[#This Row],[BVPS]],""),"")</f>
        <v>3.9772727272727271</v>
      </c>
      <c r="J127">
        <v>49.8</v>
      </c>
      <c r="K127">
        <v>6.12</v>
      </c>
      <c r="L127">
        <v>2.09</v>
      </c>
      <c r="M127" s="1">
        <f>IF(ISNUMBER(Main_M[[#This Row],[EPS]]),IF(Main_M[[#This Row],[EPS]]&lt;&gt;0,Main_M[[#This Row],[Current Price]]/Main_M[[#This Row],[EPS]],""),"")</f>
        <v>10.542168674698795</v>
      </c>
      <c r="N12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27" s="1">
        <f>(Main_M[[#This Row],[P/FCF]]-VLOOKUP(Main_M[[#This Row],[Industry]], Mean_PFCF_M, 2, FALSE))/(VLOOKUP(Main_M[[#This Row],[Industry]], Mean_PFCF_M, 3, FALSE))</f>
        <v>-0.41159633577838972</v>
      </c>
      <c r="P127" s="1">
        <f>(Main_M[[#This Row],[P/B]]-VLOOKUP(Main_M[[#This Row],[Industry]], Mean_PB_M, 2, FALSE))/(VLOOKUP(Main_M[[#This Row],[Industry]], Mean_PB_M, 3, FALSE))</f>
        <v>0.3774031701375769</v>
      </c>
      <c r="Q127" s="1">
        <f>(Main_M[[#This Row],[ROE]]-VLOOKUP(Main_M[[#This Row],[Industry]], Mean_ROE_M, 2, FALSE))/(VLOOKUP(Main_M[[#This Row],[Industry]], Mean_ROE_M, 3, FALSE))</f>
        <v>0.88087627297056581</v>
      </c>
      <c r="R127" s="1">
        <f>(Main_M[[#This Row],[ROA]]-VLOOKUP(Main_M[[#This Row],[Industry]], Mean_ROA_M, 2, FALSE))/(VLOOKUP(Main_M[[#This Row],[Industry]], Mean_ROA_M, 3, FALSE))</f>
        <v>0.25003583638894655</v>
      </c>
      <c r="S127" s="1">
        <f>(Main_M[[#This Row],[A/E]]-VLOOKUP(Main_M[[#This Row],[Industry]], Mean_AE_M, 2, FALSE))/(VLOOKUP(Main_M[[#This Row],[Industry]], Mean_AE_M, 3, FALSE))</f>
        <v>-0.53352863697293929</v>
      </c>
      <c r="T127" s="1">
        <f>(Main_M[[#This Row],[P/E]]-VLOOKUP(Main_M[[#This Row],[Industry]], Mean_PE_M, 2, FALSE))/(VLOOKUP(Main_M[[#This Row],[Industry]], Mean_PE_M, 3, FALSE))</f>
        <v>-0.96951216938118168</v>
      </c>
      <c r="U12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2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2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2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2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2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28" spans="1:26" x14ac:dyDescent="0.25">
      <c r="A128" t="s">
        <v>204</v>
      </c>
      <c r="B128" t="s">
        <v>369</v>
      </c>
      <c r="C128" s="2">
        <v>5136</v>
      </c>
      <c r="D128">
        <f>RTD("tos.rtd", , "LAST", Main_M[[#This Row],[Symbol]])</f>
        <v>21.15</v>
      </c>
      <c r="E128">
        <v>1.73</v>
      </c>
      <c r="F128">
        <v>18.39</v>
      </c>
      <c r="G128">
        <v>-0.22</v>
      </c>
      <c r="H128" s="1">
        <f>IF(ISNUMBER(Main_M[[#This Row],[Free CF]]),IF(Main_M[[#This Row],[Free CF]]&lt;&gt;0,Main_M[[#This Row],[Current Price]]/Main_M[[#This Row],[Free CF]],""),"")</f>
        <v>12.22543352601156</v>
      </c>
      <c r="I128" s="1">
        <f>IF(ISNUMBER(Main_M[[#This Row],[BVPS]]),IF(Main_M[[#This Row],[BVPS]]&lt;&gt;0,Main_M[[#This Row],[Current Price]]/Main_M[[#This Row],[BVPS]],""),"")</f>
        <v>1.1500815660685153</v>
      </c>
      <c r="J128">
        <v>-0.93</v>
      </c>
      <c r="K128">
        <v>2.09</v>
      </c>
      <c r="L128">
        <v>2.66</v>
      </c>
      <c r="M128" s="1">
        <f>IF(ISNUMBER(Main_M[[#This Row],[EPS]]),IF(Main_M[[#This Row],[EPS]]&lt;&gt;0,Main_M[[#This Row],[Current Price]]/Main_M[[#This Row],[EPS]],""),"")</f>
        <v>-96.136363636363626</v>
      </c>
      <c r="N12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28" s="1">
        <f>(Main_M[[#This Row],[P/FCF]]-VLOOKUP(Main_M[[#This Row],[Industry]], Mean_PFCF_M, 2, FALSE))/(VLOOKUP(Main_M[[#This Row],[Industry]], Mean_PFCF_M, 3, FALSE))</f>
        <v>-0.7560220512408381</v>
      </c>
      <c r="P128" s="1">
        <f>(Main_M[[#This Row],[P/B]]-VLOOKUP(Main_M[[#This Row],[Industry]], Mean_PB_M, 2, FALSE))/(VLOOKUP(Main_M[[#This Row],[Industry]], Mean_PB_M, 3, FALSE))</f>
        <v>-0.96223928093424338</v>
      </c>
      <c r="Q128" s="1">
        <f>(Main_M[[#This Row],[ROE]]-VLOOKUP(Main_M[[#This Row],[Industry]], Mean_ROE_M, 2, FALSE))/(VLOOKUP(Main_M[[#This Row],[Industry]], Mean_ROE_M, 3, FALSE))</f>
        <v>-0.64905879103388986</v>
      </c>
      <c r="R128" s="1">
        <f>(Main_M[[#This Row],[ROA]]-VLOOKUP(Main_M[[#This Row],[Industry]], Mean_ROA_M, 2, FALSE))/(VLOOKUP(Main_M[[#This Row],[Industry]], Mean_ROA_M, 3, FALSE))</f>
        <v>-0.89050656887146096</v>
      </c>
      <c r="S128" s="1">
        <f>(Main_M[[#This Row],[A/E]]-VLOOKUP(Main_M[[#This Row],[Industry]], Mean_AE_M, 2, FALSE))/(VLOOKUP(Main_M[[#This Row],[Industry]], Mean_AE_M, 3, FALSE))</f>
        <v>0.26776845017462469</v>
      </c>
      <c r="T128" s="1">
        <f>(Main_M[[#This Row],[P/E]]-VLOOKUP(Main_M[[#This Row],[Industry]], Mean_PE_M, 2, FALSE))/(VLOOKUP(Main_M[[#This Row],[Industry]], Mean_PE_M, 3, FALSE))</f>
        <v>-9.7017395703437739</v>
      </c>
      <c r="U12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2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2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2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2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2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129" spans="1:26" x14ac:dyDescent="0.25">
      <c r="A129" t="s">
        <v>204</v>
      </c>
      <c r="B129" t="s">
        <v>370</v>
      </c>
      <c r="C129" s="2">
        <v>3865</v>
      </c>
      <c r="D129">
        <f>RTD("tos.rtd", , "LAST", Main_M[[#This Row],[Symbol]])</f>
        <v>73.83</v>
      </c>
      <c r="E129">
        <v>1.54</v>
      </c>
      <c r="F129">
        <v>36.020000000000003</v>
      </c>
      <c r="G129">
        <v>1.55</v>
      </c>
      <c r="H129" s="1">
        <f>IF(ISNUMBER(Main_M[[#This Row],[Free CF]]),IF(Main_M[[#This Row],[Free CF]]&lt;&gt;0,Main_M[[#This Row],[Current Price]]/Main_M[[#This Row],[Free CF]],""),"")</f>
        <v>47.941558441558442</v>
      </c>
      <c r="I129" s="1">
        <f>IF(ISNUMBER(Main_M[[#This Row],[BVPS]]),IF(Main_M[[#This Row],[BVPS]]&lt;&gt;0,Main_M[[#This Row],[Current Price]]/Main_M[[#This Row],[BVPS]],""),"")</f>
        <v>2.0496946141032759</v>
      </c>
      <c r="J129">
        <v>6.25</v>
      </c>
      <c r="K129">
        <v>4.17</v>
      </c>
      <c r="L129">
        <v>2.39</v>
      </c>
      <c r="M129" s="1">
        <f>IF(ISNUMBER(Main_M[[#This Row],[EPS]]),IF(Main_M[[#This Row],[EPS]]&lt;&gt;0,Main_M[[#This Row],[Current Price]]/Main_M[[#This Row],[EPS]],""),"")</f>
        <v>47.63225806451613</v>
      </c>
      <c r="N12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29" s="1">
        <f>(Main_M[[#This Row],[P/FCF]]-VLOOKUP(Main_M[[#This Row],[Industry]], Mean_PFCF_M, 2, FALSE))/(VLOOKUP(Main_M[[#This Row],[Industry]], Mean_PFCF_M, 3, FALSE))</f>
        <v>3.9661268774727323</v>
      </c>
      <c r="P129" s="1">
        <f>(Main_M[[#This Row],[P/B]]-VLOOKUP(Main_M[[#This Row],[Industry]], Mean_PB_M, 2, FALSE))/(VLOOKUP(Main_M[[#This Row],[Industry]], Mean_PB_M, 3, FALSE))</f>
        <v>-0.53596466419691846</v>
      </c>
      <c r="Q129" s="1">
        <f>(Main_M[[#This Row],[ROE]]-VLOOKUP(Main_M[[#This Row],[Industry]], Mean_ROE_M, 2, FALSE))/(VLOOKUP(Main_M[[#This Row],[Industry]], Mean_ROE_M, 3, FALSE))</f>
        <v>-0.43252155942434928</v>
      </c>
      <c r="R129" s="1">
        <f>(Main_M[[#This Row],[ROA]]-VLOOKUP(Main_M[[#This Row],[Industry]], Mean_ROA_M, 2, FALSE))/(VLOOKUP(Main_M[[#This Row],[Industry]], Mean_ROA_M, 3, FALSE))</f>
        <v>-0.30183952099512162</v>
      </c>
      <c r="S129" s="1">
        <f>(Main_M[[#This Row],[A/E]]-VLOOKUP(Main_M[[#This Row],[Industry]], Mean_AE_M, 2, FALSE))/(VLOOKUP(Main_M[[#This Row],[Industry]], Mean_AE_M, 3, FALSE))</f>
        <v>-0.11179332794790542</v>
      </c>
      <c r="T129" s="1">
        <f>(Main_M[[#This Row],[P/E]]-VLOOKUP(Main_M[[#This Row],[Industry]], Mean_PE_M, 2, FALSE))/(VLOOKUP(Main_M[[#This Row],[Industry]], Mean_PE_M, 3, FALSE))</f>
        <v>2.0665166159560631</v>
      </c>
      <c r="U12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12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2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2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2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2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30" spans="1:26" x14ac:dyDescent="0.25">
      <c r="A130" t="s">
        <v>204</v>
      </c>
      <c r="B130" t="s">
        <v>371</v>
      </c>
      <c r="C130" s="2">
        <v>2855</v>
      </c>
      <c r="D130">
        <f>RTD("tos.rtd", , "LAST", Main_M[[#This Row],[Symbol]])</f>
        <v>4.4400000000000004</v>
      </c>
      <c r="E130">
        <v>0.48</v>
      </c>
      <c r="F130">
        <v>7.36</v>
      </c>
      <c r="G130">
        <v>-0.97</v>
      </c>
      <c r="H130" s="1">
        <f>IF(ISNUMBER(Main_M[[#This Row],[Free CF]]),IF(Main_M[[#This Row],[Free CF]]&lt;&gt;0,Main_M[[#This Row],[Current Price]]/Main_M[[#This Row],[Free CF]],""),"")</f>
        <v>9.2500000000000018</v>
      </c>
      <c r="I130" s="1">
        <f>IF(ISNUMBER(Main_M[[#This Row],[BVPS]]),IF(Main_M[[#This Row],[BVPS]]&lt;&gt;0,Main_M[[#This Row],[Current Price]]/Main_M[[#This Row],[BVPS]],""),"")</f>
        <v>0.60326086956521741</v>
      </c>
      <c r="J130">
        <v>-12.2</v>
      </c>
      <c r="K130">
        <v>1.2</v>
      </c>
      <c r="L130">
        <v>2.29</v>
      </c>
      <c r="M130" s="1">
        <f>IF(ISNUMBER(Main_M[[#This Row],[EPS]]),IF(Main_M[[#This Row],[EPS]]&lt;&gt;0,Main_M[[#This Row],[Current Price]]/Main_M[[#This Row],[EPS]],""),"")</f>
        <v>-4.5773195876288666</v>
      </c>
      <c r="N13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30" s="1">
        <f>(Main_M[[#This Row],[P/FCF]]-VLOOKUP(Main_M[[#This Row],[Industry]], Mean_PFCF_M, 2, FALSE))/(VLOOKUP(Main_M[[#This Row],[Industry]], Mean_PFCF_M, 3, FALSE))</f>
        <v>-1.1494141191243812</v>
      </c>
      <c r="P130" s="1">
        <f>(Main_M[[#This Row],[P/B]]-VLOOKUP(Main_M[[#This Row],[Industry]], Mean_PB_M, 2, FALSE))/(VLOOKUP(Main_M[[#This Row],[Industry]], Mean_PB_M, 3, FALSE))</f>
        <v>-1.2213459972443137</v>
      </c>
      <c r="Q130" s="1">
        <f>(Main_M[[#This Row],[ROE]]-VLOOKUP(Main_M[[#This Row],[Industry]], Mean_ROE_M, 2, FALSE))/(VLOOKUP(Main_M[[#This Row],[Industry]], Mean_ROE_M, 3, FALSE))</f>
        <v>-0.98894383284997933</v>
      </c>
      <c r="R130" s="1">
        <f>(Main_M[[#This Row],[ROA]]-VLOOKUP(Main_M[[#This Row],[Industry]], Mean_ROA_M, 2, FALSE))/(VLOOKUP(Main_M[[#This Row],[Industry]], Mean_ROA_M, 3, FALSE))</f>
        <v>-1.1423881422416253</v>
      </c>
      <c r="S130" s="1">
        <f>(Main_M[[#This Row],[A/E]]-VLOOKUP(Main_M[[#This Row],[Industry]], Mean_AE_M, 2, FALSE))/(VLOOKUP(Main_M[[#This Row],[Industry]], Mean_AE_M, 3, FALSE))</f>
        <v>-0.25237176428958336</v>
      </c>
      <c r="T130" s="1">
        <f>(Main_M[[#This Row],[P/E]]-VLOOKUP(Main_M[[#This Row],[Industry]], Mean_PE_M, 2, FALSE))/(VLOOKUP(Main_M[[#This Row],[Industry]], Mean_PE_M, 3, FALSE))</f>
        <v>-2.207125837591903</v>
      </c>
      <c r="U13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3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3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3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3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3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31" spans="1:26" x14ac:dyDescent="0.25">
      <c r="A131" t="s">
        <v>204</v>
      </c>
      <c r="B131" t="s">
        <v>372</v>
      </c>
      <c r="C131" s="2">
        <v>4000</v>
      </c>
      <c r="D131">
        <f>RTD("tos.rtd", , "LAST", Main_M[[#This Row],[Symbol]])</f>
        <v>8.9700000000000006</v>
      </c>
      <c r="E131">
        <v>0.49</v>
      </c>
      <c r="F131">
        <v>7.38</v>
      </c>
      <c r="G131">
        <v>-0.06</v>
      </c>
      <c r="H131" s="1">
        <f>IF(ISNUMBER(Main_M[[#This Row],[Free CF]]),IF(Main_M[[#This Row],[Free CF]]&lt;&gt;0,Main_M[[#This Row],[Current Price]]/Main_M[[#This Row],[Free CF]],""),"")</f>
        <v>18.306122448979593</v>
      </c>
      <c r="I131" s="1">
        <f>IF(ISNUMBER(Main_M[[#This Row],[BVPS]]),IF(Main_M[[#This Row],[BVPS]]&lt;&gt;0,Main_M[[#This Row],[Current Price]]/Main_M[[#This Row],[BVPS]],""),"")</f>
        <v>1.2154471544715448</v>
      </c>
      <c r="J131">
        <v>-0.52</v>
      </c>
      <c r="K131">
        <v>1.77</v>
      </c>
      <c r="L131">
        <v>2.66</v>
      </c>
      <c r="M131" s="1">
        <f>IF(ISNUMBER(Main_M[[#This Row],[EPS]]),IF(Main_M[[#This Row],[EPS]]&lt;&gt;0,Main_M[[#This Row],[Current Price]]/Main_M[[#This Row],[EPS]],""),"")</f>
        <v>-149.50000000000003</v>
      </c>
      <c r="N13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31" s="1">
        <f>(Main_M[[#This Row],[P/FCF]]-VLOOKUP(Main_M[[#This Row],[Industry]], Mean_PFCF_M, 2, FALSE))/(VLOOKUP(Main_M[[#This Row],[Industry]], Mean_PFCF_M, 3, FALSE))</f>
        <v>4.7926270457832071E-2</v>
      </c>
      <c r="P131" s="1">
        <f>(Main_M[[#This Row],[P/B]]-VLOOKUP(Main_M[[#This Row],[Industry]], Mean_PB_M, 2, FALSE))/(VLOOKUP(Main_M[[#This Row],[Industry]], Mean_PB_M, 3, FALSE))</f>
        <v>-0.93126630738169158</v>
      </c>
      <c r="Q131" s="1">
        <f>(Main_M[[#This Row],[ROE]]-VLOOKUP(Main_M[[#This Row],[Industry]], Mean_ROE_M, 2, FALSE))/(VLOOKUP(Main_M[[#This Row],[Industry]], Mean_ROE_M, 3, FALSE))</f>
        <v>-0.63669385162443137</v>
      </c>
      <c r="R131" s="1">
        <f>(Main_M[[#This Row],[ROA]]-VLOOKUP(Main_M[[#This Row],[Industry]], Mean_ROA_M, 2, FALSE))/(VLOOKUP(Main_M[[#This Row],[Industry]], Mean_ROA_M, 3, FALSE))</f>
        <v>-0.98107073008320544</v>
      </c>
      <c r="S131" s="1">
        <f>(Main_M[[#This Row],[A/E]]-VLOOKUP(Main_M[[#This Row],[Industry]], Mean_AE_M, 2, FALSE))/(VLOOKUP(Main_M[[#This Row],[Industry]], Mean_AE_M, 3, FALSE))</f>
        <v>0.26776845017462469</v>
      </c>
      <c r="T131" s="1">
        <f>(Main_M[[#This Row],[P/E]]-VLOOKUP(Main_M[[#This Row],[Industry]], Mean_PE_M, 2, FALSE))/(VLOOKUP(Main_M[[#This Row],[Industry]], Mean_PE_M, 3, FALSE))</f>
        <v>-14.069848107034128</v>
      </c>
      <c r="U13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3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3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3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3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3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132" spans="1:26" x14ac:dyDescent="0.25">
      <c r="A132" t="s">
        <v>204</v>
      </c>
      <c r="B132" t="s">
        <v>373</v>
      </c>
      <c r="C132" s="2">
        <v>3800</v>
      </c>
      <c r="D132">
        <f>RTD("tos.rtd", , "LAST", Main_M[[#This Row],[Symbol]])</f>
        <v>79.14</v>
      </c>
      <c r="E132">
        <v>2.69</v>
      </c>
      <c r="F132">
        <v>8.61</v>
      </c>
      <c r="G132">
        <v>2.04</v>
      </c>
      <c r="H132" s="1">
        <f>IF(ISNUMBER(Main_M[[#This Row],[Free CF]]),IF(Main_M[[#This Row],[Free CF]]&lt;&gt;0,Main_M[[#This Row],[Current Price]]/Main_M[[#This Row],[Free CF]],""),"")</f>
        <v>29.42007434944238</v>
      </c>
      <c r="I132" s="1">
        <f>IF(ISNUMBER(Main_M[[#This Row],[BVPS]]),IF(Main_M[[#This Row],[BVPS]]&lt;&gt;0,Main_M[[#This Row],[Current Price]]/Main_M[[#This Row],[BVPS]],""),"")</f>
        <v>9.1916376306620222</v>
      </c>
      <c r="J132">
        <v>25.87</v>
      </c>
      <c r="K132">
        <v>11.96</v>
      </c>
      <c r="L132">
        <v>1.73</v>
      </c>
      <c r="M132" s="1">
        <f>IF(ISNUMBER(Main_M[[#This Row],[EPS]]),IF(Main_M[[#This Row],[EPS]]&lt;&gt;0,Main_M[[#This Row],[Current Price]]/Main_M[[#This Row],[EPS]],""),"")</f>
        <v>38.794117647058826</v>
      </c>
      <c r="N13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32" s="1">
        <f>(Main_M[[#This Row],[P/FCF]]-VLOOKUP(Main_M[[#This Row],[Industry]], Mean_PFCF_M, 2, FALSE))/(VLOOKUP(Main_M[[#This Row],[Industry]], Mean_PFCF_M, 3, FALSE))</f>
        <v>1.5173392088614523</v>
      </c>
      <c r="P132" s="1">
        <f>(Main_M[[#This Row],[P/B]]-VLOOKUP(Main_M[[#This Row],[Industry]], Mean_PB_M, 2, FALSE))/(VLOOKUP(Main_M[[#This Row],[Industry]], Mean_PB_M, 3, FALSE))</f>
        <v>2.8481892548620213</v>
      </c>
      <c r="Q132" s="1">
        <f>(Main_M[[#This Row],[ROE]]-VLOOKUP(Main_M[[#This Row],[Industry]], Mean_ROE_M, 2, FALSE))/(VLOOKUP(Main_M[[#This Row],[Industry]], Mean_ROE_M, 3, FALSE))</f>
        <v>0.15918602890144262</v>
      </c>
      <c r="R132" s="1">
        <f>(Main_M[[#This Row],[ROA]]-VLOOKUP(Main_M[[#This Row],[Industry]], Mean_ROA_M, 2, FALSE))/(VLOOKUP(Main_M[[#This Row],[Industry]], Mean_ROA_M, 3, FALSE))</f>
        <v>1.9028317785032842</v>
      </c>
      <c r="S132" s="1">
        <f>(Main_M[[#This Row],[A/E]]-VLOOKUP(Main_M[[#This Row],[Industry]], Mean_AE_M, 2, FALSE))/(VLOOKUP(Main_M[[#This Row],[Industry]], Mean_AE_M, 3, FALSE))</f>
        <v>-1.0396110078029792</v>
      </c>
      <c r="T132" s="1">
        <f>(Main_M[[#This Row],[P/E]]-VLOOKUP(Main_M[[#This Row],[Industry]], Mean_PE_M, 2, FALSE))/(VLOOKUP(Main_M[[#This Row],[Industry]], Mean_PE_M, 3, FALSE))</f>
        <v>1.3430659810913339</v>
      </c>
      <c r="U13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3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3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3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3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3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33" spans="1:26" x14ac:dyDescent="0.25">
      <c r="A133" t="s">
        <v>204</v>
      </c>
      <c r="B133" t="s">
        <v>374</v>
      </c>
      <c r="C133" s="2">
        <v>5660</v>
      </c>
      <c r="D133">
        <f>RTD("tos.rtd", , "LAST", Main_M[[#This Row],[Symbol]])</f>
        <v>162.91</v>
      </c>
      <c r="E133">
        <v>4.43</v>
      </c>
      <c r="F133">
        <v>62.77</v>
      </c>
      <c r="G133">
        <v>7.32</v>
      </c>
      <c r="H133" s="1">
        <f>IF(ISNUMBER(Main_M[[#This Row],[Free CF]]),IF(Main_M[[#This Row],[Free CF]]&lt;&gt;0,Main_M[[#This Row],[Current Price]]/Main_M[[#This Row],[Free CF]],""),"")</f>
        <v>36.77426636568849</v>
      </c>
      <c r="I133" s="1">
        <f>IF(ISNUMBER(Main_M[[#This Row],[BVPS]]),IF(Main_M[[#This Row],[BVPS]]&lt;&gt;0,Main_M[[#This Row],[Current Price]]/Main_M[[#This Row],[BVPS]],""),"")</f>
        <v>2.5953480962243107</v>
      </c>
      <c r="J133">
        <v>12.46</v>
      </c>
      <c r="K133">
        <v>6.73</v>
      </c>
      <c r="L133">
        <v>1.56</v>
      </c>
      <c r="M133" s="1">
        <f>IF(ISNUMBER(Main_M[[#This Row],[EPS]]),IF(Main_M[[#This Row],[EPS]]&lt;&gt;0,Main_M[[#This Row],[Current Price]]/Main_M[[#This Row],[EPS]],""),"")</f>
        <v>22.255464480874316</v>
      </c>
      <c r="N13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33" s="1">
        <f>(Main_M[[#This Row],[P/FCF]]-VLOOKUP(Main_M[[#This Row],[Industry]], Mean_PFCF_M, 2, FALSE))/(VLOOKUP(Main_M[[#This Row],[Industry]], Mean_PFCF_M, 3, FALSE))</f>
        <v>2.4896616551846784</v>
      </c>
      <c r="P133" s="1">
        <f>(Main_M[[#This Row],[P/B]]-VLOOKUP(Main_M[[#This Row],[Industry]], Mean_PB_M, 2, FALSE))/(VLOOKUP(Main_M[[#This Row],[Industry]], Mean_PB_M, 3, FALSE))</f>
        <v>-0.27741102330581457</v>
      </c>
      <c r="Q133" s="1">
        <f>(Main_M[[#This Row],[ROE]]-VLOOKUP(Main_M[[#This Row],[Industry]], Mean_ROE_M, 2, FALSE))/(VLOOKUP(Main_M[[#This Row],[Industry]], Mean_ROE_M, 3, FALSE))</f>
        <v>-0.24523796495425917</v>
      </c>
      <c r="R133" s="1">
        <f>(Main_M[[#This Row],[ROA]]-VLOOKUP(Main_M[[#This Row],[Industry]], Mean_ROA_M, 2, FALSE))/(VLOOKUP(Main_M[[#This Row],[Industry]], Mean_ROA_M, 3, FALSE))</f>
        <v>0.42267376869883466</v>
      </c>
      <c r="S133" s="1">
        <f>(Main_M[[#This Row],[A/E]]-VLOOKUP(Main_M[[#This Row],[Industry]], Mean_AE_M, 2, FALSE))/(VLOOKUP(Main_M[[#This Row],[Industry]], Mean_AE_M, 3, FALSE))</f>
        <v>-1.2785943495838314</v>
      </c>
      <c r="T133" s="1">
        <f>(Main_M[[#This Row],[P/E]]-VLOOKUP(Main_M[[#This Row],[Industry]], Mean_PE_M, 2, FALSE))/(VLOOKUP(Main_M[[#This Row],[Industry]], Mean_PE_M, 3, FALSE))</f>
        <v>-1.0714177147654432E-2</v>
      </c>
      <c r="U13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3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3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3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3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3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34" spans="1:26" x14ac:dyDescent="0.25">
      <c r="A134" t="s">
        <v>204</v>
      </c>
      <c r="B134" t="s">
        <v>375</v>
      </c>
      <c r="C134" s="2">
        <v>2601</v>
      </c>
      <c r="D134">
        <f>RTD("tos.rtd", , "LAST", Main_M[[#This Row],[Symbol]])</f>
        <v>149.80000000000001</v>
      </c>
      <c r="E134">
        <v>10.84</v>
      </c>
      <c r="F134">
        <v>30.19</v>
      </c>
      <c r="G134">
        <v>6.67</v>
      </c>
      <c r="H134" s="1">
        <f>IF(ISNUMBER(Main_M[[#This Row],[Free CF]]),IF(Main_M[[#This Row],[Free CF]]&lt;&gt;0,Main_M[[#This Row],[Current Price]]/Main_M[[#This Row],[Free CF]],""),"")</f>
        <v>13.819188191881921</v>
      </c>
      <c r="I134" s="1">
        <f>IF(ISNUMBER(Main_M[[#This Row],[BVPS]]),IF(Main_M[[#This Row],[BVPS]]&lt;&gt;0,Main_M[[#This Row],[Current Price]]/Main_M[[#This Row],[BVPS]],""),"")</f>
        <v>4.9619079165286522</v>
      </c>
      <c r="J134">
        <v>24.88</v>
      </c>
      <c r="K134">
        <v>9.5399999999999991</v>
      </c>
      <c r="L134">
        <v>2.76</v>
      </c>
      <c r="M134" s="1">
        <f>IF(ISNUMBER(Main_M[[#This Row],[EPS]]),IF(Main_M[[#This Row],[EPS]]&lt;&gt;0,Main_M[[#This Row],[Current Price]]/Main_M[[#This Row],[EPS]],""),"")</f>
        <v>22.458770614692657</v>
      </c>
      <c r="N13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34" s="1">
        <f>(Main_M[[#This Row],[P/FCF]]-VLOOKUP(Main_M[[#This Row],[Industry]], Mean_PFCF_M, 2, FALSE))/(VLOOKUP(Main_M[[#This Row],[Industry]], Mean_PFCF_M, 3, FALSE))</f>
        <v>-0.54530638973311374</v>
      </c>
      <c r="P134" s="1">
        <f>(Main_M[[#This Row],[P/B]]-VLOOKUP(Main_M[[#This Row],[Industry]], Mean_PB_M, 2, FALSE))/(VLOOKUP(Main_M[[#This Row],[Industry]], Mean_PB_M, 3, FALSE))</f>
        <v>0.84396486446055086</v>
      </c>
      <c r="Q134" s="1">
        <f>(Main_M[[#This Row],[ROE]]-VLOOKUP(Main_M[[#This Row],[Industry]], Mean_ROE_M, 2, FALSE))/(VLOOKUP(Main_M[[#This Row],[Industry]], Mean_ROE_M, 3, FALSE))</f>
        <v>0.12932922398592095</v>
      </c>
      <c r="R134" s="1">
        <f>(Main_M[[#This Row],[ROA]]-VLOOKUP(Main_M[[#This Row],[Industry]], Mean_ROA_M, 2, FALSE))/(VLOOKUP(Main_M[[#This Row],[Industry]], Mean_ROA_M, 3, FALSE))</f>
        <v>1.2179403093394658</v>
      </c>
      <c r="S134" s="1">
        <f>(Main_M[[#This Row],[A/E]]-VLOOKUP(Main_M[[#This Row],[Industry]], Mean_AE_M, 2, FALSE))/(VLOOKUP(Main_M[[#This Row],[Industry]], Mean_AE_M, 3, FALSE))</f>
        <v>0.40834688651630202</v>
      </c>
      <c r="T134" s="1">
        <f>(Main_M[[#This Row],[P/E]]-VLOOKUP(Main_M[[#This Row],[Industry]], Mean_PE_M, 2, FALSE))/(VLOOKUP(Main_M[[#This Row],[Industry]], Mean_PE_M, 3, FALSE))</f>
        <v>5.9275534241129638E-3</v>
      </c>
      <c r="U13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3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3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3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3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3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35" spans="1:26" x14ac:dyDescent="0.25">
      <c r="A135" t="s">
        <v>204</v>
      </c>
      <c r="B135" t="s">
        <v>377</v>
      </c>
      <c r="C135" s="2">
        <v>7060</v>
      </c>
      <c r="D135">
        <f>RTD("tos.rtd", , "LAST", Main_M[[#This Row],[Symbol]])</f>
        <v>55.96</v>
      </c>
      <c r="E135">
        <v>2.87</v>
      </c>
      <c r="F135">
        <v>10.97</v>
      </c>
      <c r="G135">
        <v>2.79</v>
      </c>
      <c r="H135" s="1">
        <f>IF(ISNUMBER(Main_M[[#This Row],[Free CF]]),IF(Main_M[[#This Row],[Free CF]]&lt;&gt;0,Main_M[[#This Row],[Current Price]]/Main_M[[#This Row],[Free CF]],""),"")</f>
        <v>19.498257839721255</v>
      </c>
      <c r="I135" s="1">
        <f>IF(ISNUMBER(Main_M[[#This Row],[BVPS]]),IF(Main_M[[#This Row],[BVPS]]&lt;&gt;0,Main_M[[#This Row],[Current Price]]/Main_M[[#This Row],[BVPS]],""),"")</f>
        <v>5.1011850501367366</v>
      </c>
      <c r="J135">
        <v>26.63</v>
      </c>
      <c r="K135">
        <v>5.66</v>
      </c>
      <c r="L135">
        <v>4.59</v>
      </c>
      <c r="M135" s="1">
        <f>IF(ISNUMBER(Main_M[[#This Row],[EPS]]),IF(Main_M[[#This Row],[EPS]]&lt;&gt;0,Main_M[[#This Row],[Current Price]]/Main_M[[#This Row],[EPS]],""),"")</f>
        <v>20.057347670250895</v>
      </c>
      <c r="N13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35" s="1">
        <f>(Main_M[[#This Row],[P/FCF]]-VLOOKUP(Main_M[[#This Row],[Industry]], Mean_PFCF_M, 2, FALSE))/(VLOOKUP(Main_M[[#This Row],[Industry]], Mean_PFCF_M, 3, FALSE))</f>
        <v>0.20554249762646956</v>
      </c>
      <c r="P135" s="1">
        <f>(Main_M[[#This Row],[P/B]]-VLOOKUP(Main_M[[#This Row],[Industry]], Mean_PB_M, 2, FALSE))/(VLOOKUP(Main_M[[#This Row],[Industry]], Mean_PB_M, 3, FALSE))</f>
        <v>0.90996024645145912</v>
      </c>
      <c r="Q135" s="1">
        <f>(Main_M[[#This Row],[ROE]]-VLOOKUP(Main_M[[#This Row],[Industry]], Mean_ROE_M, 2, FALSE))/(VLOOKUP(Main_M[[#This Row],[Industry]], Mean_ROE_M, 3, FALSE))</f>
        <v>0.18210640439214601</v>
      </c>
      <c r="R135" s="1">
        <f>(Main_M[[#This Row],[ROA]]-VLOOKUP(Main_M[[#This Row],[Industry]], Mean_ROA_M, 2, FALSE))/(VLOOKUP(Main_M[[#This Row],[Industry]], Mean_ROA_M, 3, FALSE))</f>
        <v>0.11984985464706385</v>
      </c>
      <c r="S135" s="1">
        <f>(Main_M[[#This Row],[A/E]]-VLOOKUP(Main_M[[#This Row],[Industry]], Mean_AE_M, 2, FALSE))/(VLOOKUP(Main_M[[#This Row],[Industry]], Mean_AE_M, 3, FALSE))</f>
        <v>2.9809322715690061</v>
      </c>
      <c r="T135" s="1">
        <f>(Main_M[[#This Row],[P/E]]-VLOOKUP(Main_M[[#This Row],[Industry]], Mean_PE_M, 2, FALSE))/(VLOOKUP(Main_M[[#This Row],[Industry]], Mean_PE_M, 3, FALSE))</f>
        <v>-0.19064218542089822</v>
      </c>
      <c r="U13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3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3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3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3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3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36" spans="1:26" x14ac:dyDescent="0.25">
      <c r="A136" t="s">
        <v>204</v>
      </c>
      <c r="B136" t="s">
        <v>215</v>
      </c>
      <c r="C136" s="2">
        <v>6722</v>
      </c>
      <c r="D136">
        <f>RTD("tos.rtd", , "LAST", Main_M[[#This Row],[Symbol]])</f>
        <v>65.3</v>
      </c>
      <c r="E136">
        <v>4.9000000000000004</v>
      </c>
      <c r="F136">
        <v>22.97</v>
      </c>
      <c r="G136">
        <v>2.35</v>
      </c>
      <c r="H136" s="1">
        <f>IF(ISNUMBER(Main_M[[#This Row],[Free CF]]),IF(Main_M[[#This Row],[Free CF]]&lt;&gt;0,Main_M[[#This Row],[Current Price]]/Main_M[[#This Row],[Free CF]],""),"")</f>
        <v>13.326530612244897</v>
      </c>
      <c r="I136" s="1">
        <f>IF(ISNUMBER(Main_M[[#This Row],[BVPS]]),IF(Main_M[[#This Row],[BVPS]]&lt;&gt;0,Main_M[[#This Row],[Current Price]]/Main_M[[#This Row],[BVPS]],""),"")</f>
        <v>2.8428384849804091</v>
      </c>
      <c r="J136">
        <v>13.26</v>
      </c>
      <c r="K136">
        <v>5.5</v>
      </c>
      <c r="L136">
        <v>2.2200000000000002</v>
      </c>
      <c r="M136" s="1">
        <f>IF(ISNUMBER(Main_M[[#This Row],[EPS]]),IF(Main_M[[#This Row],[EPS]]&lt;&gt;0,Main_M[[#This Row],[Current Price]]/Main_M[[#This Row],[EPS]],""),"")</f>
        <v>27.787234042553191</v>
      </c>
      <c r="N13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YES</v>
      </c>
      <c r="O136" s="1">
        <f>(Main_M[[#This Row],[P/FCF]]-VLOOKUP(Main_M[[#This Row],[Industry]], Mean_PFCF_M, 2, FALSE))/(VLOOKUP(Main_M[[#This Row],[Industry]], Mean_PFCF_M, 3, FALSE))</f>
        <v>-0.61044230432089519</v>
      </c>
      <c r="P136" s="1">
        <f>(Main_M[[#This Row],[P/B]]-VLOOKUP(Main_M[[#This Row],[Industry]], Mean_PB_M, 2, FALSE))/(VLOOKUP(Main_M[[#This Row],[Industry]], Mean_PB_M, 3, FALSE))</f>
        <v>-0.16013963552009522</v>
      </c>
      <c r="Q136" s="1">
        <f>(Main_M[[#This Row],[ROE]]-VLOOKUP(Main_M[[#This Row],[Industry]], Mean_ROE_M, 2, FALSE))/(VLOOKUP(Main_M[[#This Row],[Industry]], Mean_ROE_M, 3, FALSE))</f>
        <v>-0.22111125391141345</v>
      </c>
      <c r="R136" s="1">
        <f>(Main_M[[#This Row],[ROA]]-VLOOKUP(Main_M[[#This Row],[Industry]], Mean_ROA_M, 2, FALSE))/(VLOOKUP(Main_M[[#This Row],[Industry]], Mean_ROA_M, 3, FALSE))</f>
        <v>7.4567774041191554E-2</v>
      </c>
      <c r="S136" s="1">
        <f>(Main_M[[#This Row],[A/E]]-VLOOKUP(Main_M[[#This Row],[Industry]], Mean_AE_M, 2, FALSE))/(VLOOKUP(Main_M[[#This Row],[Industry]], Mean_AE_M, 3, FALSE))</f>
        <v>-0.3507766697287576</v>
      </c>
      <c r="T136" s="1">
        <f>(Main_M[[#This Row],[P/E]]-VLOOKUP(Main_M[[#This Row],[Industry]], Mean_PE_M, 2, FALSE))/(VLOOKUP(Main_M[[#This Row],[Industry]], Mean_PE_M, 3, FALSE))</f>
        <v>0.44209173136871133</v>
      </c>
      <c r="U13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3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3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3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3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3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37" spans="1:26" x14ac:dyDescent="0.25">
      <c r="A137" t="s">
        <v>204</v>
      </c>
      <c r="B137" t="s">
        <v>378</v>
      </c>
      <c r="C137" s="2">
        <v>5697</v>
      </c>
      <c r="D137">
        <f>RTD("tos.rtd", , "LAST", Main_M[[#This Row],[Symbol]])</f>
        <v>119.08</v>
      </c>
      <c r="E137">
        <v>9.14</v>
      </c>
      <c r="F137">
        <v>32.85</v>
      </c>
      <c r="G137">
        <v>7.17</v>
      </c>
      <c r="H137" s="1">
        <f>IF(ISNUMBER(Main_M[[#This Row],[Free CF]]),IF(Main_M[[#This Row],[Free CF]]&lt;&gt;0,Main_M[[#This Row],[Current Price]]/Main_M[[#This Row],[Free CF]],""),"")</f>
        <v>13.028446389496716</v>
      </c>
      <c r="I137" s="1">
        <f>IF(ISNUMBER(Main_M[[#This Row],[BVPS]]),IF(Main_M[[#This Row],[BVPS]]&lt;&gt;0,Main_M[[#This Row],[Current Price]]/Main_M[[#This Row],[BVPS]],""),"")</f>
        <v>3.6249619482496191</v>
      </c>
      <c r="J137">
        <v>21.54</v>
      </c>
      <c r="K137">
        <v>6.58</v>
      </c>
      <c r="L137">
        <v>3.33</v>
      </c>
      <c r="M137" s="1">
        <f>IF(ISNUMBER(Main_M[[#This Row],[EPS]]),IF(Main_M[[#This Row],[EPS]]&lt;&gt;0,Main_M[[#This Row],[Current Price]]/Main_M[[#This Row],[EPS]],""),"")</f>
        <v>16.608089260808924</v>
      </c>
      <c r="N13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37" s="1">
        <f>(Main_M[[#This Row],[P/FCF]]-VLOOKUP(Main_M[[#This Row],[Industry]], Mean_PFCF_M, 2, FALSE))/(VLOOKUP(Main_M[[#This Row],[Industry]], Mean_PFCF_M, 3, FALSE))</f>
        <v>-0.6498530213694298</v>
      </c>
      <c r="P137" s="1">
        <f>(Main_M[[#This Row],[P/B]]-VLOOKUP(Main_M[[#This Row],[Industry]], Mean_PB_M, 2, FALSE))/(VLOOKUP(Main_M[[#This Row],[Industry]], Mean_PB_M, 3, FALSE))</f>
        <v>0.21046345908227354</v>
      </c>
      <c r="Q137" s="1">
        <f>(Main_M[[#This Row],[ROE]]-VLOOKUP(Main_M[[#This Row],[Industry]], Mean_ROE_M, 2, FALSE))/(VLOOKUP(Main_M[[#This Row],[Industry]], Mean_ROE_M, 3, FALSE))</f>
        <v>2.8600205382039976E-2</v>
      </c>
      <c r="R137" s="1">
        <f>(Main_M[[#This Row],[ROA]]-VLOOKUP(Main_M[[#This Row],[Industry]], Mean_ROA_M, 2, FALSE))/(VLOOKUP(Main_M[[#This Row],[Industry]], Mean_ROA_M, 3, FALSE))</f>
        <v>0.38022181813082934</v>
      </c>
      <c r="S137" s="1">
        <f>(Main_M[[#This Row],[A/E]]-VLOOKUP(Main_M[[#This Row],[Industry]], Mean_AE_M, 2, FALSE))/(VLOOKUP(Main_M[[#This Row],[Industry]], Mean_AE_M, 3, FALSE))</f>
        <v>1.209643973663866</v>
      </c>
      <c r="T137" s="1">
        <f>(Main_M[[#This Row],[P/E]]-VLOOKUP(Main_M[[#This Row],[Industry]], Mean_PE_M, 2, FALSE))/(VLOOKUP(Main_M[[#This Row],[Industry]], Mean_PE_M, 3, FALSE))</f>
        <v>-0.47298304766771082</v>
      </c>
      <c r="U13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3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3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3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3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3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38" spans="1:26" x14ac:dyDescent="0.25">
      <c r="A138" t="s">
        <v>204</v>
      </c>
      <c r="B138" t="s">
        <v>379</v>
      </c>
      <c r="C138" s="2">
        <v>3219</v>
      </c>
      <c r="D138">
        <f>RTD("tos.rtd", , "LAST", Main_M[[#This Row],[Symbol]])</f>
        <v>55.17</v>
      </c>
      <c r="E138">
        <v>7.47</v>
      </c>
      <c r="F138">
        <v>63.21</v>
      </c>
      <c r="G138">
        <v>4</v>
      </c>
      <c r="H138" s="1">
        <f>IF(ISNUMBER(Main_M[[#This Row],[Free CF]]),IF(Main_M[[#This Row],[Free CF]]&lt;&gt;0,Main_M[[#This Row],[Current Price]]/Main_M[[#This Row],[Free CF]],""),"")</f>
        <v>7.3855421686746991</v>
      </c>
      <c r="I138" s="1">
        <f>IF(ISNUMBER(Main_M[[#This Row],[BVPS]]),IF(Main_M[[#This Row],[BVPS]]&lt;&gt;0,Main_M[[#This Row],[Current Price]]/Main_M[[#This Row],[BVPS]],""),"")</f>
        <v>0.87280493592785957</v>
      </c>
      <c r="J138">
        <v>6.62</v>
      </c>
      <c r="K138">
        <v>3.92</v>
      </c>
      <c r="L138">
        <v>2.95</v>
      </c>
      <c r="M138" s="1">
        <f>IF(ISNUMBER(Main_M[[#This Row],[EPS]]),IF(Main_M[[#This Row],[EPS]]&lt;&gt;0,Main_M[[#This Row],[Current Price]]/Main_M[[#This Row],[EPS]],""),"")</f>
        <v>13.7925</v>
      </c>
      <c r="N13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38" s="1">
        <f>(Main_M[[#This Row],[P/FCF]]-VLOOKUP(Main_M[[#This Row],[Industry]], Mean_PFCF_M, 2, FALSE))/(VLOOKUP(Main_M[[#This Row],[Industry]], Mean_PFCF_M, 3, FALSE))</f>
        <v>-1.3959203560591724</v>
      </c>
      <c r="P138" s="1">
        <f>(Main_M[[#This Row],[P/B]]-VLOOKUP(Main_M[[#This Row],[Industry]], Mean_PB_M, 2, FALSE))/(VLOOKUP(Main_M[[#This Row],[Industry]], Mean_PB_M, 3, FALSE))</f>
        <v>-1.09362464656631</v>
      </c>
      <c r="Q138" s="1">
        <f>(Main_M[[#This Row],[ROE]]-VLOOKUP(Main_M[[#This Row],[Industry]], Mean_ROE_M, 2, FALSE))/(VLOOKUP(Main_M[[#This Row],[Industry]], Mean_ROE_M, 3, FALSE))</f>
        <v>-0.42136295556703307</v>
      </c>
      <c r="R138" s="1">
        <f>(Main_M[[#This Row],[ROA]]-VLOOKUP(Main_M[[#This Row],[Industry]], Mean_ROA_M, 2, FALSE))/(VLOOKUP(Main_M[[#This Row],[Industry]], Mean_ROA_M, 3, FALSE))</f>
        <v>-0.37259277194179702</v>
      </c>
      <c r="S138" s="1">
        <f>(Main_M[[#This Row],[A/E]]-VLOOKUP(Main_M[[#This Row],[Industry]], Mean_AE_M, 2, FALSE))/(VLOOKUP(Main_M[[#This Row],[Industry]], Mean_AE_M, 3, FALSE))</f>
        <v>0.67544591556549038</v>
      </c>
      <c r="T138" s="1">
        <f>(Main_M[[#This Row],[P/E]]-VLOOKUP(Main_M[[#This Row],[Industry]], Mean_PE_M, 2, FALSE))/(VLOOKUP(Main_M[[#This Row],[Industry]], Mean_PE_M, 3, FALSE))</f>
        <v>-0.70345458829034202</v>
      </c>
      <c r="U13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3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3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3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3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3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39" spans="1:26" x14ac:dyDescent="0.25">
      <c r="A139" t="s">
        <v>204</v>
      </c>
      <c r="B139" t="s">
        <v>380</v>
      </c>
      <c r="C139" s="2">
        <v>7492</v>
      </c>
      <c r="D139">
        <f>RTD("tos.rtd", , "LAST", Main_M[[#This Row],[Symbol]])</f>
        <v>46.86</v>
      </c>
      <c r="E139">
        <v>1.52</v>
      </c>
      <c r="F139">
        <v>6.22</v>
      </c>
      <c r="G139">
        <v>1.32</v>
      </c>
      <c r="H139" s="1">
        <f>IF(ISNUMBER(Main_M[[#This Row],[Free CF]]),IF(Main_M[[#This Row],[Free CF]]&lt;&gt;0,Main_M[[#This Row],[Current Price]]/Main_M[[#This Row],[Free CF]],""),"")</f>
        <v>30.828947368421051</v>
      </c>
      <c r="I139" s="1">
        <f>IF(ISNUMBER(Main_M[[#This Row],[BVPS]]),IF(Main_M[[#This Row],[BVPS]]&lt;&gt;0,Main_M[[#This Row],[Current Price]]/Main_M[[#This Row],[BVPS]],""),"")</f>
        <v>7.5337620578778139</v>
      </c>
      <c r="J139">
        <v>23.81</v>
      </c>
      <c r="K139">
        <v>11.26</v>
      </c>
      <c r="L139">
        <v>1.66</v>
      </c>
      <c r="M139" s="1">
        <f>IF(ISNUMBER(Main_M[[#This Row],[EPS]]),IF(Main_M[[#This Row],[EPS]]&lt;&gt;0,Main_M[[#This Row],[Current Price]]/Main_M[[#This Row],[EPS]],""),"")</f>
        <v>35.5</v>
      </c>
      <c r="N13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39" s="1">
        <f>(Main_M[[#This Row],[P/FCF]]-VLOOKUP(Main_M[[#This Row],[Industry]], Mean_PFCF_M, 2, FALSE))/(VLOOKUP(Main_M[[#This Row],[Industry]], Mean_PFCF_M, 3, FALSE))</f>
        <v>1.7036110463856751</v>
      </c>
      <c r="P139" s="1">
        <f>(Main_M[[#This Row],[P/B]]-VLOOKUP(Main_M[[#This Row],[Industry]], Mean_PB_M, 2, FALSE))/(VLOOKUP(Main_M[[#This Row],[Industry]], Mean_PB_M, 3, FALSE))</f>
        <v>2.0626178628834397</v>
      </c>
      <c r="Q139" s="1">
        <f>(Main_M[[#This Row],[ROE]]-VLOOKUP(Main_M[[#This Row],[Industry]], Mean_ROE_M, 2, FALSE))/(VLOOKUP(Main_M[[#This Row],[Industry]], Mean_ROE_M, 3, FALSE))</f>
        <v>9.7059747966114759E-2</v>
      </c>
      <c r="R139" s="1">
        <f>(Main_M[[#This Row],[ROA]]-VLOOKUP(Main_M[[#This Row],[Industry]], Mean_ROA_M, 2, FALSE))/(VLOOKUP(Main_M[[#This Row],[Industry]], Mean_ROA_M, 3, FALSE))</f>
        <v>1.7047226758525929</v>
      </c>
      <c r="S139" s="1">
        <f>(Main_M[[#This Row],[A/E]]-VLOOKUP(Main_M[[#This Row],[Industry]], Mean_AE_M, 2, FALSE))/(VLOOKUP(Main_M[[#This Row],[Industry]], Mean_AE_M, 3, FALSE))</f>
        <v>-1.1380159132421537</v>
      </c>
      <c r="T139" s="1">
        <f>(Main_M[[#This Row],[P/E]]-VLOOKUP(Main_M[[#This Row],[Industry]], Mean_PE_M, 2, FALSE))/(VLOOKUP(Main_M[[#This Row],[Industry]], Mean_PE_M, 3, FALSE))</f>
        <v>1.0734242475908571</v>
      </c>
      <c r="U13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3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3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3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3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3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40" spans="1:26" x14ac:dyDescent="0.25">
      <c r="A140" t="s">
        <v>204</v>
      </c>
      <c r="B140" t="s">
        <v>381</v>
      </c>
      <c r="C140" s="2">
        <v>8665</v>
      </c>
      <c r="D140">
        <f>RTD("tos.rtd", , "LAST", Main_M[[#This Row],[Symbol]])</f>
        <v>43.72</v>
      </c>
      <c r="E140">
        <v>2.97</v>
      </c>
      <c r="F140">
        <v>13.68</v>
      </c>
      <c r="G140">
        <v>2.85</v>
      </c>
      <c r="H140" s="1">
        <f>IF(ISNUMBER(Main_M[[#This Row],[Free CF]]),IF(Main_M[[#This Row],[Free CF]]&lt;&gt;0,Main_M[[#This Row],[Current Price]]/Main_M[[#This Row],[Free CF]],""),"")</f>
        <v>14.72053872053872</v>
      </c>
      <c r="I140" s="1">
        <f>IF(ISNUMBER(Main_M[[#This Row],[BVPS]]),IF(Main_M[[#This Row],[BVPS]]&lt;&gt;0,Main_M[[#This Row],[Current Price]]/Main_M[[#This Row],[BVPS]],""),"")</f>
        <v>3.1959064327485378</v>
      </c>
      <c r="J140">
        <v>22.15</v>
      </c>
      <c r="K140">
        <v>8.9</v>
      </c>
      <c r="L140">
        <v>2.09</v>
      </c>
      <c r="M140" s="1">
        <f>IF(ISNUMBER(Main_M[[#This Row],[EPS]]),IF(Main_M[[#This Row],[EPS]]&lt;&gt;0,Main_M[[#This Row],[Current Price]]/Main_M[[#This Row],[EPS]],""),"")</f>
        <v>15.340350877192982</v>
      </c>
      <c r="N14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40" s="1">
        <f>(Main_M[[#This Row],[P/FCF]]-VLOOKUP(Main_M[[#This Row],[Industry]], Mean_PFCF_M, 2, FALSE))/(VLOOKUP(Main_M[[#This Row],[Industry]], Mean_PFCF_M, 3, FALSE))</f>
        <v>-0.4261358066041645</v>
      </c>
      <c r="P140" s="1">
        <f>(Main_M[[#This Row],[P/B]]-VLOOKUP(Main_M[[#This Row],[Industry]], Mean_PB_M, 2, FALSE))/(VLOOKUP(Main_M[[#This Row],[Industry]], Mean_PB_M, 3, FALSE))</f>
        <v>7.1588540314675049E-3</v>
      </c>
      <c r="Q140" s="1">
        <f>(Main_M[[#This Row],[ROE]]-VLOOKUP(Main_M[[#This Row],[Industry]], Mean_ROE_M, 2, FALSE))/(VLOOKUP(Main_M[[#This Row],[Industry]], Mean_ROE_M, 3, FALSE))</f>
        <v>4.6996822552209841E-2</v>
      </c>
      <c r="R140" s="1">
        <f>(Main_M[[#This Row],[ROA]]-VLOOKUP(Main_M[[#This Row],[Industry]], Mean_ROA_M, 2, FALSE))/(VLOOKUP(Main_M[[#This Row],[Industry]], Mean_ROA_M, 3, FALSE))</f>
        <v>1.0368119869159771</v>
      </c>
      <c r="S140" s="1">
        <f>(Main_M[[#This Row],[A/E]]-VLOOKUP(Main_M[[#This Row],[Industry]], Mean_AE_M, 2, FALSE))/(VLOOKUP(Main_M[[#This Row],[Industry]], Mean_AE_M, 3, FALSE))</f>
        <v>-0.53352863697293929</v>
      </c>
      <c r="T140" s="1">
        <f>(Main_M[[#This Row],[P/E]]-VLOOKUP(Main_M[[#This Row],[Industry]], Mean_PE_M, 2, FALSE))/(VLOOKUP(Main_M[[#This Row],[Industry]], Mean_PE_M, 3, FALSE))</f>
        <v>-0.5767544401947825</v>
      </c>
      <c r="U14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4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4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4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4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4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41" spans="1:26" x14ac:dyDescent="0.25">
      <c r="A141" t="s">
        <v>204</v>
      </c>
      <c r="B141" t="s">
        <v>382</v>
      </c>
      <c r="C141" s="2">
        <v>3801</v>
      </c>
      <c r="D141">
        <f>RTD("tos.rtd", , "LAST", Main_M[[#This Row],[Symbol]])</f>
        <v>75.36</v>
      </c>
      <c r="E141">
        <v>4.63</v>
      </c>
      <c r="F141">
        <v>28.75</v>
      </c>
      <c r="G141">
        <v>4.6500000000000004</v>
      </c>
      <c r="H141" s="1">
        <f>IF(ISNUMBER(Main_M[[#This Row],[Free CF]]),IF(Main_M[[#This Row],[Free CF]]&lt;&gt;0,Main_M[[#This Row],[Current Price]]/Main_M[[#This Row],[Free CF]],""),"")</f>
        <v>16.276457883369332</v>
      </c>
      <c r="I141" s="1">
        <f>IF(ISNUMBER(Main_M[[#This Row],[BVPS]]),IF(Main_M[[#This Row],[BVPS]]&lt;&gt;0,Main_M[[#This Row],[Current Price]]/Main_M[[#This Row],[BVPS]],""),"")</f>
        <v>2.6212173913043477</v>
      </c>
      <c r="J141">
        <v>16.88</v>
      </c>
      <c r="K141">
        <v>7.3</v>
      </c>
      <c r="L141">
        <v>2.46</v>
      </c>
      <c r="M141" s="1">
        <f>IF(ISNUMBER(Main_M[[#This Row],[EPS]]),IF(Main_M[[#This Row],[EPS]]&lt;&gt;0,Main_M[[#This Row],[Current Price]]/Main_M[[#This Row],[EPS]],""),"")</f>
        <v>16.206451612903223</v>
      </c>
      <c r="N14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YES</v>
      </c>
      <c r="O141" s="1">
        <f>(Main_M[[#This Row],[P/FCF]]-VLOOKUP(Main_M[[#This Row],[Industry]], Mean_PFCF_M, 2, FALSE))/(VLOOKUP(Main_M[[#This Row],[Industry]], Mean_PFCF_M, 3, FALSE))</f>
        <v>-0.22042250413088046</v>
      </c>
      <c r="P141" s="1">
        <f>(Main_M[[#This Row],[P/B]]-VLOOKUP(Main_M[[#This Row],[Industry]], Mean_PB_M, 2, FALSE))/(VLOOKUP(Main_M[[#This Row],[Industry]], Mean_PB_M, 3, FALSE))</f>
        <v>-0.26515305987409538</v>
      </c>
      <c r="Q141" s="1">
        <f>(Main_M[[#This Row],[ROE]]-VLOOKUP(Main_M[[#This Row],[Industry]], Mean_ROE_M, 2, FALSE))/(VLOOKUP(Main_M[[#This Row],[Industry]], Mean_ROE_M, 3, FALSE))</f>
        <v>-0.11193788644253648</v>
      </c>
      <c r="R141" s="1">
        <f>(Main_M[[#This Row],[ROA]]-VLOOKUP(Main_M[[#This Row],[Industry]], Mean_ROA_M, 2, FALSE))/(VLOOKUP(Main_M[[#This Row],[Industry]], Mean_ROA_M, 3, FALSE))</f>
        <v>0.58399118085725443</v>
      </c>
      <c r="S141" s="1">
        <f>(Main_M[[#This Row],[A/E]]-VLOOKUP(Main_M[[#This Row],[Industry]], Mean_AE_M, 2, FALSE))/(VLOOKUP(Main_M[[#This Row],[Industry]], Mean_AE_M, 3, FALSE))</f>
        <v>-1.3388422508731172E-2</v>
      </c>
      <c r="T141" s="1">
        <f>(Main_M[[#This Row],[P/E]]-VLOOKUP(Main_M[[#This Row],[Industry]], Mean_PE_M, 2, FALSE))/(VLOOKUP(Main_M[[#This Row],[Industry]], Mean_PE_M, 3, FALSE))</f>
        <v>-0.50585930869531637</v>
      </c>
      <c r="U14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4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4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4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4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4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42" spans="1:26" x14ac:dyDescent="0.25">
      <c r="A142" t="s">
        <v>204</v>
      </c>
      <c r="B142" t="s">
        <v>383</v>
      </c>
      <c r="C142" s="2">
        <v>3541</v>
      </c>
      <c r="D142">
        <f>RTD("tos.rtd", , "LAST", Main_M[[#This Row],[Symbol]])</f>
        <v>23.55</v>
      </c>
      <c r="E142">
        <v>0.93</v>
      </c>
      <c r="F142">
        <v>1.66</v>
      </c>
      <c r="G142">
        <v>0.19</v>
      </c>
      <c r="H142" s="1">
        <f>IF(ISNUMBER(Main_M[[#This Row],[Free CF]]),IF(Main_M[[#This Row],[Free CF]]&lt;&gt;0,Main_M[[#This Row],[Current Price]]/Main_M[[#This Row],[Free CF]],""),"")</f>
        <v>25.322580645161288</v>
      </c>
      <c r="I142" s="1">
        <f>IF(ISNUMBER(Main_M[[#This Row],[BVPS]]),IF(Main_M[[#This Row],[BVPS]]&lt;&gt;0,Main_M[[#This Row],[Current Price]]/Main_M[[#This Row],[BVPS]],""),"")</f>
        <v>14.186746987951809</v>
      </c>
      <c r="J142">
        <v>9.16</v>
      </c>
      <c r="K142">
        <v>8.56</v>
      </c>
      <c r="L142">
        <v>6.09</v>
      </c>
      <c r="M142" s="1">
        <f>IF(ISNUMBER(Main_M[[#This Row],[EPS]]),IF(Main_M[[#This Row],[EPS]]&lt;&gt;0,Main_M[[#This Row],[Current Price]]/Main_M[[#This Row],[EPS]],""),"")</f>
        <v>123.94736842105263</v>
      </c>
      <c r="N14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42" s="1">
        <f>(Main_M[[#This Row],[P/FCF]]-VLOOKUP(Main_M[[#This Row],[Industry]], Mean_PFCF_M, 2, FALSE))/(VLOOKUP(Main_M[[#This Row],[Industry]], Mean_PFCF_M, 3, FALSE))</f>
        <v>0.97559579319602174</v>
      </c>
      <c r="P142" s="1">
        <f>(Main_M[[#This Row],[P/B]]-VLOOKUP(Main_M[[#This Row],[Industry]], Mean_PB_M, 2, FALSE))/(VLOOKUP(Main_M[[#This Row],[Industry]], Mean_PB_M, 3, FALSE))</f>
        <v>5.215082811476436</v>
      </c>
      <c r="Q142" s="1">
        <f>(Main_M[[#This Row],[ROE]]-VLOOKUP(Main_M[[#This Row],[Industry]], Mean_ROE_M, 2, FALSE))/(VLOOKUP(Main_M[[#This Row],[Industry]], Mean_ROE_M, 3, FALSE))</f>
        <v>-0.34476064800599787</v>
      </c>
      <c r="R142" s="1">
        <f>(Main_M[[#This Row],[ROA]]-VLOOKUP(Main_M[[#This Row],[Industry]], Mean_ROA_M, 2, FALSE))/(VLOOKUP(Main_M[[#This Row],[Industry]], Mean_ROA_M, 3, FALSE))</f>
        <v>0.94058756562849866</v>
      </c>
      <c r="S142" s="1">
        <f>(Main_M[[#This Row],[A/E]]-VLOOKUP(Main_M[[#This Row],[Industry]], Mean_AE_M, 2, FALSE))/(VLOOKUP(Main_M[[#This Row],[Industry]], Mean_AE_M, 3, FALSE))</f>
        <v>5.0896088166941729</v>
      </c>
      <c r="T142" s="1">
        <f>(Main_M[[#This Row],[P/E]]-VLOOKUP(Main_M[[#This Row],[Industry]], Mean_PE_M, 2, FALSE))/(VLOOKUP(Main_M[[#This Row],[Industry]], Mean_PE_M, 3, FALSE))</f>
        <v>8.3133301343468418</v>
      </c>
      <c r="U14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4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14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4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4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14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143" spans="1:26" x14ac:dyDescent="0.25">
      <c r="A143" t="s">
        <v>204</v>
      </c>
      <c r="B143" t="s">
        <v>384</v>
      </c>
      <c r="C143" s="2">
        <v>2574</v>
      </c>
      <c r="D143">
        <f>RTD("tos.rtd", , "LAST", Main_M[[#This Row],[Symbol]])</f>
        <v>54.82</v>
      </c>
      <c r="E143">
        <v>4.42</v>
      </c>
      <c r="F143">
        <v>19.21</v>
      </c>
      <c r="G143">
        <v>3.71</v>
      </c>
      <c r="H143" s="1">
        <f>IF(ISNUMBER(Main_M[[#This Row],[Free CF]]),IF(Main_M[[#This Row],[Free CF]]&lt;&gt;0,Main_M[[#This Row],[Current Price]]/Main_M[[#This Row],[Free CF]],""),"")</f>
        <v>12.402714932126697</v>
      </c>
      <c r="I143" s="1">
        <f>IF(ISNUMBER(Main_M[[#This Row],[BVPS]]),IF(Main_M[[#This Row],[BVPS]]&lt;&gt;0,Main_M[[#This Row],[Current Price]]/Main_M[[#This Row],[BVPS]],""),"")</f>
        <v>2.853722019781364</v>
      </c>
      <c r="J143">
        <v>21.22</v>
      </c>
      <c r="K143">
        <v>7.41</v>
      </c>
      <c r="L143">
        <v>1.85</v>
      </c>
      <c r="M143" s="1">
        <f>IF(ISNUMBER(Main_M[[#This Row],[EPS]]),IF(Main_M[[#This Row],[EPS]]&lt;&gt;0,Main_M[[#This Row],[Current Price]]/Main_M[[#This Row],[EPS]],""),"")</f>
        <v>14.776280323450136</v>
      </c>
      <c r="N14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YES</v>
      </c>
      <c r="O143" s="1">
        <f>(Main_M[[#This Row],[P/FCF]]-VLOOKUP(Main_M[[#This Row],[Industry]], Mean_PFCF_M, 2, FALSE))/(VLOOKUP(Main_M[[#This Row],[Industry]], Mean_PFCF_M, 3, FALSE))</f>
        <v>-0.73258308063731026</v>
      </c>
      <c r="P143" s="1">
        <f>(Main_M[[#This Row],[P/B]]-VLOOKUP(Main_M[[#This Row],[Industry]], Mean_PB_M, 2, FALSE))/(VLOOKUP(Main_M[[#This Row],[Industry]], Mean_PB_M, 3, FALSE))</f>
        <v>-0.15498255755623147</v>
      </c>
      <c r="Q143" s="1">
        <f>(Main_M[[#This Row],[ROE]]-VLOOKUP(Main_M[[#This Row],[Industry]], Mean_ROE_M, 2, FALSE))/(VLOOKUP(Main_M[[#This Row],[Industry]], Mean_ROE_M, 3, FALSE))</f>
        <v>1.894952096490167E-2</v>
      </c>
      <c r="R143" s="1">
        <f>(Main_M[[#This Row],[ROA]]-VLOOKUP(Main_M[[#This Row],[Industry]], Mean_ROA_M, 2, FALSE))/(VLOOKUP(Main_M[[#This Row],[Industry]], Mean_ROA_M, 3, FALSE))</f>
        <v>0.61512261127379164</v>
      </c>
      <c r="S143" s="1">
        <f>(Main_M[[#This Row],[A/E]]-VLOOKUP(Main_M[[#This Row],[Industry]], Mean_AE_M, 2, FALSE))/(VLOOKUP(Main_M[[#This Row],[Industry]], Mean_AE_M, 3, FALSE))</f>
        <v>-0.87091688419296565</v>
      </c>
      <c r="T143" s="1">
        <f>(Main_M[[#This Row],[P/E]]-VLOOKUP(Main_M[[#This Row],[Industry]], Mean_PE_M, 2, FALSE))/(VLOOKUP(Main_M[[#This Row],[Industry]], Mean_PE_M, 3, FALSE))</f>
        <v>-0.62292673220857742</v>
      </c>
      <c r="U14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4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4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4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4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4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44" spans="1:26" x14ac:dyDescent="0.25">
      <c r="A144" t="s">
        <v>181</v>
      </c>
      <c r="B144" t="s">
        <v>183</v>
      </c>
      <c r="C144" s="2">
        <v>8222</v>
      </c>
      <c r="D144">
        <f>RTD("tos.rtd", , "LAST", Main_M[[#This Row],[Symbol]])</f>
        <v>232.1</v>
      </c>
      <c r="E144">
        <v>11.42</v>
      </c>
      <c r="F144">
        <v>47.85</v>
      </c>
      <c r="G144">
        <v>9.98</v>
      </c>
      <c r="H144" s="1">
        <f>IF(ISNUMBER(Main_M[[#This Row],[Free CF]]),IF(Main_M[[#This Row],[Free CF]]&lt;&gt;0,Main_M[[#This Row],[Current Price]]/Main_M[[#This Row],[Free CF]],""),"")</f>
        <v>20.32399299474606</v>
      </c>
      <c r="I144" s="1">
        <f>IF(ISNUMBER(Main_M[[#This Row],[BVPS]]),IF(Main_M[[#This Row],[BVPS]]&lt;&gt;0,Main_M[[#This Row],[Current Price]]/Main_M[[#This Row],[BVPS]],""),"")</f>
        <v>4.8505747126436782</v>
      </c>
      <c r="J144">
        <v>22.23</v>
      </c>
      <c r="K144">
        <v>10.56</v>
      </c>
      <c r="L144">
        <v>1.7</v>
      </c>
      <c r="M144" s="1">
        <f>IF(ISNUMBER(Main_M[[#This Row],[EPS]]),IF(Main_M[[#This Row],[EPS]]&lt;&gt;0,Main_M[[#This Row],[Current Price]]/Main_M[[#This Row],[EPS]],""),"")</f>
        <v>23.256513026052101</v>
      </c>
      <c r="N14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44" s="1">
        <f>(Main_M[[#This Row],[P/FCF]]-VLOOKUP(Main_M[[#This Row],[Industry]], Mean_PFCF_M, 2, FALSE))/(VLOOKUP(Main_M[[#This Row],[Industry]], Mean_PFCF_M, 3, FALSE))</f>
        <v>0.33907908930367142</v>
      </c>
      <c r="P144" s="1">
        <f>(Main_M[[#This Row],[P/B]]-VLOOKUP(Main_M[[#This Row],[Industry]], Mean_PB_M, 2, FALSE))/(VLOOKUP(Main_M[[#This Row],[Industry]], Mean_PB_M, 3, FALSE))</f>
        <v>1.7058244692923199</v>
      </c>
      <c r="Q144" s="1">
        <f>(Main_M[[#This Row],[ROE]]-VLOOKUP(Main_M[[#This Row],[Industry]], Mean_ROE_M, 2, FALSE))/(VLOOKUP(Main_M[[#This Row],[Industry]], Mean_ROE_M, 3, FALSE))</f>
        <v>1.3931363213295975</v>
      </c>
      <c r="R144" s="1">
        <f>(Main_M[[#This Row],[ROA]]-VLOOKUP(Main_M[[#This Row],[Industry]], Mean_ROA_M, 2, FALSE))/(VLOOKUP(Main_M[[#This Row],[Industry]], Mean_ROA_M, 3, FALSE))</f>
        <v>2.1953040461323221</v>
      </c>
      <c r="S144" s="1">
        <f>(Main_M[[#This Row],[A/E]]-VLOOKUP(Main_M[[#This Row],[Industry]], Mean_AE_M, 2, FALSE))/(VLOOKUP(Main_M[[#This Row],[Industry]], Mean_AE_M, 3, FALSE))</f>
        <v>-0.88744274307716808</v>
      </c>
      <c r="T144" s="1">
        <f>(Main_M[[#This Row],[P/E]]-VLOOKUP(Main_M[[#This Row],[Industry]], Mean_PE_M, 2, FALSE))/(VLOOKUP(Main_M[[#This Row],[Industry]], Mean_PE_M, 3, FALSE))</f>
        <v>0.45781900517328233</v>
      </c>
      <c r="U14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4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4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4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4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4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45" spans="1:26" x14ac:dyDescent="0.25">
      <c r="A145" t="s">
        <v>181</v>
      </c>
      <c r="B145" t="s">
        <v>336</v>
      </c>
      <c r="C145" s="2">
        <v>6010</v>
      </c>
      <c r="D145">
        <f>RTD("tos.rtd", , "LAST", Main_M[[#This Row],[Symbol]])</f>
        <v>56.94</v>
      </c>
      <c r="E145">
        <v>-10.69</v>
      </c>
      <c r="F145">
        <v>70.38</v>
      </c>
      <c r="G145">
        <v>5.72</v>
      </c>
      <c r="H145" s="1">
        <f>IF(ISNUMBER(Main_M[[#This Row],[Free CF]]),IF(Main_M[[#This Row],[Free CF]]&lt;&gt;0,Main_M[[#This Row],[Current Price]]/Main_M[[#This Row],[Free CF]],""),"")</f>
        <v>-5.3264733395696915</v>
      </c>
      <c r="I145" s="1">
        <f>IF(ISNUMBER(Main_M[[#This Row],[BVPS]]),IF(Main_M[[#This Row],[BVPS]]&lt;&gt;0,Main_M[[#This Row],[Current Price]]/Main_M[[#This Row],[BVPS]],""),"")</f>
        <v>0.80903665814151748</v>
      </c>
      <c r="J145">
        <v>9.2200000000000006</v>
      </c>
      <c r="K145">
        <v>2.77</v>
      </c>
      <c r="L145">
        <v>4.1100000000000003</v>
      </c>
      <c r="M145" s="1">
        <f>IF(ISNUMBER(Main_M[[#This Row],[EPS]]),IF(Main_M[[#This Row],[EPS]]&lt;&gt;0,Main_M[[#This Row],[Current Price]]/Main_M[[#This Row],[EPS]],""),"")</f>
        <v>9.954545454545455</v>
      </c>
      <c r="N14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45" s="1">
        <f>(Main_M[[#This Row],[P/FCF]]-VLOOKUP(Main_M[[#This Row],[Industry]], Mean_PFCF_M, 2, FALSE))/(VLOOKUP(Main_M[[#This Row],[Industry]], Mean_PFCF_M, 3, FALSE))</f>
        <v>-1.8948156610039328</v>
      </c>
      <c r="P145" s="1">
        <f>(Main_M[[#This Row],[P/B]]-VLOOKUP(Main_M[[#This Row],[Industry]], Mean_PB_M, 2, FALSE))/(VLOOKUP(Main_M[[#This Row],[Industry]], Mean_PB_M, 3, FALSE))</f>
        <v>-1.3790172900031443</v>
      </c>
      <c r="Q145" s="1">
        <f>(Main_M[[#This Row],[ROE]]-VLOOKUP(Main_M[[#This Row],[Industry]], Mean_ROE_M, 2, FALSE))/(VLOOKUP(Main_M[[#This Row],[Industry]], Mean_ROE_M, 3, FALSE))</f>
        <v>-1.065164875792791</v>
      </c>
      <c r="R145" s="1">
        <f>(Main_M[[#This Row],[ROA]]-VLOOKUP(Main_M[[#This Row],[Industry]], Mean_ROA_M, 2, FALSE))/(VLOOKUP(Main_M[[#This Row],[Industry]], Mean_ROA_M, 3, FALSE))</f>
        <v>-1.4196299498322338</v>
      </c>
      <c r="S145" s="1">
        <f>(Main_M[[#This Row],[A/E]]-VLOOKUP(Main_M[[#This Row],[Industry]], Mean_AE_M, 2, FALSE))/(VLOOKUP(Main_M[[#This Row],[Industry]], Mean_AE_M, 3, FALSE))</f>
        <v>0.92197943189404608</v>
      </c>
      <c r="T145" s="1">
        <f>(Main_M[[#This Row],[P/E]]-VLOOKUP(Main_M[[#This Row],[Industry]], Mean_PE_M, 2, FALSE))/(VLOOKUP(Main_M[[#This Row],[Industry]], Mean_PE_M, 3, FALSE))</f>
        <v>-1.2220136280843912</v>
      </c>
      <c r="U14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4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4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4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4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4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46" spans="1:26" x14ac:dyDescent="0.25">
      <c r="A146" t="s">
        <v>181</v>
      </c>
      <c r="B146" t="s">
        <v>337</v>
      </c>
      <c r="C146" s="2">
        <v>3278</v>
      </c>
      <c r="D146">
        <f>RTD("tos.rtd", , "LAST", Main_M[[#This Row],[Symbol]])</f>
        <v>93.71</v>
      </c>
      <c r="E146">
        <v>3.46</v>
      </c>
      <c r="F146">
        <v>56.26</v>
      </c>
      <c r="G146">
        <v>8.0399999999999991</v>
      </c>
      <c r="H146" s="1">
        <f>IF(ISNUMBER(Main_M[[#This Row],[Free CF]]),IF(Main_M[[#This Row],[Free CF]]&lt;&gt;0,Main_M[[#This Row],[Current Price]]/Main_M[[#This Row],[Free CF]],""),"")</f>
        <v>27.083815028901732</v>
      </c>
      <c r="I146" s="1">
        <f>IF(ISNUMBER(Main_M[[#This Row],[BVPS]]),IF(Main_M[[#This Row],[BVPS]]&lt;&gt;0,Main_M[[#This Row],[Current Price]]/Main_M[[#This Row],[BVPS]],""),"")</f>
        <v>1.665659438322076</v>
      </c>
      <c r="J146">
        <v>14.26</v>
      </c>
      <c r="K146">
        <v>7.29</v>
      </c>
      <c r="L146">
        <v>1.64</v>
      </c>
      <c r="M146" s="1">
        <f>IF(ISNUMBER(Main_M[[#This Row],[EPS]]),IF(Main_M[[#This Row],[EPS]]&lt;&gt;0,Main_M[[#This Row],[Current Price]]/Main_M[[#This Row],[EPS]],""),"")</f>
        <v>11.65547263681592</v>
      </c>
      <c r="N14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46" s="1">
        <f>(Main_M[[#This Row],[P/FCF]]-VLOOKUP(Main_M[[#This Row],[Industry]], Mean_PFCF_M, 2, FALSE))/(VLOOKUP(Main_M[[#This Row],[Industry]], Mean_PFCF_M, 3, FALSE))</f>
        <v>0.92779084051701832</v>
      </c>
      <c r="P146" s="1">
        <f>(Main_M[[#This Row],[P/B]]-VLOOKUP(Main_M[[#This Row],[Industry]], Mean_PB_M, 2, FALSE))/(VLOOKUP(Main_M[[#This Row],[Industry]], Mean_PB_M, 3, FALSE))</f>
        <v>-0.72517073737176607</v>
      </c>
      <c r="Q146" s="1">
        <f>(Main_M[[#This Row],[ROE]]-VLOOKUP(Main_M[[#This Row],[Industry]], Mean_ROE_M, 2, FALSE))/(VLOOKUP(Main_M[[#This Row],[Industry]], Mean_ROE_M, 3, FALSE))</f>
        <v>-0.11283297467850693</v>
      </c>
      <c r="R146" s="1">
        <f>(Main_M[[#This Row],[ROA]]-VLOOKUP(Main_M[[#This Row],[Industry]], Mean_ROA_M, 2, FALSE))/(VLOOKUP(Main_M[[#This Row],[Industry]], Mean_ROA_M, 3, FALSE))</f>
        <v>0.67786705424476124</v>
      </c>
      <c r="S146" s="1">
        <f>(Main_M[[#This Row],[A/E]]-VLOOKUP(Main_M[[#This Row],[Industry]], Mean_AE_M, 2, FALSE))/(VLOOKUP(Main_M[[#This Row],[Industry]], Mean_AE_M, 3, FALSE))</f>
        <v>-0.93249059805570456</v>
      </c>
      <c r="T146" s="1">
        <f>(Main_M[[#This Row],[P/E]]-VLOOKUP(Main_M[[#This Row],[Industry]], Mean_PE_M, 2, FALSE))/(VLOOKUP(Main_M[[#This Row],[Industry]], Mean_PE_M, 3, FALSE))</f>
        <v>-1.0072128497624424</v>
      </c>
      <c r="U14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4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4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4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4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4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47" spans="1:26" x14ac:dyDescent="0.25">
      <c r="A147" t="s">
        <v>181</v>
      </c>
      <c r="B147" t="s">
        <v>184</v>
      </c>
      <c r="C147" s="2">
        <v>9598</v>
      </c>
      <c r="D147">
        <f>RTD("tos.rtd", , "LAST", Main_M[[#This Row],[Symbol]])</f>
        <v>54.12</v>
      </c>
      <c r="E147">
        <v>3.06</v>
      </c>
      <c r="F147">
        <v>8.9499999999999993</v>
      </c>
      <c r="G147">
        <v>2.13</v>
      </c>
      <c r="H147" s="1">
        <f>IF(ISNUMBER(Main_M[[#This Row],[Free CF]]),IF(Main_M[[#This Row],[Free CF]]&lt;&gt;0,Main_M[[#This Row],[Current Price]]/Main_M[[#This Row],[Free CF]],""),"")</f>
        <v>17.686274509803919</v>
      </c>
      <c r="I147" s="1">
        <f>IF(ISNUMBER(Main_M[[#This Row],[BVPS]]),IF(Main_M[[#This Row],[BVPS]]&lt;&gt;0,Main_M[[#This Row],[Current Price]]/Main_M[[#This Row],[BVPS]],""),"")</f>
        <v>6.046927374301676</v>
      </c>
      <c r="J147">
        <v>26.32</v>
      </c>
      <c r="K147">
        <v>8.2200000000000006</v>
      </c>
      <c r="L147">
        <v>3.46</v>
      </c>
      <c r="M147" s="1">
        <f>IF(ISNUMBER(Main_M[[#This Row],[EPS]]),IF(Main_M[[#This Row],[EPS]]&lt;&gt;0,Main_M[[#This Row],[Current Price]]/Main_M[[#This Row],[EPS]],""),"")</f>
        <v>25.408450704225352</v>
      </c>
      <c r="N14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47" s="1">
        <f>(Main_M[[#This Row],[P/FCF]]-VLOOKUP(Main_M[[#This Row],[Industry]], Mean_PFCF_M, 2, FALSE))/(VLOOKUP(Main_M[[#This Row],[Industry]], Mean_PFCF_M, 3, FALSE))</f>
        <v>0.10936063508521478</v>
      </c>
      <c r="P147" s="1">
        <f>(Main_M[[#This Row],[P/B]]-VLOOKUP(Main_M[[#This Row],[Industry]], Mean_PB_M, 2, FALSE))/(VLOOKUP(Main_M[[#This Row],[Industry]], Mean_PB_M, 3, FALSE))</f>
        <v>2.6189814406625858</v>
      </c>
      <c r="Q147" s="1">
        <f>(Main_M[[#This Row],[ROE]]-VLOOKUP(Main_M[[#This Row],[Industry]], Mean_ROE_M, 2, FALSE))/(VLOOKUP(Main_M[[#This Row],[Industry]], Mean_ROE_M, 3, FALSE))</f>
        <v>2.1659612172735305</v>
      </c>
      <c r="R147" s="1">
        <f>(Main_M[[#This Row],[ROA]]-VLOOKUP(Main_M[[#This Row],[Industry]], Mean_ROA_M, 2, FALSE))/(VLOOKUP(Main_M[[#This Row],[Industry]], Mean_ROA_M, 3, FALSE))</f>
        <v>1.1094317033137009</v>
      </c>
      <c r="S147" s="1">
        <f>(Main_M[[#This Row],[A/E]]-VLOOKUP(Main_M[[#This Row],[Industry]], Mean_AE_M, 2, FALSE))/(VLOOKUP(Main_M[[#This Row],[Industry]], Mean_AE_M, 3, FALSE))</f>
        <v>0.43396100295990098</v>
      </c>
      <c r="T147" s="1">
        <f>(Main_M[[#This Row],[P/E]]-VLOOKUP(Main_M[[#This Row],[Industry]], Mean_PE_M, 2, FALSE))/(VLOOKUP(Main_M[[#This Row],[Industry]], Mean_PE_M, 3, FALSE))</f>
        <v>0.72957542895794325</v>
      </c>
      <c r="U14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4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14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4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14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4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48" spans="1:26" x14ac:dyDescent="0.25">
      <c r="A148" t="s">
        <v>181</v>
      </c>
      <c r="B148" t="s">
        <v>338</v>
      </c>
      <c r="C148" s="2">
        <v>5153</v>
      </c>
      <c r="D148">
        <f>RTD("tos.rtd", , "LAST", Main_M[[#This Row],[Symbol]])</f>
        <v>149.24</v>
      </c>
      <c r="E148">
        <v>-27.31</v>
      </c>
      <c r="F148">
        <v>71.459999999999994</v>
      </c>
      <c r="G148">
        <v>7.9</v>
      </c>
      <c r="H148" s="1">
        <f>IF(ISNUMBER(Main_M[[#This Row],[Free CF]]),IF(Main_M[[#This Row],[Free CF]]&lt;&gt;0,Main_M[[#This Row],[Current Price]]/Main_M[[#This Row],[Free CF]],""),"")</f>
        <v>-5.464664957890883</v>
      </c>
      <c r="I148" s="1">
        <f>IF(ISNUMBER(Main_M[[#This Row],[BVPS]]),IF(Main_M[[#This Row],[BVPS]]&lt;&gt;0,Main_M[[#This Row],[Current Price]]/Main_M[[#This Row],[BVPS]],""),"")</f>
        <v>2.0884410859221947</v>
      </c>
      <c r="J148">
        <v>11.84</v>
      </c>
      <c r="K148">
        <v>2.54</v>
      </c>
      <c r="L148">
        <v>5.09</v>
      </c>
      <c r="M148" s="1">
        <f>IF(ISNUMBER(Main_M[[#This Row],[EPS]]),IF(Main_M[[#This Row],[EPS]]&lt;&gt;0,Main_M[[#This Row],[Current Price]]/Main_M[[#This Row],[EPS]],""),"")</f>
        <v>18.89113924050633</v>
      </c>
      <c r="N14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48" s="1">
        <f>(Main_M[[#This Row],[P/FCF]]-VLOOKUP(Main_M[[#This Row],[Industry]], Mean_PFCF_M, 2, FALSE))/(VLOOKUP(Main_M[[#This Row],[Industry]], Mean_PFCF_M, 3, FALSE))</f>
        <v>-1.9068507455392665</v>
      </c>
      <c r="P148" s="1">
        <f>(Main_M[[#This Row],[P/B]]-VLOOKUP(Main_M[[#This Row],[Industry]], Mean_PB_M, 2, FALSE))/(VLOOKUP(Main_M[[#This Row],[Industry]], Mean_PB_M, 3, FALSE))</f>
        <v>-0.4024682256070366</v>
      </c>
      <c r="Q148" s="1">
        <f>(Main_M[[#This Row],[ROE]]-VLOOKUP(Main_M[[#This Row],[Industry]], Mean_ROE_M, 2, FALSE))/(VLOOKUP(Main_M[[#This Row],[Industry]], Mean_ROE_M, 3, FALSE))</f>
        <v>-0.57010345100719106</v>
      </c>
      <c r="R148" s="1">
        <f>(Main_M[[#This Row],[ROA]]-VLOOKUP(Main_M[[#This Row],[Industry]], Mean_ROA_M, 2, FALSE))/(VLOOKUP(Main_M[[#This Row],[Industry]], Mean_ROA_M, 3, FALSE))</f>
        <v>-1.5263609920750896</v>
      </c>
      <c r="S148" s="1">
        <f>(Main_M[[#This Row],[A/E]]-VLOOKUP(Main_M[[#This Row],[Industry]], Mean_AE_M, 2, FALSE))/(VLOOKUP(Main_M[[#This Row],[Industry]], Mean_AE_M, 3, FALSE))</f>
        <v>1.6577610632101409</v>
      </c>
      <c r="T148" s="1">
        <f>(Main_M[[#This Row],[P/E]]-VLOOKUP(Main_M[[#This Row],[Industry]], Mean_PE_M, 2, FALSE))/(VLOOKUP(Main_M[[#This Row],[Industry]], Mean_PE_M, 3, FALSE))</f>
        <v>-9.3460142209031427E-2</v>
      </c>
      <c r="U14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4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4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4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4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4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49" spans="1:26" x14ac:dyDescent="0.25">
      <c r="A149" t="s">
        <v>181</v>
      </c>
      <c r="B149" t="s">
        <v>339</v>
      </c>
      <c r="C149" s="2">
        <v>2802</v>
      </c>
      <c r="D149">
        <f>RTD("tos.rtd", , "LAST", Main_M[[#This Row],[Symbol]])</f>
        <v>77.45</v>
      </c>
      <c r="E149">
        <v>8.64</v>
      </c>
      <c r="F149">
        <v>36.21</v>
      </c>
      <c r="G149">
        <v>3.66</v>
      </c>
      <c r="H149" s="1">
        <f>IF(ISNUMBER(Main_M[[#This Row],[Free CF]]),IF(Main_M[[#This Row],[Free CF]]&lt;&gt;0,Main_M[[#This Row],[Current Price]]/Main_M[[#This Row],[Free CF]],""),"")</f>
        <v>8.9641203703703702</v>
      </c>
      <c r="I149" s="1">
        <f>IF(ISNUMBER(Main_M[[#This Row],[BVPS]]),IF(Main_M[[#This Row],[BVPS]]&lt;&gt;0,Main_M[[#This Row],[Current Price]]/Main_M[[#This Row],[BVPS]],""),"")</f>
        <v>2.1389119027892849</v>
      </c>
      <c r="J149">
        <v>10.36</v>
      </c>
      <c r="K149">
        <v>6.05</v>
      </c>
      <c r="L149">
        <v>2.72</v>
      </c>
      <c r="M149" s="1">
        <f>IF(ISNUMBER(Main_M[[#This Row],[EPS]]),IF(Main_M[[#This Row],[EPS]]&lt;&gt;0,Main_M[[#This Row],[Current Price]]/Main_M[[#This Row],[EPS]],""),"")</f>
        <v>21.161202185792348</v>
      </c>
      <c r="N14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YES</v>
      </c>
      <c r="O149" s="1">
        <f>(Main_M[[#This Row],[P/FCF]]-VLOOKUP(Main_M[[#This Row],[Industry]], Mean_PFCF_M, 2, FALSE))/(VLOOKUP(Main_M[[#This Row],[Industry]], Mean_PFCF_M, 3, FALSE))</f>
        <v>-0.65025028541441465</v>
      </c>
      <c r="P149" s="1">
        <f>(Main_M[[#This Row],[P/B]]-VLOOKUP(Main_M[[#This Row],[Industry]], Mean_PB_M, 2, FALSE))/(VLOOKUP(Main_M[[#This Row],[Industry]], Mean_PB_M, 3, FALSE))</f>
        <v>-0.36394465329428438</v>
      </c>
      <c r="Q149" s="1">
        <f>(Main_M[[#This Row],[ROE]]-VLOOKUP(Main_M[[#This Row],[Industry]], Mean_ROE_M, 2, FALSE))/(VLOOKUP(Main_M[[#This Row],[Industry]], Mean_ROE_M, 3, FALSE))</f>
        <v>-0.84975646958836981</v>
      </c>
      <c r="R149" s="1">
        <f>(Main_M[[#This Row],[ROA]]-VLOOKUP(Main_M[[#This Row],[Industry]], Mean_ROA_M, 2, FALSE))/(VLOOKUP(Main_M[[#This Row],[Industry]], Mean_ROA_M, 3, FALSE))</f>
        <v>0.1024475221528422</v>
      </c>
      <c r="S149" s="1">
        <f>(Main_M[[#This Row],[A/E]]-VLOOKUP(Main_M[[#This Row],[Industry]], Mean_AE_M, 2, FALSE))/(VLOOKUP(Main_M[[#This Row],[Industry]], Mean_AE_M, 3, FALSE))</f>
        <v>-0.12162920844204834</v>
      </c>
      <c r="T149" s="1">
        <f>(Main_M[[#This Row],[P/E]]-VLOOKUP(Main_M[[#This Row],[Industry]], Mean_PE_M, 2, FALSE))/(VLOOKUP(Main_M[[#This Row],[Industry]], Mean_PE_M, 3, FALSE))</f>
        <v>0.19321367461854677</v>
      </c>
      <c r="U14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4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4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4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4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4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50" spans="1:26" x14ac:dyDescent="0.25">
      <c r="A150" t="s">
        <v>181</v>
      </c>
      <c r="B150" t="s">
        <v>340</v>
      </c>
      <c r="C150" s="2">
        <v>3322</v>
      </c>
      <c r="D150">
        <f>RTD("tos.rtd", , "LAST", Main_M[[#This Row],[Symbol]])</f>
        <v>95.18</v>
      </c>
      <c r="E150">
        <v>5.89</v>
      </c>
      <c r="F150">
        <v>16.649999999999999</v>
      </c>
      <c r="G150">
        <v>2.4900000000000002</v>
      </c>
      <c r="H150" s="1">
        <f>IF(ISNUMBER(Main_M[[#This Row],[Free CF]]),IF(Main_M[[#This Row],[Free CF]]&lt;&gt;0,Main_M[[#This Row],[Current Price]]/Main_M[[#This Row],[Free CF]],""),"")</f>
        <v>16.159592529711379</v>
      </c>
      <c r="I150" s="1">
        <f>IF(ISNUMBER(Main_M[[#This Row],[BVPS]]),IF(Main_M[[#This Row],[BVPS]]&lt;&gt;0,Main_M[[#This Row],[Current Price]]/Main_M[[#This Row],[BVPS]],""),"")</f>
        <v>5.716516516516517</v>
      </c>
      <c r="J150">
        <v>15.74</v>
      </c>
      <c r="K150">
        <v>4.16</v>
      </c>
      <c r="L150">
        <v>4.43</v>
      </c>
      <c r="M150" s="1">
        <f>IF(ISNUMBER(Main_M[[#This Row],[EPS]]),IF(Main_M[[#This Row],[EPS]]&lt;&gt;0,Main_M[[#This Row],[Current Price]]/Main_M[[#This Row],[EPS]],""),"")</f>
        <v>38.224899598393577</v>
      </c>
      <c r="N15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50" s="1">
        <f>(Main_M[[#This Row],[P/FCF]]-VLOOKUP(Main_M[[#This Row],[Industry]], Mean_PFCF_M, 2, FALSE))/(VLOOKUP(Main_M[[#This Row],[Industry]], Mean_PFCF_M, 3, FALSE))</f>
        <v>-2.3597838896031106E-2</v>
      </c>
      <c r="P150" s="1">
        <f>(Main_M[[#This Row],[P/B]]-VLOOKUP(Main_M[[#This Row],[Industry]], Mean_PB_M, 2, FALSE))/(VLOOKUP(Main_M[[#This Row],[Industry]], Mean_PB_M, 3, FALSE))</f>
        <v>2.3667840845879944</v>
      </c>
      <c r="Q150" s="1">
        <f>(Main_M[[#This Row],[ROE]]-VLOOKUP(Main_M[[#This Row],[Industry]], Mean_ROE_M, 2, FALSE))/(VLOOKUP(Main_M[[#This Row],[Industry]], Mean_ROE_M, 3, FALSE))</f>
        <v>0.16682004390267186</v>
      </c>
      <c r="R150" s="1">
        <f>(Main_M[[#This Row],[ROA]]-VLOOKUP(Main_M[[#This Row],[Industry]], Mean_ROA_M, 2, FALSE))/(VLOOKUP(Main_M[[#This Row],[Industry]], Mean_ROA_M, 3, FALSE))</f>
        <v>-0.77460321627758255</v>
      </c>
      <c r="S150" s="1">
        <f>(Main_M[[#This Row],[A/E]]-VLOOKUP(Main_M[[#This Row],[Industry]], Mean_AE_M, 2, FALSE))/(VLOOKUP(Main_M[[#This Row],[Industry]], Mean_AE_M, 3, FALSE))</f>
        <v>1.16223465844624</v>
      </c>
      <c r="T150" s="1">
        <f>(Main_M[[#This Row],[P/E]]-VLOOKUP(Main_M[[#This Row],[Industry]], Mean_PE_M, 2, FALSE))/(VLOOKUP(Main_M[[#This Row],[Industry]], Mean_PE_M, 3, FALSE))</f>
        <v>2.3480945675115543</v>
      </c>
      <c r="U15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5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5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5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5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5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51" spans="1:26" x14ac:dyDescent="0.25">
      <c r="A151" t="s">
        <v>181</v>
      </c>
      <c r="B151" t="s">
        <v>341</v>
      </c>
      <c r="C151" s="2">
        <v>3250</v>
      </c>
      <c r="D151">
        <f>RTD("tos.rtd", , "LAST", Main_M[[#This Row],[Symbol]])</f>
        <v>136.77000000000001</v>
      </c>
      <c r="E151">
        <v>9.1</v>
      </c>
      <c r="F151">
        <v>47.65</v>
      </c>
      <c r="G151">
        <v>4.4800000000000004</v>
      </c>
      <c r="H151" s="1">
        <f>IF(ISNUMBER(Main_M[[#This Row],[Free CF]]),IF(Main_M[[#This Row],[Free CF]]&lt;&gt;0,Main_M[[#This Row],[Current Price]]/Main_M[[#This Row],[Free CF]],""),"")</f>
        <v>15.029670329670331</v>
      </c>
      <c r="I151" s="1">
        <f>IF(ISNUMBER(Main_M[[#This Row],[BVPS]]),IF(Main_M[[#This Row],[BVPS]]&lt;&gt;0,Main_M[[#This Row],[Current Price]]/Main_M[[#This Row],[BVPS]],""),"")</f>
        <v>2.8703043022035679</v>
      </c>
      <c r="J151">
        <v>9.6</v>
      </c>
      <c r="K151">
        <v>6.09</v>
      </c>
      <c r="L151">
        <v>5.67</v>
      </c>
      <c r="M151" s="1">
        <f>IF(ISNUMBER(Main_M[[#This Row],[EPS]]),IF(Main_M[[#This Row],[EPS]]&lt;&gt;0,Main_M[[#This Row],[Current Price]]/Main_M[[#This Row],[EPS]],""),"")</f>
        <v>30.529017857142858</v>
      </c>
      <c r="N15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51" s="1">
        <f>(Main_M[[#This Row],[P/FCF]]-VLOOKUP(Main_M[[#This Row],[Industry]], Mean_PFCF_M, 2, FALSE))/(VLOOKUP(Main_M[[#This Row],[Industry]], Mean_PFCF_M, 3, FALSE))</f>
        <v>-0.12200257111530004</v>
      </c>
      <c r="P151" s="1">
        <f>(Main_M[[#This Row],[P/B]]-VLOOKUP(Main_M[[#This Row],[Industry]], Mean_PB_M, 2, FALSE))/(VLOOKUP(Main_M[[#This Row],[Industry]], Mean_PB_M, 3, FALSE))</f>
        <v>0.19431554015635272</v>
      </c>
      <c r="Q151" s="1">
        <f>(Main_M[[#This Row],[ROE]]-VLOOKUP(Main_M[[#This Row],[Industry]], Mean_ROE_M, 2, FALSE))/(VLOOKUP(Main_M[[#This Row],[Industry]], Mean_ROE_M, 3, FALSE))</f>
        <v>-0.99336207372465068</v>
      </c>
      <c r="R151" s="1">
        <f>(Main_M[[#This Row],[ROA]]-VLOOKUP(Main_M[[#This Row],[Industry]], Mean_ROA_M, 2, FALSE))/(VLOOKUP(Main_M[[#This Row],[Industry]], Mean_ROA_M, 3, FALSE))</f>
        <v>0.12100944254290412</v>
      </c>
      <c r="S151" s="1">
        <f>(Main_M[[#This Row],[A/E]]-VLOOKUP(Main_M[[#This Row],[Industry]], Mean_AE_M, 2, FALSE))/(VLOOKUP(Main_M[[#This Row],[Industry]], Mean_AE_M, 3, FALSE))</f>
        <v>2.0932236613359931</v>
      </c>
      <c r="T151" s="1">
        <f>(Main_M[[#This Row],[P/E]]-VLOOKUP(Main_M[[#This Row],[Industry]], Mean_PE_M, 2, FALSE))/(VLOOKUP(Main_M[[#This Row],[Industry]], Mean_PE_M, 3, FALSE))</f>
        <v>1.3762238107118834</v>
      </c>
      <c r="U15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5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5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5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5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5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52" spans="1:26" x14ac:dyDescent="0.25">
      <c r="A152" t="s">
        <v>181</v>
      </c>
      <c r="B152" t="s">
        <v>342</v>
      </c>
      <c r="C152" s="2">
        <v>2692</v>
      </c>
      <c r="D152">
        <f>RTD("tos.rtd", , "LAST", Main_M[[#This Row],[Symbol]])</f>
        <v>115.46</v>
      </c>
      <c r="E152">
        <v>11.95</v>
      </c>
      <c r="F152">
        <v>46.18</v>
      </c>
      <c r="G152">
        <v>9.65</v>
      </c>
      <c r="H152" s="1">
        <f>IF(ISNUMBER(Main_M[[#This Row],[Free CF]]),IF(Main_M[[#This Row],[Free CF]]&lt;&gt;0,Main_M[[#This Row],[Current Price]]/Main_M[[#This Row],[Free CF]],""),"")</f>
        <v>9.661924686192469</v>
      </c>
      <c r="I152" s="1">
        <f>IF(ISNUMBER(Main_M[[#This Row],[BVPS]]),IF(Main_M[[#This Row],[BVPS]]&lt;&gt;0,Main_M[[#This Row],[Current Price]]/Main_M[[#This Row],[BVPS]],""),"")</f>
        <v>2.5002165439584236</v>
      </c>
      <c r="J152">
        <v>22.8</v>
      </c>
      <c r="K152">
        <v>6.6</v>
      </c>
      <c r="L152">
        <v>1.97</v>
      </c>
      <c r="M152" s="1">
        <f>IF(ISNUMBER(Main_M[[#This Row],[EPS]]),IF(Main_M[[#This Row],[EPS]]&lt;&gt;0,Main_M[[#This Row],[Current Price]]/Main_M[[#This Row],[EPS]],""),"")</f>
        <v>11.964766839378237</v>
      </c>
      <c r="N15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YES</v>
      </c>
      <c r="O152" s="1">
        <f>(Main_M[[#This Row],[P/FCF]]-VLOOKUP(Main_M[[#This Row],[Industry]], Mean_PFCF_M, 2, FALSE))/(VLOOKUP(Main_M[[#This Row],[Industry]], Mean_PFCF_M, 3, FALSE))</f>
        <v>-0.58947862623519931</v>
      </c>
      <c r="P152" s="1">
        <f>(Main_M[[#This Row],[P/B]]-VLOOKUP(Main_M[[#This Row],[Industry]], Mean_PB_M, 2, FALSE))/(VLOOKUP(Main_M[[#This Row],[Industry]], Mean_PB_M, 3, FALSE))</f>
        <v>-8.8166563399961831E-2</v>
      </c>
      <c r="Q152" s="1">
        <f>(Main_M[[#This Row],[ROE]]-VLOOKUP(Main_M[[#This Row],[Industry]], Mean_ROE_M, 2, FALSE))/(VLOOKUP(Main_M[[#This Row],[Industry]], Mean_ROE_M, 3, FALSE))</f>
        <v>1.5008405244318082</v>
      </c>
      <c r="R152" s="1">
        <f>(Main_M[[#This Row],[ROA]]-VLOOKUP(Main_M[[#This Row],[Industry]], Mean_ROA_M, 2, FALSE))/(VLOOKUP(Main_M[[#This Row],[Industry]], Mean_ROA_M, 3, FALSE))</f>
        <v>0.35767392751619326</v>
      </c>
      <c r="S152" s="1">
        <f>(Main_M[[#This Row],[A/E]]-VLOOKUP(Main_M[[#This Row],[Industry]], Mean_AE_M, 2, FALSE))/(VLOOKUP(Main_M[[#This Row],[Industry]], Mean_AE_M, 3, FALSE))</f>
        <v>-0.68472739567375407</v>
      </c>
      <c r="T152" s="1">
        <f>(Main_M[[#This Row],[P/E]]-VLOOKUP(Main_M[[#This Row],[Industry]], Mean_PE_M, 2, FALSE))/(VLOOKUP(Main_M[[#This Row],[Industry]], Mean_PE_M, 3, FALSE))</f>
        <v>-0.96815377884315124</v>
      </c>
      <c r="U15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5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5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5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5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5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53" spans="1:26" x14ac:dyDescent="0.25">
      <c r="A153" t="s">
        <v>181</v>
      </c>
      <c r="B153" t="s">
        <v>343</v>
      </c>
      <c r="C153" s="2">
        <v>4177</v>
      </c>
      <c r="D153">
        <f>RTD("tos.rtd", , "LAST", Main_M[[#This Row],[Symbol]])</f>
        <v>79.03</v>
      </c>
      <c r="E153">
        <v>5.39</v>
      </c>
      <c r="F153">
        <v>24.32</v>
      </c>
      <c r="G153">
        <v>3.8</v>
      </c>
      <c r="H153" s="1">
        <f>IF(ISNUMBER(Main_M[[#This Row],[Free CF]]),IF(Main_M[[#This Row],[Free CF]]&lt;&gt;0,Main_M[[#This Row],[Current Price]]/Main_M[[#This Row],[Free CF]],""),"")</f>
        <v>14.662337662337663</v>
      </c>
      <c r="I153" s="1">
        <f>IF(ISNUMBER(Main_M[[#This Row],[BVPS]]),IF(Main_M[[#This Row],[BVPS]]&lt;&gt;0,Main_M[[#This Row],[Current Price]]/Main_M[[#This Row],[BVPS]],""),"")</f>
        <v>3.2495888157894739</v>
      </c>
      <c r="J153">
        <v>15.18</v>
      </c>
      <c r="K153">
        <v>8.67</v>
      </c>
      <c r="L153">
        <v>1.82</v>
      </c>
      <c r="M153" s="1">
        <f>IF(ISNUMBER(Main_M[[#This Row],[EPS]]),IF(Main_M[[#This Row],[EPS]]&lt;&gt;0,Main_M[[#This Row],[Current Price]]/Main_M[[#This Row],[EPS]],""),"")</f>
        <v>20.797368421052632</v>
      </c>
      <c r="N15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53" s="1">
        <f>(Main_M[[#This Row],[P/FCF]]-VLOOKUP(Main_M[[#This Row],[Industry]], Mean_PFCF_M, 2, FALSE))/(VLOOKUP(Main_M[[#This Row],[Industry]], Mean_PFCF_M, 3, FALSE))</f>
        <v>-0.15399351063569169</v>
      </c>
      <c r="P153" s="1">
        <f>(Main_M[[#This Row],[P/B]]-VLOOKUP(Main_M[[#This Row],[Industry]], Mean_PB_M, 2, FALSE))/(VLOOKUP(Main_M[[#This Row],[Industry]], Mean_PB_M, 3, FALSE))</f>
        <v>0.48381738088762749</v>
      </c>
      <c r="Q153" s="1">
        <f>(Main_M[[#This Row],[ROE]]-VLOOKUP(Main_M[[#This Row],[Industry]], Mean_ROE_M, 2, FALSE))/(VLOOKUP(Main_M[[#This Row],[Industry]], Mean_ROE_M, 3, FALSE))</f>
        <v>6.1005388223306839E-2</v>
      </c>
      <c r="R153" s="1">
        <f>(Main_M[[#This Row],[ROA]]-VLOOKUP(Main_M[[#This Row],[Industry]], Mean_ROA_M, 2, FALSE))/(VLOOKUP(Main_M[[#This Row],[Industry]], Mean_ROA_M, 3, FALSE))</f>
        <v>1.3182533077018967</v>
      </c>
      <c r="S153" s="1">
        <f>(Main_M[[#This Row],[A/E]]-VLOOKUP(Main_M[[#This Row],[Industry]], Mean_AE_M, 2, FALSE))/(VLOOKUP(Main_M[[#This Row],[Industry]], Mean_AE_M, 3, FALSE))</f>
        <v>-0.79734703312009514</v>
      </c>
      <c r="T153" s="1">
        <f>(Main_M[[#This Row],[P/E]]-VLOOKUP(Main_M[[#This Row],[Industry]], Mean_PE_M, 2, FALSE))/(VLOOKUP(Main_M[[#This Row],[Industry]], Mean_PE_M, 3, FALSE))</f>
        <v>0.14726710109058666</v>
      </c>
      <c r="U15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5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5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5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5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5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54" spans="1:26" x14ac:dyDescent="0.25">
      <c r="A154" t="s">
        <v>181</v>
      </c>
      <c r="B154" t="s">
        <v>562</v>
      </c>
      <c r="C154" s="2">
        <v>5965</v>
      </c>
      <c r="D154">
        <f>RTD("tos.rtd", , "LAST", Main_M[[#This Row],[Symbol]])</f>
        <v>15.73</v>
      </c>
      <c r="E154">
        <v>0.26</v>
      </c>
      <c r="F154">
        <v>11.12</v>
      </c>
      <c r="G154">
        <v>-0.11</v>
      </c>
      <c r="H154" s="1">
        <f>IF(ISNUMBER(Main_M[[#This Row],[Free CF]]),IF(Main_M[[#This Row],[Free CF]]&lt;&gt;0,Main_M[[#This Row],[Current Price]]/Main_M[[#This Row],[Free CF]],""),"")</f>
        <v>60.5</v>
      </c>
      <c r="I154" s="1">
        <f>IF(ISNUMBER(Main_M[[#This Row],[BVPS]]),IF(Main_M[[#This Row],[BVPS]]&lt;&gt;0,Main_M[[#This Row],[Current Price]]/Main_M[[#This Row],[BVPS]],""),"")</f>
        <v>1.4145683453237412</v>
      </c>
      <c r="J154">
        <v>1.1100000000000001</v>
      </c>
      <c r="K154">
        <v>-1.67</v>
      </c>
      <c r="L154">
        <v>1.1200000000000001</v>
      </c>
      <c r="M154" s="1">
        <f>IF(ISNUMBER(Main_M[[#This Row],[EPS]]),IF(Main_M[[#This Row],[EPS]]&lt;&gt;0,Main_M[[#This Row],[Current Price]]/Main_M[[#This Row],[EPS]],""),"")</f>
        <v>-143</v>
      </c>
      <c r="N15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54" s="1">
        <f>(Main_M[[#This Row],[P/FCF]]-VLOOKUP(Main_M[[#This Row],[Industry]], Mean_PFCF_M, 2, FALSE))/(VLOOKUP(Main_M[[#This Row],[Industry]], Mean_PFCF_M, 3, FALSE))</f>
        <v>3.8380007060732733</v>
      </c>
      <c r="P154" s="1">
        <f>(Main_M[[#This Row],[P/B]]-VLOOKUP(Main_M[[#This Row],[Industry]], Mean_PB_M, 2, FALSE))/(VLOOKUP(Main_M[[#This Row],[Industry]], Mean_PB_M, 3, FALSE))</f>
        <v>-0.91682457772235926</v>
      </c>
      <c r="Q154" s="1">
        <f>(Main_M[[#This Row],[ROE]]-VLOOKUP(Main_M[[#This Row],[Industry]], Mean_ROE_M, 2, FALSE))/(VLOOKUP(Main_M[[#This Row],[Industry]], Mean_ROE_M, 3, FALSE))</f>
        <v>-2.5975878357207369</v>
      </c>
      <c r="R154" s="1">
        <f>(Main_M[[#This Row],[ROA]]-VLOOKUP(Main_M[[#This Row],[Industry]], Mean_ROA_M, 2, FALSE))/(VLOOKUP(Main_M[[#This Row],[Industry]], Mean_ROA_M, 3, FALSE))</f>
        <v>-3.4800031131291047</v>
      </c>
      <c r="S154" s="1">
        <f>(Main_M[[#This Row],[A/E]]-VLOOKUP(Main_M[[#This Row],[Industry]], Mean_AE_M, 2, FALSE))/(VLOOKUP(Main_M[[#This Row],[Industry]], Mean_AE_M, 3, FALSE))</f>
        <v>-1.3229053412030203</v>
      </c>
      <c r="T154" s="1">
        <f>(Main_M[[#This Row],[P/E]]-VLOOKUP(Main_M[[#This Row],[Industry]], Mean_PE_M, 2, FALSE))/(VLOOKUP(Main_M[[#This Row],[Industry]], Mean_PE_M, 3, FALSE))</f>
        <v>-20.5378054820663</v>
      </c>
      <c r="U15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15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5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Yes</v>
      </c>
      <c r="X15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15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5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155" spans="1:26" x14ac:dyDescent="0.25">
      <c r="A155" t="s">
        <v>181</v>
      </c>
      <c r="B155" t="s">
        <v>344</v>
      </c>
      <c r="C155" s="2">
        <v>3790</v>
      </c>
      <c r="D155">
        <f>RTD("tos.rtd", , "LAST", Main_M[[#This Row],[Symbol]])</f>
        <v>51.77</v>
      </c>
      <c r="E155">
        <v>2.36</v>
      </c>
      <c r="F155">
        <v>27.32</v>
      </c>
      <c r="G155">
        <v>3.57</v>
      </c>
      <c r="H155" s="1">
        <f>IF(ISNUMBER(Main_M[[#This Row],[Free CF]]),IF(Main_M[[#This Row],[Free CF]]&lt;&gt;0,Main_M[[#This Row],[Current Price]]/Main_M[[#This Row],[Free CF]],""),"")</f>
        <v>21.936440677966104</v>
      </c>
      <c r="I155" s="1">
        <f>IF(ISNUMBER(Main_M[[#This Row],[BVPS]]),IF(Main_M[[#This Row],[BVPS]]&lt;&gt;0,Main_M[[#This Row],[Current Price]]/Main_M[[#This Row],[BVPS]],""),"")</f>
        <v>1.8949487554904834</v>
      </c>
      <c r="J155">
        <v>14.2</v>
      </c>
      <c r="K155">
        <v>6.02</v>
      </c>
      <c r="L155">
        <v>2.16</v>
      </c>
      <c r="M155" s="1">
        <f>IF(ISNUMBER(Main_M[[#This Row],[EPS]]),IF(Main_M[[#This Row],[EPS]]&lt;&gt;0,Main_M[[#This Row],[Current Price]]/Main_M[[#This Row],[EPS]],""),"")</f>
        <v>14.501400560224091</v>
      </c>
      <c r="N15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55" s="1">
        <f>(Main_M[[#This Row],[P/FCF]]-VLOOKUP(Main_M[[#This Row],[Industry]], Mean_PFCF_M, 2, FALSE))/(VLOOKUP(Main_M[[#This Row],[Industry]], Mean_PFCF_M, 3, FALSE))</f>
        <v>0.47950688378287076</v>
      </c>
      <c r="P155" s="1">
        <f>(Main_M[[#This Row],[P/B]]-VLOOKUP(Main_M[[#This Row],[Industry]], Mean_PB_M, 2, FALSE))/(VLOOKUP(Main_M[[#This Row],[Industry]], Mean_PB_M, 3, FALSE))</f>
        <v>-0.55015784598663864</v>
      </c>
      <c r="Q155" s="1">
        <f>(Main_M[[#This Row],[ROE]]-VLOOKUP(Main_M[[#This Row],[Industry]], Mean_ROE_M, 2, FALSE))/(VLOOKUP(Main_M[[#This Row],[Industry]], Mean_ROE_M, 3, FALSE))</f>
        <v>-0.12417025921558185</v>
      </c>
      <c r="R155" s="1">
        <f>(Main_M[[#This Row],[ROA]]-VLOOKUP(Main_M[[#This Row],[Industry]], Mean_ROA_M, 2, FALSE))/(VLOOKUP(Main_M[[#This Row],[Industry]], Mean_ROA_M, 3, FALSE))</f>
        <v>8.8526081860295661E-2</v>
      </c>
      <c r="S155" s="1">
        <f>(Main_M[[#This Row],[A/E]]-VLOOKUP(Main_M[[#This Row],[Industry]], Mean_AE_M, 2, FALSE))/(VLOOKUP(Main_M[[#This Row],[Industry]], Mean_AE_M, 3, FALSE))</f>
        <v>-0.5420758549083885</v>
      </c>
      <c r="T155" s="1">
        <f>(Main_M[[#This Row],[P/E]]-VLOOKUP(Main_M[[#This Row],[Industry]], Mean_PE_M, 2, FALSE))/(VLOOKUP(Main_M[[#This Row],[Industry]], Mean_PE_M, 3, FALSE))</f>
        <v>-0.64781619870754836</v>
      </c>
      <c r="U15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5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5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5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5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5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56" spans="1:26" x14ac:dyDescent="0.25">
      <c r="A156" t="s">
        <v>181</v>
      </c>
      <c r="B156" t="s">
        <v>345</v>
      </c>
      <c r="C156" s="2">
        <v>4221</v>
      </c>
      <c r="D156">
        <f>RTD("tos.rtd", , "LAST", Main_M[[#This Row],[Symbol]])</f>
        <v>56.22</v>
      </c>
      <c r="E156">
        <v>2.36</v>
      </c>
      <c r="F156">
        <v>27.32</v>
      </c>
      <c r="G156">
        <v>3.57</v>
      </c>
      <c r="H156" s="1">
        <f>IF(ISNUMBER(Main_M[[#This Row],[Free CF]]),IF(Main_M[[#This Row],[Free CF]]&lt;&gt;0,Main_M[[#This Row],[Current Price]]/Main_M[[#This Row],[Free CF]],""),"")</f>
        <v>23.822033898305087</v>
      </c>
      <c r="I156" s="1">
        <f>IF(ISNUMBER(Main_M[[#This Row],[BVPS]]),IF(Main_M[[#This Row],[BVPS]]&lt;&gt;0,Main_M[[#This Row],[Current Price]]/Main_M[[#This Row],[BVPS]],""),"")</f>
        <v>2.0578330893118593</v>
      </c>
      <c r="J156">
        <v>14.2</v>
      </c>
      <c r="K156">
        <v>6.02</v>
      </c>
      <c r="L156">
        <v>2.16</v>
      </c>
      <c r="M156" s="1">
        <f>IF(ISNUMBER(Main_M[[#This Row],[EPS]]),IF(Main_M[[#This Row],[EPS]]&lt;&gt;0,Main_M[[#This Row],[Current Price]]/Main_M[[#This Row],[EPS]],""),"")</f>
        <v>15.747899159663866</v>
      </c>
      <c r="N15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56" s="1">
        <f>(Main_M[[#This Row],[P/FCF]]-VLOOKUP(Main_M[[#This Row],[Industry]], Mean_PFCF_M, 2, FALSE))/(VLOOKUP(Main_M[[#This Row],[Industry]], Mean_PFCF_M, 3, FALSE))</f>
        <v>0.64372287663192351</v>
      </c>
      <c r="P156" s="1">
        <f>(Main_M[[#This Row],[P/B]]-VLOOKUP(Main_M[[#This Row],[Industry]], Mean_PB_M, 2, FALSE))/(VLOOKUP(Main_M[[#This Row],[Industry]], Mean_PB_M, 3, FALSE))</f>
        <v>-0.42583082292484598</v>
      </c>
      <c r="Q156" s="1">
        <f>(Main_M[[#This Row],[ROE]]-VLOOKUP(Main_M[[#This Row],[Industry]], Mean_ROE_M, 2, FALSE))/(VLOOKUP(Main_M[[#This Row],[Industry]], Mean_ROE_M, 3, FALSE))</f>
        <v>-0.12417025921558185</v>
      </c>
      <c r="R156" s="1">
        <f>(Main_M[[#This Row],[ROA]]-VLOOKUP(Main_M[[#This Row],[Industry]], Mean_ROA_M, 2, FALSE))/(VLOOKUP(Main_M[[#This Row],[Industry]], Mean_ROA_M, 3, FALSE))</f>
        <v>8.8526081860295661E-2</v>
      </c>
      <c r="S156" s="1">
        <f>(Main_M[[#This Row],[A/E]]-VLOOKUP(Main_M[[#This Row],[Industry]], Mean_AE_M, 2, FALSE))/(VLOOKUP(Main_M[[#This Row],[Industry]], Mean_AE_M, 3, FALSE))</f>
        <v>-0.5420758549083885</v>
      </c>
      <c r="T156" s="1">
        <f>(Main_M[[#This Row],[P/E]]-VLOOKUP(Main_M[[#This Row],[Industry]], Mean_PE_M, 2, FALSE))/(VLOOKUP(Main_M[[#This Row],[Industry]], Mean_PE_M, 3, FALSE))</f>
        <v>-0.49040271732648127</v>
      </c>
      <c r="U15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5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5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5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5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5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57" spans="1:26" x14ac:dyDescent="0.25">
      <c r="A157" t="s">
        <v>181</v>
      </c>
      <c r="B157" t="s">
        <v>346</v>
      </c>
      <c r="C157" s="2">
        <v>5304</v>
      </c>
      <c r="D157">
        <f>RTD("tos.rtd", , "LAST", Main_M[[#This Row],[Symbol]])</f>
        <v>126.94</v>
      </c>
      <c r="E157">
        <v>4.4800000000000004</v>
      </c>
      <c r="F157">
        <v>34.51</v>
      </c>
      <c r="G157">
        <v>2.54</v>
      </c>
      <c r="H157" s="1">
        <f>IF(ISNUMBER(Main_M[[#This Row],[Free CF]]),IF(Main_M[[#This Row],[Free CF]]&lt;&gt;0,Main_M[[#This Row],[Current Price]]/Main_M[[#This Row],[Free CF]],""),"")</f>
        <v>28.334821428571427</v>
      </c>
      <c r="I157" s="1">
        <f>IF(ISNUMBER(Main_M[[#This Row],[BVPS]]),IF(Main_M[[#This Row],[BVPS]]&lt;&gt;0,Main_M[[#This Row],[Current Price]]/Main_M[[#This Row],[BVPS]],""),"")</f>
        <v>3.678354100260794</v>
      </c>
      <c r="J157">
        <v>7.63</v>
      </c>
      <c r="K157">
        <v>3.99</v>
      </c>
      <c r="L157">
        <v>2.1</v>
      </c>
      <c r="M157" s="1">
        <f>IF(ISNUMBER(Main_M[[#This Row],[EPS]]),IF(Main_M[[#This Row],[EPS]]&lt;&gt;0,Main_M[[#This Row],[Current Price]]/Main_M[[#This Row],[EPS]],""),"")</f>
        <v>49.976377952755904</v>
      </c>
      <c r="N15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57" s="1">
        <f>(Main_M[[#This Row],[P/FCF]]-VLOOKUP(Main_M[[#This Row],[Industry]], Mean_PFCF_M, 2, FALSE))/(VLOOKUP(Main_M[[#This Row],[Industry]], Mean_PFCF_M, 3, FALSE))</f>
        <v>1.0367407750873949</v>
      </c>
      <c r="P157" s="1">
        <f>(Main_M[[#This Row],[P/B]]-VLOOKUP(Main_M[[#This Row],[Industry]], Mean_PB_M, 2, FALSE))/(VLOOKUP(Main_M[[#This Row],[Industry]], Mean_PB_M, 3, FALSE))</f>
        <v>0.81108710756999947</v>
      </c>
      <c r="Q157" s="1">
        <f>(Main_M[[#This Row],[ROE]]-VLOOKUP(Main_M[[#This Row],[Industry]], Mean_ROE_M, 2, FALSE))/(VLOOKUP(Main_M[[#This Row],[Industry]], Mean_ROE_M, 3, FALSE))</f>
        <v>-1.3656029160252736</v>
      </c>
      <c r="R157" s="1">
        <f>(Main_M[[#This Row],[ROA]]-VLOOKUP(Main_M[[#This Row],[Industry]], Mean_ROA_M, 2, FALSE))/(VLOOKUP(Main_M[[#This Row],[Industry]], Mean_ROA_M, 3, FALSE))</f>
        <v>-0.85349137793534557</v>
      </c>
      <c r="S157" s="1">
        <f>(Main_M[[#This Row],[A/E]]-VLOOKUP(Main_M[[#This Row],[Industry]], Mean_AE_M, 2, FALSE))/(VLOOKUP(Main_M[[#This Row],[Industry]], Mean_AE_M, 3, FALSE))</f>
        <v>-0.58712370988692497</v>
      </c>
      <c r="T157" s="1">
        <f>(Main_M[[#This Row],[P/E]]-VLOOKUP(Main_M[[#This Row],[Industry]], Mean_PE_M, 2, FALSE))/(VLOOKUP(Main_M[[#This Row],[Industry]], Mean_PE_M, 3, FALSE))</f>
        <v>3.8321244091542304</v>
      </c>
      <c r="U15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5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5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5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5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5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158" spans="1:26" x14ac:dyDescent="0.25">
      <c r="A158" t="s">
        <v>181</v>
      </c>
      <c r="B158" t="s">
        <v>189</v>
      </c>
      <c r="C158" s="2">
        <v>7756</v>
      </c>
      <c r="D158">
        <f>RTD("tos.rtd", , "LAST", Main_M[[#This Row],[Symbol]])</f>
        <v>173.88</v>
      </c>
      <c r="E158">
        <v>4.68</v>
      </c>
      <c r="F158">
        <v>103.18</v>
      </c>
      <c r="G158">
        <v>13.26</v>
      </c>
      <c r="H158" s="1">
        <f>IF(ISNUMBER(Main_M[[#This Row],[Free CF]]),IF(Main_M[[#This Row],[Free CF]]&lt;&gt;0,Main_M[[#This Row],[Current Price]]/Main_M[[#This Row],[Free CF]],""),"")</f>
        <v>37.153846153846153</v>
      </c>
      <c r="I158" s="1">
        <f>IF(ISNUMBER(Main_M[[#This Row],[BVPS]]),IF(Main_M[[#This Row],[BVPS]]&lt;&gt;0,Main_M[[#This Row],[Current Price]]/Main_M[[#This Row],[BVPS]],""),"")</f>
        <v>1.6852103120759836</v>
      </c>
      <c r="J158">
        <v>14.42</v>
      </c>
      <c r="K158">
        <v>5.0199999999999996</v>
      </c>
      <c r="L158">
        <v>3.08</v>
      </c>
      <c r="M158" s="1">
        <f>IF(ISNUMBER(Main_M[[#This Row],[EPS]]),IF(Main_M[[#This Row],[EPS]]&lt;&gt;0,Main_M[[#This Row],[Current Price]]/Main_M[[#This Row],[EPS]],""),"")</f>
        <v>13.113122171945701</v>
      </c>
      <c r="N15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58" s="1">
        <f>(Main_M[[#This Row],[P/FCF]]-VLOOKUP(Main_M[[#This Row],[Industry]], Mean_PFCF_M, 2, FALSE))/(VLOOKUP(Main_M[[#This Row],[Industry]], Mean_PFCF_M, 3, FALSE))</f>
        <v>1.8047881384317428</v>
      </c>
      <c r="P158" s="1">
        <f>(Main_M[[#This Row],[P/B]]-VLOOKUP(Main_M[[#This Row],[Industry]], Mean_PB_M, 2, FALSE))/(VLOOKUP(Main_M[[#This Row],[Industry]], Mean_PB_M, 3, FALSE))</f>
        <v>-0.71024786618425295</v>
      </c>
      <c r="Q158" s="1">
        <f>(Main_M[[#This Row],[ROE]]-VLOOKUP(Main_M[[#This Row],[Industry]], Mean_ROE_M, 2, FALSE))/(VLOOKUP(Main_M[[#This Row],[Industry]], Mean_ROE_M, 3, FALSE))</f>
        <v>-8.2600215912974076E-2</v>
      </c>
      <c r="R158" s="1">
        <f>(Main_M[[#This Row],[ROA]]-VLOOKUP(Main_M[[#This Row],[Industry]], Mean_ROA_M, 2, FALSE))/(VLOOKUP(Main_M[[#This Row],[Industry]], Mean_ROA_M, 3, FALSE))</f>
        <v>-0.37552192789125188</v>
      </c>
      <c r="S158" s="1">
        <f>(Main_M[[#This Row],[A/E]]-VLOOKUP(Main_M[[#This Row],[Industry]], Mean_AE_M, 2, FALSE))/(VLOOKUP(Main_M[[#This Row],[Industry]], Mean_AE_M, 3, FALSE))</f>
        <v>0.14865792142917023</v>
      </c>
      <c r="T158" s="1">
        <f>(Main_M[[#This Row],[P/E]]-VLOOKUP(Main_M[[#This Row],[Industry]], Mean_PE_M, 2, FALSE))/(VLOOKUP(Main_M[[#This Row],[Industry]], Mean_PE_M, 3, FALSE))</f>
        <v>-0.82313427313074927</v>
      </c>
      <c r="U15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5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5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5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5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5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59" spans="1:26" x14ac:dyDescent="0.25">
      <c r="A159" t="s">
        <v>250</v>
      </c>
      <c r="B159" t="s">
        <v>405</v>
      </c>
      <c r="C159" s="2">
        <v>9963</v>
      </c>
      <c r="D159">
        <f>RTD("tos.rtd", , "LAST", Main_M[[#This Row],[Symbol]])</f>
        <v>338.47</v>
      </c>
      <c r="E159">
        <v>1.73</v>
      </c>
      <c r="F159">
        <v>9.41</v>
      </c>
      <c r="G159">
        <v>2.2799999999999998</v>
      </c>
      <c r="H159" s="1">
        <f>IF(ISNUMBER(Main_M[[#This Row],[Free CF]]),IF(Main_M[[#This Row],[Free CF]]&lt;&gt;0,Main_M[[#This Row],[Current Price]]/Main_M[[#This Row],[Free CF]],""),"")</f>
        <v>195.64739884393066</v>
      </c>
      <c r="I159" s="1">
        <f>IF(ISNUMBER(Main_M[[#This Row],[BVPS]]),IF(Main_M[[#This Row],[BVPS]]&lt;&gt;0,Main_M[[#This Row],[Current Price]]/Main_M[[#This Row],[BVPS]],""),"")</f>
        <v>35.969181721572795</v>
      </c>
      <c r="J159">
        <v>24.22</v>
      </c>
      <c r="K159">
        <v>14.12</v>
      </c>
      <c r="L159">
        <v>1.5</v>
      </c>
      <c r="M159" s="1">
        <f>IF(ISNUMBER(Main_M[[#This Row],[EPS]]),IF(Main_M[[#This Row],[EPS]]&lt;&gt;0,Main_M[[#This Row],[Current Price]]/Main_M[[#This Row],[EPS]],""),"")</f>
        <v>148.45175438596493</v>
      </c>
      <c r="N15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59" s="1">
        <f>(Main_M[[#This Row],[P/FCF]]-VLOOKUP(Main_M[[#This Row],[Industry]], Mean_PFCF_M, 2, FALSE))/(VLOOKUP(Main_M[[#This Row],[Industry]], Mean_PFCF_M, 3, FALSE))</f>
        <v>0.57629835980276656</v>
      </c>
      <c r="P159" s="1">
        <f>(Main_M[[#This Row],[P/B]]-VLOOKUP(Main_M[[#This Row],[Industry]], Mean_PB_M, 2, FALSE))/(VLOOKUP(Main_M[[#This Row],[Industry]], Mean_PB_M, 3, FALSE))</f>
        <v>3.3176280881854245E-2</v>
      </c>
      <c r="Q159" s="1">
        <f>(Main_M[[#This Row],[ROE]]-VLOOKUP(Main_M[[#This Row],[Industry]], Mean_ROE_M, 2, FALSE))/(VLOOKUP(Main_M[[#This Row],[Industry]], Mean_ROE_M, 3, FALSE))</f>
        <v>-0.82562759500445493</v>
      </c>
      <c r="R159" s="1">
        <f>(Main_M[[#This Row],[ROA]]-VLOOKUP(Main_M[[#This Row],[Industry]], Mean_ROA_M, 2, FALSE))/(VLOOKUP(Main_M[[#This Row],[Industry]], Mean_ROA_M, 3, FALSE))</f>
        <v>0.15237048484928953</v>
      </c>
      <c r="S159" s="1">
        <f>(Main_M[[#This Row],[A/E]]-VLOOKUP(Main_M[[#This Row],[Industry]], Mean_AE_M, 2, FALSE))/(VLOOKUP(Main_M[[#This Row],[Industry]], Mean_AE_M, 3, FALSE))</f>
        <v>-1.2977713690461012</v>
      </c>
      <c r="T159" s="1">
        <f>(Main_M[[#This Row],[P/E]]-VLOOKUP(Main_M[[#This Row],[Industry]], Mean_PE_M, 2, FALSE))/(VLOOKUP(Main_M[[#This Row],[Industry]], Mean_PE_M, 3, FALSE))</f>
        <v>0.67961232499654933</v>
      </c>
      <c r="U15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5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5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5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5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5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60" spans="1:26" x14ac:dyDescent="0.25">
      <c r="A160" t="s">
        <v>250</v>
      </c>
      <c r="B160" t="s">
        <v>406</v>
      </c>
      <c r="C160" s="2">
        <v>3230</v>
      </c>
      <c r="D160">
        <f>RTD("tos.rtd", , "LAST", Main_M[[#This Row],[Symbol]])</f>
        <v>21.87</v>
      </c>
      <c r="E160">
        <v>2.4300000000000002</v>
      </c>
      <c r="F160">
        <v>8.5</v>
      </c>
      <c r="G160">
        <v>1.75</v>
      </c>
      <c r="H160" s="1">
        <f>IF(ISNUMBER(Main_M[[#This Row],[Free CF]]),IF(Main_M[[#This Row],[Free CF]]&lt;&gt;0,Main_M[[#This Row],[Current Price]]/Main_M[[#This Row],[Free CF]],""),"")</f>
        <v>9</v>
      </c>
      <c r="I160" s="1">
        <f>IF(ISNUMBER(Main_M[[#This Row],[BVPS]]),IF(Main_M[[#This Row],[BVPS]]&lt;&gt;0,Main_M[[#This Row],[Current Price]]/Main_M[[#This Row],[BVPS]],""),"")</f>
        <v>2.5729411764705885</v>
      </c>
      <c r="J160">
        <v>26.52</v>
      </c>
      <c r="K160">
        <v>6.97</v>
      </c>
      <c r="L160">
        <v>3.05</v>
      </c>
      <c r="M160" s="1">
        <f>IF(ISNUMBER(Main_M[[#This Row],[EPS]]),IF(Main_M[[#This Row],[EPS]]&lt;&gt;0,Main_M[[#This Row],[Current Price]]/Main_M[[#This Row],[EPS]],""),"")</f>
        <v>12.497142857142858</v>
      </c>
      <c r="N16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60" s="1">
        <f>(Main_M[[#This Row],[P/FCF]]-VLOOKUP(Main_M[[#This Row],[Industry]], Mean_PFCF_M, 2, FALSE))/(VLOOKUP(Main_M[[#This Row],[Industry]], Mean_PFCF_M, 3, FALSE))</f>
        <v>-1.4065901262040841</v>
      </c>
      <c r="P160" s="1">
        <f>(Main_M[[#This Row],[P/B]]-VLOOKUP(Main_M[[#This Row],[Industry]], Mean_PB_M, 2, FALSE))/(VLOOKUP(Main_M[[#This Row],[Industry]], Mean_PB_M, 3, FALSE))</f>
        <v>-1.2409959568118192</v>
      </c>
      <c r="Q160" s="1">
        <f>(Main_M[[#This Row],[ROE]]-VLOOKUP(Main_M[[#This Row],[Industry]], Mean_ROE_M, 2, FALSE))/(VLOOKUP(Main_M[[#This Row],[Industry]], Mean_ROE_M, 3, FALSE))</f>
        <v>-0.58154745766380622</v>
      </c>
      <c r="R160" s="1">
        <f>(Main_M[[#This Row],[ROA]]-VLOOKUP(Main_M[[#This Row],[Industry]], Mean_ROA_M, 2, FALSE))/(VLOOKUP(Main_M[[#This Row],[Industry]], Mean_ROA_M, 3, FALSE))</f>
        <v>-1.2938007098486155</v>
      </c>
      <c r="S160" s="1">
        <f>(Main_M[[#This Row],[A/E]]-VLOOKUP(Main_M[[#This Row],[Industry]], Mean_AE_M, 2, FALSE))/(VLOOKUP(Main_M[[#This Row],[Industry]], Mean_AE_M, 3, FALSE))</f>
        <v>1.1355499479153384</v>
      </c>
      <c r="T160" s="1">
        <f>(Main_M[[#This Row],[P/E]]-VLOOKUP(Main_M[[#This Row],[Industry]], Mean_PE_M, 2, FALSE))/(VLOOKUP(Main_M[[#This Row],[Industry]], Mean_PE_M, 3, FALSE))</f>
        <v>-1.4138617084476399</v>
      </c>
      <c r="U16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6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6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6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6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6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61" spans="1:26" x14ac:dyDescent="0.25">
      <c r="A161" t="s">
        <v>250</v>
      </c>
      <c r="B161" t="s">
        <v>407</v>
      </c>
      <c r="C161" s="2">
        <v>4653</v>
      </c>
      <c r="D161">
        <f>RTD("tos.rtd", , "LAST", Main_M[[#This Row],[Symbol]])</f>
        <v>98.8</v>
      </c>
      <c r="E161">
        <v>0.45</v>
      </c>
      <c r="F161">
        <v>1.48</v>
      </c>
      <c r="G161">
        <v>0.65</v>
      </c>
      <c r="H161" s="1">
        <f>IF(ISNUMBER(Main_M[[#This Row],[Free CF]]),IF(Main_M[[#This Row],[Free CF]]&lt;&gt;0,Main_M[[#This Row],[Current Price]]/Main_M[[#This Row],[Free CF]],""),"")</f>
        <v>219.55555555555554</v>
      </c>
      <c r="I161" s="1">
        <f>IF(ISNUMBER(Main_M[[#This Row],[BVPS]]),IF(Main_M[[#This Row],[BVPS]]&lt;&gt;0,Main_M[[#This Row],[Current Price]]/Main_M[[#This Row],[BVPS]],""),"")</f>
        <v>66.756756756756758</v>
      </c>
      <c r="J161">
        <v>45.26</v>
      </c>
      <c r="K161">
        <v>19.010000000000002</v>
      </c>
      <c r="L161">
        <v>2.4300000000000002</v>
      </c>
      <c r="M161" s="1">
        <f>IF(ISNUMBER(Main_M[[#This Row],[EPS]]),IF(Main_M[[#This Row],[EPS]]&lt;&gt;0,Main_M[[#This Row],[Current Price]]/Main_M[[#This Row],[EPS]],""),"")</f>
        <v>152</v>
      </c>
      <c r="N16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61" s="1">
        <f>(Main_M[[#This Row],[P/FCF]]-VLOOKUP(Main_M[[#This Row],[Industry]], Mean_PFCF_M, 2, FALSE))/(VLOOKUP(Main_M[[#This Row],[Industry]], Mean_PFCF_M, 3, FALSE))</f>
        <v>0.83029176640131752</v>
      </c>
      <c r="P161" s="1">
        <f>(Main_M[[#This Row],[P/B]]-VLOOKUP(Main_M[[#This Row],[Industry]], Mean_PB_M, 2, FALSE))/(VLOOKUP(Main_M[[#This Row],[Industry]], Mean_PB_M, 3, FALSE))</f>
        <v>1.2078196759299649</v>
      </c>
      <c r="Q161" s="1">
        <f>(Main_M[[#This Row],[ROE]]-VLOOKUP(Main_M[[#This Row],[Industry]], Mean_ROE_M, 2, FALSE))/(VLOOKUP(Main_M[[#This Row],[Industry]], Mean_ROE_M, 3, FALSE))</f>
        <v>1.4071750526682607</v>
      </c>
      <c r="R161" s="1">
        <f>(Main_M[[#This Row],[ROA]]-VLOOKUP(Main_M[[#This Row],[Industry]], Mean_ROA_M, 2, FALSE))/(VLOOKUP(Main_M[[#This Row],[Industry]], Mean_ROA_M, 3, FALSE))</f>
        <v>1.1414302249993258</v>
      </c>
      <c r="S161" s="1">
        <f>(Main_M[[#This Row],[A/E]]-VLOOKUP(Main_M[[#This Row],[Industry]], Mean_AE_M, 2, FALSE))/(VLOOKUP(Main_M[[#This Row],[Industry]], Mean_AE_M, 3, FALSE))</f>
        <v>0.16222142113076293</v>
      </c>
      <c r="T161" s="1">
        <f>(Main_M[[#This Row],[P/E]]-VLOOKUP(Main_M[[#This Row],[Industry]], Mean_PE_M, 2, FALSE))/(VLOOKUP(Main_M[[#This Row],[Industry]], Mean_PE_M, 3, FALSE))</f>
        <v>0.73424938345109025</v>
      </c>
      <c r="U16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6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6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6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6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6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FF2C84-C5D7-44A4-9584-CA955106FEB8}">
  <sheetPr codeName="Sheet4"/>
  <dimension ref="A1:Z194"/>
  <sheetViews>
    <sheetView workbookViewId="0">
      <selection activeCell="B24" sqref="B24"/>
    </sheetView>
  </sheetViews>
  <sheetFormatPr defaultRowHeight="15" x14ac:dyDescent="0.25"/>
  <cols>
    <col min="1" max="1" width="31.42578125" bestFit="1" customWidth="1"/>
    <col min="2" max="2" width="10" bestFit="1" customWidth="1"/>
    <col min="3" max="3" width="17" style="2" bestFit="1" customWidth="1"/>
    <col min="4" max="4" width="32.42578125" bestFit="1" customWidth="1"/>
    <col min="5" max="5" width="10.140625" bestFit="1" customWidth="1"/>
    <col min="6" max="6" width="7.85546875" bestFit="1" customWidth="1"/>
    <col min="7" max="7" width="6.7109375" bestFit="1" customWidth="1"/>
    <col min="8" max="8" width="75.85546875" bestFit="1" customWidth="1"/>
    <col min="9" max="9" width="66.42578125" bestFit="1" customWidth="1"/>
    <col min="10" max="10" width="7.7109375" bestFit="1" customWidth="1"/>
    <col min="11" max="11" width="7.140625" bestFit="1" customWidth="1"/>
    <col min="12" max="12" width="7.7109375" bestFit="1" customWidth="1"/>
    <col min="13" max="13" width="62.42578125" bestFit="1" customWidth="1"/>
    <col min="14" max="14" width="21.140625" bestFit="1" customWidth="1"/>
    <col min="15" max="15" width="16" bestFit="1" customWidth="1"/>
    <col min="16" max="16" width="13.5703125" bestFit="1" customWidth="1"/>
    <col min="17" max="18" width="14.42578125" bestFit="1" customWidth="1"/>
    <col min="19" max="20" width="13.5703125" bestFit="1" customWidth="1"/>
    <col min="21" max="21" width="15.42578125" bestFit="1" customWidth="1"/>
    <col min="22" max="22" width="13" bestFit="1" customWidth="1"/>
    <col min="23" max="24" width="13.85546875" bestFit="1" customWidth="1"/>
    <col min="25" max="29" width="13" bestFit="1" customWidth="1"/>
  </cols>
  <sheetData>
    <row r="1" spans="1:26" x14ac:dyDescent="0.25">
      <c r="A1" t="s">
        <v>1</v>
      </c>
      <c r="B1" t="s">
        <v>24</v>
      </c>
      <c r="C1" s="2" t="s">
        <v>54</v>
      </c>
      <c r="D1" t="s">
        <v>25</v>
      </c>
      <c r="E1" t="s">
        <v>26</v>
      </c>
      <c r="F1" t="s">
        <v>27</v>
      </c>
      <c r="G1" t="s">
        <v>28</v>
      </c>
      <c r="H1" t="s">
        <v>29</v>
      </c>
      <c r="I1" t="s">
        <v>71</v>
      </c>
      <c r="J1" t="s">
        <v>30</v>
      </c>
      <c r="K1" t="s">
        <v>31</v>
      </c>
      <c r="L1" t="s">
        <v>33</v>
      </c>
      <c r="M1" t="s">
        <v>32</v>
      </c>
      <c r="N1" t="s">
        <v>34</v>
      </c>
      <c r="O1" t="s">
        <v>90</v>
      </c>
      <c r="P1" t="s">
        <v>91</v>
      </c>
      <c r="Q1" t="s">
        <v>92</v>
      </c>
      <c r="R1" t="s">
        <v>93</v>
      </c>
      <c r="S1" t="s">
        <v>94</v>
      </c>
      <c r="T1" t="s">
        <v>95</v>
      </c>
      <c r="U1" t="s">
        <v>35</v>
      </c>
      <c r="V1" t="s">
        <v>76</v>
      </c>
      <c r="W1" t="s">
        <v>36</v>
      </c>
      <c r="X1" t="s">
        <v>37</v>
      </c>
      <c r="Y1" t="s">
        <v>39</v>
      </c>
      <c r="Z1" t="s">
        <v>38</v>
      </c>
    </row>
    <row r="2" spans="1:26" x14ac:dyDescent="0.25">
      <c r="A2" s="68" t="s">
        <v>105</v>
      </c>
      <c r="B2" s="68" t="s">
        <v>409</v>
      </c>
      <c r="C2" s="2">
        <v>330</v>
      </c>
      <c r="D2">
        <f>RTD("tos.rtd", , "LAST", Main_S[[#This Row],[Symbol]])</f>
        <v>6.1</v>
      </c>
      <c r="E2">
        <v>-0.34</v>
      </c>
      <c r="F2">
        <v>8.56</v>
      </c>
      <c r="G2">
        <v>0.11</v>
      </c>
      <c r="H2" s="1">
        <f>IF(ISNUMBER(Main_S[[#This Row],[Free CF]]),IF(Main_S[[#This Row],[Free CF]]&lt;&gt;0,Main_S[[#This Row],[Current Price]]/Main_S[[#This Row],[Free CF]],""),"")</f>
        <v>-17.941176470588232</v>
      </c>
      <c r="I2" s="1">
        <f>IF(ISNUMBER(Main_S[[#This Row],[BVPS]]),IF(Main_S[[#This Row],[BVPS]]&lt;&gt;0,Main_S[[#This Row],[Current Price]]/Main_S[[#This Row],[BVPS]],""),"")</f>
        <v>0.71261682242990643</v>
      </c>
      <c r="J2">
        <v>1.3</v>
      </c>
      <c r="K2">
        <v>1.05</v>
      </c>
      <c r="L2">
        <v>1.33</v>
      </c>
      <c r="M2" s="1">
        <f>IF(ISNUMBER(Main_S[[#This Row],[EPS]]),IF(Main_S[[#This Row],[EPS]]&lt;&gt;0,Main_S[[#This Row],[Current Price]]/Main_S[[#This Row],[EPS]],""),"")</f>
        <v>55.454545454545453</v>
      </c>
      <c r="N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" s="1">
        <f>(Main_S[[#This Row],[P/FCF]]-VLOOKUP(Main_S[[#This Row],[Industry]], Mean_PFCF_S, 2, FALSE))/(VLOOKUP(Main_S[[#This Row],[Industry]], Mean_PFCF_S, 3, FALSE))</f>
        <v>-0.71403120744913628</v>
      </c>
      <c r="P2" s="1">
        <f>(Main_S[[#This Row],[P/B]]-VLOOKUP(Main_S[[#This Row],[Industry]], Mean_PB_S, 2, FALSE))/(VLOOKUP(Main_S[[#This Row],[Industry]], Mean_PB_S, 3, FALSE))</f>
        <v>-0.3603011718495282</v>
      </c>
      <c r="Q2" s="1">
        <f>(Main_S[[#This Row],[ROE]]-VLOOKUP(Main_S[[#This Row],[Industry]], Mean_ROE_S, 2, FALSE))/(VLOOKUP(Main_S[[#This Row],[Industry]], Mean_ROE_S, 3, FALSE))</f>
        <v>-0.62643116060622361</v>
      </c>
      <c r="R2" s="1">
        <f>(Main_S[[#This Row],[ROA]]-VLOOKUP(Main_S[[#This Row],[Industry]], Mean_ROA_S, 2, FALSE))/(VLOOKUP(Main_S[[#This Row],[Industry]], Mean_ROA_S, 3, FALSE))</f>
        <v>0.21906380098769984</v>
      </c>
      <c r="S2" s="1">
        <f>(Main_S[[#This Row],[A/E]]-VLOOKUP(Main_S[[#This Row],[Industry]], Mean_AE_S, 2, FALSE))/(VLOOKUP(Main_S[[#This Row],[Industry]], Mean_AE_S, 3, FALSE))</f>
        <v>0.15582215106833477</v>
      </c>
      <c r="T2" s="1">
        <f>(Main_S[[#This Row],[P/E]]-VLOOKUP(Main_S[[#This Row],[Industry]], Mean_PE_S, 2, FALSE))/(VLOOKUP(Main_S[[#This Row],[Industry]], Mean_PE_S, 3, FALSE))</f>
        <v>1.4313118738510138</v>
      </c>
      <c r="U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" spans="1:26" x14ac:dyDescent="0.25">
      <c r="A3" s="68" t="s">
        <v>105</v>
      </c>
      <c r="B3" s="68" t="s">
        <v>410</v>
      </c>
      <c r="C3" s="2">
        <v>971</v>
      </c>
      <c r="D3">
        <f>RTD("tos.rtd", , "LAST", Main_S[[#This Row],[Symbol]])</f>
        <v>29.78</v>
      </c>
      <c r="E3">
        <v>0.63</v>
      </c>
      <c r="F3">
        <v>7.26</v>
      </c>
      <c r="G3">
        <v>-0.46</v>
      </c>
      <c r="H3" s="1">
        <f>IF(ISNUMBER(Main_S[[#This Row],[Free CF]]),IF(Main_S[[#This Row],[Free CF]]&lt;&gt;0,Main_S[[#This Row],[Current Price]]/Main_S[[#This Row],[Free CF]],""),"")</f>
        <v>47.269841269841272</v>
      </c>
      <c r="I3" s="1">
        <f>IF(ISNUMBER(Main_S[[#This Row],[BVPS]]),IF(Main_S[[#This Row],[BVPS]]&lt;&gt;0,Main_S[[#This Row],[Current Price]]/Main_S[[#This Row],[BVPS]],""),"")</f>
        <v>4.1019283746556479</v>
      </c>
      <c r="J3">
        <v>-6.41</v>
      </c>
      <c r="K3">
        <v>2.4</v>
      </c>
      <c r="L3">
        <v>2.5299999999999998</v>
      </c>
      <c r="M3" s="1">
        <f>IF(ISNUMBER(Main_S[[#This Row],[EPS]]),IF(Main_S[[#This Row],[EPS]]&lt;&gt;0,Main_S[[#This Row],[Current Price]]/Main_S[[#This Row],[EPS]],""),"")</f>
        <v>-64.739130434782609</v>
      </c>
      <c r="N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" s="1">
        <f>(Main_S[[#This Row],[P/FCF]]-VLOOKUP(Main_S[[#This Row],[Industry]], Mean_PFCF_S, 2, FALSE))/(VLOOKUP(Main_S[[#This Row],[Industry]], Mean_PFCF_S, 3, FALSE))</f>
        <v>1.2016804438929749</v>
      </c>
      <c r="P3" s="1">
        <f>(Main_S[[#This Row],[P/B]]-VLOOKUP(Main_S[[#This Row],[Industry]], Mean_PB_S, 2, FALSE))/(VLOOKUP(Main_S[[#This Row],[Industry]], Mean_PB_S, 3, FALSE))</f>
        <v>0.3477197707702997</v>
      </c>
      <c r="Q3" s="1">
        <f>(Main_S[[#This Row],[ROE]]-VLOOKUP(Main_S[[#This Row],[Industry]], Mean_ROE_S, 2, FALSE))/(VLOOKUP(Main_S[[#This Row],[Industry]], Mean_ROE_S, 3, FALSE))</f>
        <v>-1.438159605694288</v>
      </c>
      <c r="R3" s="1">
        <f>(Main_S[[#This Row],[ROA]]-VLOOKUP(Main_S[[#This Row],[Industry]], Mean_ROA_S, 2, FALSE))/(VLOOKUP(Main_S[[#This Row],[Industry]], Mean_ROA_S, 3, FALSE))</f>
        <v>0.33309040078575897</v>
      </c>
      <c r="S3" s="1">
        <f>(Main_S[[#This Row],[A/E]]-VLOOKUP(Main_S[[#This Row],[Industry]], Mean_AE_S, 2, FALSE))/(VLOOKUP(Main_S[[#This Row],[Industry]], Mean_AE_S, 3, FALSE))</f>
        <v>1.1086200174734386</v>
      </c>
      <c r="T3" s="1">
        <f>(Main_S[[#This Row],[P/E]]-VLOOKUP(Main_S[[#This Row],[Industry]], Mean_PE_S, 2, FALSE))/(VLOOKUP(Main_S[[#This Row],[Industry]], Mean_PE_S, 3, FALSE))</f>
        <v>-2.3418641075697555</v>
      </c>
      <c r="U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" spans="1:26" x14ac:dyDescent="0.25">
      <c r="A4" s="68" t="s">
        <v>105</v>
      </c>
      <c r="B4" s="68" t="s">
        <v>563</v>
      </c>
      <c r="C4" s="2">
        <v>273</v>
      </c>
      <c r="D4">
        <f>RTD("tos.rtd", , "LAST", Main_S[[#This Row],[Symbol]])</f>
        <v>9.07</v>
      </c>
      <c r="E4">
        <v>-0.55000000000000004</v>
      </c>
      <c r="F4">
        <v>0.47</v>
      </c>
      <c r="G4">
        <v>-0.8</v>
      </c>
      <c r="H4" s="1">
        <f>IF(ISNUMBER(Main_S[[#This Row],[Free CF]]),IF(Main_S[[#This Row],[Free CF]]&lt;&gt;0,Main_S[[#This Row],[Current Price]]/Main_S[[#This Row],[Free CF]],""),"")</f>
        <v>-16.490909090909089</v>
      </c>
      <c r="I4" s="1">
        <f>IF(ISNUMBER(Main_S[[#This Row],[BVPS]]),IF(Main_S[[#This Row],[BVPS]]&lt;&gt;0,Main_S[[#This Row],[Current Price]]/Main_S[[#This Row],[BVPS]],""),"")</f>
        <v>19.297872340425535</v>
      </c>
      <c r="J4">
        <v>-849.53</v>
      </c>
      <c r="K4">
        <v>-58.9</v>
      </c>
      <c r="L4">
        <v>1.36</v>
      </c>
      <c r="M4" s="1">
        <f>IF(ISNUMBER(Main_S[[#This Row],[EPS]]),IF(Main_S[[#This Row],[EPS]]&lt;&gt;0,Main_S[[#This Row],[Current Price]]/Main_S[[#This Row],[EPS]],""),"")</f>
        <v>-11.3375</v>
      </c>
      <c r="N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" s="1">
        <f>(Main_S[[#This Row],[P/FCF]]-VLOOKUP(Main_S[[#This Row],[Industry]], Mean_PFCF_S, 2, FALSE))/(VLOOKUP(Main_S[[#This Row],[Industry]], Mean_PFCF_S, 3, FALSE))</f>
        <v>-0.6714265339893285</v>
      </c>
      <c r="P4" s="1">
        <f>(Main_S[[#This Row],[P/B]]-VLOOKUP(Main_S[[#This Row],[Industry]], Mean_PB_S, 2, FALSE))/(VLOOKUP(Main_S[[#This Row],[Industry]], Mean_PB_S, 3, FALSE))</f>
        <v>3.5221244853729088</v>
      </c>
      <c r="Q4" s="1">
        <f>(Main_S[[#This Row],[ROE]]-VLOOKUP(Main_S[[#This Row],[Industry]], Mean_ROE_S, 2, FALSE))/(VLOOKUP(Main_S[[#This Row],[Industry]], Mean_ROE_S, 3, FALSE))</f>
        <v>-90.203981476336168</v>
      </c>
      <c r="R4" s="1">
        <f>(Main_S[[#This Row],[ROA]]-VLOOKUP(Main_S[[#This Row],[Industry]], Mean_ROA_S, 2, FALSE))/(VLOOKUP(Main_S[[#This Row],[Industry]], Mean_ROA_S, 3, FALSE))</f>
        <v>-4.8445618715261096</v>
      </c>
      <c r="S4" s="1">
        <f>(Main_S[[#This Row],[A/E]]-VLOOKUP(Main_S[[#This Row],[Industry]], Mean_AE_S, 2, FALSE))/(VLOOKUP(Main_S[[#This Row],[Industry]], Mean_AE_S, 3, FALSE))</f>
        <v>0.1796420977284624</v>
      </c>
      <c r="T4" s="1">
        <f>(Main_S[[#This Row],[P/E]]-VLOOKUP(Main_S[[#This Row],[Industry]], Mean_PE_S, 2, FALSE))/(VLOOKUP(Main_S[[#This Row],[Industry]], Mean_PE_S, 3, FALSE))</f>
        <v>-0.66545519641571538</v>
      </c>
      <c r="U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5" spans="1:26" x14ac:dyDescent="0.25">
      <c r="A5" s="68" t="s">
        <v>105</v>
      </c>
      <c r="B5" s="68" t="s">
        <v>411</v>
      </c>
      <c r="C5" s="2">
        <v>473</v>
      </c>
      <c r="D5">
        <f>RTD("tos.rtd", , "LAST", Main_S[[#This Row],[Symbol]])</f>
        <v>24.66</v>
      </c>
      <c r="E5">
        <v>-0.04</v>
      </c>
      <c r="F5">
        <v>2.5099999999999998</v>
      </c>
      <c r="G5">
        <v>0.61</v>
      </c>
      <c r="H5" s="1">
        <f>IF(ISNUMBER(Main_S[[#This Row],[Free CF]]),IF(Main_S[[#This Row],[Free CF]]&lt;&gt;0,Main_S[[#This Row],[Current Price]]/Main_S[[#This Row],[Free CF]],""),"")</f>
        <v>-616.5</v>
      </c>
      <c r="I5" s="1">
        <f>IF(ISNUMBER(Main_S[[#This Row],[BVPS]]),IF(Main_S[[#This Row],[BVPS]]&lt;&gt;0,Main_S[[#This Row],[Current Price]]/Main_S[[#This Row],[BVPS]],""),"")</f>
        <v>9.8247011952191237</v>
      </c>
      <c r="J5">
        <v>28.88</v>
      </c>
      <c r="K5">
        <v>8.6199999999999992</v>
      </c>
      <c r="L5">
        <v>1.25</v>
      </c>
      <c r="M5" s="1">
        <f>IF(ISNUMBER(Main_S[[#This Row],[EPS]]),IF(Main_S[[#This Row],[EPS]]&lt;&gt;0,Main_S[[#This Row],[Current Price]]/Main_S[[#This Row],[EPS]],""),"")</f>
        <v>40.42622950819672</v>
      </c>
      <c r="N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" s="1">
        <f>(Main_S[[#This Row],[P/FCF]]-VLOOKUP(Main_S[[#This Row],[Industry]], Mean_PFCF_S, 2, FALSE))/(VLOOKUP(Main_S[[#This Row],[Industry]], Mean_PFCF_S, 3, FALSE))</f>
        <v>-18.297963370771456</v>
      </c>
      <c r="P5" s="1">
        <f>(Main_S[[#This Row],[P/B]]-VLOOKUP(Main_S[[#This Row],[Industry]], Mean_PB_S, 2, FALSE))/(VLOOKUP(Main_S[[#This Row],[Industry]], Mean_PB_S, 3, FALSE))</f>
        <v>1.5431964758119656</v>
      </c>
      <c r="Q5" s="1">
        <f>(Main_S[[#This Row],[ROE]]-VLOOKUP(Main_S[[#This Row],[Industry]], Mean_ROE_S, 2, FALSE))/(VLOOKUP(Main_S[[#This Row],[Industry]], Mean_ROE_S, 3, FALSE))</f>
        <v>2.2772615132626246</v>
      </c>
      <c r="R5" s="1">
        <f>(Main_S[[#This Row],[ROA]]-VLOOKUP(Main_S[[#This Row],[Industry]], Mean_ROA_S, 2, FALSE))/(VLOOKUP(Main_S[[#This Row],[Industry]], Mean_ROA_S, 3, FALSE))</f>
        <v>0.85845740133681647</v>
      </c>
      <c r="S5" s="1">
        <f>(Main_S[[#This Row],[A/E]]-VLOOKUP(Main_S[[#This Row],[Industry]], Mean_AE_S, 2, FALSE))/(VLOOKUP(Main_S[[#This Row],[Industry]], Mean_AE_S, 3, FALSE))</f>
        <v>9.2302293307994443E-2</v>
      </c>
      <c r="T5" s="1">
        <f>(Main_S[[#This Row],[P/E]]-VLOOKUP(Main_S[[#This Row],[Industry]], Mean_PE_S, 2, FALSE))/(VLOOKUP(Main_S[[#This Row],[Industry]], Mean_PE_S, 3, FALSE))</f>
        <v>0.9595359642584147</v>
      </c>
      <c r="U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6" spans="1:26" x14ac:dyDescent="0.25">
      <c r="A6" s="68" t="s">
        <v>105</v>
      </c>
      <c r="B6" s="68" t="s">
        <v>412</v>
      </c>
      <c r="C6" s="2">
        <v>1440</v>
      </c>
      <c r="D6">
        <f>RTD("tos.rtd", , "LAST", Main_S[[#This Row],[Symbol]])</f>
        <v>36.01</v>
      </c>
      <c r="E6">
        <v>0.65</v>
      </c>
      <c r="F6">
        <v>7.67</v>
      </c>
      <c r="G6">
        <v>0.9</v>
      </c>
      <c r="H6" s="1">
        <f>IF(ISNUMBER(Main_S[[#This Row],[Free CF]]),IF(Main_S[[#This Row],[Free CF]]&lt;&gt;0,Main_S[[#This Row],[Current Price]]/Main_S[[#This Row],[Free CF]],""),"")</f>
        <v>55.4</v>
      </c>
      <c r="I6" s="1">
        <f>IF(ISNUMBER(Main_S[[#This Row],[BVPS]]),IF(Main_S[[#This Row],[BVPS]]&lt;&gt;0,Main_S[[#This Row],[Current Price]]/Main_S[[#This Row],[BVPS]],""),"")</f>
        <v>4.6949152542372881</v>
      </c>
      <c r="J6">
        <v>14.21</v>
      </c>
      <c r="K6">
        <v>9.0399999999999991</v>
      </c>
      <c r="L6">
        <v>2.1</v>
      </c>
      <c r="M6" s="1">
        <f>IF(ISNUMBER(Main_S[[#This Row],[EPS]]),IF(Main_S[[#This Row],[EPS]]&lt;&gt;0,Main_S[[#This Row],[Current Price]]/Main_S[[#This Row],[EPS]],""),"")</f>
        <v>40.011111111111106</v>
      </c>
      <c r="N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" s="1">
        <f>(Main_S[[#This Row],[P/FCF]]-VLOOKUP(Main_S[[#This Row],[Industry]], Mean_PFCF_S, 2, FALSE))/(VLOOKUP(Main_S[[#This Row],[Industry]], Mean_PFCF_S, 3, FALSE))</f>
        <v>1.4405210623391067</v>
      </c>
      <c r="P6" s="1">
        <f>(Main_S[[#This Row],[P/B]]-VLOOKUP(Main_S[[#This Row],[Industry]], Mean_PB_S, 2, FALSE))/(VLOOKUP(Main_S[[#This Row],[Industry]], Mean_PB_S, 3, FALSE))</f>
        <v>0.47159363806552435</v>
      </c>
      <c r="Q6" s="1">
        <f>(Main_S[[#This Row],[ROE]]-VLOOKUP(Main_S[[#This Row],[Industry]], Mean_ROE_S, 2, FALSE))/(VLOOKUP(Main_S[[#This Row],[Industry]], Mean_ROE_S, 3, FALSE))</f>
        <v>0.7327665340872801</v>
      </c>
      <c r="R6" s="1">
        <f>(Main_S[[#This Row],[ROA]]-VLOOKUP(Main_S[[#This Row],[Industry]], Mean_ROA_S, 2, FALSE))/(VLOOKUP(Main_S[[#This Row],[Industry]], Mean_ROA_S, 3, FALSE))</f>
        <v>0.89393234349621264</v>
      </c>
      <c r="S6" s="1">
        <f>(Main_S[[#This Row],[A/E]]-VLOOKUP(Main_S[[#This Row],[Industry]], Mean_AE_S, 2, FALSE))/(VLOOKUP(Main_S[[#This Row],[Industry]], Mean_AE_S, 3, FALSE))</f>
        <v>0.76720078201160991</v>
      </c>
      <c r="T6" s="1">
        <f>(Main_S[[#This Row],[P/E]]-VLOOKUP(Main_S[[#This Row],[Industry]], Mean_PE_S, 2, FALSE))/(VLOOKUP(Main_S[[#This Row],[Industry]], Mean_PE_S, 3, FALSE))</f>
        <v>0.94650437375467167</v>
      </c>
      <c r="U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7" spans="1:26" x14ac:dyDescent="0.25">
      <c r="A7" s="68" t="s">
        <v>105</v>
      </c>
      <c r="B7" s="68" t="s">
        <v>413</v>
      </c>
      <c r="C7" s="2">
        <v>946</v>
      </c>
      <c r="D7">
        <f>RTD("tos.rtd", , "LAST", Main_S[[#This Row],[Symbol]])</f>
        <v>66.06</v>
      </c>
      <c r="E7">
        <v>1.36</v>
      </c>
      <c r="F7">
        <v>46.18</v>
      </c>
      <c r="G7">
        <v>2.1</v>
      </c>
      <c r="H7" s="1">
        <f>IF(ISNUMBER(Main_S[[#This Row],[Free CF]]),IF(Main_S[[#This Row],[Free CF]]&lt;&gt;0,Main_S[[#This Row],[Current Price]]/Main_S[[#This Row],[Free CF]],""),"")</f>
        <v>48.573529411764703</v>
      </c>
      <c r="I7" s="1">
        <f>IF(ISNUMBER(Main_S[[#This Row],[BVPS]]),IF(Main_S[[#This Row],[BVPS]]&lt;&gt;0,Main_S[[#This Row],[Current Price]]/Main_S[[#This Row],[BVPS]],""),"")</f>
        <v>1.4304893893460373</v>
      </c>
      <c r="J7">
        <v>4.78</v>
      </c>
      <c r="K7">
        <v>3.51</v>
      </c>
      <c r="L7">
        <v>1.65</v>
      </c>
      <c r="M7" s="1">
        <f>IF(ISNUMBER(Main_S[[#This Row],[EPS]]),IF(Main_S[[#This Row],[EPS]]&lt;&gt;0,Main_S[[#This Row],[Current Price]]/Main_S[[#This Row],[EPS]],""),"")</f>
        <v>31.457142857142856</v>
      </c>
      <c r="N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" s="1">
        <f>(Main_S[[#This Row],[P/FCF]]-VLOOKUP(Main_S[[#This Row],[Industry]], Mean_PFCF_S, 2, FALSE))/(VLOOKUP(Main_S[[#This Row],[Industry]], Mean_PFCF_S, 3, FALSE))</f>
        <v>1.2399790420400005</v>
      </c>
      <c r="P7" s="1">
        <f>(Main_S[[#This Row],[P/B]]-VLOOKUP(Main_S[[#This Row],[Industry]], Mean_PB_S, 2, FALSE))/(VLOOKUP(Main_S[[#This Row],[Industry]], Mean_PB_S, 3, FALSE))</f>
        <v>-0.2103389144184882</v>
      </c>
      <c r="Q7" s="1">
        <f>(Main_S[[#This Row],[ROE]]-VLOOKUP(Main_S[[#This Row],[Industry]], Mean_ROE_S, 2, FALSE))/(VLOOKUP(Main_S[[#This Row],[Industry]], Mean_ROE_S, 3, FALSE))</f>
        <v>-0.26004789356258357</v>
      </c>
      <c r="R7" s="1">
        <f>(Main_S[[#This Row],[ROA]]-VLOOKUP(Main_S[[#This Row],[Industry]], Mean_ROA_S, 2, FALSE))/(VLOOKUP(Main_S[[#This Row],[Industry]], Mean_ROA_S, 3, FALSE))</f>
        <v>0.42684560506416308</v>
      </c>
      <c r="S7" s="1">
        <f>(Main_S[[#This Row],[A/E]]-VLOOKUP(Main_S[[#This Row],[Industry]], Mean_AE_S, 2, FALSE))/(VLOOKUP(Main_S[[#This Row],[Industry]], Mean_AE_S, 3, FALSE))</f>
        <v>0.40990158210969574</v>
      </c>
      <c r="T7" s="1">
        <f>(Main_S[[#This Row],[P/E]]-VLOOKUP(Main_S[[#This Row],[Industry]], Mean_PE_S, 2, FALSE))/(VLOOKUP(Main_S[[#This Row],[Industry]], Mean_PE_S, 3, FALSE))</f>
        <v>0.67797420922731744</v>
      </c>
      <c r="U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8" spans="1:26" x14ac:dyDescent="0.25">
      <c r="A8" s="68" t="s">
        <v>105</v>
      </c>
      <c r="B8" s="68" t="s">
        <v>414</v>
      </c>
      <c r="C8" s="2">
        <v>1350</v>
      </c>
      <c r="D8">
        <f>RTD("tos.rtd", , "LAST", Main_S[[#This Row],[Symbol]])</f>
        <v>19.239999999999998</v>
      </c>
      <c r="E8">
        <v>0.24</v>
      </c>
      <c r="F8">
        <v>1.82</v>
      </c>
      <c r="G8">
        <v>-0.47</v>
      </c>
      <c r="H8" s="1">
        <f>IF(ISNUMBER(Main_S[[#This Row],[Free CF]]),IF(Main_S[[#This Row],[Free CF]]&lt;&gt;0,Main_S[[#This Row],[Current Price]]/Main_S[[#This Row],[Free CF]],""),"")</f>
        <v>80.166666666666657</v>
      </c>
      <c r="I8" s="1">
        <f>IF(ISNUMBER(Main_S[[#This Row],[BVPS]]),IF(Main_S[[#This Row],[BVPS]]&lt;&gt;0,Main_S[[#This Row],[Current Price]]/Main_S[[#This Row],[BVPS]],""),"")</f>
        <v>10.571428571428569</v>
      </c>
      <c r="J8">
        <v>-38.020000000000003</v>
      </c>
      <c r="K8">
        <v>-14.55</v>
      </c>
      <c r="L8">
        <v>1.66</v>
      </c>
      <c r="M8" s="1">
        <f>IF(ISNUMBER(Main_S[[#This Row],[EPS]]),IF(Main_S[[#This Row],[EPS]]&lt;&gt;0,Main_S[[#This Row],[Current Price]]/Main_S[[#This Row],[EPS]],""),"")</f>
        <v>-40.936170212765958</v>
      </c>
      <c r="N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" s="1">
        <f>(Main_S[[#This Row],[P/FCF]]-VLOOKUP(Main_S[[#This Row],[Industry]], Mean_PFCF_S, 2, FALSE))/(VLOOKUP(Main_S[[#This Row],[Industry]], Mean_PFCF_S, 3, FALSE))</f>
        <v>2.1680943090425417</v>
      </c>
      <c r="P8" s="1">
        <f>(Main_S[[#This Row],[P/B]]-VLOOKUP(Main_S[[#This Row],[Industry]], Mean_PB_S, 2, FALSE))/(VLOOKUP(Main_S[[#This Row],[Industry]], Mean_PB_S, 3, FALSE))</f>
        <v>1.6991864497748634</v>
      </c>
      <c r="Q8" s="1">
        <f>(Main_S[[#This Row],[ROE]]-VLOOKUP(Main_S[[#This Row],[Industry]], Mean_ROE_S, 2, FALSE))/(VLOOKUP(Main_S[[#This Row],[Industry]], Mean_ROE_S, 3, FALSE))</f>
        <v>-4.7661409480073518</v>
      </c>
      <c r="R8" s="1">
        <f>(Main_S[[#This Row],[ROA]]-VLOOKUP(Main_S[[#This Row],[Industry]], Mean_ROA_S, 2, FALSE))/(VLOOKUP(Main_S[[#This Row],[Industry]], Mean_ROA_S, 3, FALSE))</f>
        <v>-1.0985769077898722</v>
      </c>
      <c r="S8" s="1">
        <f>(Main_S[[#This Row],[A/E]]-VLOOKUP(Main_S[[#This Row],[Industry]], Mean_AE_S, 2, FALSE))/(VLOOKUP(Main_S[[#This Row],[Industry]], Mean_AE_S, 3, FALSE))</f>
        <v>0.41784156432973829</v>
      </c>
      <c r="T8" s="1">
        <f>(Main_S[[#This Row],[P/E]]-VLOOKUP(Main_S[[#This Row],[Industry]], Mean_PE_S, 2, FALSE))/(VLOOKUP(Main_S[[#This Row],[Industry]], Mean_PE_S, 3, FALSE))</f>
        <v>-1.5946304687622945</v>
      </c>
      <c r="U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9" spans="1:26" x14ac:dyDescent="0.25">
      <c r="A9" s="68" t="s">
        <v>105</v>
      </c>
      <c r="B9" s="68" t="s">
        <v>415</v>
      </c>
      <c r="C9" s="2">
        <v>1089</v>
      </c>
      <c r="D9">
        <f>RTD("tos.rtd", , "LAST", Main_S[[#This Row],[Symbol]])</f>
        <v>3.93</v>
      </c>
      <c r="E9">
        <v>-0.49</v>
      </c>
      <c r="F9">
        <v>0.42</v>
      </c>
      <c r="G9">
        <v>-0.48</v>
      </c>
      <c r="H9" s="1">
        <f>IF(ISNUMBER(Main_S[[#This Row],[Free CF]]),IF(Main_S[[#This Row],[Free CF]]&lt;&gt;0,Main_S[[#This Row],[Current Price]]/Main_S[[#This Row],[Free CF]],""),"")</f>
        <v>-8.0204081632653068</v>
      </c>
      <c r="I9" s="1">
        <f>IF(ISNUMBER(Main_S[[#This Row],[BVPS]]),IF(Main_S[[#This Row],[BVPS]]&lt;&gt;0,Main_S[[#This Row],[Current Price]]/Main_S[[#This Row],[BVPS]],""),"")</f>
        <v>9.3571428571428577</v>
      </c>
      <c r="J9">
        <v>-95.63</v>
      </c>
      <c r="K9">
        <v>-34.68</v>
      </c>
      <c r="L9">
        <v>2.57</v>
      </c>
      <c r="M9" s="1">
        <f>IF(ISNUMBER(Main_S[[#This Row],[EPS]]),IF(Main_S[[#This Row],[EPS]]&lt;&gt;0,Main_S[[#This Row],[Current Price]]/Main_S[[#This Row],[EPS]],""),"")</f>
        <v>-8.1875</v>
      </c>
      <c r="N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9" s="1">
        <f>(Main_S[[#This Row],[P/FCF]]-VLOOKUP(Main_S[[#This Row],[Industry]], Mean_PFCF_S, 2, FALSE))/(VLOOKUP(Main_S[[#This Row],[Industry]], Mean_PFCF_S, 3, FALSE))</f>
        <v>-0.42258764323036829</v>
      </c>
      <c r="P9" s="1">
        <f>(Main_S[[#This Row],[P/B]]-VLOOKUP(Main_S[[#This Row],[Industry]], Mean_PB_S, 2, FALSE))/(VLOOKUP(Main_S[[#This Row],[Industry]], Mean_PB_S, 3, FALSE))</f>
        <v>1.4455243998893124</v>
      </c>
      <c r="Q9" s="1">
        <f>(Main_S[[#This Row],[ROE]]-VLOOKUP(Main_S[[#This Row],[Industry]], Mean_ROE_S, 2, FALSE))/(VLOOKUP(Main_S[[#This Row],[Industry]], Mean_ROE_S, 3, FALSE))</f>
        <v>-10.831468538347609</v>
      </c>
      <c r="R9" s="1">
        <f>(Main_S[[#This Row],[ROA]]-VLOOKUP(Main_S[[#This Row],[Industry]], Mean_ROA_S, 2, FALSE))/(VLOOKUP(Main_S[[#This Row],[Industry]], Mean_ROA_S, 3, FALSE))</f>
        <v>-2.7988402070009308</v>
      </c>
      <c r="S9" s="1">
        <f>(Main_S[[#This Row],[A/E]]-VLOOKUP(Main_S[[#This Row],[Industry]], Mean_AE_S, 2, FALSE))/(VLOOKUP(Main_S[[#This Row],[Industry]], Mean_AE_S, 3, FALSE))</f>
        <v>1.1403799463536088</v>
      </c>
      <c r="T9" s="1">
        <f>(Main_S[[#This Row],[P/E]]-VLOOKUP(Main_S[[#This Row],[Industry]], Mean_PE_S, 2, FALSE))/(VLOOKUP(Main_S[[#This Row],[Industry]], Mean_PE_S, 3, FALSE))</f>
        <v>-0.56656892595653274</v>
      </c>
      <c r="U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0" spans="1:26" x14ac:dyDescent="0.25">
      <c r="A10" s="68" t="s">
        <v>105</v>
      </c>
      <c r="B10" s="68" t="s">
        <v>564</v>
      </c>
      <c r="C10" s="2">
        <v>348</v>
      </c>
      <c r="D10">
        <f>RTD("tos.rtd", , "LAST", Main_S[[#This Row],[Symbol]])</f>
        <v>4.84</v>
      </c>
      <c r="E10">
        <v>-2.88</v>
      </c>
      <c r="F10">
        <v>-8.99</v>
      </c>
      <c r="G10">
        <v>-48.14</v>
      </c>
      <c r="H10" s="1">
        <f>IF(ISNUMBER(Main_S[[#This Row],[Free CF]]),IF(Main_S[[#This Row],[Free CF]]&lt;&gt;0,Main_S[[#This Row],[Current Price]]/Main_S[[#This Row],[Free CF]],""),"")</f>
        <v>-1.6805555555555556</v>
      </c>
      <c r="I10" s="1">
        <f>IF(ISNUMBER(Main_S[[#This Row],[BVPS]]),IF(Main_S[[#This Row],[BVPS]]&lt;&gt;0,Main_S[[#This Row],[Current Price]]/Main_S[[#This Row],[BVPS]],""),"")</f>
        <v>-0.53837597330367071</v>
      </c>
      <c r="J10">
        <v>284.54000000000002</v>
      </c>
      <c r="K10">
        <v>-58</v>
      </c>
      <c r="L10">
        <v>-0.1</v>
      </c>
      <c r="M10" s="1">
        <f>IF(ISNUMBER(Main_S[[#This Row],[EPS]]),IF(Main_S[[#This Row],[EPS]]&lt;&gt;0,Main_S[[#This Row],[Current Price]]/Main_S[[#This Row],[EPS]],""),"")</f>
        <v>-0.10054009140008309</v>
      </c>
      <c r="N1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0" s="1">
        <f>(Main_S[[#This Row],[P/FCF]]-VLOOKUP(Main_S[[#This Row],[Industry]], Mean_PFCF_S, 2, FALSE))/(VLOOKUP(Main_S[[#This Row],[Industry]], Mean_PFCF_S, 3, FALSE))</f>
        <v>-0.23634105593241578</v>
      </c>
      <c r="P10" s="1">
        <f>(Main_S[[#This Row],[P/B]]-VLOOKUP(Main_S[[#This Row],[Industry]], Mean_PB_S, 2, FALSE))/(VLOOKUP(Main_S[[#This Row],[Industry]], Mean_PB_S, 3, FALSE))</f>
        <v>-0.62163126346186404</v>
      </c>
      <c r="Q10" s="1">
        <f>(Main_S[[#This Row],[ROE]]-VLOOKUP(Main_S[[#This Row],[Industry]], Mean_ROE_S, 2, FALSE))/(VLOOKUP(Main_S[[#This Row],[Industry]], Mean_ROE_S, 3, FALSE))</f>
        <v>29.19379773521004</v>
      </c>
      <c r="R10" s="1">
        <f>(Main_S[[#This Row],[ROA]]-VLOOKUP(Main_S[[#This Row],[Industry]], Mean_ROA_S, 2, FALSE))/(VLOOKUP(Main_S[[#This Row],[Industry]], Mean_ROA_S, 3, FALSE))</f>
        <v>-4.768544138327405</v>
      </c>
      <c r="S10" s="1">
        <f>(Main_S[[#This Row],[A/E]]-VLOOKUP(Main_S[[#This Row],[Industry]], Mean_AE_S, 2, FALSE))/(VLOOKUP(Main_S[[#This Row],[Industry]], Mean_AE_S, 3, FALSE))</f>
        <v>-0.97959530639774783</v>
      </c>
      <c r="T10" s="1">
        <f>(Main_S[[#This Row],[P/E]]-VLOOKUP(Main_S[[#This Row],[Industry]], Mean_PE_S, 2, FALSE))/(VLOOKUP(Main_S[[#This Row],[Industry]], Mean_PE_S, 3, FALSE))</f>
        <v>-0.31269930541228591</v>
      </c>
      <c r="U1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1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1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1" spans="1:26" x14ac:dyDescent="0.25">
      <c r="A11" s="68" t="s">
        <v>105</v>
      </c>
      <c r="B11" s="68" t="s">
        <v>416</v>
      </c>
      <c r="C11" s="2">
        <v>1046</v>
      </c>
      <c r="D11">
        <f>RTD("tos.rtd", , "LAST", Main_S[[#This Row],[Symbol]])</f>
        <v>11.63</v>
      </c>
      <c r="E11">
        <v>-1.1000000000000001</v>
      </c>
      <c r="F11">
        <v>-10.029999999999999</v>
      </c>
      <c r="G11">
        <v>-4.63</v>
      </c>
      <c r="H11" s="1">
        <f>IF(ISNUMBER(Main_S[[#This Row],[Free CF]]),IF(Main_S[[#This Row],[Free CF]]&lt;&gt;0,Main_S[[#This Row],[Current Price]]/Main_S[[#This Row],[Free CF]],""),"")</f>
        <v>-10.572727272727272</v>
      </c>
      <c r="I11" s="1">
        <f>IF(ISNUMBER(Main_S[[#This Row],[BVPS]]),IF(Main_S[[#This Row],[BVPS]]&lt;&gt;0,Main_S[[#This Row],[Current Price]]/Main_S[[#This Row],[BVPS]],""),"")</f>
        <v>-1.1595214356929213</v>
      </c>
      <c r="J11">
        <v>1456.1</v>
      </c>
      <c r="K11">
        <v>-14.83</v>
      </c>
      <c r="L11">
        <v>-0.35</v>
      </c>
      <c r="M11" s="1">
        <f>IF(ISNUMBER(Main_S[[#This Row],[EPS]]),IF(Main_S[[#This Row],[EPS]]&lt;&gt;0,Main_S[[#This Row],[Current Price]]/Main_S[[#This Row],[EPS]],""),"")</f>
        <v>-2.5118790496760259</v>
      </c>
      <c r="N1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1" s="1">
        <f>(Main_S[[#This Row],[P/FCF]]-VLOOKUP(Main_S[[#This Row],[Industry]], Mean_PFCF_S, 2, FALSE))/(VLOOKUP(Main_S[[#This Row],[Industry]], Mean_PFCF_S, 3, FALSE))</f>
        <v>-0.4975674185100909</v>
      </c>
      <c r="P11" s="1">
        <f>(Main_S[[#This Row],[P/B]]-VLOOKUP(Main_S[[#This Row],[Industry]], Mean_PB_S, 2, FALSE))/(VLOOKUP(Main_S[[#This Row],[Industry]], Mean_PB_S, 3, FALSE))</f>
        <v>-0.7513874068580243</v>
      </c>
      <c r="Q11" s="1">
        <f>(Main_S[[#This Row],[ROE]]-VLOOKUP(Main_S[[#This Row],[Industry]], Mean_ROE_S, 2, FALSE))/(VLOOKUP(Main_S[[#This Row],[Industry]], Mean_ROE_S, 3, FALSE))</f>
        <v>152.53861967131544</v>
      </c>
      <c r="R11" s="1">
        <f>(Main_S[[#This Row],[ROA]]-VLOOKUP(Main_S[[#This Row],[Industry]], Mean_ROA_S, 2, FALSE))/(VLOOKUP(Main_S[[#This Row],[Industry]], Mean_ROA_S, 3, FALSE))</f>
        <v>-1.1222268692294697</v>
      </c>
      <c r="S11" s="1">
        <f>(Main_S[[#This Row],[A/E]]-VLOOKUP(Main_S[[#This Row],[Industry]], Mean_AE_S, 2, FALSE))/(VLOOKUP(Main_S[[#This Row],[Industry]], Mean_AE_S, 3, FALSE))</f>
        <v>-1.1780948618988112</v>
      </c>
      <c r="T11" s="1">
        <f>(Main_S[[#This Row],[P/E]]-VLOOKUP(Main_S[[#This Row],[Industry]], Mean_PE_S, 2, FALSE))/(VLOOKUP(Main_S[[#This Row],[Industry]], Mean_PE_S, 3, FALSE))</f>
        <v>-0.38839718363350445</v>
      </c>
      <c r="U1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1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2" spans="1:26" x14ac:dyDescent="0.25">
      <c r="A12" s="68" t="s">
        <v>105</v>
      </c>
      <c r="B12" s="68" t="s">
        <v>417</v>
      </c>
      <c r="C12" s="2">
        <v>581</v>
      </c>
      <c r="D12">
        <f>RTD("tos.rtd", , "LAST", Main_S[[#This Row],[Symbol]])</f>
        <v>85.64</v>
      </c>
      <c r="E12">
        <v>-8.5500000000000007</v>
      </c>
      <c r="F12">
        <v>51.74</v>
      </c>
      <c r="G12">
        <v>5.82</v>
      </c>
      <c r="H12" s="1">
        <f>IF(ISNUMBER(Main_S[[#This Row],[Free CF]]),IF(Main_S[[#This Row],[Free CF]]&lt;&gt;0,Main_S[[#This Row],[Current Price]]/Main_S[[#This Row],[Free CF]],""),"")</f>
        <v>-10.016374269005848</v>
      </c>
      <c r="I12" s="1">
        <f>IF(ISNUMBER(Main_S[[#This Row],[BVPS]]),IF(Main_S[[#This Row],[BVPS]]&lt;&gt;0,Main_S[[#This Row],[Current Price]]/Main_S[[#This Row],[BVPS]],""),"")</f>
        <v>1.6551990722844994</v>
      </c>
      <c r="J12">
        <v>11.46</v>
      </c>
      <c r="K12">
        <v>6.32</v>
      </c>
      <c r="L12">
        <v>1.23</v>
      </c>
      <c r="M12" s="1">
        <f>IF(ISNUMBER(Main_S[[#This Row],[EPS]]),IF(Main_S[[#This Row],[EPS]]&lt;&gt;0,Main_S[[#This Row],[Current Price]]/Main_S[[#This Row],[EPS]],""),"")</f>
        <v>14.714776632302405</v>
      </c>
      <c r="N1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2" s="1">
        <f>(Main_S[[#This Row],[P/FCF]]-VLOOKUP(Main_S[[#This Row],[Industry]], Mean_PFCF_S, 2, FALSE))/(VLOOKUP(Main_S[[#This Row],[Industry]], Mean_PFCF_S, 3, FALSE))</f>
        <v>-0.48122337162324819</v>
      </c>
      <c r="P12" s="1">
        <f>(Main_S[[#This Row],[P/B]]-VLOOKUP(Main_S[[#This Row],[Industry]], Mean_PB_S, 2, FALSE))/(VLOOKUP(Main_S[[#This Row],[Industry]], Mean_PB_S, 3, FALSE))</f>
        <v>-0.16339747540400368</v>
      </c>
      <c r="Q12" s="1">
        <f>(Main_S[[#This Row],[ROE]]-VLOOKUP(Main_S[[#This Row],[Industry]], Mean_ROE_S, 2, FALSE))/(VLOOKUP(Main_S[[#This Row],[Industry]], Mean_ROE_S, 3, FALSE))</f>
        <v>0.44323952708440367</v>
      </c>
      <c r="R12" s="1">
        <f>(Main_S[[#This Row],[ROA]]-VLOOKUP(Main_S[[#This Row],[Industry]], Mean_ROA_S, 2, FALSE))/(VLOOKUP(Main_S[[#This Row],[Industry]], Mean_ROA_S, 3, FALSE))</f>
        <v>0.66418986094012322</v>
      </c>
      <c r="S12" s="1">
        <f>(Main_S[[#This Row],[A/E]]-VLOOKUP(Main_S[[#This Row],[Industry]], Mean_AE_S, 2, FALSE))/(VLOOKUP(Main_S[[#This Row],[Industry]], Mean_AE_S, 3, FALSE))</f>
        <v>7.6422328867909353E-2</v>
      </c>
      <c r="T12" s="1">
        <f>(Main_S[[#This Row],[P/E]]-VLOOKUP(Main_S[[#This Row],[Industry]], Mean_PE_S, 2, FALSE))/(VLOOKUP(Main_S[[#This Row],[Industry]], Mean_PE_S, 3, FALSE))</f>
        <v>0.15239003315231553</v>
      </c>
      <c r="U1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3" spans="1:26" x14ac:dyDescent="0.25">
      <c r="A13" s="68" t="s">
        <v>105</v>
      </c>
      <c r="B13" s="68" t="s">
        <v>418</v>
      </c>
      <c r="C13" s="2">
        <v>262</v>
      </c>
      <c r="D13">
        <f>RTD("tos.rtd", , "LAST", Main_S[[#This Row],[Symbol]])</f>
        <v>13.6</v>
      </c>
      <c r="E13">
        <v>0.43</v>
      </c>
      <c r="F13">
        <v>5.39</v>
      </c>
      <c r="G13">
        <v>0.36</v>
      </c>
      <c r="H13" s="1">
        <f>IF(ISNUMBER(Main_S[[#This Row],[Free CF]]),IF(Main_S[[#This Row],[Free CF]]&lt;&gt;0,Main_S[[#This Row],[Current Price]]/Main_S[[#This Row],[Free CF]],""),"")</f>
        <v>31.627906976744185</v>
      </c>
      <c r="I13" s="1">
        <f>IF(ISNUMBER(Main_S[[#This Row],[BVPS]]),IF(Main_S[[#This Row],[BVPS]]&lt;&gt;0,Main_S[[#This Row],[Current Price]]/Main_S[[#This Row],[BVPS]],""),"")</f>
        <v>2.5231910946196661</v>
      </c>
      <c r="J13">
        <v>6.66</v>
      </c>
      <c r="K13">
        <v>4.8099999999999996</v>
      </c>
      <c r="L13">
        <v>1.1599999999999999</v>
      </c>
      <c r="M13" s="1">
        <f>IF(ISNUMBER(Main_S[[#This Row],[EPS]]),IF(Main_S[[#This Row],[EPS]]&lt;&gt;0,Main_S[[#This Row],[Current Price]]/Main_S[[#This Row],[EPS]],""),"")</f>
        <v>37.777777777777779</v>
      </c>
      <c r="N1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3" s="1">
        <f>(Main_S[[#This Row],[P/FCF]]-VLOOKUP(Main_S[[#This Row],[Industry]], Mean_PFCF_S, 2, FALSE))/(VLOOKUP(Main_S[[#This Row],[Industry]], Mean_PFCF_S, 3, FALSE))</f>
        <v>0.74216552121395252</v>
      </c>
      <c r="P13" s="1">
        <f>(Main_S[[#This Row],[P/B]]-VLOOKUP(Main_S[[#This Row],[Industry]], Mean_PB_S, 2, FALSE))/(VLOOKUP(Main_S[[#This Row],[Industry]], Mean_PB_S, 3, FALSE))</f>
        <v>1.7924459853514839E-2</v>
      </c>
      <c r="Q13" s="1">
        <f>(Main_S[[#This Row],[ROE]]-VLOOKUP(Main_S[[#This Row],[Industry]], Mean_ROE_S, 2, FALSE))/(VLOOKUP(Main_S[[#This Row],[Industry]], Mean_ROE_S, 3, FALSE))</f>
        <v>-6.2116703320617112E-2</v>
      </c>
      <c r="R13" s="1">
        <f>(Main_S[[#This Row],[ROA]]-VLOOKUP(Main_S[[#This Row],[Industry]], Mean_ROA_S, 2, FALSE))/(VLOOKUP(Main_S[[#This Row],[Industry]], Mean_ROA_S, 3, FALSE))</f>
        <v>0.53664899746229411</v>
      </c>
      <c r="S13" s="1">
        <f>(Main_S[[#This Row],[A/E]]-VLOOKUP(Main_S[[#This Row],[Industry]], Mean_AE_S, 2, FALSE))/(VLOOKUP(Main_S[[#This Row],[Industry]], Mean_AE_S, 3, FALSE))</f>
        <v>2.0842453327611563E-2</v>
      </c>
      <c r="T13" s="1">
        <f>(Main_S[[#This Row],[P/E]]-VLOOKUP(Main_S[[#This Row],[Industry]], Mean_PE_S, 2, FALSE))/(VLOOKUP(Main_S[[#This Row],[Industry]], Mean_PE_S, 3, FALSE))</f>
        <v>0.8763945312068917</v>
      </c>
      <c r="U1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4" spans="1:26" x14ac:dyDescent="0.25">
      <c r="A14" s="68" t="s">
        <v>105</v>
      </c>
      <c r="B14" s="68" t="s">
        <v>419</v>
      </c>
      <c r="C14" s="2">
        <v>861</v>
      </c>
      <c r="D14">
        <f>RTD("tos.rtd", , "LAST", Main_S[[#This Row],[Symbol]])</f>
        <v>11.39</v>
      </c>
      <c r="E14">
        <v>-0.43</v>
      </c>
      <c r="F14">
        <v>-2.82</v>
      </c>
      <c r="G14">
        <v>-2.35</v>
      </c>
      <c r="H14" s="1">
        <f>IF(ISNUMBER(Main_S[[#This Row],[Free CF]]),IF(Main_S[[#This Row],[Free CF]]&lt;&gt;0,Main_S[[#This Row],[Current Price]]/Main_S[[#This Row],[Free CF]],""),"")</f>
        <v>-26.488372093023258</v>
      </c>
      <c r="I14" s="1">
        <f>IF(ISNUMBER(Main_S[[#This Row],[BVPS]]),IF(Main_S[[#This Row],[BVPS]]&lt;&gt;0,Main_S[[#This Row],[Current Price]]/Main_S[[#This Row],[BVPS]],""),"")</f>
        <v>-4.0390070921985819</v>
      </c>
      <c r="J14">
        <v>-24959</v>
      </c>
      <c r="K14">
        <v>-7.34</v>
      </c>
      <c r="L14">
        <v>-1.55</v>
      </c>
      <c r="M14" s="1">
        <f>IF(ISNUMBER(Main_S[[#This Row],[EPS]]),IF(Main_S[[#This Row],[EPS]]&lt;&gt;0,Main_S[[#This Row],[Current Price]]/Main_S[[#This Row],[EPS]],""),"")</f>
        <v>-4.8468085106382981</v>
      </c>
      <c r="N1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4" s="1">
        <f>(Main_S[[#This Row],[P/FCF]]-VLOOKUP(Main_S[[#This Row],[Industry]], Mean_PFCF_S, 2, FALSE))/(VLOOKUP(Main_S[[#This Row],[Industry]], Mean_PFCF_S, 3, FALSE))</f>
        <v>-0.96512316717556057</v>
      </c>
      <c r="P14" s="1">
        <f>(Main_S[[#This Row],[P/B]]-VLOOKUP(Main_S[[#This Row],[Industry]], Mean_PB_S, 2, FALSE))/(VLOOKUP(Main_S[[#This Row],[Industry]], Mean_PB_S, 3, FALSE))</f>
        <v>-1.3529066585894225</v>
      </c>
      <c r="Q14" s="1">
        <f>(Main_S[[#This Row],[ROE]]-VLOOKUP(Main_S[[#This Row],[Industry]], Mean_ROE_S, 2, FALSE))/(VLOOKUP(Main_S[[#This Row],[Industry]], Mean_ROE_S, 3, FALSE))</f>
        <v>-2628.5104140311141</v>
      </c>
      <c r="R14" s="1">
        <f>(Main_S[[#This Row],[ROA]]-VLOOKUP(Main_S[[#This Row],[Industry]], Mean_ROA_S, 2, FALSE))/(VLOOKUP(Main_S[[#This Row],[Industry]], Mean_ROA_S, 3, FALSE))</f>
        <v>-0.48959040072023791</v>
      </c>
      <c r="S14" s="1">
        <f>(Main_S[[#This Row],[A/E]]-VLOOKUP(Main_S[[#This Row],[Industry]], Mean_AE_S, 2, FALSE))/(VLOOKUP(Main_S[[#This Row],[Industry]], Mean_AE_S, 3, FALSE))</f>
        <v>-2.1308927283039152</v>
      </c>
      <c r="T14" s="1">
        <f>(Main_S[[#This Row],[P/E]]-VLOOKUP(Main_S[[#This Row],[Industry]], Mean_PE_S, 2, FALSE))/(VLOOKUP(Main_S[[#This Row],[Industry]], Mean_PE_S, 3, FALSE))</f>
        <v>-0.46169637924614843</v>
      </c>
      <c r="U1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1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5" spans="1:26" x14ac:dyDescent="0.25">
      <c r="A15" s="68" t="s">
        <v>105</v>
      </c>
      <c r="B15" s="68" t="s">
        <v>565</v>
      </c>
      <c r="C15" s="2">
        <v>417</v>
      </c>
      <c r="D15">
        <f>RTD("tos.rtd", , "LAST", Main_S[[#This Row],[Symbol]])</f>
        <v>4.09</v>
      </c>
      <c r="E15">
        <v>-0.45</v>
      </c>
      <c r="F15">
        <v>-0.55000000000000004</v>
      </c>
      <c r="G15">
        <v>-1.28</v>
      </c>
      <c r="H15" s="1">
        <f>IF(ISNUMBER(Main_S[[#This Row],[Free CF]]),IF(Main_S[[#This Row],[Free CF]]&lt;&gt;0,Main_S[[#This Row],[Current Price]]/Main_S[[#This Row],[Free CF]],""),"")</f>
        <v>-9.0888888888888886</v>
      </c>
      <c r="I15" s="1">
        <f>IF(ISNUMBER(Main_S[[#This Row],[BVPS]]),IF(Main_S[[#This Row],[BVPS]]&lt;&gt;0,Main_S[[#This Row],[Current Price]]/Main_S[[#This Row],[BVPS]],""),"")</f>
        <v>-7.4363636363636356</v>
      </c>
      <c r="J15">
        <v>17137</v>
      </c>
      <c r="K15">
        <v>-47.26</v>
      </c>
      <c r="L15">
        <v>-1.1599999999999999</v>
      </c>
      <c r="M15" s="1">
        <f>IF(ISNUMBER(Main_S[[#This Row],[EPS]]),IF(Main_S[[#This Row],[EPS]]&lt;&gt;0,Main_S[[#This Row],[Current Price]]/Main_S[[#This Row],[EPS]],""),"")</f>
        <v>-3.1953125</v>
      </c>
      <c r="N1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5" s="1">
        <f>(Main_S[[#This Row],[P/FCF]]-VLOOKUP(Main_S[[#This Row],[Industry]], Mean_PFCF_S, 2, FALSE))/(VLOOKUP(Main_S[[#This Row],[Industry]], Mean_PFCF_S, 3, FALSE))</f>
        <v>-0.45397652575723207</v>
      </c>
      <c r="P15" s="1">
        <f>(Main_S[[#This Row],[P/B]]-VLOOKUP(Main_S[[#This Row],[Industry]], Mean_PB_S, 2, FALSE))/(VLOOKUP(Main_S[[#This Row],[Industry]], Mean_PB_S, 3, FALSE))</f>
        <v>-2.062608185212365</v>
      </c>
      <c r="Q15" s="1">
        <f>(Main_S[[#This Row],[ROE]]-VLOOKUP(Main_S[[#This Row],[Industry]], Mean_ROE_S, 2, FALSE))/(VLOOKUP(Main_S[[#This Row],[Industry]], Mean_ROE_S, 3, FALSE))</f>
        <v>1803.4637266209174</v>
      </c>
      <c r="R15" s="1">
        <f>(Main_S[[#This Row],[ROA]]-VLOOKUP(Main_S[[#This Row],[Industry]], Mean_ROA_S, 2, FALSE))/(VLOOKUP(Main_S[[#This Row],[Industry]], Mean_ROA_S, 3, FALSE))</f>
        <v>-3.8613991888228445</v>
      </c>
      <c r="S15" s="1">
        <f>(Main_S[[#This Row],[A/E]]-VLOOKUP(Main_S[[#This Row],[Industry]], Mean_AE_S, 2, FALSE))/(VLOOKUP(Main_S[[#This Row],[Industry]], Mean_AE_S, 3, FALSE))</f>
        <v>-1.8212334217222566</v>
      </c>
      <c r="T15" s="1">
        <f>(Main_S[[#This Row],[P/E]]-VLOOKUP(Main_S[[#This Row],[Industry]], Mean_PE_S, 2, FALSE))/(VLOOKUP(Main_S[[#This Row],[Industry]], Mean_PE_S, 3, FALSE))</f>
        <v>-0.40985184554131043</v>
      </c>
      <c r="U1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1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1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6" spans="1:26" x14ac:dyDescent="0.25">
      <c r="A16" s="68" t="s">
        <v>105</v>
      </c>
      <c r="B16" s="68" t="s">
        <v>566</v>
      </c>
      <c r="C16" s="2">
        <v>348</v>
      </c>
      <c r="D16">
        <f>RTD("tos.rtd", , "LAST", Main_S[[#This Row],[Symbol]])</f>
        <v>33.47</v>
      </c>
      <c r="E16">
        <v>-1.06</v>
      </c>
      <c r="F16">
        <v>10.23</v>
      </c>
      <c r="G16">
        <v>1</v>
      </c>
      <c r="H16" s="1">
        <f>IF(ISNUMBER(Main_S[[#This Row],[Free CF]]),IF(Main_S[[#This Row],[Free CF]]&lt;&gt;0,Main_S[[#This Row],[Current Price]]/Main_S[[#This Row],[Free CF]],""),"")</f>
        <v>-31.575471698113205</v>
      </c>
      <c r="I16" s="1">
        <f>IF(ISNUMBER(Main_S[[#This Row],[BVPS]]),IF(Main_S[[#This Row],[BVPS]]&lt;&gt;0,Main_S[[#This Row],[Current Price]]/Main_S[[#This Row],[BVPS]],""),"")</f>
        <v>3.2717497556207231</v>
      </c>
      <c r="J16">
        <v>11.02</v>
      </c>
      <c r="K16">
        <v>4.8600000000000003</v>
      </c>
      <c r="L16">
        <v>1.46</v>
      </c>
      <c r="M16" s="1">
        <f>IF(ISNUMBER(Main_S[[#This Row],[EPS]]),IF(Main_S[[#This Row],[EPS]]&lt;&gt;0,Main_S[[#This Row],[Current Price]]/Main_S[[#This Row],[EPS]],""),"")</f>
        <v>33.47</v>
      </c>
      <c r="N1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6" s="1">
        <f>(Main_S[[#This Row],[P/FCF]]-VLOOKUP(Main_S[[#This Row],[Industry]], Mean_PFCF_S, 2, FALSE))/(VLOOKUP(Main_S[[#This Row],[Industry]], Mean_PFCF_S, 3, FALSE))</f>
        <v>-1.1145674838368953</v>
      </c>
      <c r="P16" s="1">
        <f>(Main_S[[#This Row],[P/B]]-VLOOKUP(Main_S[[#This Row],[Industry]], Mean_PB_S, 2, FALSE))/(VLOOKUP(Main_S[[#This Row],[Industry]], Mean_PB_S, 3, FALSE))</f>
        <v>0.17429698583748932</v>
      </c>
      <c r="Q16" s="1">
        <f>(Main_S[[#This Row],[ROE]]-VLOOKUP(Main_S[[#This Row],[Industry]], Mean_ROE_S, 2, FALSE))/(VLOOKUP(Main_S[[#This Row],[Industry]], Mean_ROE_S, 3, FALSE))</f>
        <v>0.39691520596394331</v>
      </c>
      <c r="R16" s="1">
        <f>(Main_S[[#This Row],[ROA]]-VLOOKUP(Main_S[[#This Row],[Industry]], Mean_ROA_S, 2, FALSE))/(VLOOKUP(Main_S[[#This Row],[Industry]], Mean_ROA_S, 3, FALSE))</f>
        <v>0.54087220486222221</v>
      </c>
      <c r="S16" s="1">
        <f>(Main_S[[#This Row],[A/E]]-VLOOKUP(Main_S[[#This Row],[Industry]], Mean_AE_S, 2, FALSE))/(VLOOKUP(Main_S[[#This Row],[Industry]], Mean_AE_S, 3, FALSE))</f>
        <v>0.25904191992888764</v>
      </c>
      <c r="T16" s="1">
        <f>(Main_S[[#This Row],[P/E]]-VLOOKUP(Main_S[[#This Row],[Industry]], Mean_PE_S, 2, FALSE))/(VLOOKUP(Main_S[[#This Row],[Industry]], Mean_PE_S, 3, FALSE))</f>
        <v>0.74116276028264094</v>
      </c>
      <c r="U1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7" spans="1:26" x14ac:dyDescent="0.25">
      <c r="A17" s="68" t="s">
        <v>105</v>
      </c>
      <c r="B17" s="68" t="s">
        <v>420</v>
      </c>
      <c r="C17" s="2">
        <v>1976</v>
      </c>
      <c r="D17">
        <f>RTD("tos.rtd", , "LAST", Main_S[[#This Row],[Symbol]])</f>
        <v>25.65</v>
      </c>
      <c r="E17">
        <v>-0.69</v>
      </c>
      <c r="F17">
        <v>-1.06</v>
      </c>
      <c r="G17">
        <v>0.17</v>
      </c>
      <c r="H17" s="1">
        <f>IF(ISNUMBER(Main_S[[#This Row],[Free CF]]),IF(Main_S[[#This Row],[Free CF]]&lt;&gt;0,Main_S[[#This Row],[Current Price]]/Main_S[[#This Row],[Free CF]],""),"")</f>
        <v>-37.173913043478265</v>
      </c>
      <c r="I17" s="1">
        <f>IF(ISNUMBER(Main_S[[#This Row],[BVPS]]),IF(Main_S[[#This Row],[BVPS]]&lt;&gt;0,Main_S[[#This Row],[Current Price]]/Main_S[[#This Row],[BVPS]],""),"")</f>
        <v>-24.198113207547166</v>
      </c>
      <c r="J17">
        <v>-3.5</v>
      </c>
      <c r="K17">
        <v>5.91</v>
      </c>
      <c r="L17">
        <v>-18.36</v>
      </c>
      <c r="M17" s="1">
        <f>IF(ISNUMBER(Main_S[[#This Row],[EPS]]),IF(Main_S[[#This Row],[EPS]]&lt;&gt;0,Main_S[[#This Row],[Current Price]]/Main_S[[#This Row],[EPS]],""),"")</f>
        <v>150.88235294117646</v>
      </c>
      <c r="N1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7" s="1">
        <f>(Main_S[[#This Row],[P/FCF]]-VLOOKUP(Main_S[[#This Row],[Industry]], Mean_PFCF_S, 2, FALSE))/(VLOOKUP(Main_S[[#This Row],[Industry]], Mean_PFCF_S, 3, FALSE))</f>
        <v>-1.2790335462645941</v>
      </c>
      <c r="P17" s="1">
        <f>(Main_S[[#This Row],[P/B]]-VLOOKUP(Main_S[[#This Row],[Industry]], Mean_PB_S, 2, FALSE))/(VLOOKUP(Main_S[[#This Row],[Industry]], Mean_PB_S, 3, FALSE))</f>
        <v>-5.5641068077138662</v>
      </c>
      <c r="Q17" s="1">
        <f>(Main_S[[#This Row],[ROE]]-VLOOKUP(Main_S[[#This Row],[Industry]], Mean_ROE_S, 2, FALSE))/(VLOOKUP(Main_S[[#This Row],[Industry]], Mean_ROE_S, 3, FALSE))</f>
        <v>-1.1317873910112444</v>
      </c>
      <c r="R17" s="1">
        <f>(Main_S[[#This Row],[ROA]]-VLOOKUP(Main_S[[#This Row],[Industry]], Mean_ROA_S, 2, FALSE))/(VLOOKUP(Main_S[[#This Row],[Industry]], Mean_ROA_S, 3, FALSE))</f>
        <v>0.62955956026071269</v>
      </c>
      <c r="S17" s="1">
        <f>(Main_S[[#This Row],[A/E]]-VLOOKUP(Main_S[[#This Row],[Industry]], Mean_AE_S, 2, FALSE))/(VLOOKUP(Main_S[[#This Row],[Industry]], Mean_AE_S, 3, FALSE))</f>
        <v>-15.478002840195416</v>
      </c>
      <c r="T17" s="1">
        <f>(Main_S[[#This Row],[P/E]]-VLOOKUP(Main_S[[#This Row],[Industry]], Mean_PE_S, 2, FALSE))/(VLOOKUP(Main_S[[#This Row],[Industry]], Mean_PE_S, 3, FALSE))</f>
        <v>4.4270261533588862</v>
      </c>
      <c r="U1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1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1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8" spans="1:26" x14ac:dyDescent="0.25">
      <c r="A18" s="68" t="s">
        <v>105</v>
      </c>
      <c r="B18" s="68" t="s">
        <v>421</v>
      </c>
      <c r="C18" s="2">
        <v>1546</v>
      </c>
      <c r="D18">
        <f>RTD("tos.rtd", , "LAST", Main_S[[#This Row],[Symbol]])</f>
        <v>52</v>
      </c>
      <c r="E18">
        <v>6.63</v>
      </c>
      <c r="F18">
        <v>32.69</v>
      </c>
      <c r="G18">
        <v>1.29</v>
      </c>
      <c r="H18" s="1">
        <f>IF(ISNUMBER(Main_S[[#This Row],[Free CF]]),IF(Main_S[[#This Row],[Free CF]]&lt;&gt;0,Main_S[[#This Row],[Current Price]]/Main_S[[#This Row],[Free CF]],""),"")</f>
        <v>7.8431372549019613</v>
      </c>
      <c r="I18" s="1">
        <f>IF(ISNUMBER(Main_S[[#This Row],[BVPS]]),IF(Main_S[[#This Row],[BVPS]]&lt;&gt;0,Main_S[[#This Row],[Current Price]]/Main_S[[#This Row],[BVPS]],""),"")</f>
        <v>1.5907005200367086</v>
      </c>
      <c r="J18">
        <v>4.0999999999999996</v>
      </c>
      <c r="K18">
        <v>3.27</v>
      </c>
      <c r="L18">
        <v>3</v>
      </c>
      <c r="M18" s="1">
        <f>IF(ISNUMBER(Main_S[[#This Row],[EPS]]),IF(Main_S[[#This Row],[EPS]]&lt;&gt;0,Main_S[[#This Row],[Current Price]]/Main_S[[#This Row],[EPS]],""),"")</f>
        <v>40.310077519379846</v>
      </c>
      <c r="N1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8" s="1">
        <f>(Main_S[[#This Row],[P/FCF]]-VLOOKUP(Main_S[[#This Row],[Industry]], Mean_PFCF_S, 2, FALSE))/(VLOOKUP(Main_S[[#This Row],[Industry]], Mean_PFCF_S, 3, FALSE))</f>
        <v>4.3437575240292507E-2</v>
      </c>
      <c r="P18" s="1">
        <f>(Main_S[[#This Row],[P/B]]-VLOOKUP(Main_S[[#This Row],[Industry]], Mean_PB_S, 2, FALSE))/(VLOOKUP(Main_S[[#This Row],[Industry]], Mean_PB_S, 3, FALSE))</f>
        <v>-0.1768711042092713</v>
      </c>
      <c r="Q18" s="1">
        <f>(Main_S[[#This Row],[ROE]]-VLOOKUP(Main_S[[#This Row],[Industry]], Mean_ROE_S, 2, FALSE))/(VLOOKUP(Main_S[[#This Row],[Industry]], Mean_ROE_S, 3, FALSE))</f>
        <v>-0.33164002620329486</v>
      </c>
      <c r="R18" s="1">
        <f>(Main_S[[#This Row],[ROA]]-VLOOKUP(Main_S[[#This Row],[Industry]], Mean_ROA_S, 2, FALSE))/(VLOOKUP(Main_S[[#This Row],[Industry]], Mean_ROA_S, 3, FALSE))</f>
        <v>0.40657420954450813</v>
      </c>
      <c r="S18" s="1">
        <f>(Main_S[[#This Row],[A/E]]-VLOOKUP(Main_S[[#This Row],[Industry]], Mean_AE_S, 2, FALSE))/(VLOOKUP(Main_S[[#This Row],[Industry]], Mean_AE_S, 3, FALSE))</f>
        <v>1.4817991818154379</v>
      </c>
      <c r="T18" s="1">
        <f>(Main_S[[#This Row],[P/E]]-VLOOKUP(Main_S[[#This Row],[Industry]], Mean_PE_S, 2, FALSE))/(VLOOKUP(Main_S[[#This Row],[Industry]], Mean_PE_S, 3, FALSE))</f>
        <v>0.95588966680428222</v>
      </c>
      <c r="U1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9" spans="1:26" x14ac:dyDescent="0.25">
      <c r="A19" s="68" t="s">
        <v>223</v>
      </c>
      <c r="B19" s="68" t="s">
        <v>533</v>
      </c>
      <c r="C19" s="2">
        <v>524</v>
      </c>
      <c r="D19">
        <f>RTD("tos.rtd", , "LAST", Main_S[[#This Row],[Symbol]])</f>
        <v>18.899999999999999</v>
      </c>
      <c r="E19">
        <v>-4.08</v>
      </c>
      <c r="F19">
        <v>6.78</v>
      </c>
      <c r="G19">
        <v>-30.4</v>
      </c>
      <c r="H19" s="1">
        <f>IF(ISNUMBER(Main_S[[#This Row],[Free CF]]),IF(Main_S[[#This Row],[Free CF]]&lt;&gt;0,Main_S[[#This Row],[Current Price]]/Main_S[[#This Row],[Free CF]],""),"")</f>
        <v>-4.6323529411764701</v>
      </c>
      <c r="I19" s="1">
        <f>IF(ISNUMBER(Main_S[[#This Row],[BVPS]]),IF(Main_S[[#This Row],[BVPS]]&lt;&gt;0,Main_S[[#This Row],[Current Price]]/Main_S[[#This Row],[BVPS]],""),"")</f>
        <v>2.7876106194690262</v>
      </c>
      <c r="J19">
        <v>-214.23</v>
      </c>
      <c r="K19">
        <v>1.01</v>
      </c>
      <c r="L19">
        <v>13.89</v>
      </c>
      <c r="M19" s="1">
        <f>IF(ISNUMBER(Main_S[[#This Row],[EPS]]),IF(Main_S[[#This Row],[EPS]]&lt;&gt;0,Main_S[[#This Row],[Current Price]]/Main_S[[#This Row],[EPS]],""),"")</f>
        <v>-0.62171052631578949</v>
      </c>
      <c r="N1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9" s="1">
        <f>(Main_S[[#This Row],[P/FCF]]-VLOOKUP(Main_S[[#This Row],[Industry]], Mean_PFCF_S, 2, FALSE))/(VLOOKUP(Main_S[[#This Row],[Industry]], Mean_PFCF_S, 3, FALSE))</f>
        <v>-1.3700172825498209</v>
      </c>
      <c r="P19" s="1">
        <f>(Main_S[[#This Row],[P/B]]-VLOOKUP(Main_S[[#This Row],[Industry]], Mean_PB_S, 2, FALSE))/(VLOOKUP(Main_S[[#This Row],[Industry]], Mean_PB_S, 3, FALSE))</f>
        <v>1.4127015261071272</v>
      </c>
      <c r="Q19" s="1">
        <f>(Main_S[[#This Row],[ROE]]-VLOOKUP(Main_S[[#This Row],[Industry]], Mean_ROE_S, 2, FALSE))/(VLOOKUP(Main_S[[#This Row],[Industry]], Mean_ROE_S, 3, FALSE))</f>
        <v>-1.4142112589299727</v>
      </c>
      <c r="R19" s="1">
        <f>(Main_S[[#This Row],[ROA]]-VLOOKUP(Main_S[[#This Row],[Industry]], Mean_ROA_S, 2, FALSE))/(VLOOKUP(Main_S[[#This Row],[Industry]], Mean_ROA_S, 3, FALSE))</f>
        <v>-1.4010381907248053</v>
      </c>
      <c r="S19" s="1">
        <f>(Main_S[[#This Row],[A/E]]-VLOOKUP(Main_S[[#This Row],[Industry]], Mean_AE_S, 2, FALSE))/(VLOOKUP(Main_S[[#This Row],[Industry]], Mean_AE_S, 3, FALSE))</f>
        <v>1.4142005655400594</v>
      </c>
      <c r="T19" s="1">
        <f>(Main_S[[#This Row],[P/E]]-VLOOKUP(Main_S[[#This Row],[Industry]], Mean_PE_S, 2, FALSE))/(VLOOKUP(Main_S[[#This Row],[Industry]], Mean_PE_S, 3, FALSE))</f>
        <v>-1.4113253536544734</v>
      </c>
      <c r="U1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0" spans="1:26" x14ac:dyDescent="0.25">
      <c r="A20" s="68" t="s">
        <v>223</v>
      </c>
      <c r="B20" s="68" t="s">
        <v>386</v>
      </c>
      <c r="C20" s="2">
        <v>1939</v>
      </c>
      <c r="D20">
        <f>RTD("tos.rtd", , "LAST", Main_S[[#This Row],[Symbol]])</f>
        <v>35.53</v>
      </c>
      <c r="E20">
        <v>2.37</v>
      </c>
      <c r="F20">
        <v>26.83</v>
      </c>
      <c r="G20">
        <v>1.7</v>
      </c>
      <c r="H20" s="1">
        <f>IF(ISNUMBER(Main_S[[#This Row],[Free CF]]),IF(Main_S[[#This Row],[Free CF]]&lt;&gt;0,Main_S[[#This Row],[Current Price]]/Main_S[[#This Row],[Free CF]],""),"")</f>
        <v>14.9915611814346</v>
      </c>
      <c r="I20" s="1">
        <f>IF(ISNUMBER(Main_S[[#This Row],[BVPS]]),IF(Main_S[[#This Row],[BVPS]]&lt;&gt;0,Main_S[[#This Row],[Current Price]]/Main_S[[#This Row],[BVPS]],""),"")</f>
        <v>1.3242638837122624</v>
      </c>
      <c r="J20">
        <v>6.26</v>
      </c>
      <c r="K20">
        <v>3.05</v>
      </c>
      <c r="L20">
        <v>1.74</v>
      </c>
      <c r="M20" s="1">
        <f>IF(ISNUMBER(Main_S[[#This Row],[EPS]]),IF(Main_S[[#This Row],[EPS]]&lt;&gt;0,Main_S[[#This Row],[Current Price]]/Main_S[[#This Row],[EPS]],""),"")</f>
        <v>20.900000000000002</v>
      </c>
      <c r="N2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0" s="1">
        <f>(Main_S[[#This Row],[P/FCF]]-VLOOKUP(Main_S[[#This Row],[Industry]], Mean_PFCF_S, 2, FALSE))/(VLOOKUP(Main_S[[#This Row],[Industry]], Mean_PFCF_S, 3, FALSE))</f>
        <v>0.38121679784243268</v>
      </c>
      <c r="P20" s="1">
        <f>(Main_S[[#This Row],[P/B]]-VLOOKUP(Main_S[[#This Row],[Industry]], Mean_PB_S, 2, FALSE))/(VLOOKUP(Main_S[[#This Row],[Industry]], Mean_PB_S, 3, FALSE))</f>
        <v>-0.76297053522677694</v>
      </c>
      <c r="Q20" s="1">
        <f>(Main_S[[#This Row],[ROE]]-VLOOKUP(Main_S[[#This Row],[Industry]], Mean_ROE_S, 2, FALSE))/(VLOOKUP(Main_S[[#This Row],[Industry]], Mean_ROE_S, 3, FALSE))</f>
        <v>0.70489512346493732</v>
      </c>
      <c r="R20" s="1">
        <f>(Main_S[[#This Row],[ROA]]-VLOOKUP(Main_S[[#This Row],[Industry]], Mean_ROA_S, 2, FALSE))/(VLOOKUP(Main_S[[#This Row],[Industry]], Mean_ROA_S, 3, FALSE))</f>
        <v>0.86730935616297444</v>
      </c>
      <c r="S20" s="1">
        <f>(Main_S[[#This Row],[A/E]]-VLOOKUP(Main_S[[#This Row],[Industry]], Mean_AE_S, 2, FALSE))/(VLOOKUP(Main_S[[#This Row],[Industry]], Mean_AE_S, 3, FALSE))</f>
        <v>-0.71235102744406431</v>
      </c>
      <c r="T20" s="1">
        <f>(Main_S[[#This Row],[P/E]]-VLOOKUP(Main_S[[#This Row],[Industry]], Mean_PE_S, 2, FALSE))/(VLOOKUP(Main_S[[#This Row],[Industry]], Mean_PE_S, 3, FALSE))</f>
        <v>0.62742867143919656</v>
      </c>
      <c r="U2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1" spans="1:26" x14ac:dyDescent="0.25">
      <c r="A21" s="68" t="s">
        <v>223</v>
      </c>
      <c r="B21" s="68" t="s">
        <v>534</v>
      </c>
      <c r="C21" s="2">
        <v>280</v>
      </c>
      <c r="D21">
        <f>RTD("tos.rtd", , "LAST", Main_S[[#This Row],[Symbol]])</f>
        <v>6.54</v>
      </c>
      <c r="E21">
        <v>0.3</v>
      </c>
      <c r="F21">
        <v>4.67</v>
      </c>
      <c r="G21">
        <v>0.28999999999999998</v>
      </c>
      <c r="H21" s="1">
        <f>IF(ISNUMBER(Main_S[[#This Row],[Free CF]]),IF(Main_S[[#This Row],[Free CF]]&lt;&gt;0,Main_S[[#This Row],[Current Price]]/Main_S[[#This Row],[Free CF]],""),"")</f>
        <v>21.8</v>
      </c>
      <c r="I21" s="1">
        <f>IF(ISNUMBER(Main_S[[#This Row],[BVPS]]),IF(Main_S[[#This Row],[BVPS]]&lt;&gt;0,Main_S[[#This Row],[Current Price]]/Main_S[[#This Row],[BVPS]],""),"")</f>
        <v>1.4004282655246254</v>
      </c>
      <c r="J21">
        <v>6.72</v>
      </c>
      <c r="K21">
        <v>2.75</v>
      </c>
      <c r="L21">
        <v>1.8</v>
      </c>
      <c r="M21" s="1">
        <f>IF(ISNUMBER(Main_S[[#This Row],[EPS]]),IF(Main_S[[#This Row],[EPS]]&lt;&gt;0,Main_S[[#This Row],[Current Price]]/Main_S[[#This Row],[EPS]],""),"")</f>
        <v>22.551724137931036</v>
      </c>
      <c r="N2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1" s="1">
        <f>(Main_S[[#This Row],[P/FCF]]-VLOOKUP(Main_S[[#This Row],[Industry]], Mean_PFCF_S, 2, FALSE))/(VLOOKUP(Main_S[[#This Row],[Industry]], Mean_PFCF_S, 3, FALSE))</f>
        <v>0.98880048470738813</v>
      </c>
      <c r="P21" s="1">
        <f>(Main_S[[#This Row],[P/B]]-VLOOKUP(Main_S[[#This Row],[Industry]], Mean_PB_S, 2, FALSE))/(VLOOKUP(Main_S[[#This Row],[Industry]], Mean_PB_S, 3, FALSE))</f>
        <v>-0.64973099088035058</v>
      </c>
      <c r="Q21" s="1">
        <f>(Main_S[[#This Row],[ROE]]-VLOOKUP(Main_S[[#This Row],[Industry]], Mean_ROE_S, 2, FALSE))/(VLOOKUP(Main_S[[#This Row],[Industry]], Mean_ROE_S, 3, FALSE))</f>
        <v>0.70931613546503547</v>
      </c>
      <c r="R21" s="1">
        <f>(Main_S[[#This Row],[ROA]]-VLOOKUP(Main_S[[#This Row],[Industry]], Mean_ROA_S, 2, FALSE))/(VLOOKUP(Main_S[[#This Row],[Industry]], Mean_ROA_S, 3, FALSE))</f>
        <v>0.53372883456183051</v>
      </c>
      <c r="S21" s="1">
        <f>(Main_S[[#This Row],[A/E]]-VLOOKUP(Main_S[[#This Row],[Industry]], Mean_AE_S, 2, FALSE))/(VLOOKUP(Main_S[[#This Row],[Industry]], Mean_AE_S, 3, FALSE))</f>
        <v>-0.7018495380959946</v>
      </c>
      <c r="T21" s="1">
        <f>(Main_S[[#This Row],[P/E]]-VLOOKUP(Main_S[[#This Row],[Industry]], Mean_PE_S, 2, FALSE))/(VLOOKUP(Main_S[[#This Row],[Industry]], Mean_PE_S, 3, FALSE))</f>
        <v>0.78389668221527709</v>
      </c>
      <c r="U2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2" spans="1:26" x14ac:dyDescent="0.25">
      <c r="A22" s="68" t="s">
        <v>122</v>
      </c>
      <c r="B22" s="68" t="s">
        <v>422</v>
      </c>
      <c r="C22" s="2">
        <v>842</v>
      </c>
      <c r="D22">
        <f>RTD("tos.rtd", , "LAST", Main_S[[#This Row],[Symbol]])</f>
        <v>61.67</v>
      </c>
      <c r="E22">
        <v>2.6</v>
      </c>
      <c r="F22">
        <v>61.18</v>
      </c>
      <c r="G22">
        <v>6.48</v>
      </c>
      <c r="H22" s="1">
        <f>IF(ISNUMBER(Main_S[[#This Row],[Free CF]]),IF(Main_S[[#This Row],[Free CF]]&lt;&gt;0,Main_S[[#This Row],[Current Price]]/Main_S[[#This Row],[Free CF]],""),"")</f>
        <v>23.719230769230769</v>
      </c>
      <c r="I22" s="1">
        <f>IF(ISNUMBER(Main_S[[#This Row],[BVPS]]),IF(Main_S[[#This Row],[BVPS]]&lt;&gt;0,Main_S[[#This Row],[Current Price]]/Main_S[[#This Row],[BVPS]],""),"")</f>
        <v>1.0080091533180779</v>
      </c>
      <c r="J22">
        <v>11.09</v>
      </c>
      <c r="K22">
        <v>5.95</v>
      </c>
      <c r="L22">
        <v>1.73</v>
      </c>
      <c r="M22" s="1">
        <f>IF(ISNUMBER(Main_S[[#This Row],[EPS]]),IF(Main_S[[#This Row],[EPS]]&lt;&gt;0,Main_S[[#This Row],[Current Price]]/Main_S[[#This Row],[EPS]],""),"")</f>
        <v>9.5169753086419746</v>
      </c>
      <c r="N2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2" s="1">
        <f>(Main_S[[#This Row],[P/FCF]]-VLOOKUP(Main_S[[#This Row],[Industry]], Mean_PFCF_S, 2, FALSE))/(VLOOKUP(Main_S[[#This Row],[Industry]], Mean_PFCF_S, 3, FALSE))</f>
        <v>1.2611491392139313</v>
      </c>
      <c r="P22" s="1">
        <f>(Main_S[[#This Row],[P/B]]-VLOOKUP(Main_S[[#This Row],[Industry]], Mean_PB_S, 2, FALSE))/(VLOOKUP(Main_S[[#This Row],[Industry]], Mean_PB_S, 3, FALSE))</f>
        <v>-0.87195338049042292</v>
      </c>
      <c r="Q22" s="1">
        <f>(Main_S[[#This Row],[ROE]]-VLOOKUP(Main_S[[#This Row],[Industry]], Mean_ROE_S, 2, FALSE))/(VLOOKUP(Main_S[[#This Row],[Industry]], Mean_ROE_S, 3, FALSE))</f>
        <v>9.4924952970082549E-2</v>
      </c>
      <c r="R22" s="1">
        <f>(Main_S[[#This Row],[ROA]]-VLOOKUP(Main_S[[#This Row],[Industry]], Mean_ROA_S, 2, FALSE))/(VLOOKUP(Main_S[[#This Row],[Industry]], Mean_ROA_S, 3, FALSE))</f>
        <v>0.24953150158094226</v>
      </c>
      <c r="S22" s="1">
        <f>(Main_S[[#This Row],[A/E]]-VLOOKUP(Main_S[[#This Row],[Industry]], Mean_AE_S, 2, FALSE))/(VLOOKUP(Main_S[[#This Row],[Industry]], Mean_AE_S, 3, FALSE))</f>
        <v>-0.53182891645680819</v>
      </c>
      <c r="T22" s="1">
        <f>(Main_S[[#This Row],[P/E]]-VLOOKUP(Main_S[[#This Row],[Industry]], Mean_PE_S, 2, FALSE))/(VLOOKUP(Main_S[[#This Row],[Industry]], Mean_PE_S, 3, FALSE))</f>
        <v>-0.43552539900367604</v>
      </c>
      <c r="U2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3" spans="1:26" x14ac:dyDescent="0.25">
      <c r="A23" s="68" t="s">
        <v>122</v>
      </c>
      <c r="B23" s="68" t="s">
        <v>423</v>
      </c>
      <c r="C23" s="2">
        <v>829</v>
      </c>
      <c r="D23">
        <f>RTD("tos.rtd", , "LAST", Main_S[[#This Row],[Symbol]])</f>
        <v>42.2</v>
      </c>
      <c r="E23">
        <v>4.12</v>
      </c>
      <c r="F23">
        <v>22.78</v>
      </c>
      <c r="G23">
        <v>3.89</v>
      </c>
      <c r="H23" s="1">
        <f>IF(ISNUMBER(Main_S[[#This Row],[Free CF]]),IF(Main_S[[#This Row],[Free CF]]&lt;&gt;0,Main_S[[#This Row],[Current Price]]/Main_S[[#This Row],[Free CF]],""),"")</f>
        <v>10.242718446601943</v>
      </c>
      <c r="I23" s="1">
        <f>IF(ISNUMBER(Main_S[[#This Row],[BVPS]]),IF(Main_S[[#This Row],[BVPS]]&lt;&gt;0,Main_S[[#This Row],[Current Price]]/Main_S[[#This Row],[BVPS]],""),"")</f>
        <v>1.852502194907814</v>
      </c>
      <c r="J23">
        <v>17.739999999999998</v>
      </c>
      <c r="K23">
        <v>8.52</v>
      </c>
      <c r="L23">
        <v>2.41</v>
      </c>
      <c r="M23" s="1">
        <f>IF(ISNUMBER(Main_S[[#This Row],[EPS]]),IF(Main_S[[#This Row],[EPS]]&lt;&gt;0,Main_S[[#This Row],[Current Price]]/Main_S[[#This Row],[EPS]],""),"")</f>
        <v>10.848329048843189</v>
      </c>
      <c r="N2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3" s="1">
        <f>(Main_S[[#This Row],[P/FCF]]-VLOOKUP(Main_S[[#This Row],[Industry]], Mean_PFCF_S, 2, FALSE))/(VLOOKUP(Main_S[[#This Row],[Industry]], Mean_PFCF_S, 3, FALSE))</f>
        <v>-0.3531808609221776</v>
      </c>
      <c r="P23" s="1">
        <f>(Main_S[[#This Row],[P/B]]-VLOOKUP(Main_S[[#This Row],[Industry]], Mean_PB_S, 2, FALSE))/(VLOOKUP(Main_S[[#This Row],[Industry]], Mean_PB_S, 3, FALSE))</f>
        <v>0.64610784774097751</v>
      </c>
      <c r="Q23" s="1">
        <f>(Main_S[[#This Row],[ROE]]-VLOOKUP(Main_S[[#This Row],[Industry]], Mean_ROE_S, 2, FALSE))/(VLOOKUP(Main_S[[#This Row],[Industry]], Mean_ROE_S, 3, FALSE))</f>
        <v>1.4545423562800308</v>
      </c>
      <c r="R23" s="1">
        <f>(Main_S[[#This Row],[ROA]]-VLOOKUP(Main_S[[#This Row],[Industry]], Mean_ROA_S, 2, FALSE))/(VLOOKUP(Main_S[[#This Row],[Industry]], Mean_ROA_S, 3, FALSE))</f>
        <v>1.2013622385947018</v>
      </c>
      <c r="S23" s="1">
        <f>(Main_S[[#This Row],[A/E]]-VLOOKUP(Main_S[[#This Row],[Industry]], Mean_AE_S, 2, FALSE))/(VLOOKUP(Main_S[[#This Row],[Industry]], Mean_AE_S, 3, FALSE))</f>
        <v>0.91474573630571054</v>
      </c>
      <c r="T23" s="1">
        <f>(Main_S[[#This Row],[P/E]]-VLOOKUP(Main_S[[#This Row],[Industry]], Mean_PE_S, 2, FALSE))/(VLOOKUP(Main_S[[#This Row],[Industry]], Mean_PE_S, 3, FALSE))</f>
        <v>-0.29242391642394433</v>
      </c>
      <c r="U2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4" spans="1:26" x14ac:dyDescent="0.25">
      <c r="A24" s="68" t="s">
        <v>122</v>
      </c>
      <c r="B24" s="68" t="s">
        <v>424</v>
      </c>
      <c r="C24" s="2">
        <v>674</v>
      </c>
      <c r="D24">
        <f>RTD("tos.rtd", , "LAST", Main_S[[#This Row],[Symbol]])</f>
        <v>37.369999999999997</v>
      </c>
      <c r="E24">
        <v>2.1</v>
      </c>
      <c r="F24">
        <v>17.59</v>
      </c>
      <c r="G24">
        <v>1.1599999999999999</v>
      </c>
      <c r="H24" s="1">
        <f>IF(ISNUMBER(Main_S[[#This Row],[Free CF]]),IF(Main_S[[#This Row],[Free CF]]&lt;&gt;0,Main_S[[#This Row],[Current Price]]/Main_S[[#This Row],[Free CF]],""),"")</f>
        <v>17.795238095238094</v>
      </c>
      <c r="I24" s="1">
        <f>IF(ISNUMBER(Main_S[[#This Row],[BVPS]]),IF(Main_S[[#This Row],[BVPS]]&lt;&gt;0,Main_S[[#This Row],[Current Price]]/Main_S[[#This Row],[BVPS]],""),"")</f>
        <v>2.1245025582717454</v>
      </c>
      <c r="J24">
        <v>6.61</v>
      </c>
      <c r="K24">
        <v>4.22</v>
      </c>
      <c r="L24">
        <v>1.24</v>
      </c>
      <c r="M24" s="1">
        <f>IF(ISNUMBER(Main_S[[#This Row],[EPS]]),IF(Main_S[[#This Row],[EPS]]&lt;&gt;0,Main_S[[#This Row],[Current Price]]/Main_S[[#This Row],[EPS]],""),"")</f>
        <v>32.21551724137931</v>
      </c>
      <c r="N2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4" s="1">
        <f>(Main_S[[#This Row],[P/FCF]]-VLOOKUP(Main_S[[#This Row],[Industry]], Mean_PFCF_S, 2, FALSE))/(VLOOKUP(Main_S[[#This Row],[Industry]], Mean_PFCF_S, 3, FALSE))</f>
        <v>0.55152346861999679</v>
      </c>
      <c r="P24" s="1">
        <f>(Main_S[[#This Row],[P/B]]-VLOOKUP(Main_S[[#This Row],[Industry]], Mean_PB_S, 2, FALSE))/(VLOOKUP(Main_S[[#This Row],[Industry]], Mean_PB_S, 3, FALSE))</f>
        <v>1.135055873778396</v>
      </c>
      <c r="Q24" s="1">
        <f>(Main_S[[#This Row],[ROE]]-VLOOKUP(Main_S[[#This Row],[Industry]], Mean_ROE_S, 2, FALSE))/(VLOOKUP(Main_S[[#This Row],[Industry]], Mean_ROE_S, 3, FALSE))</f>
        <v>-0.82102782399661955</v>
      </c>
      <c r="R24" s="1">
        <f>(Main_S[[#This Row],[ROA]]-VLOOKUP(Main_S[[#This Row],[Industry]], Mean_ROA_S, 2, FALSE))/(VLOOKUP(Main_S[[#This Row],[Industry]], Mean_ROA_S, 3, FALSE))</f>
        <v>-0.39119502566956549</v>
      </c>
      <c r="S24" s="1">
        <f>(Main_S[[#This Row],[A/E]]-VLOOKUP(Main_S[[#This Row],[Industry]], Mean_AE_S, 2, FALSE))/(VLOOKUP(Main_S[[#This Row],[Industry]], Mean_AE_S, 3, FALSE))</f>
        <v>-1.5742135927121523</v>
      </c>
      <c r="T24" s="1">
        <f>(Main_S[[#This Row],[P/E]]-VLOOKUP(Main_S[[#This Row],[Industry]], Mean_PE_S, 2, FALSE))/(VLOOKUP(Main_S[[#This Row],[Industry]], Mean_PE_S, 3, FALSE))</f>
        <v>2.0042431650460304</v>
      </c>
      <c r="U2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5" spans="1:26" x14ac:dyDescent="0.25">
      <c r="A25" s="68" t="s">
        <v>122</v>
      </c>
      <c r="B25" s="68" t="s">
        <v>425</v>
      </c>
      <c r="C25" s="2">
        <v>1001</v>
      </c>
      <c r="D25">
        <f>RTD("tos.rtd", , "LAST", Main_S[[#This Row],[Symbol]])</f>
        <v>8.5</v>
      </c>
      <c r="E25">
        <v>0.93</v>
      </c>
      <c r="F25">
        <v>3.71</v>
      </c>
      <c r="G25">
        <v>0.49</v>
      </c>
      <c r="H25" s="1">
        <f>IF(ISNUMBER(Main_S[[#This Row],[Free CF]]),IF(Main_S[[#This Row],[Free CF]]&lt;&gt;0,Main_S[[#This Row],[Current Price]]/Main_S[[#This Row],[Free CF]],""),"")</f>
        <v>9.1397849462365581</v>
      </c>
      <c r="I25" s="1">
        <f>IF(ISNUMBER(Main_S[[#This Row],[BVPS]]),IF(Main_S[[#This Row],[BVPS]]&lt;&gt;0,Main_S[[#This Row],[Current Price]]/Main_S[[#This Row],[BVPS]],""),"")</f>
        <v>2.2911051212938007</v>
      </c>
      <c r="J25">
        <v>13.56</v>
      </c>
      <c r="K25">
        <v>7.39</v>
      </c>
      <c r="L25">
        <v>2.5099999999999998</v>
      </c>
      <c r="M25" s="1">
        <f>IF(ISNUMBER(Main_S[[#This Row],[EPS]]),IF(Main_S[[#This Row],[EPS]]&lt;&gt;0,Main_S[[#This Row],[Current Price]]/Main_S[[#This Row],[EPS]],""),"")</f>
        <v>17.346938775510203</v>
      </c>
      <c r="N2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5" s="1">
        <f>(Main_S[[#This Row],[P/FCF]]-VLOOKUP(Main_S[[#This Row],[Industry]], Mean_PFCF_S, 2, FALSE))/(VLOOKUP(Main_S[[#This Row],[Industry]], Mean_PFCF_S, 3, FALSE))</f>
        <v>-0.48529951263040039</v>
      </c>
      <c r="P25" s="1">
        <f>(Main_S[[#This Row],[P/B]]-VLOOKUP(Main_S[[#This Row],[Industry]], Mean_PB_S, 2, FALSE))/(VLOOKUP(Main_S[[#This Row],[Industry]], Mean_PB_S, 3, FALSE))</f>
        <v>1.4345407469416593</v>
      </c>
      <c r="Q25" s="1">
        <f>(Main_S[[#This Row],[ROE]]-VLOOKUP(Main_S[[#This Row],[Industry]], Mean_ROE_S, 2, FALSE))/(VLOOKUP(Main_S[[#This Row],[Industry]], Mean_ROE_S, 3, FALSE))</f>
        <v>0.59992570277092072</v>
      </c>
      <c r="R25" s="1">
        <f>(Main_S[[#This Row],[ROA]]-VLOOKUP(Main_S[[#This Row],[Industry]], Mean_ROA_S, 2, FALSE))/(VLOOKUP(Main_S[[#This Row],[Industry]], Mean_ROA_S, 3, FALSE))</f>
        <v>0.78285300403223168</v>
      </c>
      <c r="S25" s="1">
        <f>(Main_S[[#This Row],[A/E]]-VLOOKUP(Main_S[[#This Row],[Industry]], Mean_AE_S, 2, FALSE))/(VLOOKUP(Main_S[[#This Row],[Industry]], Mean_AE_S, 3, FALSE))</f>
        <v>1.1274773028884331</v>
      </c>
      <c r="T25" s="1">
        <f>(Main_S[[#This Row],[P/E]]-VLOOKUP(Main_S[[#This Row],[Industry]], Mean_PE_S, 2, FALSE))/(VLOOKUP(Main_S[[#This Row],[Industry]], Mean_PE_S, 3, FALSE))</f>
        <v>0.40608366913522154</v>
      </c>
      <c r="U2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6" spans="1:26" x14ac:dyDescent="0.25">
      <c r="A26" s="68" t="s">
        <v>122</v>
      </c>
      <c r="B26" s="68" t="s">
        <v>426</v>
      </c>
      <c r="C26" s="2">
        <v>344</v>
      </c>
      <c r="D26">
        <f>RTD("tos.rtd", , "LAST", Main_S[[#This Row],[Symbol]])</f>
        <v>4.4400000000000004</v>
      </c>
      <c r="E26">
        <v>-1.74</v>
      </c>
      <c r="F26">
        <v>5.43</v>
      </c>
      <c r="G26">
        <v>-4.01</v>
      </c>
      <c r="H26" s="1">
        <f>IF(ISNUMBER(Main_S[[#This Row],[Free CF]]),IF(Main_S[[#This Row],[Free CF]]&lt;&gt;0,Main_S[[#This Row],[Current Price]]/Main_S[[#This Row],[Free CF]],""),"")</f>
        <v>-2.5517241379310347</v>
      </c>
      <c r="I26" s="1">
        <f>IF(ISNUMBER(Main_S[[#This Row],[BVPS]]),IF(Main_S[[#This Row],[BVPS]]&lt;&gt;0,Main_S[[#This Row],[Current Price]]/Main_S[[#This Row],[BVPS]],""),"")</f>
        <v>0.81767955801104986</v>
      </c>
      <c r="J26">
        <v>-53.32</v>
      </c>
      <c r="K26">
        <v>0.28000000000000003</v>
      </c>
      <c r="L26">
        <v>5.25</v>
      </c>
      <c r="M26" s="1">
        <f>IF(ISNUMBER(Main_S[[#This Row],[EPS]]),IF(Main_S[[#This Row],[EPS]]&lt;&gt;0,Main_S[[#This Row],[Current Price]]/Main_S[[#This Row],[EPS]],""),"")</f>
        <v>-1.1072319201995013</v>
      </c>
      <c r="N2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6" s="1">
        <f>(Main_S[[#This Row],[P/FCF]]-VLOOKUP(Main_S[[#This Row],[Industry]], Mean_PFCF_S, 2, FALSE))/(VLOOKUP(Main_S[[#This Row],[Industry]], Mean_PFCF_S, 3, FALSE))</f>
        <v>-1.8858068107793253</v>
      </c>
      <c r="P26" s="1">
        <f>(Main_S[[#This Row],[P/B]]-VLOOKUP(Main_S[[#This Row],[Industry]], Mean_PB_S, 2, FALSE))/(VLOOKUP(Main_S[[#This Row],[Industry]], Mean_PB_S, 3, FALSE))</f>
        <v>-1.2140899819675239</v>
      </c>
      <c r="Q26" s="1">
        <f>(Main_S[[#This Row],[ROE]]-VLOOKUP(Main_S[[#This Row],[Industry]], Mean_ROE_S, 2, FALSE))/(VLOOKUP(Main_S[[#This Row],[Industry]], Mean_ROE_S, 3, FALSE))</f>
        <v>-13.073940753374849</v>
      </c>
      <c r="R26" s="1">
        <f>(Main_S[[#This Row],[ROA]]-VLOOKUP(Main_S[[#This Row],[Industry]], Mean_ROA_S, 2, FALSE))/(VLOOKUP(Main_S[[#This Row],[Industry]], Mean_ROA_S, 3, FALSE))</f>
        <v>-1.8504219143210103</v>
      </c>
      <c r="S26" s="1">
        <f>(Main_S[[#This Row],[A/E]]-VLOOKUP(Main_S[[#This Row],[Industry]], Mean_AE_S, 2, FALSE))/(VLOOKUP(Main_S[[#This Row],[Industry]], Mean_AE_S, 3, FALSE))</f>
        <v>6.9563222272550522</v>
      </c>
      <c r="T26" s="1">
        <f>(Main_S[[#This Row],[P/E]]-VLOOKUP(Main_S[[#This Row],[Industry]], Mean_PE_S, 2, FALSE))/(VLOOKUP(Main_S[[#This Row],[Industry]], Mean_PE_S, 3, FALSE))</f>
        <v>-1.5774757009960991</v>
      </c>
      <c r="U2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2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2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7" spans="1:26" x14ac:dyDescent="0.25">
      <c r="A27" s="68" t="s">
        <v>122</v>
      </c>
      <c r="B27" s="68" t="s">
        <v>271</v>
      </c>
      <c r="C27" s="2">
        <v>1282</v>
      </c>
      <c r="D27">
        <f>RTD("tos.rtd", , "LAST", Main_S[[#This Row],[Symbol]])</f>
        <v>11.16</v>
      </c>
      <c r="E27">
        <v>1.66</v>
      </c>
      <c r="F27">
        <v>10.15</v>
      </c>
      <c r="G27">
        <v>0.96</v>
      </c>
      <c r="H27" s="1">
        <f>IF(ISNUMBER(Main_S[[#This Row],[Free CF]]),IF(Main_S[[#This Row],[Free CF]]&lt;&gt;0,Main_S[[#This Row],[Current Price]]/Main_S[[#This Row],[Free CF]],""),"")</f>
        <v>6.7228915662650603</v>
      </c>
      <c r="I27" s="1">
        <f>IF(ISNUMBER(Main_S[[#This Row],[BVPS]]),IF(Main_S[[#This Row],[BVPS]]&lt;&gt;0,Main_S[[#This Row],[Current Price]]/Main_S[[#This Row],[BVPS]],""),"")</f>
        <v>1.0995073891625615</v>
      </c>
      <c r="J27">
        <v>10.119999999999999</v>
      </c>
      <c r="K27">
        <v>6.47</v>
      </c>
      <c r="L27">
        <v>2.2599999999999998</v>
      </c>
      <c r="M27" s="1">
        <f>IF(ISNUMBER(Main_S[[#This Row],[EPS]]),IF(Main_S[[#This Row],[EPS]]&lt;&gt;0,Main_S[[#This Row],[Current Price]]/Main_S[[#This Row],[EPS]],""),"")</f>
        <v>11.625</v>
      </c>
      <c r="N2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7" s="1">
        <f>(Main_S[[#This Row],[P/FCF]]-VLOOKUP(Main_S[[#This Row],[Industry]], Mean_PFCF_S, 2, FALSE))/(VLOOKUP(Main_S[[#This Row],[Industry]], Mean_PFCF_S, 3, FALSE))</f>
        <v>-0.77481533074507281</v>
      </c>
      <c r="P27" s="1">
        <f>(Main_S[[#This Row],[P/B]]-VLOOKUP(Main_S[[#This Row],[Industry]], Mean_PB_S, 2, FALSE))/(VLOOKUP(Main_S[[#This Row],[Industry]], Mean_PB_S, 3, FALSE))</f>
        <v>-0.70747609358986108</v>
      </c>
      <c r="Q27" s="1">
        <f>(Main_S[[#This Row],[ROE]]-VLOOKUP(Main_S[[#This Row],[Industry]], Mean_ROE_S, 2, FALSE))/(VLOOKUP(Main_S[[#This Row],[Industry]], Mean_ROE_S, 3, FALSE))</f>
        <v>-0.10339517954279731</v>
      </c>
      <c r="R27" s="1">
        <f>(Main_S[[#This Row],[ROA]]-VLOOKUP(Main_S[[#This Row],[Industry]], Mean_ROA_S, 2, FALSE))/(VLOOKUP(Main_S[[#This Row],[Industry]], Mean_ROA_S, 3, FALSE))</f>
        <v>0.44211982191057442</v>
      </c>
      <c r="S27" s="1">
        <f>(Main_S[[#This Row],[A/E]]-VLOOKUP(Main_S[[#This Row],[Industry]], Mean_AE_S, 2, FALSE))/(VLOOKUP(Main_S[[#This Row],[Industry]], Mean_AE_S, 3, FALSE))</f>
        <v>0.59564838643162477</v>
      </c>
      <c r="T27" s="1">
        <f>(Main_S[[#This Row],[P/E]]-VLOOKUP(Main_S[[#This Row],[Industry]], Mean_PE_S, 2, FALSE))/(VLOOKUP(Main_S[[#This Row],[Industry]], Mean_PE_S, 3, FALSE))</f>
        <v>-0.20894289914723427</v>
      </c>
      <c r="U2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8" spans="1:26" x14ac:dyDescent="0.25">
      <c r="A28" s="68" t="s">
        <v>122</v>
      </c>
      <c r="B28" s="68" t="s">
        <v>427</v>
      </c>
      <c r="C28" s="2">
        <v>781</v>
      </c>
      <c r="D28">
        <f>RTD("tos.rtd", , "LAST", Main_S[[#This Row],[Symbol]])</f>
        <v>18.79</v>
      </c>
      <c r="E28">
        <v>0.83</v>
      </c>
      <c r="F28">
        <v>20.69</v>
      </c>
      <c r="G28">
        <v>0.28999999999999998</v>
      </c>
      <c r="H28" s="1">
        <f>IF(ISNUMBER(Main_S[[#This Row],[Free CF]]),IF(Main_S[[#This Row],[Free CF]]&lt;&gt;0,Main_S[[#This Row],[Current Price]]/Main_S[[#This Row],[Free CF]],""),"")</f>
        <v>22.638554216867469</v>
      </c>
      <c r="I28" s="1">
        <f>IF(ISNUMBER(Main_S[[#This Row],[BVPS]]),IF(Main_S[[#This Row],[BVPS]]&lt;&gt;0,Main_S[[#This Row],[Current Price]]/Main_S[[#This Row],[BVPS]],""),"")</f>
        <v>0.90816819719671327</v>
      </c>
      <c r="J28">
        <v>1.56</v>
      </c>
      <c r="K28">
        <v>1.98</v>
      </c>
      <c r="L28">
        <v>2.2799999999999998</v>
      </c>
      <c r="M28" s="1">
        <f>IF(ISNUMBER(Main_S[[#This Row],[EPS]]),IF(Main_S[[#This Row],[EPS]]&lt;&gt;0,Main_S[[#This Row],[Current Price]]/Main_S[[#This Row],[EPS]],""),"")</f>
        <v>64.793103448275858</v>
      </c>
      <c r="N2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8" s="1">
        <f>(Main_S[[#This Row],[P/FCF]]-VLOOKUP(Main_S[[#This Row],[Industry]], Mean_PFCF_S, 2, FALSE))/(VLOOKUP(Main_S[[#This Row],[Industry]], Mean_PFCF_S, 3, FALSE))</f>
        <v>1.1316966119458505</v>
      </c>
      <c r="P28" s="1">
        <f>(Main_S[[#This Row],[P/B]]-VLOOKUP(Main_S[[#This Row],[Industry]], Mean_PB_S, 2, FALSE))/(VLOOKUP(Main_S[[#This Row],[Industry]], Mean_PB_S, 3, FALSE))</f>
        <v>-1.0514275466624492</v>
      </c>
      <c r="Q28" s="1">
        <f>(Main_S[[#This Row],[ROE]]-VLOOKUP(Main_S[[#This Row],[Industry]], Mean_ROE_S, 2, FALSE))/(VLOOKUP(Main_S[[#This Row],[Industry]], Mean_ROE_S, 3, FALSE))</f>
        <v>-1.8535192355327459</v>
      </c>
      <c r="R28" s="1">
        <f>(Main_S[[#This Row],[ROA]]-VLOOKUP(Main_S[[#This Row],[Industry]], Mean_ROA_S, 2, FALSE))/(VLOOKUP(Main_S[[#This Row],[Industry]], Mean_ROA_S, 3, FALSE))</f>
        <v>-1.2208062517049048</v>
      </c>
      <c r="S28" s="1">
        <f>(Main_S[[#This Row],[A/E]]-VLOOKUP(Main_S[[#This Row],[Industry]], Mean_AE_S, 2, FALSE))/(VLOOKUP(Main_S[[#This Row],[Industry]], Mean_AE_S, 3, FALSE))</f>
        <v>0.63819469974816956</v>
      </c>
      <c r="T28" s="1">
        <f>(Main_S[[#This Row],[P/E]]-VLOOKUP(Main_S[[#This Row],[Industry]], Mean_PE_S, 2, FALSE))/(VLOOKUP(Main_S[[#This Row],[Industry]], Mean_PE_S, 3, FALSE))</f>
        <v>5.5058676727229603</v>
      </c>
      <c r="U2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29" spans="1:26" x14ac:dyDescent="0.25">
      <c r="A29" s="68" t="s">
        <v>122</v>
      </c>
      <c r="B29" s="68" t="s">
        <v>273</v>
      </c>
      <c r="C29" s="2">
        <v>1674</v>
      </c>
      <c r="D29">
        <f>RTD("tos.rtd", , "LAST", Main_S[[#This Row],[Symbol]])</f>
        <v>63.09</v>
      </c>
      <c r="E29">
        <v>3.54</v>
      </c>
      <c r="F29">
        <v>34.229999999999997</v>
      </c>
      <c r="G29">
        <v>4.34</v>
      </c>
      <c r="H29" s="1">
        <f>IF(ISNUMBER(Main_S[[#This Row],[Free CF]]),IF(Main_S[[#This Row],[Free CF]]&lt;&gt;0,Main_S[[#This Row],[Current Price]]/Main_S[[#This Row],[Free CF]],""),"")</f>
        <v>17.822033898305087</v>
      </c>
      <c r="I29" s="1">
        <f>IF(ISNUMBER(Main_S[[#This Row],[BVPS]]),IF(Main_S[[#This Row],[BVPS]]&lt;&gt;0,Main_S[[#This Row],[Current Price]]/Main_S[[#This Row],[BVPS]],""),"")</f>
        <v>1.8431200701139354</v>
      </c>
      <c r="J29">
        <v>13.7</v>
      </c>
      <c r="K29">
        <v>7.4</v>
      </c>
      <c r="L29">
        <v>1.43</v>
      </c>
      <c r="M29" s="1">
        <f>IF(ISNUMBER(Main_S[[#This Row],[EPS]]),IF(Main_S[[#This Row],[EPS]]&lt;&gt;0,Main_S[[#This Row],[Current Price]]/Main_S[[#This Row],[EPS]],""),"")</f>
        <v>14.536866359447005</v>
      </c>
      <c r="N2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9" s="1">
        <f>(Main_S[[#This Row],[P/FCF]]-VLOOKUP(Main_S[[#This Row],[Industry]], Mean_PFCF_S, 2, FALSE))/(VLOOKUP(Main_S[[#This Row],[Industry]], Mean_PFCF_S, 3, FALSE))</f>
        <v>0.5547332952971965</v>
      </c>
      <c r="P29" s="1">
        <f>(Main_S[[#This Row],[P/B]]-VLOOKUP(Main_S[[#This Row],[Industry]], Mean_PB_S, 2, FALSE))/(VLOOKUP(Main_S[[#This Row],[Industry]], Mean_PB_S, 3, FALSE))</f>
        <v>0.62924253424922372</v>
      </c>
      <c r="Q29" s="1">
        <f>(Main_S[[#This Row],[ROE]]-VLOOKUP(Main_S[[#This Row],[Industry]], Mean_ROE_S, 2, FALSE))/(VLOOKUP(Main_S[[#This Row],[Industry]], Mean_ROE_S, 3, FALSE))</f>
        <v>0.62854922705112992</v>
      </c>
      <c r="R29" s="1">
        <f>(Main_S[[#This Row],[ROA]]-VLOOKUP(Main_S[[#This Row],[Industry]], Mean_ROA_S, 2, FALSE))/(VLOOKUP(Main_S[[#This Row],[Industry]], Mean_ROA_S, 3, FALSE))</f>
        <v>0.78655662557703254</v>
      </c>
      <c r="S29" s="1">
        <f>(Main_S[[#This Row],[A/E]]-VLOOKUP(Main_S[[#This Row],[Industry]], Mean_AE_S, 2, FALSE))/(VLOOKUP(Main_S[[#This Row],[Industry]], Mean_AE_S, 3, FALSE))</f>
        <v>-1.1700236162049782</v>
      </c>
      <c r="T29" s="1">
        <f>(Main_S[[#This Row],[P/E]]-VLOOKUP(Main_S[[#This Row],[Industry]], Mean_PE_S, 2, FALSE))/(VLOOKUP(Main_S[[#This Row],[Industry]], Mean_PE_S, 3, FALSE))</f>
        <v>0.10404108138970082</v>
      </c>
      <c r="U2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0" spans="1:26" x14ac:dyDescent="0.25">
      <c r="A30" s="68" t="s">
        <v>191</v>
      </c>
      <c r="B30" s="68" t="s">
        <v>578</v>
      </c>
      <c r="C30" s="2">
        <v>1028</v>
      </c>
      <c r="D30">
        <f>RTD("tos.rtd", , "LAST", Main_S[[#This Row],[Symbol]])</f>
        <v>45.57</v>
      </c>
      <c r="E30">
        <v>6.96</v>
      </c>
      <c r="F30">
        <v>-22.42</v>
      </c>
      <c r="G30">
        <v>5.97</v>
      </c>
      <c r="H30" s="1">
        <f>IF(ISNUMBER(Main_S[[#This Row],[Free CF]]),IF(Main_S[[#This Row],[Free CF]]&lt;&gt;0,Main_S[[#This Row],[Current Price]]/Main_S[[#This Row],[Free CF]],""),"")</f>
        <v>6.5474137931034484</v>
      </c>
      <c r="I30" s="1">
        <f>IF(ISNUMBER(Main_S[[#This Row],[BVPS]]),IF(Main_S[[#This Row],[BVPS]]&lt;&gt;0,Main_S[[#This Row],[Current Price]]/Main_S[[#This Row],[BVPS]],""),"")</f>
        <v>-2.0325602140945582</v>
      </c>
      <c r="J30">
        <v>-27.71</v>
      </c>
      <c r="K30">
        <v>7.78</v>
      </c>
      <c r="L30">
        <v>-3.37</v>
      </c>
      <c r="M30" s="1">
        <f>IF(ISNUMBER(Main_S[[#This Row],[EPS]]),IF(Main_S[[#This Row],[EPS]]&lt;&gt;0,Main_S[[#This Row],[Current Price]]/Main_S[[#This Row],[EPS]],""),"")</f>
        <v>7.6331658291457289</v>
      </c>
      <c r="N3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0" s="1">
        <f>(Main_S[[#This Row],[P/FCF]]-VLOOKUP(Main_S[[#This Row],[Industry]], Mean_PFCF_S, 2, FALSE))/(VLOOKUP(Main_S[[#This Row],[Industry]], Mean_PFCF_S, 3, FALSE))</f>
        <v>-0.85013277641729745</v>
      </c>
      <c r="P30" s="1">
        <f>(Main_S[[#This Row],[P/B]]-VLOOKUP(Main_S[[#This Row],[Industry]], Mean_PB_S, 2, FALSE))/(VLOOKUP(Main_S[[#This Row],[Industry]], Mean_PB_S, 3, FALSE))</f>
        <v>-4.8838669115763178</v>
      </c>
      <c r="Q30" s="1">
        <f>(Main_S[[#This Row],[ROE]]-VLOOKUP(Main_S[[#This Row],[Industry]], Mean_ROE_S, 2, FALSE))/(VLOOKUP(Main_S[[#This Row],[Industry]], Mean_ROE_S, 3, FALSE))</f>
        <v>-1.8640080540541781</v>
      </c>
      <c r="R30" s="1">
        <f>(Main_S[[#This Row],[ROA]]-VLOOKUP(Main_S[[#This Row],[Industry]], Mean_ROA_S, 2, FALSE))/(VLOOKUP(Main_S[[#This Row],[Industry]], Mean_ROA_S, 3, FALSE))</f>
        <v>1.5538172006894722</v>
      </c>
      <c r="S30" s="1">
        <f>(Main_S[[#This Row],[A/E]]-VLOOKUP(Main_S[[#This Row],[Industry]], Mean_AE_S, 2, FALSE))/(VLOOKUP(Main_S[[#This Row],[Industry]], Mean_AE_S, 3, FALSE))</f>
        <v>-6.5696218303124265</v>
      </c>
      <c r="T30" s="1">
        <f>(Main_S[[#This Row],[P/E]]-VLOOKUP(Main_S[[#This Row],[Industry]], Mean_PE_S, 2, FALSE))/(VLOOKUP(Main_S[[#This Row],[Industry]], Mean_PE_S, 3, FALSE))</f>
        <v>-0.15315045279870812</v>
      </c>
      <c r="U3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3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3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1" spans="1:26" x14ac:dyDescent="0.25">
      <c r="A31" s="68" t="s">
        <v>191</v>
      </c>
      <c r="B31" s="68" t="s">
        <v>496</v>
      </c>
      <c r="C31" s="2">
        <v>685</v>
      </c>
      <c r="D31">
        <f>RTD("tos.rtd", , "LAST", Main_S[[#This Row],[Symbol]])</f>
        <v>16.22</v>
      </c>
      <c r="E31">
        <v>2.66</v>
      </c>
      <c r="F31">
        <v>13.91</v>
      </c>
      <c r="G31">
        <v>1.24</v>
      </c>
      <c r="H31" s="1">
        <f>IF(ISNUMBER(Main_S[[#This Row],[Free CF]]),IF(Main_S[[#This Row],[Free CF]]&lt;&gt;0,Main_S[[#This Row],[Current Price]]/Main_S[[#This Row],[Free CF]],""),"")</f>
        <v>6.0977443609022552</v>
      </c>
      <c r="I31" s="1">
        <f>IF(ISNUMBER(Main_S[[#This Row],[BVPS]]),IF(Main_S[[#This Row],[BVPS]]&lt;&gt;0,Main_S[[#This Row],[Current Price]]/Main_S[[#This Row],[BVPS]],""),"")</f>
        <v>1.1660675772825304</v>
      </c>
      <c r="J31">
        <v>9.1300000000000008</v>
      </c>
      <c r="K31">
        <v>5.24</v>
      </c>
      <c r="L31">
        <v>4.1399999999999997</v>
      </c>
      <c r="M31" s="1">
        <f>IF(ISNUMBER(Main_S[[#This Row],[EPS]]),IF(Main_S[[#This Row],[EPS]]&lt;&gt;0,Main_S[[#This Row],[Current Price]]/Main_S[[#This Row],[EPS]],""),"")</f>
        <v>13.080645161290322</v>
      </c>
      <c r="N3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1" s="1">
        <f>(Main_S[[#This Row],[P/FCF]]-VLOOKUP(Main_S[[#This Row],[Industry]], Mean_PFCF_S, 2, FALSE))/(VLOOKUP(Main_S[[#This Row],[Industry]], Mean_PFCF_S, 3, FALSE))</f>
        <v>-0.95488500752879435</v>
      </c>
      <c r="P31" s="1">
        <f>(Main_S[[#This Row],[P/B]]-VLOOKUP(Main_S[[#This Row],[Industry]], Mean_PB_S, 2, FALSE))/(VLOOKUP(Main_S[[#This Row],[Industry]], Mean_PB_S, 3, FALSE))</f>
        <v>-0.64860290563012746</v>
      </c>
      <c r="Q31" s="1">
        <f>(Main_S[[#This Row],[ROE]]-VLOOKUP(Main_S[[#This Row],[Industry]], Mean_ROE_S, 2, FALSE))/(VLOOKUP(Main_S[[#This Row],[Industry]], Mean_ROE_S, 3, FALSE))</f>
        <v>0.62691691258854965</v>
      </c>
      <c r="R31" s="1">
        <f>(Main_S[[#This Row],[ROA]]-VLOOKUP(Main_S[[#This Row],[Industry]], Mean_ROA_S, 2, FALSE))/(VLOOKUP(Main_S[[#This Row],[Industry]], Mean_ROA_S, 3, FALSE))</f>
        <v>0.56313336749826437</v>
      </c>
      <c r="S31" s="1">
        <f>(Main_S[[#This Row],[A/E]]-VLOOKUP(Main_S[[#This Row],[Industry]], Mean_AE_S, 2, FALSE))/(VLOOKUP(Main_S[[#This Row],[Industry]], Mean_AE_S, 3, FALSE))</f>
        <v>2.0417089610221471</v>
      </c>
      <c r="T31" s="1">
        <f>(Main_S[[#This Row],[P/E]]-VLOOKUP(Main_S[[#This Row],[Industry]], Mean_PE_S, 2, FALSE))/(VLOOKUP(Main_S[[#This Row],[Industry]], Mean_PE_S, 3, FALSE))</f>
        <v>0.20589858904230032</v>
      </c>
      <c r="U3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2" spans="1:26" x14ac:dyDescent="0.25">
      <c r="A32" s="68" t="s">
        <v>191</v>
      </c>
      <c r="B32" s="68" t="s">
        <v>497</v>
      </c>
      <c r="C32" s="2">
        <v>480</v>
      </c>
      <c r="D32">
        <f>RTD("tos.rtd", , "LAST", Main_S[[#This Row],[Symbol]])</f>
        <v>19.47</v>
      </c>
      <c r="E32">
        <v>2.5299999999999998</v>
      </c>
      <c r="F32">
        <v>11.61</v>
      </c>
      <c r="G32">
        <v>1.54</v>
      </c>
      <c r="H32" s="1">
        <f>IF(ISNUMBER(Main_S[[#This Row],[Free CF]]),IF(Main_S[[#This Row],[Free CF]]&lt;&gt;0,Main_S[[#This Row],[Current Price]]/Main_S[[#This Row],[Free CF]],""),"")</f>
        <v>7.6956521739130439</v>
      </c>
      <c r="I32" s="1">
        <f>IF(ISNUMBER(Main_S[[#This Row],[BVPS]]),IF(Main_S[[#This Row],[BVPS]]&lt;&gt;0,Main_S[[#This Row],[Current Price]]/Main_S[[#This Row],[BVPS]],""),"")</f>
        <v>1.6770025839793281</v>
      </c>
      <c r="J32">
        <v>12.34</v>
      </c>
      <c r="K32">
        <v>8.67</v>
      </c>
      <c r="L32">
        <v>1.1599999999999999</v>
      </c>
      <c r="M32" s="1">
        <f>IF(ISNUMBER(Main_S[[#This Row],[EPS]]),IF(Main_S[[#This Row],[EPS]]&lt;&gt;0,Main_S[[#This Row],[Current Price]]/Main_S[[#This Row],[EPS]],""),"")</f>
        <v>12.642857142857142</v>
      </c>
      <c r="N3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2" s="1">
        <f>(Main_S[[#This Row],[P/FCF]]-VLOOKUP(Main_S[[#This Row],[Industry]], Mean_PFCF_S, 2, FALSE))/(VLOOKUP(Main_S[[#This Row],[Industry]], Mean_PFCF_S, 3, FALSE))</f>
        <v>-0.58264621045512355</v>
      </c>
      <c r="P32" s="1">
        <f>(Main_S[[#This Row],[P/B]]-VLOOKUP(Main_S[[#This Row],[Industry]], Mean_PB_S, 2, FALSE))/(VLOOKUP(Main_S[[#This Row],[Industry]], Mean_PB_S, 3, FALSE))</f>
        <v>2.7919898640634967E-2</v>
      </c>
      <c r="Q32" s="1">
        <f>(Main_S[[#This Row],[ROE]]-VLOOKUP(Main_S[[#This Row],[Industry]], Mean_ROE_S, 2, FALSE))/(VLOOKUP(Main_S[[#This Row],[Industry]], Mean_ROE_S, 3, FALSE))</f>
        <v>0.84396004893282628</v>
      </c>
      <c r="R32" s="1">
        <f>(Main_S[[#This Row],[ROA]]-VLOOKUP(Main_S[[#This Row],[Industry]], Mean_ROA_S, 2, FALSE))/(VLOOKUP(Main_S[[#This Row],[Industry]], Mean_ROA_S, 3, FALSE))</f>
        <v>1.9009465753115879</v>
      </c>
      <c r="S32" s="1">
        <f>(Main_S[[#This Row],[A/E]]-VLOOKUP(Main_S[[#This Row],[Industry]], Mean_AE_S, 2, FALSE))/(VLOOKUP(Main_S[[#This Row],[Industry]], Mean_AE_S, 3, FALSE))</f>
        <v>-1.3753037897337821</v>
      </c>
      <c r="T32" s="1">
        <f>(Main_S[[#This Row],[P/E]]-VLOOKUP(Main_S[[#This Row],[Industry]], Mean_PE_S, 2, FALSE))/(VLOOKUP(Main_S[[#This Row],[Industry]], Mean_PE_S, 3, FALSE))</f>
        <v>0.17704352434836515</v>
      </c>
      <c r="U3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3" spans="1:26" x14ac:dyDescent="0.25">
      <c r="A33" s="68" t="s">
        <v>191</v>
      </c>
      <c r="B33" s="68" t="s">
        <v>498</v>
      </c>
      <c r="C33" s="2">
        <v>280</v>
      </c>
      <c r="D33">
        <f>RTD("tos.rtd", , "LAST", Main_S[[#This Row],[Symbol]])</f>
        <v>5.87</v>
      </c>
      <c r="E33">
        <v>0.53</v>
      </c>
      <c r="F33">
        <v>1.69</v>
      </c>
      <c r="G33">
        <v>-0.36</v>
      </c>
      <c r="H33" s="1">
        <f>IF(ISNUMBER(Main_S[[#This Row],[Free CF]]),IF(Main_S[[#This Row],[Free CF]]&lt;&gt;0,Main_S[[#This Row],[Current Price]]/Main_S[[#This Row],[Free CF]],""),"")</f>
        <v>11.075471698113207</v>
      </c>
      <c r="I33" s="1">
        <f>IF(ISNUMBER(Main_S[[#This Row],[BVPS]]),IF(Main_S[[#This Row],[BVPS]]&lt;&gt;0,Main_S[[#This Row],[Current Price]]/Main_S[[#This Row],[BVPS]],""),"")</f>
        <v>3.473372781065089</v>
      </c>
      <c r="J33">
        <v>-19.25</v>
      </c>
      <c r="K33">
        <v>5.87</v>
      </c>
      <c r="L33">
        <v>14.26</v>
      </c>
      <c r="M33" s="1">
        <f>IF(ISNUMBER(Main_S[[#This Row],[EPS]]),IF(Main_S[[#This Row],[EPS]]&lt;&gt;0,Main_S[[#This Row],[Current Price]]/Main_S[[#This Row],[EPS]],""),"")</f>
        <v>-16.305555555555557</v>
      </c>
      <c r="N3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3" s="1">
        <f>(Main_S[[#This Row],[P/FCF]]-VLOOKUP(Main_S[[#This Row],[Industry]], Mean_PFCF_S, 2, FALSE))/(VLOOKUP(Main_S[[#This Row],[Industry]], Mean_PFCF_S, 3, FALSE))</f>
        <v>0.20469580250108985</v>
      </c>
      <c r="P33" s="1">
        <f>(Main_S[[#This Row],[P/B]]-VLOOKUP(Main_S[[#This Row],[Industry]], Mean_PB_S, 2, FALSE))/(VLOOKUP(Main_S[[#This Row],[Industry]], Mean_PB_S, 3, FALSE))</f>
        <v>2.4064717443983157</v>
      </c>
      <c r="Q33" s="1">
        <f>(Main_S[[#This Row],[ROE]]-VLOOKUP(Main_S[[#This Row],[Industry]], Mean_ROE_S, 2, FALSE))/(VLOOKUP(Main_S[[#This Row],[Industry]], Mean_ROE_S, 3, FALSE))</f>
        <v>-1.2919878255580468</v>
      </c>
      <c r="R33" s="1">
        <f>(Main_S[[#This Row],[ROA]]-VLOOKUP(Main_S[[#This Row],[Industry]], Mean_ROA_S, 2, FALSE))/(VLOOKUP(Main_S[[#This Row],[Industry]], Mean_ROA_S, 3, FALSE))</f>
        <v>0.80885416077009931</v>
      </c>
      <c r="S33" s="1">
        <f>(Main_S[[#This Row],[A/E]]-VLOOKUP(Main_S[[#This Row],[Industry]], Mean_AE_S, 2, FALSE))/(VLOOKUP(Main_S[[#This Row],[Industry]], Mean_AE_S, 3, FALSE))</f>
        <v>13.645792530703357</v>
      </c>
      <c r="T33" s="1">
        <f>(Main_S[[#This Row],[P/E]]-VLOOKUP(Main_S[[#This Row],[Industry]], Mean_PE_S, 2, FALSE))/(VLOOKUP(Main_S[[#This Row],[Industry]], Mean_PE_S, 3, FALSE))</f>
        <v>-1.730976535654549</v>
      </c>
      <c r="U3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3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4" spans="1:26" x14ac:dyDescent="0.25">
      <c r="A34" s="68" t="s">
        <v>191</v>
      </c>
      <c r="B34" s="68" t="s">
        <v>499</v>
      </c>
      <c r="C34" s="2">
        <v>1389</v>
      </c>
      <c r="D34">
        <f>RTD("tos.rtd", , "LAST", Main_S[[#This Row],[Symbol]])</f>
        <v>16.7</v>
      </c>
      <c r="E34">
        <v>0.91</v>
      </c>
      <c r="F34">
        <v>13.25</v>
      </c>
      <c r="G34">
        <v>0.27</v>
      </c>
      <c r="H34" s="1">
        <f>IF(ISNUMBER(Main_S[[#This Row],[Free CF]]),IF(Main_S[[#This Row],[Free CF]]&lt;&gt;0,Main_S[[#This Row],[Current Price]]/Main_S[[#This Row],[Free CF]],""),"")</f>
        <v>18.35164835164835</v>
      </c>
      <c r="I34" s="1">
        <f>IF(ISNUMBER(Main_S[[#This Row],[BVPS]]),IF(Main_S[[#This Row],[BVPS]]&lt;&gt;0,Main_S[[#This Row],[Current Price]]/Main_S[[#This Row],[BVPS]],""),"")</f>
        <v>1.260377358490566</v>
      </c>
      <c r="J34">
        <v>4.1500000000000004</v>
      </c>
      <c r="K34">
        <v>3.1</v>
      </c>
      <c r="L34">
        <v>2.61</v>
      </c>
      <c r="M34" s="1">
        <f>IF(ISNUMBER(Main_S[[#This Row],[EPS]]),IF(Main_S[[#This Row],[EPS]]&lt;&gt;0,Main_S[[#This Row],[Current Price]]/Main_S[[#This Row],[EPS]],""),"")</f>
        <v>61.851851851851848</v>
      </c>
      <c r="N3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4" s="1">
        <f>(Main_S[[#This Row],[P/FCF]]-VLOOKUP(Main_S[[#This Row],[Industry]], Mean_PFCF_S, 2, FALSE))/(VLOOKUP(Main_S[[#This Row],[Industry]], Mean_PFCF_S, 3, FALSE))</f>
        <v>1.8997092586929849</v>
      </c>
      <c r="P34" s="1">
        <f>(Main_S[[#This Row],[P/B]]-VLOOKUP(Main_S[[#This Row],[Industry]], Mean_PB_S, 2, FALSE))/(VLOOKUP(Main_S[[#This Row],[Industry]], Mean_PB_S, 3, FALSE))</f>
        <v>-0.52372847577747794</v>
      </c>
      <c r="Q34" s="1">
        <f>(Main_S[[#This Row],[ROE]]-VLOOKUP(Main_S[[#This Row],[Industry]], Mean_ROE_S, 2, FALSE))/(VLOOKUP(Main_S[[#This Row],[Industry]], Mean_ROE_S, 3, FALSE))</f>
        <v>0.29019578517593331</v>
      </c>
      <c r="R34" s="1">
        <f>(Main_S[[#This Row],[ROA]]-VLOOKUP(Main_S[[#This Row],[Industry]], Mean_ROA_S, 2, FALSE))/(VLOOKUP(Main_S[[#This Row],[Industry]], Mean_ROA_S, 3, FALSE))</f>
        <v>-0.27153726361558778</v>
      </c>
      <c r="S34" s="1">
        <f>(Main_S[[#This Row],[A/E]]-VLOOKUP(Main_S[[#This Row],[Industry]], Mean_AE_S, 2, FALSE))/(VLOOKUP(Main_S[[#This Row],[Industry]], Mean_AE_S, 3, FALSE))</f>
        <v>0.28733664268101566</v>
      </c>
      <c r="T34" s="1">
        <f>(Main_S[[#This Row],[P/E]]-VLOOKUP(Main_S[[#This Row],[Industry]], Mean_PE_S, 2, FALSE))/(VLOOKUP(Main_S[[#This Row],[Industry]], Mean_PE_S, 3, FALSE))</f>
        <v>3.420459666556654</v>
      </c>
      <c r="U3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35" spans="1:26" x14ac:dyDescent="0.25">
      <c r="A35" s="68" t="s">
        <v>191</v>
      </c>
      <c r="B35" s="68" t="s">
        <v>500</v>
      </c>
      <c r="C35" s="2">
        <v>897</v>
      </c>
      <c r="D35">
        <f>RTD("tos.rtd", , "LAST", Main_S[[#This Row],[Symbol]])</f>
        <v>26.33</v>
      </c>
      <c r="E35">
        <v>-0.16</v>
      </c>
      <c r="F35">
        <v>8.11</v>
      </c>
      <c r="G35">
        <v>1.3</v>
      </c>
      <c r="H35" s="1">
        <f>IF(ISNUMBER(Main_S[[#This Row],[Free CF]]),IF(Main_S[[#This Row],[Free CF]]&lt;&gt;0,Main_S[[#This Row],[Current Price]]/Main_S[[#This Row],[Free CF]],""),"")</f>
        <v>-164.5625</v>
      </c>
      <c r="I35" s="1">
        <f>IF(ISNUMBER(Main_S[[#This Row],[BVPS]]),IF(Main_S[[#This Row],[BVPS]]&lt;&gt;0,Main_S[[#This Row],[Current Price]]/Main_S[[#This Row],[BVPS]],""),"")</f>
        <v>3.2466091245376081</v>
      </c>
      <c r="J35">
        <v>18.54</v>
      </c>
      <c r="K35">
        <v>3.09</v>
      </c>
      <c r="L35">
        <v>3.35</v>
      </c>
      <c r="M35" s="1">
        <f>IF(ISNUMBER(Main_S[[#This Row],[EPS]]),IF(Main_S[[#This Row],[EPS]]&lt;&gt;0,Main_S[[#This Row],[Current Price]]/Main_S[[#This Row],[EPS]],""),"")</f>
        <v>20.253846153846151</v>
      </c>
      <c r="N3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5" s="1">
        <f>(Main_S[[#This Row],[P/FCF]]-VLOOKUP(Main_S[[#This Row],[Industry]], Mean_PFCF_S, 2, FALSE))/(VLOOKUP(Main_S[[#This Row],[Industry]], Mean_PFCF_S, 3, FALSE))</f>
        <v>-40.71084811875744</v>
      </c>
      <c r="P35" s="1">
        <f>(Main_S[[#This Row],[P/B]]-VLOOKUP(Main_S[[#This Row],[Industry]], Mean_PB_S, 2, FALSE))/(VLOOKUP(Main_S[[#This Row],[Industry]], Mean_PB_S, 3, FALSE))</f>
        <v>2.1062167553881355</v>
      </c>
      <c r="Q35" s="1">
        <f>(Main_S[[#This Row],[ROE]]-VLOOKUP(Main_S[[#This Row],[Industry]], Mean_ROE_S, 2, FALSE))/(VLOOKUP(Main_S[[#This Row],[Industry]], Mean_ROE_S, 3, FALSE))</f>
        <v>1.2631710910931115</v>
      </c>
      <c r="R35" s="1">
        <f>(Main_S[[#This Row],[ROA]]-VLOOKUP(Main_S[[#This Row],[Industry]], Mean_ROA_S, 2, FALSE))/(VLOOKUP(Main_S[[#This Row],[Industry]], Mean_ROA_S, 3, FALSE))</f>
        <v>-0.2754375936675218</v>
      </c>
      <c r="S35" s="1">
        <f>(Main_S[[#This Row],[A/E]]-VLOOKUP(Main_S[[#This Row],[Industry]], Mean_AE_S, 2, FALSE))/(VLOOKUP(Main_S[[#This Row],[Industry]], Mean_AE_S, 3, FALSE))</f>
        <v>1.1358565874996023</v>
      </c>
      <c r="T35" s="1">
        <f>(Main_S[[#This Row],[P/E]]-VLOOKUP(Main_S[[#This Row],[Industry]], Mean_PE_S, 2, FALSE))/(VLOOKUP(Main_S[[#This Row],[Industry]], Mean_PE_S, 3, FALSE))</f>
        <v>0.67869174460553439</v>
      </c>
      <c r="U3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3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6" spans="1:26" x14ac:dyDescent="0.25">
      <c r="A36" s="68" t="s">
        <v>191</v>
      </c>
      <c r="B36" s="68" t="s">
        <v>501</v>
      </c>
      <c r="C36" s="2">
        <v>522</v>
      </c>
      <c r="D36">
        <f>RTD("tos.rtd", , "LAST", Main_S[[#This Row],[Symbol]])</f>
        <v>18.600000000000001</v>
      </c>
      <c r="E36">
        <v>-0.38</v>
      </c>
      <c r="F36">
        <v>13.01</v>
      </c>
      <c r="G36">
        <v>-2.2200000000000002</v>
      </c>
      <c r="H36" s="1">
        <f>IF(ISNUMBER(Main_S[[#This Row],[Free CF]]),IF(Main_S[[#This Row],[Free CF]]&lt;&gt;0,Main_S[[#This Row],[Current Price]]/Main_S[[#This Row],[Free CF]],""),"")</f>
        <v>-48.947368421052637</v>
      </c>
      <c r="I36" s="1">
        <f>IF(ISNUMBER(Main_S[[#This Row],[BVPS]]),IF(Main_S[[#This Row],[BVPS]]&lt;&gt;0,Main_S[[#This Row],[Current Price]]/Main_S[[#This Row],[BVPS]],""),"")</f>
        <v>1.4296694850115297</v>
      </c>
      <c r="J36">
        <v>-12.3</v>
      </c>
      <c r="K36">
        <v>-1.96</v>
      </c>
      <c r="L36">
        <v>2.2200000000000002</v>
      </c>
      <c r="M36" s="1">
        <f>IF(ISNUMBER(Main_S[[#This Row],[EPS]]),IF(Main_S[[#This Row],[EPS]]&lt;&gt;0,Main_S[[#This Row],[Current Price]]/Main_S[[#This Row],[EPS]],""),"")</f>
        <v>-8.378378378378379</v>
      </c>
      <c r="N3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6" s="1">
        <f>(Main_S[[#This Row],[P/FCF]]-VLOOKUP(Main_S[[#This Row],[Industry]], Mean_PFCF_S, 2, FALSE))/(VLOOKUP(Main_S[[#This Row],[Industry]], Mean_PFCF_S, 3, FALSE))</f>
        <v>-13.777856645756264</v>
      </c>
      <c r="P36" s="1">
        <f>(Main_S[[#This Row],[P/B]]-VLOOKUP(Main_S[[#This Row],[Industry]], Mean_PB_S, 2, FALSE))/(VLOOKUP(Main_S[[#This Row],[Industry]], Mean_PB_S, 3, FALSE))</f>
        <v>-0.29957083796878459</v>
      </c>
      <c r="Q36" s="1">
        <f>(Main_S[[#This Row],[ROE]]-VLOOKUP(Main_S[[#This Row],[Industry]], Mean_ROE_S, 2, FALSE))/(VLOOKUP(Main_S[[#This Row],[Industry]], Mean_ROE_S, 3, FALSE))</f>
        <v>-0.82206577023321081</v>
      </c>
      <c r="R36" s="1">
        <f>(Main_S[[#This Row],[ROA]]-VLOOKUP(Main_S[[#This Row],[Industry]], Mean_ROA_S, 2, FALSE))/(VLOOKUP(Main_S[[#This Row],[Industry]], Mean_ROA_S, 3, FALSE))</f>
        <v>-2.2451042698941355</v>
      </c>
      <c r="S36" s="1">
        <f>(Main_S[[#This Row],[A/E]]-VLOOKUP(Main_S[[#This Row],[Industry]], Mean_AE_S, 2, FALSE))/(VLOOKUP(Main_S[[#This Row],[Industry]], Mean_AE_S, 3, FALSE))</f>
        <v>-0.15985630120986061</v>
      </c>
      <c r="T36" s="1">
        <f>(Main_S[[#This Row],[P/E]]-VLOOKUP(Main_S[[#This Row],[Industry]], Mean_PE_S, 2, FALSE))/(VLOOKUP(Main_S[[#This Row],[Industry]], Mean_PE_S, 3, FALSE))</f>
        <v>-1.2084880237341467</v>
      </c>
      <c r="U3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3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7" spans="1:26" x14ac:dyDescent="0.25">
      <c r="A37" s="68" t="s">
        <v>191</v>
      </c>
      <c r="B37" s="68" t="s">
        <v>502</v>
      </c>
      <c r="C37" s="2">
        <v>572</v>
      </c>
      <c r="D37">
        <f>RTD("tos.rtd", , "LAST", Main_S[[#This Row],[Symbol]])</f>
        <v>7.65</v>
      </c>
      <c r="E37">
        <v>-0.61</v>
      </c>
      <c r="F37">
        <v>5.08</v>
      </c>
      <c r="G37">
        <v>-1.49</v>
      </c>
      <c r="H37" s="1">
        <f>IF(ISNUMBER(Main_S[[#This Row],[Free CF]]),IF(Main_S[[#This Row],[Free CF]]&lt;&gt;0,Main_S[[#This Row],[Current Price]]/Main_S[[#This Row],[Free CF]],""),"")</f>
        <v>-12.540983606557377</v>
      </c>
      <c r="I37" s="1">
        <f>IF(ISNUMBER(Main_S[[#This Row],[BVPS]]),IF(Main_S[[#This Row],[BVPS]]&lt;&gt;0,Main_S[[#This Row],[Current Price]]/Main_S[[#This Row],[BVPS]],""),"")</f>
        <v>1.5059055118110236</v>
      </c>
      <c r="J37">
        <v>-22.93</v>
      </c>
      <c r="K37">
        <v>1.37</v>
      </c>
      <c r="L37">
        <v>6.58</v>
      </c>
      <c r="M37" s="1">
        <f>IF(ISNUMBER(Main_S[[#This Row],[EPS]]),IF(Main_S[[#This Row],[EPS]]&lt;&gt;0,Main_S[[#This Row],[Current Price]]/Main_S[[#This Row],[EPS]],""),"")</f>
        <v>-5.1342281879194633</v>
      </c>
      <c r="N3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7" s="1">
        <f>(Main_S[[#This Row],[P/FCF]]-VLOOKUP(Main_S[[#This Row],[Industry]], Mean_PFCF_S, 2, FALSE))/(VLOOKUP(Main_S[[#This Row],[Industry]], Mean_PFCF_S, 3, FALSE))</f>
        <v>-5.2968486809636364</v>
      </c>
      <c r="P37" s="1">
        <f>(Main_S[[#This Row],[P/B]]-VLOOKUP(Main_S[[#This Row],[Industry]], Mean_PB_S, 2, FALSE))/(VLOOKUP(Main_S[[#This Row],[Industry]], Mean_PB_S, 3, FALSE))</f>
        <v>-0.1986276456627995</v>
      </c>
      <c r="Q37" s="1">
        <f>(Main_S[[#This Row],[ROE]]-VLOOKUP(Main_S[[#This Row],[Industry]], Mean_ROE_S, 2, FALSE))/(VLOOKUP(Main_S[[#This Row],[Industry]], Mean_ROE_S, 3, FALSE))</f>
        <v>-1.5408098634854419</v>
      </c>
      <c r="R37" s="1">
        <f>(Main_S[[#This Row],[ROA]]-VLOOKUP(Main_S[[#This Row],[Industry]], Mean_ROA_S, 2, FALSE))/(VLOOKUP(Main_S[[#This Row],[Industry]], Mean_ROA_S, 3, FALSE))</f>
        <v>-0.94629436260015054</v>
      </c>
      <c r="S37" s="1">
        <f>(Main_S[[#This Row],[A/E]]-VLOOKUP(Main_S[[#This Row],[Industry]], Mean_AE_S, 2, FALSE))/(VLOOKUP(Main_S[[#This Row],[Industry]], Mean_AE_S, 3, FALSE))</f>
        <v>4.8395314817753246</v>
      </c>
      <c r="T37" s="1">
        <f>(Main_S[[#This Row],[P/E]]-VLOOKUP(Main_S[[#This Row],[Industry]], Mean_PE_S, 2, FALSE))/(VLOOKUP(Main_S[[#This Row],[Industry]], Mean_PE_S, 3, FALSE))</f>
        <v>-0.99466270261741085</v>
      </c>
      <c r="U3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3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3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8" spans="1:26" x14ac:dyDescent="0.25">
      <c r="A38" s="68" t="s">
        <v>191</v>
      </c>
      <c r="B38" s="68" t="s">
        <v>503</v>
      </c>
      <c r="C38" s="2">
        <v>320</v>
      </c>
      <c r="D38">
        <f>RTD("tos.rtd", , "LAST", Main_S[[#This Row],[Symbol]])</f>
        <v>3.92</v>
      </c>
      <c r="E38">
        <v>1.1499999999999999</v>
      </c>
      <c r="F38">
        <v>6.73</v>
      </c>
      <c r="G38">
        <v>-1.1399999999999999</v>
      </c>
      <c r="H38" s="1">
        <f>IF(ISNUMBER(Main_S[[#This Row],[Free CF]]),IF(Main_S[[#This Row],[Free CF]]&lt;&gt;0,Main_S[[#This Row],[Current Price]]/Main_S[[#This Row],[Free CF]],""),"")</f>
        <v>3.4086956521739133</v>
      </c>
      <c r="I38" s="1">
        <f>IF(ISNUMBER(Main_S[[#This Row],[BVPS]]),IF(Main_S[[#This Row],[BVPS]]&lt;&gt;0,Main_S[[#This Row],[Current Price]]/Main_S[[#This Row],[BVPS]],""),"")</f>
        <v>0.58246656760772653</v>
      </c>
      <c r="J38">
        <v>-15.9</v>
      </c>
      <c r="K38">
        <v>3.35</v>
      </c>
      <c r="L38">
        <v>3.74</v>
      </c>
      <c r="M38" s="1">
        <f>IF(ISNUMBER(Main_S[[#This Row],[EPS]]),IF(Main_S[[#This Row],[EPS]]&lt;&gt;0,Main_S[[#This Row],[Current Price]]/Main_S[[#This Row],[EPS]],""),"")</f>
        <v>-3.4385964912280702</v>
      </c>
      <c r="N3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8" s="1">
        <f>(Main_S[[#This Row],[P/FCF]]-VLOOKUP(Main_S[[#This Row],[Industry]], Mean_PFCF_S, 2, FALSE))/(VLOOKUP(Main_S[[#This Row],[Industry]], Mean_PFCF_S, 3, FALSE))</f>
        <v>-1.5813092908693425</v>
      </c>
      <c r="P38" s="1">
        <f>(Main_S[[#This Row],[P/B]]-VLOOKUP(Main_S[[#This Row],[Industry]], Mean_PB_S, 2, FALSE))/(VLOOKUP(Main_S[[#This Row],[Industry]], Mean_PB_S, 3, FALSE))</f>
        <v>-1.4213418772518993</v>
      </c>
      <c r="Q38" s="1">
        <f>(Main_S[[#This Row],[ROE]]-VLOOKUP(Main_S[[#This Row],[Industry]], Mean_ROE_S, 2, FALSE))/(VLOOKUP(Main_S[[#This Row],[Industry]], Mean_ROE_S, 3, FALSE))</f>
        <v>-1.0654786334230539</v>
      </c>
      <c r="R38" s="1">
        <f>(Main_S[[#This Row],[ROA]]-VLOOKUP(Main_S[[#This Row],[Industry]], Mean_ROA_S, 2, FALSE))/(VLOOKUP(Main_S[[#This Row],[Industry]], Mean_ROA_S, 3, FALSE))</f>
        <v>-0.17402901231724058</v>
      </c>
      <c r="S38" s="1">
        <f>(Main_S[[#This Row],[A/E]]-VLOOKUP(Main_S[[#This Row],[Industry]], Mean_AE_S, 2, FALSE))/(VLOOKUP(Main_S[[#This Row],[Industry]], Mean_AE_S, 3, FALSE))</f>
        <v>1.5830495313904791</v>
      </c>
      <c r="T38" s="1">
        <f>(Main_S[[#This Row],[P/E]]-VLOOKUP(Main_S[[#This Row],[Industry]], Mean_PE_S, 2, FALSE))/(VLOOKUP(Main_S[[#This Row],[Industry]], Mean_PE_S, 3, FALSE))</f>
        <v>-0.88290184977309061</v>
      </c>
      <c r="U3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9" spans="1:26" x14ac:dyDescent="0.25">
      <c r="A39" s="68" t="s">
        <v>191</v>
      </c>
      <c r="B39" s="68" t="s">
        <v>504</v>
      </c>
      <c r="C39" s="2">
        <v>319</v>
      </c>
      <c r="D39">
        <f>RTD("tos.rtd", , "LAST", Main_S[[#This Row],[Symbol]])</f>
        <v>25.78</v>
      </c>
      <c r="E39">
        <v>1.75</v>
      </c>
      <c r="F39">
        <v>11.86</v>
      </c>
      <c r="G39">
        <v>1.35</v>
      </c>
      <c r="H39" s="1">
        <f>IF(ISNUMBER(Main_S[[#This Row],[Free CF]]),IF(Main_S[[#This Row],[Free CF]]&lt;&gt;0,Main_S[[#This Row],[Current Price]]/Main_S[[#This Row],[Free CF]],""),"")</f>
        <v>14.731428571428571</v>
      </c>
      <c r="I39" s="1">
        <f>IF(ISNUMBER(Main_S[[#This Row],[BVPS]]),IF(Main_S[[#This Row],[BVPS]]&lt;&gt;0,Main_S[[#This Row],[Current Price]]/Main_S[[#This Row],[BVPS]],""),"")</f>
        <v>2.173693086003373</v>
      </c>
      <c r="J39">
        <v>10.53</v>
      </c>
      <c r="K39">
        <v>6.07</v>
      </c>
      <c r="L39">
        <v>1.1200000000000001</v>
      </c>
      <c r="M39" s="1">
        <f>IF(ISNUMBER(Main_S[[#This Row],[EPS]]),IF(Main_S[[#This Row],[EPS]]&lt;&gt;0,Main_S[[#This Row],[Current Price]]/Main_S[[#This Row],[EPS]],""),"")</f>
        <v>19.096296296296295</v>
      </c>
      <c r="N3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9" s="1">
        <f>(Main_S[[#This Row],[P/FCF]]-VLOOKUP(Main_S[[#This Row],[Industry]], Mean_PFCF_S, 2, FALSE))/(VLOOKUP(Main_S[[#This Row],[Industry]], Mean_PFCF_S, 3, FALSE))</f>
        <v>1.0563650775338802</v>
      </c>
      <c r="P39" s="1">
        <f>(Main_S[[#This Row],[P/B]]-VLOOKUP(Main_S[[#This Row],[Industry]], Mean_PB_S, 2, FALSE))/(VLOOKUP(Main_S[[#This Row],[Industry]], Mean_PB_S, 3, FALSE))</f>
        <v>0.68558172818789909</v>
      </c>
      <c r="Q39" s="1">
        <f>(Main_S[[#This Row],[ROE]]-VLOOKUP(Main_S[[#This Row],[Industry]], Mean_ROE_S, 2, FALSE))/(VLOOKUP(Main_S[[#This Row],[Industry]], Mean_ROE_S, 3, FALSE))</f>
        <v>0.72157747049571075</v>
      </c>
      <c r="R39" s="1">
        <f>(Main_S[[#This Row],[ROA]]-VLOOKUP(Main_S[[#This Row],[Industry]], Mean_ROA_S, 2, FALSE))/(VLOOKUP(Main_S[[#This Row],[Industry]], Mean_ROA_S, 3, FALSE))</f>
        <v>0.88686076180877715</v>
      </c>
      <c r="S39" s="1">
        <f>(Main_S[[#This Row],[A/E]]-VLOOKUP(Main_S[[#This Row],[Industry]], Mean_AE_S, 2, FALSE))/(VLOOKUP(Main_S[[#This Row],[Industry]], Mean_AE_S, 3, FALSE))</f>
        <v>-1.4211697326969488</v>
      </c>
      <c r="T39" s="1">
        <f>(Main_S[[#This Row],[P/E]]-VLOOKUP(Main_S[[#This Row],[Industry]], Mean_PE_S, 2, FALSE))/(VLOOKUP(Main_S[[#This Row],[Industry]], Mean_PE_S, 3, FALSE))</f>
        <v>0.60239642673548943</v>
      </c>
      <c r="U3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0" spans="1:26" x14ac:dyDescent="0.25">
      <c r="A40" s="68" t="s">
        <v>191</v>
      </c>
      <c r="B40" s="68" t="s">
        <v>505</v>
      </c>
      <c r="C40" s="2">
        <v>1085</v>
      </c>
      <c r="D40">
        <f>RTD("tos.rtd", , "LAST", Main_S[[#This Row],[Symbol]])</f>
        <v>17.829999999999998</v>
      </c>
      <c r="E40">
        <v>1.82</v>
      </c>
      <c r="F40">
        <v>18.510000000000002</v>
      </c>
      <c r="G40">
        <v>0.43</v>
      </c>
      <c r="H40" s="1">
        <f>IF(ISNUMBER(Main_S[[#This Row],[Free CF]]),IF(Main_S[[#This Row],[Free CF]]&lt;&gt;0,Main_S[[#This Row],[Current Price]]/Main_S[[#This Row],[Free CF]],""),"")</f>
        <v>9.7967032967032956</v>
      </c>
      <c r="I40" s="1">
        <f>IF(ISNUMBER(Main_S[[#This Row],[BVPS]]),IF(Main_S[[#This Row],[BVPS]]&lt;&gt;0,Main_S[[#This Row],[Current Price]]/Main_S[[#This Row],[BVPS]],""),"")</f>
        <v>0.96326310102647206</v>
      </c>
      <c r="J40">
        <v>2.41</v>
      </c>
      <c r="K40">
        <v>1.48</v>
      </c>
      <c r="L40">
        <v>3.11</v>
      </c>
      <c r="M40" s="1">
        <f>IF(ISNUMBER(Main_S[[#This Row],[EPS]]),IF(Main_S[[#This Row],[EPS]]&lt;&gt;0,Main_S[[#This Row],[Current Price]]/Main_S[[#This Row],[EPS]],""),"")</f>
        <v>41.465116279069761</v>
      </c>
      <c r="N4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0" s="1">
        <f>(Main_S[[#This Row],[P/FCF]]-VLOOKUP(Main_S[[#This Row],[Industry]], Mean_PFCF_S, 2, FALSE))/(VLOOKUP(Main_S[[#This Row],[Industry]], Mean_PFCF_S, 3, FALSE))</f>
        <v>-9.319823594143474E-2</v>
      </c>
      <c r="P40" s="1">
        <f>(Main_S[[#This Row],[P/B]]-VLOOKUP(Main_S[[#This Row],[Industry]], Mean_PB_S, 2, FALSE))/(VLOOKUP(Main_S[[#This Row],[Industry]], Mean_PB_S, 3, FALSE))</f>
        <v>-0.91713383656481484</v>
      </c>
      <c r="Q40" s="1">
        <f>(Main_S[[#This Row],[ROE]]-VLOOKUP(Main_S[[#This Row],[Industry]], Mean_ROE_S, 2, FALSE))/(VLOOKUP(Main_S[[#This Row],[Industry]], Mean_ROE_S, 3, FALSE))</f>
        <v>0.17254623463417582</v>
      </c>
      <c r="R40" s="1">
        <f>(Main_S[[#This Row],[ROA]]-VLOOKUP(Main_S[[#This Row],[Industry]], Mean_ROA_S, 2, FALSE))/(VLOOKUP(Main_S[[#This Row],[Industry]], Mean_ROA_S, 3, FALSE))</f>
        <v>-0.90339073202887776</v>
      </c>
      <c r="S40" s="1">
        <f>(Main_S[[#This Row],[A/E]]-VLOOKUP(Main_S[[#This Row],[Industry]], Mean_AE_S, 2, FALSE))/(VLOOKUP(Main_S[[#This Row],[Industry]], Mean_AE_S, 3, FALSE))</f>
        <v>0.86066092972060115</v>
      </c>
      <c r="T40" s="1">
        <f>(Main_S[[#This Row],[P/E]]-VLOOKUP(Main_S[[#This Row],[Industry]], Mean_PE_S, 2, FALSE))/(VLOOKUP(Main_S[[#This Row],[Industry]], Mean_PE_S, 3, FALSE))</f>
        <v>2.0767486715501442</v>
      </c>
      <c r="U4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1" spans="1:26" x14ac:dyDescent="0.25">
      <c r="A41" s="68" t="s">
        <v>191</v>
      </c>
      <c r="B41" s="68" t="s">
        <v>506</v>
      </c>
      <c r="C41" s="2">
        <v>443</v>
      </c>
      <c r="D41">
        <f>RTD("tos.rtd", , "LAST", Main_S[[#This Row],[Symbol]])</f>
        <v>7.52</v>
      </c>
      <c r="E41">
        <v>0.49</v>
      </c>
      <c r="F41">
        <v>8.1300000000000008</v>
      </c>
      <c r="G41">
        <v>1.38</v>
      </c>
      <c r="H41" s="1">
        <f>IF(ISNUMBER(Main_S[[#This Row],[Free CF]]),IF(Main_S[[#This Row],[Free CF]]&lt;&gt;0,Main_S[[#This Row],[Current Price]]/Main_S[[#This Row],[Free CF]],""),"")</f>
        <v>15.346938775510203</v>
      </c>
      <c r="I41" s="1">
        <f>IF(ISNUMBER(Main_S[[#This Row],[BVPS]]),IF(Main_S[[#This Row],[BVPS]]&lt;&gt;0,Main_S[[#This Row],[Current Price]]/Main_S[[#This Row],[BVPS]],""),"")</f>
        <v>0.92496924969249683</v>
      </c>
      <c r="J41">
        <v>17.149999999999999</v>
      </c>
      <c r="K41">
        <v>2.04</v>
      </c>
      <c r="L41">
        <v>1.46</v>
      </c>
      <c r="M41" s="1">
        <f>IF(ISNUMBER(Main_S[[#This Row],[EPS]]),IF(Main_S[[#This Row],[EPS]]&lt;&gt;0,Main_S[[#This Row],[Current Price]]/Main_S[[#This Row],[EPS]],""),"")</f>
        <v>5.4492753623188408</v>
      </c>
      <c r="N4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1" s="1">
        <f>(Main_S[[#This Row],[P/FCF]]-VLOOKUP(Main_S[[#This Row],[Industry]], Mean_PFCF_S, 2, FALSE))/(VLOOKUP(Main_S[[#This Row],[Industry]], Mean_PFCF_S, 3, FALSE))</f>
        <v>1.199750557026726</v>
      </c>
      <c r="P41" s="1">
        <f>(Main_S[[#This Row],[P/B]]-VLOOKUP(Main_S[[#This Row],[Industry]], Mean_PB_S, 2, FALSE))/(VLOOKUP(Main_S[[#This Row],[Industry]], Mean_PB_S, 3, FALSE))</f>
        <v>-0.96783825757968234</v>
      </c>
      <c r="Q41" s="1">
        <f>(Main_S[[#This Row],[ROE]]-VLOOKUP(Main_S[[#This Row],[Industry]], Mean_ROE_S, 2, FALSE))/(VLOOKUP(Main_S[[#This Row],[Industry]], Mean_ROE_S, 3, FALSE))</f>
        <v>1.1691866800281443</v>
      </c>
      <c r="R41" s="1">
        <f>(Main_S[[#This Row],[ROA]]-VLOOKUP(Main_S[[#This Row],[Industry]], Mean_ROA_S, 2, FALSE))/(VLOOKUP(Main_S[[#This Row],[Industry]], Mean_ROA_S, 3, FALSE))</f>
        <v>-0.68497224912057997</v>
      </c>
      <c r="S41" s="1">
        <f>(Main_S[[#This Row],[A/E]]-VLOOKUP(Main_S[[#This Row],[Industry]], Mean_AE_S, 2, FALSE))/(VLOOKUP(Main_S[[#This Row],[Industry]], Mean_AE_S, 3, FALSE))</f>
        <v>-1.0313092175100307</v>
      </c>
      <c r="T41" s="1">
        <f>(Main_S[[#This Row],[P/E]]-VLOOKUP(Main_S[[#This Row],[Industry]], Mean_PE_S, 2, FALSE))/(VLOOKUP(Main_S[[#This Row],[Industry]], Mean_PE_S, 3, FALSE))</f>
        <v>-0.2970929501979977</v>
      </c>
      <c r="U4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2" spans="1:26" x14ac:dyDescent="0.25">
      <c r="A42" s="68" t="s">
        <v>191</v>
      </c>
      <c r="B42" s="68" t="s">
        <v>507</v>
      </c>
      <c r="C42" s="2">
        <v>1638</v>
      </c>
      <c r="D42">
        <f>RTD("tos.rtd", , "LAST", Main_S[[#This Row],[Symbol]])</f>
        <v>9.56</v>
      </c>
      <c r="E42">
        <v>0.87</v>
      </c>
      <c r="F42">
        <v>-3.17</v>
      </c>
      <c r="G42">
        <v>0.56000000000000005</v>
      </c>
      <c r="H42" s="1">
        <f>IF(ISNUMBER(Main_S[[#This Row],[Free CF]]),IF(Main_S[[#This Row],[Free CF]]&lt;&gt;0,Main_S[[#This Row],[Current Price]]/Main_S[[#This Row],[Free CF]],""),"")</f>
        <v>10.988505747126437</v>
      </c>
      <c r="I42" s="1">
        <f>IF(ISNUMBER(Main_S[[#This Row],[BVPS]]),IF(Main_S[[#This Row],[BVPS]]&lt;&gt;0,Main_S[[#This Row],[Current Price]]/Main_S[[#This Row],[BVPS]],""),"")</f>
        <v>-3.0157728706624609</v>
      </c>
      <c r="J42">
        <v>-21.65</v>
      </c>
      <c r="K42">
        <v>3.64</v>
      </c>
      <c r="L42">
        <v>-5.87</v>
      </c>
      <c r="M42" s="1">
        <f>IF(ISNUMBER(Main_S[[#This Row],[EPS]]),IF(Main_S[[#This Row],[EPS]]&lt;&gt;0,Main_S[[#This Row],[Current Price]]/Main_S[[#This Row],[EPS]],""),"")</f>
        <v>17.071428571428569</v>
      </c>
      <c r="N4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2" s="1">
        <f>(Main_S[[#This Row],[P/FCF]]-VLOOKUP(Main_S[[#This Row],[Industry]], Mean_PFCF_S, 2, FALSE))/(VLOOKUP(Main_S[[#This Row],[Industry]], Mean_PFCF_S, 3, FALSE))</f>
        <v>0.18443674830653831</v>
      </c>
      <c r="P42" s="1">
        <f>(Main_S[[#This Row],[P/B]]-VLOOKUP(Main_S[[#This Row],[Industry]], Mean_PB_S, 2, FALSE))/(VLOOKUP(Main_S[[#This Row],[Industry]], Mean_PB_S, 3, FALSE))</f>
        <v>-6.1857267859194947</v>
      </c>
      <c r="Q42" s="1">
        <f>(Main_S[[#This Row],[ROE]]-VLOOKUP(Main_S[[#This Row],[Industry]], Mean_ROE_S, 2, FALSE))/(VLOOKUP(Main_S[[#This Row],[Industry]], Mean_ROE_S, 3, FALSE))</f>
        <v>-1.4542630676846087</v>
      </c>
      <c r="R42" s="1">
        <f>(Main_S[[#This Row],[ROA]]-VLOOKUP(Main_S[[#This Row],[Industry]], Mean_ROA_S, 2, FALSE))/(VLOOKUP(Main_S[[#This Row],[Industry]], Mean_ROA_S, 3, FALSE))</f>
        <v>-6.0919440811157799E-2</v>
      </c>
      <c r="S42" s="1">
        <f>(Main_S[[#This Row],[A/E]]-VLOOKUP(Main_S[[#This Row],[Industry]], Mean_AE_S, 2, FALSE))/(VLOOKUP(Main_S[[#This Row],[Industry]], Mean_AE_S, 3, FALSE))</f>
        <v>-9.4362432655103543</v>
      </c>
      <c r="T42" s="1">
        <f>(Main_S[[#This Row],[P/E]]-VLOOKUP(Main_S[[#This Row],[Industry]], Mean_PE_S, 2, FALSE))/(VLOOKUP(Main_S[[#This Row],[Industry]], Mean_PE_S, 3, FALSE))</f>
        <v>0.46893528404175122</v>
      </c>
      <c r="U4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4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4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3" spans="1:26" x14ac:dyDescent="0.25">
      <c r="A43" s="68" t="s">
        <v>191</v>
      </c>
      <c r="B43" s="68" t="s">
        <v>508</v>
      </c>
      <c r="C43" s="2">
        <v>1136</v>
      </c>
      <c r="D43">
        <f>RTD("tos.rtd", , "LAST", Main_S[[#This Row],[Symbol]])</f>
        <v>10.71</v>
      </c>
      <c r="E43">
        <v>0.89</v>
      </c>
      <c r="F43">
        <v>8.3699999999999992</v>
      </c>
      <c r="G43">
        <v>1.02</v>
      </c>
      <c r="H43" s="1">
        <f>IF(ISNUMBER(Main_S[[#This Row],[Free CF]]),IF(Main_S[[#This Row],[Free CF]]&lt;&gt;0,Main_S[[#This Row],[Current Price]]/Main_S[[#This Row],[Free CF]],""),"")</f>
        <v>12.033707865168541</v>
      </c>
      <c r="I43" s="1">
        <f>IF(ISNUMBER(Main_S[[#This Row],[BVPS]]),IF(Main_S[[#This Row],[BVPS]]&lt;&gt;0,Main_S[[#This Row],[Current Price]]/Main_S[[#This Row],[BVPS]],""),"")</f>
        <v>1.2795698924731185</v>
      </c>
      <c r="J43">
        <v>13.13</v>
      </c>
      <c r="K43">
        <v>3.07</v>
      </c>
      <c r="L43">
        <v>2.4500000000000002</v>
      </c>
      <c r="M43" s="1">
        <f>IF(ISNUMBER(Main_S[[#This Row],[EPS]]),IF(Main_S[[#This Row],[EPS]]&lt;&gt;0,Main_S[[#This Row],[Current Price]]/Main_S[[#This Row],[EPS]],""),"")</f>
        <v>10.5</v>
      </c>
      <c r="N4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3" s="1">
        <f>(Main_S[[#This Row],[P/FCF]]-VLOOKUP(Main_S[[#This Row],[Industry]], Mean_PFCF_S, 2, FALSE))/(VLOOKUP(Main_S[[#This Row],[Industry]], Mean_PFCF_S, 3, FALSE))</f>
        <v>0.42792061887211685</v>
      </c>
      <c r="P43" s="1">
        <f>(Main_S[[#This Row],[P/B]]-VLOOKUP(Main_S[[#This Row],[Industry]], Mean_PB_S, 2, FALSE))/(VLOOKUP(Main_S[[#This Row],[Industry]], Mean_PB_S, 3, FALSE))</f>
        <v>-0.49831587585624471</v>
      </c>
      <c r="Q43" s="1">
        <f>(Main_S[[#This Row],[ROE]]-VLOOKUP(Main_S[[#This Row],[Industry]], Mean_ROE_S, 2, FALSE))/(VLOOKUP(Main_S[[#This Row],[Industry]], Mean_ROE_S, 3, FALSE))</f>
        <v>0.897375649466153</v>
      </c>
      <c r="R43" s="1">
        <f>(Main_S[[#This Row],[ROA]]-VLOOKUP(Main_S[[#This Row],[Industry]], Mean_ROA_S, 2, FALSE))/(VLOOKUP(Main_S[[#This Row],[Industry]], Mean_ROA_S, 3, FALSE))</f>
        <v>-0.28323825377138956</v>
      </c>
      <c r="S43" s="1">
        <f>(Main_S[[#This Row],[A/E]]-VLOOKUP(Main_S[[#This Row],[Industry]], Mean_AE_S, 2, FALSE))/(VLOOKUP(Main_S[[#This Row],[Industry]], Mean_AE_S, 3, FALSE))</f>
        <v>0.10387287082834866</v>
      </c>
      <c r="T43" s="1">
        <f>(Main_S[[#This Row],[P/E]]-VLOOKUP(Main_S[[#This Row],[Industry]], Mean_PE_S, 2, FALSE))/(VLOOKUP(Main_S[[#This Row],[Industry]], Mean_PE_S, 3, FALSE))</f>
        <v>3.580557610962995E-2</v>
      </c>
      <c r="U4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4" spans="1:26" x14ac:dyDescent="0.25">
      <c r="A44" s="68" t="s">
        <v>191</v>
      </c>
      <c r="B44" s="68" t="s">
        <v>509</v>
      </c>
      <c r="C44" s="2">
        <v>1164</v>
      </c>
      <c r="D44">
        <f>RTD("tos.rtd", , "LAST", Main_S[[#This Row],[Symbol]])</f>
        <v>21.01</v>
      </c>
      <c r="E44">
        <v>1.89</v>
      </c>
      <c r="F44">
        <v>8.7799999999999994</v>
      </c>
      <c r="G44">
        <v>1.46</v>
      </c>
      <c r="H44" s="1">
        <f>IF(ISNUMBER(Main_S[[#This Row],[Free CF]]),IF(Main_S[[#This Row],[Free CF]]&lt;&gt;0,Main_S[[#This Row],[Current Price]]/Main_S[[#This Row],[Free CF]],""),"")</f>
        <v>11.116402116402117</v>
      </c>
      <c r="I44" s="1">
        <f>IF(ISNUMBER(Main_S[[#This Row],[BVPS]]),IF(Main_S[[#This Row],[BVPS]]&lt;&gt;0,Main_S[[#This Row],[Current Price]]/Main_S[[#This Row],[BVPS]],""),"")</f>
        <v>2.3929384965831439</v>
      </c>
      <c r="J44">
        <v>18.22</v>
      </c>
      <c r="K44">
        <v>6.97</v>
      </c>
      <c r="L44">
        <v>2.3199999999999998</v>
      </c>
      <c r="M44" s="1">
        <f>IF(ISNUMBER(Main_S[[#This Row],[EPS]]),IF(Main_S[[#This Row],[EPS]]&lt;&gt;0,Main_S[[#This Row],[Current Price]]/Main_S[[#This Row],[EPS]],""),"")</f>
        <v>14.390410958904111</v>
      </c>
      <c r="N4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4" s="1">
        <f>(Main_S[[#This Row],[P/FCF]]-VLOOKUP(Main_S[[#This Row],[Industry]], Mean_PFCF_S, 2, FALSE))/(VLOOKUP(Main_S[[#This Row],[Industry]], Mean_PFCF_S, 3, FALSE))</f>
        <v>0.21423070153814922</v>
      </c>
      <c r="P44" s="1">
        <f>(Main_S[[#This Row],[P/B]]-VLOOKUP(Main_S[[#This Row],[Industry]], Mean_PB_S, 2, FALSE))/(VLOOKUP(Main_S[[#This Row],[Industry]], Mean_PB_S, 3, FALSE))</f>
        <v>0.9758818995303199</v>
      </c>
      <c r="Q44" s="1">
        <f>(Main_S[[#This Row],[ROE]]-VLOOKUP(Main_S[[#This Row],[Industry]], Mean_ROE_S, 2, FALSE))/(VLOOKUP(Main_S[[#This Row],[Industry]], Mean_ROE_S, 3, FALSE))</f>
        <v>1.2415343921429032</v>
      </c>
      <c r="R44" s="1">
        <f>(Main_S[[#This Row],[ROA]]-VLOOKUP(Main_S[[#This Row],[Industry]], Mean_ROA_S, 2, FALSE))/(VLOOKUP(Main_S[[#This Row],[Industry]], Mean_ROA_S, 3, FALSE))</f>
        <v>1.237890466482827</v>
      </c>
      <c r="S44" s="1">
        <f>(Main_S[[#This Row],[A/E]]-VLOOKUP(Main_S[[#This Row],[Industry]], Mean_AE_S, 2, FALSE))/(VLOOKUP(Main_S[[#This Row],[Industry]], Mean_AE_S, 3, FALSE))</f>
        <v>-4.519144380194394E-2</v>
      </c>
      <c r="T44" s="1">
        <f>(Main_S[[#This Row],[P/E]]-VLOOKUP(Main_S[[#This Row],[Industry]], Mean_PE_S, 2, FALSE))/(VLOOKUP(Main_S[[#This Row],[Industry]], Mean_PE_S, 3, FALSE))</f>
        <v>0.29222661820881329</v>
      </c>
      <c r="U4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5" spans="1:26" x14ac:dyDescent="0.25">
      <c r="A45" s="68" t="s">
        <v>191</v>
      </c>
      <c r="B45" s="68" t="s">
        <v>579</v>
      </c>
      <c r="C45" s="2">
        <v>414</v>
      </c>
      <c r="D45">
        <f>RTD("tos.rtd", , "LAST", Main_S[[#This Row],[Symbol]])</f>
        <v>6.673349</v>
      </c>
      <c r="E45">
        <v>0.02</v>
      </c>
      <c r="F45">
        <v>3.69</v>
      </c>
      <c r="G45">
        <v>0.35</v>
      </c>
      <c r="H45" s="1">
        <f>IF(ISNUMBER(Main_S[[#This Row],[Free CF]]),IF(Main_S[[#This Row],[Free CF]]&lt;&gt;0,Main_S[[#This Row],[Current Price]]/Main_S[[#This Row],[Free CF]],""),"")</f>
        <v>333.66744999999997</v>
      </c>
      <c r="I45" s="1">
        <f>IF(ISNUMBER(Main_S[[#This Row],[BVPS]]),IF(Main_S[[#This Row],[BVPS]]&lt;&gt;0,Main_S[[#This Row],[Current Price]]/Main_S[[#This Row],[BVPS]],""),"")</f>
        <v>1.8084956639566396</v>
      </c>
      <c r="J45">
        <v>8.7899999999999991</v>
      </c>
      <c r="K45">
        <v>5.26</v>
      </c>
      <c r="L45">
        <v>2.3199999999999998</v>
      </c>
      <c r="M45" s="1">
        <f>IF(ISNUMBER(Main_S[[#This Row],[EPS]]),IF(Main_S[[#This Row],[EPS]]&lt;&gt;0,Main_S[[#This Row],[Current Price]]/Main_S[[#This Row],[EPS]],""),"")</f>
        <v>19.066711428571431</v>
      </c>
      <c r="N4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5" s="1">
        <f>(Main_S[[#This Row],[P/FCF]]-VLOOKUP(Main_S[[#This Row],[Industry]], Mean_PFCF_S, 2, FALSE))/(VLOOKUP(Main_S[[#This Row],[Industry]], Mean_PFCF_S, 3, FALSE))</f>
        <v>75.353743182432311</v>
      </c>
      <c r="P45" s="1">
        <f>(Main_S[[#This Row],[P/B]]-VLOOKUP(Main_S[[#This Row],[Industry]], Mean_PB_S, 2, FALSE))/(VLOOKUP(Main_S[[#This Row],[Industry]], Mean_PB_S, 3, FALSE))</f>
        <v>0.20202828041616769</v>
      </c>
      <c r="Q45" s="1">
        <f>(Main_S[[#This Row],[ROE]]-VLOOKUP(Main_S[[#This Row],[Industry]], Mean_ROE_S, 2, FALSE))/(VLOOKUP(Main_S[[#This Row],[Industry]], Mean_ROE_S, 3, FALSE))</f>
        <v>0.60392791995395323</v>
      </c>
      <c r="R45" s="1">
        <f>(Main_S[[#This Row],[ROA]]-VLOOKUP(Main_S[[#This Row],[Industry]], Mean_ROA_S, 2, FALSE))/(VLOOKUP(Main_S[[#This Row],[Industry]], Mean_ROA_S, 3, FALSE))</f>
        <v>0.57093402760213197</v>
      </c>
      <c r="S45" s="1">
        <f>(Main_S[[#This Row],[A/E]]-VLOOKUP(Main_S[[#This Row],[Industry]], Mean_AE_S, 2, FALSE))/(VLOOKUP(Main_S[[#This Row],[Industry]], Mean_AE_S, 3, FALSE))</f>
        <v>-4.519144380194394E-2</v>
      </c>
      <c r="T45" s="1">
        <f>(Main_S[[#This Row],[P/E]]-VLOOKUP(Main_S[[#This Row],[Industry]], Mean_PE_S, 2, FALSE))/(VLOOKUP(Main_S[[#This Row],[Industry]], Mean_PE_S, 3, FALSE))</f>
        <v>0.60044645726118151</v>
      </c>
      <c r="U4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4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6" spans="1:26" x14ac:dyDescent="0.25">
      <c r="A46" s="68" t="s">
        <v>191</v>
      </c>
      <c r="B46" s="68" t="s">
        <v>510</v>
      </c>
      <c r="C46" s="2">
        <v>260</v>
      </c>
      <c r="D46">
        <f>RTD("tos.rtd", , "LAST", Main_S[[#This Row],[Symbol]])</f>
        <v>20.79</v>
      </c>
      <c r="E46">
        <v>3.09</v>
      </c>
      <c r="F46">
        <v>16.3</v>
      </c>
      <c r="G46">
        <v>-1.55</v>
      </c>
      <c r="H46" s="1">
        <f>IF(ISNUMBER(Main_S[[#This Row],[Free CF]]),IF(Main_S[[#This Row],[Free CF]]&lt;&gt;0,Main_S[[#This Row],[Current Price]]/Main_S[[#This Row],[Free CF]],""),"")</f>
        <v>6.7281553398058254</v>
      </c>
      <c r="I46" s="1">
        <f>IF(ISNUMBER(Main_S[[#This Row],[BVPS]]),IF(Main_S[[#This Row],[BVPS]]&lt;&gt;0,Main_S[[#This Row],[Current Price]]/Main_S[[#This Row],[BVPS]],""),"")</f>
        <v>1.2754601226993865</v>
      </c>
      <c r="J46">
        <v>-8.86</v>
      </c>
      <c r="K46">
        <v>0.2</v>
      </c>
      <c r="L46">
        <v>1.92</v>
      </c>
      <c r="M46" s="1">
        <f>IF(ISNUMBER(Main_S[[#This Row],[EPS]]),IF(Main_S[[#This Row],[EPS]]&lt;&gt;0,Main_S[[#This Row],[Current Price]]/Main_S[[#This Row],[EPS]],""),"")</f>
        <v>-13.412903225806451</v>
      </c>
      <c r="N4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6" s="1">
        <f>(Main_S[[#This Row],[P/FCF]]-VLOOKUP(Main_S[[#This Row],[Industry]], Mean_PFCF_S, 2, FALSE))/(VLOOKUP(Main_S[[#This Row],[Industry]], Mean_PFCF_S, 3, FALSE))</f>
        <v>-0.80802833498587345</v>
      </c>
      <c r="P46" s="1">
        <f>(Main_S[[#This Row],[P/B]]-VLOOKUP(Main_S[[#This Row],[Industry]], Mean_PB_S, 2, FALSE))/(VLOOKUP(Main_S[[#This Row],[Industry]], Mean_PB_S, 3, FALSE))</f>
        <v>-0.50375757183673231</v>
      </c>
      <c r="Q46" s="1">
        <f>(Main_S[[#This Row],[ROE]]-VLOOKUP(Main_S[[#This Row],[Industry]], Mean_ROE_S, 2, FALSE))/(VLOOKUP(Main_S[[#This Row],[Industry]], Mean_ROE_S, 3, FALSE))</f>
        <v>-0.58947125651847188</v>
      </c>
      <c r="R46" s="1">
        <f>(Main_S[[#This Row],[ROA]]-VLOOKUP(Main_S[[#This Row],[Industry]], Mean_ROA_S, 2, FALSE))/(VLOOKUP(Main_S[[#This Row],[Industry]], Mean_ROA_S, 3, FALSE))</f>
        <v>-1.4026329786764156</v>
      </c>
      <c r="S46" s="1">
        <f>(Main_S[[#This Row],[A/E]]-VLOOKUP(Main_S[[#This Row],[Industry]], Mean_AE_S, 2, FALSE))/(VLOOKUP(Main_S[[#This Row],[Industry]], Mean_AE_S, 3, FALSE))</f>
        <v>-0.50385087343361223</v>
      </c>
      <c r="T46" s="1">
        <f>(Main_S[[#This Row],[P/E]]-VLOOKUP(Main_S[[#This Row],[Industry]], Mean_PE_S, 2, FALSE))/(VLOOKUP(Main_S[[#This Row],[Industry]], Mean_PE_S, 3, FALSE))</f>
        <v>-1.5403188049777272</v>
      </c>
      <c r="U4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7" spans="1:26" x14ac:dyDescent="0.25">
      <c r="A47" s="68" t="s">
        <v>191</v>
      </c>
      <c r="B47" s="68" t="s">
        <v>511</v>
      </c>
      <c r="C47" s="2">
        <v>1044</v>
      </c>
      <c r="D47">
        <f>RTD("tos.rtd", , "LAST", Main_S[[#This Row],[Symbol]])</f>
        <v>14.52</v>
      </c>
      <c r="E47">
        <v>1.06</v>
      </c>
      <c r="F47">
        <v>7.05</v>
      </c>
      <c r="G47">
        <v>0.55000000000000004</v>
      </c>
      <c r="H47" s="1">
        <f>IF(ISNUMBER(Main_S[[#This Row],[Free CF]]),IF(Main_S[[#This Row],[Free CF]]&lt;&gt;0,Main_S[[#This Row],[Current Price]]/Main_S[[#This Row],[Free CF]],""),"")</f>
        <v>13.698113207547168</v>
      </c>
      <c r="I47" s="1">
        <f>IF(ISNUMBER(Main_S[[#This Row],[BVPS]]),IF(Main_S[[#This Row],[BVPS]]&lt;&gt;0,Main_S[[#This Row],[Current Price]]/Main_S[[#This Row],[BVPS]],""),"")</f>
        <v>2.0595744680851062</v>
      </c>
      <c r="J47">
        <v>8.3699999999999992</v>
      </c>
      <c r="K47">
        <v>3.87</v>
      </c>
      <c r="L47">
        <v>1.6</v>
      </c>
      <c r="M47" s="1">
        <f>IF(ISNUMBER(Main_S[[#This Row],[EPS]]),IF(Main_S[[#This Row],[EPS]]&lt;&gt;0,Main_S[[#This Row],[Current Price]]/Main_S[[#This Row],[EPS]],""),"")</f>
        <v>26.4</v>
      </c>
      <c r="N4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7" s="1">
        <f>(Main_S[[#This Row],[P/FCF]]-VLOOKUP(Main_S[[#This Row],[Industry]], Mean_PFCF_S, 2, FALSE))/(VLOOKUP(Main_S[[#This Row],[Industry]], Mean_PFCF_S, 3, FALSE))</f>
        <v>0.81565027226347198</v>
      </c>
      <c r="P47" s="1">
        <f>(Main_S[[#This Row],[P/B]]-VLOOKUP(Main_S[[#This Row],[Industry]], Mean_PB_S, 2, FALSE))/(VLOOKUP(Main_S[[#This Row],[Industry]], Mean_PB_S, 3, FALSE))</f>
        <v>0.53447865949684681</v>
      </c>
      <c r="Q47" s="1">
        <f>(Main_S[[#This Row],[ROE]]-VLOOKUP(Main_S[[#This Row],[Industry]], Mean_ROE_S, 2, FALSE))/(VLOOKUP(Main_S[[#This Row],[Industry]], Mean_ROE_S, 3, FALSE))</f>
        <v>0.57552975258180483</v>
      </c>
      <c r="R47" s="1">
        <f>(Main_S[[#This Row],[ROA]]-VLOOKUP(Main_S[[#This Row],[Industry]], Mean_ROA_S, 2, FALSE))/(VLOOKUP(Main_S[[#This Row],[Industry]], Mean_ROA_S, 3, FALSE))</f>
        <v>2.878815038332163E-2</v>
      </c>
      <c r="S47" s="1">
        <f>(Main_S[[#This Row],[A/E]]-VLOOKUP(Main_S[[#This Row],[Industry]], Mean_AE_S, 2, FALSE))/(VLOOKUP(Main_S[[#This Row],[Industry]], Mean_AE_S, 3, FALSE))</f>
        <v>-0.87077841713894666</v>
      </c>
      <c r="T47" s="1">
        <f>(Main_S[[#This Row],[P/E]]-VLOOKUP(Main_S[[#This Row],[Industry]], Mean_PE_S, 2, FALSE))/(VLOOKUP(Main_S[[#This Row],[Industry]], Mean_PE_S, 3, FALSE))</f>
        <v>1.0837911520410453</v>
      </c>
      <c r="U4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8" spans="1:26" x14ac:dyDescent="0.25">
      <c r="A48" s="68" t="s">
        <v>191</v>
      </c>
      <c r="B48" s="68" t="s">
        <v>512</v>
      </c>
      <c r="C48" s="2">
        <v>979</v>
      </c>
      <c r="D48">
        <f>RTD("tos.rtd", , "LAST", Main_S[[#This Row],[Symbol]])</f>
        <v>24.89</v>
      </c>
      <c r="E48">
        <v>1.9</v>
      </c>
      <c r="F48">
        <v>6.15</v>
      </c>
      <c r="G48">
        <v>0.75</v>
      </c>
      <c r="H48" s="1">
        <f>IF(ISNUMBER(Main_S[[#This Row],[Free CF]]),IF(Main_S[[#This Row],[Free CF]]&lt;&gt;0,Main_S[[#This Row],[Current Price]]/Main_S[[#This Row],[Free CF]],""),"")</f>
        <v>13.100000000000001</v>
      </c>
      <c r="I48" s="1">
        <f>IF(ISNUMBER(Main_S[[#This Row],[BVPS]]),IF(Main_S[[#This Row],[BVPS]]&lt;&gt;0,Main_S[[#This Row],[Current Price]]/Main_S[[#This Row],[BVPS]],""),"")</f>
        <v>4.0471544715447152</v>
      </c>
      <c r="J48">
        <v>13.48</v>
      </c>
      <c r="K48">
        <v>6.21</v>
      </c>
      <c r="L48">
        <v>1.76</v>
      </c>
      <c r="M48" s="1">
        <f>IF(ISNUMBER(Main_S[[#This Row],[EPS]]),IF(Main_S[[#This Row],[EPS]]&lt;&gt;0,Main_S[[#This Row],[Current Price]]/Main_S[[#This Row],[EPS]],""),"")</f>
        <v>33.186666666666667</v>
      </c>
      <c r="N4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8" s="1">
        <f>(Main_S[[#This Row],[P/FCF]]-VLOOKUP(Main_S[[#This Row],[Industry]], Mean_PFCF_S, 2, FALSE))/(VLOOKUP(Main_S[[#This Row],[Industry]], Mean_PFCF_S, 3, FALSE))</f>
        <v>0.67631749031046895</v>
      </c>
      <c r="P48" s="1">
        <f>(Main_S[[#This Row],[P/B]]-VLOOKUP(Main_S[[#This Row],[Industry]], Mean_PB_S, 2, FALSE))/(VLOOKUP(Main_S[[#This Row],[Industry]], Mean_PB_S, 3, FALSE))</f>
        <v>3.1662090753595686</v>
      </c>
      <c r="Q48" s="1">
        <f>(Main_S[[#This Row],[ROE]]-VLOOKUP(Main_S[[#This Row],[Industry]], Mean_ROE_S, 2, FALSE))/(VLOOKUP(Main_S[[#This Row],[Industry]], Mean_ROE_S, 3, FALSE))</f>
        <v>0.92104078894294328</v>
      </c>
      <c r="R48" s="1">
        <f>(Main_S[[#This Row],[ROA]]-VLOOKUP(Main_S[[#This Row],[Industry]], Mean_ROA_S, 2, FALSE))/(VLOOKUP(Main_S[[#This Row],[Industry]], Mean_ROA_S, 3, FALSE))</f>
        <v>0.94146538253585155</v>
      </c>
      <c r="S48" s="1">
        <f>(Main_S[[#This Row],[A/E]]-VLOOKUP(Main_S[[#This Row],[Industry]], Mean_AE_S, 2, FALSE))/(VLOOKUP(Main_S[[#This Row],[Industry]], Mean_AE_S, 3, FALSE))</f>
        <v>-0.68731464528627939</v>
      </c>
      <c r="T48" s="1">
        <f>(Main_S[[#This Row],[P/E]]-VLOOKUP(Main_S[[#This Row],[Industry]], Mean_PE_S, 2, FALSE))/(VLOOKUP(Main_S[[#This Row],[Industry]], Mean_PE_S, 3, FALSE))</f>
        <v>1.5311074272184799</v>
      </c>
      <c r="U4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4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9" spans="1:26" x14ac:dyDescent="0.25">
      <c r="A49" s="68" t="s">
        <v>191</v>
      </c>
      <c r="B49" s="68" t="s">
        <v>580</v>
      </c>
      <c r="C49" s="2">
        <v>817</v>
      </c>
      <c r="D49">
        <f>RTD("tos.rtd", , "LAST", Main_S[[#This Row],[Symbol]])</f>
        <v>30.85</v>
      </c>
      <c r="E49">
        <v>-0.67</v>
      </c>
      <c r="F49">
        <v>18.73</v>
      </c>
      <c r="G49">
        <v>-7.03</v>
      </c>
      <c r="H49" s="1">
        <f>IF(ISNUMBER(Main_S[[#This Row],[Free CF]]),IF(Main_S[[#This Row],[Free CF]]&lt;&gt;0,Main_S[[#This Row],[Current Price]]/Main_S[[#This Row],[Free CF]],""),"")</f>
        <v>-46.044776119402982</v>
      </c>
      <c r="I49" s="1">
        <f>IF(ISNUMBER(Main_S[[#This Row],[BVPS]]),IF(Main_S[[#This Row],[BVPS]]&lt;&gt;0,Main_S[[#This Row],[Current Price]]/Main_S[[#This Row],[BVPS]],""),"")</f>
        <v>1.6470902295782168</v>
      </c>
      <c r="J49">
        <v>-11.68</v>
      </c>
      <c r="K49">
        <v>1.31</v>
      </c>
      <c r="L49">
        <v>1.61</v>
      </c>
      <c r="M49" s="1">
        <f>IF(ISNUMBER(Main_S[[#This Row],[EPS]]),IF(Main_S[[#This Row],[EPS]]&lt;&gt;0,Main_S[[#This Row],[Current Price]]/Main_S[[#This Row],[EPS]],""),"")</f>
        <v>-4.3883357041251783</v>
      </c>
      <c r="N4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9" s="1">
        <f>(Main_S[[#This Row],[P/FCF]]-VLOOKUP(Main_S[[#This Row],[Industry]], Mean_PFCF_S, 2, FALSE))/(VLOOKUP(Main_S[[#This Row],[Industry]], Mean_PFCF_S, 3, FALSE))</f>
        <v>-13.101686557617352</v>
      </c>
      <c r="P49" s="1">
        <f>(Main_S[[#This Row],[P/B]]-VLOOKUP(Main_S[[#This Row],[Industry]], Mean_PB_S, 2, FALSE))/(VLOOKUP(Main_S[[#This Row],[Industry]], Mean_PB_S, 3, FALSE))</f>
        <v>-1.1686684616615782E-2</v>
      </c>
      <c r="Q49" s="1">
        <f>(Main_S[[#This Row],[ROE]]-VLOOKUP(Main_S[[#This Row],[Industry]], Mean_ROE_S, 2, FALSE))/(VLOOKUP(Main_S[[#This Row],[Industry]], Mean_ROE_S, 3, FALSE))</f>
        <v>-0.78014466601718224</v>
      </c>
      <c r="R49" s="1">
        <f>(Main_S[[#This Row],[ROA]]-VLOOKUP(Main_S[[#This Row],[Industry]], Mean_ROA_S, 2, FALSE))/(VLOOKUP(Main_S[[#This Row],[Industry]], Mean_ROA_S, 3, FALSE))</f>
        <v>-0.96969634291175388</v>
      </c>
      <c r="S49" s="1">
        <f>(Main_S[[#This Row],[A/E]]-VLOOKUP(Main_S[[#This Row],[Industry]], Mean_AE_S, 2, FALSE))/(VLOOKUP(Main_S[[#This Row],[Industry]], Mean_AE_S, 3, FALSE))</f>
        <v>-0.85931193139815498</v>
      </c>
      <c r="T49" s="1">
        <f>(Main_S[[#This Row],[P/E]]-VLOOKUP(Main_S[[#This Row],[Industry]], Mean_PE_S, 2, FALSE))/(VLOOKUP(Main_S[[#This Row],[Industry]], Mean_PE_S, 3, FALSE))</f>
        <v>-0.94550015140910482</v>
      </c>
      <c r="U4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4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50" spans="1:26" x14ac:dyDescent="0.25">
      <c r="A50" s="68" t="s">
        <v>191</v>
      </c>
      <c r="B50" s="68" t="s">
        <v>357</v>
      </c>
      <c r="C50" s="2">
        <v>717</v>
      </c>
      <c r="D50">
        <f>RTD("tos.rtd", , "LAST", Main_S[[#This Row],[Symbol]])</f>
        <v>6.42</v>
      </c>
      <c r="E50">
        <v>2.64</v>
      </c>
      <c r="F50">
        <v>6.83</v>
      </c>
      <c r="G50">
        <v>7.0000000000000007E-2</v>
      </c>
      <c r="H50" s="1">
        <f>IF(ISNUMBER(Main_S[[#This Row],[Free CF]]),IF(Main_S[[#This Row],[Free CF]]&lt;&gt;0,Main_S[[#This Row],[Current Price]]/Main_S[[#This Row],[Free CF]],""),"")</f>
        <v>2.4318181818181817</v>
      </c>
      <c r="I50" s="1">
        <f>IF(ISNUMBER(Main_S[[#This Row],[BVPS]]),IF(Main_S[[#This Row],[BVPS]]&lt;&gt;0,Main_S[[#This Row],[Current Price]]/Main_S[[#This Row],[BVPS]],""),"")</f>
        <v>0.93997071742313321</v>
      </c>
      <c r="J50">
        <v>1.06</v>
      </c>
      <c r="K50">
        <v>3.09</v>
      </c>
      <c r="L50">
        <v>3.22</v>
      </c>
      <c r="M50" s="1">
        <f>IF(ISNUMBER(Main_S[[#This Row],[EPS]]),IF(Main_S[[#This Row],[EPS]]&lt;&gt;0,Main_S[[#This Row],[Current Price]]/Main_S[[#This Row],[EPS]],""),"")</f>
        <v>91.714285714285708</v>
      </c>
      <c r="N5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0" s="1">
        <f>(Main_S[[#This Row],[P/FCF]]-VLOOKUP(Main_S[[#This Row],[Industry]], Mean_PFCF_S, 2, FALSE))/(VLOOKUP(Main_S[[#This Row],[Industry]], Mean_PFCF_S, 3, FALSE))</f>
        <v>-1.8088766708475594</v>
      </c>
      <c r="P50" s="1">
        <f>(Main_S[[#This Row],[P/B]]-VLOOKUP(Main_S[[#This Row],[Industry]], Mean_PB_S, 2, FALSE))/(VLOOKUP(Main_S[[#This Row],[Industry]], Mean_PB_S, 3, FALSE))</f>
        <v>-0.94797499731313728</v>
      </c>
      <c r="Q50" s="1">
        <f>(Main_S[[#This Row],[ROE]]-VLOOKUP(Main_S[[#This Row],[Industry]], Mean_ROE_S, 2, FALSE))/(VLOOKUP(Main_S[[#This Row],[Industry]], Mean_ROE_S, 3, FALSE))</f>
        <v>8.1266410937984632E-2</v>
      </c>
      <c r="R50" s="1">
        <f>(Main_S[[#This Row],[ROA]]-VLOOKUP(Main_S[[#This Row],[Industry]], Mean_ROA_S, 2, FALSE))/(VLOOKUP(Main_S[[#This Row],[Industry]], Mean_ROA_S, 3, FALSE))</f>
        <v>-0.2754375936675218</v>
      </c>
      <c r="S50" s="1">
        <f>(Main_S[[#This Row],[A/E]]-VLOOKUP(Main_S[[#This Row],[Industry]], Mean_AE_S, 2, FALSE))/(VLOOKUP(Main_S[[#This Row],[Industry]], Mean_AE_S, 3, FALSE))</f>
        <v>0.98679227286931026</v>
      </c>
      <c r="T50" s="1">
        <f>(Main_S[[#This Row],[P/E]]-VLOOKUP(Main_S[[#This Row],[Industry]], Mean_PE_S, 2, FALSE))/(VLOOKUP(Main_S[[#This Row],[Industry]], Mean_PE_S, 3, FALSE))</f>
        <v>5.3887238143576957</v>
      </c>
      <c r="U5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51" spans="1:26" x14ac:dyDescent="0.25">
      <c r="A51" s="68" t="s">
        <v>135</v>
      </c>
      <c r="B51" s="68" t="s">
        <v>429</v>
      </c>
      <c r="C51" s="2">
        <v>666</v>
      </c>
      <c r="D51">
        <f>RTD("tos.rtd", , "LAST", Main_S[[#This Row],[Symbol]])</f>
        <v>14.57</v>
      </c>
      <c r="E51">
        <v>-7.1</v>
      </c>
      <c r="F51">
        <v>19.239999999999998</v>
      </c>
      <c r="G51">
        <v>1.03</v>
      </c>
      <c r="H51" s="1">
        <f>IF(ISNUMBER(Main_S[[#This Row],[Free CF]]),IF(Main_S[[#This Row],[Free CF]]&lt;&gt;0,Main_S[[#This Row],[Current Price]]/Main_S[[#This Row],[Free CF]],""),"")</f>
        <v>-2.0521126760563382</v>
      </c>
      <c r="I51" s="1">
        <f>IF(ISNUMBER(Main_S[[#This Row],[BVPS]]),IF(Main_S[[#This Row],[BVPS]]&lt;&gt;0,Main_S[[#This Row],[Current Price]]/Main_S[[#This Row],[BVPS]],""),"")</f>
        <v>0.7572765072765073</v>
      </c>
      <c r="J51">
        <v>5.39</v>
      </c>
      <c r="K51">
        <v>1.39</v>
      </c>
      <c r="L51">
        <v>4.12</v>
      </c>
      <c r="M51" s="1">
        <f>IF(ISNUMBER(Main_S[[#This Row],[EPS]]),IF(Main_S[[#This Row],[EPS]]&lt;&gt;0,Main_S[[#This Row],[Current Price]]/Main_S[[#This Row],[EPS]],""),"")</f>
        <v>14.145631067961165</v>
      </c>
      <c r="N5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1" s="1">
        <f>(Main_S[[#This Row],[P/FCF]]-VLOOKUP(Main_S[[#This Row],[Industry]], Mean_PFCF_S, 2, FALSE))/(VLOOKUP(Main_S[[#This Row],[Industry]], Mean_PFCF_S, 3, FALSE))</f>
        <v>-0.73058223097163655</v>
      </c>
      <c r="P51" s="1">
        <f>(Main_S[[#This Row],[P/B]]-VLOOKUP(Main_S[[#This Row],[Industry]], Mean_PB_S, 2, FALSE))/(VLOOKUP(Main_S[[#This Row],[Industry]], Mean_PB_S, 3, FALSE))</f>
        <v>-1.5233743416307981</v>
      </c>
      <c r="Q51" s="1">
        <f>(Main_S[[#This Row],[ROE]]-VLOOKUP(Main_S[[#This Row],[Industry]], Mean_ROE_S, 2, FALSE))/(VLOOKUP(Main_S[[#This Row],[Industry]], Mean_ROE_S, 3, FALSE))</f>
        <v>-0.10290664702703892</v>
      </c>
      <c r="R51" s="1">
        <f>(Main_S[[#This Row],[ROA]]-VLOOKUP(Main_S[[#This Row],[Industry]], Mean_ROA_S, 2, FALSE))/(VLOOKUP(Main_S[[#This Row],[Industry]], Mean_ROA_S, 3, FALSE))</f>
        <v>-0.6383605752036926</v>
      </c>
      <c r="S51" s="1">
        <f>(Main_S[[#This Row],[A/E]]-VLOOKUP(Main_S[[#This Row],[Industry]], Mean_AE_S, 2, FALSE))/(VLOOKUP(Main_S[[#This Row],[Industry]], Mean_AE_S, 3, FALSE))</f>
        <v>1.5491498793716705</v>
      </c>
      <c r="T51" s="1">
        <f>(Main_S[[#This Row],[P/E]]-VLOOKUP(Main_S[[#This Row],[Industry]], Mean_PE_S, 2, FALSE))/(VLOOKUP(Main_S[[#This Row],[Industry]], Mean_PE_S, 3, FALSE))</f>
        <v>-0.58079756129357329</v>
      </c>
      <c r="U5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52" spans="1:26" x14ac:dyDescent="0.25">
      <c r="A52" s="68" t="s">
        <v>135</v>
      </c>
      <c r="B52" s="68" t="s">
        <v>430</v>
      </c>
      <c r="C52" s="2">
        <v>336</v>
      </c>
      <c r="D52">
        <f>RTD("tos.rtd", , "LAST", Main_S[[#This Row],[Symbol]])</f>
        <v>7.05</v>
      </c>
      <c r="E52">
        <v>0.76</v>
      </c>
      <c r="F52">
        <v>4.91</v>
      </c>
      <c r="G52">
        <v>0.28000000000000003</v>
      </c>
      <c r="H52" s="1">
        <f>IF(ISNUMBER(Main_S[[#This Row],[Free CF]]),IF(Main_S[[#This Row],[Free CF]]&lt;&gt;0,Main_S[[#This Row],[Current Price]]/Main_S[[#This Row],[Free CF]],""),"")</f>
        <v>9.2763157894736832</v>
      </c>
      <c r="I52" s="1">
        <f>IF(ISNUMBER(Main_S[[#This Row],[BVPS]]),IF(Main_S[[#This Row],[BVPS]]&lt;&gt;0,Main_S[[#This Row],[Current Price]]/Main_S[[#This Row],[BVPS]],""),"")</f>
        <v>1.435845213849287</v>
      </c>
      <c r="J52">
        <v>5.62</v>
      </c>
      <c r="K52">
        <v>3.51</v>
      </c>
      <c r="L52">
        <v>3.5</v>
      </c>
      <c r="M52" s="1">
        <f>IF(ISNUMBER(Main_S[[#This Row],[EPS]]),IF(Main_S[[#This Row],[EPS]]&lt;&gt;0,Main_S[[#This Row],[Current Price]]/Main_S[[#This Row],[EPS]],""),"")</f>
        <v>25.178571428571427</v>
      </c>
      <c r="N5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2" s="1">
        <f>(Main_S[[#This Row],[P/FCF]]-VLOOKUP(Main_S[[#This Row],[Industry]], Mean_PFCF_S, 2, FALSE))/(VLOOKUP(Main_S[[#This Row],[Industry]], Mean_PFCF_S, 3, FALSE))</f>
        <v>-3.5785536767270552E-2</v>
      </c>
      <c r="P52" s="1">
        <f>(Main_S[[#This Row],[P/B]]-VLOOKUP(Main_S[[#This Row],[Industry]], Mean_PB_S, 2, FALSE))/(VLOOKUP(Main_S[[#This Row],[Industry]], Mean_PB_S, 3, FALSE))</f>
        <v>-0.53567578684954809</v>
      </c>
      <c r="Q52" s="1">
        <f>(Main_S[[#This Row],[ROE]]-VLOOKUP(Main_S[[#This Row],[Industry]], Mean_ROE_S, 2, FALSE))/(VLOOKUP(Main_S[[#This Row],[Industry]], Mean_ROE_S, 3, FALSE))</f>
        <v>-7.5500982081943252E-2</v>
      </c>
      <c r="R52" s="1">
        <f>(Main_S[[#This Row],[ROA]]-VLOOKUP(Main_S[[#This Row],[Industry]], Mean_ROA_S, 2, FALSE))/(VLOOKUP(Main_S[[#This Row],[Industry]], Mean_ROA_S, 3, FALSE))</f>
        <v>0.15516653640345621</v>
      </c>
      <c r="S52" s="1">
        <f>(Main_S[[#This Row],[A/E]]-VLOOKUP(Main_S[[#This Row],[Industry]], Mean_AE_S, 2, FALSE))/(VLOOKUP(Main_S[[#This Row],[Industry]], Mean_AE_S, 3, FALSE))</f>
        <v>0.82105922223173178</v>
      </c>
      <c r="T52" s="1">
        <f>(Main_S[[#This Row],[P/E]]-VLOOKUP(Main_S[[#This Row],[Industry]], Mean_PE_S, 2, FALSE))/(VLOOKUP(Main_S[[#This Row],[Industry]], Mean_PE_S, 3, FALSE))</f>
        <v>-0.37446094152451298</v>
      </c>
      <c r="U5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53" spans="1:26" x14ac:dyDescent="0.25">
      <c r="A53" s="68" t="s">
        <v>135</v>
      </c>
      <c r="B53" s="68" t="s">
        <v>431</v>
      </c>
      <c r="C53" s="2">
        <v>416</v>
      </c>
      <c r="D53">
        <f>RTD("tos.rtd", , "LAST", Main_S[[#This Row],[Symbol]])</f>
        <v>25.72</v>
      </c>
      <c r="E53">
        <v>1.32</v>
      </c>
      <c r="F53">
        <v>14.16</v>
      </c>
      <c r="G53">
        <v>0.17</v>
      </c>
      <c r="H53" s="1">
        <f>IF(ISNUMBER(Main_S[[#This Row],[Free CF]]),IF(Main_S[[#This Row],[Free CF]]&lt;&gt;0,Main_S[[#This Row],[Current Price]]/Main_S[[#This Row],[Free CF]],""),"")</f>
        <v>19.484848484848484</v>
      </c>
      <c r="I53" s="1">
        <f>IF(ISNUMBER(Main_S[[#This Row],[BVPS]]),IF(Main_S[[#This Row],[BVPS]]&lt;&gt;0,Main_S[[#This Row],[Current Price]]/Main_S[[#This Row],[BVPS]],""),"")</f>
        <v>1.8163841807909604</v>
      </c>
      <c r="J53">
        <v>1.48</v>
      </c>
      <c r="K53">
        <v>-0.34</v>
      </c>
      <c r="L53">
        <v>2.06</v>
      </c>
      <c r="M53" s="1">
        <f>IF(ISNUMBER(Main_S[[#This Row],[EPS]]),IF(Main_S[[#This Row],[EPS]]&lt;&gt;0,Main_S[[#This Row],[Current Price]]/Main_S[[#This Row],[EPS]],""),"")</f>
        <v>151.29411764705881</v>
      </c>
      <c r="N5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3" s="1">
        <f>(Main_S[[#This Row],[P/FCF]]-VLOOKUP(Main_S[[#This Row],[Industry]], Mean_PFCF_S, 2, FALSE))/(VLOOKUP(Main_S[[#This Row],[Industry]], Mean_PFCF_S, 3, FALSE))</f>
        <v>0.59032555984296398</v>
      </c>
      <c r="P53" s="1">
        <f>(Main_S[[#This Row],[P/B]]-VLOOKUP(Main_S[[#This Row],[Industry]], Mean_PB_S, 2, FALSE))/(VLOOKUP(Main_S[[#This Row],[Industry]], Mean_PB_S, 3, FALSE))</f>
        <v>1.8222122154494931E-2</v>
      </c>
      <c r="Q53" s="1">
        <f>(Main_S[[#This Row],[ROE]]-VLOOKUP(Main_S[[#This Row],[Industry]], Mean_ROE_S, 2, FALSE))/(VLOOKUP(Main_S[[#This Row],[Industry]], Mean_ROE_S, 3, FALSE))</f>
        <v>-0.56880295109366419</v>
      </c>
      <c r="R53" s="1">
        <f>(Main_S[[#This Row],[ROA]]-VLOOKUP(Main_S[[#This Row],[Industry]], Mean_ROA_S, 2, FALSE))/(VLOOKUP(Main_S[[#This Row],[Industry]], Mean_ROA_S, 3, FALSE))</f>
        <v>-1.2859086426944317</v>
      </c>
      <c r="S53" s="1">
        <f>(Main_S[[#This Row],[A/E]]-VLOOKUP(Main_S[[#This Row],[Industry]], Mean_AE_S, 2, FALSE))/(VLOOKUP(Main_S[[#This Row],[Industry]], Mean_AE_S, 3, FALSE))</f>
        <v>-0.86999004596425433</v>
      </c>
      <c r="T53" s="1">
        <f>(Main_S[[#This Row],[P/E]]-VLOOKUP(Main_S[[#This Row],[Industry]], Mean_PE_S, 2, FALSE))/(VLOOKUP(Main_S[[#This Row],[Industry]], Mean_PE_S, 3, FALSE))</f>
        <v>1.9841356480080361</v>
      </c>
      <c r="U5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54" spans="1:26" x14ac:dyDescent="0.25">
      <c r="A54" s="68" t="s">
        <v>135</v>
      </c>
      <c r="B54" s="68" t="s">
        <v>280</v>
      </c>
      <c r="C54" s="2">
        <v>1690</v>
      </c>
      <c r="D54">
        <f>RTD("tos.rtd", , "LAST", Main_S[[#This Row],[Symbol]])</f>
        <v>20.440000000000001</v>
      </c>
      <c r="E54">
        <v>-1.57</v>
      </c>
      <c r="F54">
        <v>3.64</v>
      </c>
      <c r="G54">
        <v>0.19</v>
      </c>
      <c r="H54" s="1">
        <f>IF(ISNUMBER(Main_S[[#This Row],[Free CF]]),IF(Main_S[[#This Row],[Free CF]]&lt;&gt;0,Main_S[[#This Row],[Current Price]]/Main_S[[#This Row],[Free CF]],""),"")</f>
        <v>-13.019108280254777</v>
      </c>
      <c r="I54" s="1">
        <f>IF(ISNUMBER(Main_S[[#This Row],[BVPS]]),IF(Main_S[[#This Row],[BVPS]]&lt;&gt;0,Main_S[[#This Row],[Current Price]]/Main_S[[#This Row],[BVPS]],""),"")</f>
        <v>5.6153846153846159</v>
      </c>
      <c r="J54">
        <v>5.93</v>
      </c>
      <c r="K54">
        <v>2.72</v>
      </c>
      <c r="L54">
        <v>1.57</v>
      </c>
      <c r="M54" s="1">
        <f>IF(ISNUMBER(Main_S[[#This Row],[EPS]]),IF(Main_S[[#This Row],[EPS]]&lt;&gt;0,Main_S[[#This Row],[Current Price]]/Main_S[[#This Row],[EPS]],""),"")</f>
        <v>107.57894736842105</v>
      </c>
      <c r="N5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4" s="1">
        <f>(Main_S[[#This Row],[P/FCF]]-VLOOKUP(Main_S[[#This Row],[Industry]], Mean_PFCF_S, 2, FALSE))/(VLOOKUP(Main_S[[#This Row],[Industry]], Mean_PFCF_S, 3, FALSE))</f>
        <v>-1.4032114764434518</v>
      </c>
      <c r="P54" s="1">
        <f>(Main_S[[#This Row],[P/B]]-VLOOKUP(Main_S[[#This Row],[Industry]], Mean_PB_S, 2, FALSE))/(VLOOKUP(Main_S[[#This Row],[Industry]], Mean_PB_S, 3, FALSE))</f>
        <v>5.5479012873092257</v>
      </c>
      <c r="Q54" s="1">
        <f>(Main_S[[#This Row],[ROE]]-VLOOKUP(Main_S[[#This Row],[Industry]], Mean_ROE_S, 2, FALSE))/(VLOOKUP(Main_S[[#This Row],[Industry]], Mean_ROE_S, 3, FALSE))</f>
        <v>-3.8562911938553567E-2</v>
      </c>
      <c r="R54" s="1">
        <f>(Main_S[[#This Row],[ROA]]-VLOOKUP(Main_S[[#This Row],[Industry]], Mean_ROA_S, 2, FALSE))/(VLOOKUP(Main_S[[#This Row],[Industry]], Mean_ROA_S, 3, FALSE))</f>
        <v>-0.14053460424260381</v>
      </c>
      <c r="S54" s="1">
        <f>(Main_S[[#This Row],[A/E]]-VLOOKUP(Main_S[[#This Row],[Industry]], Mean_AE_S, 2, FALSE))/(VLOOKUP(Main_S[[#This Row],[Industry]], Mean_AE_S, 3, FALSE))</f>
        <v>-1.4454165330587219</v>
      </c>
      <c r="T54" s="1">
        <f>(Main_S[[#This Row],[P/E]]-VLOOKUP(Main_S[[#This Row],[Industry]], Mean_PE_S, 2, FALSE))/(VLOOKUP(Main_S[[#This Row],[Industry]], Mean_PE_S, 3, FALSE))</f>
        <v>1.1665802028497991</v>
      </c>
      <c r="U5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5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55" spans="1:26" x14ac:dyDescent="0.25">
      <c r="A55" s="68" t="s">
        <v>135</v>
      </c>
      <c r="B55" s="68" t="s">
        <v>567</v>
      </c>
      <c r="C55" s="2">
        <v>443</v>
      </c>
      <c r="D55">
        <f>RTD("tos.rtd", , "LAST", Main_S[[#This Row],[Symbol]])</f>
        <v>3.33</v>
      </c>
      <c r="H55" s="1" t="str">
        <f>IF(ISNUMBER(Main_S[[#This Row],[Free CF]]),IF(Main_S[[#This Row],[Free CF]]&lt;&gt;0,Main_S[[#This Row],[Current Price]]/Main_S[[#This Row],[Free CF]],""),"")</f>
        <v/>
      </c>
      <c r="I55" s="1" t="str">
        <f>IF(ISNUMBER(Main_S[[#This Row],[BVPS]]),IF(Main_S[[#This Row],[BVPS]]&lt;&gt;0,Main_S[[#This Row],[Current Price]]/Main_S[[#This Row],[BVPS]],""),"")</f>
        <v/>
      </c>
      <c r="J55">
        <v>13.45</v>
      </c>
      <c r="K55">
        <v>5.24</v>
      </c>
      <c r="L55">
        <v>2.3199999999999998</v>
      </c>
      <c r="M55" s="1" t="str">
        <f>IF(ISNUMBER(Main_S[[#This Row],[EPS]]),IF(Main_S[[#This Row],[EPS]]&lt;&gt;0,Main_S[[#This Row],[Current Price]]/Main_S[[#This Row],[EPS]],""),"")</f>
        <v/>
      </c>
      <c r="N5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5" s="1" t="e">
        <f>(Main_S[[#This Row],[P/FCF]]-VLOOKUP(Main_S[[#This Row],[Industry]], Mean_PFCF_S, 2, FALSE))/(VLOOKUP(Main_S[[#This Row],[Industry]], Mean_PFCF_S, 3, FALSE))</f>
        <v>#VALUE!</v>
      </c>
      <c r="P55" s="1" t="e">
        <f>(Main_S[[#This Row],[P/B]]-VLOOKUP(Main_S[[#This Row],[Industry]], Mean_PB_S, 2, FALSE))/(VLOOKUP(Main_S[[#This Row],[Industry]], Mean_PB_S, 3, FALSE))</f>
        <v>#VALUE!</v>
      </c>
      <c r="Q55" s="1">
        <f>(Main_S[[#This Row],[ROE]]-VLOOKUP(Main_S[[#This Row],[Industry]], Mean_ROE_S, 2, FALSE))/(VLOOKUP(Main_S[[#This Row],[Industry]], Mean_ROE_S, 3, FALSE))</f>
        <v>0.85748317670109409</v>
      </c>
      <c r="R55" s="1">
        <f>(Main_S[[#This Row],[ROA]]-VLOOKUP(Main_S[[#This Row],[Industry]], Mean_ROA_S, 2, FALSE))/(VLOOKUP(Main_S[[#This Row],[Industry]], Mean_ROA_S, 3, FALSE))</f>
        <v>0.80271460389419569</v>
      </c>
      <c r="S55" s="1">
        <f>(Main_S[[#This Row],[A/E]]-VLOOKUP(Main_S[[#This Row],[Industry]], Mean_AE_S, 2, FALSE))/(VLOOKUP(Main_S[[#This Row],[Industry]], Mean_AE_S, 3, FALSE))</f>
        <v>-0.56466170587331266</v>
      </c>
      <c r="T55" s="1" t="e">
        <f>(Main_S[[#This Row],[P/E]]-VLOOKUP(Main_S[[#This Row],[Industry]], Mean_PE_S, 2, FALSE))/(VLOOKUP(Main_S[[#This Row],[Industry]], Mean_PE_S, 3, FALSE))</f>
        <v>#VALUE!</v>
      </c>
      <c r="U5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5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5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56" spans="1:26" x14ac:dyDescent="0.25">
      <c r="A56" s="68" t="s">
        <v>135</v>
      </c>
      <c r="B56" s="68" t="s">
        <v>432</v>
      </c>
      <c r="C56" s="2">
        <v>1863</v>
      </c>
      <c r="D56">
        <f>RTD("tos.rtd", , "LAST", Main_S[[#This Row],[Symbol]])</f>
        <v>20.13</v>
      </c>
      <c r="E56">
        <v>0.71</v>
      </c>
      <c r="F56">
        <v>6.28</v>
      </c>
      <c r="G56">
        <v>-0.08</v>
      </c>
      <c r="H56" s="1">
        <f>IF(ISNUMBER(Main_S[[#This Row],[Free CF]]),IF(Main_S[[#This Row],[Free CF]]&lt;&gt;0,Main_S[[#This Row],[Current Price]]/Main_S[[#This Row],[Free CF]],""),"")</f>
        <v>28.35211267605634</v>
      </c>
      <c r="I56" s="1">
        <f>IF(ISNUMBER(Main_S[[#This Row],[BVPS]]),IF(Main_S[[#This Row],[BVPS]]&lt;&gt;0,Main_S[[#This Row],[Current Price]]/Main_S[[#This Row],[BVPS]],""),"")</f>
        <v>3.2054140127388533</v>
      </c>
      <c r="J56">
        <v>-1.54</v>
      </c>
      <c r="K56">
        <v>2.84</v>
      </c>
      <c r="L56">
        <v>3.73</v>
      </c>
      <c r="M56" s="1">
        <f>IF(ISNUMBER(Main_S[[#This Row],[EPS]]),IF(Main_S[[#This Row],[EPS]]&lt;&gt;0,Main_S[[#This Row],[Current Price]]/Main_S[[#This Row],[EPS]],""),"")</f>
        <v>-251.62499999999997</v>
      </c>
      <c r="N5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6" s="1">
        <f>(Main_S[[#This Row],[P/FCF]]-VLOOKUP(Main_S[[#This Row],[Industry]], Mean_PFCF_S, 2, FALSE))/(VLOOKUP(Main_S[[#This Row],[Industry]], Mean_PFCF_S, 3, FALSE))</f>
        <v>1.1341737966424819</v>
      </c>
      <c r="P56" s="1">
        <f>(Main_S[[#This Row],[P/B]]-VLOOKUP(Main_S[[#This Row],[Industry]], Mean_PB_S, 2, FALSE))/(VLOOKUP(Main_S[[#This Row],[Industry]], Mean_PB_S, 3, FALSE))</f>
        <v>2.0400406119758037</v>
      </c>
      <c r="Q56" s="1">
        <f>(Main_S[[#This Row],[ROE]]-VLOOKUP(Main_S[[#This Row],[Industry]], Mean_ROE_S, 2, FALSE))/(VLOOKUP(Main_S[[#This Row],[Industry]], Mean_ROE_S, 3, FALSE))</f>
        <v>-0.9286512473292674</v>
      </c>
      <c r="R56" s="1">
        <f>(Main_S[[#This Row],[ROA]]-VLOOKUP(Main_S[[#This Row],[Industry]], Mean_ROA_S, 2, FALSE))/(VLOOKUP(Main_S[[#This Row],[Industry]], Mean_ROA_S, 3, FALSE))</f>
        <v>-9.5617975283708731E-2</v>
      </c>
      <c r="S56" s="1">
        <f>(Main_S[[#This Row],[A/E]]-VLOOKUP(Main_S[[#This Row],[Industry]], Mean_AE_S, 2, FALSE))/(VLOOKUP(Main_S[[#This Row],[Industry]], Mean_AE_S, 3, FALSE))</f>
        <v>1.0911573692352574</v>
      </c>
      <c r="T56" s="1">
        <f>(Main_S[[#This Row],[P/E]]-VLOOKUP(Main_S[[#This Row],[Industry]], Mean_PE_S, 2, FALSE))/(VLOOKUP(Main_S[[#This Row],[Industry]], Mean_PE_S, 3, FALSE))</f>
        <v>-5.5512054359011573</v>
      </c>
      <c r="U5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57" spans="1:26" x14ac:dyDescent="0.25">
      <c r="A57" s="68" t="s">
        <v>135</v>
      </c>
      <c r="B57" s="68" t="s">
        <v>433</v>
      </c>
      <c r="C57" s="2">
        <v>666</v>
      </c>
      <c r="D57">
        <f>RTD("tos.rtd", , "LAST", Main_S[[#This Row],[Symbol]])</f>
        <v>11.42</v>
      </c>
      <c r="E57">
        <v>-0.82</v>
      </c>
      <c r="F57">
        <v>6.67</v>
      </c>
      <c r="G57">
        <v>0.84</v>
      </c>
      <c r="H57" s="1">
        <f>IF(ISNUMBER(Main_S[[#This Row],[Free CF]]),IF(Main_S[[#This Row],[Free CF]]&lt;&gt;0,Main_S[[#This Row],[Current Price]]/Main_S[[#This Row],[Free CF]],""),"")</f>
        <v>-13.926829268292684</v>
      </c>
      <c r="I57" s="1">
        <f>IF(ISNUMBER(Main_S[[#This Row],[BVPS]]),IF(Main_S[[#This Row],[BVPS]]&lt;&gt;0,Main_S[[#This Row],[Current Price]]/Main_S[[#This Row],[BVPS]],""),"")</f>
        <v>1.712143928035982</v>
      </c>
      <c r="J57">
        <v>13.72</v>
      </c>
      <c r="K57">
        <v>4.75</v>
      </c>
      <c r="L57">
        <v>2.8</v>
      </c>
      <c r="M57" s="1">
        <f>IF(ISNUMBER(Main_S[[#This Row],[EPS]]),IF(Main_S[[#This Row],[EPS]]&lt;&gt;0,Main_S[[#This Row],[Current Price]]/Main_S[[#This Row],[EPS]],""),"")</f>
        <v>13.595238095238095</v>
      </c>
      <c r="N5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7" s="1">
        <f>(Main_S[[#This Row],[P/FCF]]-VLOOKUP(Main_S[[#This Row],[Industry]], Mean_PFCF_S, 2, FALSE))/(VLOOKUP(Main_S[[#This Row],[Industry]], Mean_PFCF_S, 3, FALSE))</f>
        <v>-1.4588839418403676</v>
      </c>
      <c r="P57" s="1">
        <f>(Main_S[[#This Row],[P/B]]-VLOOKUP(Main_S[[#This Row],[Industry]], Mean_PB_S, 2, FALSE))/(VLOOKUP(Main_S[[#This Row],[Industry]], Mean_PB_S, 3, FALSE))</f>
        <v>-0.1335059873189437</v>
      </c>
      <c r="Q57" s="1">
        <f>(Main_S[[#This Row],[ROE]]-VLOOKUP(Main_S[[#This Row],[Industry]], Mean_ROE_S, 2, FALSE))/(VLOOKUP(Main_S[[#This Row],[Industry]], Mean_ROE_S, 3, FALSE))</f>
        <v>0.88965504424533692</v>
      </c>
      <c r="R57" s="1">
        <f>(Main_S[[#This Row],[ROA]]-VLOOKUP(Main_S[[#This Row],[Industry]], Mean_ROA_S, 2, FALSE))/(VLOOKUP(Main_S[[#This Row],[Industry]], Mean_ROA_S, 3, FALSE))</f>
        <v>0.61930503564537354</v>
      </c>
      <c r="S57" s="1">
        <f>(Main_S[[#This Row],[A/E]]-VLOOKUP(Main_S[[#This Row],[Industry]], Mean_AE_S, 2, FALSE))/(VLOOKUP(Main_S[[#This Row],[Industry]], Mean_AE_S, 3, FALSE))</f>
        <v>-9.7861647465060796E-4</v>
      </c>
      <c r="T57" s="1">
        <f>(Main_S[[#This Row],[P/E]]-VLOOKUP(Main_S[[#This Row],[Industry]], Mean_PE_S, 2, FALSE))/(VLOOKUP(Main_S[[#This Row],[Industry]], Mean_PE_S, 3, FALSE))</f>
        <v>-0.59109093928932277</v>
      </c>
      <c r="U5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58" spans="1:26" x14ac:dyDescent="0.25">
      <c r="A58" s="68" t="s">
        <v>135</v>
      </c>
      <c r="B58" s="68" t="s">
        <v>434</v>
      </c>
      <c r="C58" s="2">
        <v>1400</v>
      </c>
      <c r="D58">
        <f>RTD("tos.rtd", , "LAST", Main_S[[#This Row],[Symbol]])</f>
        <v>122.17</v>
      </c>
      <c r="E58">
        <v>3.16</v>
      </c>
      <c r="F58">
        <v>13.86</v>
      </c>
      <c r="G58">
        <v>2.78</v>
      </c>
      <c r="H58" s="1">
        <f>IF(ISNUMBER(Main_S[[#This Row],[Free CF]]),IF(Main_S[[#This Row],[Free CF]]&lt;&gt;0,Main_S[[#This Row],[Current Price]]/Main_S[[#This Row],[Free CF]],""),"")</f>
        <v>38.661392405063289</v>
      </c>
      <c r="I58" s="1">
        <f>IF(ISNUMBER(Main_S[[#This Row],[BVPS]]),IF(Main_S[[#This Row],[BVPS]]&lt;&gt;0,Main_S[[#This Row],[Current Price]]/Main_S[[#This Row],[BVPS]],""),"")</f>
        <v>8.8145743145743154</v>
      </c>
      <c r="J58">
        <v>23.38</v>
      </c>
      <c r="K58">
        <v>8.7100000000000009</v>
      </c>
      <c r="L58">
        <v>2.09</v>
      </c>
      <c r="M58" s="1">
        <f>IF(ISNUMBER(Main_S[[#This Row],[EPS]]),IF(Main_S[[#This Row],[EPS]]&lt;&gt;0,Main_S[[#This Row],[Current Price]]/Main_S[[#This Row],[EPS]],""),"")</f>
        <v>43.946043165467628</v>
      </c>
      <c r="N5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8" s="1">
        <f>(Main_S[[#This Row],[P/FCF]]-VLOOKUP(Main_S[[#This Row],[Industry]], Mean_PFCF_S, 2, FALSE))/(VLOOKUP(Main_S[[#This Row],[Industry]], Mean_PFCF_S, 3, FALSE))</f>
        <v>1.7664639238333042</v>
      </c>
      <c r="P58" s="1">
        <f>(Main_S[[#This Row],[P/B]]-VLOOKUP(Main_S[[#This Row],[Industry]], Mean_PB_S, 2, FALSE))/(VLOOKUP(Main_S[[#This Row],[Industry]], Mean_PB_S, 3, FALSE))</f>
        <v>10.204518976503858</v>
      </c>
      <c r="Q58" s="1">
        <f>(Main_S[[#This Row],[ROE]]-VLOOKUP(Main_S[[#This Row],[Industry]], Mean_ROE_S, 2, FALSE))/(VLOOKUP(Main_S[[#This Row],[Industry]], Mean_ROE_S, 3, FALSE))</f>
        <v>2.0406929719393525</v>
      </c>
      <c r="R58" s="1">
        <f>(Main_S[[#This Row],[ROA]]-VLOOKUP(Main_S[[#This Row],[Industry]], Mean_ROA_S, 2, FALSE))/(VLOOKUP(Main_S[[#This Row],[Industry]], Mean_ROA_S, 3, FALSE))</f>
        <v>2.1015537912889157</v>
      </c>
      <c r="S58" s="1">
        <f>(Main_S[[#This Row],[A/E]]-VLOOKUP(Main_S[[#This Row],[Industry]], Mean_AE_S, 2, FALSE))/(VLOOKUP(Main_S[[#This Row],[Industry]], Mean_AE_S, 3, FALSE))</f>
        <v>-0.83475985287683818</v>
      </c>
      <c r="T58" s="1">
        <f>(Main_S[[#This Row],[P/E]]-VLOOKUP(Main_S[[#This Row],[Industry]], Mean_PE_S, 2, FALSE))/(VLOOKUP(Main_S[[#This Row],[Industry]], Mean_PE_S, 3, FALSE))</f>
        <v>-2.3474119042646301E-2</v>
      </c>
      <c r="U5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5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59" spans="1:26" x14ac:dyDescent="0.25">
      <c r="A59" s="68" t="s">
        <v>135</v>
      </c>
      <c r="B59" s="68" t="s">
        <v>435</v>
      </c>
      <c r="C59" s="2">
        <v>338</v>
      </c>
      <c r="D59">
        <f>RTD("tos.rtd", , "LAST", Main_S[[#This Row],[Symbol]])</f>
        <v>12.97</v>
      </c>
      <c r="E59">
        <v>3.93</v>
      </c>
      <c r="F59">
        <v>5.5</v>
      </c>
      <c r="G59">
        <v>-1.22</v>
      </c>
      <c r="H59" s="1">
        <f>IF(ISNUMBER(Main_S[[#This Row],[Free CF]]),IF(Main_S[[#This Row],[Free CF]]&lt;&gt;0,Main_S[[#This Row],[Current Price]]/Main_S[[#This Row],[Free CF]],""),"")</f>
        <v>3.3002544529262088</v>
      </c>
      <c r="I59" s="1">
        <f>IF(ISNUMBER(Main_S[[#This Row],[BVPS]]),IF(Main_S[[#This Row],[BVPS]]&lt;&gt;0,Main_S[[#This Row],[Current Price]]/Main_S[[#This Row],[BVPS]],""),"")</f>
        <v>2.3581818181818184</v>
      </c>
      <c r="J59">
        <v>-20.38</v>
      </c>
      <c r="K59">
        <v>-4.95</v>
      </c>
      <c r="L59">
        <v>3.38</v>
      </c>
      <c r="M59" s="1">
        <f>IF(ISNUMBER(Main_S[[#This Row],[EPS]]),IF(Main_S[[#This Row],[EPS]]&lt;&gt;0,Main_S[[#This Row],[Current Price]]/Main_S[[#This Row],[EPS]],""),"")</f>
        <v>-10.631147540983607</v>
      </c>
      <c r="N5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9" s="1">
        <f>(Main_S[[#This Row],[P/FCF]]-VLOOKUP(Main_S[[#This Row],[Industry]], Mean_PFCF_S, 2, FALSE))/(VLOOKUP(Main_S[[#This Row],[Industry]], Mean_PFCF_S, 3, FALSE))</f>
        <v>-0.40231013226873885</v>
      </c>
      <c r="P59" s="1">
        <f>(Main_S[[#This Row],[P/B]]-VLOOKUP(Main_S[[#This Row],[Industry]], Mean_PB_S, 2, FALSE))/(VLOOKUP(Main_S[[#This Row],[Industry]], Mean_PB_S, 3, FALSE))</f>
        <v>0.80684196013320164</v>
      </c>
      <c r="Q59" s="1">
        <f>(Main_S[[#This Row],[ROE]]-VLOOKUP(Main_S[[#This Row],[Industry]], Mean_ROE_S, 2, FALSE))/(VLOOKUP(Main_S[[#This Row],[Industry]], Mean_ROE_S, 3, FALSE))</f>
        <v>-3.1735326715275338</v>
      </c>
      <c r="R59" s="1">
        <f>(Main_S[[#This Row],[ROA]]-VLOOKUP(Main_S[[#This Row],[Industry]], Mean_ROA_S, 2, FALSE))/(VLOOKUP(Main_S[[#This Row],[Industry]], Mean_ROA_S, 3, FALSE))</f>
        <v>-3.0114558051986564</v>
      </c>
      <c r="S59" s="1">
        <f>(Main_S[[#This Row],[A/E]]-VLOOKUP(Main_S[[#This Row],[Industry]], Mean_AE_S, 2, FALSE))/(VLOOKUP(Main_S[[#This Row],[Industry]], Mean_AE_S, 3, FALSE))</f>
        <v>0.68013844988206618</v>
      </c>
      <c r="T59" s="1">
        <f>(Main_S[[#This Row],[P/E]]-VLOOKUP(Main_S[[#This Row],[Industry]], Mean_PE_S, 2, FALSE))/(VLOOKUP(Main_S[[#This Row],[Industry]], Mean_PE_S, 3, FALSE))</f>
        <v>-1.0441696615532763</v>
      </c>
      <c r="U5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5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5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60" spans="1:26" x14ac:dyDescent="0.25">
      <c r="A60" s="68" t="s">
        <v>135</v>
      </c>
      <c r="B60" s="68" t="s">
        <v>436</v>
      </c>
      <c r="C60" s="2">
        <v>368</v>
      </c>
      <c r="D60">
        <f>RTD("tos.rtd", , "LAST", Main_S[[#This Row],[Symbol]])</f>
        <v>40.799999999999997</v>
      </c>
      <c r="E60">
        <v>6.66</v>
      </c>
      <c r="F60">
        <v>38.159999999999997</v>
      </c>
      <c r="G60">
        <v>3.27</v>
      </c>
      <c r="H60" s="1">
        <f>IF(ISNUMBER(Main_S[[#This Row],[Free CF]]),IF(Main_S[[#This Row],[Free CF]]&lt;&gt;0,Main_S[[#This Row],[Current Price]]/Main_S[[#This Row],[Free CF]],""),"")</f>
        <v>6.1261261261261257</v>
      </c>
      <c r="I60" s="1">
        <f>IF(ISNUMBER(Main_S[[#This Row],[BVPS]]),IF(Main_S[[#This Row],[BVPS]]&lt;&gt;0,Main_S[[#This Row],[Current Price]]/Main_S[[#This Row],[BVPS]],""),"")</f>
        <v>1.0691823899371069</v>
      </c>
      <c r="J60">
        <v>9.1300000000000008</v>
      </c>
      <c r="K60">
        <v>4.6900000000000004</v>
      </c>
      <c r="L60">
        <v>1.54</v>
      </c>
      <c r="M60" s="1">
        <f>IF(ISNUMBER(Main_S[[#This Row],[EPS]]),IF(Main_S[[#This Row],[EPS]]&lt;&gt;0,Main_S[[#This Row],[Current Price]]/Main_S[[#This Row],[EPS]],""),"")</f>
        <v>12.477064220183486</v>
      </c>
      <c r="N6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0" s="1">
        <f>(Main_S[[#This Row],[P/FCF]]-VLOOKUP(Main_S[[#This Row],[Industry]], Mean_PFCF_S, 2, FALSE))/(VLOOKUP(Main_S[[#This Row],[Industry]], Mean_PFCF_S, 3, FALSE))</f>
        <v>-0.22899339175532279</v>
      </c>
      <c r="P60" s="1">
        <f>(Main_S[[#This Row],[P/B]]-VLOOKUP(Main_S[[#This Row],[Industry]], Mean_PB_S, 2, FALSE))/(VLOOKUP(Main_S[[#This Row],[Industry]], Mean_PB_S, 3, FALSE))</f>
        <v>-1.0693761148519707</v>
      </c>
      <c r="Q60" s="1">
        <f>(Main_S[[#This Row],[ROE]]-VLOOKUP(Main_S[[#This Row],[Industry]], Mean_ROE_S, 2, FALSE))/(VLOOKUP(Main_S[[#This Row],[Industry]], Mean_ROE_S, 3, FALSE))</f>
        <v>0.34273329599321156</v>
      </c>
      <c r="R60" s="1">
        <f>(Main_S[[#This Row],[ROA]]-VLOOKUP(Main_S[[#This Row],[Industry]], Mean_ROA_S, 2, FALSE))/(VLOOKUP(Main_S[[#This Row],[Industry]], Mean_ROA_S, 3, FALSE))</f>
        <v>0.59684672116592608</v>
      </c>
      <c r="S60" s="1">
        <f>(Main_S[[#This Row],[A/E]]-VLOOKUP(Main_S[[#This Row],[Industry]], Mean_AE_S, 2, FALSE))/(VLOOKUP(Main_S[[#This Row],[Industry]], Mean_AE_S, 3, FALSE))</f>
        <v>-1.4806467261461382</v>
      </c>
      <c r="T60" s="1">
        <f>(Main_S[[#This Row],[P/E]]-VLOOKUP(Main_S[[#This Row],[Industry]], Mean_PE_S, 2, FALSE))/(VLOOKUP(Main_S[[#This Row],[Industry]], Mean_PE_S, 3, FALSE))</f>
        <v>-0.61200288208532994</v>
      </c>
      <c r="U6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61" spans="1:26" x14ac:dyDescent="0.25">
      <c r="A61" s="68" t="s">
        <v>135</v>
      </c>
      <c r="B61" s="68" t="s">
        <v>437</v>
      </c>
      <c r="C61" s="2">
        <v>296</v>
      </c>
      <c r="D61">
        <f>RTD("tos.rtd", , "LAST", Main_S[[#This Row],[Symbol]])</f>
        <v>8.4700000000000006</v>
      </c>
      <c r="E61">
        <v>0.3</v>
      </c>
      <c r="F61">
        <v>3.81</v>
      </c>
      <c r="G61">
        <v>0.08</v>
      </c>
      <c r="H61" s="1">
        <f>IF(ISNUMBER(Main_S[[#This Row],[Free CF]]),IF(Main_S[[#This Row],[Free CF]]&lt;&gt;0,Main_S[[#This Row],[Current Price]]/Main_S[[#This Row],[Free CF]],""),"")</f>
        <v>28.233333333333338</v>
      </c>
      <c r="I61" s="1">
        <f>IF(ISNUMBER(Main_S[[#This Row],[BVPS]]),IF(Main_S[[#This Row],[BVPS]]&lt;&gt;0,Main_S[[#This Row],[Current Price]]/Main_S[[#This Row],[BVPS]],""),"")</f>
        <v>2.2230971128608927</v>
      </c>
      <c r="J61">
        <v>2.25</v>
      </c>
      <c r="K61">
        <v>2.0099999999999998</v>
      </c>
      <c r="L61">
        <v>2.76</v>
      </c>
      <c r="M61" s="1">
        <f>IF(ISNUMBER(Main_S[[#This Row],[EPS]]),IF(Main_S[[#This Row],[EPS]]&lt;&gt;0,Main_S[[#This Row],[Current Price]]/Main_S[[#This Row],[EPS]],""),"")</f>
        <v>105.875</v>
      </c>
      <c r="N6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1" s="1">
        <f>(Main_S[[#This Row],[P/FCF]]-VLOOKUP(Main_S[[#This Row],[Industry]], Mean_PFCF_S, 2, FALSE))/(VLOOKUP(Main_S[[#This Row],[Industry]], Mean_PFCF_S, 3, FALSE))</f>
        <v>1.1268888060619418</v>
      </c>
      <c r="P61" s="1">
        <f>(Main_S[[#This Row],[P/B]]-VLOOKUP(Main_S[[#This Row],[Industry]], Mean_PB_S, 2, FALSE))/(VLOOKUP(Main_S[[#This Row],[Industry]], Mean_PB_S, 3, FALSE))</f>
        <v>0.61021784981664517</v>
      </c>
      <c r="Q61" s="1">
        <f>(Main_S[[#This Row],[ROE]]-VLOOKUP(Main_S[[#This Row],[Industry]], Mean_ROE_S, 2, FALSE))/(VLOOKUP(Main_S[[#This Row],[Industry]], Mean_ROE_S, 3, FALSE))</f>
        <v>-0.47705355106008329</v>
      </c>
      <c r="R61" s="1">
        <f>(Main_S[[#This Row],[ROA]]-VLOOKUP(Main_S[[#This Row],[Industry]], Mean_ROA_S, 2, FALSE))/(VLOOKUP(Main_S[[#This Row],[Industry]], Mean_ROA_S, 3, FALSE))</f>
        <v>-0.40629132558273401</v>
      </c>
      <c r="S61" s="1">
        <f>(Main_S[[#This Row],[A/E]]-VLOOKUP(Main_S[[#This Row],[Industry]], Mean_AE_S, 2, FALSE))/(VLOOKUP(Main_S[[#This Row],[Industry]], Mean_AE_S, 3, FALSE))</f>
        <v>-4.7952207257872491E-2</v>
      </c>
      <c r="T61" s="1">
        <f>(Main_S[[#This Row],[P/E]]-VLOOKUP(Main_S[[#This Row],[Industry]], Mean_PE_S, 2, FALSE))/(VLOOKUP(Main_S[[#This Row],[Industry]], Mean_PE_S, 3, FALSE))</f>
        <v>1.1347132001494475</v>
      </c>
      <c r="U6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62" spans="1:26" x14ac:dyDescent="0.25">
      <c r="A62" s="68" t="s">
        <v>135</v>
      </c>
      <c r="B62" s="68" t="s">
        <v>438</v>
      </c>
      <c r="C62" s="2">
        <v>1245</v>
      </c>
      <c r="D62">
        <f>RTD("tos.rtd", , "LAST", Main_S[[#This Row],[Symbol]])</f>
        <v>35.83</v>
      </c>
      <c r="E62">
        <v>8.91</v>
      </c>
      <c r="F62">
        <v>21.62</v>
      </c>
      <c r="G62">
        <v>-3.13</v>
      </c>
      <c r="H62" s="1">
        <f>IF(ISNUMBER(Main_S[[#This Row],[Free CF]]),IF(Main_S[[#This Row],[Free CF]]&lt;&gt;0,Main_S[[#This Row],[Current Price]]/Main_S[[#This Row],[Free CF]],""),"")</f>
        <v>4.021324354657688</v>
      </c>
      <c r="I62" s="1">
        <f>IF(ISNUMBER(Main_S[[#This Row],[BVPS]]),IF(Main_S[[#This Row],[BVPS]]&lt;&gt;0,Main_S[[#This Row],[Current Price]]/Main_S[[#This Row],[BVPS]],""),"")</f>
        <v>1.6572617946345973</v>
      </c>
      <c r="J62">
        <v>-10.02</v>
      </c>
      <c r="K62">
        <v>-1.47</v>
      </c>
      <c r="L62">
        <v>3.74</v>
      </c>
      <c r="M62" s="1">
        <f>IF(ISNUMBER(Main_S[[#This Row],[EPS]]),IF(Main_S[[#This Row],[EPS]]&lt;&gt;0,Main_S[[#This Row],[Current Price]]/Main_S[[#This Row],[EPS]],""),"")</f>
        <v>-11.447284345047922</v>
      </c>
      <c r="N6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2" s="1">
        <f>(Main_S[[#This Row],[P/FCF]]-VLOOKUP(Main_S[[#This Row],[Industry]], Mean_PFCF_S, 2, FALSE))/(VLOOKUP(Main_S[[#This Row],[Industry]], Mean_PFCF_S, 3, FALSE))</f>
        <v>-0.35808537633390419</v>
      </c>
      <c r="P62" s="1">
        <f>(Main_S[[#This Row],[P/B]]-VLOOKUP(Main_S[[#This Row],[Industry]], Mean_PB_S, 2, FALSE))/(VLOOKUP(Main_S[[#This Row],[Industry]], Mean_PB_S, 3, FALSE))</f>
        <v>-0.21339031342888268</v>
      </c>
      <c r="Q62" s="1">
        <f>(Main_S[[#This Row],[ROE]]-VLOOKUP(Main_S[[#This Row],[Industry]], Mean_ROE_S, 2, FALSE))/(VLOOKUP(Main_S[[#This Row],[Industry]], Mean_ROE_S, 3, FALSE))</f>
        <v>-1.9390861983484446</v>
      </c>
      <c r="R62" s="1">
        <f>(Main_S[[#This Row],[ROA]]-VLOOKUP(Main_S[[#This Row],[Industry]], Mean_ROA_S, 2, FALSE))/(VLOOKUP(Main_S[[#This Row],[Industry]], Mean_ROA_S, 3, FALSE))</f>
        <v>-1.7088735653906952</v>
      </c>
      <c r="S62" s="1">
        <f>(Main_S[[#This Row],[A/E]]-VLOOKUP(Main_S[[#This Row],[Industry]], Mean_AE_S, 2, FALSE))/(VLOOKUP(Main_S[[#This Row],[Industry]], Mean_AE_S, 3, FALSE))</f>
        <v>1.1029007669310631</v>
      </c>
      <c r="T62" s="1">
        <f>(Main_S[[#This Row],[P/E]]-VLOOKUP(Main_S[[#This Row],[Industry]], Mean_PE_S, 2, FALSE))/(VLOOKUP(Main_S[[#This Row],[Industry]], Mean_PE_S, 3, FALSE))</f>
        <v>-1.0594329462186201</v>
      </c>
      <c r="U6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63" spans="1:26" x14ac:dyDescent="0.25">
      <c r="A63" s="68" t="s">
        <v>142</v>
      </c>
      <c r="B63" s="68" t="s">
        <v>568</v>
      </c>
      <c r="C63" s="2">
        <v>733</v>
      </c>
      <c r="D63">
        <f>RTD("tos.rtd", , "LAST", Main_S[[#This Row],[Symbol]])</f>
        <v>13.15</v>
      </c>
      <c r="E63">
        <v>-0.08</v>
      </c>
      <c r="F63">
        <v>-0.04</v>
      </c>
      <c r="G63">
        <v>-1.54</v>
      </c>
      <c r="H63" s="1">
        <f>IF(ISNUMBER(Main_S[[#This Row],[Free CF]]),IF(Main_S[[#This Row],[Free CF]]&lt;&gt;0,Main_S[[#This Row],[Current Price]]/Main_S[[#This Row],[Free CF]],""),"")</f>
        <v>-164.375</v>
      </c>
      <c r="I63" s="1">
        <f>IF(ISNUMBER(Main_S[[#This Row],[BVPS]]),IF(Main_S[[#This Row],[BVPS]]&lt;&gt;0,Main_S[[#This Row],[Current Price]]/Main_S[[#This Row],[BVPS]],""),"")</f>
        <v>-328.75</v>
      </c>
      <c r="J63">
        <v>-282.35000000000002</v>
      </c>
      <c r="K63">
        <v>-13.46</v>
      </c>
      <c r="L63">
        <v>-69.010000000000005</v>
      </c>
      <c r="M63" s="1">
        <f>IF(ISNUMBER(Main_S[[#This Row],[EPS]]),IF(Main_S[[#This Row],[EPS]]&lt;&gt;0,Main_S[[#This Row],[Current Price]]/Main_S[[#This Row],[EPS]],""),"")</f>
        <v>-8.5389610389610393</v>
      </c>
      <c r="N6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3" s="1">
        <f>(Main_S[[#This Row],[P/FCF]]-VLOOKUP(Main_S[[#This Row],[Industry]], Mean_PFCF_S, 2, FALSE))/(VLOOKUP(Main_S[[#This Row],[Industry]], Mean_PFCF_S, 3, FALSE))</f>
        <v>-11.444095112476001</v>
      </c>
      <c r="P63" s="1">
        <f>(Main_S[[#This Row],[P/B]]-VLOOKUP(Main_S[[#This Row],[Industry]], Mean_PB_S, 2, FALSE))/(VLOOKUP(Main_S[[#This Row],[Industry]], Mean_PB_S, 3, FALSE))</f>
        <v>-140.46506541040733</v>
      </c>
      <c r="Q63" s="1">
        <f>(Main_S[[#This Row],[ROE]]-VLOOKUP(Main_S[[#This Row],[Industry]], Mean_ROE_S, 2, FALSE))/(VLOOKUP(Main_S[[#This Row],[Industry]], Mean_ROE_S, 3, FALSE))</f>
        <v>-6.2278262459101095</v>
      </c>
      <c r="R63" s="1">
        <f>(Main_S[[#This Row],[ROA]]-VLOOKUP(Main_S[[#This Row],[Industry]], Mean_ROA_S, 2, FALSE))/(VLOOKUP(Main_S[[#This Row],[Industry]], Mean_ROA_S, 3, FALSE))</f>
        <v>-0.63853731304141459</v>
      </c>
      <c r="S63" s="1">
        <f>(Main_S[[#This Row],[A/E]]-VLOOKUP(Main_S[[#This Row],[Industry]], Mean_AE_S, 2, FALSE))/(VLOOKUP(Main_S[[#This Row],[Industry]], Mean_AE_S, 3, FALSE))</f>
        <v>-125.02603870946797</v>
      </c>
      <c r="T63" s="1">
        <f>(Main_S[[#This Row],[P/E]]-VLOOKUP(Main_S[[#This Row],[Industry]], Mean_PE_S, 2, FALSE))/(VLOOKUP(Main_S[[#This Row],[Industry]], Mean_PE_S, 3, FALSE))</f>
        <v>-0.85162435312884455</v>
      </c>
      <c r="U6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6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6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6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6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64" spans="1:26" x14ac:dyDescent="0.25">
      <c r="A64" s="68" t="s">
        <v>142</v>
      </c>
      <c r="B64" s="68" t="s">
        <v>439</v>
      </c>
      <c r="C64" s="2">
        <v>375</v>
      </c>
      <c r="D64">
        <f>RTD("tos.rtd", , "LAST", Main_S[[#This Row],[Symbol]])</f>
        <v>31.35</v>
      </c>
      <c r="E64">
        <v>1.95</v>
      </c>
      <c r="F64">
        <v>15.76</v>
      </c>
      <c r="G64">
        <v>0.79</v>
      </c>
      <c r="H64" s="1">
        <f>IF(ISNUMBER(Main_S[[#This Row],[Free CF]]),IF(Main_S[[#This Row],[Free CF]]&lt;&gt;0,Main_S[[#This Row],[Current Price]]/Main_S[[#This Row],[Free CF]],""),"")</f>
        <v>16.076923076923077</v>
      </c>
      <c r="I64" s="1">
        <f>IF(ISNUMBER(Main_S[[#This Row],[BVPS]]),IF(Main_S[[#This Row],[BVPS]]&lt;&gt;0,Main_S[[#This Row],[Current Price]]/Main_S[[#This Row],[BVPS]],""),"")</f>
        <v>1.9892131979695433</v>
      </c>
      <c r="J64">
        <v>5.0999999999999996</v>
      </c>
      <c r="K64">
        <v>3.2</v>
      </c>
      <c r="L64">
        <v>2.17</v>
      </c>
      <c r="M64" s="1">
        <f>IF(ISNUMBER(Main_S[[#This Row],[EPS]]),IF(Main_S[[#This Row],[EPS]]&lt;&gt;0,Main_S[[#This Row],[Current Price]]/Main_S[[#This Row],[EPS]],""),"")</f>
        <v>39.683544303797468</v>
      </c>
      <c r="N6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4" s="1">
        <f>(Main_S[[#This Row],[P/FCF]]-VLOOKUP(Main_S[[#This Row],[Industry]], Mean_PFCF_S, 2, FALSE))/(VLOOKUP(Main_S[[#This Row],[Industry]], Mean_PFCF_S, 3, FALSE))</f>
        <v>0.68329778404387131</v>
      </c>
      <c r="P64" s="1">
        <f>(Main_S[[#This Row],[P/B]]-VLOOKUP(Main_S[[#This Row],[Industry]], Mean_PB_S, 2, FALSE))/(VLOOKUP(Main_S[[#This Row],[Industry]], Mean_PB_S, 3, FALSE))</f>
        <v>-0.30875247179097604</v>
      </c>
      <c r="Q64" s="1">
        <f>(Main_S[[#This Row],[ROE]]-VLOOKUP(Main_S[[#This Row],[Industry]], Mean_ROE_S, 2, FALSE))/(VLOOKUP(Main_S[[#This Row],[Industry]], Mean_ROE_S, 3, FALSE))</f>
        <v>0.94128982490729829</v>
      </c>
      <c r="R64" s="1">
        <f>(Main_S[[#This Row],[ROA]]-VLOOKUP(Main_S[[#This Row],[Industry]], Mean_ROA_S, 2, FALSE))/(VLOOKUP(Main_S[[#This Row],[Industry]], Mean_ROA_S, 3, FALSE))</f>
        <v>0.78257378327327554</v>
      </c>
      <c r="S64" s="1">
        <f>(Main_S[[#This Row],[A/E]]-VLOOKUP(Main_S[[#This Row],[Industry]], Mean_AE_S, 2, FALSE))/(VLOOKUP(Main_S[[#This Row],[Industry]], Mean_AE_S, 3, FALSE))</f>
        <v>1.39084322371344</v>
      </c>
      <c r="T64" s="1">
        <f>(Main_S[[#This Row],[P/E]]-VLOOKUP(Main_S[[#This Row],[Industry]], Mean_PE_S, 2, FALSE))/(VLOOKUP(Main_S[[#This Row],[Industry]], Mean_PE_S, 3, FALSE))</f>
        <v>2.0667402335099063</v>
      </c>
      <c r="U6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65" spans="1:26" x14ac:dyDescent="0.25">
      <c r="A65" s="68" t="s">
        <v>142</v>
      </c>
      <c r="B65" s="68" t="s">
        <v>569</v>
      </c>
      <c r="C65" s="2">
        <v>284</v>
      </c>
      <c r="D65">
        <f>RTD("tos.rtd", , "LAST", Main_S[[#This Row],[Symbol]])</f>
        <v>2.87</v>
      </c>
      <c r="E65">
        <v>-0.36</v>
      </c>
      <c r="F65">
        <v>0.59</v>
      </c>
      <c r="G65">
        <v>-0.45</v>
      </c>
      <c r="H65" s="1">
        <f>IF(ISNUMBER(Main_S[[#This Row],[Free CF]]),IF(Main_S[[#This Row],[Free CF]]&lt;&gt;0,Main_S[[#This Row],[Current Price]]/Main_S[[#This Row],[Free CF]],""),"")</f>
        <v>-7.9722222222222232</v>
      </c>
      <c r="I65" s="1">
        <f>IF(ISNUMBER(Main_S[[#This Row],[BVPS]]),IF(Main_S[[#This Row],[BVPS]]&lt;&gt;0,Main_S[[#This Row],[Current Price]]/Main_S[[#This Row],[BVPS]],""),"")</f>
        <v>4.8644067796610173</v>
      </c>
      <c r="J65">
        <v>-69.11</v>
      </c>
      <c r="K65">
        <v>-24.25</v>
      </c>
      <c r="L65">
        <v>1.74</v>
      </c>
      <c r="M65" s="1">
        <f>IF(ISNUMBER(Main_S[[#This Row],[EPS]]),IF(Main_S[[#This Row],[EPS]]&lt;&gt;0,Main_S[[#This Row],[Current Price]]/Main_S[[#This Row],[EPS]],""),"")</f>
        <v>-6.3777777777777782</v>
      </c>
      <c r="N6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5" s="1">
        <f>(Main_S[[#This Row],[P/FCF]]-VLOOKUP(Main_S[[#This Row],[Industry]], Mean_PFCF_S, 2, FALSE))/(VLOOKUP(Main_S[[#This Row],[Industry]], Mean_PFCF_S, 3, FALSE))</f>
        <v>-0.93294120579445206</v>
      </c>
      <c r="P65" s="1">
        <f>(Main_S[[#This Row],[P/B]]-VLOOKUP(Main_S[[#This Row],[Industry]], Mean_PB_S, 2, FALSE))/(VLOOKUP(Main_S[[#This Row],[Industry]], Mean_PB_S, 3, FALSE))</f>
        <v>0.90965924146856725</v>
      </c>
      <c r="Q65" s="1">
        <f>(Main_S[[#This Row],[ROE]]-VLOOKUP(Main_S[[#This Row],[Industry]], Mean_ROE_S, 2, FALSE))/(VLOOKUP(Main_S[[#This Row],[Industry]], Mean_ROE_S, 3, FALSE))</f>
        <v>-0.90953676620545099</v>
      </c>
      <c r="R65" s="1">
        <f>(Main_S[[#This Row],[ROA]]-VLOOKUP(Main_S[[#This Row],[Industry]], Mean_ROA_S, 2, FALSE))/(VLOOKUP(Main_S[[#This Row],[Industry]], Mean_ROA_S, 3, FALSE))</f>
        <v>-1.5589327949883236</v>
      </c>
      <c r="S65" s="1">
        <f>(Main_S[[#This Row],[A/E]]-VLOOKUP(Main_S[[#This Row],[Industry]], Mean_AE_S, 2, FALSE))/(VLOOKUP(Main_S[[#This Row],[Industry]], Mean_AE_S, 3, FALSE))</f>
        <v>0.62715596280773622</v>
      </c>
      <c r="T65" s="1">
        <f>(Main_S[[#This Row],[P/E]]-VLOOKUP(Main_S[[#This Row],[Industry]], Mean_PE_S, 2, FALSE))/(VLOOKUP(Main_S[[#This Row],[Industry]], Mean_PE_S, 3, FALSE))</f>
        <v>-0.72083229556477602</v>
      </c>
      <c r="U6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66" spans="1:26" x14ac:dyDescent="0.25">
      <c r="A66" s="68" t="s">
        <v>142</v>
      </c>
      <c r="B66" s="68" t="s">
        <v>440</v>
      </c>
      <c r="C66" s="2">
        <v>818</v>
      </c>
      <c r="D66">
        <f>RTD("tos.rtd", , "LAST", Main_S[[#This Row],[Symbol]])</f>
        <v>23.58</v>
      </c>
      <c r="E66">
        <v>0.63</v>
      </c>
      <c r="F66">
        <v>4.88</v>
      </c>
      <c r="G66">
        <v>0.09</v>
      </c>
      <c r="H66" s="1">
        <f>IF(ISNUMBER(Main_S[[#This Row],[Free CF]]),IF(Main_S[[#This Row],[Free CF]]&lt;&gt;0,Main_S[[#This Row],[Current Price]]/Main_S[[#This Row],[Free CF]],""),"")</f>
        <v>37.428571428571423</v>
      </c>
      <c r="I66" s="1">
        <f>IF(ISNUMBER(Main_S[[#This Row],[BVPS]]),IF(Main_S[[#This Row],[BVPS]]&lt;&gt;0,Main_S[[#This Row],[Current Price]]/Main_S[[#This Row],[BVPS]],""),"")</f>
        <v>4.831967213114754</v>
      </c>
      <c r="J66">
        <v>2.39</v>
      </c>
      <c r="K66">
        <v>1.41</v>
      </c>
      <c r="L66">
        <v>1.61</v>
      </c>
      <c r="M66" s="1">
        <f>IF(ISNUMBER(Main_S[[#This Row],[EPS]]),IF(Main_S[[#This Row],[EPS]]&lt;&gt;0,Main_S[[#This Row],[Current Price]]/Main_S[[#This Row],[EPS]],""),"")</f>
        <v>262</v>
      </c>
      <c r="N6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6" s="1">
        <f>(Main_S[[#This Row],[P/FCF]]-VLOOKUP(Main_S[[#This Row],[Industry]], Mean_PFCF_S, 2, FALSE))/(VLOOKUP(Main_S[[#This Row],[Industry]], Mean_PFCF_S, 3, FALSE))</f>
        <v>2.118249676678396</v>
      </c>
      <c r="P66" s="1">
        <f>(Main_S[[#This Row],[P/B]]-VLOOKUP(Main_S[[#This Row],[Industry]], Mean_PB_S, 2, FALSE))/(VLOOKUP(Main_S[[#This Row],[Industry]], Mean_PB_S, 3, FALSE))</f>
        <v>0.89591242869578092</v>
      </c>
      <c r="Q66" s="1">
        <f>(Main_S[[#This Row],[ROE]]-VLOOKUP(Main_S[[#This Row],[Industry]], Mean_ROE_S, 2, FALSE))/(VLOOKUP(Main_S[[#This Row],[Industry]], Mean_ROE_S, 3, FALSE))</f>
        <v>0.87370135890654965</v>
      </c>
      <c r="R66" s="1">
        <f>(Main_S[[#This Row],[ROA]]-VLOOKUP(Main_S[[#This Row],[Industry]], Mean_ROA_S, 2, FALSE))/(VLOOKUP(Main_S[[#This Row],[Industry]], Mean_ROA_S, 3, FALSE))</f>
        <v>0.62988537616623508</v>
      </c>
      <c r="S66" s="1">
        <f>(Main_S[[#This Row],[A/E]]-VLOOKUP(Main_S[[#This Row],[Industry]], Mean_AE_S, 2, FALSE))/(VLOOKUP(Main_S[[#This Row],[Industry]], Mean_AE_S, 3, FALSE))</f>
        <v>0.39627376765019806</v>
      </c>
      <c r="T66" s="1">
        <f>(Main_S[[#This Row],[P/E]]-VLOOKUP(Main_S[[#This Row],[Industry]], Mean_PE_S, 2, FALSE))/(VLOOKUP(Main_S[[#This Row],[Industry]], Mean_PE_S, 3, FALSE))</f>
        <v>15.52104889539426</v>
      </c>
      <c r="U6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67" spans="1:26" x14ac:dyDescent="0.25">
      <c r="A67" s="68" t="s">
        <v>142</v>
      </c>
      <c r="B67" s="68" t="s">
        <v>441</v>
      </c>
      <c r="C67" s="2">
        <v>769</v>
      </c>
      <c r="D67">
        <f>RTD("tos.rtd", , "LAST", Main_S[[#This Row],[Symbol]])</f>
        <v>8.25</v>
      </c>
      <c r="E67">
        <v>0.97</v>
      </c>
      <c r="F67">
        <v>-0.78</v>
      </c>
      <c r="G67">
        <v>-1.95</v>
      </c>
      <c r="H67" s="1">
        <f>IF(ISNUMBER(Main_S[[#This Row],[Free CF]]),IF(Main_S[[#This Row],[Free CF]]&lt;&gt;0,Main_S[[#This Row],[Current Price]]/Main_S[[#This Row],[Free CF]],""),"")</f>
        <v>8.5051546391752577</v>
      </c>
      <c r="I67" s="1">
        <f>IF(ISNUMBER(Main_S[[#This Row],[BVPS]]),IF(Main_S[[#This Row],[BVPS]]&lt;&gt;0,Main_S[[#This Row],[Current Price]]/Main_S[[#This Row],[BVPS]],""),"")</f>
        <v>-10.576923076923077</v>
      </c>
      <c r="J67">
        <v>-53.46</v>
      </c>
      <c r="K67">
        <v>3.87</v>
      </c>
      <c r="L67">
        <v>-12.08</v>
      </c>
      <c r="M67" s="1">
        <f>IF(ISNUMBER(Main_S[[#This Row],[EPS]]),IF(Main_S[[#This Row],[EPS]]&lt;&gt;0,Main_S[[#This Row],[Current Price]]/Main_S[[#This Row],[EPS]],""),"")</f>
        <v>-4.2307692307692308</v>
      </c>
      <c r="N6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7" s="1">
        <f>(Main_S[[#This Row],[P/FCF]]-VLOOKUP(Main_S[[#This Row],[Industry]], Mean_PFCF_S, 2, FALSE))/(VLOOKUP(Main_S[[#This Row],[Industry]], Mean_PFCF_S, 3, FALSE))</f>
        <v>0.17443199197972831</v>
      </c>
      <c r="P67" s="1">
        <f>(Main_S[[#This Row],[P/B]]-VLOOKUP(Main_S[[#This Row],[Industry]], Mean_PB_S, 2, FALSE))/(VLOOKUP(Main_S[[#This Row],[Industry]], Mean_PB_S, 3, FALSE))</f>
        <v>-5.6338643965113713</v>
      </c>
      <c r="Q67" s="1">
        <f>(Main_S[[#This Row],[ROE]]-VLOOKUP(Main_S[[#This Row],[Industry]], Mean_ROE_S, 2, FALSE))/(VLOOKUP(Main_S[[#This Row],[Industry]], Mean_ROE_S, 3, FALSE))</f>
        <v>-0.51921961014946771</v>
      </c>
      <c r="R67" s="1">
        <f>(Main_S[[#This Row],[ROA]]-VLOOKUP(Main_S[[#This Row],[Industry]], Mean_ROA_S, 2, FALSE))/(VLOOKUP(Main_S[[#This Row],[Industry]], Mean_ROA_S, 3, FALSE))</f>
        <v>0.83972530995579908</v>
      </c>
      <c r="S67" s="1">
        <f>(Main_S[[#This Row],[A/E]]-VLOOKUP(Main_S[[#This Row],[Industry]], Mean_AE_S, 2, FALSE))/(VLOOKUP(Main_S[[#This Row],[Industry]], Mean_AE_S, 3, FALSE))</f>
        <v>-23.917397399324418</v>
      </c>
      <c r="T67" s="1">
        <f>(Main_S[[#This Row],[P/E]]-VLOOKUP(Main_S[[#This Row],[Industry]], Mean_PE_S, 2, FALSE))/(VLOOKUP(Main_S[[#This Row],[Industry]], Mean_PE_S, 3, FALSE))</f>
        <v>-0.59089807364361269</v>
      </c>
      <c r="U6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6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6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68" spans="1:26" x14ac:dyDescent="0.25">
      <c r="A68" s="68" t="s">
        <v>142</v>
      </c>
      <c r="B68" s="68" t="s">
        <v>442</v>
      </c>
      <c r="C68" s="2">
        <v>360</v>
      </c>
      <c r="D68">
        <f>RTD("tos.rtd", , "LAST", Main_S[[#This Row],[Symbol]])</f>
        <v>1.39</v>
      </c>
      <c r="E68">
        <v>-0.45</v>
      </c>
      <c r="F68">
        <v>2.25</v>
      </c>
      <c r="G68">
        <v>-1.08</v>
      </c>
      <c r="H68" s="1">
        <f>IF(ISNUMBER(Main_S[[#This Row],[Free CF]]),IF(Main_S[[#This Row],[Free CF]]&lt;&gt;0,Main_S[[#This Row],[Current Price]]/Main_S[[#This Row],[Free CF]],""),"")</f>
        <v>-3.0888888888888886</v>
      </c>
      <c r="I68" s="1">
        <f>IF(ISNUMBER(Main_S[[#This Row],[BVPS]]),IF(Main_S[[#This Row],[BVPS]]&lt;&gt;0,Main_S[[#This Row],[Current Price]]/Main_S[[#This Row],[BVPS]],""),"")</f>
        <v>0.61777777777777776</v>
      </c>
      <c r="J68">
        <v>-38.880000000000003</v>
      </c>
      <c r="K68">
        <v>-11.2</v>
      </c>
      <c r="L68">
        <v>1.1599999999999999</v>
      </c>
      <c r="M68" s="1">
        <f>IF(ISNUMBER(Main_S[[#This Row],[EPS]]),IF(Main_S[[#This Row],[EPS]]&lt;&gt;0,Main_S[[#This Row],[Current Price]]/Main_S[[#This Row],[EPS]],""),"")</f>
        <v>-1.2870370370370368</v>
      </c>
      <c r="N6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8" s="1">
        <f>(Main_S[[#This Row],[P/FCF]]-VLOOKUP(Main_S[[#This Row],[Industry]], Mean_PFCF_S, 2, FALSE))/(VLOOKUP(Main_S[[#This Row],[Industry]], Mean_PFCF_S, 3, FALSE))</f>
        <v>-0.60475350367303893</v>
      </c>
      <c r="P68" s="1">
        <f>(Main_S[[#This Row],[P/B]]-VLOOKUP(Main_S[[#This Row],[Industry]], Mean_PB_S, 2, FALSE))/(VLOOKUP(Main_S[[#This Row],[Industry]], Mean_PB_S, 3, FALSE))</f>
        <v>-0.88992133310905064</v>
      </c>
      <c r="Q68" s="1">
        <f>(Main_S[[#This Row],[ROE]]-VLOOKUP(Main_S[[#This Row],[Industry]], Mean_ROE_S, 2, FALSE))/(VLOOKUP(Main_S[[#This Row],[Industry]], Mean_ROE_S, 3, FALSE))</f>
        <v>-0.15558867498676884</v>
      </c>
      <c r="R68" s="1">
        <f>(Main_S[[#This Row],[ROA]]-VLOOKUP(Main_S[[#This Row],[Industry]], Mean_ROA_S, 2, FALSE))/(VLOOKUP(Main_S[[#This Row],[Industry]], Mean_ROA_S, 3, FALSE))</f>
        <v>-0.44575753647051408</v>
      </c>
      <c r="S68" s="1">
        <f>(Main_S[[#This Row],[A/E]]-VLOOKUP(Main_S[[#This Row],[Industry]], Mean_AE_S, 2, FALSE))/(VLOOKUP(Main_S[[#This Row],[Industry]], Mean_AE_S, 3, FALSE))</f>
        <v>-0.40293383097205043</v>
      </c>
      <c r="T68" s="1">
        <f>(Main_S[[#This Row],[P/E]]-VLOOKUP(Main_S[[#This Row],[Industry]], Mean_PE_S, 2, FALSE))/(VLOOKUP(Main_S[[#This Row],[Industry]], Mean_PE_S, 3, FALSE))</f>
        <v>-0.41274715166903475</v>
      </c>
      <c r="U6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69" spans="1:26" x14ac:dyDescent="0.25">
      <c r="A69" s="68" t="s">
        <v>142</v>
      </c>
      <c r="B69" s="68" t="s">
        <v>443</v>
      </c>
      <c r="C69" s="2">
        <v>273</v>
      </c>
      <c r="D69">
        <f>RTD("tos.rtd", , "LAST", Main_S[[#This Row],[Symbol]])</f>
        <v>0.69389999999999996</v>
      </c>
      <c r="E69">
        <v>-0.37</v>
      </c>
      <c r="F69">
        <v>0.3</v>
      </c>
      <c r="G69">
        <v>-0.64</v>
      </c>
      <c r="H69" s="1">
        <f>IF(ISNUMBER(Main_S[[#This Row],[Free CF]]),IF(Main_S[[#This Row],[Free CF]]&lt;&gt;0,Main_S[[#This Row],[Current Price]]/Main_S[[#This Row],[Free CF]],""),"")</f>
        <v>-1.8754054054054052</v>
      </c>
      <c r="I69" s="1">
        <f>IF(ISNUMBER(Main_S[[#This Row],[BVPS]]),IF(Main_S[[#This Row],[BVPS]]&lt;&gt;0,Main_S[[#This Row],[Current Price]]/Main_S[[#This Row],[BVPS]],""),"")</f>
        <v>2.3130000000000002</v>
      </c>
      <c r="J69">
        <v>-119.13</v>
      </c>
      <c r="K69">
        <v>-15.19</v>
      </c>
      <c r="L69">
        <v>6.53</v>
      </c>
      <c r="M69" s="1">
        <f>IF(ISNUMBER(Main_S[[#This Row],[EPS]]),IF(Main_S[[#This Row],[EPS]]&lt;&gt;0,Main_S[[#This Row],[Current Price]]/Main_S[[#This Row],[EPS]],""),"")</f>
        <v>-1.08421875</v>
      </c>
      <c r="N6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9" s="1">
        <f>(Main_S[[#This Row],[P/FCF]]-VLOOKUP(Main_S[[#This Row],[Industry]], Mean_PFCF_S, 2, FALSE))/(VLOOKUP(Main_S[[#This Row],[Industry]], Mean_PFCF_S, 3, FALSE))</f>
        <v>-0.52320052974674569</v>
      </c>
      <c r="P69" s="1">
        <f>(Main_S[[#This Row],[P/B]]-VLOOKUP(Main_S[[#This Row],[Industry]], Mean_PB_S, 2, FALSE))/(VLOOKUP(Main_S[[#This Row],[Industry]], Mean_PB_S, 3, FALSE))</f>
        <v>-0.17154236019888278</v>
      </c>
      <c r="Q69" s="1">
        <f>(Main_S[[#This Row],[ROE]]-VLOOKUP(Main_S[[#This Row],[Industry]], Mean_ROE_S, 2, FALSE))/(VLOOKUP(Main_S[[#This Row],[Industry]], Mean_ROE_S, 3, FALSE))</f>
        <v>-2.1570552419831048</v>
      </c>
      <c r="R69" s="1">
        <f>(Main_S[[#This Row],[ROA]]-VLOOKUP(Main_S[[#This Row],[Industry]], Mean_ROA_S, 2, FALSE))/(VLOOKUP(Main_S[[#This Row],[Industry]], Mean_ROA_S, 3, FALSE))</f>
        <v>-0.78610767298285578</v>
      </c>
      <c r="S69" s="1">
        <f>(Main_S[[#This Row],[A/E]]-VLOOKUP(Main_S[[#This Row],[Industry]], Mean_AE_S, 2, FALSE))/(VLOOKUP(Main_S[[#This Row],[Industry]], Mean_AE_S, 3, FALSE))</f>
        <v>9.1342768459201125</v>
      </c>
      <c r="T69" s="1">
        <f>(Main_S[[#This Row],[P/E]]-VLOOKUP(Main_S[[#This Row],[Industry]], Mean_PE_S, 2, FALSE))/(VLOOKUP(Main_S[[#This Row],[Industry]], Mean_PE_S, 3, FALSE))</f>
        <v>-0.40047284733323757</v>
      </c>
      <c r="U6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6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70" spans="1:26" x14ac:dyDescent="0.25">
      <c r="A70" s="68" t="s">
        <v>142</v>
      </c>
      <c r="B70" s="68" t="s">
        <v>444</v>
      </c>
      <c r="C70" s="2">
        <v>1187</v>
      </c>
      <c r="D70">
        <f>RTD("tos.rtd", , "LAST", Main_S[[#This Row],[Symbol]])</f>
        <v>7.93</v>
      </c>
      <c r="E70">
        <v>-0.87</v>
      </c>
      <c r="F70">
        <v>1.23</v>
      </c>
      <c r="G70">
        <v>-1.1000000000000001</v>
      </c>
      <c r="H70" s="1">
        <f>IF(ISNUMBER(Main_S[[#This Row],[Free CF]]),IF(Main_S[[#This Row],[Free CF]]&lt;&gt;0,Main_S[[#This Row],[Current Price]]/Main_S[[#This Row],[Free CF]],""),"")</f>
        <v>-9.1149425287356323</v>
      </c>
      <c r="I70" s="1">
        <f>IF(ISNUMBER(Main_S[[#This Row],[BVPS]]),IF(Main_S[[#This Row],[BVPS]]&lt;&gt;0,Main_S[[#This Row],[Current Price]]/Main_S[[#This Row],[BVPS]],""),"")</f>
        <v>6.4471544715447155</v>
      </c>
      <c r="J70">
        <v>-84.94</v>
      </c>
      <c r="K70">
        <v>-21.73</v>
      </c>
      <c r="L70">
        <v>2.12</v>
      </c>
      <c r="M70" s="1">
        <f>IF(ISNUMBER(Main_S[[#This Row],[EPS]]),IF(Main_S[[#This Row],[EPS]]&lt;&gt;0,Main_S[[#This Row],[Current Price]]/Main_S[[#This Row],[EPS]],""),"")</f>
        <v>-7.2090909090909081</v>
      </c>
      <c r="N7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0" s="1">
        <f>(Main_S[[#This Row],[P/FCF]]-VLOOKUP(Main_S[[#This Row],[Industry]], Mean_PFCF_S, 2, FALSE))/(VLOOKUP(Main_S[[#This Row],[Industry]], Mean_PFCF_S, 3, FALSE))</f>
        <v>-1.0097384928037585</v>
      </c>
      <c r="P70" s="1">
        <f>(Main_S[[#This Row],[P/B]]-VLOOKUP(Main_S[[#This Row],[Industry]], Mean_PB_S, 2, FALSE))/(VLOOKUP(Main_S[[#This Row],[Industry]], Mean_PB_S, 3, FALSE))</f>
        <v>1.5803752374993827</v>
      </c>
      <c r="Q70" s="1">
        <f>(Main_S[[#This Row],[ROE]]-VLOOKUP(Main_S[[#This Row],[Industry]], Mean_ROE_S, 2, FALSE))/(VLOOKUP(Main_S[[#This Row],[Industry]], Mean_ROE_S, 3, FALSE))</f>
        <v>-1.3043431930659122</v>
      </c>
      <c r="R70" s="1">
        <f>(Main_S[[#This Row],[ROA]]-VLOOKUP(Main_S[[#This Row],[Industry]], Mean_ROA_S, 2, FALSE))/(VLOOKUP(Main_S[[#This Row],[Industry]], Mean_ROA_S, 3, FALSE))</f>
        <v>-1.3439748140331604</v>
      </c>
      <c r="S70" s="1">
        <f>(Main_S[[#This Row],[A/E]]-VLOOKUP(Main_S[[#This Row],[Industry]], Mean_AE_S, 2, FALSE))/(VLOOKUP(Main_S[[#This Row],[Industry]], Mean_AE_S, 3, FALSE))</f>
        <v>1.3020423794220795</v>
      </c>
      <c r="T70" s="1">
        <f>(Main_S[[#This Row],[P/E]]-VLOOKUP(Main_S[[#This Row],[Industry]], Mean_PE_S, 2, FALSE))/(VLOOKUP(Main_S[[#This Row],[Industry]], Mean_PE_S, 3, FALSE))</f>
        <v>-0.77114230715765819</v>
      </c>
      <c r="U7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7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7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7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7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7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71" spans="1:26" x14ac:dyDescent="0.25">
      <c r="A71" s="68" t="s">
        <v>142</v>
      </c>
      <c r="B71" s="68" t="s">
        <v>445</v>
      </c>
      <c r="C71" s="2">
        <v>1514</v>
      </c>
      <c r="D71">
        <f>RTD("tos.rtd", , "LAST", Main_S[[#This Row],[Symbol]])</f>
        <v>6.8</v>
      </c>
      <c r="E71">
        <v>-0.88</v>
      </c>
      <c r="F71">
        <v>-4.83</v>
      </c>
      <c r="G71">
        <v>-4.55</v>
      </c>
      <c r="H71" s="1">
        <f>IF(ISNUMBER(Main_S[[#This Row],[Free CF]]),IF(Main_S[[#This Row],[Free CF]]&lt;&gt;0,Main_S[[#This Row],[Current Price]]/Main_S[[#This Row],[Free CF]],""),"")</f>
        <v>-7.7272727272727266</v>
      </c>
      <c r="I71" s="1">
        <f>IF(ISNUMBER(Main_S[[#This Row],[BVPS]]),IF(Main_S[[#This Row],[BVPS]]&lt;&gt;0,Main_S[[#This Row],[Current Price]]/Main_S[[#This Row],[BVPS]],""),"")</f>
        <v>-1.4078674948240164</v>
      </c>
      <c r="J71">
        <v>198.07</v>
      </c>
      <c r="K71">
        <v>-46.46</v>
      </c>
      <c r="L71">
        <v>-0.24</v>
      </c>
      <c r="M71" s="1">
        <f>IF(ISNUMBER(Main_S[[#This Row],[EPS]]),IF(Main_S[[#This Row],[EPS]]&lt;&gt;0,Main_S[[#This Row],[Current Price]]/Main_S[[#This Row],[EPS]],""),"")</f>
        <v>-1.4945054945054945</v>
      </c>
      <c r="N7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1" s="1">
        <f>(Main_S[[#This Row],[P/FCF]]-VLOOKUP(Main_S[[#This Row],[Industry]], Mean_PFCF_S, 2, FALSE))/(VLOOKUP(Main_S[[#This Row],[Industry]], Mean_PFCF_S, 3, FALSE))</f>
        <v>-0.91647921018695533</v>
      </c>
      <c r="P71" s="1">
        <f>(Main_S[[#This Row],[P/B]]-VLOOKUP(Main_S[[#This Row],[Industry]], Mean_PB_S, 2, FALSE))/(VLOOKUP(Main_S[[#This Row],[Industry]], Mean_PB_S, 3, FALSE))</f>
        <v>-1.7483226396377345</v>
      </c>
      <c r="Q71" s="1">
        <f>(Main_S[[#This Row],[ROE]]-VLOOKUP(Main_S[[#This Row],[Industry]], Mean_ROE_S, 2, FALSE))/(VLOOKUP(Main_S[[#This Row],[Industry]], Mean_ROE_S, 3, FALSE))</f>
        <v>5.7540375312410434</v>
      </c>
      <c r="R71" s="1">
        <f>(Main_S[[#This Row],[ROA]]-VLOOKUP(Main_S[[#This Row],[Industry]], Mean_ROA_S, 2, FALSE))/(VLOOKUP(Main_S[[#This Row],[Industry]], Mean_ROA_S, 3, FALSE))</f>
        <v>-3.4534632541209329</v>
      </c>
      <c r="S71" s="1">
        <f>(Main_S[[#This Row],[A/E]]-VLOOKUP(Main_S[[#This Row],[Industry]], Mean_AE_S, 2, FALSE))/(VLOOKUP(Main_S[[#This Row],[Industry]], Mean_AE_S, 3, FALSE))</f>
        <v>-2.8893574711301557</v>
      </c>
      <c r="T71" s="1">
        <f>(Main_S[[#This Row],[P/E]]-VLOOKUP(Main_S[[#This Row],[Industry]], Mean_PE_S, 2, FALSE))/(VLOOKUP(Main_S[[#This Row],[Industry]], Mean_PE_S, 3, FALSE))</f>
        <v>-0.42530287839490544</v>
      </c>
      <c r="U7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7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7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7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7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7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72" spans="1:26" x14ac:dyDescent="0.25">
      <c r="A72" s="68" t="s">
        <v>142</v>
      </c>
      <c r="B72" s="68" t="s">
        <v>295</v>
      </c>
      <c r="C72" s="2">
        <v>587</v>
      </c>
      <c r="D72">
        <f>RTD("tos.rtd", , "LAST", Main_S[[#This Row],[Symbol]])</f>
        <v>5.78</v>
      </c>
      <c r="E72">
        <v>-1.34</v>
      </c>
      <c r="F72">
        <v>3.15</v>
      </c>
      <c r="G72">
        <v>-0.02</v>
      </c>
      <c r="H72" s="1">
        <f>IF(ISNUMBER(Main_S[[#This Row],[Free CF]]),IF(Main_S[[#This Row],[Free CF]]&lt;&gt;0,Main_S[[#This Row],[Current Price]]/Main_S[[#This Row],[Free CF]],""),"")</f>
        <v>-4.3134328358208958</v>
      </c>
      <c r="I72" s="1">
        <f>IF(ISNUMBER(Main_S[[#This Row],[BVPS]]),IF(Main_S[[#This Row],[BVPS]]&lt;&gt;0,Main_S[[#This Row],[Current Price]]/Main_S[[#This Row],[BVPS]],""),"")</f>
        <v>1.8349206349206351</v>
      </c>
      <c r="J72">
        <v>-0.2</v>
      </c>
      <c r="K72">
        <v>0.09</v>
      </c>
      <c r="L72">
        <v>5.41</v>
      </c>
      <c r="M72" s="1">
        <f>IF(ISNUMBER(Main_S[[#This Row],[EPS]]),IF(Main_S[[#This Row],[EPS]]&lt;&gt;0,Main_S[[#This Row],[Current Price]]/Main_S[[#This Row],[EPS]],""),"")</f>
        <v>-289</v>
      </c>
      <c r="N7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2" s="1">
        <f>(Main_S[[#This Row],[P/FCF]]-VLOOKUP(Main_S[[#This Row],[Industry]], Mean_PFCF_S, 2, FALSE))/(VLOOKUP(Main_S[[#This Row],[Industry]], Mean_PFCF_S, 3, FALSE))</f>
        <v>-0.68704980348675249</v>
      </c>
      <c r="P72" s="1">
        <f>(Main_S[[#This Row],[P/B]]-VLOOKUP(Main_S[[#This Row],[Industry]], Mean_PB_S, 2, FALSE))/(VLOOKUP(Main_S[[#This Row],[Industry]], Mean_PB_S, 3, FALSE))</f>
        <v>-0.37413654446166938</v>
      </c>
      <c r="Q72" s="1">
        <f>(Main_S[[#This Row],[ROE]]-VLOOKUP(Main_S[[#This Row],[Industry]], Mean_ROE_S, 2, FALSE))/(VLOOKUP(Main_S[[#This Row],[Industry]], Mean_ROE_S, 3, FALSE))</f>
        <v>0.80910574010878622</v>
      </c>
      <c r="R72" s="1">
        <f>(Main_S[[#This Row],[ROA]]-VLOOKUP(Main_S[[#This Row],[Industry]], Mean_ROA_S, 2, FALSE))/(VLOOKUP(Main_S[[#This Row],[Industry]], Mean_ROA_S, 3, FALSE))</f>
        <v>0.51728833852305423</v>
      </c>
      <c r="S72" s="1">
        <f>(Main_S[[#This Row],[A/E]]-VLOOKUP(Main_S[[#This Row],[Industry]], Mean_AE_S, 2, FALSE))/(VLOOKUP(Main_S[[#This Row],[Industry]], Mean_AE_S, 3, FALSE))</f>
        <v>7.1451379337936274</v>
      </c>
      <c r="T72" s="1">
        <f>(Main_S[[#This Row],[P/E]]-VLOOKUP(Main_S[[#This Row],[Industry]], Mean_PE_S, 2, FALSE))/(VLOOKUP(Main_S[[#This Row],[Industry]], Mean_PE_S, 3, FALSE))</f>
        <v>-17.824769116515096</v>
      </c>
      <c r="U7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7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7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7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7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7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73" spans="1:26" x14ac:dyDescent="0.25">
      <c r="A73" s="68" t="s">
        <v>142</v>
      </c>
      <c r="B73" s="68" t="s">
        <v>457</v>
      </c>
      <c r="C73" s="2">
        <v>284</v>
      </c>
      <c r="D73">
        <f>RTD("tos.rtd", , "LAST", Main_S[[#This Row],[Symbol]])</f>
        <v>1.91</v>
      </c>
      <c r="E73">
        <v>-0.42</v>
      </c>
      <c r="F73">
        <v>1.41</v>
      </c>
      <c r="G73">
        <v>-0.3</v>
      </c>
      <c r="H73" s="1">
        <f>IF(ISNUMBER(Main_S[[#This Row],[Free CF]]),IF(Main_S[[#This Row],[Free CF]]&lt;&gt;0,Main_S[[#This Row],[Current Price]]/Main_S[[#This Row],[Free CF]],""),"")</f>
        <v>-4.5476190476190474</v>
      </c>
      <c r="I73" s="1">
        <f>IF(ISNUMBER(Main_S[[#This Row],[BVPS]]),IF(Main_S[[#This Row],[BVPS]]&lt;&gt;0,Main_S[[#This Row],[Current Price]]/Main_S[[#This Row],[BVPS]],""),"")</f>
        <v>1.3546099290780143</v>
      </c>
      <c r="J73">
        <v>-18.899999999999999</v>
      </c>
      <c r="K73">
        <v>-12.95</v>
      </c>
      <c r="L73">
        <v>1.08</v>
      </c>
      <c r="M73" s="1">
        <f>IF(ISNUMBER(Main_S[[#This Row],[EPS]]),IF(Main_S[[#This Row],[EPS]]&lt;&gt;0,Main_S[[#This Row],[Current Price]]/Main_S[[#This Row],[EPS]],""),"")</f>
        <v>-6.3666666666666663</v>
      </c>
      <c r="N7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3" s="1">
        <f>(Main_S[[#This Row],[P/FCF]]-VLOOKUP(Main_S[[#This Row],[Industry]], Mean_PFCF_S, 2, FALSE))/(VLOOKUP(Main_S[[#This Row],[Industry]], Mean_PFCF_S, 3, FALSE))</f>
        <v>-0.70278844540864061</v>
      </c>
      <c r="P73" s="1">
        <f>(Main_S[[#This Row],[P/B]]-VLOOKUP(Main_S[[#This Row],[Industry]], Mean_PB_S, 2, FALSE))/(VLOOKUP(Main_S[[#This Row],[Industry]], Mean_PB_S, 3, FALSE))</f>
        <v>-0.57767629696011713</v>
      </c>
      <c r="Q73" s="1">
        <f>(Main_S[[#This Row],[ROE]]-VLOOKUP(Main_S[[#This Row],[Industry]], Mean_ROE_S, 2, FALSE))/(VLOOKUP(Main_S[[#This Row],[Industry]], Mean_ROE_S, 3, FALSE))</f>
        <v>0.34272038431026308</v>
      </c>
      <c r="R73" s="1">
        <f>(Main_S[[#This Row],[ROA]]-VLOOKUP(Main_S[[#This Row],[Industry]], Mean_ROA_S, 2, FALSE))/(VLOOKUP(Main_S[[#This Row],[Industry]], Mean_ROA_S, 3, FALSE))</f>
        <v>-0.59503391213382184</v>
      </c>
      <c r="S73" s="1">
        <f>(Main_S[[#This Row],[A/E]]-VLOOKUP(Main_S[[#This Row],[Industry]], Mean_AE_S, 2, FALSE))/(VLOOKUP(Main_S[[#This Row],[Industry]], Mean_AE_S, 3, FALSE))</f>
        <v>-0.54501518183822761</v>
      </c>
      <c r="T73" s="1">
        <f>(Main_S[[#This Row],[P/E]]-VLOOKUP(Main_S[[#This Row],[Industry]], Mean_PE_S, 2, FALSE))/(VLOOKUP(Main_S[[#This Row],[Industry]], Mean_PE_S, 3, FALSE))</f>
        <v>-0.72015986527617115</v>
      </c>
      <c r="U7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7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7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7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7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7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74" spans="1:26" x14ac:dyDescent="0.25">
      <c r="A74" s="68" t="s">
        <v>142</v>
      </c>
      <c r="B74" s="68" t="s">
        <v>446</v>
      </c>
      <c r="C74" s="2">
        <v>361</v>
      </c>
      <c r="D74">
        <f>RTD("tos.rtd", , "LAST", Main_S[[#This Row],[Symbol]])</f>
        <v>1.57</v>
      </c>
      <c r="E74">
        <v>-0.1</v>
      </c>
      <c r="F74">
        <v>0.22</v>
      </c>
      <c r="G74">
        <v>-0.09</v>
      </c>
      <c r="H74" s="1">
        <f>IF(ISNUMBER(Main_S[[#This Row],[Free CF]]),IF(Main_S[[#This Row],[Free CF]]&lt;&gt;0,Main_S[[#This Row],[Current Price]]/Main_S[[#This Row],[Free CF]],""),"")</f>
        <v>-15.7</v>
      </c>
      <c r="I74" s="1">
        <f>IF(ISNUMBER(Main_S[[#This Row],[BVPS]]),IF(Main_S[[#This Row],[BVPS]]&lt;&gt;0,Main_S[[#This Row],[Current Price]]/Main_S[[#This Row],[BVPS]],""),"")</f>
        <v>7.1363636363636367</v>
      </c>
      <c r="J74">
        <v>-63.44</v>
      </c>
      <c r="K74">
        <v>-25.81</v>
      </c>
      <c r="L74">
        <v>1.1000000000000001</v>
      </c>
      <c r="M74" s="1">
        <f>IF(ISNUMBER(Main_S[[#This Row],[EPS]]),IF(Main_S[[#This Row],[EPS]]&lt;&gt;0,Main_S[[#This Row],[Current Price]]/Main_S[[#This Row],[EPS]],""),"")</f>
        <v>-17.444444444444446</v>
      </c>
      <c r="N7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4" s="1">
        <f>(Main_S[[#This Row],[P/FCF]]-VLOOKUP(Main_S[[#This Row],[Industry]], Mean_PFCF_S, 2, FALSE))/(VLOOKUP(Main_S[[#This Row],[Industry]], Mean_PFCF_S, 3, FALSE))</f>
        <v>-1.4522917105167339</v>
      </c>
      <c r="P74" s="1">
        <f>(Main_S[[#This Row],[P/B]]-VLOOKUP(Main_S[[#This Row],[Industry]], Mean_PB_S, 2, FALSE))/(VLOOKUP(Main_S[[#This Row],[Industry]], Mean_PB_S, 3, FALSE))</f>
        <v>1.8724392309113262</v>
      </c>
      <c r="Q74" s="1">
        <f>(Main_S[[#This Row],[ROE]]-VLOOKUP(Main_S[[#This Row],[Industry]], Mean_ROE_S, 2, FALSE))/(VLOOKUP(Main_S[[#This Row],[Industry]], Mean_ROE_S, 3, FALSE))</f>
        <v>-0.76812473586440144</v>
      </c>
      <c r="R74" s="1">
        <f>(Main_S[[#This Row],[ROA]]-VLOOKUP(Main_S[[#This Row],[Industry]], Mean_ROA_S, 2, FALSE))/(VLOOKUP(Main_S[[#This Row],[Industry]], Mean_ROA_S, 3, FALSE))</f>
        <v>-1.6920020212939009</v>
      </c>
      <c r="S74" s="1">
        <f>(Main_S[[#This Row],[A/E]]-VLOOKUP(Main_S[[#This Row],[Industry]], Mean_AE_S, 2, FALSE))/(VLOOKUP(Main_S[[#This Row],[Industry]], Mean_AE_S, 3, FALSE))</f>
        <v>-0.50949484412168322</v>
      </c>
      <c r="T74" s="1">
        <f>(Main_S[[#This Row],[P/E]]-VLOOKUP(Main_S[[#This Row],[Industry]], Mean_PE_S, 2, FALSE))/(VLOOKUP(Main_S[[#This Row],[Industry]], Mean_PE_S, 3, FALSE))</f>
        <v>-1.3905728630151031</v>
      </c>
      <c r="U7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7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7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7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7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7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75" spans="1:26" x14ac:dyDescent="0.25">
      <c r="A75" s="68" t="s">
        <v>142</v>
      </c>
      <c r="B75" s="68" t="s">
        <v>447</v>
      </c>
      <c r="C75" s="2">
        <v>466</v>
      </c>
      <c r="D75">
        <f>RTD("tos.rtd", , "LAST", Main_S[[#This Row],[Symbol]])</f>
        <v>16.7</v>
      </c>
      <c r="E75">
        <v>1.4</v>
      </c>
      <c r="F75">
        <v>7.39</v>
      </c>
      <c r="G75">
        <v>0.72</v>
      </c>
      <c r="H75" s="1">
        <f>IF(ISNUMBER(Main_S[[#This Row],[Free CF]]),IF(Main_S[[#This Row],[Free CF]]&lt;&gt;0,Main_S[[#This Row],[Current Price]]/Main_S[[#This Row],[Free CF]],""),"")</f>
        <v>11.928571428571429</v>
      </c>
      <c r="I75" s="1">
        <f>IF(ISNUMBER(Main_S[[#This Row],[BVPS]]),IF(Main_S[[#This Row],[BVPS]]&lt;&gt;0,Main_S[[#This Row],[Current Price]]/Main_S[[#This Row],[BVPS]],""),"")</f>
        <v>2.259810554803789</v>
      </c>
      <c r="J75">
        <v>10.42</v>
      </c>
      <c r="K75">
        <v>6.53</v>
      </c>
      <c r="L75">
        <v>1.72</v>
      </c>
      <c r="M75" s="1">
        <f>IF(ISNUMBER(Main_S[[#This Row],[EPS]]),IF(Main_S[[#This Row],[EPS]]&lt;&gt;0,Main_S[[#This Row],[Current Price]]/Main_S[[#This Row],[EPS]],""),"")</f>
        <v>23.194444444444443</v>
      </c>
      <c r="N7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5" s="1">
        <f>(Main_S[[#This Row],[P/FCF]]-VLOOKUP(Main_S[[#This Row],[Industry]], Mean_PFCF_S, 2, FALSE))/(VLOOKUP(Main_S[[#This Row],[Industry]], Mean_PFCF_S, 3, FALSE))</f>
        <v>0.4045050205495157</v>
      </c>
      <c r="P75" s="1">
        <f>(Main_S[[#This Row],[P/B]]-VLOOKUP(Main_S[[#This Row],[Industry]], Mean_PB_S, 2, FALSE))/(VLOOKUP(Main_S[[#This Row],[Industry]], Mean_PB_S, 3, FALSE))</f>
        <v>-0.19408228358404647</v>
      </c>
      <c r="Q75" s="1">
        <f>(Main_S[[#This Row],[ROE]]-VLOOKUP(Main_S[[#This Row],[Industry]], Mean_ROE_S, 2, FALSE))/(VLOOKUP(Main_S[[#This Row],[Industry]], Mean_ROE_S, 3, FALSE))</f>
        <v>1.0739727175729743</v>
      </c>
      <c r="R75" s="1">
        <f>(Main_S[[#This Row],[ROA]]-VLOOKUP(Main_S[[#This Row],[Industry]], Mean_ROA_S, 2, FALSE))/(VLOOKUP(Main_S[[#This Row],[Industry]], Mean_ROA_S, 3, FALSE))</f>
        <v>1.066625400964027</v>
      </c>
      <c r="S75" s="1">
        <f>(Main_S[[#This Row],[A/E]]-VLOOKUP(Main_S[[#This Row],[Industry]], Mean_AE_S, 2, FALSE))/(VLOOKUP(Main_S[[#This Row],[Industry]], Mean_AE_S, 3, FALSE))</f>
        <v>0.59163562509119183</v>
      </c>
      <c r="T75" s="1">
        <f>(Main_S[[#This Row],[P/E]]-VLOOKUP(Main_S[[#This Row],[Industry]], Mean_PE_S, 2, FALSE))/(VLOOKUP(Main_S[[#This Row],[Industry]], Mean_PE_S, 3, FALSE))</f>
        <v>1.0688409175567557</v>
      </c>
      <c r="U7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7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7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7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7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7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76" spans="1:26" x14ac:dyDescent="0.25">
      <c r="A76" s="68" t="s">
        <v>142</v>
      </c>
      <c r="B76" s="68" t="s">
        <v>448</v>
      </c>
      <c r="C76" s="2">
        <v>660</v>
      </c>
      <c r="D76">
        <f>RTD("tos.rtd", , "LAST", Main_S[[#This Row],[Symbol]])</f>
        <v>141.80000000000001</v>
      </c>
      <c r="E76">
        <v>9.3000000000000007</v>
      </c>
      <c r="F76">
        <v>88.21</v>
      </c>
      <c r="G76">
        <v>7.89</v>
      </c>
      <c r="H76" s="1">
        <f>IF(ISNUMBER(Main_S[[#This Row],[Free CF]]),IF(Main_S[[#This Row],[Free CF]]&lt;&gt;0,Main_S[[#This Row],[Current Price]]/Main_S[[#This Row],[Free CF]],""),"")</f>
        <v>15.24731182795699</v>
      </c>
      <c r="I76" s="1">
        <f>IF(ISNUMBER(Main_S[[#This Row],[BVPS]]),IF(Main_S[[#This Row],[BVPS]]&lt;&gt;0,Main_S[[#This Row],[Current Price]]/Main_S[[#This Row],[BVPS]],""),"")</f>
        <v>1.6075274912141484</v>
      </c>
      <c r="J76">
        <v>9.1999999999999993</v>
      </c>
      <c r="K76">
        <v>5.58</v>
      </c>
      <c r="L76">
        <v>1.36</v>
      </c>
      <c r="M76" s="1">
        <f>IF(ISNUMBER(Main_S[[#This Row],[EPS]]),IF(Main_S[[#This Row],[EPS]]&lt;&gt;0,Main_S[[#This Row],[Current Price]]/Main_S[[#This Row],[EPS]],""),"")</f>
        <v>17.972116603295312</v>
      </c>
      <c r="N7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6" s="1">
        <f>(Main_S[[#This Row],[P/FCF]]-VLOOKUP(Main_S[[#This Row],[Industry]], Mean_PFCF_S, 2, FALSE))/(VLOOKUP(Main_S[[#This Row],[Industry]], Mean_PFCF_S, 3, FALSE))</f>
        <v>0.62754320190347779</v>
      </c>
      <c r="P76" s="1">
        <f>(Main_S[[#This Row],[P/B]]-VLOOKUP(Main_S[[#This Row],[Industry]], Mean_PB_S, 2, FALSE))/(VLOOKUP(Main_S[[#This Row],[Industry]], Mean_PB_S, 3, FALSE))</f>
        <v>-0.47049821957500237</v>
      </c>
      <c r="Q76" s="1">
        <f>(Main_S[[#This Row],[ROE]]-VLOOKUP(Main_S[[#This Row],[Industry]], Mean_ROE_S, 2, FALSE))/(VLOOKUP(Main_S[[#This Row],[Industry]], Mean_ROE_S, 3, FALSE))</f>
        <v>1.0435454376759583</v>
      </c>
      <c r="R76" s="1">
        <f>(Main_S[[#This Row],[ROA]]-VLOOKUP(Main_S[[#This Row],[Industry]], Mean_ROA_S, 2, FALSE))/(VLOOKUP(Main_S[[#This Row],[Industry]], Mean_ROA_S, 3, FALSE))</f>
        <v>0.98558965417537414</v>
      </c>
      <c r="S76" s="1">
        <f>(Main_S[[#This Row],[A/E]]-VLOOKUP(Main_S[[#This Row],[Industry]], Mean_AE_S, 2, FALSE))/(VLOOKUP(Main_S[[#This Row],[Industry]], Mean_AE_S, 3, FALSE))</f>
        <v>-4.7730453806606454E-2</v>
      </c>
      <c r="T76" s="1">
        <f>(Main_S[[#This Row],[P/E]]-VLOOKUP(Main_S[[#This Row],[Industry]], Mean_PE_S, 2, FALSE))/(VLOOKUP(Main_S[[#This Row],[Industry]], Mean_PE_S, 3, FALSE))</f>
        <v>0.75279228998962977</v>
      </c>
      <c r="U7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7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7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7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7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7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77" spans="1:26" x14ac:dyDescent="0.25">
      <c r="A77" s="68" t="s">
        <v>142</v>
      </c>
      <c r="B77" s="68" t="s">
        <v>297</v>
      </c>
      <c r="C77" s="2">
        <v>793</v>
      </c>
      <c r="D77">
        <f>RTD("tos.rtd", , "LAST", Main_S[[#This Row],[Symbol]])</f>
        <v>0.81169999999999998</v>
      </c>
      <c r="E77">
        <v>-1.35</v>
      </c>
      <c r="F77">
        <v>1.9</v>
      </c>
      <c r="G77">
        <v>-2.68</v>
      </c>
      <c r="H77" s="1">
        <f>IF(ISNUMBER(Main_S[[#This Row],[Free CF]]),IF(Main_S[[#This Row],[Free CF]]&lt;&gt;0,Main_S[[#This Row],[Current Price]]/Main_S[[#This Row],[Free CF]],""),"")</f>
        <v>-0.60125925925925916</v>
      </c>
      <c r="I77" s="1">
        <f>IF(ISNUMBER(Main_S[[#This Row],[BVPS]]),IF(Main_S[[#This Row],[BVPS]]&lt;&gt;0,Main_S[[#This Row],[Current Price]]/Main_S[[#This Row],[BVPS]],""),"")</f>
        <v>0.42721052631578948</v>
      </c>
      <c r="J77">
        <v>-89.46</v>
      </c>
      <c r="K77">
        <v>-16.41</v>
      </c>
      <c r="L77">
        <v>2.08</v>
      </c>
      <c r="M77" s="1">
        <f>IF(ISNUMBER(Main_S[[#This Row],[EPS]]),IF(Main_S[[#This Row],[EPS]]&lt;&gt;0,Main_S[[#This Row],[Current Price]]/Main_S[[#This Row],[EPS]],""),"")</f>
        <v>-0.30287313432835816</v>
      </c>
      <c r="N7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7" s="1">
        <f>(Main_S[[#This Row],[P/FCF]]-VLOOKUP(Main_S[[#This Row],[Industry]], Mean_PFCF_S, 2, FALSE))/(VLOOKUP(Main_S[[#This Row],[Industry]], Mean_PFCF_S, 3, FALSE))</f>
        <v>-0.4375706807630137</v>
      </c>
      <c r="P77" s="1">
        <f>(Main_S[[#This Row],[P/B]]-VLOOKUP(Main_S[[#This Row],[Industry]], Mean_PB_S, 2, FALSE))/(VLOOKUP(Main_S[[#This Row],[Industry]], Mean_PB_S, 3, FALSE))</f>
        <v>-0.97067741604673141</v>
      </c>
      <c r="Q77" s="1">
        <f>(Main_S[[#This Row],[ROE]]-VLOOKUP(Main_S[[#This Row],[Industry]], Mean_ROE_S, 2, FALSE))/(VLOOKUP(Main_S[[#This Row],[Industry]], Mean_ROE_S, 3, FALSE))</f>
        <v>-1.4170737710450203</v>
      </c>
      <c r="R77" s="1">
        <f>(Main_S[[#This Row],[ROA]]-VLOOKUP(Main_S[[#This Row],[Industry]], Mean_ROA_S, 2, FALSE))/(VLOOKUP(Main_S[[#This Row],[Industry]], Mean_ROA_S, 3, FALSE))</f>
        <v>-0.89017463201670488</v>
      </c>
      <c r="S77" s="1">
        <f>(Main_S[[#This Row],[A/E]]-VLOOKUP(Main_S[[#This Row],[Industry]], Mean_AE_S, 2, FALSE))/(VLOOKUP(Main_S[[#This Row],[Industry]], Mean_AE_S, 3, FALSE))</f>
        <v>1.2310017039889907</v>
      </c>
      <c r="T77" s="1">
        <f>(Main_S[[#This Row],[P/E]]-VLOOKUP(Main_S[[#This Row],[Industry]], Mean_PE_S, 2, FALSE))/(VLOOKUP(Main_S[[#This Row],[Industry]], Mean_PE_S, 3, FALSE))</f>
        <v>-0.35318680612708542</v>
      </c>
      <c r="U7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7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7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7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7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7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78" spans="1:26" x14ac:dyDescent="0.25">
      <c r="A78" s="68" t="s">
        <v>142</v>
      </c>
      <c r="B78" s="68" t="s">
        <v>299</v>
      </c>
      <c r="C78" s="2">
        <v>1689</v>
      </c>
      <c r="D78">
        <f>RTD("tos.rtd", , "LAST", Main_S[[#This Row],[Symbol]])</f>
        <v>11.9</v>
      </c>
      <c r="E78">
        <v>-15.6</v>
      </c>
      <c r="F78">
        <v>11.32</v>
      </c>
      <c r="G78">
        <v>-12.81</v>
      </c>
      <c r="H78" s="1">
        <f>IF(ISNUMBER(Main_S[[#This Row],[Free CF]]),IF(Main_S[[#This Row],[Free CF]]&lt;&gt;0,Main_S[[#This Row],[Current Price]]/Main_S[[#This Row],[Free CF]],""),"")</f>
        <v>-0.76282051282051289</v>
      </c>
      <c r="I78" s="1">
        <f>IF(ISNUMBER(Main_S[[#This Row],[BVPS]]),IF(Main_S[[#This Row],[BVPS]]&lt;&gt;0,Main_S[[#This Row],[Current Price]]/Main_S[[#This Row],[BVPS]],""),"")</f>
        <v>1.0512367491166077</v>
      </c>
      <c r="J78">
        <v>-78.63</v>
      </c>
      <c r="K78">
        <v>-1.78</v>
      </c>
      <c r="L78">
        <v>7.79</v>
      </c>
      <c r="M78" s="1">
        <f>IF(ISNUMBER(Main_S[[#This Row],[EPS]]),IF(Main_S[[#This Row],[EPS]]&lt;&gt;0,Main_S[[#This Row],[Current Price]]/Main_S[[#This Row],[EPS]],""),"")</f>
        <v>-0.92896174863387981</v>
      </c>
      <c r="N7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8" s="1">
        <f>(Main_S[[#This Row],[P/FCF]]-VLOOKUP(Main_S[[#This Row],[Industry]], Mean_PFCF_S, 2, FALSE))/(VLOOKUP(Main_S[[#This Row],[Industry]], Mean_PFCF_S, 3, FALSE))</f>
        <v>-0.44842851350529139</v>
      </c>
      <c r="P78" s="1">
        <f>(Main_S[[#This Row],[P/B]]-VLOOKUP(Main_S[[#This Row],[Industry]], Mean_PB_S, 2, FALSE))/(VLOOKUP(Main_S[[#This Row],[Industry]], Mean_PB_S, 3, FALSE))</f>
        <v>-0.70623579233027522</v>
      </c>
      <c r="Q78" s="1">
        <f>(Main_S[[#This Row],[ROE]]-VLOOKUP(Main_S[[#This Row],[Industry]], Mean_ROE_S, 2, FALSE))/(VLOOKUP(Main_S[[#This Row],[Industry]], Mean_ROE_S, 3, FALSE))</f>
        <v>-1.1469693109756083</v>
      </c>
      <c r="R78" s="1">
        <f>(Main_S[[#This Row],[ROA]]-VLOOKUP(Main_S[[#This Row],[Industry]], Mean_ROA_S, 2, FALSE))/(VLOOKUP(Main_S[[#This Row],[Industry]], Mean_ROA_S, 3, FALSE))</f>
        <v>0.35777586852854826</v>
      </c>
      <c r="S78" s="1">
        <f>(Main_S[[#This Row],[A/E]]-VLOOKUP(Main_S[[#This Row],[Industry]], Mean_AE_S, 2, FALSE))/(VLOOKUP(Main_S[[#This Row],[Industry]], Mean_AE_S, 3, FALSE))</f>
        <v>11.372058122062407</v>
      </c>
      <c r="T78" s="1">
        <f>(Main_S[[#This Row],[P/E]]-VLOOKUP(Main_S[[#This Row],[Industry]], Mean_PE_S, 2, FALSE))/(VLOOKUP(Main_S[[#This Row],[Industry]], Mean_PE_S, 3, FALSE))</f>
        <v>-0.39107689141195007</v>
      </c>
      <c r="U7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7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7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7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7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7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79" spans="1:26" x14ac:dyDescent="0.25">
      <c r="A79" s="68" t="s">
        <v>142</v>
      </c>
      <c r="B79" s="68" t="s">
        <v>570</v>
      </c>
      <c r="C79" s="2">
        <v>302</v>
      </c>
      <c r="D79">
        <f>RTD("tos.rtd", , "LAST", Main_S[[#This Row],[Symbol]])</f>
        <v>0.89339999999999997</v>
      </c>
      <c r="E79">
        <v>-0.27</v>
      </c>
      <c r="F79">
        <v>0.74</v>
      </c>
      <c r="G79">
        <v>-0.3</v>
      </c>
      <c r="H79" s="1">
        <f>IF(ISNUMBER(Main_S[[#This Row],[Free CF]]),IF(Main_S[[#This Row],[Free CF]]&lt;&gt;0,Main_S[[#This Row],[Current Price]]/Main_S[[#This Row],[Free CF]],""),"")</f>
        <v>-3.3088888888888888</v>
      </c>
      <c r="I79" s="1">
        <f>IF(ISNUMBER(Main_S[[#This Row],[BVPS]]),IF(Main_S[[#This Row],[BVPS]]&lt;&gt;0,Main_S[[#This Row],[Current Price]]/Main_S[[#This Row],[BVPS]],""),"")</f>
        <v>1.2072972972972973</v>
      </c>
      <c r="J79">
        <v>-31.45</v>
      </c>
      <c r="K79">
        <v>-20.100000000000001</v>
      </c>
      <c r="L79">
        <v>1.1299999999999999</v>
      </c>
      <c r="M79" s="1">
        <f>IF(ISNUMBER(Main_S[[#This Row],[EPS]]),IF(Main_S[[#This Row],[EPS]]&lt;&gt;0,Main_S[[#This Row],[Current Price]]/Main_S[[#This Row],[EPS]],""),"")</f>
        <v>-2.9780000000000002</v>
      </c>
      <c r="N7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9" s="1">
        <f>(Main_S[[#This Row],[P/FCF]]-VLOOKUP(Main_S[[#This Row],[Industry]], Mean_PFCF_S, 2, FALSE))/(VLOOKUP(Main_S[[#This Row],[Industry]], Mean_PFCF_S, 3, FALSE))</f>
        <v>-0.61953875168669992</v>
      </c>
      <c r="P79" s="1">
        <f>(Main_S[[#This Row],[P/B]]-VLOOKUP(Main_S[[#This Row],[Industry]], Mean_PB_S, 2, FALSE))/(VLOOKUP(Main_S[[#This Row],[Industry]], Mean_PB_S, 3, FALSE))</f>
        <v>-0.64010250617804509</v>
      </c>
      <c r="Q79" s="1">
        <f>(Main_S[[#This Row],[ROE]]-VLOOKUP(Main_S[[#This Row],[Industry]], Mean_ROE_S, 2, FALSE))/(VLOOKUP(Main_S[[#This Row],[Industry]], Mean_ROE_S, 3, FALSE))</f>
        <v>2.9718447664730054E-2</v>
      </c>
      <c r="R79" s="1">
        <f>(Main_S[[#This Row],[ROA]]-VLOOKUP(Main_S[[#This Row],[Industry]], Mean_ROA_S, 2, FALSE))/(VLOOKUP(Main_S[[#This Row],[Industry]], Mean_ROA_S, 3, FALSE))</f>
        <v>-1.204934532701051</v>
      </c>
      <c r="S79" s="1">
        <f>(Main_S[[#This Row],[A/E]]-VLOOKUP(Main_S[[#This Row],[Industry]], Mean_AE_S, 2, FALSE))/(VLOOKUP(Main_S[[#This Row],[Industry]], Mean_AE_S, 3, FALSE))</f>
        <v>-0.45621433754686702</v>
      </c>
      <c r="T79" s="1">
        <f>(Main_S[[#This Row],[P/E]]-VLOOKUP(Main_S[[#This Row],[Industry]], Mean_PE_S, 2, FALSE))/(VLOOKUP(Main_S[[#This Row],[Industry]], Mean_PE_S, 3, FALSE))</f>
        <v>-0.51508207585749577</v>
      </c>
      <c r="U7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7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7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7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7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7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80" spans="1:26" x14ac:dyDescent="0.25">
      <c r="A80" s="68" t="s">
        <v>142</v>
      </c>
      <c r="B80" s="68" t="s">
        <v>449</v>
      </c>
      <c r="C80" s="2">
        <v>787</v>
      </c>
      <c r="D80">
        <f>RTD("tos.rtd", , "LAST", Main_S[[#This Row],[Symbol]])</f>
        <v>6.03</v>
      </c>
      <c r="E80">
        <v>0.43</v>
      </c>
      <c r="F80">
        <v>3.34</v>
      </c>
      <c r="G80">
        <v>0.14000000000000001</v>
      </c>
      <c r="H80" s="1">
        <f>IF(ISNUMBER(Main_S[[#This Row],[Free CF]]),IF(Main_S[[#This Row],[Free CF]]&lt;&gt;0,Main_S[[#This Row],[Current Price]]/Main_S[[#This Row],[Free CF]],""),"")</f>
        <v>14.023255813953488</v>
      </c>
      <c r="I80" s="1">
        <f>IF(ISNUMBER(Main_S[[#This Row],[BVPS]]),IF(Main_S[[#This Row],[BVPS]]&lt;&gt;0,Main_S[[#This Row],[Current Price]]/Main_S[[#This Row],[BVPS]],""),"")</f>
        <v>1.8053892215568863</v>
      </c>
      <c r="J80">
        <v>4.38</v>
      </c>
      <c r="K80">
        <v>4.46</v>
      </c>
      <c r="L80">
        <v>1.42</v>
      </c>
      <c r="M80" s="1">
        <f>IF(ISNUMBER(Main_S[[#This Row],[EPS]]),IF(Main_S[[#This Row],[EPS]]&lt;&gt;0,Main_S[[#This Row],[Current Price]]/Main_S[[#This Row],[EPS]],""),"")</f>
        <v>43.071428571428569</v>
      </c>
      <c r="N8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0" s="1">
        <f>(Main_S[[#This Row],[P/FCF]]-VLOOKUP(Main_S[[#This Row],[Industry]], Mean_PFCF_S, 2, FALSE))/(VLOOKUP(Main_S[[#This Row],[Industry]], Mean_PFCF_S, 3, FALSE))</f>
        <v>0.54527969395050058</v>
      </c>
      <c r="P80" s="1">
        <f>(Main_S[[#This Row],[P/B]]-VLOOKUP(Main_S[[#This Row],[Industry]], Mean_PB_S, 2, FALSE))/(VLOOKUP(Main_S[[#This Row],[Industry]], Mean_PB_S, 3, FALSE))</f>
        <v>-0.38665097833513856</v>
      </c>
      <c r="Q80" s="1">
        <f>(Main_S[[#This Row],[ROE]]-VLOOKUP(Main_S[[#This Row],[Industry]], Mean_ROE_S, 2, FALSE))/(VLOOKUP(Main_S[[#This Row],[Industry]], Mean_ROE_S, 3, FALSE))</f>
        <v>0.92333274168938728</v>
      </c>
      <c r="R80" s="1">
        <f>(Main_S[[#This Row],[ROA]]-VLOOKUP(Main_S[[#This Row],[Industry]], Mean_ROA_S, 2, FALSE))/(VLOOKUP(Main_S[[#This Row],[Industry]], Mean_ROA_S, 3, FALSE))</f>
        <v>0.89005277375085712</v>
      </c>
      <c r="S80" s="1">
        <f>(Main_S[[#This Row],[A/E]]-VLOOKUP(Main_S[[#This Row],[Industry]], Mean_AE_S, 2, FALSE))/(VLOOKUP(Main_S[[#This Row],[Industry]], Mean_AE_S, 3, FALSE))</f>
        <v>5.8830559343026334E-2</v>
      </c>
      <c r="T80" s="1">
        <f>(Main_S[[#This Row],[P/E]]-VLOOKUP(Main_S[[#This Row],[Industry]], Mean_PE_S, 2, FALSE))/(VLOOKUP(Main_S[[#This Row],[Industry]], Mean_PE_S, 3, FALSE))</f>
        <v>2.2717706731357459</v>
      </c>
      <c r="U8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8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8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8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8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8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81" spans="1:26" x14ac:dyDescent="0.25">
      <c r="A81" s="68" t="s">
        <v>142</v>
      </c>
      <c r="B81" s="68" t="s">
        <v>450</v>
      </c>
      <c r="C81" s="2">
        <v>932</v>
      </c>
      <c r="D81">
        <f>RTD("tos.rtd", , "LAST", Main_S[[#This Row],[Symbol]])</f>
        <v>30.51</v>
      </c>
      <c r="E81">
        <v>1.73</v>
      </c>
      <c r="F81">
        <v>14.5</v>
      </c>
      <c r="G81">
        <v>1.37</v>
      </c>
      <c r="H81" s="1">
        <f>IF(ISNUMBER(Main_S[[#This Row],[Free CF]]),IF(Main_S[[#This Row],[Free CF]]&lt;&gt;0,Main_S[[#This Row],[Current Price]]/Main_S[[#This Row],[Free CF]],""),"")</f>
        <v>17.635838150289018</v>
      </c>
      <c r="I81" s="1">
        <f>IF(ISNUMBER(Main_S[[#This Row],[BVPS]]),IF(Main_S[[#This Row],[BVPS]]&lt;&gt;0,Main_S[[#This Row],[Current Price]]/Main_S[[#This Row],[BVPS]],""),"")</f>
        <v>2.104137931034483</v>
      </c>
      <c r="J81">
        <v>9.75</v>
      </c>
      <c r="K81">
        <v>5.86</v>
      </c>
      <c r="L81">
        <v>1.56</v>
      </c>
      <c r="M81" s="1">
        <f>IF(ISNUMBER(Main_S[[#This Row],[EPS]]),IF(Main_S[[#This Row],[EPS]]&lt;&gt;0,Main_S[[#This Row],[Current Price]]/Main_S[[#This Row],[EPS]],""),"")</f>
        <v>22.270072992700729</v>
      </c>
      <c r="N8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1" s="1">
        <f>(Main_S[[#This Row],[P/FCF]]-VLOOKUP(Main_S[[#This Row],[Industry]], Mean_PFCF_S, 2, FALSE))/(VLOOKUP(Main_S[[#This Row],[Industry]], Mean_PFCF_S, 3, FALSE))</f>
        <v>0.78806572037091627</v>
      </c>
      <c r="P81" s="1">
        <f>(Main_S[[#This Row],[P/B]]-VLOOKUP(Main_S[[#This Row],[Industry]], Mean_PB_S, 2, FALSE))/(VLOOKUP(Main_S[[#This Row],[Industry]], Mean_PB_S, 3, FALSE))</f>
        <v>-0.26005118023231449</v>
      </c>
      <c r="Q81" s="1">
        <f>(Main_S[[#This Row],[ROE]]-VLOOKUP(Main_S[[#This Row],[Industry]], Mean_ROE_S, 2, FALSE))/(VLOOKUP(Main_S[[#This Row],[Industry]], Mean_ROE_S, 3, FALSE))</f>
        <v>1.0572626540229737</v>
      </c>
      <c r="R81" s="1">
        <f>(Main_S[[#This Row],[ROA]]-VLOOKUP(Main_S[[#This Row],[Industry]], Mean_ROA_S, 2, FALSE))/(VLOOKUP(Main_S[[#This Row],[Industry]], Mean_ROA_S, 3, FALSE))</f>
        <v>1.0094738742815035</v>
      </c>
      <c r="S81" s="1">
        <f>(Main_S[[#This Row],[A/E]]-VLOOKUP(Main_S[[#This Row],[Industry]], Mean_AE_S, 2, FALSE))/(VLOOKUP(Main_S[[#This Row],[Industry]], Mean_AE_S, 3, FALSE))</f>
        <v>0.30747292335883708</v>
      </c>
      <c r="T81" s="1">
        <f>(Main_S[[#This Row],[P/E]]-VLOOKUP(Main_S[[#This Row],[Industry]], Mean_PE_S, 2, FALSE))/(VLOOKUP(Main_S[[#This Row],[Industry]], Mean_PE_S, 3, FALSE))</f>
        <v>1.0128991349700944</v>
      </c>
      <c r="U8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8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8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8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8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8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82" spans="1:26" x14ac:dyDescent="0.25">
      <c r="A82" s="68" t="s">
        <v>142</v>
      </c>
      <c r="B82" s="68" t="s">
        <v>301</v>
      </c>
      <c r="C82" s="2">
        <v>1859</v>
      </c>
      <c r="D82">
        <f>RTD("tos.rtd", , "LAST", Main_S[[#This Row],[Symbol]])</f>
        <v>44.57</v>
      </c>
      <c r="E82">
        <v>1.05</v>
      </c>
      <c r="F82">
        <v>12.82</v>
      </c>
      <c r="G82">
        <v>0.51</v>
      </c>
      <c r="H82" s="1">
        <f>IF(ISNUMBER(Main_S[[#This Row],[Free CF]]),IF(Main_S[[#This Row],[Free CF]]&lt;&gt;0,Main_S[[#This Row],[Current Price]]/Main_S[[#This Row],[Free CF]],""),"")</f>
        <v>42.44761904761905</v>
      </c>
      <c r="I82" s="1">
        <f>IF(ISNUMBER(Main_S[[#This Row],[BVPS]]),IF(Main_S[[#This Row],[BVPS]]&lt;&gt;0,Main_S[[#This Row],[Current Price]]/Main_S[[#This Row],[BVPS]],""),"")</f>
        <v>3.4765990639625586</v>
      </c>
      <c r="J82">
        <v>4.16</v>
      </c>
      <c r="K82">
        <v>1.8</v>
      </c>
      <c r="L82">
        <v>1.1499999999999999</v>
      </c>
      <c r="M82" s="1">
        <f>IF(ISNUMBER(Main_S[[#This Row],[EPS]]),IF(Main_S[[#This Row],[EPS]]&lt;&gt;0,Main_S[[#This Row],[Current Price]]/Main_S[[#This Row],[EPS]],""),"")</f>
        <v>87.392156862745097</v>
      </c>
      <c r="N8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2" s="1">
        <f>(Main_S[[#This Row],[P/FCF]]-VLOOKUP(Main_S[[#This Row],[Industry]], Mean_PFCF_S, 2, FALSE))/(VLOOKUP(Main_S[[#This Row],[Industry]], Mean_PFCF_S, 3, FALSE))</f>
        <v>2.4555581486783669</v>
      </c>
      <c r="P82" s="1">
        <f>(Main_S[[#This Row],[P/B]]-VLOOKUP(Main_S[[#This Row],[Industry]], Mean_PB_S, 2, FALSE))/(VLOOKUP(Main_S[[#This Row],[Industry]], Mean_PB_S, 3, FALSE))</f>
        <v>0.32155234413603889</v>
      </c>
      <c r="Q82" s="1">
        <f>(Main_S[[#This Row],[ROE]]-VLOOKUP(Main_S[[#This Row],[Industry]], Mean_ROE_S, 2, FALSE))/(VLOOKUP(Main_S[[#This Row],[Industry]], Mean_ROE_S, 3, FALSE))</f>
        <v>0.91784585515058115</v>
      </c>
      <c r="R82" s="1">
        <f>(Main_S[[#This Row],[ROA]]-VLOOKUP(Main_S[[#This Row],[Industry]], Mean_ROA_S, 2, FALSE))/(VLOOKUP(Main_S[[#This Row],[Industry]], Mean_ROA_S, 3, FALSE))</f>
        <v>0.66315268274262928</v>
      </c>
      <c r="S82" s="1">
        <f>(Main_S[[#This Row],[A/E]]-VLOOKUP(Main_S[[#This Row],[Industry]], Mean_AE_S, 2, FALSE))/(VLOOKUP(Main_S[[#This Row],[Industry]], Mean_AE_S, 3, FALSE))</f>
        <v>-0.42069399983032263</v>
      </c>
      <c r="T82" s="1">
        <f>(Main_S[[#This Row],[P/E]]-VLOOKUP(Main_S[[#This Row],[Industry]], Mean_PE_S, 2, FALSE))/(VLOOKUP(Main_S[[#This Row],[Industry]], Mean_PE_S, 3, FALSE))</f>
        <v>4.954004683584972</v>
      </c>
      <c r="U8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8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8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8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8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8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83" spans="1:26" x14ac:dyDescent="0.25">
      <c r="A83" s="68" t="s">
        <v>142</v>
      </c>
      <c r="B83" s="68" t="s">
        <v>451</v>
      </c>
      <c r="C83" s="2">
        <v>872</v>
      </c>
      <c r="D83">
        <f>RTD("tos.rtd", , "LAST", Main_S[[#This Row],[Symbol]])</f>
        <v>27.32</v>
      </c>
      <c r="E83">
        <v>-0.43</v>
      </c>
      <c r="F83">
        <v>3.54</v>
      </c>
      <c r="G83">
        <v>-0.41</v>
      </c>
      <c r="H83" s="1">
        <f>IF(ISNUMBER(Main_S[[#This Row],[Free CF]]),IF(Main_S[[#This Row],[Free CF]]&lt;&gt;0,Main_S[[#This Row],[Current Price]]/Main_S[[#This Row],[Free CF]],""),"")</f>
        <v>-63.534883720930232</v>
      </c>
      <c r="I83" s="1">
        <f>IF(ISNUMBER(Main_S[[#This Row],[BVPS]]),IF(Main_S[[#This Row],[BVPS]]&lt;&gt;0,Main_S[[#This Row],[Current Price]]/Main_S[[#This Row],[BVPS]],""),"")</f>
        <v>7.7175141242937855</v>
      </c>
      <c r="J83">
        <v>-17.989999999999998</v>
      </c>
      <c r="K83">
        <v>-11.08</v>
      </c>
      <c r="L83">
        <v>1.03</v>
      </c>
      <c r="M83" s="1">
        <f>IF(ISNUMBER(Main_S[[#This Row],[EPS]]),IF(Main_S[[#This Row],[EPS]]&lt;&gt;0,Main_S[[#This Row],[Current Price]]/Main_S[[#This Row],[EPS]],""),"")</f>
        <v>-66.634146341463421</v>
      </c>
      <c r="N8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3" s="1">
        <f>(Main_S[[#This Row],[P/FCF]]-VLOOKUP(Main_S[[#This Row],[Industry]], Mean_PFCF_S, 2, FALSE))/(VLOOKUP(Main_S[[#This Row],[Industry]], Mean_PFCF_S, 3, FALSE))</f>
        <v>-4.6670672537830304</v>
      </c>
      <c r="P83" s="1">
        <f>(Main_S[[#This Row],[P/B]]-VLOOKUP(Main_S[[#This Row],[Industry]], Mean_PB_S, 2, FALSE))/(VLOOKUP(Main_S[[#This Row],[Industry]], Mean_PB_S, 3, FALSE))</f>
        <v>2.1187115397288871</v>
      </c>
      <c r="Q83" s="1">
        <f>(Main_S[[#This Row],[ROE]]-VLOOKUP(Main_S[[#This Row],[Industry]], Mean_ROE_S, 2, FALSE))/(VLOOKUP(Main_S[[#This Row],[Industry]], Mean_ROE_S, 3, FALSE))</f>
        <v>0.36541614226623398</v>
      </c>
      <c r="R83" s="1">
        <f>(Main_S[[#This Row],[ROA]]-VLOOKUP(Main_S[[#This Row],[Industry]], Mean_ROA_S, 2, FALSE))/(VLOOKUP(Main_S[[#This Row],[Industry]], Mean_ROA_S, 3, FALSE))</f>
        <v>-0.43552144213931593</v>
      </c>
      <c r="S83" s="1">
        <f>(Main_S[[#This Row],[A/E]]-VLOOKUP(Main_S[[#This Row],[Industry]], Mean_AE_S, 2, FALSE))/(VLOOKUP(Main_S[[#This Row],[Industry]], Mean_AE_S, 3, FALSE))</f>
        <v>-0.63381602612958854</v>
      </c>
      <c r="T83" s="1">
        <f>(Main_S[[#This Row],[P/E]]-VLOOKUP(Main_S[[#This Row],[Industry]], Mean_PE_S, 2, FALSE))/(VLOOKUP(Main_S[[#This Row],[Industry]], Mean_PE_S, 3, FALSE))</f>
        <v>-4.3674709528845534</v>
      </c>
      <c r="U8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8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8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8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8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8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84" spans="1:26" x14ac:dyDescent="0.25">
      <c r="A84" s="68" t="s">
        <v>142</v>
      </c>
      <c r="B84" s="68" t="s">
        <v>571</v>
      </c>
      <c r="C84" s="2">
        <v>595</v>
      </c>
      <c r="D84">
        <f>RTD("tos.rtd", , "LAST", Main_S[[#This Row],[Symbol]])</f>
        <v>35.06</v>
      </c>
      <c r="E84">
        <v>2.52</v>
      </c>
      <c r="F84">
        <v>2.84</v>
      </c>
      <c r="G84">
        <v>3.01</v>
      </c>
      <c r="H84" s="1">
        <f>IF(ISNUMBER(Main_S[[#This Row],[Free CF]]),IF(Main_S[[#This Row],[Free CF]]&lt;&gt;0,Main_S[[#This Row],[Current Price]]/Main_S[[#This Row],[Free CF]],""),"")</f>
        <v>13.912698412698413</v>
      </c>
      <c r="I84" s="1">
        <f>IF(ISNUMBER(Main_S[[#This Row],[BVPS]]),IF(Main_S[[#This Row],[BVPS]]&lt;&gt;0,Main_S[[#This Row],[Current Price]]/Main_S[[#This Row],[BVPS]],""),"")</f>
        <v>12.345070422535212</v>
      </c>
      <c r="J84">
        <v>225.91</v>
      </c>
      <c r="K84">
        <v>15.7</v>
      </c>
      <c r="L84">
        <v>5.03</v>
      </c>
      <c r="M84" s="1">
        <f>IF(ISNUMBER(Main_S[[#This Row],[EPS]]),IF(Main_S[[#This Row],[EPS]]&lt;&gt;0,Main_S[[#This Row],[Current Price]]/Main_S[[#This Row],[EPS]],""),"")</f>
        <v>11.647840531561464</v>
      </c>
      <c r="N8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4" s="1">
        <f>(Main_S[[#This Row],[P/FCF]]-VLOOKUP(Main_S[[#This Row],[Industry]], Mean_PFCF_S, 2, FALSE))/(VLOOKUP(Main_S[[#This Row],[Industry]], Mean_PFCF_S, 3, FALSE))</f>
        <v>0.53784960941730908</v>
      </c>
      <c r="P84" s="1">
        <f>(Main_S[[#This Row],[P/B]]-VLOOKUP(Main_S[[#This Row],[Industry]], Mean_PB_S, 2, FALSE))/(VLOOKUP(Main_S[[#This Row],[Industry]], Mean_PB_S, 3, FALSE))</f>
        <v>4.0797164729091913</v>
      </c>
      <c r="Q84" s="1">
        <f>(Main_S[[#This Row],[ROE]]-VLOOKUP(Main_S[[#This Row],[Industry]], Mean_ROE_S, 2, FALSE))/(VLOOKUP(Main_S[[#This Row],[Industry]], Mean_ROE_S, 3, FALSE))</f>
        <v>6.4483780823336039</v>
      </c>
      <c r="R84" s="1">
        <f>(Main_S[[#This Row],[ROA]]-VLOOKUP(Main_S[[#This Row],[Industry]], Mean_ROA_S, 2, FALSE))/(VLOOKUP(Main_S[[#This Row],[Industry]], Mean_ROA_S, 3, FALSE))</f>
        <v>1.8488336094397595</v>
      </c>
      <c r="S84" s="1">
        <f>(Main_S[[#This Row],[A/E]]-VLOOKUP(Main_S[[#This Row],[Industry]], Mean_AE_S, 2, FALSE))/(VLOOKUP(Main_S[[#This Row],[Industry]], Mean_AE_S, 3, FALSE))</f>
        <v>6.4702515171792854</v>
      </c>
      <c r="T84" s="1">
        <f>(Main_S[[#This Row],[P/E]]-VLOOKUP(Main_S[[#This Row],[Industry]], Mean_PE_S, 2, FALSE))/(VLOOKUP(Main_S[[#This Row],[Industry]], Mean_PE_S, 3, FALSE))</f>
        <v>0.37005515941774242</v>
      </c>
      <c r="U8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8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8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8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8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8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85" spans="1:26" x14ac:dyDescent="0.25">
      <c r="A85" s="68" t="s">
        <v>235</v>
      </c>
      <c r="B85" s="68" t="s">
        <v>546</v>
      </c>
      <c r="C85" s="2">
        <v>522</v>
      </c>
      <c r="D85">
        <f>RTD("tos.rtd", , "LAST", Main_S[[#This Row],[Symbol]])</f>
        <v>5.14</v>
      </c>
      <c r="E85">
        <v>-1.01</v>
      </c>
      <c r="F85">
        <v>1.78</v>
      </c>
      <c r="G85">
        <v>-2.72</v>
      </c>
      <c r="H85" s="1">
        <f>IF(ISNUMBER(Main_S[[#This Row],[Free CF]]),IF(Main_S[[#This Row],[Free CF]]&lt;&gt;0,Main_S[[#This Row],[Current Price]]/Main_S[[#This Row],[Free CF]],""),"")</f>
        <v>-5.0891089108910892</v>
      </c>
      <c r="I85" s="1">
        <f>IF(ISNUMBER(Main_S[[#This Row],[BVPS]]),IF(Main_S[[#This Row],[BVPS]]&lt;&gt;0,Main_S[[#This Row],[Current Price]]/Main_S[[#This Row],[BVPS]],""),"")</f>
        <v>2.887640449438202</v>
      </c>
      <c r="J85">
        <v>-56.41</v>
      </c>
      <c r="K85">
        <v>0.06</v>
      </c>
      <c r="L85">
        <v>11.72</v>
      </c>
      <c r="M85" s="1">
        <f>IF(ISNUMBER(Main_S[[#This Row],[EPS]]),IF(Main_S[[#This Row],[EPS]]&lt;&gt;0,Main_S[[#This Row],[Current Price]]/Main_S[[#This Row],[EPS]],""),"")</f>
        <v>-1.8897058823529409</v>
      </c>
      <c r="N8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5" s="1">
        <f>(Main_S[[#This Row],[P/FCF]]-VLOOKUP(Main_S[[#This Row],[Industry]], Mean_PFCF_S, 2, FALSE))/(VLOOKUP(Main_S[[#This Row],[Industry]], Mean_PFCF_S, 3, FALSE))</f>
        <v>0.65606285380165241</v>
      </c>
      <c r="P85" s="1">
        <f>(Main_S[[#This Row],[P/B]]-VLOOKUP(Main_S[[#This Row],[Industry]], Mean_PB_S, 2, FALSE))/(VLOOKUP(Main_S[[#This Row],[Industry]], Mean_PB_S, 3, FALSE))</f>
        <v>9.0569515143308461</v>
      </c>
      <c r="Q85" s="1">
        <f>(Main_S[[#This Row],[ROE]]-VLOOKUP(Main_S[[#This Row],[Industry]], Mean_ROE_S, 2, FALSE))/(VLOOKUP(Main_S[[#This Row],[Industry]], Mean_ROE_S, 3, FALSE))</f>
        <v>-6.4848675321662634</v>
      </c>
      <c r="R85" s="1">
        <f>(Main_S[[#This Row],[ROA]]-VLOOKUP(Main_S[[#This Row],[Industry]], Mean_ROA_S, 2, FALSE))/(VLOOKUP(Main_S[[#This Row],[Industry]], Mean_ROA_S, 3, FALSE))</f>
        <v>-0.26038092362949294</v>
      </c>
      <c r="S85" s="1">
        <f>(Main_S[[#This Row],[A/E]]-VLOOKUP(Main_S[[#This Row],[Industry]], Mean_AE_S, 2, FALSE))/(VLOOKUP(Main_S[[#This Row],[Industry]], Mean_AE_S, 3, FALSE))</f>
        <v>19.507867572950641</v>
      </c>
      <c r="T85" s="1">
        <f>(Main_S[[#This Row],[P/E]]-VLOOKUP(Main_S[[#This Row],[Industry]], Mean_PE_S, 2, FALSE))/(VLOOKUP(Main_S[[#This Row],[Industry]], Mean_PE_S, 3, FALSE))</f>
        <v>-0.14483599355658236</v>
      </c>
      <c r="U8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8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8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8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8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8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86" spans="1:26" x14ac:dyDescent="0.25">
      <c r="A86" s="68" t="s">
        <v>235</v>
      </c>
      <c r="B86" s="68" t="s">
        <v>396</v>
      </c>
      <c r="C86" s="2">
        <v>1357</v>
      </c>
      <c r="D86">
        <f>RTD("tos.rtd", , "LAST", Main_S[[#This Row],[Symbol]])</f>
        <v>69.97</v>
      </c>
      <c r="E86">
        <v>2.48</v>
      </c>
      <c r="F86">
        <v>56.22</v>
      </c>
      <c r="G86">
        <v>7.55</v>
      </c>
      <c r="H86" s="1">
        <f>IF(ISNUMBER(Main_S[[#This Row],[Free CF]]),IF(Main_S[[#This Row],[Free CF]]&lt;&gt;0,Main_S[[#This Row],[Current Price]]/Main_S[[#This Row],[Free CF]],""),"")</f>
        <v>28.213709677419356</v>
      </c>
      <c r="I86" s="1">
        <f>IF(ISNUMBER(Main_S[[#This Row],[BVPS]]),IF(Main_S[[#This Row],[BVPS]]&lt;&gt;0,Main_S[[#This Row],[Current Price]]/Main_S[[#This Row],[BVPS]],""),"")</f>
        <v>1.244574884382782</v>
      </c>
      <c r="J86">
        <v>14.25</v>
      </c>
      <c r="K86">
        <v>3.47</v>
      </c>
      <c r="L86">
        <v>1.86</v>
      </c>
      <c r="M86" s="1">
        <f>IF(ISNUMBER(Main_S[[#This Row],[EPS]]),IF(Main_S[[#This Row],[EPS]]&lt;&gt;0,Main_S[[#This Row],[Current Price]]/Main_S[[#This Row],[EPS]],""),"")</f>
        <v>9.2675496688741728</v>
      </c>
      <c r="N8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6" s="1">
        <f>(Main_S[[#This Row],[P/FCF]]-VLOOKUP(Main_S[[#This Row],[Industry]], Mean_PFCF_S, 2, FALSE))/(VLOOKUP(Main_S[[#This Row],[Industry]], Mean_PFCF_S, 3, FALSE))</f>
        <v>5.2650477811502263</v>
      </c>
      <c r="P86" s="1">
        <f>(Main_S[[#This Row],[P/B]]-VLOOKUP(Main_S[[#This Row],[Industry]], Mean_PB_S, 2, FALSE))/(VLOOKUP(Main_S[[#This Row],[Industry]], Mean_PB_S, 3, FALSE))</f>
        <v>0.20414730450587026</v>
      </c>
      <c r="Q86" s="1">
        <f>(Main_S[[#This Row],[ROE]]-VLOOKUP(Main_S[[#This Row],[Industry]], Mean_ROE_S, 2, FALSE))/(VLOOKUP(Main_S[[#This Row],[Industry]], Mean_ROE_S, 3, FALSE))</f>
        <v>1.1919913514680225</v>
      </c>
      <c r="R86" s="1">
        <f>(Main_S[[#This Row],[ROA]]-VLOOKUP(Main_S[[#This Row],[Industry]], Mean_ROA_S, 2, FALSE))/(VLOOKUP(Main_S[[#This Row],[Industry]], Mean_ROA_S, 3, FALSE))</f>
        <v>0.83579061905763141</v>
      </c>
      <c r="S86" s="1">
        <f>(Main_S[[#This Row],[A/E]]-VLOOKUP(Main_S[[#This Row],[Industry]], Mean_AE_S, 2, FALSE))/(VLOOKUP(Main_S[[#This Row],[Industry]], Mean_AE_S, 3, FALSE))</f>
        <v>-0.45111582291436353</v>
      </c>
      <c r="T86" s="1">
        <f>(Main_S[[#This Row],[P/E]]-VLOOKUP(Main_S[[#This Row],[Industry]], Mean_PE_S, 2, FALSE))/(VLOOKUP(Main_S[[#This Row],[Industry]], Mean_PE_S, 3, FALSE))</f>
        <v>0.75274588495767847</v>
      </c>
      <c r="U8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8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8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8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8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8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87" spans="1:26" x14ac:dyDescent="0.25">
      <c r="A87" s="68" t="s">
        <v>235</v>
      </c>
      <c r="B87" s="68" t="s">
        <v>547</v>
      </c>
      <c r="C87" s="2">
        <v>542</v>
      </c>
      <c r="D87">
        <f>RTD("tos.rtd", , "LAST", Main_S[[#This Row],[Symbol]])</f>
        <v>23.05</v>
      </c>
      <c r="E87">
        <v>-1.1399999999999999</v>
      </c>
      <c r="F87">
        <v>16.559999999999999</v>
      </c>
      <c r="G87">
        <v>1.38</v>
      </c>
      <c r="H87" s="1">
        <f>IF(ISNUMBER(Main_S[[#This Row],[Free CF]]),IF(Main_S[[#This Row],[Free CF]]&lt;&gt;0,Main_S[[#This Row],[Current Price]]/Main_S[[#This Row],[Free CF]],""),"")</f>
        <v>-20.219298245614038</v>
      </c>
      <c r="I87" s="1">
        <f>IF(ISNUMBER(Main_S[[#This Row],[BVPS]]),IF(Main_S[[#This Row],[BVPS]]&lt;&gt;0,Main_S[[#This Row],[Current Price]]/Main_S[[#This Row],[BVPS]],""),"")</f>
        <v>1.3919082125603865</v>
      </c>
      <c r="J87">
        <v>8.39</v>
      </c>
      <c r="K87">
        <v>4.03</v>
      </c>
      <c r="L87">
        <v>2.2799999999999998</v>
      </c>
      <c r="M87" s="1">
        <f>IF(ISNUMBER(Main_S[[#This Row],[EPS]]),IF(Main_S[[#This Row],[EPS]]&lt;&gt;0,Main_S[[#This Row],[Current Price]]/Main_S[[#This Row],[EPS]],""),"")</f>
        <v>16.70289855072464</v>
      </c>
      <c r="N8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7" s="1">
        <f>(Main_S[[#This Row],[P/FCF]]-VLOOKUP(Main_S[[#This Row],[Industry]], Mean_PFCF_S, 2, FALSE))/(VLOOKUP(Main_S[[#This Row],[Industry]], Mean_PFCF_S, 3, FALSE))</f>
        <v>-1.4378984848384859</v>
      </c>
      <c r="P87" s="1">
        <f>(Main_S[[#This Row],[P/B]]-VLOOKUP(Main_S[[#This Row],[Industry]], Mean_PB_S, 2, FALSE))/(VLOOKUP(Main_S[[#This Row],[Industry]], Mean_PB_S, 3, FALSE))</f>
        <v>0.99797631271968945</v>
      </c>
      <c r="Q87" s="1">
        <f>(Main_S[[#This Row],[ROE]]-VLOOKUP(Main_S[[#This Row],[Industry]], Mean_ROE_S, 2, FALSE))/(VLOOKUP(Main_S[[#This Row],[Industry]], Mean_ROE_S, 3, FALSE))</f>
        <v>0.55533138744174282</v>
      </c>
      <c r="R87" s="1">
        <f>(Main_S[[#This Row],[ROA]]-VLOOKUP(Main_S[[#This Row],[Industry]], Mean_ROA_S, 2, FALSE))/(VLOOKUP(Main_S[[#This Row],[Industry]], Mean_ROA_S, 3, FALSE))</f>
        <v>1.015807060085429</v>
      </c>
      <c r="S87" s="1">
        <f>(Main_S[[#This Row],[A/E]]-VLOOKUP(Main_S[[#This Row],[Industry]], Mean_AE_S, 2, FALSE))/(VLOOKUP(Main_S[[#This Row],[Industry]], Mean_AE_S, 3, FALSE))</f>
        <v>0.39906399719347563</v>
      </c>
      <c r="T87" s="1">
        <f>(Main_S[[#This Row],[P/E]]-VLOOKUP(Main_S[[#This Row],[Industry]], Mean_PE_S, 2, FALSE))/(VLOOKUP(Main_S[[#This Row],[Industry]], Mean_PE_S, 3, FALSE))</f>
        <v>1.3509068203362933</v>
      </c>
      <c r="U8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8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8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8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8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8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88" spans="1:26" x14ac:dyDescent="0.25">
      <c r="A88" s="68" t="s">
        <v>235</v>
      </c>
      <c r="B88" s="68" t="s">
        <v>548</v>
      </c>
      <c r="C88" s="2">
        <v>594</v>
      </c>
      <c r="D88">
        <f>RTD("tos.rtd", , "LAST", Main_S[[#This Row],[Symbol]])</f>
        <v>8.91</v>
      </c>
      <c r="E88">
        <v>0.44</v>
      </c>
      <c r="F88">
        <v>10.28</v>
      </c>
      <c r="G88">
        <v>-0.37</v>
      </c>
      <c r="H88" s="1">
        <f>IF(ISNUMBER(Main_S[[#This Row],[Free CF]]),IF(Main_S[[#This Row],[Free CF]]&lt;&gt;0,Main_S[[#This Row],[Current Price]]/Main_S[[#This Row],[Free CF]],""),"")</f>
        <v>20.25</v>
      </c>
      <c r="I88" s="1">
        <f>IF(ISNUMBER(Main_S[[#This Row],[BVPS]]),IF(Main_S[[#This Row],[BVPS]]&lt;&gt;0,Main_S[[#This Row],[Current Price]]/Main_S[[#This Row],[BVPS]],""),"")</f>
        <v>0.86673151750972766</v>
      </c>
      <c r="J88">
        <v>-3.44</v>
      </c>
      <c r="K88">
        <v>-1.35</v>
      </c>
      <c r="L88">
        <v>1.66</v>
      </c>
      <c r="M88" s="1">
        <f>IF(ISNUMBER(Main_S[[#This Row],[EPS]]),IF(Main_S[[#This Row],[EPS]]&lt;&gt;0,Main_S[[#This Row],[Current Price]]/Main_S[[#This Row],[EPS]],""),"")</f>
        <v>-24.081081081081081</v>
      </c>
      <c r="N8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8" s="1">
        <f>(Main_S[[#This Row],[P/FCF]]-VLOOKUP(Main_S[[#This Row],[Industry]], Mean_PFCF_S, 2, FALSE))/(VLOOKUP(Main_S[[#This Row],[Industry]], Mean_PFCF_S, 3, FALSE))</f>
        <v>4.1629002925923242</v>
      </c>
      <c r="P88" s="1">
        <f>(Main_S[[#This Row],[P/B]]-VLOOKUP(Main_S[[#This Row],[Industry]], Mean_PB_S, 2, FALSE))/(VLOOKUP(Main_S[[#This Row],[Industry]], Mean_PB_S, 3, FALSE))</f>
        <v>-1.8316651548681373</v>
      </c>
      <c r="Q88" s="1">
        <f>(Main_S[[#This Row],[ROE]]-VLOOKUP(Main_S[[#This Row],[Industry]], Mean_ROE_S, 2, FALSE))/(VLOOKUP(Main_S[[#This Row],[Industry]], Mean_ROE_S, 3, FALSE))</f>
        <v>-0.72993949556694127</v>
      </c>
      <c r="R88" s="1">
        <f>(Main_S[[#This Row],[ROA]]-VLOOKUP(Main_S[[#This Row],[Industry]], Mean_ROA_S, 2, FALSE))/(VLOOKUP(Main_S[[#This Row],[Industry]], Mean_ROA_S, 3, FALSE))</f>
        <v>-0.71363660550305452</v>
      </c>
      <c r="S88" s="1">
        <f>(Main_S[[#This Row],[A/E]]-VLOOKUP(Main_S[[#This Row],[Industry]], Mean_AE_S, 2, FALSE))/(VLOOKUP(Main_S[[#This Row],[Industry]], Mean_AE_S, 3, FALSE))</f>
        <v>-0.85596335629904952</v>
      </c>
      <c r="T88" s="1">
        <f>(Main_S[[#This Row],[P/E]]-VLOOKUP(Main_S[[#This Row],[Industry]], Mean_PE_S, 2, FALSE))/(VLOOKUP(Main_S[[#This Row],[Industry]], Mean_PE_S, 3, FALSE))</f>
        <v>-1.9300936804703204</v>
      </c>
      <c r="U8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8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8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8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8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8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89" spans="1:26" x14ac:dyDescent="0.25">
      <c r="A89" s="68" t="s">
        <v>235</v>
      </c>
      <c r="B89" s="68" t="s">
        <v>549</v>
      </c>
      <c r="C89" s="2">
        <v>1034</v>
      </c>
      <c r="D89">
        <f>RTD("tos.rtd", , "LAST", Main_S[[#This Row],[Symbol]])</f>
        <v>13.78</v>
      </c>
      <c r="E89">
        <v>-1.21</v>
      </c>
      <c r="F89">
        <v>9.42</v>
      </c>
      <c r="G89">
        <v>0.26</v>
      </c>
      <c r="H89" s="1">
        <f>IF(ISNUMBER(Main_S[[#This Row],[Free CF]]),IF(Main_S[[#This Row],[Free CF]]&lt;&gt;0,Main_S[[#This Row],[Current Price]]/Main_S[[#This Row],[Free CF]],""),"")</f>
        <v>-11.388429752066115</v>
      </c>
      <c r="I89" s="1">
        <f>IF(ISNUMBER(Main_S[[#This Row],[BVPS]]),IF(Main_S[[#This Row],[BVPS]]&lt;&gt;0,Main_S[[#This Row],[Current Price]]/Main_S[[#This Row],[BVPS]],""),"")</f>
        <v>1.4628450106157111</v>
      </c>
      <c r="J89">
        <v>2.82</v>
      </c>
      <c r="K89">
        <v>1.35</v>
      </c>
      <c r="L89">
        <v>1.28</v>
      </c>
      <c r="M89" s="1">
        <f>IF(ISNUMBER(Main_S[[#This Row],[EPS]]),IF(Main_S[[#This Row],[EPS]]&lt;&gt;0,Main_S[[#This Row],[Current Price]]/Main_S[[#This Row],[EPS]],""),"")</f>
        <v>52.999999999999993</v>
      </c>
      <c r="N8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9" s="1">
        <f>(Main_S[[#This Row],[P/FCF]]-VLOOKUP(Main_S[[#This Row],[Industry]], Mean_PFCF_S, 2, FALSE))/(VLOOKUP(Main_S[[#This Row],[Industry]], Mean_PFCF_S, 3, FALSE))</f>
        <v>-0.21573947525704817</v>
      </c>
      <c r="P89" s="1">
        <f>(Main_S[[#This Row],[P/B]]-VLOOKUP(Main_S[[#This Row],[Industry]], Mean_PB_S, 2, FALSE))/(VLOOKUP(Main_S[[#This Row],[Industry]], Mean_PB_S, 3, FALSE))</f>
        <v>1.3801823535568365</v>
      </c>
      <c r="Q89" s="1">
        <f>(Main_S[[#This Row],[ROE]]-VLOOKUP(Main_S[[#This Row],[Industry]], Mean_ROE_S, 2, FALSE))/(VLOOKUP(Main_S[[#This Row],[Industry]], Mean_ROE_S, 3, FALSE))</f>
        <v>-4.9821513518390002E-2</v>
      </c>
      <c r="R89" s="1">
        <f>(Main_S[[#This Row],[ROA]]-VLOOKUP(Main_S[[#This Row],[Industry]], Mean_ROA_S, 2, FALSE))/(VLOOKUP(Main_S[[#This Row],[Industry]], Mean_ROA_S, 3, FALSE))</f>
        <v>0.154299806595255</v>
      </c>
      <c r="S89" s="1">
        <f>(Main_S[[#This Row],[A/E]]-VLOOKUP(Main_S[[#This Row],[Industry]], Mean_AE_S, 2, FALSE))/(VLOOKUP(Main_S[[#This Row],[Industry]], Mean_AE_S, 3, FALSE))</f>
        <v>-1.6251736697299519</v>
      </c>
      <c r="T89" s="1">
        <f>(Main_S[[#This Row],[P/E]]-VLOOKUP(Main_S[[#This Row],[Industry]], Mean_PE_S, 2, FALSE))/(VLOOKUP(Main_S[[#This Row],[Industry]], Mean_PE_S, 3, FALSE))</f>
        <v>4.2709457451308452</v>
      </c>
      <c r="U8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8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8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8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8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8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90" spans="1:26" x14ac:dyDescent="0.25">
      <c r="A90" s="68" t="s">
        <v>235</v>
      </c>
      <c r="B90" s="68" t="s">
        <v>550</v>
      </c>
      <c r="C90" s="2">
        <v>371</v>
      </c>
      <c r="D90">
        <f>RTD("tos.rtd", , "LAST", Main_S[[#This Row],[Symbol]])</f>
        <v>15.09</v>
      </c>
      <c r="E90">
        <v>-3.74</v>
      </c>
      <c r="F90">
        <v>12.37</v>
      </c>
      <c r="G90">
        <v>-1.85</v>
      </c>
      <c r="H90" s="1">
        <f>IF(ISNUMBER(Main_S[[#This Row],[Free CF]]),IF(Main_S[[#This Row],[Free CF]]&lt;&gt;0,Main_S[[#This Row],[Current Price]]/Main_S[[#This Row],[Free CF]],""),"")</f>
        <v>-4.0347593582887695</v>
      </c>
      <c r="I90" s="1">
        <f>IF(ISNUMBER(Main_S[[#This Row],[BVPS]]),IF(Main_S[[#This Row],[BVPS]]&lt;&gt;0,Main_S[[#This Row],[Current Price]]/Main_S[[#This Row],[BVPS]],""),"")</f>
        <v>1.2198868229587714</v>
      </c>
      <c r="J90">
        <v>-13.77</v>
      </c>
      <c r="K90">
        <v>-3.54</v>
      </c>
      <c r="L90">
        <v>2.64</v>
      </c>
      <c r="M90" s="1">
        <f>IF(ISNUMBER(Main_S[[#This Row],[EPS]]),IF(Main_S[[#This Row],[EPS]]&lt;&gt;0,Main_S[[#This Row],[Current Price]]/Main_S[[#This Row],[EPS]],""),"")</f>
        <v>-8.1567567567567565</v>
      </c>
      <c r="N9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90" s="1">
        <f>(Main_S[[#This Row],[P/FCF]]-VLOOKUP(Main_S[[#This Row],[Industry]], Mean_PFCF_S, 2, FALSE))/(VLOOKUP(Main_S[[#This Row],[Industry]], Mean_PFCF_S, 3, FALSE))</f>
        <v>0.80198086921571465</v>
      </c>
      <c r="P90" s="1">
        <f>(Main_S[[#This Row],[P/B]]-VLOOKUP(Main_S[[#This Row],[Industry]], Mean_PB_S, 2, FALSE))/(VLOOKUP(Main_S[[#This Row],[Industry]], Mean_PB_S, 3, FALSE))</f>
        <v>7.1128526220216995E-2</v>
      </c>
      <c r="Q90" s="1">
        <f>(Main_S[[#This Row],[ROE]]-VLOOKUP(Main_S[[#This Row],[Industry]], Mean_ROE_S, 2, FALSE))/(VLOOKUP(Main_S[[#This Row],[Industry]], Mean_ROE_S, 3, FALSE))</f>
        <v>-1.8522428109921067</v>
      </c>
      <c r="R90" s="1">
        <f>(Main_S[[#This Row],[ROA]]-VLOOKUP(Main_S[[#This Row],[Industry]], Mean_ROA_S, 2, FALSE))/(VLOOKUP(Main_S[[#This Row],[Industry]], Mean_ROA_S, 3, FALSE))</f>
        <v>-1.4176294730939056</v>
      </c>
      <c r="S90" s="1">
        <f>(Main_S[[#This Row],[A/E]]-VLOOKUP(Main_S[[#This Row],[Industry]], Mean_AE_S, 2, FALSE))/(VLOOKUP(Main_S[[#This Row],[Industry]], Mean_AE_S, 3, FALSE))</f>
        <v>1.1277895572859105</v>
      </c>
      <c r="T90" s="1">
        <f>(Main_S[[#This Row],[P/E]]-VLOOKUP(Main_S[[#This Row],[Industry]], Mean_PE_S, 2, FALSE))/(VLOOKUP(Main_S[[#This Row],[Industry]], Mean_PE_S, 3, FALSE))</f>
        <v>-0.64900937837908379</v>
      </c>
      <c r="U9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9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9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9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9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9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91" spans="1:26" x14ac:dyDescent="0.25">
      <c r="A91" s="68" t="s">
        <v>235</v>
      </c>
      <c r="B91" s="68" t="s">
        <v>551</v>
      </c>
      <c r="C91" s="2">
        <v>586</v>
      </c>
      <c r="D91">
        <f>RTD("tos.rtd", , "LAST", Main_S[[#This Row],[Symbol]])</f>
        <v>25.83</v>
      </c>
      <c r="E91">
        <v>-5.29</v>
      </c>
      <c r="F91">
        <v>24.56</v>
      </c>
      <c r="G91">
        <v>3.17</v>
      </c>
      <c r="H91" s="1">
        <f>IF(ISNUMBER(Main_S[[#This Row],[Free CF]]),IF(Main_S[[#This Row],[Free CF]]&lt;&gt;0,Main_S[[#This Row],[Current Price]]/Main_S[[#This Row],[Free CF]],""),"")</f>
        <v>-4.8827977315689974</v>
      </c>
      <c r="I91" s="1">
        <f>IF(ISNUMBER(Main_S[[#This Row],[BVPS]]),IF(Main_S[[#This Row],[BVPS]]&lt;&gt;0,Main_S[[#This Row],[Current Price]]/Main_S[[#This Row],[BVPS]],""),"")</f>
        <v>1.0517100977198697</v>
      </c>
      <c r="J91">
        <v>13.57</v>
      </c>
      <c r="K91">
        <v>6.28</v>
      </c>
      <c r="L91">
        <v>2.78</v>
      </c>
      <c r="M91" s="1">
        <f>IF(ISNUMBER(Main_S[[#This Row],[EPS]]),IF(Main_S[[#This Row],[EPS]]&lt;&gt;0,Main_S[[#This Row],[Current Price]]/Main_S[[#This Row],[EPS]],""),"")</f>
        <v>8.1482649842271293</v>
      </c>
      <c r="N9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91" s="1">
        <f>(Main_S[[#This Row],[P/FCF]]-VLOOKUP(Main_S[[#This Row],[Industry]], Mean_PFCF_S, 2, FALSE))/(VLOOKUP(Main_S[[#This Row],[Industry]], Mean_PFCF_S, 3, FALSE))</f>
        <v>0.68461554562014004</v>
      </c>
      <c r="P91" s="1">
        <f>(Main_S[[#This Row],[P/B]]-VLOOKUP(Main_S[[#This Row],[Industry]], Mean_PB_S, 2, FALSE))/(VLOOKUP(Main_S[[#This Row],[Industry]], Mean_PB_S, 3, FALSE))</f>
        <v>-0.83500428603874444</v>
      </c>
      <c r="Q91" s="1">
        <f>(Main_S[[#This Row],[ROE]]-VLOOKUP(Main_S[[#This Row],[Industry]], Mean_ROE_S, 2, FALSE))/(VLOOKUP(Main_S[[#This Row],[Industry]], Mean_ROE_S, 3, FALSE))</f>
        <v>1.1181127208301607</v>
      </c>
      <c r="R91" s="1">
        <f>(Main_S[[#This Row],[ROA]]-VLOOKUP(Main_S[[#This Row],[Industry]], Mean_ROA_S, 2, FALSE))/(VLOOKUP(Main_S[[#This Row],[Industry]], Mean_ROA_S, 3, FALSE))</f>
        <v>1.7390874035006869</v>
      </c>
      <c r="S91" s="1">
        <f>(Main_S[[#This Row],[A/E]]-VLOOKUP(Main_S[[#This Row],[Industry]], Mean_AE_S, 2, FALSE))/(VLOOKUP(Main_S[[#This Row],[Industry]], Mean_AE_S, 3, FALSE))</f>
        <v>1.4111828306551897</v>
      </c>
      <c r="T91" s="1">
        <f>(Main_S[[#This Row],[P/E]]-VLOOKUP(Main_S[[#This Row],[Industry]], Mean_PE_S, 2, FALSE))/(VLOOKUP(Main_S[[#This Row],[Industry]], Mean_PE_S, 3, FALSE))</f>
        <v>0.6627013713024148</v>
      </c>
      <c r="U9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9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9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9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9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9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92" spans="1:26" x14ac:dyDescent="0.25">
      <c r="A92" s="68" t="s">
        <v>235</v>
      </c>
      <c r="B92" s="68" t="s">
        <v>402</v>
      </c>
      <c r="C92" s="2">
        <v>1569</v>
      </c>
      <c r="D92">
        <f>RTD("tos.rtd", , "LAST", Main_S[[#This Row],[Symbol]])</f>
        <v>28.04</v>
      </c>
      <c r="E92">
        <v>-1.35</v>
      </c>
      <c r="F92">
        <v>23.19</v>
      </c>
      <c r="G92">
        <v>0.28999999999999998</v>
      </c>
      <c r="H92" s="1">
        <f>IF(ISNUMBER(Main_S[[#This Row],[Free CF]]),IF(Main_S[[#This Row],[Free CF]]&lt;&gt;0,Main_S[[#This Row],[Current Price]]/Main_S[[#This Row],[Free CF]],""),"")</f>
        <v>-20.770370370370369</v>
      </c>
      <c r="I92" s="1">
        <f>IF(ISNUMBER(Main_S[[#This Row],[BVPS]]),IF(Main_S[[#This Row],[BVPS]]&lt;&gt;0,Main_S[[#This Row],[Current Price]]/Main_S[[#This Row],[BVPS]],""),"")</f>
        <v>1.2091418714963345</v>
      </c>
      <c r="J92">
        <v>1.1299999999999999</v>
      </c>
      <c r="K92">
        <v>0.63</v>
      </c>
      <c r="L92">
        <v>2.08</v>
      </c>
      <c r="M92" s="1">
        <f>IF(ISNUMBER(Main_S[[#This Row],[EPS]]),IF(Main_S[[#This Row],[EPS]]&lt;&gt;0,Main_S[[#This Row],[Current Price]]/Main_S[[#This Row],[EPS]],""),"")</f>
        <v>96.689655172413794</v>
      </c>
      <c r="N9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92" s="1">
        <f>(Main_S[[#This Row],[P/FCF]]-VLOOKUP(Main_S[[#This Row],[Industry]], Mean_PFCF_S, 2, FALSE))/(VLOOKUP(Main_S[[#This Row],[Industry]], Mean_PFCF_S, 3, FALSE))</f>
        <v>-1.5141647957559468</v>
      </c>
      <c r="P92" s="1">
        <f>(Main_S[[#This Row],[P/B]]-VLOOKUP(Main_S[[#This Row],[Industry]], Mean_PB_S, 2, FALSE))/(VLOOKUP(Main_S[[#This Row],[Industry]], Mean_PB_S, 3, FALSE))</f>
        <v>1.3234943904274434E-2</v>
      </c>
      <c r="Q92" s="1">
        <f>(Main_S[[#This Row],[ROE]]-VLOOKUP(Main_S[[#This Row],[Industry]], Mean_ROE_S, 2, FALSE))/(VLOOKUP(Main_S[[#This Row],[Industry]], Mean_ROE_S, 3, FALSE))</f>
        <v>-0.23343163966248773</v>
      </c>
      <c r="R92" s="1">
        <f>(Main_S[[#This Row],[ROA]]-VLOOKUP(Main_S[[#This Row],[Industry]], Mean_ROA_S, 2, FALSE))/(VLOOKUP(Main_S[[#This Row],[Industry]], Mean_ROA_S, 3, FALSE))</f>
        <v>-7.7149903297627581E-2</v>
      </c>
      <c r="S92" s="1">
        <f>(Main_S[[#This Row],[A/E]]-VLOOKUP(Main_S[[#This Row],[Industry]], Mean_AE_S, 2, FALSE))/(VLOOKUP(Main_S[[#This Row],[Industry]], Mean_AE_S, 3, FALSE))</f>
        <v>-5.7835361912094143E-3</v>
      </c>
      <c r="T92" s="1">
        <f>(Main_S[[#This Row],[P/E]]-VLOOKUP(Main_S[[#This Row],[Industry]], Mean_PE_S, 2, FALSE))/(VLOOKUP(Main_S[[#This Row],[Industry]], Mean_PE_S, 3, FALSE))</f>
        <v>7.7857028089306848</v>
      </c>
      <c r="U9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9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9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9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9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9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93" spans="1:26" x14ac:dyDescent="0.25">
      <c r="A93" s="68" t="s">
        <v>235</v>
      </c>
      <c r="B93" s="68" t="s">
        <v>552</v>
      </c>
      <c r="C93" s="2">
        <v>1912</v>
      </c>
      <c r="D93">
        <f>RTD("tos.rtd", , "LAST", Main_S[[#This Row],[Symbol]])</f>
        <v>5.7649999999999997</v>
      </c>
      <c r="E93">
        <v>-2.38</v>
      </c>
      <c r="F93">
        <v>0.5</v>
      </c>
      <c r="G93">
        <v>-9.35</v>
      </c>
      <c r="H93" s="1">
        <f>IF(ISNUMBER(Main_S[[#This Row],[Free CF]]),IF(Main_S[[#This Row],[Free CF]]&lt;&gt;0,Main_S[[#This Row],[Current Price]]/Main_S[[#This Row],[Free CF]],""),"")</f>
        <v>-2.422268907563025</v>
      </c>
      <c r="I93" s="1">
        <f>IF(ISNUMBER(Main_S[[#This Row],[BVPS]]),IF(Main_S[[#This Row],[BVPS]]&lt;&gt;0,Main_S[[#This Row],[Current Price]]/Main_S[[#This Row],[BVPS]],""),"")</f>
        <v>11.53</v>
      </c>
      <c r="J93">
        <v>-176.39</v>
      </c>
      <c r="K93">
        <v>-3.1</v>
      </c>
      <c r="L93">
        <v>142.5</v>
      </c>
      <c r="M93" s="1">
        <f>IF(ISNUMBER(Main_S[[#This Row],[EPS]]),IF(Main_S[[#This Row],[EPS]]&lt;&gt;0,Main_S[[#This Row],[Current Price]]/Main_S[[#This Row],[EPS]],""),"")</f>
        <v>-0.61657754010695187</v>
      </c>
      <c r="N9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93" s="1">
        <f>(Main_S[[#This Row],[P/FCF]]-VLOOKUP(Main_S[[#This Row],[Industry]], Mean_PFCF_S, 2, FALSE))/(VLOOKUP(Main_S[[#This Row],[Industry]], Mean_PFCF_S, 3, FALSE))</f>
        <v>1.0251434872139744</v>
      </c>
      <c r="P93" s="1">
        <f>(Main_S[[#This Row],[P/B]]-VLOOKUP(Main_S[[#This Row],[Industry]], Mean_PB_S, 2, FALSE))/(VLOOKUP(Main_S[[#This Row],[Industry]], Mean_PB_S, 3, FALSE))</f>
        <v>55.621810908395219</v>
      </c>
      <c r="Q93" s="1">
        <f>(Main_S[[#This Row],[ROE]]-VLOOKUP(Main_S[[#This Row],[Industry]], Mean_ROE_S, 2, FALSE))/(VLOOKUP(Main_S[[#This Row],[Industry]], Mean_ROE_S, 3, FALSE))</f>
        <v>-19.520100037946644</v>
      </c>
      <c r="R93" s="1">
        <f>(Main_S[[#This Row],[ROA]]-VLOOKUP(Main_S[[#This Row],[Industry]], Mean_ROA_S, 2, FALSE))/(VLOOKUP(Main_S[[#This Row],[Industry]], Mean_ROA_S, 3, FALSE))</f>
        <v>-1.2761879837149219</v>
      </c>
      <c r="S93" s="1">
        <f>(Main_S[[#This Row],[A/E]]-VLOOKUP(Main_S[[#This Row],[Industry]], Mean_AE_S, 2, FALSE))/(VLOOKUP(Main_S[[#This Row],[Industry]], Mean_AE_S, 3, FALSE))</f>
        <v>284.23766965319658</v>
      </c>
      <c r="T93" s="1">
        <f>(Main_S[[#This Row],[P/E]]-VLOOKUP(Main_S[[#This Row],[Industry]], Mean_PE_S, 2, FALSE))/(VLOOKUP(Main_S[[#This Row],[Industry]], Mean_PE_S, 3, FALSE))</f>
        <v>-4.2415024190399872E-2</v>
      </c>
      <c r="U9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9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9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9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9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9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94" spans="1:26" x14ac:dyDescent="0.25">
      <c r="A94" s="68" t="s">
        <v>154</v>
      </c>
      <c r="B94" s="68" t="s">
        <v>452</v>
      </c>
      <c r="C94" s="2">
        <v>1900</v>
      </c>
      <c r="D94">
        <f>RTD("tos.rtd", , "LAST", Main_S[[#This Row],[Symbol]])</f>
        <v>24.69</v>
      </c>
      <c r="E94">
        <v>3.51</v>
      </c>
      <c r="F94">
        <v>9.9499999999999993</v>
      </c>
      <c r="G94">
        <v>-0.11</v>
      </c>
      <c r="H94" s="1">
        <f>IF(ISNUMBER(Main_S[[#This Row],[Free CF]]),IF(Main_S[[#This Row],[Free CF]]&lt;&gt;0,Main_S[[#This Row],[Current Price]]/Main_S[[#This Row],[Free CF]],""),"")</f>
        <v>7.034188034188035</v>
      </c>
      <c r="I94" s="1">
        <f>IF(ISNUMBER(Main_S[[#This Row],[BVPS]]),IF(Main_S[[#This Row],[BVPS]]&lt;&gt;0,Main_S[[#This Row],[Current Price]]/Main_S[[#This Row],[BVPS]],""),"")</f>
        <v>2.4814070351758799</v>
      </c>
      <c r="J94">
        <v>5.7</v>
      </c>
      <c r="K94">
        <v>3.72</v>
      </c>
      <c r="L94">
        <v>35.159999999999997</v>
      </c>
      <c r="M94" s="1">
        <f>IF(ISNUMBER(Main_S[[#This Row],[EPS]]),IF(Main_S[[#This Row],[EPS]]&lt;&gt;0,Main_S[[#This Row],[Current Price]]/Main_S[[#This Row],[EPS]],""),"")</f>
        <v>-224.45454545454547</v>
      </c>
      <c r="N9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94" s="1">
        <f>(Main_S[[#This Row],[P/FCF]]-VLOOKUP(Main_S[[#This Row],[Industry]], Mean_PFCF_S, 2, FALSE))/(VLOOKUP(Main_S[[#This Row],[Industry]], Mean_PFCF_S, 3, FALSE))</f>
        <v>1</v>
      </c>
      <c r="P94" s="1">
        <f>(Main_S[[#This Row],[P/B]]-VLOOKUP(Main_S[[#This Row],[Industry]], Mean_PB_S, 2, FALSE))/(VLOOKUP(Main_S[[#This Row],[Industry]], Mean_PB_S, 3, FALSE))</f>
        <v>1</v>
      </c>
      <c r="Q94" s="1">
        <f>(Main_S[[#This Row],[ROE]]-VLOOKUP(Main_S[[#This Row],[Industry]], Mean_ROE_S, 2, FALSE))/(VLOOKUP(Main_S[[#This Row],[Industry]], Mean_ROE_S, 3, FALSE))</f>
        <v>1</v>
      </c>
      <c r="R94" s="1">
        <f>(Main_S[[#This Row],[ROA]]-VLOOKUP(Main_S[[#This Row],[Industry]], Mean_ROA_S, 2, FALSE))/(VLOOKUP(Main_S[[#This Row],[Industry]], Mean_ROA_S, 3, FALSE))</f>
        <v>0.99999999999999967</v>
      </c>
      <c r="S94" s="1">
        <f>(Main_S[[#This Row],[A/E]]-VLOOKUP(Main_S[[#This Row],[Industry]], Mean_AE_S, 2, FALSE))/(VLOOKUP(Main_S[[#This Row],[Industry]], Mean_AE_S, 3, FALSE))</f>
        <v>1</v>
      </c>
      <c r="T94" s="1">
        <f>(Main_S[[#This Row],[P/E]]-VLOOKUP(Main_S[[#This Row],[Industry]], Mean_PE_S, 2, FALSE))/(VLOOKUP(Main_S[[#This Row],[Industry]], Mean_PE_S, 3, FALSE))</f>
        <v>-1</v>
      </c>
      <c r="U9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9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9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9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9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9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95" spans="1:26" x14ac:dyDescent="0.25">
      <c r="A95" s="68" t="s">
        <v>154</v>
      </c>
      <c r="B95" s="68" t="s">
        <v>453</v>
      </c>
      <c r="C95" s="2">
        <v>1926</v>
      </c>
      <c r="D95">
        <f>RTD("tos.rtd", , "LAST", Main_S[[#This Row],[Symbol]])</f>
        <v>28.9</v>
      </c>
      <c r="E95">
        <v>-5.59</v>
      </c>
      <c r="F95">
        <v>-1.07</v>
      </c>
      <c r="G95">
        <v>-10.91</v>
      </c>
      <c r="H95" s="1">
        <f>IF(ISNUMBER(Main_S[[#This Row],[Free CF]]),IF(Main_S[[#This Row],[Free CF]]&lt;&gt;0,Main_S[[#This Row],[Current Price]]/Main_S[[#This Row],[Free CF]],""),"")</f>
        <v>-5.1699463327370303</v>
      </c>
      <c r="I95" s="1">
        <f>IF(ISNUMBER(Main_S[[#This Row],[BVPS]]),IF(Main_S[[#This Row],[BVPS]]&lt;&gt;0,Main_S[[#This Row],[Current Price]]/Main_S[[#This Row],[BVPS]],""),"")</f>
        <v>-27.009345794392519</v>
      </c>
      <c r="J95">
        <v>-52.88</v>
      </c>
      <c r="K95">
        <v>0.83</v>
      </c>
      <c r="L95">
        <v>-247.42</v>
      </c>
      <c r="M95" s="1">
        <f>IF(ISNUMBER(Main_S[[#This Row],[EPS]]),IF(Main_S[[#This Row],[EPS]]&lt;&gt;0,Main_S[[#This Row],[Current Price]]/Main_S[[#This Row],[EPS]],""),"")</f>
        <v>-2.6489459211732354</v>
      </c>
      <c r="N9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95" s="1">
        <f>(Main_S[[#This Row],[P/FCF]]-VLOOKUP(Main_S[[#This Row],[Industry]], Mean_PFCF_S, 2, FALSE))/(VLOOKUP(Main_S[[#This Row],[Industry]], Mean_PFCF_S, 3, FALSE))</f>
        <v>-1</v>
      </c>
      <c r="P95" s="1">
        <f>(Main_S[[#This Row],[P/B]]-VLOOKUP(Main_S[[#This Row],[Industry]], Mean_PB_S, 2, FALSE))/(VLOOKUP(Main_S[[#This Row],[Industry]], Mean_PB_S, 3, FALSE))</f>
        <v>-1</v>
      </c>
      <c r="Q95" s="1">
        <f>(Main_S[[#This Row],[ROE]]-VLOOKUP(Main_S[[#This Row],[Industry]], Mean_ROE_S, 2, FALSE))/(VLOOKUP(Main_S[[#This Row],[Industry]], Mean_ROE_S, 3, FALSE))</f>
        <v>-1.0000000000000002</v>
      </c>
      <c r="R95" s="1">
        <f>(Main_S[[#This Row],[ROA]]-VLOOKUP(Main_S[[#This Row],[Industry]], Mean_ROA_S, 2, FALSE))/(VLOOKUP(Main_S[[#This Row],[Industry]], Mean_ROA_S, 3, FALSE))</f>
        <v>-0.99999999999999933</v>
      </c>
      <c r="S95" s="1">
        <f>(Main_S[[#This Row],[A/E]]-VLOOKUP(Main_S[[#This Row],[Industry]], Mean_AE_S, 2, FALSE))/(VLOOKUP(Main_S[[#This Row],[Industry]], Mean_AE_S, 3, FALSE))</f>
        <v>-1</v>
      </c>
      <c r="T95" s="1">
        <f>(Main_S[[#This Row],[P/E]]-VLOOKUP(Main_S[[#This Row],[Industry]], Mean_PE_S, 2, FALSE))/(VLOOKUP(Main_S[[#This Row],[Industry]], Mean_PE_S, 3, FALSE))</f>
        <v>1</v>
      </c>
      <c r="U9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9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9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9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9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9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96" spans="1:26" x14ac:dyDescent="0.25">
      <c r="A96" s="68" t="s">
        <v>157</v>
      </c>
      <c r="B96" s="68" t="s">
        <v>454</v>
      </c>
      <c r="C96" s="2">
        <v>871</v>
      </c>
      <c r="D96">
        <f>RTD("tos.rtd", , "LAST", Main_S[[#This Row],[Symbol]])</f>
        <v>42.44</v>
      </c>
      <c r="E96">
        <v>3.15</v>
      </c>
      <c r="F96">
        <v>28.6</v>
      </c>
      <c r="G96">
        <v>0.66</v>
      </c>
      <c r="H96" s="1">
        <f>IF(ISNUMBER(Main_S[[#This Row],[Free CF]]),IF(Main_S[[#This Row],[Free CF]]&lt;&gt;0,Main_S[[#This Row],[Current Price]]/Main_S[[#This Row],[Free CF]],""),"")</f>
        <v>13.473015873015873</v>
      </c>
      <c r="I96" s="1">
        <f>IF(ISNUMBER(Main_S[[#This Row],[BVPS]]),IF(Main_S[[#This Row],[BVPS]]&lt;&gt;0,Main_S[[#This Row],[Current Price]]/Main_S[[#This Row],[BVPS]],""),"")</f>
        <v>1.4839160839160839</v>
      </c>
      <c r="J96">
        <v>2.3199999999999998</v>
      </c>
      <c r="K96">
        <v>5.89</v>
      </c>
      <c r="L96">
        <v>1.62</v>
      </c>
      <c r="M96" s="1">
        <f>IF(ISNUMBER(Main_S[[#This Row],[EPS]]),IF(Main_S[[#This Row],[EPS]]&lt;&gt;0,Main_S[[#This Row],[Current Price]]/Main_S[[#This Row],[EPS]],""),"")</f>
        <v>64.303030303030297</v>
      </c>
      <c r="N9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96" s="1">
        <f>(Main_S[[#This Row],[P/FCF]]-VLOOKUP(Main_S[[#This Row],[Industry]], Mean_PFCF_S, 2, FALSE))/(VLOOKUP(Main_S[[#This Row],[Industry]], Mean_PFCF_S, 3, FALSE))</f>
        <v>-2.9947186277484709E-2</v>
      </c>
      <c r="P96" s="1">
        <f>(Main_S[[#This Row],[P/B]]-VLOOKUP(Main_S[[#This Row],[Industry]], Mean_PB_S, 2, FALSE))/(VLOOKUP(Main_S[[#This Row],[Industry]], Mean_PB_S, 3, FALSE))</f>
        <v>-0.27502985375099254</v>
      </c>
      <c r="Q96" s="1">
        <f>(Main_S[[#This Row],[ROE]]-VLOOKUP(Main_S[[#This Row],[Industry]], Mean_ROE_S, 2, FALSE))/(VLOOKUP(Main_S[[#This Row],[Industry]], Mean_ROE_S, 3, FALSE))</f>
        <v>-0.52528626132660317</v>
      </c>
      <c r="R96" s="1">
        <f>(Main_S[[#This Row],[ROA]]-VLOOKUP(Main_S[[#This Row],[Industry]], Mean_ROA_S, 2, FALSE))/(VLOOKUP(Main_S[[#This Row],[Industry]], Mean_ROA_S, 3, FALSE))</f>
        <v>0.86222462121800836</v>
      </c>
      <c r="S96" s="1">
        <f>(Main_S[[#This Row],[A/E]]-VLOOKUP(Main_S[[#This Row],[Industry]], Mean_AE_S, 2, FALSE))/(VLOOKUP(Main_S[[#This Row],[Industry]], Mean_AE_S, 3, FALSE))</f>
        <v>-0.75392528605624787</v>
      </c>
      <c r="T96" s="1">
        <f>(Main_S[[#This Row],[P/E]]-VLOOKUP(Main_S[[#This Row],[Industry]], Mean_PE_S, 2, FALSE))/(VLOOKUP(Main_S[[#This Row],[Industry]], Mean_PE_S, 3, FALSE))</f>
        <v>3.3558180070108952</v>
      </c>
      <c r="U9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9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9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9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9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9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97" spans="1:26" x14ac:dyDescent="0.25">
      <c r="A97" s="68" t="s">
        <v>157</v>
      </c>
      <c r="B97" s="68" t="s">
        <v>455</v>
      </c>
      <c r="C97" s="2">
        <v>1212</v>
      </c>
      <c r="D97">
        <f>RTD("tos.rtd", , "LAST", Main_S[[#This Row],[Symbol]])</f>
        <v>40.590000000000003</v>
      </c>
      <c r="E97">
        <v>3.73</v>
      </c>
      <c r="F97">
        <v>5.6</v>
      </c>
      <c r="G97">
        <v>3.21</v>
      </c>
      <c r="H97" s="1">
        <f>IF(ISNUMBER(Main_S[[#This Row],[Free CF]]),IF(Main_S[[#This Row],[Free CF]]&lt;&gt;0,Main_S[[#This Row],[Current Price]]/Main_S[[#This Row],[Free CF]],""),"")</f>
        <v>10.882037533512065</v>
      </c>
      <c r="I97" s="1">
        <f>IF(ISNUMBER(Main_S[[#This Row],[BVPS]]),IF(Main_S[[#This Row],[BVPS]]&lt;&gt;0,Main_S[[#This Row],[Current Price]]/Main_S[[#This Row],[BVPS]],""),"")</f>
        <v>7.2482142857142868</v>
      </c>
      <c r="J97">
        <v>84.71</v>
      </c>
      <c r="K97">
        <v>17.43</v>
      </c>
      <c r="L97">
        <v>2.98</v>
      </c>
      <c r="M97" s="1">
        <f>IF(ISNUMBER(Main_S[[#This Row],[EPS]]),IF(Main_S[[#This Row],[EPS]]&lt;&gt;0,Main_S[[#This Row],[Current Price]]/Main_S[[#This Row],[EPS]],""),"")</f>
        <v>12.644859813084114</v>
      </c>
      <c r="N9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97" s="1">
        <f>(Main_S[[#This Row],[P/FCF]]-VLOOKUP(Main_S[[#This Row],[Industry]], Mean_PFCF_S, 2, FALSE))/(VLOOKUP(Main_S[[#This Row],[Industry]], Mean_PFCF_S, 3, FALSE))</f>
        <v>-0.29230606364334999</v>
      </c>
      <c r="P97" s="1">
        <f>(Main_S[[#This Row],[P/B]]-VLOOKUP(Main_S[[#This Row],[Industry]], Mean_PB_S, 2, FALSE))/(VLOOKUP(Main_S[[#This Row],[Industry]], Mean_PB_S, 3, FALSE))</f>
        <v>5.3941208841152708</v>
      </c>
      <c r="Q97" s="1">
        <f>(Main_S[[#This Row],[ROE]]-VLOOKUP(Main_S[[#This Row],[Industry]], Mean_ROE_S, 2, FALSE))/(VLOOKUP(Main_S[[#This Row],[Industry]], Mean_ROE_S, 3, FALSE))</f>
        <v>8.333014379983128</v>
      </c>
      <c r="R97" s="1">
        <f>(Main_S[[#This Row],[ROA]]-VLOOKUP(Main_S[[#This Row],[Industry]], Mean_ROA_S, 2, FALSE))/(VLOOKUP(Main_S[[#This Row],[Industry]], Mean_ROA_S, 3, FALSE))</f>
        <v>4.4979307188117508</v>
      </c>
      <c r="S97" s="1">
        <f>(Main_S[[#This Row],[A/E]]-VLOOKUP(Main_S[[#This Row],[Industry]], Mean_AE_S, 2, FALSE))/(VLOOKUP(Main_S[[#This Row],[Industry]], Mean_AE_S, 3, FALSE))</f>
        <v>0.79076202641730242</v>
      </c>
      <c r="T97" s="1">
        <f>(Main_S[[#This Row],[P/E]]-VLOOKUP(Main_S[[#This Row],[Industry]], Mean_PE_S, 2, FALSE))/(VLOOKUP(Main_S[[#This Row],[Industry]], Mean_PE_S, 3, FALSE))</f>
        <v>-0.12531612964462463</v>
      </c>
      <c r="U9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9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9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9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9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9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98" spans="1:26" x14ac:dyDescent="0.25">
      <c r="A98" s="68" t="s">
        <v>157</v>
      </c>
      <c r="B98" s="68" t="s">
        <v>456</v>
      </c>
      <c r="C98" s="2">
        <v>626</v>
      </c>
      <c r="D98">
        <f>RTD("tos.rtd", , "LAST", Main_S[[#This Row],[Symbol]])</f>
        <v>17.989999999999998</v>
      </c>
      <c r="E98">
        <v>0.82</v>
      </c>
      <c r="F98">
        <v>33.47</v>
      </c>
      <c r="G98">
        <v>1.1200000000000001</v>
      </c>
      <c r="H98" s="1">
        <f>IF(ISNUMBER(Main_S[[#This Row],[Free CF]]),IF(Main_S[[#This Row],[Free CF]]&lt;&gt;0,Main_S[[#This Row],[Current Price]]/Main_S[[#This Row],[Free CF]],""),"")</f>
        <v>21.939024390243901</v>
      </c>
      <c r="I98" s="1">
        <f>IF(ISNUMBER(Main_S[[#This Row],[BVPS]]),IF(Main_S[[#This Row],[BVPS]]&lt;&gt;0,Main_S[[#This Row],[Current Price]]/Main_S[[#This Row],[BVPS]],""),"")</f>
        <v>0.53749626531221983</v>
      </c>
      <c r="J98">
        <v>4.0199999999999996</v>
      </c>
      <c r="K98">
        <v>1.2</v>
      </c>
      <c r="L98">
        <v>2.95</v>
      </c>
      <c r="M98" s="1">
        <f>IF(ISNUMBER(Main_S[[#This Row],[EPS]]),IF(Main_S[[#This Row],[EPS]]&lt;&gt;0,Main_S[[#This Row],[Current Price]]/Main_S[[#This Row],[EPS]],""),"")</f>
        <v>16.062499999999996</v>
      </c>
      <c r="N9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98" s="1">
        <f>(Main_S[[#This Row],[P/FCF]]-VLOOKUP(Main_S[[#This Row],[Industry]], Mean_PFCF_S, 2, FALSE))/(VLOOKUP(Main_S[[#This Row],[Industry]], Mean_PFCF_S, 3, FALSE))</f>
        <v>0.82730910818276271</v>
      </c>
      <c r="P98" s="1">
        <f>(Main_S[[#This Row],[P/B]]-VLOOKUP(Main_S[[#This Row],[Industry]], Mean_PB_S, 2, FALSE))/(VLOOKUP(Main_S[[#This Row],[Industry]], Mean_PB_S, 3, FALSE))</f>
        <v>-1.2058277453825512</v>
      </c>
      <c r="Q98" s="1">
        <f>(Main_S[[#This Row],[ROE]]-VLOOKUP(Main_S[[#This Row],[Industry]], Mean_ROE_S, 2, FALSE))/(VLOOKUP(Main_S[[#This Row],[Industry]], Mean_ROE_S, 3, FALSE))</f>
        <v>-0.34250787693254398</v>
      </c>
      <c r="R98" s="1">
        <f>(Main_S[[#This Row],[ROA]]-VLOOKUP(Main_S[[#This Row],[Industry]], Mean_ROA_S, 2, FALSE))/(VLOOKUP(Main_S[[#This Row],[Industry]], Mean_ROA_S, 3, FALSE))</f>
        <v>-0.61537170440717814</v>
      </c>
      <c r="S98" s="1">
        <f>(Main_S[[#This Row],[A/E]]-VLOOKUP(Main_S[[#This Row],[Industry]], Mean_AE_S, 2, FALSE))/(VLOOKUP(Main_S[[#This Row],[Industry]], Mean_AE_S, 3, FALSE))</f>
        <v>0.75668804158332725</v>
      </c>
      <c r="T98" s="1">
        <f>(Main_S[[#This Row],[P/E]]-VLOOKUP(Main_S[[#This Row],[Industry]], Mean_PE_S, 2, FALSE))/(VLOOKUP(Main_S[[#This Row],[Industry]], Mean_PE_S, 3, FALSE))</f>
        <v>0.10499136689736185</v>
      </c>
      <c r="U9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9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9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9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9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9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99" spans="1:26" x14ac:dyDescent="0.25">
      <c r="A99" s="68" t="s">
        <v>157</v>
      </c>
      <c r="B99" s="68" t="s">
        <v>307</v>
      </c>
      <c r="C99" s="2">
        <v>1346</v>
      </c>
      <c r="D99">
        <f>RTD("tos.rtd", , "LAST", Main_S[[#This Row],[Symbol]])</f>
        <v>47.55</v>
      </c>
      <c r="E99">
        <v>-0.98</v>
      </c>
      <c r="F99">
        <v>46.52</v>
      </c>
      <c r="G99">
        <v>6.26</v>
      </c>
      <c r="H99" s="1">
        <f>IF(ISNUMBER(Main_S[[#This Row],[Free CF]]),IF(Main_S[[#This Row],[Free CF]]&lt;&gt;0,Main_S[[#This Row],[Current Price]]/Main_S[[#This Row],[Free CF]],""),"")</f>
        <v>-48.520408163265301</v>
      </c>
      <c r="I99" s="1">
        <f>IF(ISNUMBER(Main_S[[#This Row],[BVPS]]),IF(Main_S[[#This Row],[BVPS]]&lt;&gt;0,Main_S[[#This Row],[Current Price]]/Main_S[[#This Row],[BVPS]],""),"")</f>
        <v>1.0221410146173688</v>
      </c>
      <c r="J99">
        <v>13.32</v>
      </c>
      <c r="K99">
        <v>5.62</v>
      </c>
      <c r="L99">
        <v>2.92</v>
      </c>
      <c r="M99" s="1">
        <f>IF(ISNUMBER(Main_S[[#This Row],[EPS]]),IF(Main_S[[#This Row],[EPS]]&lt;&gt;0,Main_S[[#This Row],[Current Price]]/Main_S[[#This Row],[EPS]],""),"")</f>
        <v>7.5958466453674118</v>
      </c>
      <c r="N9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99" s="1">
        <f>(Main_S[[#This Row],[P/FCF]]-VLOOKUP(Main_S[[#This Row],[Industry]], Mean_PFCF_S, 2, FALSE))/(VLOOKUP(Main_S[[#This Row],[Industry]], Mean_PFCF_S, 3, FALSE))</f>
        <v>-6.307315424461815</v>
      </c>
      <c r="P99" s="1">
        <f>(Main_S[[#This Row],[P/B]]-VLOOKUP(Main_S[[#This Row],[Industry]], Mean_PB_S, 2, FALSE))/(VLOOKUP(Main_S[[#This Row],[Industry]], Mean_PB_S, 3, FALSE))</f>
        <v>-0.72918270691643017</v>
      </c>
      <c r="Q99" s="1">
        <f>(Main_S[[#This Row],[ROE]]-VLOOKUP(Main_S[[#This Row],[Industry]], Mean_ROE_S, 2, FALSE))/(VLOOKUP(Main_S[[#This Row],[Industry]], Mean_ROE_S, 3, FALSE))</f>
        <v>0.65739740239966282</v>
      </c>
      <c r="R99" s="1">
        <f>(Main_S[[#This Row],[ROA]]-VLOOKUP(Main_S[[#This Row],[Industry]], Mean_ROA_S, 2, FALSE))/(VLOOKUP(Main_S[[#This Row],[Industry]], Mean_ROA_S, 3, FALSE))</f>
        <v>0.77716044042508736</v>
      </c>
      <c r="S99" s="1">
        <f>(Main_S[[#This Row],[A/E]]-VLOOKUP(Main_S[[#This Row],[Industry]], Mean_AE_S, 2, FALSE))/(VLOOKUP(Main_S[[#This Row],[Industry]], Mean_AE_S, 3, FALSE))</f>
        <v>0.72261405674935164</v>
      </c>
      <c r="T99" s="1">
        <f>(Main_S[[#This Row],[P/E]]-VLOOKUP(Main_S[[#This Row],[Industry]], Mean_PE_S, 2, FALSE))/(VLOOKUP(Main_S[[#This Row],[Industry]], Mean_PE_S, 3, FALSE))</f>
        <v>-0.46555837840917513</v>
      </c>
      <c r="U9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9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9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9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9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9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00" spans="1:26" x14ac:dyDescent="0.25">
      <c r="A100" s="68" t="s">
        <v>157</v>
      </c>
      <c r="B100" s="68" t="s">
        <v>572</v>
      </c>
      <c r="C100" s="2">
        <v>270</v>
      </c>
      <c r="D100">
        <f>RTD("tos.rtd", , "LAST", Main_S[[#This Row],[Symbol]])</f>
        <v>8.61</v>
      </c>
      <c r="H100" s="1" t="str">
        <f>IF(ISNUMBER(Main_S[[#This Row],[Free CF]]),IF(Main_S[[#This Row],[Free CF]]&lt;&gt;0,Main_S[[#This Row],[Current Price]]/Main_S[[#This Row],[Free CF]],""),"")</f>
        <v/>
      </c>
      <c r="I100" s="1" t="str">
        <f>IF(ISNUMBER(Main_S[[#This Row],[BVPS]]),IF(Main_S[[#This Row],[BVPS]]&lt;&gt;0,Main_S[[#This Row],[Current Price]]/Main_S[[#This Row],[BVPS]],""),"")</f>
        <v/>
      </c>
      <c r="J100">
        <v>7.71</v>
      </c>
      <c r="K100">
        <v>3.2</v>
      </c>
      <c r="L100">
        <v>3.9</v>
      </c>
      <c r="M100" s="1" t="str">
        <f>IF(ISNUMBER(Main_S[[#This Row],[EPS]]),IF(Main_S[[#This Row],[EPS]]&lt;&gt;0,Main_S[[#This Row],[Current Price]]/Main_S[[#This Row],[EPS]],""),"")</f>
        <v/>
      </c>
      <c r="N10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00" s="1" t="e">
        <f>(Main_S[[#This Row],[P/FCF]]-VLOOKUP(Main_S[[#This Row],[Industry]], Mean_PFCF_S, 2, FALSE))/(VLOOKUP(Main_S[[#This Row],[Industry]], Mean_PFCF_S, 3, FALSE))</f>
        <v>#VALUE!</v>
      </c>
      <c r="P100" s="1" t="e">
        <f>(Main_S[[#This Row],[P/B]]-VLOOKUP(Main_S[[#This Row],[Industry]], Mean_PB_S, 2, FALSE))/(VLOOKUP(Main_S[[#This Row],[Industry]], Mean_PB_S, 3, FALSE))</f>
        <v>#VALUE!</v>
      </c>
      <c r="Q100" s="1">
        <f>(Main_S[[#This Row],[ROE]]-VLOOKUP(Main_S[[#This Row],[Industry]], Mean_ROE_S, 2, FALSE))/(VLOOKUP(Main_S[[#This Row],[Industry]], Mean_ROE_S, 3, FALSE))</f>
        <v>5.4228733899267099E-2</v>
      </c>
      <c r="R100" s="1">
        <f>(Main_S[[#This Row],[ROA]]-VLOOKUP(Main_S[[#This Row],[Industry]], Mean_ROA_S, 2, FALSE))/(VLOOKUP(Main_S[[#This Row],[Industry]], Mean_ROA_S, 3, FALSE))</f>
        <v>1.4733338503349267E-2</v>
      </c>
      <c r="S100" s="1">
        <f>(Main_S[[#This Row],[A/E]]-VLOOKUP(Main_S[[#This Row],[Industry]], Mean_AE_S, 2, FALSE))/(VLOOKUP(Main_S[[#This Row],[Industry]], Mean_AE_S, 3, FALSE))</f>
        <v>1.8356975613258806</v>
      </c>
      <c r="T100" s="1" t="e">
        <f>(Main_S[[#This Row],[P/E]]-VLOOKUP(Main_S[[#This Row],[Industry]], Mean_PE_S, 2, FALSE))/(VLOOKUP(Main_S[[#This Row],[Industry]], Mean_PE_S, 3, FALSE))</f>
        <v>#VALUE!</v>
      </c>
      <c r="U10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0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10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0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0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0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01" spans="1:26" x14ac:dyDescent="0.25">
      <c r="A101" s="68" t="s">
        <v>157</v>
      </c>
      <c r="B101" s="68" t="s">
        <v>458</v>
      </c>
      <c r="C101" s="2">
        <v>484</v>
      </c>
      <c r="D101">
        <f>RTD("tos.rtd", , "LAST", Main_S[[#This Row],[Symbol]])</f>
        <v>47.29</v>
      </c>
      <c r="E101">
        <v>0.13</v>
      </c>
      <c r="F101">
        <v>35.06</v>
      </c>
      <c r="G101">
        <v>5.47</v>
      </c>
      <c r="H101" s="1">
        <f>IF(ISNUMBER(Main_S[[#This Row],[Free CF]]),IF(Main_S[[#This Row],[Free CF]]&lt;&gt;0,Main_S[[#This Row],[Current Price]]/Main_S[[#This Row],[Free CF]],""),"")</f>
        <v>363.76923076923077</v>
      </c>
      <c r="I101" s="1">
        <f>IF(ISNUMBER(Main_S[[#This Row],[BVPS]]),IF(Main_S[[#This Row],[BVPS]]&lt;&gt;0,Main_S[[#This Row],[Current Price]]/Main_S[[#This Row],[BVPS]],""),"")</f>
        <v>1.3488305761551624</v>
      </c>
      <c r="J101">
        <v>16.96</v>
      </c>
      <c r="K101">
        <v>8.0399999999999991</v>
      </c>
      <c r="L101">
        <v>1.66</v>
      </c>
      <c r="M101" s="1">
        <f>IF(ISNUMBER(Main_S[[#This Row],[EPS]]),IF(Main_S[[#This Row],[EPS]]&lt;&gt;0,Main_S[[#This Row],[Current Price]]/Main_S[[#This Row],[EPS]],""),"")</f>
        <v>8.6453382084095072</v>
      </c>
      <c r="N10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01" s="1">
        <f>(Main_S[[#This Row],[P/FCF]]-VLOOKUP(Main_S[[#This Row],[Industry]], Mean_PFCF_S, 2, FALSE))/(VLOOKUP(Main_S[[#This Row],[Industry]], Mean_PFCF_S, 3, FALSE))</f>
        <v>35.440562267415217</v>
      </c>
      <c r="P101" s="1">
        <f>(Main_S[[#This Row],[P/B]]-VLOOKUP(Main_S[[#This Row],[Industry]], Mean_PB_S, 2, FALSE))/(VLOOKUP(Main_S[[#This Row],[Industry]], Mean_PB_S, 3, FALSE))</f>
        <v>-0.40788559423974191</v>
      </c>
      <c r="Q101" s="1">
        <f>(Main_S[[#This Row],[ROE]]-VLOOKUP(Main_S[[#This Row],[Industry]], Mean_ROE_S, 2, FALSE))/(VLOOKUP(Main_S[[#This Row],[Industry]], Mean_ROE_S, 3, FALSE))</f>
        <v>1.0487581783963544</v>
      </c>
      <c r="R101" s="1">
        <f>(Main_S[[#This Row],[ROA]]-VLOOKUP(Main_S[[#This Row],[Industry]], Mean_ROA_S, 2, FALSE))/(VLOOKUP(Main_S[[#This Row],[Industry]], Mean_ROA_S, 3, FALSE))</f>
        <v>1.5395875423468253</v>
      </c>
      <c r="S101" s="1">
        <f>(Main_S[[#This Row],[A/E]]-VLOOKUP(Main_S[[#This Row],[Industry]], Mean_AE_S, 2, FALSE))/(VLOOKUP(Main_S[[#This Row],[Industry]], Mean_AE_S, 3, FALSE))</f>
        <v>-0.7084933062776142</v>
      </c>
      <c r="T101" s="1">
        <f>(Main_S[[#This Row],[P/E]]-VLOOKUP(Main_S[[#This Row],[Industry]], Mean_PE_S, 2, FALSE))/(VLOOKUP(Main_S[[#This Row],[Industry]], Mean_PE_S, 3, FALSE))</f>
        <v>-0.39483537618924885</v>
      </c>
      <c r="U10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0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0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0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0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0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02" spans="1:26" x14ac:dyDescent="0.25">
      <c r="A102" s="68" t="s">
        <v>157</v>
      </c>
      <c r="B102" s="68" t="s">
        <v>459</v>
      </c>
      <c r="C102" s="2">
        <v>303</v>
      </c>
      <c r="D102">
        <f>RTD("tos.rtd", , "LAST", Main_S[[#This Row],[Symbol]])</f>
        <v>11.39</v>
      </c>
      <c r="E102">
        <v>0.1</v>
      </c>
      <c r="F102">
        <v>18.22</v>
      </c>
      <c r="G102">
        <v>1.56</v>
      </c>
      <c r="H102" s="1">
        <f>IF(ISNUMBER(Main_S[[#This Row],[Free CF]]),IF(Main_S[[#This Row],[Free CF]]&lt;&gt;0,Main_S[[#This Row],[Current Price]]/Main_S[[#This Row],[Free CF]],""),"")</f>
        <v>113.9</v>
      </c>
      <c r="I102" s="1">
        <f>IF(ISNUMBER(Main_S[[#This Row],[BVPS]]),IF(Main_S[[#This Row],[BVPS]]&lt;&gt;0,Main_S[[#This Row],[Current Price]]/Main_S[[#This Row],[BVPS]],""),"")</f>
        <v>0.6251372118551044</v>
      </c>
      <c r="J102">
        <v>8.98</v>
      </c>
      <c r="K102">
        <v>2.3199999999999998</v>
      </c>
      <c r="L102">
        <v>2.59</v>
      </c>
      <c r="M102" s="1">
        <f>IF(ISNUMBER(Main_S[[#This Row],[EPS]]),IF(Main_S[[#This Row],[EPS]]&lt;&gt;0,Main_S[[#This Row],[Current Price]]/Main_S[[#This Row],[EPS]],""),"")</f>
        <v>7.3012820512820511</v>
      </c>
      <c r="N10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02" s="1">
        <f>(Main_S[[#This Row],[P/FCF]]-VLOOKUP(Main_S[[#This Row],[Industry]], Mean_PFCF_S, 2, FALSE))/(VLOOKUP(Main_S[[#This Row],[Industry]], Mean_PFCF_S, 3, FALSE))</f>
        <v>10.139150104532348</v>
      </c>
      <c r="P102" s="1">
        <f>(Main_S[[#This Row],[P/B]]-VLOOKUP(Main_S[[#This Row],[Industry]], Mean_PB_S, 2, FALSE))/(VLOOKUP(Main_S[[#This Row],[Industry]], Mean_PB_S, 3, FALSE))</f>
        <v>-1.1196334300700821</v>
      </c>
      <c r="Q102" s="1">
        <f>(Main_S[[#This Row],[ROE]]-VLOOKUP(Main_S[[#This Row],[Industry]], Mean_ROE_S, 2, FALSE))/(VLOOKUP(Main_S[[#This Row],[Industry]], Mean_ROE_S, 3, FALSE))</f>
        <v>0.19077493871129966</v>
      </c>
      <c r="R102" s="1">
        <f>(Main_S[[#This Row],[ROA]]-VLOOKUP(Main_S[[#This Row],[Industry]], Mean_ROA_S, 2, FALSE))/(VLOOKUP(Main_S[[#This Row],[Industry]], Mean_ROA_S, 3, FALSE))</f>
        <v>-0.26251288037728288</v>
      </c>
      <c r="S102" s="1">
        <f>(Main_S[[#This Row],[A/E]]-VLOOKUP(Main_S[[#This Row],[Industry]], Mean_AE_S, 2, FALSE))/(VLOOKUP(Main_S[[#This Row],[Industry]], Mean_AE_S, 3, FALSE))</f>
        <v>0.3478002235756224</v>
      </c>
      <c r="T102" s="1">
        <f>(Main_S[[#This Row],[P/E]]-VLOOKUP(Main_S[[#This Row],[Industry]], Mean_PE_S, 2, FALSE))/(VLOOKUP(Main_S[[#This Row],[Industry]], Mean_PE_S, 3, FALSE))</f>
        <v>-0.48540845931980658</v>
      </c>
      <c r="U10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0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0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0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0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0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03" spans="1:26" x14ac:dyDescent="0.25">
      <c r="A103" s="68" t="s">
        <v>157</v>
      </c>
      <c r="B103" s="68" t="s">
        <v>460</v>
      </c>
      <c r="C103" s="2">
        <v>628</v>
      </c>
      <c r="D103">
        <f>RTD("tos.rtd", , "LAST", Main_S[[#This Row],[Symbol]])</f>
        <v>3.11</v>
      </c>
      <c r="E103">
        <v>-0.08</v>
      </c>
      <c r="F103">
        <v>1.21</v>
      </c>
      <c r="G103">
        <v>-0.61</v>
      </c>
      <c r="H103" s="1">
        <f>IF(ISNUMBER(Main_S[[#This Row],[Free CF]]),IF(Main_S[[#This Row],[Free CF]]&lt;&gt;0,Main_S[[#This Row],[Current Price]]/Main_S[[#This Row],[Free CF]],""),"")</f>
        <v>-38.875</v>
      </c>
      <c r="I103" s="1">
        <f>IF(ISNUMBER(Main_S[[#This Row],[BVPS]]),IF(Main_S[[#This Row],[BVPS]]&lt;&gt;0,Main_S[[#This Row],[Current Price]]/Main_S[[#This Row],[BVPS]],""),"")</f>
        <v>2.5702479338842976</v>
      </c>
      <c r="J103">
        <v>-41.06</v>
      </c>
      <c r="K103">
        <v>-1.56</v>
      </c>
      <c r="L103">
        <v>2.4500000000000002</v>
      </c>
      <c r="M103" s="1">
        <f>IF(ISNUMBER(Main_S[[#This Row],[EPS]]),IF(Main_S[[#This Row],[EPS]]&lt;&gt;0,Main_S[[#This Row],[Current Price]]/Main_S[[#This Row],[EPS]],""),"")</f>
        <v>-5.0983606557377046</v>
      </c>
      <c r="N10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03" s="1">
        <f>(Main_S[[#This Row],[P/FCF]]-VLOOKUP(Main_S[[#This Row],[Industry]], Mean_PFCF_S, 2, FALSE))/(VLOOKUP(Main_S[[#This Row],[Industry]], Mean_PFCF_S, 3, FALSE))</f>
        <v>-5.3306347556707134</v>
      </c>
      <c r="P103" s="1">
        <f>(Main_S[[#This Row],[P/B]]-VLOOKUP(Main_S[[#This Row],[Industry]], Mean_PB_S, 2, FALSE))/(VLOOKUP(Main_S[[#This Row],[Industry]], Mean_PB_S, 3, FALSE))</f>
        <v>0.79337063373484262</v>
      </c>
      <c r="Q103" s="1">
        <f>(Main_S[[#This Row],[ROE]]-VLOOKUP(Main_S[[#This Row],[Industry]], Mean_ROE_S, 2, FALSE))/(VLOOKUP(Main_S[[#This Row],[Industry]], Mean_ROE_S, 3, FALSE))</f>
        <v>-5.1893605642761873</v>
      </c>
      <c r="R103" s="1">
        <f>(Main_S[[#This Row],[ROA]]-VLOOKUP(Main_S[[#This Row],[Industry]], Mean_ROA_S, 2, FALSE))/(VLOOKUP(Main_S[[#This Row],[Industry]], Mean_ROA_S, 3, FALSE))</f>
        <v>-1.4849166636237059</v>
      </c>
      <c r="S103" s="1">
        <f>(Main_S[[#This Row],[A/E]]-VLOOKUP(Main_S[[#This Row],[Industry]], Mean_AE_S, 2, FALSE))/(VLOOKUP(Main_S[[#This Row],[Industry]], Mean_AE_S, 3, FALSE))</f>
        <v>0.18878829435040434</v>
      </c>
      <c r="T103" s="1">
        <f>(Main_S[[#This Row],[P/E]]-VLOOKUP(Main_S[[#This Row],[Industry]], Mean_PE_S, 2, FALSE))/(VLOOKUP(Main_S[[#This Row],[Industry]], Mean_PE_S, 3, FALSE))</f>
        <v>-1.3209939843267162</v>
      </c>
      <c r="U10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0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0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10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0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0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04" spans="1:26" x14ac:dyDescent="0.25">
      <c r="A104" s="68" t="s">
        <v>157</v>
      </c>
      <c r="B104" s="68" t="s">
        <v>461</v>
      </c>
      <c r="C104" s="2">
        <v>592</v>
      </c>
      <c r="D104">
        <f>RTD("tos.rtd", , "LAST", Main_S[[#This Row],[Symbol]])</f>
        <v>29.31</v>
      </c>
      <c r="E104">
        <v>2.2799999999999998</v>
      </c>
      <c r="F104">
        <v>11.2</v>
      </c>
      <c r="G104">
        <v>2.73</v>
      </c>
      <c r="H104" s="1">
        <f>IF(ISNUMBER(Main_S[[#This Row],[Free CF]]),IF(Main_S[[#This Row],[Free CF]]&lt;&gt;0,Main_S[[#This Row],[Current Price]]/Main_S[[#This Row],[Free CF]],""),"")</f>
        <v>12.855263157894738</v>
      </c>
      <c r="I104" s="1">
        <f>IF(ISNUMBER(Main_S[[#This Row],[BVPS]]),IF(Main_S[[#This Row],[BVPS]]&lt;&gt;0,Main_S[[#This Row],[Current Price]]/Main_S[[#This Row],[BVPS]],""),"")</f>
        <v>2.6169642857142859</v>
      </c>
      <c r="J104">
        <v>27.16</v>
      </c>
      <c r="K104">
        <v>5.85</v>
      </c>
      <c r="L104">
        <v>2.4</v>
      </c>
      <c r="M104" s="1">
        <f>IF(ISNUMBER(Main_S[[#This Row],[EPS]]),IF(Main_S[[#This Row],[EPS]]&lt;&gt;0,Main_S[[#This Row],[Current Price]]/Main_S[[#This Row],[EPS]],""),"")</f>
        <v>10.736263736263735</v>
      </c>
      <c r="N10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04" s="1">
        <f>(Main_S[[#This Row],[P/FCF]]-VLOOKUP(Main_S[[#This Row],[Industry]], Mean_PFCF_S, 2, FALSE))/(VLOOKUP(Main_S[[#This Row],[Industry]], Mean_PFCF_S, 3, FALSE))</f>
        <v>-9.2499970435431164E-2</v>
      </c>
      <c r="P104" s="1">
        <f>(Main_S[[#This Row],[P/B]]-VLOOKUP(Main_S[[#This Row],[Industry]], Mean_PB_S, 2, FALSE))/(VLOOKUP(Main_S[[#This Row],[Industry]], Mean_PB_S, 3, FALSE))</f>
        <v>0.83931586959456594</v>
      </c>
      <c r="Q104" s="1">
        <f>(Main_S[[#This Row],[ROE]]-VLOOKUP(Main_S[[#This Row],[Industry]], Mean_ROE_S, 2, FALSE))/(VLOOKUP(Main_S[[#This Row],[Industry]], Mean_ROE_S, 3, FALSE))</f>
        <v>2.1454284847607101</v>
      </c>
      <c r="R104" s="1">
        <f>(Main_S[[#This Row],[ROA]]-VLOOKUP(Main_S[[#This Row],[Industry]], Mean_ROA_S, 2, FALSE))/(VLOOKUP(Main_S[[#This Row],[Industry]], Mean_ROA_S, 3, FALSE))</f>
        <v>0.84962252035979779</v>
      </c>
      <c r="S104" s="1">
        <f>(Main_S[[#This Row],[A/E]]-VLOOKUP(Main_S[[#This Row],[Industry]], Mean_AE_S, 2, FALSE))/(VLOOKUP(Main_S[[#This Row],[Industry]], Mean_AE_S, 3, FALSE))</f>
        <v>0.13199831962711173</v>
      </c>
      <c r="T104" s="1">
        <f>(Main_S[[#This Row],[P/E]]-VLOOKUP(Main_S[[#This Row],[Industry]], Mean_PE_S, 2, FALSE))/(VLOOKUP(Main_S[[#This Row],[Industry]], Mean_PE_S, 3, FALSE))</f>
        <v>-0.2539323561406695</v>
      </c>
      <c r="U10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0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0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0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0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0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05" spans="1:26" x14ac:dyDescent="0.25">
      <c r="A105" s="68" t="s">
        <v>157</v>
      </c>
      <c r="B105" s="68" t="s">
        <v>462</v>
      </c>
      <c r="C105" s="2">
        <v>1837</v>
      </c>
      <c r="D105">
        <f>RTD("tos.rtd", , "LAST", Main_S[[#This Row],[Symbol]])</f>
        <v>38.409999999999997</v>
      </c>
      <c r="E105">
        <v>1.69</v>
      </c>
      <c r="F105">
        <v>8.3000000000000007</v>
      </c>
      <c r="G105">
        <v>1.77</v>
      </c>
      <c r="H105" s="1">
        <f>IF(ISNUMBER(Main_S[[#This Row],[Free CF]]),IF(Main_S[[#This Row],[Free CF]]&lt;&gt;0,Main_S[[#This Row],[Current Price]]/Main_S[[#This Row],[Free CF]],""),"")</f>
        <v>22.727810650887573</v>
      </c>
      <c r="I105" s="1">
        <f>IF(ISNUMBER(Main_S[[#This Row],[BVPS]]),IF(Main_S[[#This Row],[BVPS]]&lt;&gt;0,Main_S[[#This Row],[Current Price]]/Main_S[[#This Row],[BVPS]],""),"")</f>
        <v>4.6277108433734933</v>
      </c>
      <c r="J105">
        <v>20.13</v>
      </c>
      <c r="K105">
        <v>5.75</v>
      </c>
      <c r="L105">
        <v>2.9</v>
      </c>
      <c r="M105" s="1">
        <f>IF(ISNUMBER(Main_S[[#This Row],[EPS]]),IF(Main_S[[#This Row],[EPS]]&lt;&gt;0,Main_S[[#This Row],[Current Price]]/Main_S[[#This Row],[EPS]],""),"")</f>
        <v>21.700564971751412</v>
      </c>
      <c r="N10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05" s="1">
        <f>(Main_S[[#This Row],[P/FCF]]-VLOOKUP(Main_S[[#This Row],[Industry]], Mean_PFCF_S, 2, FALSE))/(VLOOKUP(Main_S[[#This Row],[Industry]], Mean_PFCF_S, 3, FALSE))</f>
        <v>0.90718051222689078</v>
      </c>
      <c r="P105" s="1">
        <f>(Main_S[[#This Row],[P/B]]-VLOOKUP(Main_S[[#This Row],[Industry]], Mean_PB_S, 2, FALSE))/(VLOOKUP(Main_S[[#This Row],[Industry]], Mean_PB_S, 3, FALSE))</f>
        <v>2.8168723616337354</v>
      </c>
      <c r="Q105" s="1">
        <f>(Main_S[[#This Row],[ROE]]-VLOOKUP(Main_S[[#This Row],[Industry]], Mean_ROE_S, 2, FALSE))/(VLOOKUP(Main_S[[#This Row],[Industry]], Mean_ROE_S, 3, FALSE))</f>
        <v>1.3895861069429236</v>
      </c>
      <c r="R105" s="1">
        <f>(Main_S[[#This Row],[ROA]]-VLOOKUP(Main_S[[#This Row],[Industry]], Mean_ROA_S, 2, FALSE))/(VLOOKUP(Main_S[[#This Row],[Industry]], Mean_ROA_S, 3, FALSE))</f>
        <v>0.81811726821427155</v>
      </c>
      <c r="S105" s="1">
        <f>(Main_S[[#This Row],[A/E]]-VLOOKUP(Main_S[[#This Row],[Industry]], Mean_AE_S, 2, FALSE))/(VLOOKUP(Main_S[[#This Row],[Industry]], Mean_AE_S, 3, FALSE))</f>
        <v>0.69989806686003475</v>
      </c>
      <c r="T105" s="1">
        <f>(Main_S[[#This Row],[P/E]]-VLOOKUP(Main_S[[#This Row],[Industry]], Mean_PE_S, 2, FALSE))/(VLOOKUP(Main_S[[#This Row],[Industry]], Mean_PE_S, 3, FALSE))</f>
        <v>0.48492856273098917</v>
      </c>
      <c r="U10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0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0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0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0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0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06" spans="1:26" x14ac:dyDescent="0.25">
      <c r="A106" s="68" t="s">
        <v>157</v>
      </c>
      <c r="B106" s="68" t="s">
        <v>463</v>
      </c>
      <c r="C106" s="2">
        <v>306</v>
      </c>
      <c r="D106">
        <f>RTD("tos.rtd", , "LAST", Main_S[[#This Row],[Symbol]])</f>
        <v>10.119999999999999</v>
      </c>
      <c r="E106">
        <v>0.48</v>
      </c>
      <c r="F106">
        <v>7.07</v>
      </c>
      <c r="G106">
        <v>0.01</v>
      </c>
      <c r="H106" s="1">
        <f>IF(ISNUMBER(Main_S[[#This Row],[Free CF]]),IF(Main_S[[#This Row],[Free CF]]&lt;&gt;0,Main_S[[#This Row],[Current Price]]/Main_S[[#This Row],[Free CF]],""),"")</f>
        <v>21.083333333333332</v>
      </c>
      <c r="I106" s="1">
        <f>IF(ISNUMBER(Main_S[[#This Row],[BVPS]]),IF(Main_S[[#This Row],[BVPS]]&lt;&gt;0,Main_S[[#This Row],[Current Price]]/Main_S[[#This Row],[BVPS]],""),"")</f>
        <v>1.4314002828854313</v>
      </c>
      <c r="J106">
        <v>0.18</v>
      </c>
      <c r="K106">
        <v>0.89</v>
      </c>
      <c r="L106">
        <v>2.35</v>
      </c>
      <c r="M106" s="1">
        <f>IF(ISNUMBER(Main_S[[#This Row],[EPS]]),IF(Main_S[[#This Row],[EPS]]&lt;&gt;0,Main_S[[#This Row],[Current Price]]/Main_S[[#This Row],[EPS]],""),"")</f>
        <v>1011.9999999999999</v>
      </c>
      <c r="N10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06" s="1">
        <f>(Main_S[[#This Row],[P/FCF]]-VLOOKUP(Main_S[[#This Row],[Industry]], Mean_PFCF_S, 2, FALSE))/(VLOOKUP(Main_S[[#This Row],[Industry]], Mean_PFCF_S, 3, FALSE))</f>
        <v>0.74066301715212113</v>
      </c>
      <c r="P106" s="1">
        <f>(Main_S[[#This Row],[P/B]]-VLOOKUP(Main_S[[#This Row],[Industry]], Mean_PB_S, 2, FALSE))/(VLOOKUP(Main_S[[#This Row],[Industry]], Mean_PB_S, 3, FALSE))</f>
        <v>-0.32667881113312214</v>
      </c>
      <c r="Q106" s="1">
        <f>(Main_S[[#This Row],[ROE]]-VLOOKUP(Main_S[[#This Row],[Industry]], Mean_ROE_S, 2, FALSE))/(VLOOKUP(Main_S[[#This Row],[Industry]], Mean_ROE_S, 3, FALSE))</f>
        <v>-0.75537199226971319</v>
      </c>
      <c r="R106" s="1">
        <f>(Main_S[[#This Row],[ROA]]-VLOOKUP(Main_S[[#This Row],[Industry]], Mean_ROA_S, 2, FALSE))/(VLOOKUP(Main_S[[#This Row],[Industry]], Mean_ROA_S, 3, FALSE))</f>
        <v>-0.71303798605830981</v>
      </c>
      <c r="S106" s="1">
        <f>(Main_S[[#This Row],[A/E]]-VLOOKUP(Main_S[[#This Row],[Industry]], Mean_AE_S, 2, FALSE))/(VLOOKUP(Main_S[[#This Row],[Industry]], Mean_AE_S, 3, FALSE))</f>
        <v>7.5208344903819641E-2</v>
      </c>
      <c r="T106" s="1">
        <f>(Main_S[[#This Row],[P/E]]-VLOOKUP(Main_S[[#This Row],[Industry]], Mean_PE_S, 2, FALSE))/(VLOOKUP(Main_S[[#This Row],[Industry]], Mean_PE_S, 3, FALSE))</f>
        <v>67.219099287155771</v>
      </c>
      <c r="U10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0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0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0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0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0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07" spans="1:26" x14ac:dyDescent="0.25">
      <c r="A107" s="68" t="s">
        <v>157</v>
      </c>
      <c r="B107" s="68" t="s">
        <v>310</v>
      </c>
      <c r="C107" s="2">
        <v>1968</v>
      </c>
      <c r="D107">
        <f>RTD("tos.rtd", , "LAST", Main_S[[#This Row],[Symbol]])</f>
        <v>26.79</v>
      </c>
      <c r="E107">
        <v>0.31</v>
      </c>
      <c r="F107">
        <v>12.92</v>
      </c>
      <c r="G107">
        <v>1.77</v>
      </c>
      <c r="H107" s="1">
        <f>IF(ISNUMBER(Main_S[[#This Row],[Free CF]]),IF(Main_S[[#This Row],[Free CF]]&lt;&gt;0,Main_S[[#This Row],[Current Price]]/Main_S[[#This Row],[Free CF]],""),"")</f>
        <v>86.41935483870968</v>
      </c>
      <c r="I107" s="1">
        <f>IF(ISNUMBER(Main_S[[#This Row],[BVPS]]),IF(Main_S[[#This Row],[BVPS]]&lt;&gt;0,Main_S[[#This Row],[Current Price]]/Main_S[[#This Row],[BVPS]],""),"")</f>
        <v>2.0735294117647056</v>
      </c>
      <c r="J107">
        <v>13.04</v>
      </c>
      <c r="K107">
        <v>2.9</v>
      </c>
      <c r="L107">
        <v>8.23</v>
      </c>
      <c r="M107" s="1">
        <f>IF(ISNUMBER(Main_S[[#This Row],[EPS]]),IF(Main_S[[#This Row],[EPS]]&lt;&gt;0,Main_S[[#This Row],[Current Price]]/Main_S[[#This Row],[EPS]],""),"")</f>
        <v>15.135593220338983</v>
      </c>
      <c r="N10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07" s="1">
        <f>(Main_S[[#This Row],[P/FCF]]-VLOOKUP(Main_S[[#This Row],[Industry]], Mean_PFCF_S, 2, FALSE))/(VLOOKUP(Main_S[[#This Row],[Industry]], Mean_PFCF_S, 3, FALSE))</f>
        <v>7.3564980445438577</v>
      </c>
      <c r="P107" s="1">
        <f>(Main_S[[#This Row],[P/B]]-VLOOKUP(Main_S[[#This Row],[Industry]], Mean_PB_S, 2, FALSE))/(VLOOKUP(Main_S[[#This Row],[Industry]], Mean_PB_S, 3, FALSE))</f>
        <v>0.30485111624914624</v>
      </c>
      <c r="Q107" s="1">
        <f>(Main_S[[#This Row],[ROE]]-VLOOKUP(Main_S[[#This Row],[Industry]], Mean_ROE_S, 2, FALSE))/(VLOOKUP(Main_S[[#This Row],[Industry]], Mean_ROE_S, 3, FALSE))</f>
        <v>0.62729272732299413</v>
      </c>
      <c r="R107" s="1">
        <f>(Main_S[[#This Row],[ROA]]-VLOOKUP(Main_S[[#This Row],[Industry]], Mean_ROA_S, 2, FALSE))/(VLOOKUP(Main_S[[#This Row],[Industry]], Mean_ROA_S, 3, FALSE))</f>
        <v>-7.9782417933229918E-2</v>
      </c>
      <c r="S107" s="1">
        <f>(Main_S[[#This Row],[A/E]]-VLOOKUP(Main_S[[#This Row],[Industry]], Mean_AE_S, 2, FALSE))/(VLOOKUP(Main_S[[#This Row],[Industry]], Mean_AE_S, 3, FALSE))</f>
        <v>6.7537093723629935</v>
      </c>
      <c r="T107" s="1">
        <f>(Main_S[[#This Row],[P/E]]-VLOOKUP(Main_S[[#This Row],[Industry]], Mean_PE_S, 2, FALSE))/(VLOOKUP(Main_S[[#This Row],[Industry]], Mean_PE_S, 3, FALSE))</f>
        <v>4.2529092264477299E-2</v>
      </c>
      <c r="U10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0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0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0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0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10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08" spans="1:26" x14ac:dyDescent="0.25">
      <c r="A108" s="68" t="s">
        <v>157</v>
      </c>
      <c r="B108" s="68" t="s">
        <v>464</v>
      </c>
      <c r="C108" s="2">
        <v>339</v>
      </c>
      <c r="D108">
        <f>RTD("tos.rtd", , "LAST", Main_S[[#This Row],[Symbol]])</f>
        <v>9.77</v>
      </c>
      <c r="E108">
        <v>1.66</v>
      </c>
      <c r="F108">
        <v>9.58</v>
      </c>
      <c r="G108">
        <v>-1.63</v>
      </c>
      <c r="H108" s="1">
        <f>IF(ISNUMBER(Main_S[[#This Row],[Free CF]]),IF(Main_S[[#This Row],[Free CF]]&lt;&gt;0,Main_S[[#This Row],[Current Price]]/Main_S[[#This Row],[Free CF]],""),"")</f>
        <v>5.8855421686746991</v>
      </c>
      <c r="I108" s="1">
        <f>IF(ISNUMBER(Main_S[[#This Row],[BVPS]]),IF(Main_S[[#This Row],[BVPS]]&lt;&gt;0,Main_S[[#This Row],[Current Price]]/Main_S[[#This Row],[BVPS]],""),"")</f>
        <v>1.0198329853862211</v>
      </c>
      <c r="J108">
        <v>-14.75</v>
      </c>
      <c r="K108">
        <v>-3.16</v>
      </c>
      <c r="L108">
        <v>3.5</v>
      </c>
      <c r="M108" s="1">
        <f>IF(ISNUMBER(Main_S[[#This Row],[EPS]]),IF(Main_S[[#This Row],[EPS]]&lt;&gt;0,Main_S[[#This Row],[Current Price]]/Main_S[[#This Row],[EPS]],""),"")</f>
        <v>-5.9938650306748471</v>
      </c>
      <c r="N10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08" s="1">
        <f>(Main_S[[#This Row],[P/FCF]]-VLOOKUP(Main_S[[#This Row],[Industry]], Mean_PFCF_S, 2, FALSE))/(VLOOKUP(Main_S[[#This Row],[Industry]], Mean_PFCF_S, 3, FALSE))</f>
        <v>-0.79824426262247516</v>
      </c>
      <c r="P108" s="1">
        <f>(Main_S[[#This Row],[P/B]]-VLOOKUP(Main_S[[#This Row],[Industry]], Mean_PB_S, 2, FALSE))/(VLOOKUP(Main_S[[#This Row],[Industry]], Mean_PB_S, 3, FALSE))</f>
        <v>-0.73145263903317881</v>
      </c>
      <c r="Q108" s="1">
        <f>(Main_S[[#This Row],[ROE]]-VLOOKUP(Main_S[[#This Row],[Industry]], Mean_ROE_S, 2, FALSE))/(VLOOKUP(Main_S[[#This Row],[Industry]], Mean_ROE_S, 3, FALSE))</f>
        <v>-2.3605962740363631</v>
      </c>
      <c r="R108" s="1">
        <f>(Main_S[[#This Row],[ROA]]-VLOOKUP(Main_S[[#This Row],[Industry]], Mean_ROA_S, 2, FALSE))/(VLOOKUP(Main_S[[#This Row],[Industry]], Mean_ROA_S, 3, FALSE))</f>
        <v>-1.9890006979521275</v>
      </c>
      <c r="S108" s="1">
        <f>(Main_S[[#This Row],[A/E]]-VLOOKUP(Main_S[[#This Row],[Industry]], Mean_AE_S, 2, FALSE))/(VLOOKUP(Main_S[[#This Row],[Industry]], Mean_AE_S, 3, FALSE))</f>
        <v>1.3813777635395423</v>
      </c>
      <c r="T108" s="1">
        <f>(Main_S[[#This Row],[P/E]]-VLOOKUP(Main_S[[#This Row],[Industry]], Mean_PE_S, 2, FALSE))/(VLOOKUP(Main_S[[#This Row],[Industry]], Mean_PE_S, 3, FALSE))</f>
        <v>-1.3813401177563689</v>
      </c>
      <c r="U10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0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0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0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0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0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09" spans="1:26" x14ac:dyDescent="0.25">
      <c r="A109" s="68" t="s">
        <v>157</v>
      </c>
      <c r="B109" s="68" t="s">
        <v>465</v>
      </c>
      <c r="C109" s="2">
        <v>1438</v>
      </c>
      <c r="D109">
        <f>RTD("tos.rtd", , "LAST", Main_S[[#This Row],[Symbol]])</f>
        <v>138.9</v>
      </c>
      <c r="E109">
        <v>8.11</v>
      </c>
      <c r="F109">
        <v>47.53</v>
      </c>
      <c r="G109">
        <v>7.03</v>
      </c>
      <c r="H109" s="1">
        <f>IF(ISNUMBER(Main_S[[#This Row],[Free CF]]),IF(Main_S[[#This Row],[Free CF]]&lt;&gt;0,Main_S[[#This Row],[Current Price]]/Main_S[[#This Row],[Free CF]],""),"")</f>
        <v>17.127003699136871</v>
      </c>
      <c r="I109" s="1">
        <f>IF(ISNUMBER(Main_S[[#This Row],[BVPS]]),IF(Main_S[[#This Row],[BVPS]]&lt;&gt;0,Main_S[[#This Row],[Current Price]]/Main_S[[#This Row],[BVPS]],""),"")</f>
        <v>2.9223648222175469</v>
      </c>
      <c r="J109">
        <v>15.38</v>
      </c>
      <c r="K109">
        <v>6.81</v>
      </c>
      <c r="L109">
        <v>1.58</v>
      </c>
      <c r="M109" s="1">
        <f>IF(ISNUMBER(Main_S[[#This Row],[EPS]]),IF(Main_S[[#This Row],[EPS]]&lt;&gt;0,Main_S[[#This Row],[Current Price]]/Main_S[[#This Row],[EPS]],""),"")</f>
        <v>19.758179231863444</v>
      </c>
      <c r="N10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09" s="1">
        <f>(Main_S[[#This Row],[P/FCF]]-VLOOKUP(Main_S[[#This Row],[Industry]], Mean_PFCF_S, 2, FALSE))/(VLOOKUP(Main_S[[#This Row],[Industry]], Mean_PFCF_S, 3, FALSE))</f>
        <v>0.34005055911209414</v>
      </c>
      <c r="P109" s="1">
        <f>(Main_S[[#This Row],[P/B]]-VLOOKUP(Main_S[[#This Row],[Industry]], Mean_PB_S, 2, FALSE))/(VLOOKUP(Main_S[[#This Row],[Industry]], Mean_PB_S, 3, FALSE))</f>
        <v>1.1396753611146451</v>
      </c>
      <c r="Q109" s="1">
        <f>(Main_S[[#This Row],[ROE]]-VLOOKUP(Main_S[[#This Row],[Industry]], Mean_ROE_S, 2, FALSE))/(VLOOKUP(Main_S[[#This Row],[Industry]], Mean_ROE_S, 3, FALSE))</f>
        <v>0.87888179760658169</v>
      </c>
      <c r="R109" s="1">
        <f>(Main_S[[#This Row],[ROA]]-VLOOKUP(Main_S[[#This Row],[Industry]], Mean_ROA_S, 2, FALSE))/(VLOOKUP(Main_S[[#This Row],[Industry]], Mean_ROA_S, 3, FALSE))</f>
        <v>1.1520729409568509</v>
      </c>
      <c r="S109" s="1">
        <f>(Main_S[[#This Row],[A/E]]-VLOOKUP(Main_S[[#This Row],[Industry]], Mean_AE_S, 2, FALSE))/(VLOOKUP(Main_S[[#This Row],[Industry]], Mean_AE_S, 3, FALSE))</f>
        <v>-0.79935726583488176</v>
      </c>
      <c r="T109" s="1">
        <f>(Main_S[[#This Row],[P/E]]-VLOOKUP(Main_S[[#This Row],[Industry]], Mean_PE_S, 2, FALSE))/(VLOOKUP(Main_S[[#This Row],[Industry]], Mean_PE_S, 3, FALSE))</f>
        <v>0.35403532277405203</v>
      </c>
      <c r="U10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0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0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0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0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0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10" spans="1:26" x14ac:dyDescent="0.25">
      <c r="A110" s="68" t="s">
        <v>157</v>
      </c>
      <c r="B110" s="68" t="s">
        <v>466</v>
      </c>
      <c r="C110" s="2">
        <v>423</v>
      </c>
      <c r="D110">
        <f>RTD("tos.rtd", , "LAST", Main_S[[#This Row],[Symbol]])</f>
        <v>7.76</v>
      </c>
      <c r="E110">
        <v>0.54</v>
      </c>
      <c r="F110">
        <v>8.39</v>
      </c>
      <c r="G110">
        <v>-0.23</v>
      </c>
      <c r="H110" s="1">
        <f>IF(ISNUMBER(Main_S[[#This Row],[Free CF]]),IF(Main_S[[#This Row],[Free CF]]&lt;&gt;0,Main_S[[#This Row],[Current Price]]/Main_S[[#This Row],[Free CF]],""),"")</f>
        <v>14.370370370370368</v>
      </c>
      <c r="I110" s="1">
        <f>IF(ISNUMBER(Main_S[[#This Row],[BVPS]]),IF(Main_S[[#This Row],[BVPS]]&lt;&gt;0,Main_S[[#This Row],[Current Price]]/Main_S[[#This Row],[BVPS]],""),"")</f>
        <v>0.92491060786650769</v>
      </c>
      <c r="J110">
        <v>-2.31</v>
      </c>
      <c r="K110">
        <v>0.75</v>
      </c>
      <c r="L110">
        <v>3.22</v>
      </c>
      <c r="M110" s="1">
        <f>IF(ISNUMBER(Main_S[[#This Row],[EPS]]),IF(Main_S[[#This Row],[EPS]]&lt;&gt;0,Main_S[[#This Row],[Current Price]]/Main_S[[#This Row],[EPS]],""),"")</f>
        <v>-33.739130434782609</v>
      </c>
      <c r="N11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10" s="1">
        <f>(Main_S[[#This Row],[P/FCF]]-VLOOKUP(Main_S[[#This Row],[Industry]], Mean_PFCF_S, 2, FALSE))/(VLOOKUP(Main_S[[#This Row],[Industry]], Mean_PFCF_S, 3, FALSE))</f>
        <v>6.0917687015984108E-2</v>
      </c>
      <c r="P110" s="1">
        <f>(Main_S[[#This Row],[P/B]]-VLOOKUP(Main_S[[#This Row],[Industry]], Mean_PB_S, 2, FALSE))/(VLOOKUP(Main_S[[#This Row],[Industry]], Mean_PB_S, 3, FALSE))</f>
        <v>-0.82480819554967388</v>
      </c>
      <c r="Q110" s="1">
        <f>(Main_S[[#This Row],[ROE]]-VLOOKUP(Main_S[[#This Row],[Industry]], Mean_ROE_S, 2, FALSE))/(VLOOKUP(Main_S[[#This Row],[Industry]], Mean_ROE_S, 3, FALSE))</f>
        <v>-1.0230885670586589</v>
      </c>
      <c r="R110" s="1">
        <f>(Main_S[[#This Row],[ROA]]-VLOOKUP(Main_S[[#This Row],[Industry]], Mean_ROA_S, 2, FALSE))/(VLOOKUP(Main_S[[#This Row],[Industry]], Mean_ROA_S, 3, FALSE))</f>
        <v>-0.75714533906204673</v>
      </c>
      <c r="S110" s="1">
        <f>(Main_S[[#This Row],[A/E]]-VLOOKUP(Main_S[[#This Row],[Industry]], Mean_AE_S, 2, FALSE))/(VLOOKUP(Main_S[[#This Row],[Industry]], Mean_AE_S, 3, FALSE))</f>
        <v>1.0633539050891057</v>
      </c>
      <c r="T110" s="1">
        <f>(Main_S[[#This Row],[P/E]]-VLOOKUP(Main_S[[#This Row],[Industry]], Mean_PE_S, 2, FALSE))/(VLOOKUP(Main_S[[#This Row],[Industry]], Mean_PE_S, 3, FALSE))</f>
        <v>-3.2510344877419359</v>
      </c>
      <c r="U11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1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1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1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1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1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11" spans="1:26" x14ac:dyDescent="0.25">
      <c r="A111" s="68" t="s">
        <v>157</v>
      </c>
      <c r="B111" s="68" t="s">
        <v>314</v>
      </c>
      <c r="C111" s="2">
        <v>1938</v>
      </c>
      <c r="D111">
        <f>RTD("tos.rtd", , "LAST", Main_S[[#This Row],[Symbol]])</f>
        <v>68.290000000000006</v>
      </c>
      <c r="E111">
        <v>4.53</v>
      </c>
      <c r="F111">
        <v>29.8</v>
      </c>
      <c r="G111">
        <v>2.4900000000000002</v>
      </c>
      <c r="H111" s="1">
        <f>IF(ISNUMBER(Main_S[[#This Row],[Free CF]]),IF(Main_S[[#This Row],[Free CF]]&lt;&gt;0,Main_S[[#This Row],[Current Price]]/Main_S[[#This Row],[Free CF]],""),"")</f>
        <v>15.07505518763797</v>
      </c>
      <c r="I111" s="1">
        <f>IF(ISNUMBER(Main_S[[#This Row],[BVPS]]),IF(Main_S[[#This Row],[BVPS]]&lt;&gt;0,Main_S[[#This Row],[Current Price]]/Main_S[[#This Row],[BVPS]],""),"")</f>
        <v>2.2916107382550339</v>
      </c>
      <c r="J111">
        <v>8.31</v>
      </c>
      <c r="K111">
        <v>4.78</v>
      </c>
      <c r="L111">
        <v>1.88</v>
      </c>
      <c r="M111" s="1">
        <f>IF(ISNUMBER(Main_S[[#This Row],[EPS]]),IF(Main_S[[#This Row],[EPS]]&lt;&gt;0,Main_S[[#This Row],[Current Price]]/Main_S[[#This Row],[EPS]],""),"")</f>
        <v>27.425702811244982</v>
      </c>
      <c r="N11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11" s="1">
        <f>(Main_S[[#This Row],[P/FCF]]-VLOOKUP(Main_S[[#This Row],[Industry]], Mean_PFCF_S, 2, FALSE))/(VLOOKUP(Main_S[[#This Row],[Industry]], Mean_PFCF_S, 3, FALSE))</f>
        <v>0.13227309540990523</v>
      </c>
      <c r="P111" s="1">
        <f>(Main_S[[#This Row],[P/B]]-VLOOKUP(Main_S[[#This Row],[Industry]], Mean_PB_S, 2, FALSE))/(VLOOKUP(Main_S[[#This Row],[Industry]], Mean_PB_S, 3, FALSE))</f>
        <v>0.51933271829426886</v>
      </c>
      <c r="Q111" s="1">
        <f>(Main_S[[#This Row],[ROE]]-VLOOKUP(Main_S[[#This Row],[Industry]], Mean_ROE_S, 2, FALSE))/(VLOOKUP(Main_S[[#This Row],[Industry]], Mean_ROE_S, 3, FALSE))</f>
        <v>0.11873875192069984</v>
      </c>
      <c r="R111" s="1">
        <f>(Main_S[[#This Row],[ROA]]-VLOOKUP(Main_S[[#This Row],[Industry]], Mean_ROA_S, 2, FALSE))/(VLOOKUP(Main_S[[#This Row],[Industry]], Mean_ROA_S, 3, FALSE))</f>
        <v>0.51251632240266587</v>
      </c>
      <c r="S111" s="1">
        <f>(Main_S[[#This Row],[A/E]]-VLOOKUP(Main_S[[#This Row],[Industry]], Mean_AE_S, 2, FALSE))/(VLOOKUP(Main_S[[#This Row],[Industry]], Mean_AE_S, 3, FALSE))</f>
        <v>-0.45861741749512819</v>
      </c>
      <c r="T111" s="1">
        <f>(Main_S[[#This Row],[P/E]]-VLOOKUP(Main_S[[#This Row],[Industry]], Mean_PE_S, 2, FALSE))/(VLOOKUP(Main_S[[#This Row],[Industry]], Mean_PE_S, 3, FALSE))</f>
        <v>0.87073341375640645</v>
      </c>
      <c r="U11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1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1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1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1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1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12" spans="1:26" x14ac:dyDescent="0.25">
      <c r="A112" s="68" t="s">
        <v>157</v>
      </c>
      <c r="B112" s="68" t="s">
        <v>467</v>
      </c>
      <c r="C112" s="2">
        <v>283</v>
      </c>
      <c r="D112">
        <f>RTD("tos.rtd", , "LAST", Main_S[[#This Row],[Symbol]])</f>
        <v>4.55</v>
      </c>
      <c r="E112">
        <v>-0.47</v>
      </c>
      <c r="F112">
        <v>4.51</v>
      </c>
      <c r="G112">
        <v>4.03</v>
      </c>
      <c r="H112" s="1">
        <f>IF(ISNUMBER(Main_S[[#This Row],[Free CF]]),IF(Main_S[[#This Row],[Free CF]]&lt;&gt;0,Main_S[[#This Row],[Current Price]]/Main_S[[#This Row],[Free CF]],""),"")</f>
        <v>-9.6808510638297882</v>
      </c>
      <c r="I112" s="1">
        <f>IF(ISNUMBER(Main_S[[#This Row],[BVPS]]),IF(Main_S[[#This Row],[BVPS]]&lt;&gt;0,Main_S[[#This Row],[Current Price]]/Main_S[[#This Row],[BVPS]],""),"")</f>
        <v>1.0088691796008868</v>
      </c>
      <c r="J112">
        <v>175.21</v>
      </c>
      <c r="K112">
        <v>-3.79</v>
      </c>
      <c r="L112">
        <v>1.47</v>
      </c>
      <c r="M112" s="1">
        <f>IF(ISNUMBER(Main_S[[#This Row],[EPS]]),IF(Main_S[[#This Row],[EPS]]&lt;&gt;0,Main_S[[#This Row],[Current Price]]/Main_S[[#This Row],[EPS]],""),"")</f>
        <v>1.129032258064516</v>
      </c>
      <c r="N11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12" s="1">
        <f>(Main_S[[#This Row],[P/FCF]]-VLOOKUP(Main_S[[#This Row],[Industry]], Mean_PFCF_S, 2, FALSE))/(VLOOKUP(Main_S[[#This Row],[Industry]], Mean_PFCF_S, 3, FALSE))</f>
        <v>-2.3744756771612758</v>
      </c>
      <c r="P112" s="1">
        <f>(Main_S[[#This Row],[P/B]]-VLOOKUP(Main_S[[#This Row],[Industry]], Mean_PB_S, 2, FALSE))/(VLOOKUP(Main_S[[#This Row],[Industry]], Mean_PB_S, 3, FALSE))</f>
        <v>-0.7422354725164223</v>
      </c>
      <c r="Q112" s="1">
        <f>(Main_S[[#This Row],[ROE]]-VLOOKUP(Main_S[[#This Row],[Industry]], Mean_ROE_S, 2, FALSE))/(VLOOKUP(Main_S[[#This Row],[Industry]], Mean_ROE_S, 3, FALSE))</f>
        <v>18.063275431549229</v>
      </c>
      <c r="R112" s="1">
        <f>(Main_S[[#This Row],[ROA]]-VLOOKUP(Main_S[[#This Row],[Industry]], Mean_ROA_S, 2, FALSE))/(VLOOKUP(Main_S[[#This Row],[Industry]], Mean_ROA_S, 3, FALSE))</f>
        <v>-2.187483786468944</v>
      </c>
      <c r="S112" s="1">
        <f>(Main_S[[#This Row],[A/E]]-VLOOKUP(Main_S[[#This Row],[Industry]], Mean_AE_S, 2, FALSE))/(VLOOKUP(Main_S[[#This Row],[Industry]], Mean_AE_S, 3, FALSE))</f>
        <v>-0.92429521022612493</v>
      </c>
      <c r="T112" s="1">
        <f>(Main_S[[#This Row],[P/E]]-VLOOKUP(Main_S[[#This Row],[Industry]], Mean_PE_S, 2, FALSE))/(VLOOKUP(Main_S[[#This Row],[Industry]], Mean_PE_S, 3, FALSE))</f>
        <v>-0.90134323307096498</v>
      </c>
      <c r="U11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1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1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11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1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1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13" spans="1:26" x14ac:dyDescent="0.25">
      <c r="A113" s="68" t="s">
        <v>157</v>
      </c>
      <c r="B113" s="68" t="s">
        <v>468</v>
      </c>
      <c r="C113" s="2">
        <v>439</v>
      </c>
      <c r="D113">
        <f>RTD("tos.rtd", , "LAST", Main_S[[#This Row],[Symbol]])</f>
        <v>18.23</v>
      </c>
      <c r="E113">
        <v>0.86</v>
      </c>
      <c r="F113">
        <v>30.81</v>
      </c>
      <c r="G113">
        <v>0.32</v>
      </c>
      <c r="H113" s="1">
        <f>IF(ISNUMBER(Main_S[[#This Row],[Free CF]]),IF(Main_S[[#This Row],[Free CF]]&lt;&gt;0,Main_S[[#This Row],[Current Price]]/Main_S[[#This Row],[Free CF]],""),"")</f>
        <v>21.197674418604652</v>
      </c>
      <c r="I113" s="1">
        <f>IF(ISNUMBER(Main_S[[#This Row],[BVPS]]),IF(Main_S[[#This Row],[BVPS]]&lt;&gt;0,Main_S[[#This Row],[Current Price]]/Main_S[[#This Row],[BVPS]],""),"")</f>
        <v>0.59169100941252839</v>
      </c>
      <c r="J113">
        <v>1.07</v>
      </c>
      <c r="K113">
        <v>2.59</v>
      </c>
      <c r="L113">
        <v>1.96</v>
      </c>
      <c r="M113" s="1">
        <f>IF(ISNUMBER(Main_S[[#This Row],[EPS]]),IF(Main_S[[#This Row],[EPS]]&lt;&gt;0,Main_S[[#This Row],[Current Price]]/Main_S[[#This Row],[EPS]],""),"")</f>
        <v>56.96875</v>
      </c>
      <c r="N11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13" s="1">
        <f>(Main_S[[#This Row],[P/FCF]]-VLOOKUP(Main_S[[#This Row],[Industry]], Mean_PFCF_S, 2, FALSE))/(VLOOKUP(Main_S[[#This Row],[Industry]], Mean_PFCF_S, 3, FALSE))</f>
        <v>0.75224103704954837</v>
      </c>
      <c r="P113" s="1">
        <f>(Main_S[[#This Row],[P/B]]-VLOOKUP(Main_S[[#This Row],[Industry]], Mean_PB_S, 2, FALSE))/(VLOOKUP(Main_S[[#This Row],[Industry]], Mean_PB_S, 3, FALSE))</f>
        <v>-1.1525275581353172</v>
      </c>
      <c r="Q113" s="1">
        <f>(Main_S[[#This Row],[ROE]]-VLOOKUP(Main_S[[#This Row],[Industry]], Mean_ROE_S, 2, FALSE))/(VLOOKUP(Main_S[[#This Row],[Industry]], Mean_ROE_S, 3, FALSE))</f>
        <v>-0.65968213220458793</v>
      </c>
      <c r="R113" s="1">
        <f>(Main_S[[#This Row],[ROA]]-VLOOKUP(Main_S[[#This Row],[Industry]], Mean_ROA_S, 2, FALSE))/(VLOOKUP(Main_S[[#This Row],[Industry]], Mean_ROA_S, 3, FALSE))</f>
        <v>-0.17744869958436166</v>
      </c>
      <c r="S113" s="1">
        <f>(Main_S[[#This Row],[A/E]]-VLOOKUP(Main_S[[#This Row],[Industry]], Mean_AE_S, 2, FALSE))/(VLOOKUP(Main_S[[#This Row],[Industry]], Mean_AE_S, 3, FALSE))</f>
        <v>-0.36775345793786041</v>
      </c>
      <c r="T113" s="1">
        <f>(Main_S[[#This Row],[P/E]]-VLOOKUP(Main_S[[#This Row],[Industry]], Mean_PE_S, 2, FALSE))/(VLOOKUP(Main_S[[#This Row],[Industry]], Mean_PE_S, 3, FALSE))</f>
        <v>2.8615764709958329</v>
      </c>
      <c r="U11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1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1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1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1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1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14" spans="1:26" x14ac:dyDescent="0.25">
      <c r="A114" s="68" t="s">
        <v>157</v>
      </c>
      <c r="B114" s="68" t="s">
        <v>469</v>
      </c>
      <c r="C114" s="2">
        <v>266</v>
      </c>
      <c r="D114">
        <f>RTD("tos.rtd", , "LAST", Main_S[[#This Row],[Symbol]])</f>
        <v>1.87</v>
      </c>
      <c r="E114">
        <v>-0.46</v>
      </c>
      <c r="F114">
        <v>1.3</v>
      </c>
      <c r="G114">
        <v>-1.94</v>
      </c>
      <c r="H114" s="1">
        <f>IF(ISNUMBER(Main_S[[#This Row],[Free CF]]),IF(Main_S[[#This Row],[Free CF]]&lt;&gt;0,Main_S[[#This Row],[Current Price]]/Main_S[[#This Row],[Free CF]],""),"")</f>
        <v>-4.0652173913043477</v>
      </c>
      <c r="I114" s="1">
        <f>IF(ISNUMBER(Main_S[[#This Row],[BVPS]]),IF(Main_S[[#This Row],[BVPS]]&lt;&gt;0,Main_S[[#This Row],[Current Price]]/Main_S[[#This Row],[BVPS]],""),"")</f>
        <v>1.4384615384615385</v>
      </c>
      <c r="J114">
        <v>-84.23</v>
      </c>
      <c r="K114">
        <v>-10.35</v>
      </c>
      <c r="L114">
        <v>3.46</v>
      </c>
      <c r="M114" s="1">
        <f>IF(ISNUMBER(Main_S[[#This Row],[EPS]]),IF(Main_S[[#This Row],[EPS]]&lt;&gt;0,Main_S[[#This Row],[Current Price]]/Main_S[[#This Row],[EPS]],""),"")</f>
        <v>-0.963917525773196</v>
      </c>
      <c r="N11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14" s="1">
        <f>(Main_S[[#This Row],[P/FCF]]-VLOOKUP(Main_S[[#This Row],[Industry]], Mean_PFCF_S, 2, FALSE))/(VLOOKUP(Main_S[[#This Row],[Industry]], Mean_PFCF_S, 3, FALSE))</f>
        <v>-1.8058443908403428</v>
      </c>
      <c r="P114" s="1">
        <f>(Main_S[[#This Row],[P/B]]-VLOOKUP(Main_S[[#This Row],[Industry]], Mean_PB_S, 2, FALSE))/(VLOOKUP(Main_S[[#This Row],[Industry]], Mean_PB_S, 3, FALSE))</f>
        <v>-0.31973411103987193</v>
      </c>
      <c r="Q114" s="1">
        <f>(Main_S[[#This Row],[ROE]]-VLOOKUP(Main_S[[#This Row],[Industry]], Mean_ROE_S, 2, FALSE))/(VLOOKUP(Main_S[[#This Row],[Industry]], Mean_ROE_S, 3, FALSE))</f>
        <v>-9.8308563609182702</v>
      </c>
      <c r="R114" s="1">
        <f>(Main_S[[#This Row],[ROA]]-VLOOKUP(Main_S[[#This Row],[Industry]], Mean_ROA_S, 2, FALSE))/(VLOOKUP(Main_S[[#This Row],[Industry]], Mean_ROA_S, 3, FALSE))</f>
        <v>-4.2542283272154728</v>
      </c>
      <c r="S114" s="1">
        <f>(Main_S[[#This Row],[A/E]]-VLOOKUP(Main_S[[#This Row],[Industry]], Mean_AE_S, 2, FALSE))/(VLOOKUP(Main_S[[#This Row],[Industry]], Mean_AE_S, 3, FALSE))</f>
        <v>1.3359457837609086</v>
      </c>
      <c r="T114" s="1">
        <f>(Main_S[[#This Row],[P/E]]-VLOOKUP(Main_S[[#This Row],[Industry]], Mean_PE_S, 2, FALSE))/(VLOOKUP(Main_S[[#This Row],[Industry]], Mean_PE_S, 3, FALSE))</f>
        <v>-1.0423826634209274</v>
      </c>
      <c r="U11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1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1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11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11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1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15" spans="1:26" x14ac:dyDescent="0.25">
      <c r="A115" s="68" t="s">
        <v>157</v>
      </c>
      <c r="B115" s="68" t="s">
        <v>470</v>
      </c>
      <c r="C115" s="2">
        <v>824</v>
      </c>
      <c r="D115">
        <f>RTD("tos.rtd", , "LAST", Main_S[[#This Row],[Symbol]])</f>
        <v>12.26</v>
      </c>
      <c r="E115">
        <v>0.34</v>
      </c>
      <c r="F115">
        <v>3.83</v>
      </c>
      <c r="G115">
        <v>0.4</v>
      </c>
      <c r="H115" s="1">
        <f>IF(ISNUMBER(Main_S[[#This Row],[Free CF]]),IF(Main_S[[#This Row],[Free CF]]&lt;&gt;0,Main_S[[#This Row],[Current Price]]/Main_S[[#This Row],[Free CF]],""),"")</f>
        <v>36.058823529411761</v>
      </c>
      <c r="I115" s="1">
        <f>IF(ISNUMBER(Main_S[[#This Row],[BVPS]]),IF(Main_S[[#This Row],[BVPS]]&lt;&gt;0,Main_S[[#This Row],[Current Price]]/Main_S[[#This Row],[BVPS]],""),"")</f>
        <v>3.2010443864229763</v>
      </c>
      <c r="J115">
        <v>10.72</v>
      </c>
      <c r="K115">
        <v>5.6</v>
      </c>
      <c r="L115">
        <v>1.1599999999999999</v>
      </c>
      <c r="M115" s="1">
        <f>IF(ISNUMBER(Main_S[[#This Row],[EPS]]),IF(Main_S[[#This Row],[EPS]]&lt;&gt;0,Main_S[[#This Row],[Current Price]]/Main_S[[#This Row],[EPS]],""),"")</f>
        <v>30.65</v>
      </c>
      <c r="N11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15" s="1">
        <f>(Main_S[[#This Row],[P/FCF]]-VLOOKUP(Main_S[[#This Row],[Industry]], Mean_PFCF_S, 2, FALSE))/(VLOOKUP(Main_S[[#This Row],[Industry]], Mean_PFCF_S, 3, FALSE))</f>
        <v>2.2570604088026753</v>
      </c>
      <c r="P115" s="1">
        <f>(Main_S[[#This Row],[P/B]]-VLOOKUP(Main_S[[#This Row],[Industry]], Mean_PB_S, 2, FALSE))/(VLOOKUP(Main_S[[#This Row],[Industry]], Mean_PB_S, 3, FALSE))</f>
        <v>1.4137549457812761</v>
      </c>
      <c r="Q115" s="1">
        <f>(Main_S[[#This Row],[ROE]]-VLOOKUP(Main_S[[#This Row],[Industry]], Mean_ROE_S, 2, FALSE))/(VLOOKUP(Main_S[[#This Row],[Industry]], Mean_ROE_S, 3, FALSE))</f>
        <v>0.37785399097345451</v>
      </c>
      <c r="R115" s="1">
        <f>(Main_S[[#This Row],[ROA]]-VLOOKUP(Main_S[[#This Row],[Industry]], Mean_ROA_S, 2, FALSE))/(VLOOKUP(Main_S[[#This Row],[Industry]], Mean_ROA_S, 3, FALSE))</f>
        <v>0.77085938999598191</v>
      </c>
      <c r="S115" s="1">
        <f>(Main_S[[#This Row],[A/E]]-VLOOKUP(Main_S[[#This Row],[Industry]], Mean_AE_S, 2, FALSE))/(VLOOKUP(Main_S[[#This Row],[Industry]], Mean_AE_S, 3, FALSE))</f>
        <v>-1.2763930535105372</v>
      </c>
      <c r="T115" s="1">
        <f>(Main_S[[#This Row],[P/E]]-VLOOKUP(Main_S[[#This Row],[Industry]], Mean_PE_S, 2, FALSE))/(VLOOKUP(Main_S[[#This Row],[Industry]], Mean_PE_S, 3, FALSE))</f>
        <v>1.0880119372511941</v>
      </c>
      <c r="U11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1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1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1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1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1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16" spans="1:26" x14ac:dyDescent="0.25">
      <c r="A116" s="68" t="s">
        <v>157</v>
      </c>
      <c r="B116" s="68" t="s">
        <v>471</v>
      </c>
      <c r="C116" s="2">
        <v>362</v>
      </c>
      <c r="D116">
        <f>RTD("tos.rtd", , "LAST", Main_S[[#This Row],[Symbol]])</f>
        <v>37.35</v>
      </c>
      <c r="E116">
        <v>1.72</v>
      </c>
      <c r="F116">
        <v>10.51</v>
      </c>
      <c r="G116">
        <v>0.83</v>
      </c>
      <c r="H116" s="1">
        <f>IF(ISNUMBER(Main_S[[#This Row],[Free CF]]),IF(Main_S[[#This Row],[Free CF]]&lt;&gt;0,Main_S[[#This Row],[Current Price]]/Main_S[[#This Row],[Free CF]],""),"")</f>
        <v>21.715116279069768</v>
      </c>
      <c r="I116" s="1">
        <f>IF(ISNUMBER(Main_S[[#This Row],[BVPS]]),IF(Main_S[[#This Row],[BVPS]]&lt;&gt;0,Main_S[[#This Row],[Current Price]]/Main_S[[#This Row],[BVPS]],""),"")</f>
        <v>3.553758325404377</v>
      </c>
      <c r="J116">
        <v>8.41</v>
      </c>
      <c r="K116">
        <v>2.78</v>
      </c>
      <c r="L116">
        <v>2.31</v>
      </c>
      <c r="M116" s="1">
        <f>IF(ISNUMBER(Main_S[[#This Row],[EPS]]),IF(Main_S[[#This Row],[EPS]]&lt;&gt;0,Main_S[[#This Row],[Current Price]]/Main_S[[#This Row],[EPS]],""),"")</f>
        <v>45.000000000000007</v>
      </c>
      <c r="N11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16" s="1">
        <f>(Main_S[[#This Row],[P/FCF]]-VLOOKUP(Main_S[[#This Row],[Industry]], Mean_PFCF_S, 2, FALSE))/(VLOOKUP(Main_S[[#This Row],[Industry]], Mean_PFCF_S, 3, FALSE))</f>
        <v>0.80463648302604029</v>
      </c>
      <c r="P116" s="1">
        <f>(Main_S[[#This Row],[P/B]]-VLOOKUP(Main_S[[#This Row],[Industry]], Mean_PB_S, 2, FALSE))/(VLOOKUP(Main_S[[#This Row],[Industry]], Mean_PB_S, 3, FALSE))</f>
        <v>1.7606468686884467</v>
      </c>
      <c r="Q116" s="1">
        <f>(Main_S[[#This Row],[ROE]]-VLOOKUP(Main_S[[#This Row],[Industry]], Mean_ROE_S, 2, FALSE))/(VLOOKUP(Main_S[[#This Row],[Industry]], Mean_ROE_S, 3, FALSE))</f>
        <v>0.1294904215909386</v>
      </c>
      <c r="R116" s="1">
        <f>(Main_S[[#This Row],[ROA]]-VLOOKUP(Main_S[[#This Row],[Industry]], Mean_ROA_S, 2, FALSE))/(VLOOKUP(Main_S[[#This Row],[Industry]], Mean_ROA_S, 3, FALSE))</f>
        <v>-0.11758872050786159</v>
      </c>
      <c r="S116" s="1">
        <f>(Main_S[[#This Row],[A/E]]-VLOOKUP(Main_S[[#This Row],[Industry]], Mean_AE_S, 2, FALSE))/(VLOOKUP(Main_S[[#This Row],[Industry]], Mean_AE_S, 3, FALSE))</f>
        <v>2.9776365125185764E-2</v>
      </c>
      <c r="T116" s="1">
        <f>(Main_S[[#This Row],[P/E]]-VLOOKUP(Main_S[[#This Row],[Industry]], Mean_PE_S, 2, FALSE))/(VLOOKUP(Main_S[[#This Row],[Industry]], Mean_PE_S, 3, FALSE))</f>
        <v>2.0550278882076634</v>
      </c>
      <c r="U11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1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1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1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1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1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17" spans="1:26" x14ac:dyDescent="0.25">
      <c r="A117" s="68" t="s">
        <v>157</v>
      </c>
      <c r="B117" s="68" t="s">
        <v>472</v>
      </c>
      <c r="C117" s="2">
        <v>964</v>
      </c>
      <c r="D117">
        <f>RTD("tos.rtd", , "LAST", Main_S[[#This Row],[Symbol]])</f>
        <v>39.03</v>
      </c>
      <c r="E117">
        <v>2.54</v>
      </c>
      <c r="F117">
        <v>14.53</v>
      </c>
      <c r="G117">
        <v>1.69</v>
      </c>
      <c r="H117" s="1">
        <f>IF(ISNUMBER(Main_S[[#This Row],[Free CF]]),IF(Main_S[[#This Row],[Free CF]]&lt;&gt;0,Main_S[[#This Row],[Current Price]]/Main_S[[#This Row],[Free CF]],""),"")</f>
        <v>15.366141732283465</v>
      </c>
      <c r="I117" s="1">
        <f>IF(ISNUMBER(Main_S[[#This Row],[BVPS]]),IF(Main_S[[#This Row],[BVPS]]&lt;&gt;0,Main_S[[#This Row],[Current Price]]/Main_S[[#This Row],[BVPS]],""),"")</f>
        <v>2.6861665519614593</v>
      </c>
      <c r="J117">
        <v>12.06</v>
      </c>
      <c r="K117">
        <v>6.54</v>
      </c>
      <c r="L117">
        <v>2.25</v>
      </c>
      <c r="M117" s="1">
        <f>IF(ISNUMBER(Main_S[[#This Row],[EPS]]),IF(Main_S[[#This Row],[EPS]]&lt;&gt;0,Main_S[[#This Row],[Current Price]]/Main_S[[#This Row],[EPS]],""),"")</f>
        <v>23.094674556213018</v>
      </c>
      <c r="N11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17" s="1">
        <f>(Main_S[[#This Row],[P/FCF]]-VLOOKUP(Main_S[[#This Row],[Industry]], Mean_PFCF_S, 2, FALSE))/(VLOOKUP(Main_S[[#This Row],[Industry]], Mean_PFCF_S, 3, FALSE))</f>
        <v>0.16174811567739467</v>
      </c>
      <c r="P117" s="1">
        <f>(Main_S[[#This Row],[P/B]]-VLOOKUP(Main_S[[#This Row],[Industry]], Mean_PB_S, 2, FALSE))/(VLOOKUP(Main_S[[#This Row],[Industry]], Mean_PB_S, 3, FALSE))</f>
        <v>0.90737585973088386</v>
      </c>
      <c r="Q117" s="1">
        <f>(Main_S[[#This Row],[ROE]]-VLOOKUP(Main_S[[#This Row],[Industry]], Mean_ROE_S, 2, FALSE))/(VLOOKUP(Main_S[[#This Row],[Industry]], Mean_ROE_S, 3, FALSE))</f>
        <v>0.52192636455465413</v>
      </c>
      <c r="R117" s="1">
        <f>(Main_S[[#This Row],[ROA]]-VLOOKUP(Main_S[[#This Row],[Industry]], Mean_ROA_S, 2, FALSE))/(VLOOKUP(Main_S[[#This Row],[Industry]], Mean_ROA_S, 3, FALSE))</f>
        <v>1.0670087601639298</v>
      </c>
      <c r="S117" s="1">
        <f>(Main_S[[#This Row],[A/E]]-VLOOKUP(Main_S[[#This Row],[Industry]], Mean_AE_S, 2, FALSE))/(VLOOKUP(Main_S[[#This Row],[Industry]], Mean_AE_S, 3, FALSE))</f>
        <v>-3.8371604542765052E-2</v>
      </c>
      <c r="T117" s="1">
        <f>(Main_S[[#This Row],[P/E]]-VLOOKUP(Main_S[[#This Row],[Industry]], Mean_PE_S, 2, FALSE))/(VLOOKUP(Main_S[[#This Row],[Industry]], Mean_PE_S, 3, FALSE))</f>
        <v>0.57887463977319598</v>
      </c>
      <c r="U11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1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1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1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1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1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18" spans="1:26" x14ac:dyDescent="0.25">
      <c r="A118" s="68" t="s">
        <v>157</v>
      </c>
      <c r="B118" s="68" t="s">
        <v>324</v>
      </c>
      <c r="C118" s="2">
        <v>1379</v>
      </c>
      <c r="D118">
        <f>RTD("tos.rtd", , "LAST", Main_S[[#This Row],[Symbol]])</f>
        <v>23.12</v>
      </c>
      <c r="E118">
        <v>2.1800000000000002</v>
      </c>
      <c r="F118">
        <v>18.850000000000001</v>
      </c>
      <c r="G118">
        <v>-3.85</v>
      </c>
      <c r="H118" s="1">
        <f>IF(ISNUMBER(Main_S[[#This Row],[Free CF]]),IF(Main_S[[#This Row],[Free CF]]&lt;&gt;0,Main_S[[#This Row],[Current Price]]/Main_S[[#This Row],[Free CF]],""),"")</f>
        <v>10.605504587155963</v>
      </c>
      <c r="I118" s="1">
        <f>IF(ISNUMBER(Main_S[[#This Row],[BVPS]]),IF(Main_S[[#This Row],[BVPS]]&lt;&gt;0,Main_S[[#This Row],[Current Price]]/Main_S[[#This Row],[BVPS]],""),"")</f>
        <v>1.226525198938992</v>
      </c>
      <c r="J118">
        <v>-17.21</v>
      </c>
      <c r="K118">
        <v>3.74</v>
      </c>
      <c r="L118">
        <v>3.62</v>
      </c>
      <c r="M118" s="1">
        <f>IF(ISNUMBER(Main_S[[#This Row],[EPS]]),IF(Main_S[[#This Row],[EPS]]&lt;&gt;0,Main_S[[#This Row],[Current Price]]/Main_S[[#This Row],[EPS]],""),"")</f>
        <v>-6.0051948051948054</v>
      </c>
      <c r="N11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18" s="1">
        <f>(Main_S[[#This Row],[P/FCF]]-VLOOKUP(Main_S[[#This Row],[Industry]], Mean_PFCF_S, 2, FALSE))/(VLOOKUP(Main_S[[#This Row],[Industry]], Mean_PFCF_S, 3, FALSE))</f>
        <v>-0.32030740670921143</v>
      </c>
      <c r="P118" s="1">
        <f>(Main_S[[#This Row],[P/B]]-VLOOKUP(Main_S[[#This Row],[Industry]], Mean_PB_S, 2, FALSE))/(VLOOKUP(Main_S[[#This Row],[Industry]], Mean_PB_S, 3, FALSE))</f>
        <v>-0.52817215735921486</v>
      </c>
      <c r="Q118" s="1">
        <f>(Main_S[[#This Row],[ROE]]-VLOOKUP(Main_S[[#This Row],[Industry]], Mean_ROE_S, 2, FALSE))/(VLOOKUP(Main_S[[#This Row],[Industry]], Mean_ROE_S, 3, FALSE))</f>
        <v>-2.6250873479242376</v>
      </c>
      <c r="R118" s="1">
        <f>(Main_S[[#This Row],[ROA]]-VLOOKUP(Main_S[[#This Row],[Industry]], Mean_ROA_S, 2, FALSE))/(VLOOKUP(Main_S[[#This Row],[Industry]], Mean_ROA_S, 3, FALSE))</f>
        <v>0.18486170008919164</v>
      </c>
      <c r="S118" s="1">
        <f>(Main_S[[#This Row],[A/E]]-VLOOKUP(Main_S[[#This Row],[Industry]], Mean_AE_S, 2, FALSE))/(VLOOKUP(Main_S[[#This Row],[Industry]], Mean_AE_S, 3, FALSE))</f>
        <v>1.5176737028754439</v>
      </c>
      <c r="T118" s="1">
        <f>(Main_S[[#This Row],[P/E]]-VLOOKUP(Main_S[[#This Row],[Industry]], Mean_PE_S, 2, FALSE))/(VLOOKUP(Main_S[[#This Row],[Industry]], Mean_PE_S, 3, FALSE))</f>
        <v>-1.3821036071418424</v>
      </c>
      <c r="U11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1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1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11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1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1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19" spans="1:26" x14ac:dyDescent="0.25">
      <c r="A119" s="68" t="s">
        <v>157</v>
      </c>
      <c r="B119" s="68" t="s">
        <v>473</v>
      </c>
      <c r="C119" s="2">
        <v>972</v>
      </c>
      <c r="D119">
        <f>RTD("tos.rtd", , "LAST", Main_S[[#This Row],[Symbol]])</f>
        <v>33.72</v>
      </c>
      <c r="E119">
        <v>2.76</v>
      </c>
      <c r="F119">
        <v>25.96</v>
      </c>
      <c r="G119">
        <v>1.17</v>
      </c>
      <c r="H119" s="1">
        <f>IF(ISNUMBER(Main_S[[#This Row],[Free CF]]),IF(Main_S[[#This Row],[Free CF]]&lt;&gt;0,Main_S[[#This Row],[Current Price]]/Main_S[[#This Row],[Free CF]],""),"")</f>
        <v>12.217391304347826</v>
      </c>
      <c r="I119" s="1">
        <f>IF(ISNUMBER(Main_S[[#This Row],[BVPS]]),IF(Main_S[[#This Row],[BVPS]]&lt;&gt;0,Main_S[[#This Row],[Current Price]]/Main_S[[#This Row],[BVPS]],""),"")</f>
        <v>1.2989214175654853</v>
      </c>
      <c r="J119">
        <v>4.54</v>
      </c>
      <c r="K119">
        <v>3.51</v>
      </c>
      <c r="L119">
        <v>1.74</v>
      </c>
      <c r="M119" s="1">
        <f>IF(ISNUMBER(Main_S[[#This Row],[EPS]]),IF(Main_S[[#This Row],[EPS]]&lt;&gt;0,Main_S[[#This Row],[Current Price]]/Main_S[[#This Row],[EPS]],""),"")</f>
        <v>28.820512820512821</v>
      </c>
      <c r="N11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19" s="1">
        <f>(Main_S[[#This Row],[P/FCF]]-VLOOKUP(Main_S[[#This Row],[Industry]], Mean_PFCF_S, 2, FALSE))/(VLOOKUP(Main_S[[#This Row],[Industry]], Mean_PFCF_S, 3, FALSE))</f>
        <v>-0.1570899906792517</v>
      </c>
      <c r="P119" s="1">
        <f>(Main_S[[#This Row],[P/B]]-VLOOKUP(Main_S[[#This Row],[Industry]], Mean_PB_S, 2, FALSE))/(VLOOKUP(Main_S[[#This Row],[Industry]], Mean_PB_S, 3, FALSE))</f>
        <v>-0.45697093530635902</v>
      </c>
      <c r="Q119" s="1">
        <f>(Main_S[[#This Row],[ROE]]-VLOOKUP(Main_S[[#This Row],[Industry]], Mean_ROE_S, 2, FALSE))/(VLOOKUP(Main_S[[#This Row],[Industry]], Mean_ROE_S, 3, FALSE))</f>
        <v>-0.28659919464730227</v>
      </c>
      <c r="R119" s="1">
        <f>(Main_S[[#This Row],[ROA]]-VLOOKUP(Main_S[[#This Row],[Industry]], Mean_ROA_S, 2, FALSE))/(VLOOKUP(Main_S[[#This Row],[Industry]], Mean_ROA_S, 3, FALSE))</f>
        <v>0.11239962015448088</v>
      </c>
      <c r="S119" s="1">
        <f>(Main_S[[#This Row],[A/E]]-VLOOKUP(Main_S[[#This Row],[Industry]], Mean_AE_S, 2, FALSE))/(VLOOKUP(Main_S[[#This Row],[Industry]], Mean_AE_S, 3, FALSE))</f>
        <v>-0.61762934672034653</v>
      </c>
      <c r="T119" s="1">
        <f>(Main_S[[#This Row],[P/E]]-VLOOKUP(Main_S[[#This Row],[Industry]], Mean_PE_S, 2, FALSE))/(VLOOKUP(Main_S[[#This Row],[Industry]], Mean_PE_S, 3, FALSE))</f>
        <v>0.96472669093520369</v>
      </c>
      <c r="U11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1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1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1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1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1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20" spans="1:26" x14ac:dyDescent="0.25">
      <c r="A120" s="68" t="s">
        <v>157</v>
      </c>
      <c r="B120" s="68" t="s">
        <v>325</v>
      </c>
      <c r="C120" s="2">
        <v>1444</v>
      </c>
      <c r="D120">
        <f>RTD("tos.rtd", , "LAST", Main_S[[#This Row],[Symbol]])</f>
        <v>8.36</v>
      </c>
      <c r="E120">
        <v>0.42</v>
      </c>
      <c r="F120">
        <v>5.99</v>
      </c>
      <c r="G120">
        <v>0.09</v>
      </c>
      <c r="H120" s="1">
        <f>IF(ISNUMBER(Main_S[[#This Row],[Free CF]]),IF(Main_S[[#This Row],[Free CF]]&lt;&gt;0,Main_S[[#This Row],[Current Price]]/Main_S[[#This Row],[Free CF]],""),"")</f>
        <v>19.904761904761905</v>
      </c>
      <c r="I120" s="1">
        <f>IF(ISNUMBER(Main_S[[#This Row],[BVPS]]),IF(Main_S[[#This Row],[BVPS]]&lt;&gt;0,Main_S[[#This Row],[Current Price]]/Main_S[[#This Row],[BVPS]],""),"")</f>
        <v>1.3956594323873119</v>
      </c>
      <c r="J120">
        <v>1.57</v>
      </c>
      <c r="K120">
        <v>2.48</v>
      </c>
      <c r="L120">
        <v>1.97</v>
      </c>
      <c r="M120" s="1">
        <f>IF(ISNUMBER(Main_S[[#This Row],[EPS]]),IF(Main_S[[#This Row],[EPS]]&lt;&gt;0,Main_S[[#This Row],[Current Price]]/Main_S[[#This Row],[EPS]],""),"")</f>
        <v>92.888888888888886</v>
      </c>
      <c r="N12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20" s="1">
        <f>(Main_S[[#This Row],[P/FCF]]-VLOOKUP(Main_S[[#This Row],[Industry]], Mean_PFCF_S, 2, FALSE))/(VLOOKUP(Main_S[[#This Row],[Industry]], Mean_PFCF_S, 3, FALSE))</f>
        <v>0.62132250697452562</v>
      </c>
      <c r="P120" s="1">
        <f>(Main_S[[#This Row],[P/B]]-VLOOKUP(Main_S[[#This Row],[Industry]], Mean_PB_S, 2, FALSE))/(VLOOKUP(Main_S[[#This Row],[Industry]], Mean_PB_S, 3, FALSE))</f>
        <v>-0.36182971101373085</v>
      </c>
      <c r="Q120" s="1">
        <f>(Main_S[[#This Row],[ROE]]-VLOOKUP(Main_S[[#This Row],[Industry]], Mean_ROE_S, 2, FALSE))/(VLOOKUP(Main_S[[#This Row],[Industry]], Mean_ROE_S, 3, FALSE))</f>
        <v>-0.60592378385339407</v>
      </c>
      <c r="R120" s="1">
        <f>(Main_S[[#This Row],[ROA]]-VLOOKUP(Main_S[[#This Row],[Industry]], Mean_ROA_S, 2, FALSE))/(VLOOKUP(Main_S[[#This Row],[Industry]], Mean_ROA_S, 3, FALSE))</f>
        <v>-0.21210447694444062</v>
      </c>
      <c r="S120" s="1">
        <f>(Main_S[[#This Row],[A/E]]-VLOOKUP(Main_S[[#This Row],[Industry]], Mean_AE_S, 2, FALSE))/(VLOOKUP(Main_S[[#This Row],[Industry]], Mean_AE_S, 3, FALSE))</f>
        <v>-0.35639546299320196</v>
      </c>
      <c r="T120" s="1">
        <f>(Main_S[[#This Row],[P/E]]-VLOOKUP(Main_S[[#This Row],[Industry]], Mean_PE_S, 2, FALSE))/(VLOOKUP(Main_S[[#This Row],[Industry]], Mean_PE_S, 3, FALSE))</f>
        <v>5.2821581620151585</v>
      </c>
      <c r="U12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2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2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2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2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2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21" spans="1:26" x14ac:dyDescent="0.25">
      <c r="A121" s="68" t="s">
        <v>157</v>
      </c>
      <c r="B121" s="68" t="s">
        <v>474</v>
      </c>
      <c r="C121" s="2">
        <v>685</v>
      </c>
      <c r="D121">
        <f>RTD("tos.rtd", , "LAST", Main_S[[#This Row],[Symbol]])</f>
        <v>43.32</v>
      </c>
      <c r="E121">
        <v>7.05</v>
      </c>
      <c r="F121">
        <v>27.27</v>
      </c>
      <c r="G121">
        <v>8.0399999999999991</v>
      </c>
      <c r="H121" s="1">
        <f>IF(ISNUMBER(Main_S[[#This Row],[Free CF]]),IF(Main_S[[#This Row],[Free CF]]&lt;&gt;0,Main_S[[#This Row],[Current Price]]/Main_S[[#This Row],[Free CF]],""),"")</f>
        <v>6.1446808510638302</v>
      </c>
      <c r="I121" s="1">
        <f>IF(ISNUMBER(Main_S[[#This Row],[BVPS]]),IF(Main_S[[#This Row],[BVPS]]&lt;&gt;0,Main_S[[#This Row],[Current Price]]/Main_S[[#This Row],[BVPS]],""),"")</f>
        <v>1.5885588558855885</v>
      </c>
      <c r="J121">
        <v>32.01</v>
      </c>
      <c r="K121">
        <v>8.0299999999999994</v>
      </c>
      <c r="L121">
        <v>4.2699999999999996</v>
      </c>
      <c r="M121" s="1">
        <f>IF(ISNUMBER(Main_S[[#This Row],[EPS]]),IF(Main_S[[#This Row],[EPS]]&lt;&gt;0,Main_S[[#This Row],[Current Price]]/Main_S[[#This Row],[EPS]],""),"")</f>
        <v>5.388059701492538</v>
      </c>
      <c r="N12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21" s="1">
        <f>(Main_S[[#This Row],[P/FCF]]-VLOOKUP(Main_S[[#This Row],[Industry]], Mean_PFCF_S, 2, FALSE))/(VLOOKUP(Main_S[[#This Row],[Industry]], Mean_PFCF_S, 3, FALSE))</f>
        <v>-0.77200423862956835</v>
      </c>
      <c r="P121" s="1">
        <f>(Main_S[[#This Row],[P/B]]-VLOOKUP(Main_S[[#This Row],[Industry]], Mean_PB_S, 2, FALSE))/(VLOOKUP(Main_S[[#This Row],[Industry]], Mean_PB_S, 3, FALSE))</f>
        <v>-0.17211435091697438</v>
      </c>
      <c r="Q121" s="1">
        <f>(Main_S[[#This Row],[ROE]]-VLOOKUP(Main_S[[#This Row],[Industry]], Mean_ROE_S, 2, FALSE))/(VLOOKUP(Main_S[[#This Row],[Industry]], Mean_ROE_S, 3, FALSE))</f>
        <v>2.6668844637672908</v>
      </c>
      <c r="R121" s="1">
        <f>(Main_S[[#This Row],[ROA]]-VLOOKUP(Main_S[[#This Row],[Industry]], Mean_ROA_S, 2, FALSE))/(VLOOKUP(Main_S[[#This Row],[Industry]], Mean_ROA_S, 3, FALSE))</f>
        <v>1.5364370171322725</v>
      </c>
      <c r="S121" s="1">
        <f>(Main_S[[#This Row],[A/E]]-VLOOKUP(Main_S[[#This Row],[Industry]], Mean_AE_S, 2, FALSE))/(VLOOKUP(Main_S[[#This Row],[Industry]], Mean_AE_S, 3, FALSE))</f>
        <v>2.2559433742782433</v>
      </c>
      <c r="T121" s="1">
        <f>(Main_S[[#This Row],[P/E]]-VLOOKUP(Main_S[[#This Row],[Industry]], Mean_PE_S, 2, FALSE))/(VLOOKUP(Main_S[[#This Row],[Industry]], Mean_PE_S, 3, FALSE))</f>
        <v>-0.6143364405025854</v>
      </c>
      <c r="U12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2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2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12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2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2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22" spans="1:26" x14ac:dyDescent="0.25">
      <c r="A122" s="68" t="s">
        <v>157</v>
      </c>
      <c r="B122" s="68" t="s">
        <v>327</v>
      </c>
      <c r="C122" s="2">
        <v>1529</v>
      </c>
      <c r="D122">
        <f>RTD("tos.rtd", , "LAST", Main_S[[#This Row],[Symbol]])</f>
        <v>22.16</v>
      </c>
      <c r="E122">
        <v>2.5</v>
      </c>
      <c r="F122">
        <v>15.78</v>
      </c>
      <c r="G122">
        <v>1.22</v>
      </c>
      <c r="H122" s="1">
        <f>IF(ISNUMBER(Main_S[[#This Row],[Free CF]]),IF(Main_S[[#This Row],[Free CF]]&lt;&gt;0,Main_S[[#This Row],[Current Price]]/Main_S[[#This Row],[Free CF]],""),"")</f>
        <v>8.8640000000000008</v>
      </c>
      <c r="I122" s="1">
        <f>IF(ISNUMBER(Main_S[[#This Row],[BVPS]]),IF(Main_S[[#This Row],[BVPS]]&lt;&gt;0,Main_S[[#This Row],[Current Price]]/Main_S[[#This Row],[BVPS]],""),"")</f>
        <v>1.4043092522179976</v>
      </c>
      <c r="J122">
        <v>7.84</v>
      </c>
      <c r="K122">
        <v>4.42</v>
      </c>
      <c r="L122">
        <v>2</v>
      </c>
      <c r="M122" s="1">
        <f>IF(ISNUMBER(Main_S[[#This Row],[EPS]]),IF(Main_S[[#This Row],[EPS]]&lt;&gt;0,Main_S[[#This Row],[Current Price]]/Main_S[[#This Row],[EPS]],""),"")</f>
        <v>18.16393442622951</v>
      </c>
      <c r="N12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22" s="1">
        <f>(Main_S[[#This Row],[P/FCF]]-VLOOKUP(Main_S[[#This Row],[Industry]], Mean_PFCF_S, 2, FALSE))/(VLOOKUP(Main_S[[#This Row],[Industry]], Mean_PFCF_S, 3, FALSE))</f>
        <v>-0.49664974869160045</v>
      </c>
      <c r="P122" s="1">
        <f>(Main_S[[#This Row],[P/B]]-VLOOKUP(Main_S[[#This Row],[Industry]], Mean_PB_S, 2, FALSE))/(VLOOKUP(Main_S[[#This Row],[Industry]], Mean_PB_S, 3, FALSE))</f>
        <v>-0.35332266804703549</v>
      </c>
      <c r="Q122" s="1">
        <f>(Main_S[[#This Row],[ROE]]-VLOOKUP(Main_S[[#This Row],[Industry]], Mean_ROE_S, 2, FALSE))/(VLOOKUP(Main_S[[#This Row],[Industry]], Mean_ROE_S, 3, FALSE))</f>
        <v>6.8205904470577505E-2</v>
      </c>
      <c r="R122" s="1">
        <f>(Main_S[[#This Row],[ROA]]-VLOOKUP(Main_S[[#This Row],[Industry]], Mean_ROA_S, 2, FALSE))/(VLOOKUP(Main_S[[#This Row],[Industry]], Mean_ROA_S, 3, FALSE))</f>
        <v>0.39909741467877086</v>
      </c>
      <c r="S122" s="1">
        <f>(Main_S[[#This Row],[A/E]]-VLOOKUP(Main_S[[#This Row],[Industry]], Mean_AE_S, 2, FALSE))/(VLOOKUP(Main_S[[#This Row],[Industry]], Mean_AE_S, 3, FALSE))</f>
        <v>-0.32232147815922652</v>
      </c>
      <c r="T122" s="1">
        <f>(Main_S[[#This Row],[P/E]]-VLOOKUP(Main_S[[#This Row],[Industry]], Mean_PE_S, 2, FALSE))/(VLOOKUP(Main_S[[#This Row],[Industry]], Mean_PE_S, 3, FALSE))</f>
        <v>0.24660255923554961</v>
      </c>
      <c r="U12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2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2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2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2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2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23" spans="1:26" x14ac:dyDescent="0.25">
      <c r="A123" s="68" t="s">
        <v>157</v>
      </c>
      <c r="B123" s="68" t="s">
        <v>573</v>
      </c>
      <c r="C123" s="2">
        <v>855</v>
      </c>
      <c r="D123">
        <f>RTD("tos.rtd", , "LAST", Main_S[[#This Row],[Symbol]])</f>
        <v>19.25</v>
      </c>
      <c r="E123">
        <v>0.71</v>
      </c>
      <c r="F123">
        <v>15.78</v>
      </c>
      <c r="G123">
        <v>-0.35</v>
      </c>
      <c r="H123" s="1">
        <f>IF(ISNUMBER(Main_S[[#This Row],[Free CF]]),IF(Main_S[[#This Row],[Free CF]]&lt;&gt;0,Main_S[[#This Row],[Current Price]]/Main_S[[#This Row],[Free CF]],""),"")</f>
        <v>27.112676056338028</v>
      </c>
      <c r="I123" s="1">
        <f>IF(ISNUMBER(Main_S[[#This Row],[BVPS]]),IF(Main_S[[#This Row],[BVPS]]&lt;&gt;0,Main_S[[#This Row],[Current Price]]/Main_S[[#This Row],[BVPS]],""),"")</f>
        <v>1.2198986058301649</v>
      </c>
      <c r="J123">
        <v>-2.21</v>
      </c>
      <c r="K123">
        <v>-2.61</v>
      </c>
      <c r="L123">
        <v>1.08</v>
      </c>
      <c r="M123" s="1">
        <f>IF(ISNUMBER(Main_S[[#This Row],[EPS]]),IF(Main_S[[#This Row],[EPS]]&lt;&gt;0,Main_S[[#This Row],[Current Price]]/Main_S[[#This Row],[EPS]],""),"")</f>
        <v>-55</v>
      </c>
      <c r="N12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23" s="1">
        <f>(Main_S[[#This Row],[P/FCF]]-VLOOKUP(Main_S[[#This Row],[Industry]], Mean_PFCF_S, 2, FALSE))/(VLOOKUP(Main_S[[#This Row],[Industry]], Mean_PFCF_S, 3, FALSE))</f>
        <v>1.3511859088118399</v>
      </c>
      <c r="P123" s="1">
        <f>(Main_S[[#This Row],[P/B]]-VLOOKUP(Main_S[[#This Row],[Industry]], Mean_PB_S, 2, FALSE))/(VLOOKUP(Main_S[[#This Row],[Industry]], Mean_PB_S, 3, FALSE))</f>
        <v>-0.53468936967150082</v>
      </c>
      <c r="Q123" s="1">
        <f>(Main_S[[#This Row],[ROE]]-VLOOKUP(Main_S[[#This Row],[Industry]], Mean_ROE_S, 2, FALSE))/(VLOOKUP(Main_S[[#This Row],[Industry]], Mean_ROE_S, 3, FALSE))</f>
        <v>-1.0123368973884201</v>
      </c>
      <c r="R123" s="1">
        <f>(Main_S[[#This Row],[ROA]]-VLOOKUP(Main_S[[#This Row],[Industry]], Mean_ROA_S, 2, FALSE))/(VLOOKUP(Main_S[[#This Row],[Industry]], Mean_ROA_S, 3, FALSE))</f>
        <v>-1.8157218111517326</v>
      </c>
      <c r="S123" s="1">
        <f>(Main_S[[#This Row],[A/E]]-VLOOKUP(Main_S[[#This Row],[Industry]], Mean_AE_S, 2, FALSE))/(VLOOKUP(Main_S[[#This Row],[Industry]], Mean_AE_S, 3, FALSE))</f>
        <v>-1.3672570130678048</v>
      </c>
      <c r="T123" s="1">
        <f>(Main_S[[#This Row],[P/E]]-VLOOKUP(Main_S[[#This Row],[Industry]], Mean_PE_S, 2, FALSE))/(VLOOKUP(Main_S[[#This Row],[Industry]], Mean_PE_S, 3, FALSE))</f>
        <v>-4.6837592264715626</v>
      </c>
      <c r="U12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2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2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2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2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2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24" spans="1:26" x14ac:dyDescent="0.25">
      <c r="A124" s="68" t="s">
        <v>157</v>
      </c>
      <c r="B124" s="68" t="s">
        <v>475</v>
      </c>
      <c r="C124" s="2">
        <v>299</v>
      </c>
      <c r="D124">
        <f>RTD("tos.rtd", , "LAST", Main_S[[#This Row],[Symbol]])</f>
        <v>12.45</v>
      </c>
      <c r="E124">
        <v>1.58</v>
      </c>
      <c r="F124">
        <v>8.4700000000000006</v>
      </c>
      <c r="G124">
        <v>0.78</v>
      </c>
      <c r="H124" s="1">
        <f>IF(ISNUMBER(Main_S[[#This Row],[Free CF]]),IF(Main_S[[#This Row],[Free CF]]&lt;&gt;0,Main_S[[#This Row],[Current Price]]/Main_S[[#This Row],[Free CF]],""),"")</f>
        <v>7.8797468354430373</v>
      </c>
      <c r="I124" s="1">
        <f>IF(ISNUMBER(Main_S[[#This Row],[BVPS]]),IF(Main_S[[#This Row],[BVPS]]&lt;&gt;0,Main_S[[#This Row],[Current Price]]/Main_S[[#This Row],[BVPS]],""),"")</f>
        <v>1.4698937426210152</v>
      </c>
      <c r="J124">
        <v>9.61</v>
      </c>
      <c r="K124">
        <v>6.03</v>
      </c>
      <c r="L124">
        <v>1.7</v>
      </c>
      <c r="M124" s="1">
        <f>IF(ISNUMBER(Main_S[[#This Row],[EPS]]),IF(Main_S[[#This Row],[EPS]]&lt;&gt;0,Main_S[[#This Row],[Current Price]]/Main_S[[#This Row],[EPS]],""),"")</f>
        <v>15.96153846153846</v>
      </c>
      <c r="N12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24" s="1">
        <f>(Main_S[[#This Row],[P/FCF]]-VLOOKUP(Main_S[[#This Row],[Industry]], Mean_PFCF_S, 2, FALSE))/(VLOOKUP(Main_S[[#This Row],[Industry]], Mean_PFCF_S, 3, FALSE))</f>
        <v>-0.59631386064493219</v>
      </c>
      <c r="P124" s="1">
        <f>(Main_S[[#This Row],[P/B]]-VLOOKUP(Main_S[[#This Row],[Industry]], Mean_PB_S, 2, FALSE))/(VLOOKUP(Main_S[[#This Row],[Industry]], Mean_PB_S, 3, FALSE))</f>
        <v>-0.2888207375180315</v>
      </c>
      <c r="Q124" s="1">
        <f>(Main_S[[#This Row],[ROE]]-VLOOKUP(Main_S[[#This Row],[Industry]], Mean_ROE_S, 2, FALSE))/(VLOOKUP(Main_S[[#This Row],[Industry]], Mean_ROE_S, 3, FALSE))</f>
        <v>0.25851045763380387</v>
      </c>
      <c r="R124" s="1">
        <f>(Main_S[[#This Row],[ROA]]-VLOOKUP(Main_S[[#This Row],[Industry]], Mean_ROA_S, 2, FALSE))/(VLOOKUP(Main_S[[#This Row],[Industry]], Mean_ROA_S, 3, FALSE))</f>
        <v>0.9063319742217455</v>
      </c>
      <c r="S124" s="1">
        <f>(Main_S[[#This Row],[A/E]]-VLOOKUP(Main_S[[#This Row],[Industry]], Mean_AE_S, 2, FALSE))/(VLOOKUP(Main_S[[#This Row],[Industry]], Mean_AE_S, 3, FALSE))</f>
        <v>-0.66306132649898042</v>
      </c>
      <c r="T124" s="1">
        <f>(Main_S[[#This Row],[P/E]]-VLOOKUP(Main_S[[#This Row],[Industry]], Mean_PE_S, 2, FALSE))/(VLOOKUP(Main_S[[#This Row],[Industry]], Mean_PE_S, 3, FALSE))</f>
        <v>9.8187783752733918E-2</v>
      </c>
      <c r="U12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2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2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2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2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2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25" spans="1:26" x14ac:dyDescent="0.25">
      <c r="A125" s="68" t="s">
        <v>157</v>
      </c>
      <c r="B125" s="68" t="s">
        <v>476</v>
      </c>
      <c r="C125" s="2">
        <v>262</v>
      </c>
      <c r="D125">
        <f>RTD("tos.rtd", , "LAST", Main_S[[#This Row],[Symbol]])</f>
        <v>15.44</v>
      </c>
      <c r="E125">
        <v>3.77</v>
      </c>
      <c r="F125">
        <v>12.33</v>
      </c>
      <c r="G125">
        <v>1.24</v>
      </c>
      <c r="H125" s="1">
        <f>IF(ISNUMBER(Main_S[[#This Row],[Free CF]]),IF(Main_S[[#This Row],[Free CF]]&lt;&gt;0,Main_S[[#This Row],[Current Price]]/Main_S[[#This Row],[Free CF]],""),"")</f>
        <v>4.0954907161803709</v>
      </c>
      <c r="I125" s="1">
        <f>IF(ISNUMBER(Main_S[[#This Row],[BVPS]]),IF(Main_S[[#This Row],[BVPS]]&lt;&gt;0,Main_S[[#This Row],[Current Price]]/Main_S[[#This Row],[BVPS]],""),"")</f>
        <v>1.2522303325223032</v>
      </c>
      <c r="J125">
        <v>10.78</v>
      </c>
      <c r="K125">
        <v>2.8</v>
      </c>
      <c r="L125">
        <v>1.77</v>
      </c>
      <c r="M125" s="1">
        <f>IF(ISNUMBER(Main_S[[#This Row],[EPS]]),IF(Main_S[[#This Row],[EPS]]&lt;&gt;0,Main_S[[#This Row],[Current Price]]/Main_S[[#This Row],[EPS]],""),"")</f>
        <v>12.451612903225806</v>
      </c>
      <c r="N12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25" s="1">
        <f>(Main_S[[#This Row],[P/FCF]]-VLOOKUP(Main_S[[#This Row],[Industry]], Mean_PFCF_S, 2, FALSE))/(VLOOKUP(Main_S[[#This Row],[Industry]], Mean_PFCF_S, 3, FALSE))</f>
        <v>-0.97950239293686725</v>
      </c>
      <c r="P125" s="1">
        <f>(Main_S[[#This Row],[P/B]]-VLOOKUP(Main_S[[#This Row],[Industry]], Mean_PB_S, 2, FALSE))/(VLOOKUP(Main_S[[#This Row],[Industry]], Mean_PB_S, 3, FALSE))</f>
        <v>-0.502891321441441</v>
      </c>
      <c r="Q125" s="1">
        <f>(Main_S[[#This Row],[ROE]]-VLOOKUP(Main_S[[#This Row],[Industry]], Mean_ROE_S, 2, FALSE))/(VLOOKUP(Main_S[[#This Row],[Industry]], Mean_ROE_S, 3, FALSE))</f>
        <v>0.38430499277559765</v>
      </c>
      <c r="R125" s="1">
        <f>(Main_S[[#This Row],[ROA]]-VLOOKUP(Main_S[[#This Row],[Industry]], Mean_ROA_S, 2, FALSE))/(VLOOKUP(Main_S[[#This Row],[Industry]], Mean_ROA_S, 3, FALSE))</f>
        <v>-0.11128767007875631</v>
      </c>
      <c r="S125" s="1">
        <f>(Main_S[[#This Row],[A/E]]-VLOOKUP(Main_S[[#This Row],[Industry]], Mean_AE_S, 2, FALSE))/(VLOOKUP(Main_S[[#This Row],[Industry]], Mean_AE_S, 3, FALSE))</f>
        <v>-0.58355536188637103</v>
      </c>
      <c r="T125" s="1">
        <f>(Main_S[[#This Row],[P/E]]-VLOOKUP(Main_S[[#This Row],[Industry]], Mean_PE_S, 2, FALSE))/(VLOOKUP(Main_S[[#This Row],[Industry]], Mean_PE_S, 3, FALSE))</f>
        <v>-0.13833862750567208</v>
      </c>
      <c r="U12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2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2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2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2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2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26" spans="1:26" x14ac:dyDescent="0.25">
      <c r="A126" s="68" t="s">
        <v>157</v>
      </c>
      <c r="B126" s="68" t="s">
        <v>477</v>
      </c>
      <c r="C126" s="2">
        <v>251</v>
      </c>
      <c r="D126">
        <f>RTD("tos.rtd", , "LAST", Main_S[[#This Row],[Symbol]])</f>
        <v>1.59</v>
      </c>
      <c r="E126">
        <v>-0.27</v>
      </c>
      <c r="F126">
        <v>3.98</v>
      </c>
      <c r="G126">
        <v>-0.44</v>
      </c>
      <c r="H126" s="1">
        <f>IF(ISNUMBER(Main_S[[#This Row],[Free CF]]),IF(Main_S[[#This Row],[Free CF]]&lt;&gt;0,Main_S[[#This Row],[Current Price]]/Main_S[[#This Row],[Free CF]],""),"")</f>
        <v>-5.8888888888888884</v>
      </c>
      <c r="I126" s="1">
        <f>IF(ISNUMBER(Main_S[[#This Row],[BVPS]]),IF(Main_S[[#This Row],[BVPS]]&lt;&gt;0,Main_S[[#This Row],[Current Price]]/Main_S[[#This Row],[BVPS]],""),"")</f>
        <v>0.39949748743718594</v>
      </c>
      <c r="J126">
        <v>-10.34</v>
      </c>
      <c r="K126">
        <v>-5.44</v>
      </c>
      <c r="L126">
        <v>1.05</v>
      </c>
      <c r="M126" s="1">
        <f>IF(ISNUMBER(Main_S[[#This Row],[EPS]]),IF(Main_S[[#This Row],[EPS]]&lt;&gt;0,Main_S[[#This Row],[Current Price]]/Main_S[[#This Row],[EPS]],""),"")</f>
        <v>-3.6136363636363638</v>
      </c>
      <c r="N12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26" s="1">
        <f>(Main_S[[#This Row],[P/FCF]]-VLOOKUP(Main_S[[#This Row],[Industry]], Mean_PFCF_S, 2, FALSE))/(VLOOKUP(Main_S[[#This Row],[Industry]], Mean_PFCF_S, 3, FALSE))</f>
        <v>-1.9905068403465918</v>
      </c>
      <c r="P126" s="1">
        <f>(Main_S[[#This Row],[P/B]]-VLOOKUP(Main_S[[#This Row],[Industry]], Mean_PB_S, 2, FALSE))/(VLOOKUP(Main_S[[#This Row],[Industry]], Mean_PB_S, 3, FALSE))</f>
        <v>-1.3415486685594327</v>
      </c>
      <c r="Q126" s="1">
        <f>(Main_S[[#This Row],[ROE]]-VLOOKUP(Main_S[[#This Row],[Industry]], Mean_ROE_S, 2, FALSE))/(VLOOKUP(Main_S[[#This Row],[Industry]], Mean_ROE_S, 3, FALSE))</f>
        <v>-1.8864476415788329</v>
      </c>
      <c r="R126" s="1">
        <f>(Main_S[[#This Row],[ROA]]-VLOOKUP(Main_S[[#This Row],[Industry]], Mean_ROA_S, 2, FALSE))/(VLOOKUP(Main_S[[#This Row],[Industry]], Mean_ROA_S, 3, FALSE))</f>
        <v>-2.7073204468701291</v>
      </c>
      <c r="S126" s="1">
        <f>(Main_S[[#This Row],[A/E]]-VLOOKUP(Main_S[[#This Row],[Industry]], Mean_AE_S, 2, FALSE))/(VLOOKUP(Main_S[[#This Row],[Industry]], Mean_AE_S, 3, FALSE))</f>
        <v>-1.4013309979017801</v>
      </c>
      <c r="T126" s="1">
        <f>(Main_S[[#This Row],[P/E]]-VLOOKUP(Main_S[[#This Row],[Industry]], Mean_PE_S, 2, FALSE))/(VLOOKUP(Main_S[[#This Row],[Industry]], Mean_PE_S, 3, FALSE))</f>
        <v>-1.2209415750420789</v>
      </c>
      <c r="U12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2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2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2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12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2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27" spans="1:26" x14ac:dyDescent="0.25">
      <c r="A127" s="68" t="s">
        <v>157</v>
      </c>
      <c r="B127" s="68" t="s">
        <v>478</v>
      </c>
      <c r="C127" s="2">
        <v>307</v>
      </c>
      <c r="D127">
        <f>RTD("tos.rtd", , "LAST", Main_S[[#This Row],[Symbol]])</f>
        <v>34.17</v>
      </c>
      <c r="E127">
        <v>1.74</v>
      </c>
      <c r="F127">
        <v>8.25</v>
      </c>
      <c r="G127">
        <v>1.72</v>
      </c>
      <c r="H127" s="1">
        <f>IF(ISNUMBER(Main_S[[#This Row],[Free CF]]),IF(Main_S[[#This Row],[Free CF]]&lt;&gt;0,Main_S[[#This Row],[Current Price]]/Main_S[[#This Row],[Free CF]],""),"")</f>
        <v>19.637931034482758</v>
      </c>
      <c r="I127" s="1">
        <f>IF(ISNUMBER(Main_S[[#This Row],[BVPS]]),IF(Main_S[[#This Row],[BVPS]]&lt;&gt;0,Main_S[[#This Row],[Current Price]]/Main_S[[#This Row],[BVPS]],""),"")</f>
        <v>4.1418181818181816</v>
      </c>
      <c r="J127">
        <v>21.15</v>
      </c>
      <c r="K127">
        <v>12.73</v>
      </c>
      <c r="L127">
        <v>1.23</v>
      </c>
      <c r="M127" s="1">
        <f>IF(ISNUMBER(Main_S[[#This Row],[EPS]]),IF(Main_S[[#This Row],[EPS]]&lt;&gt;0,Main_S[[#This Row],[Current Price]]/Main_S[[#This Row],[EPS]],""),"")</f>
        <v>19.866279069767444</v>
      </c>
      <c r="N12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27" s="1">
        <f>(Main_S[[#This Row],[P/FCF]]-VLOOKUP(Main_S[[#This Row],[Industry]], Mean_PFCF_S, 2, FALSE))/(VLOOKUP(Main_S[[#This Row],[Industry]], Mean_PFCF_S, 3, FALSE))</f>
        <v>0.59430358269189321</v>
      </c>
      <c r="P127" s="1">
        <f>(Main_S[[#This Row],[P/B]]-VLOOKUP(Main_S[[#This Row],[Industry]], Mean_PB_S, 2, FALSE))/(VLOOKUP(Main_S[[#This Row],[Industry]], Mean_PB_S, 3, FALSE))</f>
        <v>2.3390000093808996</v>
      </c>
      <c r="Q127" s="1">
        <f>(Main_S[[#This Row],[ROE]]-VLOOKUP(Main_S[[#This Row],[Industry]], Mean_ROE_S, 2, FALSE))/(VLOOKUP(Main_S[[#This Row],[Industry]], Mean_ROE_S, 3, FALSE))</f>
        <v>1.4992531375793592</v>
      </c>
      <c r="R127" s="1">
        <f>(Main_S[[#This Row],[ROA]]-VLOOKUP(Main_S[[#This Row],[Industry]], Mean_ROA_S, 2, FALSE))/(VLOOKUP(Main_S[[#This Row],[Industry]], Mean_ROA_S, 3, FALSE))</f>
        <v>3.0171838679720122</v>
      </c>
      <c r="S127" s="1">
        <f>(Main_S[[#This Row],[A/E]]-VLOOKUP(Main_S[[#This Row],[Industry]], Mean_AE_S, 2, FALSE))/(VLOOKUP(Main_S[[#This Row],[Industry]], Mean_AE_S, 3, FALSE))</f>
        <v>-1.1968870888979279</v>
      </c>
      <c r="T127" s="1">
        <f>(Main_S[[#This Row],[P/E]]-VLOOKUP(Main_S[[#This Row],[Industry]], Mean_PE_S, 2, FALSE))/(VLOOKUP(Main_S[[#This Row],[Industry]], Mean_PE_S, 3, FALSE))</f>
        <v>0.36131994072171592</v>
      </c>
      <c r="U12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2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2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2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12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2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28" spans="1:26" x14ac:dyDescent="0.25">
      <c r="A128" s="68" t="s">
        <v>157</v>
      </c>
      <c r="B128" s="68" t="s">
        <v>479</v>
      </c>
      <c r="C128" s="2">
        <v>277</v>
      </c>
      <c r="D128">
        <f>RTD("tos.rtd", , "LAST", Main_S[[#This Row],[Symbol]])</f>
        <v>19.989999999999998</v>
      </c>
      <c r="E128">
        <v>-0.12</v>
      </c>
      <c r="F128">
        <v>24.4</v>
      </c>
      <c r="G128">
        <v>3.19</v>
      </c>
      <c r="H128" s="1">
        <f>IF(ISNUMBER(Main_S[[#This Row],[Free CF]]),IF(Main_S[[#This Row],[Free CF]]&lt;&gt;0,Main_S[[#This Row],[Current Price]]/Main_S[[#This Row],[Free CF]],""),"")</f>
        <v>-166.58333333333331</v>
      </c>
      <c r="I128" s="1">
        <f>IF(ISNUMBER(Main_S[[#This Row],[BVPS]]),IF(Main_S[[#This Row],[BVPS]]&lt;&gt;0,Main_S[[#This Row],[Current Price]]/Main_S[[#This Row],[BVPS]],""),"")</f>
        <v>0.81926229508196724</v>
      </c>
      <c r="J128">
        <v>12.6</v>
      </c>
      <c r="K128">
        <v>4.3499999999999996</v>
      </c>
      <c r="L128">
        <v>4.13</v>
      </c>
      <c r="M128" s="1">
        <f>IF(ISNUMBER(Main_S[[#This Row],[EPS]]),IF(Main_S[[#This Row],[EPS]]&lt;&gt;0,Main_S[[#This Row],[Current Price]]/Main_S[[#This Row],[EPS]],""),"")</f>
        <v>6.2664576802507836</v>
      </c>
      <c r="N12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28" s="1">
        <f>(Main_S[[#This Row],[P/FCF]]-VLOOKUP(Main_S[[#This Row],[Industry]], Mean_PFCF_S, 2, FALSE))/(VLOOKUP(Main_S[[#This Row],[Industry]], Mean_PFCF_S, 3, FALSE))</f>
        <v>-18.262203674157149</v>
      </c>
      <c r="P128" s="1">
        <f>(Main_S[[#This Row],[P/B]]-VLOOKUP(Main_S[[#This Row],[Industry]], Mean_PB_S, 2, FALSE))/(VLOOKUP(Main_S[[#This Row],[Industry]], Mean_PB_S, 3, FALSE))</f>
        <v>-0.92871264140050835</v>
      </c>
      <c r="Q128" s="1">
        <f>(Main_S[[#This Row],[ROE]]-VLOOKUP(Main_S[[#This Row],[Industry]], Mean_ROE_S, 2, FALSE))/(VLOOKUP(Main_S[[#This Row],[Industry]], Mean_ROE_S, 3, FALSE))</f>
        <v>0.57998538077394346</v>
      </c>
      <c r="R128" s="1">
        <f>(Main_S[[#This Row],[ROA]]-VLOOKUP(Main_S[[#This Row],[Industry]], Mean_ROA_S, 2, FALSE))/(VLOOKUP(Main_S[[#This Row],[Industry]], Mean_ROA_S, 3, FALSE))</f>
        <v>0.37704373817690229</v>
      </c>
      <c r="S128" s="1">
        <f>(Main_S[[#This Row],[A/E]]-VLOOKUP(Main_S[[#This Row],[Industry]], Mean_AE_S, 2, FALSE))/(VLOOKUP(Main_S[[#This Row],[Industry]], Mean_AE_S, 3, FALSE))</f>
        <v>2.0969314450530252</v>
      </c>
      <c r="T128" s="1">
        <f>(Main_S[[#This Row],[P/E]]-VLOOKUP(Main_S[[#This Row],[Industry]], Mean_PE_S, 2, FALSE))/(VLOOKUP(Main_S[[#This Row],[Industry]], Mean_PE_S, 3, FALSE))</f>
        <v>-0.55514307069442204</v>
      </c>
      <c r="U12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2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2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2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2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2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29" spans="1:26" x14ac:dyDescent="0.25">
      <c r="A129" s="68" t="s">
        <v>157</v>
      </c>
      <c r="B129" s="68" t="s">
        <v>480</v>
      </c>
      <c r="C129" s="2">
        <v>919</v>
      </c>
      <c r="D129">
        <f>RTD("tos.rtd", , "LAST", Main_S[[#This Row],[Symbol]])</f>
        <v>41.36</v>
      </c>
      <c r="E129">
        <v>2.71</v>
      </c>
      <c r="F129">
        <v>27.63</v>
      </c>
      <c r="G129">
        <v>0.6</v>
      </c>
      <c r="H129" s="1">
        <f>IF(ISNUMBER(Main_S[[#This Row],[Free CF]]),IF(Main_S[[#This Row],[Free CF]]&lt;&gt;0,Main_S[[#This Row],[Current Price]]/Main_S[[#This Row],[Free CF]],""),"")</f>
        <v>15.261992619926199</v>
      </c>
      <c r="I129" s="1">
        <f>IF(ISNUMBER(Main_S[[#This Row],[BVPS]]),IF(Main_S[[#This Row],[BVPS]]&lt;&gt;0,Main_S[[#This Row],[Current Price]]/Main_S[[#This Row],[BVPS]],""),"")</f>
        <v>1.4969236337314513</v>
      </c>
      <c r="J129">
        <v>2.2200000000000002</v>
      </c>
      <c r="K129">
        <v>1.92</v>
      </c>
      <c r="L129">
        <v>1.1200000000000001</v>
      </c>
      <c r="M129" s="1">
        <f>IF(ISNUMBER(Main_S[[#This Row],[EPS]]),IF(Main_S[[#This Row],[EPS]]&lt;&gt;0,Main_S[[#This Row],[Current Price]]/Main_S[[#This Row],[EPS]],""),"")</f>
        <v>68.933333333333337</v>
      </c>
      <c r="N12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29" s="1">
        <f>(Main_S[[#This Row],[P/FCF]]-VLOOKUP(Main_S[[#This Row],[Industry]], Mean_PFCF_S, 2, FALSE))/(VLOOKUP(Main_S[[#This Row],[Industry]], Mean_PFCF_S, 3, FALSE))</f>
        <v>0.15120212083826509</v>
      </c>
      <c r="P129" s="1">
        <f>(Main_S[[#This Row],[P/B]]-VLOOKUP(Main_S[[#This Row],[Industry]], Mean_PB_S, 2, FALSE))/(VLOOKUP(Main_S[[#This Row],[Industry]], Mean_PB_S, 3, FALSE))</f>
        <v>-0.26223701097082225</v>
      </c>
      <c r="Q129" s="1">
        <f>(Main_S[[#This Row],[ROE]]-VLOOKUP(Main_S[[#This Row],[Industry]], Mean_ROE_S, 2, FALSE))/(VLOOKUP(Main_S[[#This Row],[Industry]], Mean_ROE_S, 3, FALSE))</f>
        <v>-0.53603793099684194</v>
      </c>
      <c r="R129" s="1">
        <f>(Main_S[[#This Row],[ROA]]-VLOOKUP(Main_S[[#This Row],[Industry]], Mean_ROA_S, 2, FALSE))/(VLOOKUP(Main_S[[#This Row],[Industry]], Mean_ROA_S, 3, FALSE))</f>
        <v>-0.38853388895938828</v>
      </c>
      <c r="S129" s="1">
        <f>(Main_S[[#This Row],[A/E]]-VLOOKUP(Main_S[[#This Row],[Industry]], Mean_AE_S, 2, FALSE))/(VLOOKUP(Main_S[[#This Row],[Industry]], Mean_AE_S, 3, FALSE))</f>
        <v>-1.3218250332891708</v>
      </c>
      <c r="T129" s="1">
        <f>(Main_S[[#This Row],[P/E]]-VLOOKUP(Main_S[[#This Row],[Industry]], Mean_PE_S, 2, FALSE))/(VLOOKUP(Main_S[[#This Row],[Industry]], Mean_PE_S, 3, FALSE))</f>
        <v>3.6678442709875578</v>
      </c>
      <c r="U12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2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2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2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2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2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30" spans="1:26" x14ac:dyDescent="0.25">
      <c r="A130" s="68" t="s">
        <v>157</v>
      </c>
      <c r="B130" s="68" t="s">
        <v>574</v>
      </c>
      <c r="C130" s="2">
        <v>811</v>
      </c>
      <c r="D130">
        <f>RTD("tos.rtd", , "LAST", Main_S[[#This Row],[Symbol]])</f>
        <v>11.01</v>
      </c>
      <c r="E130">
        <v>-7.0000000000000007E-2</v>
      </c>
      <c r="F130">
        <v>11.06</v>
      </c>
      <c r="G130">
        <v>-1.7</v>
      </c>
      <c r="H130" s="1">
        <f>IF(ISNUMBER(Main_S[[#This Row],[Free CF]]),IF(Main_S[[#This Row],[Free CF]]&lt;&gt;0,Main_S[[#This Row],[Current Price]]/Main_S[[#This Row],[Free CF]],""),"")</f>
        <v>-157.28571428571428</v>
      </c>
      <c r="I130" s="1">
        <f>IF(ISNUMBER(Main_S[[#This Row],[BVPS]]),IF(Main_S[[#This Row],[BVPS]]&lt;&gt;0,Main_S[[#This Row],[Current Price]]/Main_S[[#This Row],[BVPS]],""),"")</f>
        <v>0.99547920433996373</v>
      </c>
      <c r="J130">
        <v>-14.34</v>
      </c>
      <c r="K130">
        <v>-3.75</v>
      </c>
      <c r="L130">
        <v>1.3</v>
      </c>
      <c r="M130" s="1">
        <f>IF(ISNUMBER(Main_S[[#This Row],[EPS]]),IF(Main_S[[#This Row],[EPS]]&lt;&gt;0,Main_S[[#This Row],[Current Price]]/Main_S[[#This Row],[EPS]],""),"")</f>
        <v>-6.4764705882352942</v>
      </c>
      <c r="N13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30" s="1">
        <f>(Main_S[[#This Row],[P/FCF]]-VLOOKUP(Main_S[[#This Row],[Industry]], Mean_PFCF_S, 2, FALSE))/(VLOOKUP(Main_S[[#This Row],[Industry]], Mean_PFCF_S, 3, FALSE))</f>
        <v>-17.320739649422784</v>
      </c>
      <c r="P130" s="1">
        <f>(Main_S[[#This Row],[P/B]]-VLOOKUP(Main_S[[#This Row],[Industry]], Mean_PB_S, 2, FALSE))/(VLOOKUP(Main_S[[#This Row],[Industry]], Mean_PB_S, 3, FALSE))</f>
        <v>-0.75540442829785515</v>
      </c>
      <c r="Q130" s="1">
        <f>(Main_S[[#This Row],[ROE]]-VLOOKUP(Main_S[[#This Row],[Industry]], Mean_ROE_S, 2, FALSE))/(VLOOKUP(Main_S[[#This Row],[Industry]], Mean_ROE_S, 3, FALSE))</f>
        <v>-2.3165144283883841</v>
      </c>
      <c r="R130" s="1">
        <f>(Main_S[[#This Row],[ROA]]-VLOOKUP(Main_S[[#This Row],[Industry]], Mean_ROA_S, 2, FALSE))/(VLOOKUP(Main_S[[#This Row],[Industry]], Mean_ROA_S, 3, FALSE))</f>
        <v>-2.1748816856107331</v>
      </c>
      <c r="S130" s="1">
        <f>(Main_S[[#This Row],[A/E]]-VLOOKUP(Main_S[[#This Row],[Industry]], Mean_AE_S, 2, FALSE))/(VLOOKUP(Main_S[[#This Row],[Industry]], Mean_AE_S, 3, FALSE))</f>
        <v>-1.1173811242853187</v>
      </c>
      <c r="T130" s="1">
        <f>(Main_S[[#This Row],[P/E]]-VLOOKUP(Main_S[[#This Row],[Industry]], Mean_PE_S, 2, FALSE))/(VLOOKUP(Main_S[[#This Row],[Industry]], Mean_PE_S, 3, FALSE))</f>
        <v>-1.4138618788839783</v>
      </c>
      <c r="U13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3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3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3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3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3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31" spans="1:26" x14ac:dyDescent="0.25">
      <c r="A131" s="68" t="s">
        <v>157</v>
      </c>
      <c r="B131" s="68" t="s">
        <v>333</v>
      </c>
      <c r="C131" s="2">
        <v>1841</v>
      </c>
      <c r="D131">
        <f>RTD("tos.rtd", , "LAST", Main_S[[#This Row],[Symbol]])</f>
        <v>156.66</v>
      </c>
      <c r="E131">
        <v>3.24</v>
      </c>
      <c r="F131">
        <v>57.3</v>
      </c>
      <c r="G131">
        <v>5.05</v>
      </c>
      <c r="H131" s="1">
        <f>IF(ISNUMBER(Main_S[[#This Row],[Free CF]]),IF(Main_S[[#This Row],[Free CF]]&lt;&gt;0,Main_S[[#This Row],[Current Price]]/Main_S[[#This Row],[Free CF]],""),"")</f>
        <v>48.351851851851848</v>
      </c>
      <c r="I131" s="1">
        <f>IF(ISNUMBER(Main_S[[#This Row],[BVPS]]),IF(Main_S[[#This Row],[BVPS]]&lt;&gt;0,Main_S[[#This Row],[Current Price]]/Main_S[[#This Row],[BVPS]],""),"")</f>
        <v>2.7340314136125654</v>
      </c>
      <c r="J131">
        <v>9.2899999999999991</v>
      </c>
      <c r="K131">
        <v>5.47</v>
      </c>
      <c r="L131">
        <v>2.2599999999999998</v>
      </c>
      <c r="M131" s="1">
        <f>IF(ISNUMBER(Main_S[[#This Row],[EPS]]),IF(Main_S[[#This Row],[EPS]]&lt;&gt;0,Main_S[[#This Row],[Current Price]]/Main_S[[#This Row],[EPS]],""),"")</f>
        <v>31.021782178217823</v>
      </c>
      <c r="N13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31" s="1">
        <f>(Main_S[[#This Row],[P/FCF]]-VLOOKUP(Main_S[[#This Row],[Industry]], Mean_PFCF_S, 2, FALSE))/(VLOOKUP(Main_S[[#This Row],[Industry]], Mean_PFCF_S, 3, FALSE))</f>
        <v>3.5018354271533938</v>
      </c>
      <c r="P131" s="1">
        <f>(Main_S[[#This Row],[P/B]]-VLOOKUP(Main_S[[#This Row],[Industry]], Mean_PB_S, 2, FALSE))/(VLOOKUP(Main_S[[#This Row],[Industry]], Mean_PB_S, 3, FALSE))</f>
        <v>0.95445064771853261</v>
      </c>
      <c r="Q131" s="1">
        <f>(Main_S[[#This Row],[ROE]]-VLOOKUP(Main_S[[#This Row],[Industry]], Mean_ROE_S, 2, FALSE))/(VLOOKUP(Main_S[[#This Row],[Industry]], Mean_ROE_S, 3, FALSE))</f>
        <v>0.22410511468903976</v>
      </c>
      <c r="R131" s="1">
        <f>(Main_S[[#This Row],[ROA]]-VLOOKUP(Main_S[[#This Row],[Industry]], Mean_ROA_S, 2, FALSE))/(VLOOKUP(Main_S[[#This Row],[Industry]], Mean_ROA_S, 3, FALSE))</f>
        <v>0.72990256220679761</v>
      </c>
      <c r="S131" s="1">
        <f>(Main_S[[#This Row],[A/E]]-VLOOKUP(Main_S[[#This Row],[Industry]], Mean_AE_S, 2, FALSE))/(VLOOKUP(Main_S[[#This Row],[Industry]], Mean_AE_S, 3, FALSE))</f>
        <v>-2.7013609598106836E-2</v>
      </c>
      <c r="T131" s="1">
        <f>(Main_S[[#This Row],[P/E]]-VLOOKUP(Main_S[[#This Row],[Industry]], Mean_PE_S, 2, FALSE))/(VLOOKUP(Main_S[[#This Row],[Industry]], Mean_PE_S, 3, FALSE))</f>
        <v>1.1130655467716104</v>
      </c>
      <c r="U13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3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3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3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3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3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32" spans="1:26" x14ac:dyDescent="0.25">
      <c r="A132" s="68" t="s">
        <v>157</v>
      </c>
      <c r="B132" s="68" t="s">
        <v>481</v>
      </c>
      <c r="C132" s="2">
        <v>1320</v>
      </c>
      <c r="D132">
        <f>RTD("tos.rtd", , "LAST", Main_S[[#This Row],[Symbol]])</f>
        <v>76.959999999999994</v>
      </c>
      <c r="E132">
        <v>3.25</v>
      </c>
      <c r="F132">
        <v>33.380000000000003</v>
      </c>
      <c r="G132">
        <v>3.58</v>
      </c>
      <c r="H132" s="1">
        <f>IF(ISNUMBER(Main_S[[#This Row],[Free CF]]),IF(Main_S[[#This Row],[Free CF]]&lt;&gt;0,Main_S[[#This Row],[Current Price]]/Main_S[[#This Row],[Free CF]],""),"")</f>
        <v>23.68</v>
      </c>
      <c r="I132" s="1">
        <f>IF(ISNUMBER(Main_S[[#This Row],[BVPS]]),IF(Main_S[[#This Row],[BVPS]]&lt;&gt;0,Main_S[[#This Row],[Current Price]]/Main_S[[#This Row],[BVPS]],""),"")</f>
        <v>2.3055721989215097</v>
      </c>
      <c r="J132">
        <v>11.01</v>
      </c>
      <c r="K132">
        <v>5.69</v>
      </c>
      <c r="L132">
        <v>1.89</v>
      </c>
      <c r="M132" s="1">
        <f>IF(ISNUMBER(Main_S[[#This Row],[EPS]]),IF(Main_S[[#This Row],[EPS]]&lt;&gt;0,Main_S[[#This Row],[Current Price]]/Main_S[[#This Row],[EPS]],""),"")</f>
        <v>21.497206703910614</v>
      </c>
      <c r="N13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32" s="1">
        <f>(Main_S[[#This Row],[P/FCF]]-VLOOKUP(Main_S[[#This Row],[Industry]], Mean_PFCF_S, 2, FALSE))/(VLOOKUP(Main_S[[#This Row],[Industry]], Mean_PFCF_S, 3, FALSE))</f>
        <v>1.0035978866464359</v>
      </c>
      <c r="P132" s="1">
        <f>(Main_S[[#This Row],[P/B]]-VLOOKUP(Main_S[[#This Row],[Industry]], Mean_PB_S, 2, FALSE))/(VLOOKUP(Main_S[[#This Row],[Industry]], Mean_PB_S, 3, FALSE))</f>
        <v>0.53306372634904831</v>
      </c>
      <c r="Q132" s="1">
        <f>(Main_S[[#This Row],[ROE]]-VLOOKUP(Main_S[[#This Row],[Industry]], Mean_ROE_S, 2, FALSE))/(VLOOKUP(Main_S[[#This Row],[Industry]], Mean_ROE_S, 3, FALSE))</f>
        <v>0.40903383301714685</v>
      </c>
      <c r="R132" s="1">
        <f>(Main_S[[#This Row],[ROA]]-VLOOKUP(Main_S[[#This Row],[Industry]], Mean_ROA_S, 2, FALSE))/(VLOOKUP(Main_S[[#This Row],[Industry]], Mean_ROA_S, 3, FALSE))</f>
        <v>0.79921411692695588</v>
      </c>
      <c r="S132" s="1">
        <f>(Main_S[[#This Row],[A/E]]-VLOOKUP(Main_S[[#This Row],[Industry]], Mean_AE_S, 2, FALSE))/(VLOOKUP(Main_S[[#This Row],[Industry]], Mean_AE_S, 3, FALSE))</f>
        <v>-0.44725942255046969</v>
      </c>
      <c r="T132" s="1">
        <f>(Main_S[[#This Row],[P/E]]-VLOOKUP(Main_S[[#This Row],[Industry]], Mean_PE_S, 2, FALSE))/(VLOOKUP(Main_S[[#This Row],[Industry]], Mean_PE_S, 3, FALSE))</f>
        <v>0.47122468198109857</v>
      </c>
      <c r="U13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3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3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3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3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3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33" spans="1:26" x14ac:dyDescent="0.25">
      <c r="A133" s="68" t="s">
        <v>157</v>
      </c>
      <c r="B133" s="68" t="s">
        <v>575</v>
      </c>
      <c r="C133" s="2">
        <v>273</v>
      </c>
      <c r="D133">
        <f>RTD("tos.rtd", , "LAST", Main_S[[#This Row],[Symbol]])</f>
        <v>4.93</v>
      </c>
      <c r="E133">
        <v>0.05</v>
      </c>
      <c r="F133">
        <v>0.49</v>
      </c>
      <c r="G133">
        <v>0.06</v>
      </c>
      <c r="H133" s="1">
        <f>IF(ISNUMBER(Main_S[[#This Row],[Free CF]]),IF(Main_S[[#This Row],[Free CF]]&lt;&gt;0,Main_S[[#This Row],[Current Price]]/Main_S[[#This Row],[Free CF]],""),"")</f>
        <v>98.6</v>
      </c>
      <c r="I133" s="1">
        <f>IF(ISNUMBER(Main_S[[#This Row],[BVPS]]),IF(Main_S[[#This Row],[BVPS]]&lt;&gt;0,Main_S[[#This Row],[Current Price]]/Main_S[[#This Row],[BVPS]],""),"")</f>
        <v>10.061224489795919</v>
      </c>
      <c r="J133">
        <v>14.15</v>
      </c>
      <c r="K133">
        <v>2.13</v>
      </c>
      <c r="L133">
        <v>1.86</v>
      </c>
      <c r="M133" s="1">
        <f>IF(ISNUMBER(Main_S[[#This Row],[EPS]]),IF(Main_S[[#This Row],[EPS]]&lt;&gt;0,Main_S[[#This Row],[Current Price]]/Main_S[[#This Row],[EPS]],""),"")</f>
        <v>82.166666666666671</v>
      </c>
      <c r="N13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33" s="1">
        <f>(Main_S[[#This Row],[P/FCF]]-VLOOKUP(Main_S[[#This Row],[Industry]], Mean_PFCF_S, 2, FALSE))/(VLOOKUP(Main_S[[#This Row],[Industry]], Mean_PFCF_S, 3, FALSE))</f>
        <v>8.5898932996813766</v>
      </c>
      <c r="P133" s="1">
        <f>(Main_S[[#This Row],[P/B]]-VLOOKUP(Main_S[[#This Row],[Industry]], Mean_PB_S, 2, FALSE))/(VLOOKUP(Main_S[[#This Row],[Industry]], Mean_PB_S, 3, FALSE))</f>
        <v>8.1606985863444592</v>
      </c>
      <c r="Q133" s="1">
        <f>(Main_S[[#This Row],[ROE]]-VLOOKUP(Main_S[[#This Row],[Industry]], Mean_ROE_S, 2, FALSE))/(VLOOKUP(Main_S[[#This Row],[Industry]], Mean_ROE_S, 3, FALSE))</f>
        <v>0.74663626066264466</v>
      </c>
      <c r="R133" s="1">
        <f>(Main_S[[#This Row],[ROA]]-VLOOKUP(Main_S[[#This Row],[Industry]], Mean_ROA_S, 2, FALSE))/(VLOOKUP(Main_S[[#This Row],[Industry]], Mean_ROA_S, 3, FALSE))</f>
        <v>-0.32237285945378297</v>
      </c>
      <c r="S133" s="1">
        <f>(Main_S[[#This Row],[A/E]]-VLOOKUP(Main_S[[#This Row],[Industry]], Mean_AE_S, 2, FALSE))/(VLOOKUP(Main_S[[#This Row],[Industry]], Mean_AE_S, 3, FALSE))</f>
        <v>-0.48133340738444486</v>
      </c>
      <c r="T133" s="1">
        <f>(Main_S[[#This Row],[P/E]]-VLOOKUP(Main_S[[#This Row],[Industry]], Mean_PE_S, 2, FALSE))/(VLOOKUP(Main_S[[#This Row],[Industry]], Mean_PE_S, 3, FALSE))</f>
        <v>4.5596104324967754</v>
      </c>
      <c r="U13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3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13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3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3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3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34" spans="1:26" x14ac:dyDescent="0.25">
      <c r="A134" s="68" t="s">
        <v>249</v>
      </c>
      <c r="B134" s="68" t="s">
        <v>586</v>
      </c>
      <c r="C134" s="2">
        <v>1181</v>
      </c>
      <c r="D134">
        <f>RTD("tos.rtd", , "LAST", Main_S[[#This Row],[Symbol]])</f>
        <v>19.95</v>
      </c>
      <c r="E134">
        <v>-17.13</v>
      </c>
      <c r="F134">
        <v>23</v>
      </c>
      <c r="G134">
        <v>0.12</v>
      </c>
      <c r="H134" s="1">
        <f>IF(ISNUMBER(Main_S[[#This Row],[Free CF]]),IF(Main_S[[#This Row],[Free CF]]&lt;&gt;0,Main_S[[#This Row],[Current Price]]/Main_S[[#This Row],[Free CF]],""),"")</f>
        <v>-1.1646234676007006</v>
      </c>
      <c r="I134" s="1">
        <f>IF(ISNUMBER(Main_S[[#This Row],[BVPS]]),IF(Main_S[[#This Row],[BVPS]]&lt;&gt;0,Main_S[[#This Row],[Current Price]]/Main_S[[#This Row],[BVPS]],""),"")</f>
        <v>0.86739130434782608</v>
      </c>
      <c r="J134">
        <v>0.67</v>
      </c>
      <c r="K134">
        <v>3.29</v>
      </c>
      <c r="L134">
        <v>3.06</v>
      </c>
      <c r="M134" s="1">
        <f>IF(ISNUMBER(Main_S[[#This Row],[EPS]]),IF(Main_S[[#This Row],[EPS]]&lt;&gt;0,Main_S[[#This Row],[Current Price]]/Main_S[[#This Row],[EPS]],""),"")</f>
        <v>166.25</v>
      </c>
      <c r="N13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34" s="1">
        <f>(Main_S[[#This Row],[P/FCF]]-VLOOKUP(Main_S[[#This Row],[Industry]], Mean_PFCF_S, 2, FALSE))/(VLOOKUP(Main_S[[#This Row],[Industry]], Mean_PFCF_S, 3, FALSE))</f>
        <v>-0.18043245680553138</v>
      </c>
      <c r="P134" s="1">
        <f>(Main_S[[#This Row],[P/B]]-VLOOKUP(Main_S[[#This Row],[Industry]], Mean_PB_S, 2, FALSE))/(VLOOKUP(Main_S[[#This Row],[Industry]], Mean_PB_S, 3, FALSE))</f>
        <v>1.8835841946341738</v>
      </c>
      <c r="Q134" s="1">
        <f>(Main_S[[#This Row],[ROE]]-VLOOKUP(Main_S[[#This Row],[Industry]], Mean_ROE_S, 2, FALSE))/(VLOOKUP(Main_S[[#This Row],[Industry]], Mean_ROE_S, 3, FALSE))</f>
        <v>-4.0506694410521566</v>
      </c>
      <c r="R134" s="1">
        <f>(Main_S[[#This Row],[ROA]]-VLOOKUP(Main_S[[#This Row],[Industry]], Mean_ROA_S, 2, FALSE))/(VLOOKUP(Main_S[[#This Row],[Industry]], Mean_ROA_S, 3, FALSE))</f>
        <v>-1.1906015639413192</v>
      </c>
      <c r="S134" s="1">
        <f>(Main_S[[#This Row],[A/E]]-VLOOKUP(Main_S[[#This Row],[Industry]], Mean_AE_S, 2, FALSE))/(VLOOKUP(Main_S[[#This Row],[Industry]], Mean_AE_S, 3, FALSE))</f>
        <v>1.9196670200956603</v>
      </c>
      <c r="T134" s="1">
        <f>(Main_S[[#This Row],[P/E]]-VLOOKUP(Main_S[[#This Row],[Industry]], Mean_PE_S, 2, FALSE))/(VLOOKUP(Main_S[[#This Row],[Industry]], Mean_PE_S, 3, FALSE))</f>
        <v>61.095047480861638</v>
      </c>
      <c r="U13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3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3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13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3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3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35" spans="1:26" x14ac:dyDescent="0.25">
      <c r="A135" s="68" t="s">
        <v>249</v>
      </c>
      <c r="B135" s="68" t="s">
        <v>540</v>
      </c>
      <c r="C135" s="2">
        <v>846</v>
      </c>
      <c r="D135">
        <f>RTD("tos.rtd", , "LAST", Main_S[[#This Row],[Symbol]])</f>
        <v>8.67</v>
      </c>
      <c r="E135">
        <v>2.16</v>
      </c>
      <c r="F135">
        <v>20.95</v>
      </c>
      <c r="G135">
        <v>2.44</v>
      </c>
      <c r="H135" s="1">
        <f>IF(ISNUMBER(Main_S[[#This Row],[Free CF]]),IF(Main_S[[#This Row],[Free CF]]&lt;&gt;0,Main_S[[#This Row],[Current Price]]/Main_S[[#This Row],[Free CF]],""),"")</f>
        <v>4.0138888888888884</v>
      </c>
      <c r="I135" s="1">
        <f>IF(ISNUMBER(Main_S[[#This Row],[BVPS]]),IF(Main_S[[#This Row],[BVPS]]&lt;&gt;0,Main_S[[#This Row],[Current Price]]/Main_S[[#This Row],[BVPS]],""),"")</f>
        <v>0.41384248210023866</v>
      </c>
      <c r="J135">
        <v>12.63</v>
      </c>
      <c r="K135">
        <v>5.56</v>
      </c>
      <c r="L135">
        <v>2.0499999999999998</v>
      </c>
      <c r="M135" s="1">
        <f>IF(ISNUMBER(Main_S[[#This Row],[EPS]]),IF(Main_S[[#This Row],[EPS]]&lt;&gt;0,Main_S[[#This Row],[Current Price]]/Main_S[[#This Row],[EPS]],""),"")</f>
        <v>3.5532786885245904</v>
      </c>
      <c r="N13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35" s="1">
        <f>(Main_S[[#This Row],[P/FCF]]-VLOOKUP(Main_S[[#This Row],[Industry]], Mean_PFCF_S, 2, FALSE))/(VLOOKUP(Main_S[[#This Row],[Industry]], Mean_PFCF_S, 3, FALSE))</f>
        <v>0.56190174164398665</v>
      </c>
      <c r="P135" s="1">
        <f>(Main_S[[#This Row],[P/B]]-VLOOKUP(Main_S[[#This Row],[Industry]], Mean_PB_S, 2, FALSE))/(VLOOKUP(Main_S[[#This Row],[Industry]], Mean_PB_S, 3, FALSE))</f>
        <v>-1.1152487104179394</v>
      </c>
      <c r="Q135" s="1">
        <f>(Main_S[[#This Row],[ROE]]-VLOOKUP(Main_S[[#This Row],[Industry]], Mean_ROE_S, 2, FALSE))/(VLOOKUP(Main_S[[#This Row],[Industry]], Mean_ROE_S, 3, FALSE))</f>
        <v>5.9356680107526087E-3</v>
      </c>
      <c r="R135" s="1">
        <f>(Main_S[[#This Row],[ROA]]-VLOOKUP(Main_S[[#This Row],[Industry]], Mean_ROA_S, 2, FALSE))/(VLOOKUP(Main_S[[#This Row],[Industry]], Mean_ROA_S, 3, FALSE))</f>
        <v>-7.8393518613420685E-2</v>
      </c>
      <c r="S135" s="1">
        <f>(Main_S[[#This Row],[A/E]]-VLOOKUP(Main_S[[#This Row],[Industry]], Mean_AE_S, 2, FALSE))/(VLOOKUP(Main_S[[#This Row],[Industry]], Mean_AE_S, 3, FALSE))</f>
        <v>0.20081623082560995</v>
      </c>
      <c r="T135" s="1">
        <f>(Main_S[[#This Row],[P/E]]-VLOOKUP(Main_S[[#This Row],[Industry]], Mean_PE_S, 2, FALSE))/(VLOOKUP(Main_S[[#This Row],[Industry]], Mean_PE_S, 3, FALSE))</f>
        <v>-0.51090144568969509</v>
      </c>
      <c r="U13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3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3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3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3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3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36" spans="1:26" x14ac:dyDescent="0.25">
      <c r="A136" s="68" t="s">
        <v>249</v>
      </c>
      <c r="B136" s="68" t="s">
        <v>541</v>
      </c>
      <c r="C136" s="2">
        <v>1508</v>
      </c>
      <c r="D136">
        <f>RTD("tos.rtd", , "LAST", Main_S[[#This Row],[Symbol]])</f>
        <v>88.8</v>
      </c>
      <c r="E136">
        <v>-1.95</v>
      </c>
      <c r="F136">
        <v>180.37</v>
      </c>
      <c r="G136">
        <v>26.05</v>
      </c>
      <c r="H136" s="1">
        <f>IF(ISNUMBER(Main_S[[#This Row],[Free CF]]),IF(Main_S[[#This Row],[Free CF]]&lt;&gt;0,Main_S[[#This Row],[Current Price]]/Main_S[[#This Row],[Free CF]],""),"")</f>
        <v>-45.53846153846154</v>
      </c>
      <c r="I136" s="1">
        <f>IF(ISNUMBER(Main_S[[#This Row],[BVPS]]),IF(Main_S[[#This Row],[BVPS]]&lt;&gt;0,Main_S[[#This Row],[Current Price]]/Main_S[[#This Row],[BVPS]],""),"")</f>
        <v>0.49232133946886952</v>
      </c>
      <c r="J136">
        <v>15.68</v>
      </c>
      <c r="K136">
        <v>8.3000000000000007</v>
      </c>
      <c r="L136">
        <v>1.27</v>
      </c>
      <c r="M136" s="1">
        <f>IF(ISNUMBER(Main_S[[#This Row],[EPS]]),IF(Main_S[[#This Row],[EPS]]&lt;&gt;0,Main_S[[#This Row],[Current Price]]/Main_S[[#This Row],[EPS]],""),"")</f>
        <v>3.4088291746641071</v>
      </c>
      <c r="N13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36" s="1">
        <f>(Main_S[[#This Row],[P/FCF]]-VLOOKUP(Main_S[[#This Row],[Industry]], Mean_PFCF_S, 2, FALSE))/(VLOOKUP(Main_S[[#This Row],[Industry]], Mean_PFCF_S, 3, FALSE))</f>
        <v>-6.5413746056026252</v>
      </c>
      <c r="P136" s="1">
        <f>(Main_S[[#This Row],[P/B]]-VLOOKUP(Main_S[[#This Row],[Industry]], Mean_PB_S, 2, FALSE))/(VLOOKUP(Main_S[[#This Row],[Industry]], Mean_PB_S, 3, FALSE))</f>
        <v>-0.59635202656883124</v>
      </c>
      <c r="Q136" s="1">
        <f>(Main_S[[#This Row],[ROE]]-VLOOKUP(Main_S[[#This Row],[Industry]], Mean_ROE_S, 2, FALSE))/(VLOOKUP(Main_S[[#This Row],[Industry]], Mean_ROE_S, 3, FALSE))</f>
        <v>1.0404378070276312</v>
      </c>
      <c r="R136" s="1">
        <f>(Main_S[[#This Row],[ROA]]-VLOOKUP(Main_S[[#This Row],[Industry]], Mean_ROA_S, 2, FALSE))/(VLOOKUP(Main_S[[#This Row],[Industry]], Mean_ROA_S, 3, FALSE))</f>
        <v>1.2640954876414003</v>
      </c>
      <c r="S136" s="1">
        <f>(Main_S[[#This Row],[A/E]]-VLOOKUP(Main_S[[#This Row],[Industry]], Mean_AE_S, 2, FALSE))/(VLOOKUP(Main_S[[#This Row],[Industry]], Mean_AE_S, 3, FALSE))</f>
        <v>-1.1266130915809629</v>
      </c>
      <c r="T136" s="1">
        <f>(Main_S[[#This Row],[P/E]]-VLOOKUP(Main_S[[#This Row],[Industry]], Mean_PE_S, 2, FALSE))/(VLOOKUP(Main_S[[#This Row],[Industry]], Mean_PE_S, 3, FALSE))</f>
        <v>-0.56559799582064385</v>
      </c>
      <c r="U13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3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3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3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3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3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37" spans="1:26" x14ac:dyDescent="0.25">
      <c r="A137" s="68" t="s">
        <v>249</v>
      </c>
      <c r="B137" s="68" t="s">
        <v>542</v>
      </c>
      <c r="C137" s="2">
        <v>578</v>
      </c>
      <c r="D137">
        <f>RTD("tos.rtd", , "LAST", Main_S[[#This Row],[Symbol]])</f>
        <v>14.56</v>
      </c>
      <c r="E137">
        <v>1.63</v>
      </c>
      <c r="F137">
        <v>21.67</v>
      </c>
      <c r="G137">
        <v>1.75</v>
      </c>
      <c r="H137" s="1">
        <f>IF(ISNUMBER(Main_S[[#This Row],[Free CF]]),IF(Main_S[[#This Row],[Free CF]]&lt;&gt;0,Main_S[[#This Row],[Current Price]]/Main_S[[#This Row],[Free CF]],""),"")</f>
        <v>8.9325153374233146</v>
      </c>
      <c r="I137" s="1">
        <f>IF(ISNUMBER(Main_S[[#This Row],[BVPS]]),IF(Main_S[[#This Row],[BVPS]]&lt;&gt;0,Main_S[[#This Row],[Current Price]]/Main_S[[#This Row],[BVPS]],""),"")</f>
        <v>0.67189663128749422</v>
      </c>
      <c r="J137">
        <v>8.3000000000000007</v>
      </c>
      <c r="K137">
        <v>4.3899999999999997</v>
      </c>
      <c r="L137">
        <v>1.1399999999999999</v>
      </c>
      <c r="M137" s="1">
        <f>IF(ISNUMBER(Main_S[[#This Row],[EPS]]),IF(Main_S[[#This Row],[EPS]]&lt;&gt;0,Main_S[[#This Row],[Current Price]]/Main_S[[#This Row],[EPS]],""),"")</f>
        <v>8.32</v>
      </c>
      <c r="N13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37" s="1">
        <f>(Main_S[[#This Row],[P/FCF]]-VLOOKUP(Main_S[[#This Row],[Industry]], Mean_PFCF_S, 2, FALSE))/(VLOOKUP(Main_S[[#This Row],[Industry]], Mean_PFCF_S, 3, FALSE))</f>
        <v>1.2669815736095753</v>
      </c>
      <c r="P137" s="1">
        <f>(Main_S[[#This Row],[P/B]]-VLOOKUP(Main_S[[#This Row],[Industry]], Mean_PB_S, 2, FALSE))/(VLOOKUP(Main_S[[#This Row],[Industry]], Mean_PB_S, 3, FALSE))</f>
        <v>0.59098716962040954</v>
      </c>
      <c r="Q137" s="1">
        <f>(Main_S[[#This Row],[ROE]]-VLOOKUP(Main_S[[#This Row],[Industry]], Mean_ROE_S, 2, FALSE))/(VLOOKUP(Main_S[[#This Row],[Industry]], Mean_ROE_S, 3, FALSE))</f>
        <v>-1.4627181883640299</v>
      </c>
      <c r="R137" s="1">
        <f>(Main_S[[#This Row],[ROA]]-VLOOKUP(Main_S[[#This Row],[Industry]], Mean_ROA_S, 2, FALSE))/(VLOOKUP(Main_S[[#This Row],[Industry]], Mean_ROA_S, 3, FALSE))</f>
        <v>-0.65164612347405571</v>
      </c>
      <c r="S137" s="1">
        <f>(Main_S[[#This Row],[A/E]]-VLOOKUP(Main_S[[#This Row],[Industry]], Mean_AE_S, 2, FALSE))/(VLOOKUP(Main_S[[#This Row],[Industry]], Mean_AE_S, 3, FALSE))</f>
        <v>-1.3478513119820585</v>
      </c>
      <c r="T137" s="1">
        <f>(Main_S[[#This Row],[P/E]]-VLOOKUP(Main_S[[#This Row],[Industry]], Mean_PE_S, 2, FALSE))/(VLOOKUP(Main_S[[#This Row],[Industry]], Mean_PE_S, 3, FALSE))</f>
        <v>1.2940420546753943</v>
      </c>
      <c r="U13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3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3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3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3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3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38" spans="1:26" x14ac:dyDescent="0.25">
      <c r="A138" s="68" t="s">
        <v>249</v>
      </c>
      <c r="B138" s="68" t="s">
        <v>543</v>
      </c>
      <c r="C138" s="2">
        <v>767</v>
      </c>
      <c r="D138">
        <f>RTD("tos.rtd", , "LAST", Main_S[[#This Row],[Symbol]])</f>
        <v>24.4</v>
      </c>
      <c r="E138">
        <v>5.31</v>
      </c>
      <c r="F138">
        <v>41.29</v>
      </c>
      <c r="G138">
        <v>9.67</v>
      </c>
      <c r="H138" s="1">
        <f>IF(ISNUMBER(Main_S[[#This Row],[Free CF]]),IF(Main_S[[#This Row],[Free CF]]&lt;&gt;0,Main_S[[#This Row],[Current Price]]/Main_S[[#This Row],[Free CF]],""),"")</f>
        <v>4.5951035781544256</v>
      </c>
      <c r="I138" s="1">
        <f>IF(ISNUMBER(Main_S[[#This Row],[BVPS]]),IF(Main_S[[#This Row],[BVPS]]&lt;&gt;0,Main_S[[#This Row],[Current Price]]/Main_S[[#This Row],[BVPS]],""),"")</f>
        <v>0.59094211673528696</v>
      </c>
      <c r="J138">
        <v>26.71</v>
      </c>
      <c r="K138">
        <v>10.43</v>
      </c>
      <c r="L138">
        <v>1.62</v>
      </c>
      <c r="M138" s="1">
        <f>IF(ISNUMBER(Main_S[[#This Row],[EPS]]),IF(Main_S[[#This Row],[EPS]]&lt;&gt;0,Main_S[[#This Row],[Current Price]]/Main_S[[#This Row],[EPS]],""),"")</f>
        <v>2.5232678386763183</v>
      </c>
      <c r="N13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38" s="1">
        <f>(Main_S[[#This Row],[P/FCF]]-VLOOKUP(Main_S[[#This Row],[Industry]], Mean_PFCF_S, 2, FALSE))/(VLOOKUP(Main_S[[#This Row],[Industry]], Mean_PFCF_S, 3, FALSE))</f>
        <v>0.64521824468222466</v>
      </c>
      <c r="P138" s="1">
        <f>(Main_S[[#This Row],[P/B]]-VLOOKUP(Main_S[[#This Row],[Industry]], Mean_PB_S, 2, FALSE))/(VLOOKUP(Main_S[[#This Row],[Industry]], Mean_PB_S, 3, FALSE))</f>
        <v>5.5721614638647797E-2</v>
      </c>
      <c r="Q138" s="1">
        <f>(Main_S[[#This Row],[ROE]]-VLOOKUP(Main_S[[#This Row],[Industry]], Mean_ROE_S, 2, FALSE))/(VLOOKUP(Main_S[[#This Row],[Industry]], Mean_ROE_S, 3, FALSE))</f>
        <v>4.7816045589476897</v>
      </c>
      <c r="R138" s="1">
        <f>(Main_S[[#This Row],[ROA]]-VLOOKUP(Main_S[[#This Row],[Industry]], Mean_ROA_S, 2, FALSE))/(VLOOKUP(Main_S[[#This Row],[Industry]], Mean_ROA_S, 3, FALSE))</f>
        <v>2.3077092041825558</v>
      </c>
      <c r="S138" s="1">
        <f>(Main_S[[#This Row],[A/E]]-VLOOKUP(Main_S[[#This Row],[Industry]], Mean_AE_S, 2, FALSE))/(VLOOKUP(Main_S[[#This Row],[Industry]], Mean_AE_S, 3, FALSE))</f>
        <v>-0.53097172896262856</v>
      </c>
      <c r="T138" s="1">
        <f>(Main_S[[#This Row],[P/E]]-VLOOKUP(Main_S[[#This Row],[Industry]], Mean_PE_S, 2, FALSE))/(VLOOKUP(Main_S[[#This Row],[Industry]], Mean_PE_S, 3, FALSE))</f>
        <v>-0.90092034280111932</v>
      </c>
      <c r="U13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3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3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13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3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3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39" spans="1:26" x14ac:dyDescent="0.25">
      <c r="A139" s="68" t="s">
        <v>249</v>
      </c>
      <c r="B139" s="68" t="s">
        <v>587</v>
      </c>
      <c r="C139" s="2">
        <v>254</v>
      </c>
      <c r="D139">
        <f>RTD("tos.rtd", , "LAST", Main_S[[#This Row],[Symbol]])</f>
        <v>5.65</v>
      </c>
      <c r="E139">
        <v>-6.66</v>
      </c>
      <c r="F139">
        <v>3.65</v>
      </c>
      <c r="G139">
        <v>0.56999999999999995</v>
      </c>
      <c r="H139" s="1">
        <f>IF(ISNUMBER(Main_S[[#This Row],[Free CF]]),IF(Main_S[[#This Row],[Free CF]]&lt;&gt;0,Main_S[[#This Row],[Current Price]]/Main_S[[#This Row],[Free CF]],""),"")</f>
        <v>-0.84834834834834838</v>
      </c>
      <c r="I139" s="1">
        <f>IF(ISNUMBER(Main_S[[#This Row],[BVPS]]),IF(Main_S[[#This Row],[BVPS]]&lt;&gt;0,Main_S[[#This Row],[Current Price]]/Main_S[[#This Row],[BVPS]],""),"")</f>
        <v>1.5479452054794522</v>
      </c>
      <c r="J139">
        <v>16.829999999999998</v>
      </c>
      <c r="K139">
        <v>5.38</v>
      </c>
      <c r="L139">
        <v>5.56</v>
      </c>
      <c r="M139" s="1">
        <f>IF(ISNUMBER(Main_S[[#This Row],[EPS]]),IF(Main_S[[#This Row],[EPS]]&lt;&gt;0,Main_S[[#This Row],[Current Price]]/Main_S[[#This Row],[EPS]],""),"")</f>
        <v>9.912280701754387</v>
      </c>
      <c r="N13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39" s="1">
        <f>(Main_S[[#This Row],[P/FCF]]-VLOOKUP(Main_S[[#This Row],[Industry]], Mean_PFCF_S, 2, FALSE))/(VLOOKUP(Main_S[[#This Row],[Industry]], Mean_PFCF_S, 3, FALSE))</f>
        <v>-0.13509475729314194</v>
      </c>
      <c r="P139" s="1">
        <f>(Main_S[[#This Row],[P/B]]-VLOOKUP(Main_S[[#This Row],[Industry]], Mean_PB_S, 2, FALSE))/(VLOOKUP(Main_S[[#This Row],[Industry]], Mean_PB_S, 3, FALSE))</f>
        <v>6.383358711215358</v>
      </c>
      <c r="Q139" s="1">
        <f>(Main_S[[#This Row],[ROE]]-VLOOKUP(Main_S[[#This Row],[Industry]], Mean_ROE_S, 2, FALSE))/(VLOOKUP(Main_S[[#This Row],[Industry]], Mean_ROE_S, 3, FALSE))</f>
        <v>1.4304959905913721</v>
      </c>
      <c r="R139" s="1">
        <f>(Main_S[[#This Row],[ROA]]-VLOOKUP(Main_S[[#This Row],[Industry]], Mean_ROA_S, 2, FALSE))/(VLOOKUP(Main_S[[#This Row],[Industry]], Mean_ROA_S, 3, FALSE))</f>
        <v>-0.16658622705351825</v>
      </c>
      <c r="S139" s="1">
        <f>(Main_S[[#This Row],[A/E]]-VLOOKUP(Main_S[[#This Row],[Industry]], Mean_AE_S, 2, FALSE))/(VLOOKUP(Main_S[[#This Row],[Industry]], Mean_AE_S, 3, FALSE))</f>
        <v>6.1742481816551891</v>
      </c>
      <c r="T139" s="1">
        <f>(Main_S[[#This Row],[P/E]]-VLOOKUP(Main_S[[#This Row],[Industry]], Mean_PE_S, 2, FALSE))/(VLOOKUP(Main_S[[#This Row],[Industry]], Mean_PE_S, 3, FALSE))</f>
        <v>1.8969673183088125</v>
      </c>
      <c r="U13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3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13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3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3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13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40" spans="1:26" x14ac:dyDescent="0.25">
      <c r="A140" s="68" t="s">
        <v>249</v>
      </c>
      <c r="B140" s="68" t="s">
        <v>544</v>
      </c>
      <c r="C140" s="2">
        <v>1061</v>
      </c>
      <c r="D140">
        <f>RTD("tos.rtd", , "LAST", Main_S[[#This Row],[Symbol]])</f>
        <v>39.67</v>
      </c>
      <c r="E140">
        <v>-17.27</v>
      </c>
      <c r="F140">
        <v>102.47</v>
      </c>
      <c r="G140">
        <v>12.12</v>
      </c>
      <c r="H140" s="1">
        <f>IF(ISNUMBER(Main_S[[#This Row],[Free CF]]),IF(Main_S[[#This Row],[Free CF]]&lt;&gt;0,Main_S[[#This Row],[Current Price]]/Main_S[[#This Row],[Free CF]],""),"")</f>
        <v>-2.2970469021424438</v>
      </c>
      <c r="I140" s="1">
        <f>IF(ISNUMBER(Main_S[[#This Row],[BVPS]]),IF(Main_S[[#This Row],[BVPS]]&lt;&gt;0,Main_S[[#This Row],[Current Price]]/Main_S[[#This Row],[BVPS]],""),"")</f>
        <v>0.38713769883868454</v>
      </c>
      <c r="J140">
        <v>12.5</v>
      </c>
      <c r="K140">
        <v>5.07</v>
      </c>
      <c r="L140">
        <v>1.83</v>
      </c>
      <c r="M140" s="1">
        <f>IF(ISNUMBER(Main_S[[#This Row],[EPS]]),IF(Main_S[[#This Row],[EPS]]&lt;&gt;0,Main_S[[#This Row],[Current Price]]/Main_S[[#This Row],[EPS]],""),"")</f>
        <v>3.2731023102310233</v>
      </c>
      <c r="N14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40" s="1">
        <f>(Main_S[[#This Row],[P/FCF]]-VLOOKUP(Main_S[[#This Row],[Industry]], Mean_PFCF_S, 2, FALSE))/(VLOOKUP(Main_S[[#This Row],[Industry]], Mean_PFCF_S, 3, FALSE))</f>
        <v>-0.34276414295715929</v>
      </c>
      <c r="P140" s="1">
        <f>(Main_S[[#This Row],[P/B]]-VLOOKUP(Main_S[[#This Row],[Industry]], Mean_PB_S, 2, FALSE))/(VLOOKUP(Main_S[[#This Row],[Industry]], Mean_PB_S, 3, FALSE))</f>
        <v>-1.2918188586330237</v>
      </c>
      <c r="Q140" s="1">
        <f>(Main_S[[#This Row],[ROE]]-VLOOKUP(Main_S[[#This Row],[Industry]], Mean_ROE_S, 2, FALSE))/(VLOOKUP(Main_S[[#This Row],[Industry]], Mean_ROE_S, 3, FALSE))</f>
        <v>-3.8157865783409711E-2</v>
      </c>
      <c r="R140" s="1">
        <f>(Main_S[[#This Row],[ROA]]-VLOOKUP(Main_S[[#This Row],[Industry]], Mean_ROA_S, 2, FALSE))/(VLOOKUP(Main_S[[#This Row],[Industry]], Mean_ROA_S, 3, FALSE))</f>
        <v>-0.31847366936701965</v>
      </c>
      <c r="S140" s="1">
        <f>(Main_S[[#This Row],[A/E]]-VLOOKUP(Main_S[[#This Row],[Industry]], Mean_AE_S, 2, FALSE))/(VLOOKUP(Main_S[[#This Row],[Industry]], Mean_AE_S, 3, FALSE))</f>
        <v>-0.17358691139162818</v>
      </c>
      <c r="T140" s="1">
        <f>(Main_S[[#This Row],[P/E]]-VLOOKUP(Main_S[[#This Row],[Industry]], Mean_PE_S, 2, FALSE))/(VLOOKUP(Main_S[[#This Row],[Industry]], Mean_PE_S, 3, FALSE))</f>
        <v>-0.61699166995755317</v>
      </c>
      <c r="U14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4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4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4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4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4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41" spans="1:26" x14ac:dyDescent="0.25">
      <c r="A141" s="68" t="s">
        <v>249</v>
      </c>
      <c r="B141" s="68" t="s">
        <v>588</v>
      </c>
      <c r="C141" s="2">
        <v>266</v>
      </c>
      <c r="D141">
        <f>RTD("tos.rtd", , "LAST", Main_S[[#This Row],[Symbol]])</f>
        <v>4.32</v>
      </c>
      <c r="E141">
        <v>-0.08</v>
      </c>
      <c r="F141">
        <v>6.59</v>
      </c>
      <c r="G141">
        <v>0.63</v>
      </c>
      <c r="H141" s="1">
        <f>IF(ISNUMBER(Main_S[[#This Row],[Free CF]]),IF(Main_S[[#This Row],[Free CF]]&lt;&gt;0,Main_S[[#This Row],[Current Price]]/Main_S[[#This Row],[Free CF]],""),"")</f>
        <v>-54</v>
      </c>
      <c r="I141" s="1">
        <f>IF(ISNUMBER(Main_S[[#This Row],[BVPS]]),IF(Main_S[[#This Row],[BVPS]]&lt;&gt;0,Main_S[[#This Row],[Current Price]]/Main_S[[#This Row],[BVPS]],""),"")</f>
        <v>0.6555386949924128</v>
      </c>
      <c r="J141">
        <v>8.26</v>
      </c>
      <c r="K141">
        <v>3.69</v>
      </c>
      <c r="L141">
        <v>2.19</v>
      </c>
      <c r="M141" s="1">
        <f>IF(ISNUMBER(Main_S[[#This Row],[EPS]]),IF(Main_S[[#This Row],[EPS]]&lt;&gt;0,Main_S[[#This Row],[Current Price]]/Main_S[[#This Row],[EPS]],""),"")</f>
        <v>6.8571428571428577</v>
      </c>
      <c r="N14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41" s="1">
        <f>(Main_S[[#This Row],[P/FCF]]-VLOOKUP(Main_S[[#This Row],[Industry]], Mean_PFCF_S, 2, FALSE))/(VLOOKUP(Main_S[[#This Row],[Industry]], Mean_PFCF_S, 3, FALSE))</f>
        <v>-7.7543270790334091</v>
      </c>
      <c r="P141" s="1">
        <f>(Main_S[[#This Row],[P/B]]-VLOOKUP(Main_S[[#This Row],[Industry]], Mean_PB_S, 2, FALSE))/(VLOOKUP(Main_S[[#This Row],[Industry]], Mean_PB_S, 3, FALSE))</f>
        <v>0.4828296456357965</v>
      </c>
      <c r="Q141" s="1">
        <f>(Main_S[[#This Row],[ROE]]-VLOOKUP(Main_S[[#This Row],[Industry]], Mean_ROE_S, 2, FALSE))/(VLOOKUP(Main_S[[#This Row],[Industry]], Mean_ROE_S, 3, FALSE))</f>
        <v>-1.4762854295314647</v>
      </c>
      <c r="R141" s="1">
        <f>(Main_S[[#This Row],[ROA]]-VLOOKUP(Main_S[[#This Row],[Industry]], Mean_ROA_S, 2, FALSE))/(VLOOKUP(Main_S[[#This Row],[Industry]], Mean_ROA_S, 3, FALSE))</f>
        <v>-0.99461776740776875</v>
      </c>
      <c r="S141" s="1">
        <f>(Main_S[[#This Row],[A/E]]-VLOOKUP(Main_S[[#This Row],[Industry]], Mean_AE_S, 2, FALSE))/(VLOOKUP(Main_S[[#This Row],[Industry]], Mean_AE_S, 3, FALSE))</f>
        <v>0.4390727758729438</v>
      </c>
      <c r="T141" s="1">
        <f>(Main_S[[#This Row],[P/E]]-VLOOKUP(Main_S[[#This Row],[Industry]], Mean_PE_S, 2, FALSE))/(VLOOKUP(Main_S[[#This Row],[Industry]], Mean_PE_S, 3, FALSE))</f>
        <v>0.74012368617203661</v>
      </c>
      <c r="U14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4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4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4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4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4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42" spans="1:26" x14ac:dyDescent="0.25">
      <c r="A142" s="68" t="s">
        <v>249</v>
      </c>
      <c r="B142" s="68" t="s">
        <v>545</v>
      </c>
      <c r="C142" s="2">
        <v>357</v>
      </c>
      <c r="D142">
        <f>RTD("tos.rtd", , "LAST", Main_S[[#This Row],[Symbol]])</f>
        <v>3.61</v>
      </c>
      <c r="E142">
        <v>-0.21</v>
      </c>
      <c r="F142">
        <v>7.9</v>
      </c>
      <c r="G142">
        <v>0.83</v>
      </c>
      <c r="H142" s="1">
        <f>IF(ISNUMBER(Main_S[[#This Row],[Free CF]]),IF(Main_S[[#This Row],[Free CF]]&lt;&gt;0,Main_S[[#This Row],[Current Price]]/Main_S[[#This Row],[Free CF]],""),"")</f>
        <v>-17.19047619047619</v>
      </c>
      <c r="I142" s="1">
        <f>IF(ISNUMBER(Main_S[[#This Row],[BVPS]]),IF(Main_S[[#This Row],[BVPS]]&lt;&gt;0,Main_S[[#This Row],[Current Price]]/Main_S[[#This Row],[BVPS]],""),"")</f>
        <v>0.45696202531645563</v>
      </c>
      <c r="J142">
        <v>11.99</v>
      </c>
      <c r="K142">
        <v>5.0999999999999996</v>
      </c>
      <c r="L142">
        <v>1.69</v>
      </c>
      <c r="M142" s="1">
        <f>IF(ISNUMBER(Main_S[[#This Row],[EPS]]),IF(Main_S[[#This Row],[EPS]]&lt;&gt;0,Main_S[[#This Row],[Current Price]]/Main_S[[#This Row],[EPS]],""),"")</f>
        <v>4.3493975903614457</v>
      </c>
      <c r="N14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42" s="1">
        <f>(Main_S[[#This Row],[P/FCF]]-VLOOKUP(Main_S[[#This Row],[Industry]], Mean_PFCF_S, 2, FALSE))/(VLOOKUP(Main_S[[#This Row],[Industry]], Mean_PFCF_S, 3, FALSE))</f>
        <v>-2.477721275784083</v>
      </c>
      <c r="P142" s="1">
        <f>(Main_S[[#This Row],[P/B]]-VLOOKUP(Main_S[[#This Row],[Industry]], Mean_PB_S, 2, FALSE))/(VLOOKUP(Main_S[[#This Row],[Industry]], Mean_PB_S, 3, FALSE))</f>
        <v>-0.83014532417869558</v>
      </c>
      <c r="Q142" s="1">
        <f>(Main_S[[#This Row],[ROE]]-VLOOKUP(Main_S[[#This Row],[Industry]], Mean_ROE_S, 2, FALSE))/(VLOOKUP(Main_S[[#This Row],[Industry]], Mean_ROE_S, 3, FALSE))</f>
        <v>-0.21114019066819925</v>
      </c>
      <c r="R142" s="1">
        <f>(Main_S[[#This Row],[ROA]]-VLOOKUP(Main_S[[#This Row],[Industry]], Mean_ROA_S, 2, FALSE))/(VLOOKUP(Main_S[[#This Row],[Industry]], Mean_ROA_S, 3, FALSE))</f>
        <v>-0.30377488462700364</v>
      </c>
      <c r="S142" s="1">
        <f>(Main_S[[#This Row],[A/E]]-VLOOKUP(Main_S[[#This Row],[Industry]], Mean_AE_S, 2, FALSE))/(VLOOKUP(Main_S[[#This Row],[Industry]], Mean_AE_S, 3, FALSE))</f>
        <v>-0.41184345643896203</v>
      </c>
      <c r="T142" s="1">
        <f>(Main_S[[#This Row],[P/E]]-VLOOKUP(Main_S[[#This Row],[Industry]], Mean_PE_S, 2, FALSE))/(VLOOKUP(Main_S[[#This Row],[Industry]], Mean_PE_S, 3, FALSE))</f>
        <v>-0.20944693566224487</v>
      </c>
      <c r="U14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4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4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4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4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4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43" spans="1:26" x14ac:dyDescent="0.25">
      <c r="A143" s="68" t="s">
        <v>249</v>
      </c>
      <c r="B143" s="68" t="s">
        <v>589</v>
      </c>
      <c r="C143" s="2">
        <v>1747</v>
      </c>
      <c r="D143">
        <f>RTD("tos.rtd", , "LAST", Main_S[[#This Row],[Symbol]])</f>
        <v>16.43</v>
      </c>
      <c r="E143">
        <v>3.89</v>
      </c>
      <c r="F143">
        <v>21.1</v>
      </c>
      <c r="G143">
        <v>2.8</v>
      </c>
      <c r="H143" s="1">
        <f>IF(ISNUMBER(Main_S[[#This Row],[Free CF]]),IF(Main_S[[#This Row],[Free CF]]&lt;&gt;0,Main_S[[#This Row],[Current Price]]/Main_S[[#This Row],[Free CF]],""),"")</f>
        <v>4.2236503856041132</v>
      </c>
      <c r="I143" s="1">
        <f>IF(ISNUMBER(Main_S[[#This Row],[BVPS]]),IF(Main_S[[#This Row],[BVPS]]&lt;&gt;0,Main_S[[#This Row],[Current Price]]/Main_S[[#This Row],[BVPS]],""),"")</f>
        <v>0.7786729857819904</v>
      </c>
      <c r="J143">
        <v>14.71</v>
      </c>
      <c r="K143">
        <v>5.99</v>
      </c>
      <c r="L143">
        <v>1.65</v>
      </c>
      <c r="M143" s="1">
        <f>IF(ISNUMBER(Main_S[[#This Row],[EPS]]),IF(Main_S[[#This Row],[EPS]]&lt;&gt;0,Main_S[[#This Row],[Current Price]]/Main_S[[#This Row],[EPS]],""),"")</f>
        <v>5.8678571428571429</v>
      </c>
      <c r="N14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43" s="1">
        <f>(Main_S[[#This Row],[P/FCF]]-VLOOKUP(Main_S[[#This Row],[Industry]], Mean_PFCF_S, 2, FALSE))/(VLOOKUP(Main_S[[#This Row],[Industry]], Mean_PFCF_S, 3, FALSE))</f>
        <v>0.59197082747604646</v>
      </c>
      <c r="P143" s="1">
        <f>(Main_S[[#This Row],[P/B]]-VLOOKUP(Main_S[[#This Row],[Industry]], Mean_PB_S, 2, FALSE))/(VLOOKUP(Main_S[[#This Row],[Industry]], Mean_PB_S, 3, FALSE))</f>
        <v>1.296984913706289</v>
      </c>
      <c r="Q143" s="1">
        <f>(Main_S[[#This Row],[ROE]]-VLOOKUP(Main_S[[#This Row],[Industry]], Mean_ROE_S, 2, FALSE))/(VLOOKUP(Main_S[[#This Row],[Industry]], Mean_ROE_S, 3, FALSE))</f>
        <v>0.71143220871734558</v>
      </c>
      <c r="R143" s="1">
        <f>(Main_S[[#This Row],[ROA]]-VLOOKUP(Main_S[[#This Row],[Industry]], Mean_ROA_S, 2, FALSE))/(VLOOKUP(Main_S[[#This Row],[Industry]], Mean_ROA_S, 3, FALSE))</f>
        <v>0.13228906266014634</v>
      </c>
      <c r="S143" s="1">
        <f>(Main_S[[#This Row],[A/E]]-VLOOKUP(Main_S[[#This Row],[Industry]], Mean_AE_S, 2, FALSE))/(VLOOKUP(Main_S[[#This Row],[Industry]], Mean_AE_S, 3, FALSE))</f>
        <v>-0.47991675502391457</v>
      </c>
      <c r="T143" s="1">
        <f>(Main_S[[#This Row],[P/E]]-VLOOKUP(Main_S[[#This Row],[Industry]], Mean_PE_S, 2, FALSE))/(VLOOKUP(Main_S[[#This Row],[Industry]], Mean_PE_S, 3, FALSE))</f>
        <v>0.36552557075350589</v>
      </c>
      <c r="U14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4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4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4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4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4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44" spans="1:26" x14ac:dyDescent="0.25">
      <c r="A144" s="68" t="s">
        <v>249</v>
      </c>
      <c r="B144" s="68" t="s">
        <v>395</v>
      </c>
      <c r="C144" s="2">
        <v>1638</v>
      </c>
      <c r="D144">
        <f>RTD("tos.rtd", , "LAST", Main_S[[#This Row],[Symbol]])</f>
        <v>17.11</v>
      </c>
      <c r="E144">
        <v>29.4</v>
      </c>
      <c r="F144">
        <v>33.520000000000003</v>
      </c>
      <c r="G144">
        <v>17.82</v>
      </c>
      <c r="H144" s="1">
        <f>IF(ISNUMBER(Main_S[[#This Row],[Free CF]]),IF(Main_S[[#This Row],[Free CF]]&lt;&gt;0,Main_S[[#This Row],[Current Price]]/Main_S[[#This Row],[Free CF]],""),"")</f>
        <v>0.58197278911564632</v>
      </c>
      <c r="I144" s="1">
        <f>IF(ISNUMBER(Main_S[[#This Row],[BVPS]]),IF(Main_S[[#This Row],[BVPS]]&lt;&gt;0,Main_S[[#This Row],[Current Price]]/Main_S[[#This Row],[BVPS]],""),"")</f>
        <v>0.51044152744630067</v>
      </c>
      <c r="J144">
        <v>66.260000000000005</v>
      </c>
      <c r="K144">
        <v>15.77</v>
      </c>
      <c r="L144">
        <v>2.82</v>
      </c>
      <c r="M144" s="1">
        <f>IF(ISNUMBER(Main_S[[#This Row],[EPS]]),IF(Main_S[[#This Row],[EPS]]&lt;&gt;0,Main_S[[#This Row],[Current Price]]/Main_S[[#This Row],[EPS]],""),"")</f>
        <v>0.96015712682379339</v>
      </c>
      <c r="N14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44" s="1">
        <f>(Main_S[[#This Row],[P/FCF]]-VLOOKUP(Main_S[[#This Row],[Industry]], Mean_PFCF_S, 2, FALSE))/(VLOOKUP(Main_S[[#This Row],[Industry]], Mean_PFCF_S, 3, FALSE))</f>
        <v>6.9940245428082512E-2</v>
      </c>
      <c r="P144" s="1">
        <f>(Main_S[[#This Row],[P/B]]-VLOOKUP(Main_S[[#This Row],[Industry]], Mean_PB_S, 2, FALSE))/(VLOOKUP(Main_S[[#This Row],[Industry]], Mean_PB_S, 3, FALSE))</f>
        <v>-0.47654261843682888</v>
      </c>
      <c r="Q144" s="1">
        <f>(Main_S[[#This Row],[ROE]]-VLOOKUP(Main_S[[#This Row],[Industry]], Mean_ROE_S, 2, FALSE))/(VLOOKUP(Main_S[[#This Row],[Industry]], Mean_ROE_S, 3, FALSE))</f>
        <v>18.196214263248532</v>
      </c>
      <c r="R144" s="1">
        <f>(Main_S[[#This Row],[ROA]]-VLOOKUP(Main_S[[#This Row],[Industry]], Mean_ROA_S, 2, FALSE))/(VLOOKUP(Main_S[[#This Row],[Industry]], Mean_ROA_S, 3, FALSE))</f>
        <v>4.924092887905454</v>
      </c>
      <c r="S144" s="1">
        <f>(Main_S[[#This Row],[A/E]]-VLOOKUP(Main_S[[#This Row],[Industry]], Mean_AE_S, 2, FALSE))/(VLOOKUP(Main_S[[#This Row],[Industry]], Mean_AE_S, 3, FALSE))</f>
        <v>1.5112272285859449</v>
      </c>
      <c r="T144" s="1">
        <f>(Main_S[[#This Row],[P/E]]-VLOOKUP(Main_S[[#This Row],[Industry]], Mean_PE_S, 2, FALSE))/(VLOOKUP(Main_S[[#This Row],[Industry]], Mean_PE_S, 3, FALSE))</f>
        <v>-1.4928002399784934</v>
      </c>
      <c r="U14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4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4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14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14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4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45" spans="1:26" x14ac:dyDescent="0.25">
      <c r="A145" s="68" t="s">
        <v>229</v>
      </c>
      <c r="B145" s="68" t="s">
        <v>535</v>
      </c>
      <c r="C145" s="2">
        <v>935</v>
      </c>
      <c r="D145">
        <f>RTD("tos.rtd", , "LAST", Main_S[[#This Row],[Symbol]])</f>
        <v>58.34</v>
      </c>
      <c r="E145">
        <v>0.18</v>
      </c>
      <c r="F145">
        <v>61.2</v>
      </c>
      <c r="G145">
        <v>-13.49</v>
      </c>
      <c r="H145" s="1">
        <f>IF(ISNUMBER(Main_S[[#This Row],[Free CF]]),IF(Main_S[[#This Row],[Free CF]]&lt;&gt;0,Main_S[[#This Row],[Current Price]]/Main_S[[#This Row],[Free CF]],""),"")</f>
        <v>324.11111111111114</v>
      </c>
      <c r="I145" s="1">
        <f>IF(ISNUMBER(Main_S[[#This Row],[BVPS]]),IF(Main_S[[#This Row],[BVPS]]&lt;&gt;0,Main_S[[#This Row],[Current Price]]/Main_S[[#This Row],[BVPS]],""),"")</f>
        <v>0.95326797385620921</v>
      </c>
      <c r="J145">
        <v>-19.87</v>
      </c>
      <c r="K145">
        <v>1.25</v>
      </c>
      <c r="L145">
        <v>4.07</v>
      </c>
      <c r="M145" s="1">
        <f>IF(ISNUMBER(Main_S[[#This Row],[EPS]]),IF(Main_S[[#This Row],[EPS]]&lt;&gt;0,Main_S[[#This Row],[Current Price]]/Main_S[[#This Row],[EPS]],""),"")</f>
        <v>-4.3246849518161605</v>
      </c>
      <c r="N14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45" s="1">
        <f>(Main_S[[#This Row],[P/FCF]]-VLOOKUP(Main_S[[#This Row],[Industry]], Mean_PFCF_S, 2, FALSE))/(VLOOKUP(Main_S[[#This Row],[Industry]], Mean_PFCF_S, 3, FALSE))</f>
        <v>52.139182127578636</v>
      </c>
      <c r="P145" s="1">
        <f>(Main_S[[#This Row],[P/B]]-VLOOKUP(Main_S[[#This Row],[Industry]], Mean_PB_S, 2, FALSE))/(VLOOKUP(Main_S[[#This Row],[Industry]], Mean_PB_S, 3, FALSE))</f>
        <v>7.5459023613576412E-2</v>
      </c>
      <c r="Q145" s="1">
        <f>(Main_S[[#This Row],[ROE]]-VLOOKUP(Main_S[[#This Row],[Industry]], Mean_ROE_S, 2, FALSE))/(VLOOKUP(Main_S[[#This Row],[Industry]], Mean_ROE_S, 3, FALSE))</f>
        <v>-1.6229618146498599</v>
      </c>
      <c r="R145" s="1">
        <f>(Main_S[[#This Row],[ROA]]-VLOOKUP(Main_S[[#This Row],[Industry]], Mean_ROA_S, 2, FALSE))/(VLOOKUP(Main_S[[#This Row],[Industry]], Mean_ROA_S, 3, FALSE))</f>
        <v>4.2830605259880916E-2</v>
      </c>
      <c r="S145" s="1">
        <f>(Main_S[[#This Row],[A/E]]-VLOOKUP(Main_S[[#This Row],[Industry]], Mean_AE_S, 2, FALSE))/(VLOOKUP(Main_S[[#This Row],[Industry]], Mean_AE_S, 3, FALSE))</f>
        <v>-0.20827354972507589</v>
      </c>
      <c r="T145" s="1">
        <f>(Main_S[[#This Row],[P/E]]-VLOOKUP(Main_S[[#This Row],[Industry]], Mean_PE_S, 2, FALSE))/(VLOOKUP(Main_S[[#This Row],[Industry]], Mean_PE_S, 3, FALSE))</f>
        <v>-0.79596467015780992</v>
      </c>
      <c r="U14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4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4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4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4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4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46" spans="1:26" x14ac:dyDescent="0.25">
      <c r="A146" s="68" t="s">
        <v>229</v>
      </c>
      <c r="B146" s="68" t="s">
        <v>585</v>
      </c>
      <c r="C146" s="2">
        <v>480</v>
      </c>
      <c r="D146">
        <f>RTD("tos.rtd", , "LAST", Main_S[[#This Row],[Symbol]])</f>
        <v>1E-4</v>
      </c>
      <c r="E146">
        <v>-0.36</v>
      </c>
      <c r="F146">
        <v>-11.19</v>
      </c>
      <c r="G146">
        <v>-2.33</v>
      </c>
      <c r="H146" s="1">
        <f>IF(ISNUMBER(Main_S[[#This Row],[Free CF]]),IF(Main_S[[#This Row],[Free CF]]&lt;&gt;0,Main_S[[#This Row],[Current Price]]/Main_S[[#This Row],[Free CF]],""),"")</f>
        <v>-2.7777777777777778E-4</v>
      </c>
      <c r="I146" s="1">
        <f>IF(ISNUMBER(Main_S[[#This Row],[BVPS]]),IF(Main_S[[#This Row],[BVPS]]&lt;&gt;0,Main_S[[#This Row],[Current Price]]/Main_S[[#This Row],[BVPS]],""),"")</f>
        <v>-8.9365504915102783E-6</v>
      </c>
      <c r="J146">
        <v>23.22</v>
      </c>
      <c r="K146">
        <v>1.45</v>
      </c>
      <c r="L146">
        <v>-0.82</v>
      </c>
      <c r="M146" s="1">
        <f>IF(ISNUMBER(Main_S[[#This Row],[EPS]]),IF(Main_S[[#This Row],[EPS]]&lt;&gt;0,Main_S[[#This Row],[Current Price]]/Main_S[[#This Row],[EPS]],""),"")</f>
        <v>-4.2918454935622321E-5</v>
      </c>
      <c r="N14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46" s="1">
        <f>(Main_S[[#This Row],[P/FCF]]-VLOOKUP(Main_S[[#This Row],[Industry]], Mean_PFCF_S, 2, FALSE))/(VLOOKUP(Main_S[[#This Row],[Industry]], Mean_PFCF_S, 3, FALSE))</f>
        <v>-0.17349720699864701</v>
      </c>
      <c r="P146" s="1">
        <f>(Main_S[[#This Row],[P/B]]-VLOOKUP(Main_S[[#This Row],[Industry]], Mean_PB_S, 2, FALSE))/(VLOOKUP(Main_S[[#This Row],[Industry]], Mean_PB_S, 3, FALSE))</f>
        <v>-1.5935910360383936</v>
      </c>
      <c r="Q146" s="1">
        <f>(Main_S[[#This Row],[ROE]]-VLOOKUP(Main_S[[#This Row],[Industry]], Mean_ROE_S, 2, FALSE))/(VLOOKUP(Main_S[[#This Row],[Industry]], Mean_ROE_S, 3, FALSE))</f>
        <v>1.2156293608309598</v>
      </c>
      <c r="R146" s="1">
        <f>(Main_S[[#This Row],[ROA]]-VLOOKUP(Main_S[[#This Row],[Industry]], Mean_ROA_S, 2, FALSE))/(VLOOKUP(Main_S[[#This Row],[Industry]], Mean_ROA_S, 3, FALSE))</f>
        <v>0.12708753363997441</v>
      </c>
      <c r="S146" s="1">
        <f>(Main_S[[#This Row],[A/E]]-VLOOKUP(Main_S[[#This Row],[Industry]], Mean_AE_S, 2, FALSE))/(VLOOKUP(Main_S[[#This Row],[Industry]], Mean_AE_S, 3, FALSE))</f>
        <v>-0.91977091570205671</v>
      </c>
      <c r="T146" s="1">
        <f>(Main_S[[#This Row],[P/E]]-VLOOKUP(Main_S[[#This Row],[Industry]], Mean_PE_S, 2, FALSE))/(VLOOKUP(Main_S[[#This Row],[Industry]], Mean_PE_S, 3, FALSE))</f>
        <v>-0.27790237148044789</v>
      </c>
      <c r="U14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4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4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4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4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4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47" spans="1:26" x14ac:dyDescent="0.25">
      <c r="A147" s="68" t="s">
        <v>229</v>
      </c>
      <c r="B147" s="68" t="s">
        <v>389</v>
      </c>
      <c r="C147" s="2">
        <v>1580</v>
      </c>
      <c r="D147">
        <f>RTD("tos.rtd", , "LAST", Main_S[[#This Row],[Symbol]])</f>
        <v>4.93</v>
      </c>
      <c r="E147">
        <v>-3.68</v>
      </c>
      <c r="F147">
        <v>6.9</v>
      </c>
      <c r="G147">
        <v>-0.82</v>
      </c>
      <c r="H147" s="1">
        <f>IF(ISNUMBER(Main_S[[#This Row],[Free CF]]),IF(Main_S[[#This Row],[Free CF]]&lt;&gt;0,Main_S[[#This Row],[Current Price]]/Main_S[[#This Row],[Free CF]],""),"")</f>
        <v>-1.339673913043478</v>
      </c>
      <c r="I147" s="1">
        <f>IF(ISNUMBER(Main_S[[#This Row],[BVPS]]),IF(Main_S[[#This Row],[BVPS]]&lt;&gt;0,Main_S[[#This Row],[Current Price]]/Main_S[[#This Row],[BVPS]],""),"")</f>
        <v>0.71449275362318831</v>
      </c>
      <c r="J147">
        <v>-11.3</v>
      </c>
      <c r="K147">
        <v>-0.45</v>
      </c>
      <c r="L147">
        <v>6.99</v>
      </c>
      <c r="M147" s="1">
        <f>IF(ISNUMBER(Main_S[[#This Row],[EPS]]),IF(Main_S[[#This Row],[EPS]]&lt;&gt;0,Main_S[[#This Row],[Current Price]]/Main_S[[#This Row],[EPS]],""),"")</f>
        <v>-6.01219512195122</v>
      </c>
      <c r="N14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47" s="1">
        <f>(Main_S[[#This Row],[P/FCF]]-VLOOKUP(Main_S[[#This Row],[Industry]], Mean_PFCF_S, 2, FALSE))/(VLOOKUP(Main_S[[#This Row],[Industry]], Mean_PFCF_S, 3, FALSE))</f>
        <v>-0.38968029382669744</v>
      </c>
      <c r="P147" s="1">
        <f>(Main_S[[#This Row],[P/B]]-VLOOKUP(Main_S[[#This Row],[Industry]], Mean_PB_S, 2, FALSE))/(VLOOKUP(Main_S[[#This Row],[Industry]], Mean_PB_S, 3, FALSE))</f>
        <v>-0.34260186847633078</v>
      </c>
      <c r="Q147" s="1">
        <f>(Main_S[[#This Row],[ROE]]-VLOOKUP(Main_S[[#This Row],[Industry]], Mean_ROE_S, 2, FALSE))/(VLOOKUP(Main_S[[#This Row],[Industry]], Mean_ROE_S, 3, FALSE))</f>
        <v>-1.0584056212437187</v>
      </c>
      <c r="R147" s="1">
        <f>(Main_S[[#This Row],[ROA]]-VLOOKUP(Main_S[[#This Row],[Industry]], Mean_ROA_S, 2, FALSE))/(VLOOKUP(Main_S[[#This Row],[Industry]], Mean_ROA_S, 3, FALSE))</f>
        <v>-0.67335328597091382</v>
      </c>
      <c r="S147" s="1">
        <f>(Main_S[[#This Row],[A/E]]-VLOOKUP(Main_S[[#This Row],[Industry]], Mean_AE_S, 2, FALSE))/(VLOOKUP(Main_S[[#This Row],[Industry]], Mean_AE_S, 3, FALSE))</f>
        <v>0.21658786308735434</v>
      </c>
      <c r="T147" s="1">
        <f>(Main_S[[#This Row],[P/E]]-VLOOKUP(Main_S[[#This Row],[Industry]], Mean_PE_S, 2, FALSE))/(VLOOKUP(Main_S[[#This Row],[Industry]], Mean_PE_S, 3, FALSE))</f>
        <v>-0.99811675373780429</v>
      </c>
      <c r="U14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4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4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4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4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4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48" spans="1:26" x14ac:dyDescent="0.25">
      <c r="A148" s="68" t="s">
        <v>229</v>
      </c>
      <c r="B148" s="68" t="s">
        <v>536</v>
      </c>
      <c r="C148" s="2">
        <v>596</v>
      </c>
      <c r="D148">
        <f>RTD("tos.rtd", , "LAST", Main_S[[#This Row],[Symbol]])</f>
        <v>12.77</v>
      </c>
      <c r="E148">
        <v>2.2200000000000002</v>
      </c>
      <c r="F148">
        <v>11.33</v>
      </c>
      <c r="G148">
        <v>0.98</v>
      </c>
      <c r="H148" s="1">
        <f>IF(ISNUMBER(Main_S[[#This Row],[Free CF]]),IF(Main_S[[#This Row],[Free CF]]&lt;&gt;0,Main_S[[#This Row],[Current Price]]/Main_S[[#This Row],[Free CF]],""),"")</f>
        <v>5.7522522522522515</v>
      </c>
      <c r="I148" s="1">
        <f>IF(ISNUMBER(Main_S[[#This Row],[BVPS]]),IF(Main_S[[#This Row],[BVPS]]&lt;&gt;0,Main_S[[#This Row],[Current Price]]/Main_S[[#This Row],[BVPS]],""),"")</f>
        <v>1.1270962047661077</v>
      </c>
      <c r="J148">
        <v>9.4600000000000009</v>
      </c>
      <c r="K148">
        <v>4.21</v>
      </c>
      <c r="L148">
        <v>2.64</v>
      </c>
      <c r="M148" s="1">
        <f>IF(ISNUMBER(Main_S[[#This Row],[EPS]]),IF(Main_S[[#This Row],[EPS]]&lt;&gt;0,Main_S[[#This Row],[Current Price]]/Main_S[[#This Row],[EPS]],""),"")</f>
        <v>13.030612244897959</v>
      </c>
      <c r="N14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48" s="1">
        <f>(Main_S[[#This Row],[P/FCF]]-VLOOKUP(Main_S[[#This Row],[Industry]], Mean_PFCF_S, 2, FALSE))/(VLOOKUP(Main_S[[#This Row],[Industry]], Mean_PFCF_S, 3, FALSE))</f>
        <v>0.75498068405951435</v>
      </c>
      <c r="P148" s="1">
        <f>(Main_S[[#This Row],[P/B]]-VLOOKUP(Main_S[[#This Row],[Industry]], Mean_PB_S, 2, FALSE))/(VLOOKUP(Main_S[[#This Row],[Industry]], Mean_PB_S, 3, FALSE))</f>
        <v>0.37980712645977244</v>
      </c>
      <c r="Q148" s="1">
        <f>(Main_S[[#This Row],[ROE]]-VLOOKUP(Main_S[[#This Row],[Industry]], Mean_ROE_S, 2, FALSE))/(VLOOKUP(Main_S[[#This Row],[Industry]], Mean_ROE_S, 3, FALSE))</f>
        <v>0.30917740969111124</v>
      </c>
      <c r="R148" s="1">
        <f>(Main_S[[#This Row],[ROA]]-VLOOKUP(Main_S[[#This Row],[Industry]], Mean_ROA_S, 2, FALSE))/(VLOOKUP(Main_S[[#This Row],[Industry]], Mean_ROA_S, 3, FALSE))</f>
        <v>1.2898331452852647</v>
      </c>
      <c r="S148" s="1">
        <f>(Main_S[[#This Row],[A/E]]-VLOOKUP(Main_S[[#This Row],[Industry]], Mean_AE_S, 2, FALSE))/(VLOOKUP(Main_S[[#This Row],[Industry]], Mean_AE_S, 3, FALSE))</f>
        <v>-0.41633924161609481</v>
      </c>
      <c r="T148" s="1">
        <f>(Main_S[[#This Row],[P/E]]-VLOOKUP(Main_S[[#This Row],[Industry]], Mean_PE_S, 2, FALSE))/(VLOOKUP(Main_S[[#This Row],[Industry]], Mean_PE_S, 3, FALSE))</f>
        <v>1.2830802752039121</v>
      </c>
      <c r="U14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4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4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4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4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4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49" spans="1:26" x14ac:dyDescent="0.25">
      <c r="A149" s="68" t="s">
        <v>229</v>
      </c>
      <c r="B149" s="68" t="s">
        <v>537</v>
      </c>
      <c r="C149" s="2">
        <v>795</v>
      </c>
      <c r="D149">
        <f>RTD("tos.rtd", , "LAST", Main_S[[#This Row],[Symbol]])</f>
        <v>4.3899999999999997</v>
      </c>
      <c r="E149">
        <v>-0.99</v>
      </c>
      <c r="F149">
        <v>2.5</v>
      </c>
      <c r="G149">
        <v>0.3</v>
      </c>
      <c r="H149" s="1">
        <f>IF(ISNUMBER(Main_S[[#This Row],[Free CF]]),IF(Main_S[[#This Row],[Free CF]]&lt;&gt;0,Main_S[[#This Row],[Current Price]]/Main_S[[#This Row],[Free CF]],""),"")</f>
        <v>-4.4343434343434343</v>
      </c>
      <c r="I149" s="1">
        <f>IF(ISNUMBER(Main_S[[#This Row],[BVPS]]),IF(Main_S[[#This Row],[BVPS]]&lt;&gt;0,Main_S[[#This Row],[Current Price]]/Main_S[[#This Row],[BVPS]],""),"")</f>
        <v>1.7559999999999998</v>
      </c>
      <c r="J149">
        <v>12.9</v>
      </c>
      <c r="K149">
        <v>-2.95</v>
      </c>
      <c r="L149">
        <v>11.37</v>
      </c>
      <c r="M149" s="1">
        <f>IF(ISNUMBER(Main_S[[#This Row],[EPS]]),IF(Main_S[[#This Row],[EPS]]&lt;&gt;0,Main_S[[#This Row],[Current Price]]/Main_S[[#This Row],[EPS]],""),"")</f>
        <v>14.633333333333333</v>
      </c>
      <c r="N14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49" s="1">
        <f>(Main_S[[#This Row],[P/FCF]]-VLOOKUP(Main_S[[#This Row],[Industry]], Mean_PFCF_S, 2, FALSE))/(VLOOKUP(Main_S[[#This Row],[Industry]], Mean_PFCF_S, 3, FALSE))</f>
        <v>-0.88917046869911842</v>
      </c>
      <c r="P149" s="1">
        <f>(Main_S[[#This Row],[P/B]]-VLOOKUP(Main_S[[#This Row],[Industry]], Mean_PB_S, 2, FALSE))/(VLOOKUP(Main_S[[#This Row],[Industry]], Mean_PB_S, 3, FALSE))</f>
        <v>1.4809267544413751</v>
      </c>
      <c r="Q149" s="1">
        <f>(Main_S[[#This Row],[ROE]]-VLOOKUP(Main_S[[#This Row],[Industry]], Mean_ROE_S, 2, FALSE))/(VLOOKUP(Main_S[[#This Row],[Industry]], Mean_ROE_S, 3, FALSE))</f>
        <v>0.53579039747607338</v>
      </c>
      <c r="R149" s="1">
        <f>(Main_S[[#This Row],[ROA]]-VLOOKUP(Main_S[[#This Row],[Industry]], Mean_ROA_S, 2, FALSE))/(VLOOKUP(Main_S[[#This Row],[Industry]], Mean_ROA_S, 3, FALSE))</f>
        <v>-1.7265648907220827</v>
      </c>
      <c r="S149" s="1">
        <f>(Main_S[[#This Row],[A/E]]-VLOOKUP(Main_S[[#This Row],[Industry]], Mean_AE_S, 2, FALSE))/(VLOOKUP(Main_S[[#This Row],[Industry]], Mean_AE_S, 3, FALSE))</f>
        <v>0.85387998230599949</v>
      </c>
      <c r="T149" s="1">
        <f>(Main_S[[#This Row],[P/E]]-VLOOKUP(Main_S[[#This Row],[Industry]], Mean_PE_S, 2, FALSE))/(VLOOKUP(Main_S[[#This Row],[Industry]], Mean_PE_S, 3, FALSE))</f>
        <v>1.4750752113878383</v>
      </c>
      <c r="U14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4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4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4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4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4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50" spans="1:26" x14ac:dyDescent="0.25">
      <c r="A150" s="68" t="s">
        <v>229</v>
      </c>
      <c r="B150" s="68" t="s">
        <v>538</v>
      </c>
      <c r="C150" s="2">
        <v>818</v>
      </c>
      <c r="D150">
        <f>RTD("tos.rtd", , "LAST", Main_S[[#This Row],[Symbol]])</f>
        <v>1.67</v>
      </c>
      <c r="E150">
        <v>-0.28999999999999998</v>
      </c>
      <c r="F150">
        <v>-0.41</v>
      </c>
      <c r="G150">
        <v>-0.49</v>
      </c>
      <c r="H150" s="1">
        <f>IF(ISNUMBER(Main_S[[#This Row],[Free CF]]),IF(Main_S[[#This Row],[Free CF]]&lt;&gt;0,Main_S[[#This Row],[Current Price]]/Main_S[[#This Row],[Free CF]],""),"")</f>
        <v>-5.7586206896551726</v>
      </c>
      <c r="I150" s="1">
        <f>IF(ISNUMBER(Main_S[[#This Row],[BVPS]]),IF(Main_S[[#This Row],[BVPS]]&lt;&gt;0,Main_S[[#This Row],[Current Price]]/Main_S[[#This Row],[BVPS]],""),"")</f>
        <v>-4.0731707317073171</v>
      </c>
      <c r="J150">
        <v>237.88</v>
      </c>
      <c r="K150">
        <v>-14.27</v>
      </c>
      <c r="L150">
        <v>-3.79</v>
      </c>
      <c r="M150" s="1">
        <f>IF(ISNUMBER(Main_S[[#This Row],[EPS]]),IF(Main_S[[#This Row],[EPS]]&lt;&gt;0,Main_S[[#This Row],[Current Price]]/Main_S[[#This Row],[EPS]],""),"")</f>
        <v>-3.4081632653061225</v>
      </c>
      <c r="N15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50" s="1">
        <f>(Main_S[[#This Row],[P/FCF]]-VLOOKUP(Main_S[[#This Row],[Industry]], Mean_PFCF_S, 2, FALSE))/(VLOOKUP(Main_S[[#This Row],[Industry]], Mean_PFCF_S, 3, FALSE))</f>
        <v>-1.1029133169362297</v>
      </c>
      <c r="P150" s="1">
        <f>(Main_S[[#This Row],[P/B]]-VLOOKUP(Main_S[[#This Row],[Industry]], Mean_PB_S, 2, FALSE))/(VLOOKUP(Main_S[[#This Row],[Industry]], Mean_PB_S, 3, FALSE))</f>
        <v>-8.7251085027503823</v>
      </c>
      <c r="Q150" s="1">
        <f>(Main_S[[#This Row],[ROE]]-VLOOKUP(Main_S[[#This Row],[Industry]], Mean_ROE_S, 2, FALSE))/(VLOOKUP(Main_S[[#This Row],[Industry]], Mean_ROE_S, 3, FALSE))</f>
        <v>15.356543302086767</v>
      </c>
      <c r="R150" s="1">
        <f>(Main_S[[#This Row],[ROA]]-VLOOKUP(Main_S[[#This Row],[Industry]], Mean_ROA_S, 2, FALSE))/(VLOOKUP(Main_S[[#This Row],[Industry]], Mean_ROA_S, 3, FALSE))</f>
        <v>-6.4955070370353747</v>
      </c>
      <c r="S150" s="1">
        <f>(Main_S[[#This Row],[A/E]]-VLOOKUP(Main_S[[#This Row],[Industry]], Mean_AE_S, 2, FALSE))/(VLOOKUP(Main_S[[#This Row],[Industry]], Mean_AE_S, 3, FALSE))</f>
        <v>-1.3519073527064807</v>
      </c>
      <c r="T150" s="1">
        <f>(Main_S[[#This Row],[P/E]]-VLOOKUP(Main_S[[#This Row],[Industry]], Mean_PE_S, 2, FALSE))/(VLOOKUP(Main_S[[#This Row],[Industry]], Mean_PE_S, 3, FALSE))</f>
        <v>-0.68617169121568822</v>
      </c>
      <c r="U15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5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15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15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15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5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51" spans="1:26" x14ac:dyDescent="0.25">
      <c r="A151" s="68" t="s">
        <v>229</v>
      </c>
      <c r="B151" s="68" t="s">
        <v>539</v>
      </c>
      <c r="C151" s="2">
        <v>469</v>
      </c>
      <c r="D151">
        <f>RTD("tos.rtd", , "LAST", Main_S[[#This Row],[Symbol]])</f>
        <v>4.28</v>
      </c>
      <c r="E151">
        <v>0.35</v>
      </c>
      <c r="F151">
        <v>0.27</v>
      </c>
      <c r="G151">
        <v>0.04</v>
      </c>
      <c r="H151" s="1">
        <f>IF(ISNUMBER(Main_S[[#This Row],[Free CF]]),IF(Main_S[[#This Row],[Free CF]]&lt;&gt;0,Main_S[[#This Row],[Current Price]]/Main_S[[#This Row],[Free CF]],""),"")</f>
        <v>12.22857142857143</v>
      </c>
      <c r="I151" s="1">
        <f>IF(ISNUMBER(Main_S[[#This Row],[BVPS]]),IF(Main_S[[#This Row],[BVPS]]&lt;&gt;0,Main_S[[#This Row],[Current Price]]/Main_S[[#This Row],[BVPS]],""),"")</f>
        <v>15.851851851851851</v>
      </c>
      <c r="J151">
        <v>14.19</v>
      </c>
      <c r="K151">
        <v>3.38</v>
      </c>
      <c r="L151">
        <v>18.05</v>
      </c>
      <c r="M151" s="1">
        <f>IF(ISNUMBER(Main_S[[#This Row],[EPS]]),IF(Main_S[[#This Row],[EPS]]&lt;&gt;0,Main_S[[#This Row],[Current Price]]/Main_S[[#This Row],[EPS]],""),"")</f>
        <v>107</v>
      </c>
      <c r="N15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51" s="1">
        <f>(Main_S[[#This Row],[P/FCF]]-VLOOKUP(Main_S[[#This Row],[Industry]], Mean_PFCF_S, 2, FALSE))/(VLOOKUP(Main_S[[#This Row],[Industry]], Mean_PFCF_S, 3, FALSE))</f>
        <v>1.8002806024011784</v>
      </c>
      <c r="P151" s="1">
        <f>(Main_S[[#This Row],[P/B]]-VLOOKUP(Main_S[[#This Row],[Industry]], Mean_PB_S, 2, FALSE))/(VLOOKUP(Main_S[[#This Row],[Industry]], Mean_PB_S, 3, FALSE))</f>
        <v>26.160725580305492</v>
      </c>
      <c r="Q151" s="1">
        <f>(Main_S[[#This Row],[ROE]]-VLOOKUP(Main_S[[#This Row],[Industry]], Mean_ROE_S, 2, FALSE))/(VLOOKUP(Main_S[[#This Row],[Industry]], Mean_ROE_S, 3, FALSE))</f>
        <v>0.6207702678954341</v>
      </c>
      <c r="R151" s="1">
        <f>(Main_S[[#This Row],[ROA]]-VLOOKUP(Main_S[[#This Row],[Industry]], Mean_ROA_S, 2, FALSE))/(VLOOKUP(Main_S[[#This Row],[Industry]], Mean_ROA_S, 3, FALSE))</f>
        <v>0.94016689250787655</v>
      </c>
      <c r="S151" s="1">
        <f>(Main_S[[#This Row],[A/E]]-VLOOKUP(Main_S[[#This Row],[Industry]], Mean_AE_S, 2, FALSE))/(VLOOKUP(Main_S[[#This Row],[Industry]], Mean_AE_S, 3, FALSE))</f>
        <v>1.8258232143563538</v>
      </c>
      <c r="T151" s="1">
        <f>(Main_S[[#This Row],[P/E]]-VLOOKUP(Main_S[[#This Row],[Industry]], Mean_PE_S, 2, FALSE))/(VLOOKUP(Main_S[[#This Row],[Industry]], Mean_PE_S, 3, FALSE))</f>
        <v>12.539965041658348</v>
      </c>
      <c r="U15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5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15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5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5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5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52" spans="1:26" x14ac:dyDescent="0.25">
      <c r="A152" s="68" t="s">
        <v>204</v>
      </c>
      <c r="B152" s="68" t="s">
        <v>581</v>
      </c>
      <c r="C152" s="2">
        <v>263</v>
      </c>
      <c r="D152">
        <f>RTD("tos.rtd", , "LAST", Main_S[[#This Row],[Symbol]])</f>
        <v>9.91</v>
      </c>
      <c r="E152">
        <v>-0.56000000000000005</v>
      </c>
      <c r="F152">
        <v>7.29</v>
      </c>
      <c r="G152">
        <v>-0.53</v>
      </c>
      <c r="H152" s="1">
        <f>IF(ISNUMBER(Main_S[[#This Row],[Free CF]]),IF(Main_S[[#This Row],[Free CF]]&lt;&gt;0,Main_S[[#This Row],[Current Price]]/Main_S[[#This Row],[Free CF]],""),"")</f>
        <v>-17.696428571428569</v>
      </c>
      <c r="I152" s="1">
        <f>IF(ISNUMBER(Main_S[[#This Row],[BVPS]]),IF(Main_S[[#This Row],[BVPS]]&lt;&gt;0,Main_S[[#This Row],[Current Price]]/Main_S[[#This Row],[BVPS]],""),"")</f>
        <v>1.3593964334705075</v>
      </c>
      <c r="J152">
        <v>-7.01</v>
      </c>
      <c r="K152">
        <v>-1.59</v>
      </c>
      <c r="L152">
        <v>2.52</v>
      </c>
      <c r="M152" s="1">
        <f>IF(ISNUMBER(Main_S[[#This Row],[EPS]]),IF(Main_S[[#This Row],[EPS]]&lt;&gt;0,Main_S[[#This Row],[Current Price]]/Main_S[[#This Row],[EPS]],""),"")</f>
        <v>-18.69811320754717</v>
      </c>
      <c r="N15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52" s="1">
        <f>(Main_S[[#This Row],[P/FCF]]-VLOOKUP(Main_S[[#This Row],[Industry]], Mean_PFCF_S, 2, FALSE))/(VLOOKUP(Main_S[[#This Row],[Industry]], Mean_PFCF_S, 3, FALSE))</f>
        <v>-1.9684431949668677</v>
      </c>
      <c r="P152" s="1">
        <f>(Main_S[[#This Row],[P/B]]-VLOOKUP(Main_S[[#This Row],[Industry]], Mean_PB_S, 2, FALSE))/(VLOOKUP(Main_S[[#This Row],[Industry]], Mean_PB_S, 3, FALSE))</f>
        <v>-0.66935090203437175</v>
      </c>
      <c r="Q152" s="1">
        <f>(Main_S[[#This Row],[ROE]]-VLOOKUP(Main_S[[#This Row],[Industry]], Mean_ROE_S, 2, FALSE))/(VLOOKUP(Main_S[[#This Row],[Industry]], Mean_ROE_S, 3, FALSE))</f>
        <v>-1.0650883255323864</v>
      </c>
      <c r="R152" s="1">
        <f>(Main_S[[#This Row],[ROA]]-VLOOKUP(Main_S[[#This Row],[Industry]], Mean_ROA_S, 2, FALSE))/(VLOOKUP(Main_S[[#This Row],[Industry]], Mean_ROA_S, 3, FALSE))</f>
        <v>-1.1358189433764094</v>
      </c>
      <c r="S152" s="1">
        <f>(Main_S[[#This Row],[A/E]]-VLOOKUP(Main_S[[#This Row],[Industry]], Mean_AE_S, 2, FALSE))/(VLOOKUP(Main_S[[#This Row],[Industry]], Mean_AE_S, 3, FALSE))</f>
        <v>3.4107936707155354E-2</v>
      </c>
      <c r="T152" s="1">
        <f>(Main_S[[#This Row],[P/E]]-VLOOKUP(Main_S[[#This Row],[Industry]], Mean_PE_S, 2, FALSE))/(VLOOKUP(Main_S[[#This Row],[Industry]], Mean_PE_S, 3, FALSE))</f>
        <v>-1.6968894551559901</v>
      </c>
      <c r="U15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5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5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5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5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5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53" spans="1:26" x14ac:dyDescent="0.25">
      <c r="A153" s="68" t="s">
        <v>204</v>
      </c>
      <c r="B153" s="68" t="s">
        <v>513</v>
      </c>
      <c r="C153" s="2">
        <v>1047</v>
      </c>
      <c r="D153">
        <f>RTD("tos.rtd", , "LAST", Main_S[[#This Row],[Symbol]])</f>
        <v>41.71</v>
      </c>
      <c r="E153">
        <v>-0.16</v>
      </c>
      <c r="F153">
        <v>8.59</v>
      </c>
      <c r="G153">
        <v>1.98</v>
      </c>
      <c r="H153" s="1">
        <f>IF(ISNUMBER(Main_S[[#This Row],[Free CF]]),IF(Main_S[[#This Row],[Free CF]]&lt;&gt;0,Main_S[[#This Row],[Current Price]]/Main_S[[#This Row],[Free CF]],""),"")</f>
        <v>-260.6875</v>
      </c>
      <c r="I153" s="1">
        <f>IF(ISNUMBER(Main_S[[#This Row],[BVPS]]),IF(Main_S[[#This Row],[BVPS]]&lt;&gt;0,Main_S[[#This Row],[Current Price]]/Main_S[[#This Row],[BVPS]],""),"")</f>
        <v>4.8556461001164148</v>
      </c>
      <c r="J153">
        <v>25.2</v>
      </c>
      <c r="K153">
        <v>5.09</v>
      </c>
      <c r="L153">
        <v>3.37</v>
      </c>
      <c r="M153" s="1">
        <f>IF(ISNUMBER(Main_S[[#This Row],[EPS]]),IF(Main_S[[#This Row],[EPS]]&lt;&gt;0,Main_S[[#This Row],[Current Price]]/Main_S[[#This Row],[EPS]],""),"")</f>
        <v>21.065656565656568</v>
      </c>
      <c r="N15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53" s="1">
        <f>(Main_S[[#This Row],[P/FCF]]-VLOOKUP(Main_S[[#This Row],[Industry]], Mean_PFCF_S, 2, FALSE))/(VLOOKUP(Main_S[[#This Row],[Industry]], Mean_PFCF_S, 3, FALSE))</f>
        <v>-20.183682389405661</v>
      </c>
      <c r="P153" s="1">
        <f>(Main_S[[#This Row],[P/B]]-VLOOKUP(Main_S[[#This Row],[Industry]], Mean_PB_S, 2, FALSE))/(VLOOKUP(Main_S[[#This Row],[Industry]], Mean_PB_S, 3, FALSE))</f>
        <v>1.2631065318774479</v>
      </c>
      <c r="Q153" s="1">
        <f>(Main_S[[#This Row],[ROE]]-VLOOKUP(Main_S[[#This Row],[Industry]], Mean_ROE_S, 2, FALSE))/(VLOOKUP(Main_S[[#This Row],[Industry]], Mean_ROE_S, 3, FALSE))</f>
        <v>0.84739619007363332</v>
      </c>
      <c r="R153" s="1">
        <f>(Main_S[[#This Row],[ROA]]-VLOOKUP(Main_S[[#This Row],[Industry]], Mean_ROA_S, 2, FALSE))/(VLOOKUP(Main_S[[#This Row],[Industry]], Mean_ROA_S, 3, FALSE))</f>
        <v>0.32250668932145132</v>
      </c>
      <c r="S153" s="1">
        <f>(Main_S[[#This Row],[A/E]]-VLOOKUP(Main_S[[#This Row],[Industry]], Mean_AE_S, 2, FALSE))/(VLOOKUP(Main_S[[#This Row],[Industry]], Mean_AE_S, 3, FALSE))</f>
        <v>1.3415788438147573</v>
      </c>
      <c r="T153" s="1">
        <f>(Main_S[[#This Row],[P/E]]-VLOOKUP(Main_S[[#This Row],[Industry]], Mean_PE_S, 2, FALSE))/(VLOOKUP(Main_S[[#This Row],[Industry]], Mean_PE_S, 3, FALSE))</f>
        <v>0.20136715202492181</v>
      </c>
      <c r="U15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5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5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5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5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5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54" spans="1:26" x14ac:dyDescent="0.25">
      <c r="A154" s="68" t="s">
        <v>204</v>
      </c>
      <c r="B154" s="68" t="s">
        <v>514</v>
      </c>
      <c r="C154" s="2">
        <v>1046</v>
      </c>
      <c r="D154">
        <f>RTD("tos.rtd", , "LAST", Main_S[[#This Row],[Symbol]])</f>
        <v>32.4</v>
      </c>
      <c r="E154">
        <v>2.1800000000000002</v>
      </c>
      <c r="F154">
        <v>10.119999999999999</v>
      </c>
      <c r="G154">
        <v>0.48</v>
      </c>
      <c r="H154" s="1">
        <f>IF(ISNUMBER(Main_S[[#This Row],[Free CF]]),IF(Main_S[[#This Row],[Free CF]]&lt;&gt;0,Main_S[[#This Row],[Current Price]]/Main_S[[#This Row],[Free CF]],""),"")</f>
        <v>14.862385321100916</v>
      </c>
      <c r="I154" s="1">
        <f>IF(ISNUMBER(Main_S[[#This Row],[BVPS]]),IF(Main_S[[#This Row],[BVPS]]&lt;&gt;0,Main_S[[#This Row],[Current Price]]/Main_S[[#This Row],[BVPS]],""),"")</f>
        <v>3.2015810276679844</v>
      </c>
      <c r="J154">
        <v>5.08</v>
      </c>
      <c r="K154">
        <v>-0.92</v>
      </c>
      <c r="L154">
        <v>2.95</v>
      </c>
      <c r="M154" s="1">
        <f>IF(ISNUMBER(Main_S[[#This Row],[EPS]]),IF(Main_S[[#This Row],[EPS]]&lt;&gt;0,Main_S[[#This Row],[Current Price]]/Main_S[[#This Row],[EPS]],""),"")</f>
        <v>67.5</v>
      </c>
      <c r="N15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54" s="1">
        <f>(Main_S[[#This Row],[P/FCF]]-VLOOKUP(Main_S[[#This Row],[Industry]], Mean_PFCF_S, 2, FALSE))/(VLOOKUP(Main_S[[#This Row],[Industry]], Mean_PFCF_S, 3, FALSE))</f>
        <v>0.47224970561148366</v>
      </c>
      <c r="P154" s="1">
        <f>(Main_S[[#This Row],[P/B]]-VLOOKUP(Main_S[[#This Row],[Industry]], Mean_PB_S, 2, FALSE))/(VLOOKUP(Main_S[[#This Row],[Industry]], Mean_PB_S, 3, FALSE))</f>
        <v>0.3488668035421123</v>
      </c>
      <c r="Q154" s="1">
        <f>(Main_S[[#This Row],[ROE]]-VLOOKUP(Main_S[[#This Row],[Industry]], Mean_ROE_S, 2, FALSE))/(VLOOKUP(Main_S[[#This Row],[Industry]], Mean_ROE_S, 3, FALSE))</f>
        <v>-0.34723865792366931</v>
      </c>
      <c r="R154" s="1">
        <f>(Main_S[[#This Row],[ROA]]-VLOOKUP(Main_S[[#This Row],[Industry]], Mean_ROA_S, 2, FALSE))/(VLOOKUP(Main_S[[#This Row],[Industry]], Mean_ROA_S, 3, FALSE))</f>
        <v>-0.98954975566569592</v>
      </c>
      <c r="S154" s="1">
        <f>(Main_S[[#This Row],[A/E]]-VLOOKUP(Main_S[[#This Row],[Industry]], Mean_AE_S, 2, FALSE))/(VLOOKUP(Main_S[[#This Row],[Industry]], Mean_AE_S, 3, FALSE))</f>
        <v>0.69553439559688357</v>
      </c>
      <c r="T154" s="1">
        <f>(Main_S[[#This Row],[P/E]]-VLOOKUP(Main_S[[#This Row],[Industry]], Mean_PE_S, 2, FALSE))/(VLOOKUP(Main_S[[#This Row],[Industry]], Mean_PE_S, 3, FALSE))</f>
        <v>2.4180659139151808</v>
      </c>
      <c r="U15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5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5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5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5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5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55" spans="1:26" x14ac:dyDescent="0.25">
      <c r="A155" s="68" t="s">
        <v>204</v>
      </c>
      <c r="B155" s="68" t="s">
        <v>515</v>
      </c>
      <c r="C155" s="2">
        <v>839</v>
      </c>
      <c r="D155">
        <f>RTD("tos.rtd", , "LAST", Main_S[[#This Row],[Symbol]])</f>
        <v>43.43</v>
      </c>
      <c r="E155">
        <v>4.8499999999999996</v>
      </c>
      <c r="F155">
        <v>22.73</v>
      </c>
      <c r="G155">
        <v>0.37</v>
      </c>
      <c r="H155" s="1">
        <f>IF(ISNUMBER(Main_S[[#This Row],[Free CF]]),IF(Main_S[[#This Row],[Free CF]]&lt;&gt;0,Main_S[[#This Row],[Current Price]]/Main_S[[#This Row],[Free CF]],""),"")</f>
        <v>8.9546391752577321</v>
      </c>
      <c r="I155" s="1">
        <f>IF(ISNUMBER(Main_S[[#This Row],[BVPS]]),IF(Main_S[[#This Row],[BVPS]]&lt;&gt;0,Main_S[[#This Row],[Current Price]]/Main_S[[#This Row],[BVPS]],""),"")</f>
        <v>1.9106907171139462</v>
      </c>
      <c r="J155">
        <v>1.71</v>
      </c>
      <c r="K155">
        <v>4.79</v>
      </c>
      <c r="L155">
        <v>2.2000000000000002</v>
      </c>
      <c r="M155" s="1">
        <f>IF(ISNUMBER(Main_S[[#This Row],[EPS]]),IF(Main_S[[#This Row],[EPS]]&lt;&gt;0,Main_S[[#This Row],[Current Price]]/Main_S[[#This Row],[EPS]],""),"")</f>
        <v>117.37837837837839</v>
      </c>
      <c r="N15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55" s="1">
        <f>(Main_S[[#This Row],[P/FCF]]-VLOOKUP(Main_S[[#This Row],[Industry]], Mean_PFCF_S, 2, FALSE))/(VLOOKUP(Main_S[[#This Row],[Industry]], Mean_PFCF_S, 3, FALSE))</f>
        <v>2.9389774528829293E-2</v>
      </c>
      <c r="P155" s="1">
        <f>(Main_S[[#This Row],[P/B]]-VLOOKUP(Main_S[[#This Row],[Industry]], Mean_PB_S, 2, FALSE))/(VLOOKUP(Main_S[[#This Row],[Industry]], Mean_PB_S, 3, FALSE))</f>
        <v>-0.36463789859434853</v>
      </c>
      <c r="Q155" s="1">
        <f>(Main_S[[#This Row],[ROE]]-VLOOKUP(Main_S[[#This Row],[Industry]], Mean_ROE_S, 2, FALSE))/(VLOOKUP(Main_S[[#This Row],[Industry]], Mean_ROE_S, 3, FALSE))</f>
        <v>-0.54733405741427121</v>
      </c>
      <c r="R155" s="1">
        <f>(Main_S[[#This Row],[ROA]]-VLOOKUP(Main_S[[#This Row],[Industry]], Mean_ROA_S, 2, FALSE))/(VLOOKUP(Main_S[[#This Row],[Industry]], Mean_ROA_S, 3, FALSE))</f>
        <v>0.25701302318232588</v>
      </c>
      <c r="S155" s="1">
        <f>(Main_S[[#This Row],[A/E]]-VLOOKUP(Main_S[[#This Row],[Industry]], Mean_AE_S, 2, FALSE))/(VLOOKUP(Main_S[[#This Row],[Industry]], Mean_AE_S, 3, FALSE))</f>
        <v>-0.45811640479217686</v>
      </c>
      <c r="T155" s="1">
        <f>(Main_S[[#This Row],[P/E]]-VLOOKUP(Main_S[[#This Row],[Industry]], Mean_PE_S, 2, FALSE))/(VLOOKUP(Main_S[[#This Row],[Industry]], Mean_PE_S, 3, FALSE))</f>
        <v>4.7991772082480226</v>
      </c>
      <c r="U15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5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5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5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5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5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56" spans="1:26" x14ac:dyDescent="0.25">
      <c r="A156" s="68" t="s">
        <v>204</v>
      </c>
      <c r="B156" s="68" t="s">
        <v>516</v>
      </c>
      <c r="C156" s="2">
        <v>397</v>
      </c>
      <c r="D156">
        <f>RTD("tos.rtd", , "LAST", Main_S[[#This Row],[Symbol]])</f>
        <v>12.38</v>
      </c>
      <c r="E156">
        <v>0.45</v>
      </c>
      <c r="F156">
        <v>35.4</v>
      </c>
      <c r="G156">
        <v>-0.02</v>
      </c>
      <c r="H156" s="1">
        <f>IF(ISNUMBER(Main_S[[#This Row],[Free CF]]),IF(Main_S[[#This Row],[Free CF]]&lt;&gt;0,Main_S[[#This Row],[Current Price]]/Main_S[[#This Row],[Free CF]],""),"")</f>
        <v>27.511111111111113</v>
      </c>
      <c r="I156" s="1">
        <f>IF(ISNUMBER(Main_S[[#This Row],[BVPS]]),IF(Main_S[[#This Row],[BVPS]]&lt;&gt;0,Main_S[[#This Row],[Current Price]]/Main_S[[#This Row],[BVPS]],""),"")</f>
        <v>0.3497175141242938</v>
      </c>
      <c r="J156">
        <v>-0.05</v>
      </c>
      <c r="K156">
        <v>1.69</v>
      </c>
      <c r="L156">
        <v>2.13</v>
      </c>
      <c r="M156" s="1">
        <f>IF(ISNUMBER(Main_S[[#This Row],[EPS]]),IF(Main_S[[#This Row],[EPS]]&lt;&gt;0,Main_S[[#This Row],[Current Price]]/Main_S[[#This Row],[EPS]],""),"")</f>
        <v>-619</v>
      </c>
      <c r="N15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56" s="1">
        <f>(Main_S[[#This Row],[P/FCF]]-VLOOKUP(Main_S[[#This Row],[Industry]], Mean_PFCF_S, 2, FALSE))/(VLOOKUP(Main_S[[#This Row],[Industry]], Mean_PFCF_S, 3, FALSE))</f>
        <v>1.4204309059138567</v>
      </c>
      <c r="P156" s="1">
        <f>(Main_S[[#This Row],[P/B]]-VLOOKUP(Main_S[[#This Row],[Industry]], Mean_PB_S, 2, FALSE))/(VLOOKUP(Main_S[[#This Row],[Industry]], Mean_PB_S, 3, FALSE))</f>
        <v>-1.2274236141088704</v>
      </c>
      <c r="Q156" s="1">
        <f>(Main_S[[#This Row],[ROE]]-VLOOKUP(Main_S[[#This Row],[Industry]], Mean_ROE_S, 2, FALSE))/(VLOOKUP(Main_S[[#This Row],[Industry]], Mean_ROE_S, 3, FALSE))</f>
        <v>-0.65183491886930367</v>
      </c>
      <c r="R156" s="1">
        <f>(Main_S[[#This Row],[ROA]]-VLOOKUP(Main_S[[#This Row],[Industry]], Mean_ROA_S, 2, FALSE))/(VLOOKUP(Main_S[[#This Row],[Industry]], Mean_ROA_S, 3, FALSE))</f>
        <v>-0.41975486025530417</v>
      </c>
      <c r="S156" s="1">
        <f>(Main_S[[#This Row],[A/E]]-VLOOKUP(Main_S[[#This Row],[Industry]], Mean_AE_S, 2, FALSE))/(VLOOKUP(Main_S[[#This Row],[Industry]], Mean_AE_S, 3, FALSE))</f>
        <v>-0.56579047949515626</v>
      </c>
      <c r="T156" s="1">
        <f>(Main_S[[#This Row],[P/E]]-VLOOKUP(Main_S[[#This Row],[Industry]], Mean_PE_S, 2, FALSE))/(VLOOKUP(Main_S[[#This Row],[Industry]], Mean_PE_S, 3, FALSE))</f>
        <v>-30.354308744281166</v>
      </c>
      <c r="U15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5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5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5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5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5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57" spans="1:26" x14ac:dyDescent="0.25">
      <c r="A157" s="68" t="s">
        <v>204</v>
      </c>
      <c r="B157" s="68" t="s">
        <v>517</v>
      </c>
      <c r="C157" s="2">
        <v>395</v>
      </c>
      <c r="D157">
        <f>RTD("tos.rtd", , "LAST", Main_S[[#This Row],[Symbol]])</f>
        <v>12.071</v>
      </c>
      <c r="E157">
        <v>1.22</v>
      </c>
      <c r="F157">
        <v>36.03</v>
      </c>
      <c r="G157">
        <v>1.1599999999999999</v>
      </c>
      <c r="H157" s="1">
        <f>IF(ISNUMBER(Main_S[[#This Row],[Free CF]]),IF(Main_S[[#This Row],[Free CF]]&lt;&gt;0,Main_S[[#This Row],[Current Price]]/Main_S[[#This Row],[Free CF]],""),"")</f>
        <v>9.8942622950819672</v>
      </c>
      <c r="I157" s="1">
        <f>IF(ISNUMBER(Main_S[[#This Row],[BVPS]]),IF(Main_S[[#This Row],[BVPS]]&lt;&gt;0,Main_S[[#This Row],[Current Price]]/Main_S[[#This Row],[BVPS]],""),"")</f>
        <v>0.33502636691645848</v>
      </c>
      <c r="J157">
        <v>-0.05</v>
      </c>
      <c r="K157">
        <v>1.69</v>
      </c>
      <c r="L157">
        <v>2.13</v>
      </c>
      <c r="M157" s="1">
        <f>IF(ISNUMBER(Main_S[[#This Row],[EPS]]),IF(Main_S[[#This Row],[EPS]]&lt;&gt;0,Main_S[[#This Row],[Current Price]]/Main_S[[#This Row],[EPS]],""),"")</f>
        <v>10.406034482758621</v>
      </c>
      <c r="N15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57" s="1">
        <f>(Main_S[[#This Row],[P/FCF]]-VLOOKUP(Main_S[[#This Row],[Industry]], Mean_PFCF_S, 2, FALSE))/(VLOOKUP(Main_S[[#This Row],[Industry]], Mean_PFCF_S, 3, FALSE))</f>
        <v>9.9826353863203932E-2</v>
      </c>
      <c r="P157" s="1">
        <f>(Main_S[[#This Row],[P/B]]-VLOOKUP(Main_S[[#This Row],[Industry]], Mean_PB_S, 2, FALSE))/(VLOOKUP(Main_S[[#This Row],[Industry]], Mean_PB_S, 3, FALSE))</f>
        <v>-1.2355437483502301</v>
      </c>
      <c r="Q157" s="1">
        <f>(Main_S[[#This Row],[ROE]]-VLOOKUP(Main_S[[#This Row],[Industry]], Mean_ROE_S, 2, FALSE))/(VLOOKUP(Main_S[[#This Row],[Industry]], Mean_ROE_S, 3, FALSE))</f>
        <v>-0.65183491886930367</v>
      </c>
      <c r="R157" s="1">
        <f>(Main_S[[#This Row],[ROA]]-VLOOKUP(Main_S[[#This Row],[Industry]], Mean_ROA_S, 2, FALSE))/(VLOOKUP(Main_S[[#This Row],[Industry]], Mean_ROA_S, 3, FALSE))</f>
        <v>-0.41975486025530417</v>
      </c>
      <c r="S157" s="1">
        <f>(Main_S[[#This Row],[A/E]]-VLOOKUP(Main_S[[#This Row],[Industry]], Mean_AE_S, 2, FALSE))/(VLOOKUP(Main_S[[#This Row],[Industry]], Mean_AE_S, 3, FALSE))</f>
        <v>-0.56579047949515626</v>
      </c>
      <c r="T157" s="1">
        <f>(Main_S[[#This Row],[P/E]]-VLOOKUP(Main_S[[#This Row],[Industry]], Mean_PE_S, 2, FALSE))/(VLOOKUP(Main_S[[#This Row],[Industry]], Mean_PE_S, 3, FALSE))</f>
        <v>-0.30750557720379607</v>
      </c>
      <c r="U15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5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5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5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5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5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58" spans="1:26" x14ac:dyDescent="0.25">
      <c r="A158" s="68" t="s">
        <v>204</v>
      </c>
      <c r="B158" s="68" t="s">
        <v>518</v>
      </c>
      <c r="C158" s="2">
        <v>702</v>
      </c>
      <c r="D158">
        <f>RTD("tos.rtd", , "LAST", Main_S[[#This Row],[Symbol]])</f>
        <v>41.61</v>
      </c>
      <c r="E158">
        <v>3.48</v>
      </c>
      <c r="F158">
        <v>7.71</v>
      </c>
      <c r="G158">
        <v>2.56</v>
      </c>
      <c r="H158" s="1">
        <f>IF(ISNUMBER(Main_S[[#This Row],[Free CF]]),IF(Main_S[[#This Row],[Free CF]]&lt;&gt;0,Main_S[[#This Row],[Current Price]]/Main_S[[#This Row],[Free CF]],""),"")</f>
        <v>11.956896551724137</v>
      </c>
      <c r="I158" s="1">
        <f>IF(ISNUMBER(Main_S[[#This Row],[BVPS]]),IF(Main_S[[#This Row],[BVPS]]&lt;&gt;0,Main_S[[#This Row],[Current Price]]/Main_S[[#This Row],[BVPS]],""),"")</f>
        <v>5.3968871595330743</v>
      </c>
      <c r="J158">
        <v>31.45</v>
      </c>
      <c r="K158">
        <v>11.17</v>
      </c>
      <c r="L158">
        <v>2.67</v>
      </c>
      <c r="M158" s="1">
        <f>IF(ISNUMBER(Main_S[[#This Row],[EPS]]),IF(Main_S[[#This Row],[EPS]]&lt;&gt;0,Main_S[[#This Row],[Current Price]]/Main_S[[#This Row],[EPS]],""),"")</f>
        <v>16.25390625</v>
      </c>
      <c r="N15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58" s="1">
        <f>(Main_S[[#This Row],[P/FCF]]-VLOOKUP(Main_S[[#This Row],[Industry]], Mean_PFCF_S, 2, FALSE))/(VLOOKUP(Main_S[[#This Row],[Industry]], Mean_PFCF_S, 3, FALSE))</f>
        <v>0.25444675260664046</v>
      </c>
      <c r="P158" s="1">
        <f>(Main_S[[#This Row],[P/B]]-VLOOKUP(Main_S[[#This Row],[Industry]], Mean_PB_S, 2, FALSE))/(VLOOKUP(Main_S[[#This Row],[Industry]], Mean_PB_S, 3, FALSE))</f>
        <v>1.5622628875536806</v>
      </c>
      <c r="Q158" s="1">
        <f>(Main_S[[#This Row],[ROE]]-VLOOKUP(Main_S[[#This Row],[Industry]], Mean_ROE_S, 2, FALSE))/(VLOOKUP(Main_S[[#This Row],[Industry]], Mean_ROE_S, 3, FALSE))</f>
        <v>1.2184929992179245</v>
      </c>
      <c r="R158" s="1">
        <f>(Main_S[[#This Row],[ROA]]-VLOOKUP(Main_S[[#This Row],[Industry]], Mean_ROA_S, 2, FALSE))/(VLOOKUP(Main_S[[#This Row],[Industry]], Mean_ROA_S, 3, FALSE))</f>
        <v>1.6498449897410612</v>
      </c>
      <c r="S158" s="1">
        <f>(Main_S[[#This Row],[A/E]]-VLOOKUP(Main_S[[#This Row],[Industry]], Mean_AE_S, 2, FALSE))/(VLOOKUP(Main_S[[#This Row],[Industry]], Mean_AE_S, 3, FALSE))</f>
        <v>0.26483809678496734</v>
      </c>
      <c r="T158" s="1">
        <f>(Main_S[[#This Row],[P/E]]-VLOOKUP(Main_S[[#This Row],[Industry]], Mean_PE_S, 2, FALSE))/(VLOOKUP(Main_S[[#This Row],[Industry]], Mean_PE_S, 3, FALSE))</f>
        <v>-2.8337850315051333E-2</v>
      </c>
      <c r="U15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5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5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5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5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5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59" spans="1:26" x14ac:dyDescent="0.25">
      <c r="A159" s="68" t="s">
        <v>204</v>
      </c>
      <c r="B159" s="68" t="s">
        <v>364</v>
      </c>
      <c r="C159" s="2">
        <v>1776</v>
      </c>
      <c r="D159">
        <f>RTD("tos.rtd", , "LAST", Main_S[[#This Row],[Symbol]])</f>
        <v>43.81</v>
      </c>
      <c r="E159">
        <v>-0.27</v>
      </c>
      <c r="F159">
        <v>45.21</v>
      </c>
      <c r="G159">
        <v>2.33</v>
      </c>
      <c r="H159" s="1">
        <f>IF(ISNUMBER(Main_S[[#This Row],[Free CF]]),IF(Main_S[[#This Row],[Free CF]]&lt;&gt;0,Main_S[[#This Row],[Current Price]]/Main_S[[#This Row],[Free CF]],""),"")</f>
        <v>-162.25925925925927</v>
      </c>
      <c r="I159" s="1">
        <f>IF(ISNUMBER(Main_S[[#This Row],[BVPS]]),IF(Main_S[[#This Row],[BVPS]]&lt;&gt;0,Main_S[[#This Row],[Current Price]]/Main_S[[#This Row],[BVPS]],""),"")</f>
        <v>0.96903339969033397</v>
      </c>
      <c r="J159">
        <v>5.17</v>
      </c>
      <c r="K159">
        <v>2.57</v>
      </c>
      <c r="L159">
        <v>3.82</v>
      </c>
      <c r="M159" s="1">
        <f>IF(ISNUMBER(Main_S[[#This Row],[EPS]]),IF(Main_S[[#This Row],[EPS]]&lt;&gt;0,Main_S[[#This Row],[Current Price]]/Main_S[[#This Row],[EPS]],""),"")</f>
        <v>18.802575107296139</v>
      </c>
      <c r="N15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59" s="1">
        <f>(Main_S[[#This Row],[P/FCF]]-VLOOKUP(Main_S[[#This Row],[Industry]], Mean_PFCF_S, 2, FALSE))/(VLOOKUP(Main_S[[#This Row],[Industry]], Mean_PFCF_S, 3, FALSE))</f>
        <v>-12.805246885418722</v>
      </c>
      <c r="P159" s="1">
        <f>(Main_S[[#This Row],[P/B]]-VLOOKUP(Main_S[[#This Row],[Industry]], Mean_PB_S, 2, FALSE))/(VLOOKUP(Main_S[[#This Row],[Industry]], Mean_PB_S, 3, FALSE))</f>
        <v>-0.88511351010822681</v>
      </c>
      <c r="Q159" s="1">
        <f>(Main_S[[#This Row],[ROE]]-VLOOKUP(Main_S[[#This Row],[Industry]], Mean_ROE_S, 2, FALSE))/(VLOOKUP(Main_S[[#This Row],[Industry]], Mean_ROE_S, 3, FALSE))</f>
        <v>-0.34189486387199153</v>
      </c>
      <c r="R159" s="1">
        <f>(Main_S[[#This Row],[ROA]]-VLOOKUP(Main_S[[#This Row],[Industry]], Mean_ROA_S, 2, FALSE))/(VLOOKUP(Main_S[[#This Row],[Industry]], Mean_ROA_S, 3, FALSE))</f>
        <v>-0.22764010624720277</v>
      </c>
      <c r="S159" s="1">
        <f>(Main_S[[#This Row],[A/E]]-VLOOKUP(Main_S[[#This Row],[Industry]], Mean_AE_S, 2, FALSE))/(VLOOKUP(Main_S[[#This Row],[Industry]], Mean_AE_S, 3, FALSE))</f>
        <v>2.0337693240481931</v>
      </c>
      <c r="T159" s="1">
        <f>(Main_S[[#This Row],[P/E]]-VLOOKUP(Main_S[[#This Row],[Industry]], Mean_PE_S, 2, FALSE))/(VLOOKUP(Main_S[[#This Row],[Industry]], Mean_PE_S, 3, FALSE))</f>
        <v>9.3331385913624887E-2</v>
      </c>
      <c r="U15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5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5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5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5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5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60" spans="1:26" x14ac:dyDescent="0.25">
      <c r="A160" s="68" t="s">
        <v>204</v>
      </c>
      <c r="B160" s="68" t="s">
        <v>519</v>
      </c>
      <c r="C160" s="2">
        <v>274</v>
      </c>
      <c r="D160">
        <f>RTD("tos.rtd", , "LAST", Main_S[[#This Row],[Symbol]])</f>
        <v>11.84</v>
      </c>
      <c r="E160">
        <v>-2.64</v>
      </c>
      <c r="F160">
        <v>3.07</v>
      </c>
      <c r="G160">
        <v>-2.67</v>
      </c>
      <c r="H160" s="1">
        <f>IF(ISNUMBER(Main_S[[#This Row],[Free CF]]),IF(Main_S[[#This Row],[Free CF]]&lt;&gt;0,Main_S[[#This Row],[Current Price]]/Main_S[[#This Row],[Free CF]],""),"")</f>
        <v>-4.4848484848484844</v>
      </c>
      <c r="I160" s="1">
        <f>IF(ISNUMBER(Main_S[[#This Row],[BVPS]]),IF(Main_S[[#This Row],[BVPS]]&lt;&gt;0,Main_S[[#This Row],[Current Price]]/Main_S[[#This Row],[BVPS]],""),"")</f>
        <v>3.8566775244299674</v>
      </c>
      <c r="J160">
        <v>-61.15</v>
      </c>
      <c r="K160">
        <v>-11.71</v>
      </c>
      <c r="L160">
        <v>2.7</v>
      </c>
      <c r="M160" s="1">
        <f>IF(ISNUMBER(Main_S[[#This Row],[EPS]]),IF(Main_S[[#This Row],[EPS]]&lt;&gt;0,Main_S[[#This Row],[Current Price]]/Main_S[[#This Row],[EPS]],""),"")</f>
        <v>-4.4344569288389515</v>
      </c>
      <c r="N16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60" s="1">
        <f>(Main_S[[#This Row],[P/FCF]]-VLOOKUP(Main_S[[#This Row],[Industry]], Mean_PFCF_S, 2, FALSE))/(VLOOKUP(Main_S[[#This Row],[Industry]], Mean_PFCF_S, 3, FALSE))</f>
        <v>-0.97806898080862603</v>
      </c>
      <c r="P160" s="1">
        <f>(Main_S[[#This Row],[P/B]]-VLOOKUP(Main_S[[#This Row],[Industry]], Mean_PB_S, 2, FALSE))/(VLOOKUP(Main_S[[#This Row],[Industry]], Mean_PB_S, 3, FALSE))</f>
        <v>0.7109536725590373</v>
      </c>
      <c r="Q160" s="1">
        <f>(Main_S[[#This Row],[ROE]]-VLOOKUP(Main_S[[#This Row],[Industry]], Mean_ROE_S, 2, FALSE))/(VLOOKUP(Main_S[[#This Row],[Industry]], Mean_ROE_S, 3, FALSE))</f>
        <v>-4.2796773250638953</v>
      </c>
      <c r="R160" s="1">
        <f>(Main_S[[#This Row],[ROA]]-VLOOKUP(Main_S[[#This Row],[Industry]], Mean_ROA_S, 2, FALSE))/(VLOOKUP(Main_S[[#This Row],[Industry]], Mean_ROA_S, 3, FALSE))</f>
        <v>-3.3451386144695761</v>
      </c>
      <c r="S160" s="1">
        <f>(Main_S[[#This Row],[A/E]]-VLOOKUP(Main_S[[#This Row],[Industry]], Mean_AE_S, 2, FALSE))/(VLOOKUP(Main_S[[#This Row],[Industry]], Mean_AE_S, 3, FALSE))</f>
        <v>0.31098412880053011</v>
      </c>
      <c r="T160" s="1">
        <f>(Main_S[[#This Row],[P/E]]-VLOOKUP(Main_S[[#This Row],[Industry]], Mean_PE_S, 2, FALSE))/(VLOOKUP(Main_S[[#This Row],[Industry]], Mean_PE_S, 3, FALSE))</f>
        <v>-1.0159660938135859</v>
      </c>
      <c r="U16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6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6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16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16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6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61" spans="1:26" x14ac:dyDescent="0.25">
      <c r="A161" s="68" t="s">
        <v>204</v>
      </c>
      <c r="B161" s="68" t="s">
        <v>520</v>
      </c>
      <c r="C161" s="2">
        <v>1213</v>
      </c>
      <c r="D161">
        <f>RTD("tos.rtd", , "LAST", Main_S[[#This Row],[Symbol]])</f>
        <v>189.98</v>
      </c>
      <c r="E161">
        <v>2.35</v>
      </c>
      <c r="F161">
        <v>33.479999999999997</v>
      </c>
      <c r="G161">
        <v>7.4</v>
      </c>
      <c r="H161" s="1">
        <f>IF(ISNUMBER(Main_S[[#This Row],[Free CF]]),IF(Main_S[[#This Row],[Free CF]]&lt;&gt;0,Main_S[[#This Row],[Current Price]]/Main_S[[#This Row],[Free CF]],""),"")</f>
        <v>80.842553191489358</v>
      </c>
      <c r="I161" s="1">
        <f>IF(ISNUMBER(Main_S[[#This Row],[BVPS]]),IF(Main_S[[#This Row],[BVPS]]&lt;&gt;0,Main_S[[#This Row],[Current Price]]/Main_S[[#This Row],[BVPS]],""),"")</f>
        <v>5.6744324970131421</v>
      </c>
      <c r="J161">
        <v>23.21</v>
      </c>
      <c r="K161">
        <v>8.3699999999999992</v>
      </c>
      <c r="L161">
        <v>2.6</v>
      </c>
      <c r="M161" s="1">
        <f>IF(ISNUMBER(Main_S[[#This Row],[EPS]]),IF(Main_S[[#This Row],[EPS]]&lt;&gt;0,Main_S[[#This Row],[Current Price]]/Main_S[[#This Row],[EPS]],""),"")</f>
        <v>25.672972972972971</v>
      </c>
      <c r="N16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61" s="1">
        <f>(Main_S[[#This Row],[P/FCF]]-VLOOKUP(Main_S[[#This Row],[Industry]], Mean_PFCF_S, 2, FALSE))/(VLOOKUP(Main_S[[#This Row],[Industry]], Mean_PFCF_S, 3, FALSE))</f>
        <v>5.4182937424667204</v>
      </c>
      <c r="P161" s="1">
        <f>(Main_S[[#This Row],[P/B]]-VLOOKUP(Main_S[[#This Row],[Industry]], Mean_PB_S, 2, FALSE))/(VLOOKUP(Main_S[[#This Row],[Industry]], Mean_PB_S, 3, FALSE))</f>
        <v>1.7156685655799466</v>
      </c>
      <c r="Q161" s="1">
        <f>(Main_S[[#This Row],[ROE]]-VLOOKUP(Main_S[[#This Row],[Industry]], Mean_ROE_S, 2, FALSE))/(VLOOKUP(Main_S[[#This Row],[Industry]], Mean_ROE_S, 3, FALSE))</f>
        <v>0.72923896604209104</v>
      </c>
      <c r="R161" s="1">
        <f>(Main_S[[#This Row],[ROA]]-VLOOKUP(Main_S[[#This Row],[Industry]], Mean_ROA_S, 2, FALSE))/(VLOOKUP(Main_S[[#This Row],[Industry]], Mean_ROA_S, 3, FALSE))</f>
        <v>1.0385707724425566</v>
      </c>
      <c r="S161" s="1">
        <f>(Main_S[[#This Row],[A/E]]-VLOOKUP(Main_S[[#This Row],[Industry]], Mean_AE_S, 2, FALSE))/(VLOOKUP(Main_S[[#This Row],[Industry]], Mean_AE_S, 3, FALSE))</f>
        <v>0.15716402208198857</v>
      </c>
      <c r="T161" s="1">
        <f>(Main_S[[#This Row],[P/E]]-VLOOKUP(Main_S[[#This Row],[Industry]], Mean_PE_S, 2, FALSE))/(VLOOKUP(Main_S[[#This Row],[Industry]], Mean_PE_S, 3, FALSE))</f>
        <v>0.42131281767594631</v>
      </c>
      <c r="U16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6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6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6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6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6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62" spans="1:26" x14ac:dyDescent="0.25">
      <c r="A162" s="68" t="s">
        <v>204</v>
      </c>
      <c r="B162" s="68" t="s">
        <v>582</v>
      </c>
      <c r="C162" s="2">
        <v>267</v>
      </c>
      <c r="D162">
        <f>RTD("tos.rtd", , "LAST", Main_S[[#This Row],[Symbol]])</f>
        <v>7.78</v>
      </c>
      <c r="E162">
        <v>-1</v>
      </c>
      <c r="F162">
        <v>-0.25</v>
      </c>
      <c r="G162">
        <v>1.41</v>
      </c>
      <c r="H162" s="1">
        <f>IF(ISNUMBER(Main_S[[#This Row],[Free CF]]),IF(Main_S[[#This Row],[Free CF]]&lt;&gt;0,Main_S[[#This Row],[Current Price]]/Main_S[[#This Row],[Free CF]],""),"")</f>
        <v>-7.78</v>
      </c>
      <c r="I162" s="1">
        <f>IF(ISNUMBER(Main_S[[#This Row],[BVPS]]),IF(Main_S[[#This Row],[BVPS]]&lt;&gt;0,Main_S[[#This Row],[Current Price]]/Main_S[[#This Row],[BVPS]],""),"")</f>
        <v>-31.12</v>
      </c>
      <c r="J162">
        <v>-58.72</v>
      </c>
      <c r="K162">
        <v>-15.91</v>
      </c>
      <c r="L162">
        <v>-6.83</v>
      </c>
      <c r="M162" s="1">
        <f>IF(ISNUMBER(Main_S[[#This Row],[EPS]]),IF(Main_S[[#This Row],[EPS]]&lt;&gt;0,Main_S[[#This Row],[Current Price]]/Main_S[[#This Row],[EPS]],""),"")</f>
        <v>5.5177304964539013</v>
      </c>
      <c r="N16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62" s="1">
        <f>(Main_S[[#This Row],[P/FCF]]-VLOOKUP(Main_S[[#This Row],[Industry]], Mean_PFCF_S, 2, FALSE))/(VLOOKUP(Main_S[[#This Row],[Industry]], Mean_PFCF_S, 3, FALSE))</f>
        <v>-1.2250820610733717</v>
      </c>
      <c r="P162" s="1">
        <f>(Main_S[[#This Row],[P/B]]-VLOOKUP(Main_S[[#This Row],[Industry]], Mean_PB_S, 2, FALSE))/(VLOOKUP(Main_S[[#This Row],[Industry]], Mean_PB_S, 3, FALSE))</f>
        <v>-18.621458752227507</v>
      </c>
      <c r="Q162" s="1">
        <f>(Main_S[[#This Row],[ROE]]-VLOOKUP(Main_S[[#This Row],[Industry]], Mean_ROE_S, 2, FALSE))/(VLOOKUP(Main_S[[#This Row],[Industry]], Mean_ROE_S, 3, FALSE))</f>
        <v>-4.135394885668596</v>
      </c>
      <c r="R162" s="1">
        <f>(Main_S[[#This Row],[ROA]]-VLOOKUP(Main_S[[#This Row],[Industry]], Mean_ROA_S, 2, FALSE))/(VLOOKUP(Main_S[[#This Row],[Industry]], Mean_ROA_S, 3, FALSE))</f>
        <v>-4.2620499404173326</v>
      </c>
      <c r="S162" s="1">
        <f>(Main_S[[#This Row],[A/E]]-VLOOKUP(Main_S[[#This Row],[Industry]], Mean_AE_S, 2, FALSE))/(VLOOKUP(Main_S[[#This Row],[Industry]], Mean_AE_S, 3, FALSE))</f>
        <v>-14.348072041476467</v>
      </c>
      <c r="T162" s="1">
        <f>(Main_S[[#This Row],[P/E]]-VLOOKUP(Main_S[[#This Row],[Industry]], Mean_PE_S, 2, FALSE))/(VLOOKUP(Main_S[[#This Row],[Industry]], Mean_PE_S, 3, FALSE))</f>
        <v>-0.54086512517514784</v>
      </c>
      <c r="U16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6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16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16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16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16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63" spans="1:26" x14ac:dyDescent="0.25">
      <c r="A163" s="68" t="s">
        <v>204</v>
      </c>
      <c r="B163" s="68" t="s">
        <v>521</v>
      </c>
      <c r="C163" s="2">
        <v>263</v>
      </c>
      <c r="D163">
        <f>RTD("tos.rtd", , "LAST", Main_S[[#This Row],[Symbol]])</f>
        <v>23.19</v>
      </c>
      <c r="E163">
        <v>2.86</v>
      </c>
      <c r="F163">
        <v>5.59</v>
      </c>
      <c r="G163">
        <v>1.34</v>
      </c>
      <c r="H163" s="1">
        <f>IF(ISNUMBER(Main_S[[#This Row],[Free CF]]),IF(Main_S[[#This Row],[Free CF]]&lt;&gt;0,Main_S[[#This Row],[Current Price]]/Main_S[[#This Row],[Free CF]],""),"")</f>
        <v>8.1083916083916083</v>
      </c>
      <c r="I163" s="1">
        <f>IF(ISNUMBER(Main_S[[#This Row],[BVPS]]),IF(Main_S[[#This Row],[BVPS]]&lt;&gt;0,Main_S[[#This Row],[Current Price]]/Main_S[[#This Row],[BVPS]],""),"")</f>
        <v>4.1484794275491952</v>
      </c>
      <c r="J163">
        <v>24.81</v>
      </c>
      <c r="K163">
        <v>8.17</v>
      </c>
      <c r="L163">
        <v>3.05</v>
      </c>
      <c r="M163" s="1">
        <f>IF(ISNUMBER(Main_S[[#This Row],[EPS]]),IF(Main_S[[#This Row],[EPS]]&lt;&gt;0,Main_S[[#This Row],[Current Price]]/Main_S[[#This Row],[EPS]],""),"")</f>
        <v>17.305970149253731</v>
      </c>
      <c r="N16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63" s="1">
        <f>(Main_S[[#This Row],[P/FCF]]-VLOOKUP(Main_S[[#This Row],[Industry]], Mean_PFCF_S, 2, FALSE))/(VLOOKUP(Main_S[[#This Row],[Industry]], Mean_PFCF_S, 3, FALSE))</f>
        <v>-3.4047131846183298E-2</v>
      </c>
      <c r="P163" s="1">
        <f>(Main_S[[#This Row],[P/B]]-VLOOKUP(Main_S[[#This Row],[Industry]], Mean_PB_S, 2, FALSE))/(VLOOKUP(Main_S[[#This Row],[Industry]], Mean_PB_S, 3, FALSE))</f>
        <v>0.87223928161948394</v>
      </c>
      <c r="Q163" s="1">
        <f>(Main_S[[#This Row],[ROE]]-VLOOKUP(Main_S[[#This Row],[Industry]], Mean_ROE_S, 2, FALSE))/(VLOOKUP(Main_S[[#This Row],[Industry]], Mean_ROE_S, 3, FALSE))</f>
        <v>0.82423974918302945</v>
      </c>
      <c r="R163" s="1">
        <f>(Main_S[[#This Row],[ROA]]-VLOOKUP(Main_S[[#This Row],[Industry]], Mean_ROA_S, 2, FALSE))/(VLOOKUP(Main_S[[#This Row],[Industry]], Mean_ROA_S, 3, FALSE))</f>
        <v>0.99490832834980636</v>
      </c>
      <c r="S163" s="1">
        <f>(Main_S[[#This Row],[A/E]]-VLOOKUP(Main_S[[#This Row],[Industry]], Mean_AE_S, 2, FALSE))/(VLOOKUP(Main_S[[#This Row],[Industry]], Mean_AE_S, 3, FALSE))</f>
        <v>0.84935450231542442</v>
      </c>
      <c r="T163" s="1">
        <f>(Main_S[[#This Row],[P/E]]-VLOOKUP(Main_S[[#This Row],[Industry]], Mean_PE_S, 2, FALSE))/(VLOOKUP(Main_S[[#This Row],[Industry]], Mean_PE_S, 3, FALSE))</f>
        <v>2.1885940319626335E-2</v>
      </c>
      <c r="U16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6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6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6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6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6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64" spans="1:26" x14ac:dyDescent="0.25">
      <c r="A164" s="68" t="s">
        <v>204</v>
      </c>
      <c r="B164" s="68" t="s">
        <v>376</v>
      </c>
      <c r="C164" s="2">
        <v>1554</v>
      </c>
      <c r="D164">
        <f>RTD("tos.rtd", , "LAST", Main_S[[#This Row],[Symbol]])</f>
        <v>86.1</v>
      </c>
      <c r="E164">
        <v>6.9</v>
      </c>
      <c r="F164">
        <v>52.58</v>
      </c>
      <c r="G164">
        <v>5.82</v>
      </c>
      <c r="H164" s="1">
        <f>IF(ISNUMBER(Main_S[[#This Row],[Free CF]]),IF(Main_S[[#This Row],[Free CF]]&lt;&gt;0,Main_S[[#This Row],[Current Price]]/Main_S[[#This Row],[Free CF]],""),"")</f>
        <v>12.478260869565215</v>
      </c>
      <c r="I164" s="1">
        <f>IF(ISNUMBER(Main_S[[#This Row],[BVPS]]),IF(Main_S[[#This Row],[BVPS]]&lt;&gt;0,Main_S[[#This Row],[Current Price]]/Main_S[[#This Row],[BVPS]],""),"")</f>
        <v>1.6375047546595662</v>
      </c>
      <c r="J164">
        <v>11.64</v>
      </c>
      <c r="K164">
        <v>5.0999999999999996</v>
      </c>
      <c r="L164">
        <v>2.14</v>
      </c>
      <c r="M164" s="1">
        <f>IF(ISNUMBER(Main_S[[#This Row],[EPS]]),IF(Main_S[[#This Row],[EPS]]&lt;&gt;0,Main_S[[#This Row],[Current Price]]/Main_S[[#This Row],[EPS]],""),"")</f>
        <v>14.79381443298969</v>
      </c>
      <c r="N16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64" s="1">
        <f>(Main_S[[#This Row],[P/FCF]]-VLOOKUP(Main_S[[#This Row],[Industry]], Mean_PFCF_S, 2, FALSE))/(VLOOKUP(Main_S[[#This Row],[Industry]], Mean_PFCF_S, 3, FALSE))</f>
        <v>0.29352957034594274</v>
      </c>
      <c r="P164" s="1">
        <f>(Main_S[[#This Row],[P/B]]-VLOOKUP(Main_S[[#This Row],[Industry]], Mean_PB_S, 2, FALSE))/(VLOOKUP(Main_S[[#This Row],[Industry]], Mean_PB_S, 3, FALSE))</f>
        <v>-0.51563404999098972</v>
      </c>
      <c r="Q164" s="1">
        <f>(Main_S[[#This Row],[ROE]]-VLOOKUP(Main_S[[#This Row],[Industry]], Mean_ROE_S, 2, FALSE))/(VLOOKUP(Main_S[[#This Row],[Industry]], Mean_ROE_S, 3, FALSE))</f>
        <v>4.2264552954178879E-2</v>
      </c>
      <c r="R164" s="1">
        <f>(Main_S[[#This Row],[ROA]]-VLOOKUP(Main_S[[#This Row],[Industry]], Mean_ROA_S, 2, FALSE))/(VLOOKUP(Main_S[[#This Row],[Industry]], Mean_ROA_S, 3, FALSE))</f>
        <v>0.32468981152608878</v>
      </c>
      <c r="S164" s="1">
        <f>(Main_S[[#This Row],[A/E]]-VLOOKUP(Main_S[[#This Row],[Industry]], Mean_AE_S, 2, FALSE))/(VLOOKUP(Main_S[[#This Row],[Industry]], Mean_AE_S, 3, FALSE))</f>
        <v>-0.55040846882330174</v>
      </c>
      <c r="T164" s="1">
        <f>(Main_S[[#This Row],[P/E]]-VLOOKUP(Main_S[[#This Row],[Industry]], Mean_PE_S, 2, FALSE))/(VLOOKUP(Main_S[[#This Row],[Industry]], Mean_PE_S, 3, FALSE))</f>
        <v>-9.8040218942041207E-2</v>
      </c>
      <c r="U16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6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6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6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6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6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65" spans="1:26" x14ac:dyDescent="0.25">
      <c r="A165" s="68" t="s">
        <v>204</v>
      </c>
      <c r="B165" s="68" t="s">
        <v>522</v>
      </c>
      <c r="C165" s="2">
        <v>1167</v>
      </c>
      <c r="D165">
        <f>RTD("tos.rtd", , "LAST", Main_S[[#This Row],[Symbol]])</f>
        <v>36.32</v>
      </c>
      <c r="E165">
        <v>0.94</v>
      </c>
      <c r="F165">
        <v>2.0299999999999998</v>
      </c>
      <c r="G165">
        <v>0.89</v>
      </c>
      <c r="H165" s="1">
        <f>IF(ISNUMBER(Main_S[[#This Row],[Free CF]]),IF(Main_S[[#This Row],[Free CF]]&lt;&gt;0,Main_S[[#This Row],[Current Price]]/Main_S[[#This Row],[Free CF]],""),"")</f>
        <v>38.638297872340431</v>
      </c>
      <c r="I165" s="1">
        <f>IF(ISNUMBER(Main_S[[#This Row],[BVPS]]),IF(Main_S[[#This Row],[BVPS]]&lt;&gt;0,Main_S[[#This Row],[Current Price]]/Main_S[[#This Row],[BVPS]],""),"")</f>
        <v>17.891625615763548</v>
      </c>
      <c r="J165">
        <v>64.89</v>
      </c>
      <c r="K165">
        <v>17.600000000000001</v>
      </c>
      <c r="L165">
        <v>1.79</v>
      </c>
      <c r="M165" s="1">
        <f>IF(ISNUMBER(Main_S[[#This Row],[EPS]]),IF(Main_S[[#This Row],[EPS]]&lt;&gt;0,Main_S[[#This Row],[Current Price]]/Main_S[[#This Row],[EPS]],""),"")</f>
        <v>40.80898876404494</v>
      </c>
      <c r="N16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65" s="1">
        <f>(Main_S[[#This Row],[P/FCF]]-VLOOKUP(Main_S[[#This Row],[Industry]], Mean_PFCF_S, 2, FALSE))/(VLOOKUP(Main_S[[#This Row],[Industry]], Mean_PFCF_S, 3, FALSE))</f>
        <v>2.2545536052598898</v>
      </c>
      <c r="P165" s="1">
        <f>(Main_S[[#This Row],[P/B]]-VLOOKUP(Main_S[[#This Row],[Industry]], Mean_PB_S, 2, FALSE))/(VLOOKUP(Main_S[[#This Row],[Industry]], Mean_PB_S, 3, FALSE))</f>
        <v>8.4683916016652994</v>
      </c>
      <c r="Q165" s="1">
        <f>(Main_S[[#This Row],[ROE]]-VLOOKUP(Main_S[[#This Row],[Industry]], Mean_ROE_S, 2, FALSE))/(VLOOKUP(Main_S[[#This Row],[Industry]], Mean_ROE_S, 3, FALSE))</f>
        <v>3.204009366863541</v>
      </c>
      <c r="R165" s="1">
        <f>(Main_S[[#This Row],[ROA]]-VLOOKUP(Main_S[[#This Row],[Industry]], Mean_ROA_S, 2, FALSE))/(VLOOKUP(Main_S[[#This Row],[Industry]], Mean_ROA_S, 3, FALSE))</f>
        <v>3.0535925673229842</v>
      </c>
      <c r="S165" s="1">
        <f>(Main_S[[#This Row],[A/E]]-VLOOKUP(Main_S[[#This Row],[Industry]], Mean_AE_S, 2, FALSE))/(VLOOKUP(Main_S[[#This Row],[Industry]], Mean_AE_S, 3, FALSE))</f>
        <v>-1.0887788423381968</v>
      </c>
      <c r="T165" s="1">
        <f>(Main_S[[#This Row],[P/E]]-VLOOKUP(Main_S[[#This Row],[Industry]], Mean_PE_S, 2, FALSE))/(VLOOKUP(Main_S[[#This Row],[Industry]], Mean_PE_S, 3, FALSE))</f>
        <v>1.1438811794201367</v>
      </c>
      <c r="U16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6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16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16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16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6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66" spans="1:26" x14ac:dyDescent="0.25">
      <c r="A166" s="68" t="s">
        <v>204</v>
      </c>
      <c r="B166" s="68" t="s">
        <v>523</v>
      </c>
      <c r="C166" s="2">
        <v>1314</v>
      </c>
      <c r="D166">
        <f>RTD("tos.rtd", , "LAST", Main_S[[#This Row],[Symbol]])</f>
        <v>9.51</v>
      </c>
      <c r="E166">
        <v>0.55000000000000004</v>
      </c>
      <c r="F166">
        <v>0.54</v>
      </c>
      <c r="G166">
        <v>0.16</v>
      </c>
      <c r="H166" s="1">
        <f>IF(ISNUMBER(Main_S[[#This Row],[Free CF]]),IF(Main_S[[#This Row],[Free CF]]&lt;&gt;0,Main_S[[#This Row],[Current Price]]/Main_S[[#This Row],[Free CF]],""),"")</f>
        <v>17.290909090909089</v>
      </c>
      <c r="I166" s="1">
        <f>IF(ISNUMBER(Main_S[[#This Row],[BVPS]]),IF(Main_S[[#This Row],[BVPS]]&lt;&gt;0,Main_S[[#This Row],[Current Price]]/Main_S[[#This Row],[BVPS]],""),"")</f>
        <v>17.611111111111111</v>
      </c>
      <c r="J166">
        <v>22.86</v>
      </c>
      <c r="K166">
        <v>6.34</v>
      </c>
      <c r="L166">
        <v>4.01</v>
      </c>
      <c r="M166" s="1">
        <f>IF(ISNUMBER(Main_S[[#This Row],[EPS]]),IF(Main_S[[#This Row],[EPS]]&lt;&gt;0,Main_S[[#This Row],[Current Price]]/Main_S[[#This Row],[EPS]],""),"")</f>
        <v>59.4375</v>
      </c>
      <c r="N16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66" s="1">
        <f>(Main_S[[#This Row],[P/FCF]]-VLOOKUP(Main_S[[#This Row],[Industry]], Mean_PFCF_S, 2, FALSE))/(VLOOKUP(Main_S[[#This Row],[Industry]], Mean_PFCF_S, 3, FALSE))</f>
        <v>0.654298128610596</v>
      </c>
      <c r="P166" s="1">
        <f>(Main_S[[#This Row],[P/B]]-VLOOKUP(Main_S[[#This Row],[Industry]], Mean_PB_S, 2, FALSE))/(VLOOKUP(Main_S[[#This Row],[Industry]], Mean_PB_S, 3, FALSE))</f>
        <v>8.313344796796887</v>
      </c>
      <c r="Q166" s="1">
        <f>(Main_S[[#This Row],[ROE]]-VLOOKUP(Main_S[[#This Row],[Industry]], Mean_ROE_S, 2, FALSE))/(VLOOKUP(Main_S[[#This Row],[Industry]], Mean_ROE_S, 3, FALSE))</f>
        <v>0.70845754473001066</v>
      </c>
      <c r="R166" s="1">
        <f>(Main_S[[#This Row],[ROA]]-VLOOKUP(Main_S[[#This Row],[Industry]], Mean_ROA_S, 2, FALSE))/(VLOOKUP(Main_S[[#This Row],[Industry]], Mean_ROA_S, 3, FALSE))</f>
        <v>0.5953969649011408</v>
      </c>
      <c r="S166" s="1">
        <f>(Main_S[[#This Row],[A/E]]-VLOOKUP(Main_S[[#This Row],[Industry]], Mean_AE_S, 2, FALSE))/(VLOOKUP(Main_S[[#This Row],[Industry]], Mean_AE_S, 3, FALSE))</f>
        <v>2.3260275268134216</v>
      </c>
      <c r="T166" s="1">
        <f>(Main_S[[#This Row],[P/E]]-VLOOKUP(Main_S[[#This Row],[Industry]], Mean_PE_S, 2, FALSE))/(VLOOKUP(Main_S[[#This Row],[Industry]], Mean_PE_S, 3, FALSE))</f>
        <v>2.0331754977728527</v>
      </c>
      <c r="U16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6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16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6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6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6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67" spans="1:26" x14ac:dyDescent="0.25">
      <c r="A167" s="68" t="s">
        <v>204</v>
      </c>
      <c r="B167" s="68" t="s">
        <v>524</v>
      </c>
      <c r="C167" s="2">
        <v>296</v>
      </c>
      <c r="D167">
        <f>RTD("tos.rtd", , "LAST", Main_S[[#This Row],[Symbol]])</f>
        <v>7.96</v>
      </c>
      <c r="E167">
        <v>0.88</v>
      </c>
      <c r="F167">
        <v>6.4</v>
      </c>
      <c r="G167">
        <v>0.6</v>
      </c>
      <c r="H167" s="1">
        <f>IF(ISNUMBER(Main_S[[#This Row],[Free CF]]),IF(Main_S[[#This Row],[Free CF]]&lt;&gt;0,Main_S[[#This Row],[Current Price]]/Main_S[[#This Row],[Free CF]],""),"")</f>
        <v>9.045454545454545</v>
      </c>
      <c r="I167" s="1">
        <f>IF(ISNUMBER(Main_S[[#This Row],[BVPS]]),IF(Main_S[[#This Row],[BVPS]]&lt;&gt;0,Main_S[[#This Row],[Current Price]]/Main_S[[#This Row],[BVPS]],""),"")</f>
        <v>1.2437499999999999</v>
      </c>
      <c r="J167">
        <v>9.74</v>
      </c>
      <c r="K167">
        <v>5.26</v>
      </c>
      <c r="L167">
        <v>2.63</v>
      </c>
      <c r="M167" s="1">
        <f>IF(ISNUMBER(Main_S[[#This Row],[EPS]]),IF(Main_S[[#This Row],[EPS]]&lt;&gt;0,Main_S[[#This Row],[Current Price]]/Main_S[[#This Row],[EPS]],""),"")</f>
        <v>13.266666666666667</v>
      </c>
      <c r="N16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67" s="1">
        <f>(Main_S[[#This Row],[P/FCF]]-VLOOKUP(Main_S[[#This Row],[Industry]], Mean_PFCF_S, 2, FALSE))/(VLOOKUP(Main_S[[#This Row],[Industry]], Mean_PFCF_S, 3, FALSE))</f>
        <v>3.6197529566662945E-2</v>
      </c>
      <c r="P167" s="1">
        <f>(Main_S[[#This Row],[P/B]]-VLOOKUP(Main_S[[#This Row],[Industry]], Mean_PB_S, 2, FALSE))/(VLOOKUP(Main_S[[#This Row],[Industry]], Mean_PB_S, 3, FALSE))</f>
        <v>-0.73327134003897976</v>
      </c>
      <c r="Q167" s="1">
        <f>(Main_S[[#This Row],[ROE]]-VLOOKUP(Main_S[[#This Row],[Industry]], Mean_ROE_S, 2, FALSE))/(VLOOKUP(Main_S[[#This Row],[Industry]], Mean_ROE_S, 3, FALSE))</f>
        <v>-7.0548877025685713E-2</v>
      </c>
      <c r="R167" s="1">
        <f>(Main_S[[#This Row],[ROA]]-VLOOKUP(Main_S[[#This Row],[Industry]], Mean_ROA_S, 2, FALSE))/(VLOOKUP(Main_S[[#This Row],[Industry]], Mean_ROA_S, 3, FALSE))</f>
        <v>0.35961976680028906</v>
      </c>
      <c r="S167" s="1">
        <f>(Main_S[[#This Row],[A/E]]-VLOOKUP(Main_S[[#This Row],[Industry]], Mean_AE_S, 2, FALSE))/(VLOOKUP(Main_S[[#This Row],[Industry]], Mean_AE_S, 3, FALSE))</f>
        <v>0.20331005409755071</v>
      </c>
      <c r="T167" s="1">
        <f>(Main_S[[#This Row],[P/E]]-VLOOKUP(Main_S[[#This Row],[Industry]], Mean_PE_S, 2, FALSE))/(VLOOKUP(Main_S[[#This Row],[Industry]], Mean_PE_S, 3, FALSE))</f>
        <v>-0.17094372769129942</v>
      </c>
      <c r="U16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6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6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6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6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6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68" spans="1:26" x14ac:dyDescent="0.25">
      <c r="A168" s="68" t="s">
        <v>204</v>
      </c>
      <c r="B168" s="68" t="s">
        <v>525</v>
      </c>
      <c r="C168" s="2">
        <v>1215</v>
      </c>
      <c r="D168">
        <f>RTD("tos.rtd", , "LAST", Main_S[[#This Row],[Symbol]])</f>
        <v>19.47</v>
      </c>
      <c r="E168">
        <v>0.84</v>
      </c>
      <c r="F168">
        <v>12.84</v>
      </c>
      <c r="G168">
        <v>0.45</v>
      </c>
      <c r="H168" s="1">
        <f>IF(ISNUMBER(Main_S[[#This Row],[Free CF]]),IF(Main_S[[#This Row],[Free CF]]&lt;&gt;0,Main_S[[#This Row],[Current Price]]/Main_S[[#This Row],[Free CF]],""),"")</f>
        <v>23.178571428571427</v>
      </c>
      <c r="I168" s="1">
        <f>IF(ISNUMBER(Main_S[[#This Row],[BVPS]]),IF(Main_S[[#This Row],[BVPS]]&lt;&gt;0,Main_S[[#This Row],[Current Price]]/Main_S[[#This Row],[BVPS]],""),"")</f>
        <v>1.5163551401869158</v>
      </c>
      <c r="J168">
        <v>3.48</v>
      </c>
      <c r="K168">
        <v>2.52</v>
      </c>
      <c r="L168">
        <v>1.56</v>
      </c>
      <c r="M168" s="1">
        <f>IF(ISNUMBER(Main_S[[#This Row],[EPS]]),IF(Main_S[[#This Row],[EPS]]&lt;&gt;0,Main_S[[#This Row],[Current Price]]/Main_S[[#This Row],[EPS]],""),"")</f>
        <v>43.266666666666666</v>
      </c>
      <c r="N16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68" s="1">
        <f>(Main_S[[#This Row],[P/FCF]]-VLOOKUP(Main_S[[#This Row],[Industry]], Mean_PFCF_S, 2, FALSE))/(VLOOKUP(Main_S[[#This Row],[Industry]], Mean_PFCF_S, 3, FALSE))</f>
        <v>1.0956525254865876</v>
      </c>
      <c r="P168" s="1">
        <f>(Main_S[[#This Row],[P/B]]-VLOOKUP(Main_S[[#This Row],[Industry]], Mean_PB_S, 2, FALSE))/(VLOOKUP(Main_S[[#This Row],[Industry]], Mean_PB_S, 3, FALSE))</f>
        <v>-0.5825962224401392</v>
      </c>
      <c r="Q168" s="1">
        <f>(Main_S[[#This Row],[ROE]]-VLOOKUP(Main_S[[#This Row],[Industry]], Mean_ROE_S, 2, FALSE))/(VLOOKUP(Main_S[[#This Row],[Industry]], Mean_ROE_S, 3, FALSE))</f>
        <v>-0.44223944106460789</v>
      </c>
      <c r="R168" s="1">
        <f>(Main_S[[#This Row],[ROA]]-VLOOKUP(Main_S[[#This Row],[Industry]], Mean_ROA_S, 2, FALSE))/(VLOOKUP(Main_S[[#This Row],[Industry]], Mean_ROA_S, 3, FALSE))</f>
        <v>-0.23855571727039032</v>
      </c>
      <c r="S168" s="1">
        <f>(Main_S[[#This Row],[A/E]]-VLOOKUP(Main_S[[#This Row],[Industry]], Mean_AE_S, 2, FALSE))/(VLOOKUP(Main_S[[#This Row],[Industry]], Mean_AE_S, 3, FALSE))</f>
        <v>-1.442565087790842</v>
      </c>
      <c r="T168" s="1">
        <f>(Main_S[[#This Row],[P/E]]-VLOOKUP(Main_S[[#This Row],[Industry]], Mean_PE_S, 2, FALSE))/(VLOOKUP(Main_S[[#This Row],[Industry]], Mean_PE_S, 3, FALSE))</f>
        <v>1.2612066579545713</v>
      </c>
      <c r="U16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6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6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6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6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6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69" spans="1:26" x14ac:dyDescent="0.25">
      <c r="A169" s="68" t="s">
        <v>204</v>
      </c>
      <c r="B169" s="68" t="s">
        <v>526</v>
      </c>
      <c r="C169" s="2">
        <v>1046</v>
      </c>
      <c r="D169">
        <f>RTD("tos.rtd", , "LAST", Main_S[[#This Row],[Symbol]])</f>
        <v>3.78</v>
      </c>
      <c r="E169">
        <v>-0.24</v>
      </c>
      <c r="F169">
        <v>1.47</v>
      </c>
      <c r="G169">
        <v>-0.42</v>
      </c>
      <c r="H169" s="1">
        <f>IF(ISNUMBER(Main_S[[#This Row],[Free CF]]),IF(Main_S[[#This Row],[Free CF]]&lt;&gt;0,Main_S[[#This Row],[Current Price]]/Main_S[[#This Row],[Free CF]],""),"")</f>
        <v>-15.75</v>
      </c>
      <c r="I169" s="1">
        <f>IF(ISNUMBER(Main_S[[#This Row],[BVPS]]),IF(Main_S[[#This Row],[BVPS]]&lt;&gt;0,Main_S[[#This Row],[Current Price]]/Main_S[[#This Row],[BVPS]],""),"")</f>
        <v>2.5714285714285712</v>
      </c>
      <c r="J169">
        <v>-25.68</v>
      </c>
      <c r="K169">
        <v>-9.61</v>
      </c>
      <c r="L169">
        <v>1.44</v>
      </c>
      <c r="M169" s="1">
        <f>IF(ISNUMBER(Main_S[[#This Row],[EPS]]),IF(Main_S[[#This Row],[EPS]]&lt;&gt;0,Main_S[[#This Row],[Current Price]]/Main_S[[#This Row],[EPS]],""),"")</f>
        <v>-9</v>
      </c>
      <c r="N16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69" s="1">
        <f>(Main_S[[#This Row],[P/FCF]]-VLOOKUP(Main_S[[#This Row],[Industry]], Mean_PFCF_S, 2, FALSE))/(VLOOKUP(Main_S[[#This Row],[Industry]], Mean_PFCF_S, 3, FALSE))</f>
        <v>-1.8225338749452749</v>
      </c>
      <c r="P169" s="1">
        <f>(Main_S[[#This Row],[P/B]]-VLOOKUP(Main_S[[#This Row],[Industry]], Mean_PB_S, 2, FALSE))/(VLOOKUP(Main_S[[#This Row],[Industry]], Mean_PB_S, 3, FALSE))</f>
        <v>5.6707821789763499E-4</v>
      </c>
      <c r="Q169" s="1">
        <f>(Main_S[[#This Row],[ROE]]-VLOOKUP(Main_S[[#This Row],[Industry]], Mean_ROE_S, 2, FALSE))/(VLOOKUP(Main_S[[#This Row],[Industry]], Mean_ROE_S, 3, FALSE))</f>
        <v>-2.1736287138082138</v>
      </c>
      <c r="R169" s="1">
        <f>(Main_S[[#This Row],[ROA]]-VLOOKUP(Main_S[[#This Row],[Industry]], Mean_ROA_S, 2, FALSE))/(VLOOKUP(Main_S[[#This Row],[Industry]], Mean_ROA_S, 3, FALSE))</f>
        <v>-2.8866829514956973</v>
      </c>
      <c r="S169" s="1">
        <f>(Main_S[[#This Row],[A/E]]-VLOOKUP(Main_S[[#This Row],[Industry]], Mean_AE_S, 2, FALSE))/(VLOOKUP(Main_S[[#This Row],[Industry]], Mean_AE_S, 3, FALSE))</f>
        <v>-1.6271492158530918</v>
      </c>
      <c r="T169" s="1">
        <f>(Main_S[[#This Row],[P/E]]-VLOOKUP(Main_S[[#This Row],[Industry]], Mean_PE_S, 2, FALSE))/(VLOOKUP(Main_S[[#This Row],[Industry]], Mean_PE_S, 3, FALSE))</f>
        <v>-1.2339175694817903</v>
      </c>
      <c r="U16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6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6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6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6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6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70" spans="1:26" x14ac:dyDescent="0.25">
      <c r="A170" s="68" t="s">
        <v>204</v>
      </c>
      <c r="B170" s="68" t="s">
        <v>527</v>
      </c>
      <c r="C170" s="2">
        <v>288</v>
      </c>
      <c r="D170">
        <f>RTD("tos.rtd", , "LAST", Main_S[[#This Row],[Symbol]])</f>
        <v>9.9600000000000009</v>
      </c>
      <c r="E170">
        <v>-1.86</v>
      </c>
      <c r="F170">
        <v>-0.45</v>
      </c>
      <c r="G170">
        <v>-4.26</v>
      </c>
      <c r="H170" s="1">
        <f>IF(ISNUMBER(Main_S[[#This Row],[Free CF]]),IF(Main_S[[#This Row],[Free CF]]&lt;&gt;0,Main_S[[#This Row],[Current Price]]/Main_S[[#This Row],[Free CF]],""),"")</f>
        <v>-5.3548387096774199</v>
      </c>
      <c r="I170" s="1">
        <f>IF(ISNUMBER(Main_S[[#This Row],[BVPS]]),IF(Main_S[[#This Row],[BVPS]]&lt;&gt;0,Main_S[[#This Row],[Current Price]]/Main_S[[#This Row],[BVPS]],""),"")</f>
        <v>-22.133333333333336</v>
      </c>
      <c r="J170">
        <v>-787.97</v>
      </c>
      <c r="K170">
        <v>-17.690000000000001</v>
      </c>
      <c r="L170">
        <v>-16.559999999999999</v>
      </c>
      <c r="M170" s="1">
        <f>IF(ISNUMBER(Main_S[[#This Row],[EPS]]),IF(Main_S[[#This Row],[EPS]]&lt;&gt;0,Main_S[[#This Row],[Current Price]]/Main_S[[#This Row],[EPS]],""),"")</f>
        <v>-2.3380281690140849</v>
      </c>
      <c r="N17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70" s="1">
        <f>(Main_S[[#This Row],[P/FCF]]-VLOOKUP(Main_S[[#This Row],[Industry]], Mean_PFCF_S, 2, FALSE))/(VLOOKUP(Main_S[[#This Row],[Industry]], Mean_PFCF_S, 3, FALSE))</f>
        <v>-1.0432856982333276</v>
      </c>
      <c r="P170" s="1">
        <f>(Main_S[[#This Row],[P/B]]-VLOOKUP(Main_S[[#This Row],[Industry]], Mean_PB_S, 2, FALSE))/(VLOOKUP(Main_S[[#This Row],[Industry]], Mean_PB_S, 3, FALSE))</f>
        <v>-13.654321830696448</v>
      </c>
      <c r="Q170" s="1">
        <f>(Main_S[[#This Row],[ROE]]-VLOOKUP(Main_S[[#This Row],[Industry]], Mean_ROE_S, 2, FALSE))/(VLOOKUP(Main_S[[#This Row],[Industry]], Mean_ROE_S, 3, FALSE))</f>
        <v>-47.434970576624508</v>
      </c>
      <c r="R170" s="1">
        <f>(Main_S[[#This Row],[ROA]]-VLOOKUP(Main_S[[#This Row],[Industry]], Mean_ROA_S, 2, FALSE))/(VLOOKUP(Main_S[[#This Row],[Industry]], Mean_ROA_S, 3, FALSE))</f>
        <v>-4.6506456928428106</v>
      </c>
      <c r="S170" s="1">
        <f>(Main_S[[#This Row],[A/E]]-VLOOKUP(Main_S[[#This Row],[Industry]], Mean_AE_S, 2, FALSE))/(VLOOKUP(Main_S[[#This Row],[Industry]], Mean_AE_S, 3, FALSE))</f>
        <v>-29.314768425190543</v>
      </c>
      <c r="T170" s="1">
        <f>(Main_S[[#This Row],[P/E]]-VLOOKUP(Main_S[[#This Row],[Industry]], Mean_PE_S, 2, FALSE))/(VLOOKUP(Main_S[[#This Row],[Industry]], Mean_PE_S, 3, FALSE))</f>
        <v>-0.91588605191817674</v>
      </c>
      <c r="U17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7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17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17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17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17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71" spans="1:26" x14ac:dyDescent="0.25">
      <c r="A171" s="68" t="s">
        <v>204</v>
      </c>
      <c r="B171" s="68" t="s">
        <v>583</v>
      </c>
      <c r="C171" s="2">
        <v>1234</v>
      </c>
      <c r="D171">
        <f>RTD("tos.rtd", , "LAST", Main_S[[#This Row],[Symbol]])</f>
        <v>10.74</v>
      </c>
      <c r="E171">
        <v>-0.08</v>
      </c>
      <c r="F171">
        <v>9.48</v>
      </c>
      <c r="G171">
        <v>-2.2200000000000002</v>
      </c>
      <c r="H171" s="1">
        <f>IF(ISNUMBER(Main_S[[#This Row],[Free CF]]),IF(Main_S[[#This Row],[Free CF]]&lt;&gt;0,Main_S[[#This Row],[Current Price]]/Main_S[[#This Row],[Free CF]],""),"")</f>
        <v>-134.25</v>
      </c>
      <c r="I171" s="1">
        <f>IF(ISNUMBER(Main_S[[#This Row],[BVPS]]),IF(Main_S[[#This Row],[BVPS]]&lt;&gt;0,Main_S[[#This Row],[Current Price]]/Main_S[[#This Row],[BVPS]],""),"")</f>
        <v>1.1329113924050633</v>
      </c>
      <c r="J171">
        <v>-15.8</v>
      </c>
      <c r="K171">
        <v>-0.22</v>
      </c>
      <c r="L171">
        <v>1.92</v>
      </c>
      <c r="M171" s="1">
        <f>IF(ISNUMBER(Main_S[[#This Row],[EPS]]),IF(Main_S[[#This Row],[EPS]]&lt;&gt;0,Main_S[[#This Row],[Current Price]]/Main_S[[#This Row],[EPS]],""),"")</f>
        <v>-4.8378378378378377</v>
      </c>
      <c r="N17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71" s="1">
        <f>(Main_S[[#This Row],[P/FCF]]-VLOOKUP(Main_S[[#This Row],[Industry]], Mean_PFCF_S, 2, FALSE))/(VLOOKUP(Main_S[[#This Row],[Industry]], Mean_PFCF_S, 3, FALSE))</f>
        <v>-10.705600367269055</v>
      </c>
      <c r="P171" s="1">
        <f>(Main_S[[#This Row],[P/B]]-VLOOKUP(Main_S[[#This Row],[Industry]], Mean_PB_S, 2, FALSE))/(VLOOKUP(Main_S[[#This Row],[Industry]], Mean_PB_S, 3, FALSE))</f>
        <v>-0.79453438233674345</v>
      </c>
      <c r="Q171" s="1">
        <f>(Main_S[[#This Row],[ROE]]-VLOOKUP(Main_S[[#This Row],[Industry]], Mean_ROE_S, 2, FALSE))/(VLOOKUP(Main_S[[#This Row],[Industry]], Mean_ROE_S, 3, FALSE))</f>
        <v>-1.5869988779129178</v>
      </c>
      <c r="R171" s="1">
        <f>(Main_S[[#This Row],[ROA]]-VLOOKUP(Main_S[[#This Row],[Industry]], Mean_ROA_S, 2, FALSE))/(VLOOKUP(Main_S[[#This Row],[Industry]], Mean_ROA_S, 3, FALSE))</f>
        <v>-0.83673120134106982</v>
      </c>
      <c r="S171" s="1">
        <f>(Main_S[[#This Row],[A/E]]-VLOOKUP(Main_S[[#This Row],[Industry]], Mean_AE_S, 2, FALSE))/(VLOOKUP(Main_S[[#This Row],[Industry]], Mean_AE_S, 3, FALSE))</f>
        <v>-0.88881270360409315</v>
      </c>
      <c r="T171" s="1">
        <f>(Main_S[[#This Row],[P/E]]-VLOOKUP(Main_S[[#This Row],[Industry]], Mean_PE_S, 2, FALSE))/(VLOOKUP(Main_S[[#This Row],[Industry]], Mean_PE_S, 3, FALSE))</f>
        <v>-1.035222831293084</v>
      </c>
      <c r="U17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7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7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7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7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7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72" spans="1:26" x14ac:dyDescent="0.25">
      <c r="A172" s="68" t="s">
        <v>204</v>
      </c>
      <c r="B172" s="68" t="s">
        <v>528</v>
      </c>
      <c r="C172" s="2">
        <v>581</v>
      </c>
      <c r="D172">
        <f>RTD("tos.rtd", , "LAST", Main_S[[#This Row],[Symbol]])</f>
        <v>45.99</v>
      </c>
      <c r="E172">
        <v>4.6100000000000003</v>
      </c>
      <c r="F172">
        <v>16.54</v>
      </c>
      <c r="G172">
        <v>1.58</v>
      </c>
      <c r="H172" s="1">
        <f>IF(ISNUMBER(Main_S[[#This Row],[Free CF]]),IF(Main_S[[#This Row],[Free CF]]&lt;&gt;0,Main_S[[#This Row],[Current Price]]/Main_S[[#This Row],[Free CF]],""),"")</f>
        <v>9.9761388286334061</v>
      </c>
      <c r="I172" s="1">
        <f>IF(ISNUMBER(Main_S[[#This Row],[BVPS]]),IF(Main_S[[#This Row],[BVPS]]&lt;&gt;0,Main_S[[#This Row],[Current Price]]/Main_S[[#This Row],[BVPS]],""),"")</f>
        <v>2.7805320435308345</v>
      </c>
      <c r="J172">
        <v>10.4</v>
      </c>
      <c r="K172">
        <v>4.45</v>
      </c>
      <c r="L172">
        <v>1.98</v>
      </c>
      <c r="M172" s="1">
        <f>IF(ISNUMBER(Main_S[[#This Row],[EPS]]),IF(Main_S[[#This Row],[EPS]]&lt;&gt;0,Main_S[[#This Row],[Current Price]]/Main_S[[#This Row],[EPS]],""),"")</f>
        <v>29.10759493670886</v>
      </c>
      <c r="N17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72" s="1">
        <f>(Main_S[[#This Row],[P/FCF]]-VLOOKUP(Main_S[[#This Row],[Industry]], Mean_PFCF_S, 2, FALSE))/(VLOOKUP(Main_S[[#This Row],[Industry]], Mean_PFCF_S, 3, FALSE))</f>
        <v>0.10596403058639726</v>
      </c>
      <c r="P172" s="1">
        <f>(Main_S[[#This Row],[P/B]]-VLOOKUP(Main_S[[#This Row],[Industry]], Mean_PB_S, 2, FALSE))/(VLOOKUP(Main_S[[#This Row],[Industry]], Mean_PB_S, 3, FALSE))</f>
        <v>0.11614336642629813</v>
      </c>
      <c r="Q172" s="1">
        <f>(Main_S[[#This Row],[ROE]]-VLOOKUP(Main_S[[#This Row],[Industry]], Mean_ROE_S, 2, FALSE))/(VLOOKUP(Main_S[[#This Row],[Industry]], Mean_ROE_S, 3, FALSE))</f>
        <v>-3.1361053980048535E-2</v>
      </c>
      <c r="R172" s="1">
        <f>(Main_S[[#This Row],[ROA]]-VLOOKUP(Main_S[[#This Row],[Industry]], Mean_ROA_S, 2, FALSE))/(VLOOKUP(Main_S[[#This Row],[Industry]], Mean_ROA_S, 3, FALSE))</f>
        <v>0.18278686822465035</v>
      </c>
      <c r="S172" s="1">
        <f>(Main_S[[#This Row],[A/E]]-VLOOKUP(Main_S[[#This Row],[Industry]], Mean_AE_S, 2, FALSE))/(VLOOKUP(Main_S[[#This Row],[Industry]], Mean_AE_S, 3, FALSE))</f>
        <v>-0.79652063957296826</v>
      </c>
      <c r="T172" s="1">
        <f>(Main_S[[#This Row],[P/E]]-VLOOKUP(Main_S[[#This Row],[Industry]], Mean_PE_S, 2, FALSE))/(VLOOKUP(Main_S[[#This Row],[Industry]], Mean_PE_S, 3, FALSE))</f>
        <v>0.58527599000635078</v>
      </c>
      <c r="U17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7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7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7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7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7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73" spans="1:26" x14ac:dyDescent="0.25">
      <c r="A173" s="68" t="s">
        <v>204</v>
      </c>
      <c r="B173" s="68" t="s">
        <v>529</v>
      </c>
      <c r="C173" s="2">
        <v>320</v>
      </c>
      <c r="D173">
        <f>RTD("tos.rtd", , "LAST", Main_S[[#This Row],[Symbol]])</f>
        <v>2.2999999999999998</v>
      </c>
      <c r="E173">
        <v>-0.64</v>
      </c>
      <c r="F173">
        <v>5.18</v>
      </c>
      <c r="G173">
        <v>2.23</v>
      </c>
      <c r="H173" s="1">
        <f>IF(ISNUMBER(Main_S[[#This Row],[Free CF]]),IF(Main_S[[#This Row],[Free CF]]&lt;&gt;0,Main_S[[#This Row],[Current Price]]/Main_S[[#This Row],[Free CF]],""),"")</f>
        <v>-3.5937499999999996</v>
      </c>
      <c r="I173" s="1">
        <f>IF(ISNUMBER(Main_S[[#This Row],[BVPS]]),IF(Main_S[[#This Row],[BVPS]]&lt;&gt;0,Main_S[[#This Row],[Current Price]]/Main_S[[#This Row],[BVPS]],""),"")</f>
        <v>0.44401544401544402</v>
      </c>
      <c r="J173">
        <v>48.41</v>
      </c>
      <c r="K173">
        <v>-1.06</v>
      </c>
      <c r="L173">
        <v>3.1</v>
      </c>
      <c r="M173" s="1">
        <f>IF(ISNUMBER(Main_S[[#This Row],[EPS]]),IF(Main_S[[#This Row],[EPS]]&lt;&gt;0,Main_S[[#This Row],[Current Price]]/Main_S[[#This Row],[EPS]],""),"")</f>
        <v>1.0313901345291479</v>
      </c>
      <c r="N17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73" s="1">
        <f>(Main_S[[#This Row],[P/FCF]]-VLOOKUP(Main_S[[#This Row],[Industry]], Mean_PFCF_S, 2, FALSE))/(VLOOKUP(Main_S[[#This Row],[Industry]], Mean_PFCF_S, 3, FALSE))</f>
        <v>-0.91126993361775632</v>
      </c>
      <c r="P173" s="1">
        <f>(Main_S[[#This Row],[P/B]]-VLOOKUP(Main_S[[#This Row],[Industry]], Mean_PB_S, 2, FALSE))/(VLOOKUP(Main_S[[#This Row],[Industry]], Mean_PB_S, 3, FALSE))</f>
        <v>-1.1753029840065394</v>
      </c>
      <c r="Q173" s="1">
        <f>(Main_S[[#This Row],[ROE]]-VLOOKUP(Main_S[[#This Row],[Industry]], Mean_ROE_S, 2, FALSE))/(VLOOKUP(Main_S[[#This Row],[Industry]], Mean_ROE_S, 3, FALSE))</f>
        <v>2.2255013005118736</v>
      </c>
      <c r="R173" s="1">
        <f>(Main_S[[#This Row],[ROA]]-VLOOKUP(Main_S[[#This Row],[Industry]], Mean_ROA_S, 2, FALSE))/(VLOOKUP(Main_S[[#This Row],[Industry]], Mean_ROA_S, 3, FALSE))</f>
        <v>-1.0201134665306211</v>
      </c>
      <c r="S173" s="1">
        <f>(Main_S[[#This Row],[A/E]]-VLOOKUP(Main_S[[#This Row],[Industry]], Mean_AE_S, 2, FALSE))/(VLOOKUP(Main_S[[#This Row],[Industry]], Mean_AE_S, 3, FALSE))</f>
        <v>0.92626455567469557</v>
      </c>
      <c r="T173" s="1">
        <f>(Main_S[[#This Row],[P/E]]-VLOOKUP(Main_S[[#This Row],[Industry]], Mean_PE_S, 2, FALSE))/(VLOOKUP(Main_S[[#This Row],[Industry]], Mean_PE_S, 3, FALSE))</f>
        <v>-0.75503559449078683</v>
      </c>
      <c r="U17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7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7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7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7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7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74" spans="1:26" x14ac:dyDescent="0.25">
      <c r="A174" s="68" t="s">
        <v>204</v>
      </c>
      <c r="B174" s="68" t="s">
        <v>530</v>
      </c>
      <c r="C174" s="2">
        <v>1761</v>
      </c>
      <c r="D174">
        <f>RTD("tos.rtd", , "LAST", Main_S[[#This Row],[Symbol]])</f>
        <v>65.45</v>
      </c>
      <c r="E174">
        <v>4</v>
      </c>
      <c r="F174">
        <v>10.28</v>
      </c>
      <c r="G174">
        <v>3.03</v>
      </c>
      <c r="H174" s="1">
        <f>IF(ISNUMBER(Main_S[[#This Row],[Free CF]]),IF(Main_S[[#This Row],[Free CF]]&lt;&gt;0,Main_S[[#This Row],[Current Price]]/Main_S[[#This Row],[Free CF]],""),"")</f>
        <v>16.362500000000001</v>
      </c>
      <c r="I174" s="1">
        <f>IF(ISNUMBER(Main_S[[#This Row],[BVPS]]),IF(Main_S[[#This Row],[BVPS]]&lt;&gt;0,Main_S[[#This Row],[Current Price]]/Main_S[[#This Row],[BVPS]],""),"")</f>
        <v>6.3667315175097281</v>
      </c>
      <c r="J174">
        <v>31.25</v>
      </c>
      <c r="K174">
        <v>6.4</v>
      </c>
      <c r="L174">
        <v>5.31</v>
      </c>
      <c r="M174" s="1">
        <f>IF(ISNUMBER(Main_S[[#This Row],[EPS]]),IF(Main_S[[#This Row],[EPS]]&lt;&gt;0,Main_S[[#This Row],[Current Price]]/Main_S[[#This Row],[EPS]],""),"")</f>
        <v>21.600660066006604</v>
      </c>
      <c r="N17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74" s="1">
        <f>(Main_S[[#This Row],[P/FCF]]-VLOOKUP(Main_S[[#This Row],[Industry]], Mean_PFCF_S, 2, FALSE))/(VLOOKUP(Main_S[[#This Row],[Industry]], Mean_PFCF_S, 3, FALSE))</f>
        <v>0.58470218188803647</v>
      </c>
      <c r="P174" s="1">
        <f>(Main_S[[#This Row],[P/B]]-VLOOKUP(Main_S[[#This Row],[Industry]], Mean_PB_S, 2, FALSE))/(VLOOKUP(Main_S[[#This Row],[Industry]], Mean_PB_S, 3, FALSE))</f>
        <v>2.098318123307882</v>
      </c>
      <c r="Q174" s="1">
        <f>(Main_S[[#This Row],[ROE]]-VLOOKUP(Main_S[[#This Row],[Industry]], Mean_ROE_S, 2, FALSE))/(VLOOKUP(Main_S[[#This Row],[Industry]], Mean_ROE_S, 3, FALSE))</f>
        <v>1.2066179013253073</v>
      </c>
      <c r="R174" s="1">
        <f>(Main_S[[#This Row],[ROA]]-VLOOKUP(Main_S[[#This Row],[Industry]], Mean_ROA_S, 2, FALSE))/(VLOOKUP(Main_S[[#This Row],[Industry]], Mean_ROA_S, 3, FALSE))</f>
        <v>0.60849569812896609</v>
      </c>
      <c r="S174" s="1">
        <f>(Main_S[[#This Row],[A/E]]-VLOOKUP(Main_S[[#This Row],[Industry]], Mean_AE_S, 2, FALSE))/(VLOOKUP(Main_S[[#This Row],[Industry]], Mean_AE_S, 3, FALSE))</f>
        <v>4.3256889141544601</v>
      </c>
      <c r="T174" s="1">
        <f>(Main_S[[#This Row],[P/E]]-VLOOKUP(Main_S[[#This Row],[Industry]], Mean_PE_S, 2, FALSE))/(VLOOKUP(Main_S[[#This Row],[Industry]], Mean_PE_S, 3, FALSE))</f>
        <v>0.22690733433652832</v>
      </c>
      <c r="U17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7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7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7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7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17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75" spans="1:26" x14ac:dyDescent="0.25">
      <c r="A175" s="68" t="s">
        <v>204</v>
      </c>
      <c r="B175" s="68" t="s">
        <v>584</v>
      </c>
      <c r="C175" s="2">
        <v>333</v>
      </c>
      <c r="D175">
        <f>RTD("tos.rtd", , "LAST", Main_S[[#This Row],[Symbol]])</f>
        <v>27.64</v>
      </c>
      <c r="E175">
        <v>1.55</v>
      </c>
      <c r="F175">
        <v>8.26</v>
      </c>
      <c r="G175">
        <v>2.13</v>
      </c>
      <c r="H175" s="1">
        <f>IF(ISNUMBER(Main_S[[#This Row],[Free CF]]),IF(Main_S[[#This Row],[Free CF]]&lt;&gt;0,Main_S[[#This Row],[Current Price]]/Main_S[[#This Row],[Free CF]],""),"")</f>
        <v>17.832258064516129</v>
      </c>
      <c r="I175" s="1">
        <f>IF(ISNUMBER(Main_S[[#This Row],[BVPS]]),IF(Main_S[[#This Row],[BVPS]]&lt;&gt;0,Main_S[[#This Row],[Current Price]]/Main_S[[#This Row],[BVPS]],""),"")</f>
        <v>3.3462469733656177</v>
      </c>
      <c r="J175">
        <v>27.88</v>
      </c>
      <c r="K175">
        <v>10.56</v>
      </c>
      <c r="L175">
        <v>2.5</v>
      </c>
      <c r="M175" s="1">
        <f>IF(ISNUMBER(Main_S[[#This Row],[EPS]]),IF(Main_S[[#This Row],[EPS]]&lt;&gt;0,Main_S[[#This Row],[Current Price]]/Main_S[[#This Row],[EPS]],""),"")</f>
        <v>12.976525821596246</v>
      </c>
      <c r="N17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75" s="1">
        <f>(Main_S[[#This Row],[P/FCF]]-VLOOKUP(Main_S[[#This Row],[Industry]], Mean_PFCF_S, 2, FALSE))/(VLOOKUP(Main_S[[#This Row],[Industry]], Mean_PFCF_S, 3, FALSE))</f>
        <v>0.69487904783509014</v>
      </c>
      <c r="P175" s="1">
        <f>(Main_S[[#This Row],[P/B]]-VLOOKUP(Main_S[[#This Row],[Industry]], Mean_PB_S, 2, FALSE))/(VLOOKUP(Main_S[[#This Row],[Industry]], Mean_PB_S, 3, FALSE))</f>
        <v>0.42882699198754137</v>
      </c>
      <c r="Q175" s="1">
        <f>(Main_S[[#This Row],[ROE]]-VLOOKUP(Main_S[[#This Row],[Industry]], Mean_ROE_S, 2, FALSE))/(VLOOKUP(Main_S[[#This Row],[Industry]], Mean_ROE_S, 3, FALSE))</f>
        <v>1.0065225018347055</v>
      </c>
      <c r="R175" s="1">
        <f>(Main_S[[#This Row],[ROA]]-VLOOKUP(Main_S[[#This Row],[Industry]], Mean_ROA_S, 2, FALSE))/(VLOOKUP(Main_S[[#This Row],[Industry]], Mean_ROA_S, 3, FALSE))</f>
        <v>1.5166745352581728</v>
      </c>
      <c r="S175" s="1">
        <f>(Main_S[[#This Row],[A/E]]-VLOOKUP(Main_S[[#This Row],[Industry]], Mean_AE_S, 2, FALSE))/(VLOOKUP(Main_S[[#This Row],[Industry]], Mean_AE_S, 3, FALSE))</f>
        <v>3.3439153634470453E-3</v>
      </c>
      <c r="T175" s="1">
        <f>(Main_S[[#This Row],[P/E]]-VLOOKUP(Main_S[[#This Row],[Industry]], Mean_PE_S, 2, FALSE))/(VLOOKUP(Main_S[[#This Row],[Industry]], Mean_PE_S, 3, FALSE))</f>
        <v>-0.18479457179660688</v>
      </c>
      <c r="U17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7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7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7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7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7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76" spans="1:26" x14ac:dyDescent="0.25">
      <c r="A176" s="68" t="s">
        <v>204</v>
      </c>
      <c r="B176" s="68" t="s">
        <v>531</v>
      </c>
      <c r="C176" s="2">
        <v>1262</v>
      </c>
      <c r="D176">
        <f>RTD("tos.rtd", , "LAST", Main_S[[#This Row],[Symbol]])</f>
        <v>16.77</v>
      </c>
      <c r="E176">
        <v>1.1200000000000001</v>
      </c>
      <c r="F176">
        <v>5.53</v>
      </c>
      <c r="G176">
        <v>0.5</v>
      </c>
      <c r="H176" s="1">
        <f>IF(ISNUMBER(Main_S[[#This Row],[Free CF]]),IF(Main_S[[#This Row],[Free CF]]&lt;&gt;0,Main_S[[#This Row],[Current Price]]/Main_S[[#This Row],[Free CF]],""),"")</f>
        <v>14.973214285714285</v>
      </c>
      <c r="I176" s="1">
        <f>IF(ISNUMBER(Main_S[[#This Row],[BVPS]]),IF(Main_S[[#This Row],[BVPS]]&lt;&gt;0,Main_S[[#This Row],[Current Price]]/Main_S[[#This Row],[BVPS]],""),"")</f>
        <v>3.0325497287522603</v>
      </c>
      <c r="J176">
        <v>9.7799999999999994</v>
      </c>
      <c r="K176">
        <v>7.41</v>
      </c>
      <c r="L176">
        <v>1.92</v>
      </c>
      <c r="M176" s="1">
        <f>IF(ISNUMBER(Main_S[[#This Row],[EPS]]),IF(Main_S[[#This Row],[EPS]]&lt;&gt;0,Main_S[[#This Row],[Current Price]]/Main_S[[#This Row],[EPS]],""),"")</f>
        <v>33.54</v>
      </c>
      <c r="N17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76" s="1">
        <f>(Main_S[[#This Row],[P/FCF]]-VLOOKUP(Main_S[[#This Row],[Industry]], Mean_PFCF_S, 2, FALSE))/(VLOOKUP(Main_S[[#This Row],[Industry]], Mean_PFCF_S, 3, FALSE))</f>
        <v>0.4805577314506056</v>
      </c>
      <c r="P176" s="1">
        <f>(Main_S[[#This Row],[P/B]]-VLOOKUP(Main_S[[#This Row],[Industry]], Mean_PB_S, 2, FALSE))/(VLOOKUP(Main_S[[#This Row],[Industry]], Mean_PB_S, 3, FALSE))</f>
        <v>0.25543932515873174</v>
      </c>
      <c r="Q176" s="1">
        <f>(Main_S[[#This Row],[ROE]]-VLOOKUP(Main_S[[#This Row],[Industry]], Mean_ROE_S, 2, FALSE))/(VLOOKUP(Main_S[[#This Row],[Industry]], Mean_ROE_S, 3, FALSE))</f>
        <v>-6.8173857447162298E-2</v>
      </c>
      <c r="R176" s="1">
        <f>(Main_S[[#This Row],[ROA]]-VLOOKUP(Main_S[[#This Row],[Industry]], Mean_ROA_S, 2, FALSE))/(VLOOKUP(Main_S[[#This Row],[Industry]], Mean_ROA_S, 3, FALSE))</f>
        <v>0.82899104079735508</v>
      </c>
      <c r="S176" s="1">
        <f>(Main_S[[#This Row],[A/E]]-VLOOKUP(Main_S[[#This Row],[Industry]], Mean_AE_S, 2, FALSE))/(VLOOKUP(Main_S[[#This Row],[Industry]], Mean_AE_S, 3, FALSE))</f>
        <v>-0.88881270360409315</v>
      </c>
      <c r="T176" s="1">
        <f>(Main_S[[#This Row],[P/E]]-VLOOKUP(Main_S[[#This Row],[Industry]], Mean_PE_S, 2, FALSE))/(VLOOKUP(Main_S[[#This Row],[Industry]], Mean_PE_S, 3, FALSE))</f>
        <v>0.79687167736405451</v>
      </c>
      <c r="U17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7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7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7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7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7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77" spans="1:26" x14ac:dyDescent="0.25">
      <c r="A177" s="68" t="s">
        <v>204</v>
      </c>
      <c r="B177" s="68" t="s">
        <v>532</v>
      </c>
      <c r="C177" s="2">
        <v>684</v>
      </c>
      <c r="D177">
        <f>RTD("tos.rtd", , "LAST", Main_S[[#This Row],[Symbol]])</f>
        <v>2.96</v>
      </c>
      <c r="E177">
        <v>1.5</v>
      </c>
      <c r="F177">
        <v>7.06</v>
      </c>
      <c r="G177">
        <v>-0.34</v>
      </c>
      <c r="H177" s="1">
        <f>IF(ISNUMBER(Main_S[[#This Row],[Free CF]]),IF(Main_S[[#This Row],[Free CF]]&lt;&gt;0,Main_S[[#This Row],[Current Price]]/Main_S[[#This Row],[Free CF]],""),"")</f>
        <v>1.9733333333333334</v>
      </c>
      <c r="I177" s="1">
        <f>IF(ISNUMBER(Main_S[[#This Row],[BVPS]]),IF(Main_S[[#This Row],[BVPS]]&lt;&gt;0,Main_S[[#This Row],[Current Price]]/Main_S[[#This Row],[BVPS]],""),"")</f>
        <v>0.41926345609065158</v>
      </c>
      <c r="J177">
        <v>-3.06</v>
      </c>
      <c r="K177">
        <v>1.3</v>
      </c>
      <c r="L177">
        <v>2.3199999999999998</v>
      </c>
      <c r="M177" s="1">
        <f>IF(ISNUMBER(Main_S[[#This Row],[EPS]]),IF(Main_S[[#This Row],[EPS]]&lt;&gt;0,Main_S[[#This Row],[Current Price]]/Main_S[[#This Row],[EPS]],""),"")</f>
        <v>-8.7058823529411757</v>
      </c>
      <c r="N17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77" s="1">
        <f>(Main_S[[#This Row],[P/FCF]]-VLOOKUP(Main_S[[#This Row],[Industry]], Mean_PFCF_S, 2, FALSE))/(VLOOKUP(Main_S[[#This Row],[Industry]], Mean_PFCF_S, 3, FALSE))</f>
        <v>-0.49394696806241861</v>
      </c>
      <c r="P177" s="1">
        <f>(Main_S[[#This Row],[P/B]]-VLOOKUP(Main_S[[#This Row],[Industry]], Mean_PB_S, 2, FALSE))/(VLOOKUP(Main_S[[#This Row],[Industry]], Mean_PB_S, 3, FALSE))</f>
        <v>-1.1889839758206191</v>
      </c>
      <c r="Q177" s="1">
        <f>(Main_S[[#This Row],[ROE]]-VLOOKUP(Main_S[[#This Row],[Industry]], Mean_ROE_S, 2, FALSE))/(VLOOKUP(Main_S[[#This Row],[Industry]], Mean_ROE_S, 3, FALSE))</f>
        <v>-0.83055514215319437</v>
      </c>
      <c r="R177" s="1">
        <f>(Main_S[[#This Row],[ROA]]-VLOOKUP(Main_S[[#This Row],[Industry]], Mean_ROA_S, 2, FALSE))/(VLOOKUP(Main_S[[#This Row],[Industry]], Mean_ROA_S, 3, FALSE))</f>
        <v>-0.50489662623616738</v>
      </c>
      <c r="S177" s="1">
        <f>(Main_S[[#This Row],[A/E]]-VLOOKUP(Main_S[[#This Row],[Industry]], Mean_AE_S, 2, FALSE))/(VLOOKUP(Main_S[[#This Row],[Industry]], Mean_AE_S, 3, FALSE))</f>
        <v>-0.27353227672992769</v>
      </c>
      <c r="T177" s="1">
        <f>(Main_S[[#This Row],[P/E]]-VLOOKUP(Main_S[[#This Row],[Industry]], Mean_PE_S, 2, FALSE))/(VLOOKUP(Main_S[[#This Row],[Industry]], Mean_PE_S, 3, FALSE))</f>
        <v>-1.2198768794264387</v>
      </c>
      <c r="U17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7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7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7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7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7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78" spans="1:26" x14ac:dyDescent="0.25">
      <c r="A178" s="68" t="s">
        <v>181</v>
      </c>
      <c r="B178" s="68" t="s">
        <v>482</v>
      </c>
      <c r="C178" s="2">
        <v>520</v>
      </c>
      <c r="D178">
        <f>RTD("tos.rtd", , "LAST", Main_S[[#This Row],[Symbol]])</f>
        <v>73.77</v>
      </c>
      <c r="E178">
        <v>4.96</v>
      </c>
      <c r="F178">
        <v>78.34</v>
      </c>
      <c r="G178">
        <v>4.53</v>
      </c>
      <c r="H178" s="1">
        <f>IF(ISNUMBER(Main_S[[#This Row],[Free CF]]),IF(Main_S[[#This Row],[Free CF]]&lt;&gt;0,Main_S[[#This Row],[Current Price]]/Main_S[[#This Row],[Free CF]],""),"")</f>
        <v>14.872983870967742</v>
      </c>
      <c r="I178" s="1">
        <f>IF(ISNUMBER(Main_S[[#This Row],[BVPS]]),IF(Main_S[[#This Row],[BVPS]]&lt;&gt;0,Main_S[[#This Row],[Current Price]]/Main_S[[#This Row],[BVPS]],""),"")</f>
        <v>0.94166453918815407</v>
      </c>
      <c r="J178">
        <v>5.96</v>
      </c>
      <c r="K178">
        <v>2.67</v>
      </c>
      <c r="L178">
        <v>2.57</v>
      </c>
      <c r="M178" s="1">
        <f>IF(ISNUMBER(Main_S[[#This Row],[EPS]]),IF(Main_S[[#This Row],[EPS]]&lt;&gt;0,Main_S[[#This Row],[Current Price]]/Main_S[[#This Row],[EPS]],""),"")</f>
        <v>16.284768211920529</v>
      </c>
      <c r="N17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78" s="1">
        <f>(Main_S[[#This Row],[P/FCF]]-VLOOKUP(Main_S[[#This Row],[Industry]], Mean_PFCF_S, 2, FALSE))/(VLOOKUP(Main_S[[#This Row],[Industry]], Mean_PFCF_S, 3, FALSE))</f>
        <v>0.4327606940684755</v>
      </c>
      <c r="P178" s="1">
        <f>(Main_S[[#This Row],[P/B]]-VLOOKUP(Main_S[[#This Row],[Industry]], Mean_PB_S, 2, FALSE))/(VLOOKUP(Main_S[[#This Row],[Industry]], Mean_PB_S, 3, FALSE))</f>
        <v>-1.0160142264822047</v>
      </c>
      <c r="Q178" s="1">
        <f>(Main_S[[#This Row],[ROE]]-VLOOKUP(Main_S[[#This Row],[Industry]], Mean_ROE_S, 2, FALSE))/(VLOOKUP(Main_S[[#This Row],[Industry]], Mean_ROE_S, 3, FALSE))</f>
        <v>-3.7831098273511631E-2</v>
      </c>
      <c r="R178" s="1">
        <f>(Main_S[[#This Row],[ROA]]-VLOOKUP(Main_S[[#This Row],[Industry]], Mean_ROA_S, 2, FALSE))/(VLOOKUP(Main_S[[#This Row],[Industry]], Mean_ROA_S, 3, FALSE))</f>
        <v>-0.43921941782255897</v>
      </c>
      <c r="S178" s="1">
        <f>(Main_S[[#This Row],[A/E]]-VLOOKUP(Main_S[[#This Row],[Industry]], Mean_AE_S, 2, FALSE))/(VLOOKUP(Main_S[[#This Row],[Industry]], Mean_AE_S, 3, FALSE))</f>
        <v>0.16056035587961984</v>
      </c>
      <c r="T178" s="1">
        <f>(Main_S[[#This Row],[P/E]]-VLOOKUP(Main_S[[#This Row],[Industry]], Mean_PE_S, 2, FALSE))/(VLOOKUP(Main_S[[#This Row],[Industry]], Mean_PE_S, 3, FALSE))</f>
        <v>0.43908992984902745</v>
      </c>
      <c r="U17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7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7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7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7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7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79" spans="1:26" x14ac:dyDescent="0.25">
      <c r="A179" s="68" t="s">
        <v>181</v>
      </c>
      <c r="B179" s="68" t="s">
        <v>483</v>
      </c>
      <c r="C179" s="2">
        <v>933</v>
      </c>
      <c r="D179">
        <f>RTD("tos.rtd", , "LAST", Main_S[[#This Row],[Symbol]])</f>
        <v>4.5599999999999996</v>
      </c>
      <c r="E179">
        <v>-0.23</v>
      </c>
      <c r="F179">
        <v>3.6</v>
      </c>
      <c r="G179">
        <v>-0.14000000000000001</v>
      </c>
      <c r="H179" s="1">
        <f>IF(ISNUMBER(Main_S[[#This Row],[Free CF]]),IF(Main_S[[#This Row],[Free CF]]&lt;&gt;0,Main_S[[#This Row],[Current Price]]/Main_S[[#This Row],[Free CF]],""),"")</f>
        <v>-19.826086956521735</v>
      </c>
      <c r="I179" s="1">
        <f>IF(ISNUMBER(Main_S[[#This Row],[BVPS]]),IF(Main_S[[#This Row],[BVPS]]&lt;&gt;0,Main_S[[#This Row],[Current Price]]/Main_S[[#This Row],[BVPS]],""),"")</f>
        <v>1.2666666666666666</v>
      </c>
      <c r="J179">
        <v>-3.76</v>
      </c>
      <c r="K179">
        <v>2.0299999999999998</v>
      </c>
      <c r="L179">
        <v>4.3600000000000003</v>
      </c>
      <c r="M179" s="1">
        <f>IF(ISNUMBER(Main_S[[#This Row],[EPS]]),IF(Main_S[[#This Row],[EPS]]&lt;&gt;0,Main_S[[#This Row],[Current Price]]/Main_S[[#This Row],[EPS]],""),"")</f>
        <v>-32.571428571428562</v>
      </c>
      <c r="N17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79" s="1">
        <f>(Main_S[[#This Row],[P/FCF]]-VLOOKUP(Main_S[[#This Row],[Industry]], Mean_PFCF_S, 2, FALSE))/(VLOOKUP(Main_S[[#This Row],[Industry]], Mean_PFCF_S, 3, FALSE))</f>
        <v>-1.7794182555925251</v>
      </c>
      <c r="P179" s="1">
        <f>(Main_S[[#This Row],[P/B]]-VLOOKUP(Main_S[[#This Row],[Industry]], Mean_PB_S, 2, FALSE))/(VLOOKUP(Main_S[[#This Row],[Industry]], Mean_PB_S, 3, FALSE))</f>
        <v>-0.7383183224912544</v>
      </c>
      <c r="Q179" s="1">
        <f>(Main_S[[#This Row],[ROE]]-VLOOKUP(Main_S[[#This Row],[Industry]], Mean_ROE_S, 2, FALSE))/(VLOOKUP(Main_S[[#This Row],[Industry]], Mean_ROE_S, 3, FALSE))</f>
        <v>-0.93616564685299319</v>
      </c>
      <c r="R179" s="1">
        <f>(Main_S[[#This Row],[ROA]]-VLOOKUP(Main_S[[#This Row],[Industry]], Mean_ROA_S, 2, FALSE))/(VLOOKUP(Main_S[[#This Row],[Industry]], Mean_ROA_S, 3, FALSE))</f>
        <v>-0.63616039919091782</v>
      </c>
      <c r="S179" s="1">
        <f>(Main_S[[#This Row],[A/E]]-VLOOKUP(Main_S[[#This Row],[Industry]], Mean_AE_S, 2, FALSE))/(VLOOKUP(Main_S[[#This Row],[Industry]], Mean_AE_S, 3, FALSE))</f>
        <v>2.2894717412464276</v>
      </c>
      <c r="T179" s="1">
        <f>(Main_S[[#This Row],[P/E]]-VLOOKUP(Main_S[[#This Row],[Industry]], Mean_PE_S, 2, FALSE))/(VLOOKUP(Main_S[[#This Row],[Industry]], Mean_PE_S, 3, FALSE))</f>
        <v>-1.9520926276445472</v>
      </c>
      <c r="U17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7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7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7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7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7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80" spans="1:26" x14ac:dyDescent="0.25">
      <c r="A180" s="68" t="s">
        <v>181</v>
      </c>
      <c r="B180" s="68" t="s">
        <v>484</v>
      </c>
      <c r="C180" s="2">
        <v>1595</v>
      </c>
      <c r="D180">
        <f>RTD("tos.rtd", , "LAST", Main_S[[#This Row],[Symbol]])</f>
        <v>15.57</v>
      </c>
      <c r="E180">
        <v>2.72</v>
      </c>
      <c r="F180">
        <v>10.64</v>
      </c>
      <c r="G180">
        <v>0.74</v>
      </c>
      <c r="H180" s="1">
        <f>IF(ISNUMBER(Main_S[[#This Row],[Free CF]]),IF(Main_S[[#This Row],[Free CF]]&lt;&gt;0,Main_S[[#This Row],[Current Price]]/Main_S[[#This Row],[Free CF]],""),"")</f>
        <v>5.7242647058823524</v>
      </c>
      <c r="I180" s="1">
        <f>IF(ISNUMBER(Main_S[[#This Row],[BVPS]]),IF(Main_S[[#This Row],[BVPS]]&lt;&gt;0,Main_S[[#This Row],[Current Price]]/Main_S[[#This Row],[BVPS]],""),"")</f>
        <v>1.4633458646616542</v>
      </c>
      <c r="J180">
        <v>7.49</v>
      </c>
      <c r="K180">
        <v>5.24</v>
      </c>
      <c r="L180">
        <v>1.44</v>
      </c>
      <c r="M180" s="1">
        <f>IF(ISNUMBER(Main_S[[#This Row],[EPS]]),IF(Main_S[[#This Row],[EPS]]&lt;&gt;0,Main_S[[#This Row],[Current Price]]/Main_S[[#This Row],[EPS]],""),"")</f>
        <v>21.04054054054054</v>
      </c>
      <c r="N18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80" s="1">
        <f>(Main_S[[#This Row],[P/FCF]]-VLOOKUP(Main_S[[#This Row],[Industry]], Mean_PFCF_S, 2, FALSE))/(VLOOKUP(Main_S[[#This Row],[Industry]], Mean_PFCF_S, 3, FALSE))</f>
        <v>-0.15049999478341536</v>
      </c>
      <c r="P180" s="1">
        <f>(Main_S[[#This Row],[P/B]]-VLOOKUP(Main_S[[#This Row],[Industry]], Mean_PB_S, 2, FALSE))/(VLOOKUP(Main_S[[#This Row],[Industry]], Mean_PB_S, 3, FALSE))</f>
        <v>-0.57026709123571695</v>
      </c>
      <c r="Q180" s="1">
        <f>(Main_S[[#This Row],[ROE]]-VLOOKUP(Main_S[[#This Row],[Industry]], Mean_ROE_S, 2, FALSE))/(VLOOKUP(Main_S[[#This Row],[Industry]], Mean_ROE_S, 3, FALSE))</f>
        <v>0.10357341400288826</v>
      </c>
      <c r="R180" s="1">
        <f>(Main_S[[#This Row],[ROA]]-VLOOKUP(Main_S[[#This Row],[Industry]], Mean_ROA_S, 2, FALSE))/(VLOOKUP(Main_S[[#This Row],[Industry]], Mean_ROA_S, 3, FALSE))</f>
        <v>0.35162171048475721</v>
      </c>
      <c r="S180" s="1">
        <f>(Main_S[[#This Row],[A/E]]-VLOOKUP(Main_S[[#This Row],[Industry]], Mean_AE_S, 2, FALSE))/(VLOOKUP(Main_S[[#This Row],[Industry]], Mean_AE_S, 3, FALSE))</f>
        <v>-1.1833892896312697</v>
      </c>
      <c r="T180" s="1">
        <f>(Main_S[[#This Row],[P/E]]-VLOOKUP(Main_S[[#This Row],[Industry]], Mean_PE_S, 2, FALSE))/(VLOOKUP(Main_S[[#This Row],[Industry]], Mean_PE_S, 3, FALSE))</f>
        <v>0.6718530303014657</v>
      </c>
      <c r="U18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8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8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8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8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8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81" spans="1:26" x14ac:dyDescent="0.25">
      <c r="A181" s="68" t="s">
        <v>181</v>
      </c>
      <c r="B181" s="68" t="s">
        <v>485</v>
      </c>
      <c r="C181" s="2">
        <v>1135</v>
      </c>
      <c r="D181">
        <f>RTD("tos.rtd", , "LAST", Main_S[[#This Row],[Symbol]])</f>
        <v>27.24</v>
      </c>
      <c r="E181">
        <v>0.03</v>
      </c>
      <c r="F181">
        <v>13.67</v>
      </c>
      <c r="G181">
        <v>0.02</v>
      </c>
      <c r="H181" s="1">
        <f>IF(ISNUMBER(Main_S[[#This Row],[Free CF]]),IF(Main_S[[#This Row],[Free CF]]&lt;&gt;0,Main_S[[#This Row],[Current Price]]/Main_S[[#This Row],[Free CF]],""),"")</f>
        <v>908</v>
      </c>
      <c r="I181" s="1">
        <f>IF(ISNUMBER(Main_S[[#This Row],[BVPS]]),IF(Main_S[[#This Row],[BVPS]]&lt;&gt;0,Main_S[[#This Row],[Current Price]]/Main_S[[#This Row],[BVPS]],""),"")</f>
        <v>1.9926847110460861</v>
      </c>
      <c r="J181">
        <v>0.18</v>
      </c>
      <c r="K181">
        <v>4.07</v>
      </c>
      <c r="L181">
        <v>2.77</v>
      </c>
      <c r="M181" s="1">
        <f>IF(ISNUMBER(Main_S[[#This Row],[EPS]]),IF(Main_S[[#This Row],[EPS]]&lt;&gt;0,Main_S[[#This Row],[Current Price]]/Main_S[[#This Row],[EPS]],""),"")</f>
        <v>1362</v>
      </c>
      <c r="N18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81" s="1">
        <f>(Main_S[[#This Row],[P/FCF]]-VLOOKUP(Main_S[[#This Row],[Industry]], Mean_PFCF_S, 2, FALSE))/(VLOOKUP(Main_S[[#This Row],[Industry]], Mean_PFCF_S, 3, FALSE))</f>
        <v>57.372521250680897</v>
      </c>
      <c r="P181" s="1">
        <f>(Main_S[[#This Row],[P/B]]-VLOOKUP(Main_S[[#This Row],[Industry]], Mean_PB_S, 2, FALSE))/(VLOOKUP(Main_S[[#This Row],[Industry]], Mean_PB_S, 3, FALSE))</f>
        <v>-0.117977038229925</v>
      </c>
      <c r="Q181" s="1">
        <f>(Main_S[[#This Row],[ROE]]-VLOOKUP(Main_S[[#This Row],[Industry]], Mean_ROE_S, 2, FALSE))/(VLOOKUP(Main_S[[#This Row],[Industry]], Mean_ROE_S, 3, FALSE))</f>
        <v>-0.57202592242880002</v>
      </c>
      <c r="R181" s="1">
        <f>(Main_S[[#This Row],[ROA]]-VLOOKUP(Main_S[[#This Row],[Industry]], Mean_ROA_S, 2, FALSE))/(VLOOKUP(Main_S[[#This Row],[Industry]], Mean_ROA_S, 3, FALSE))</f>
        <v>-8.4110210792738265E-3</v>
      </c>
      <c r="S181" s="1">
        <f>(Main_S[[#This Row],[A/E]]-VLOOKUP(Main_S[[#This Row],[Industry]], Mean_AE_S, 2, FALSE))/(VLOOKUP(Main_S[[#This Row],[Industry]], Mean_AE_S, 3, FALSE))</f>
        <v>0.39842754977535272</v>
      </c>
      <c r="T181" s="1">
        <f>(Main_S[[#This Row],[P/E]]-VLOOKUP(Main_S[[#This Row],[Industry]], Mean_PE_S, 2, FALSE))/(VLOOKUP(Main_S[[#This Row],[Industry]], Mean_PE_S, 3, FALSE))</f>
        <v>66.302808382484898</v>
      </c>
      <c r="U18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8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8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8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8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8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82" spans="1:26" x14ac:dyDescent="0.25">
      <c r="A182" s="68" t="s">
        <v>181</v>
      </c>
      <c r="B182" s="68" t="s">
        <v>486</v>
      </c>
      <c r="C182" s="2">
        <v>1393</v>
      </c>
      <c r="D182">
        <f>RTD("tos.rtd", , "LAST", Main_S[[#This Row],[Symbol]])</f>
        <v>89.88</v>
      </c>
      <c r="E182">
        <v>4.8600000000000003</v>
      </c>
      <c r="F182">
        <v>26.94</v>
      </c>
      <c r="G182">
        <v>4.22</v>
      </c>
      <c r="H182" s="1">
        <f>IF(ISNUMBER(Main_S[[#This Row],[Free CF]]),IF(Main_S[[#This Row],[Free CF]]&lt;&gt;0,Main_S[[#This Row],[Current Price]]/Main_S[[#This Row],[Free CF]],""),"")</f>
        <v>18.493827160493826</v>
      </c>
      <c r="I182" s="1">
        <f>IF(ISNUMBER(Main_S[[#This Row],[BVPS]]),IF(Main_S[[#This Row],[BVPS]]&lt;&gt;0,Main_S[[#This Row],[Current Price]]/Main_S[[#This Row],[BVPS]],""),"")</f>
        <v>3.3363028953229397</v>
      </c>
      <c r="J182">
        <v>17.54</v>
      </c>
      <c r="K182">
        <v>7.27</v>
      </c>
      <c r="L182">
        <v>3.19</v>
      </c>
      <c r="M182" s="1">
        <f>IF(ISNUMBER(Main_S[[#This Row],[EPS]]),IF(Main_S[[#This Row],[EPS]]&lt;&gt;0,Main_S[[#This Row],[Current Price]]/Main_S[[#This Row],[EPS]],""),"")</f>
        <v>21.298578199052134</v>
      </c>
      <c r="N18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82" s="1">
        <f>(Main_S[[#This Row],[P/FCF]]-VLOOKUP(Main_S[[#This Row],[Industry]], Mean_PFCF_S, 2, FALSE))/(VLOOKUP(Main_S[[#This Row],[Industry]], Mean_PFCF_S, 3, FALSE))</f>
        <v>0.66360126455329693</v>
      </c>
      <c r="P182" s="1">
        <f>(Main_S[[#This Row],[P/B]]-VLOOKUP(Main_S[[#This Row],[Industry]], Mean_PB_S, 2, FALSE))/(VLOOKUP(Main_S[[#This Row],[Industry]], Mean_PB_S, 3, FALSE))</f>
        <v>1.0300685736441346</v>
      </c>
      <c r="Q182" s="1">
        <f>(Main_S[[#This Row],[ROE]]-VLOOKUP(Main_S[[#This Row],[Industry]], Mean_ROE_S, 2, FALSE))/(VLOOKUP(Main_S[[#This Row],[Industry]], Mean_ROE_S, 3, FALSE))</f>
        <v>1.0324069750341422</v>
      </c>
      <c r="R182" s="1">
        <f>(Main_S[[#This Row],[ROA]]-VLOOKUP(Main_S[[#This Row],[Industry]], Mean_ROA_S, 2, FALSE))/(VLOOKUP(Main_S[[#This Row],[Industry]], Mean_ROA_S, 3, FALSE))</f>
        <v>0.9762938857625203</v>
      </c>
      <c r="S182" s="1">
        <f>(Main_S[[#This Row],[A/E]]-VLOOKUP(Main_S[[#This Row],[Industry]], Mean_AE_S, 2, FALSE))/(VLOOKUP(Main_S[[#This Row],[Industry]], Mean_AE_S, 3, FALSE))</f>
        <v>0.89794865695639126</v>
      </c>
      <c r="T182" s="1">
        <f>(Main_S[[#This Row],[P/E]]-VLOOKUP(Main_S[[#This Row],[Industry]], Mean_PE_S, 2, FALSE))/(VLOOKUP(Main_S[[#This Row],[Industry]], Mean_PE_S, 3, FALSE))</f>
        <v>0.68448223987636436</v>
      </c>
      <c r="U18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8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8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8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8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8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83" spans="1:26" x14ac:dyDescent="0.25">
      <c r="A183" s="68" t="s">
        <v>181</v>
      </c>
      <c r="B183" s="68" t="s">
        <v>487</v>
      </c>
      <c r="C183" s="2">
        <v>982</v>
      </c>
      <c r="D183">
        <f>RTD("tos.rtd", , "LAST", Main_S[[#This Row],[Symbol]])</f>
        <v>26.96</v>
      </c>
      <c r="E183">
        <v>1.17</v>
      </c>
      <c r="F183">
        <v>7.51</v>
      </c>
      <c r="G183">
        <v>1.58</v>
      </c>
      <c r="H183" s="1">
        <f>IF(ISNUMBER(Main_S[[#This Row],[Free CF]]),IF(Main_S[[#This Row],[Free CF]]&lt;&gt;0,Main_S[[#This Row],[Current Price]]/Main_S[[#This Row],[Free CF]],""),"")</f>
        <v>23.042735042735046</v>
      </c>
      <c r="I183" s="1">
        <f>IF(ISNUMBER(Main_S[[#This Row],[BVPS]]),IF(Main_S[[#This Row],[BVPS]]&lt;&gt;0,Main_S[[#This Row],[Current Price]]/Main_S[[#This Row],[BVPS]],""),"")</f>
        <v>3.5898801597869507</v>
      </c>
      <c r="J183">
        <v>22.3</v>
      </c>
      <c r="K183">
        <v>9.64</v>
      </c>
      <c r="L183">
        <v>1.86</v>
      </c>
      <c r="M183" s="1">
        <f>IF(ISNUMBER(Main_S[[#This Row],[EPS]]),IF(Main_S[[#This Row],[EPS]]&lt;&gt;0,Main_S[[#This Row],[Current Price]]/Main_S[[#This Row],[EPS]],""),"")</f>
        <v>17.063291139240505</v>
      </c>
      <c r="N18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83" s="1">
        <f>(Main_S[[#This Row],[P/FCF]]-VLOOKUP(Main_S[[#This Row],[Industry]], Mean_PFCF_S, 2, FALSE))/(VLOOKUP(Main_S[[#This Row],[Industry]], Mean_PFCF_S, 3, FALSE))</f>
        <v>0.95360898006448203</v>
      </c>
      <c r="P183" s="1">
        <f>(Main_S[[#This Row],[P/B]]-VLOOKUP(Main_S[[#This Row],[Industry]], Mean_PB_S, 2, FALSE))/(VLOOKUP(Main_S[[#This Row],[Industry]], Mean_PB_S, 3, FALSE))</f>
        <v>1.2467359789722474</v>
      </c>
      <c r="Q183" s="1">
        <f>(Main_S[[#This Row],[ROE]]-VLOOKUP(Main_S[[#This Row],[Industry]], Mean_ROE_S, 2, FALSE))/(VLOOKUP(Main_S[[#This Row],[Industry]], Mean_ROE_S, 3, FALSE))</f>
        <v>1.4723321243384975</v>
      </c>
      <c r="R183" s="1">
        <f>(Main_S[[#This Row],[ROA]]-VLOOKUP(Main_S[[#This Row],[Industry]], Mean_ROA_S, 2, FALSE))/(VLOOKUP(Main_S[[#This Row],[Industry]], Mean_ROA_S, 3, FALSE))</f>
        <v>1.7055909573922245</v>
      </c>
      <c r="S183" s="1">
        <f>(Main_S[[#This Row],[A/E]]-VLOOKUP(Main_S[[#This Row],[Industry]], Mean_AE_S, 2, FALSE))/(VLOOKUP(Main_S[[#This Row],[Industry]], Mean_AE_S, 3, FALSE))</f>
        <v>-0.68386818245023084</v>
      </c>
      <c r="T183" s="1">
        <f>(Main_S[[#This Row],[P/E]]-VLOOKUP(Main_S[[#This Row],[Industry]], Mean_PE_S, 2, FALSE))/(VLOOKUP(Main_S[[#This Row],[Industry]], Mean_PE_S, 3, FALSE))</f>
        <v>0.47719339608221617</v>
      </c>
      <c r="U18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8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8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8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8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8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84" spans="1:26" x14ac:dyDescent="0.25">
      <c r="A184" s="68" t="s">
        <v>181</v>
      </c>
      <c r="B184" s="68" t="s">
        <v>488</v>
      </c>
      <c r="C184" s="2">
        <v>295</v>
      </c>
      <c r="D184">
        <f>RTD("tos.rtd", , "LAST", Main_S[[#This Row],[Symbol]])</f>
        <v>7.61</v>
      </c>
      <c r="E184">
        <v>1.91</v>
      </c>
      <c r="F184">
        <v>5.55</v>
      </c>
      <c r="G184">
        <v>0.52</v>
      </c>
      <c r="H184" s="1">
        <f>IF(ISNUMBER(Main_S[[#This Row],[Free CF]]),IF(Main_S[[#This Row],[Free CF]]&lt;&gt;0,Main_S[[#This Row],[Current Price]]/Main_S[[#This Row],[Free CF]],""),"")</f>
        <v>3.9842931937172779</v>
      </c>
      <c r="I184" s="1">
        <f>IF(ISNUMBER(Main_S[[#This Row],[BVPS]]),IF(Main_S[[#This Row],[BVPS]]&lt;&gt;0,Main_S[[#This Row],[Current Price]]/Main_S[[#This Row],[BVPS]],""),"")</f>
        <v>1.3711711711711714</v>
      </c>
      <c r="J184">
        <v>10.28</v>
      </c>
      <c r="K184">
        <v>6.17</v>
      </c>
      <c r="L184">
        <v>1.23</v>
      </c>
      <c r="M184" s="1">
        <f>IF(ISNUMBER(Main_S[[#This Row],[EPS]]),IF(Main_S[[#This Row],[EPS]]&lt;&gt;0,Main_S[[#This Row],[Current Price]]/Main_S[[#This Row],[EPS]],""),"")</f>
        <v>14.634615384615385</v>
      </c>
      <c r="N18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YES</v>
      </c>
      <c r="O184" s="1">
        <f>(Main_S[[#This Row],[P/FCF]]-VLOOKUP(Main_S[[#This Row],[Industry]], Mean_PFCF_S, 2, FALSE))/(VLOOKUP(Main_S[[#This Row],[Industry]], Mean_PFCF_S, 3, FALSE))</f>
        <v>-0.26142885427241414</v>
      </c>
      <c r="P184" s="1">
        <f>(Main_S[[#This Row],[P/B]]-VLOOKUP(Main_S[[#This Row],[Industry]], Mean_PB_S, 2, FALSE))/(VLOOKUP(Main_S[[#This Row],[Industry]], Mean_PB_S, 3, FALSE))</f>
        <v>-0.64902514439837111</v>
      </c>
      <c r="Q184" s="1">
        <f>(Main_S[[#This Row],[ROE]]-VLOOKUP(Main_S[[#This Row],[Industry]], Mean_ROE_S, 2, FALSE))/(VLOOKUP(Main_S[[#This Row],[Industry]], Mean_ROE_S, 3, FALSE))</f>
        <v>0.3614287010951468</v>
      </c>
      <c r="R184" s="1">
        <f>(Main_S[[#This Row],[ROA]]-VLOOKUP(Main_S[[#This Row],[Industry]], Mean_ROA_S, 2, FALSE))/(VLOOKUP(Main_S[[#This Row],[Industry]], Mean_ROA_S, 3, FALSE))</f>
        <v>0.63780157403565363</v>
      </c>
      <c r="S184" s="1">
        <f>(Main_S[[#This Row],[A/E]]-VLOOKUP(Main_S[[#This Row],[Industry]], Mean_AE_S, 2, FALSE))/(VLOOKUP(Main_S[[#This Row],[Industry]], Mean_AE_S, 3, FALSE))</f>
        <v>-1.4331498432217888</v>
      </c>
      <c r="T184" s="1">
        <f>(Main_S[[#This Row],[P/E]]-VLOOKUP(Main_S[[#This Row],[Industry]], Mean_PE_S, 2, FALSE))/(VLOOKUP(Main_S[[#This Row],[Industry]], Mean_PE_S, 3, FALSE))</f>
        <v>0.35832603667600099</v>
      </c>
      <c r="U18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8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8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8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8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8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85" spans="1:26" x14ac:dyDescent="0.25">
      <c r="A185" s="68" t="s">
        <v>181</v>
      </c>
      <c r="B185" s="68" t="s">
        <v>489</v>
      </c>
      <c r="C185" s="2">
        <v>538</v>
      </c>
      <c r="D185">
        <f>RTD("tos.rtd", , "LAST", Main_S[[#This Row],[Symbol]])</f>
        <v>30.27</v>
      </c>
      <c r="E185">
        <v>2.2000000000000002</v>
      </c>
      <c r="F185">
        <v>7.78</v>
      </c>
      <c r="G185">
        <v>1.49</v>
      </c>
      <c r="H185" s="1">
        <f>IF(ISNUMBER(Main_S[[#This Row],[Free CF]]),IF(Main_S[[#This Row],[Free CF]]&lt;&gt;0,Main_S[[#This Row],[Current Price]]/Main_S[[#This Row],[Free CF]],""),"")</f>
        <v>13.759090909090908</v>
      </c>
      <c r="I185" s="1">
        <f>IF(ISNUMBER(Main_S[[#This Row],[BVPS]]),IF(Main_S[[#This Row],[BVPS]]&lt;&gt;0,Main_S[[#This Row],[Current Price]]/Main_S[[#This Row],[BVPS]],""),"")</f>
        <v>3.8907455012853469</v>
      </c>
      <c r="J185">
        <v>18.98</v>
      </c>
      <c r="K185">
        <v>8.8699999999999992</v>
      </c>
      <c r="L185">
        <v>1.89</v>
      </c>
      <c r="M185" s="1">
        <f>IF(ISNUMBER(Main_S[[#This Row],[EPS]]),IF(Main_S[[#This Row],[EPS]]&lt;&gt;0,Main_S[[#This Row],[Current Price]]/Main_S[[#This Row],[EPS]],""),"")</f>
        <v>20.315436241610737</v>
      </c>
      <c r="N18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85" s="1">
        <f>(Main_S[[#This Row],[P/FCF]]-VLOOKUP(Main_S[[#This Row],[Industry]], Mean_PFCF_S, 2, FALSE))/(VLOOKUP(Main_S[[#This Row],[Industry]], Mean_PFCF_S, 3, FALSE))</f>
        <v>0.36174638435712358</v>
      </c>
      <c r="P185" s="1">
        <f>(Main_S[[#This Row],[P/B]]-VLOOKUP(Main_S[[#This Row],[Industry]], Mean_PB_S, 2, FALSE))/(VLOOKUP(Main_S[[#This Row],[Industry]], Mean_PB_S, 3, FALSE))</f>
        <v>1.5038083668828988</v>
      </c>
      <c r="Q185" s="1">
        <f>(Main_S[[#This Row],[ROE]]-VLOOKUP(Main_S[[#This Row],[Industry]], Mean_ROE_S, 2, FALSE))/(VLOOKUP(Main_S[[#This Row],[Industry]], Mean_ROE_S, 3, FALSE))</f>
        <v>1.1654935748236952</v>
      </c>
      <c r="R185" s="1">
        <f>(Main_S[[#This Row],[ROA]]-VLOOKUP(Main_S[[#This Row],[Industry]], Mean_ROA_S, 2, FALSE))/(VLOOKUP(Main_S[[#This Row],[Industry]], Mean_ROA_S, 3, FALSE))</f>
        <v>1.4686463391834175</v>
      </c>
      <c r="S185" s="1">
        <f>(Main_S[[#This Row],[A/E]]-VLOOKUP(Main_S[[#This Row],[Industry]], Mean_AE_S, 2, FALSE))/(VLOOKUP(Main_S[[#This Row],[Industry]], Mean_AE_S, 3, FALSE))</f>
        <v>-0.64818810336587118</v>
      </c>
      <c r="T185" s="1">
        <f>(Main_S[[#This Row],[P/E]]-VLOOKUP(Main_S[[#This Row],[Industry]], Mean_PE_S, 2, FALSE))/(VLOOKUP(Main_S[[#This Row],[Industry]], Mean_PE_S, 3, FALSE))</f>
        <v>0.6363640469969879</v>
      </c>
      <c r="U18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8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8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8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8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8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86" spans="1:26" x14ac:dyDescent="0.25">
      <c r="A186" s="68" t="s">
        <v>181</v>
      </c>
      <c r="B186" s="68" t="s">
        <v>576</v>
      </c>
      <c r="C186" s="2">
        <v>281</v>
      </c>
      <c r="D186">
        <f>RTD("tos.rtd", , "LAST", Main_S[[#This Row],[Symbol]])</f>
        <v>2.44</v>
      </c>
      <c r="E186">
        <v>-0.12</v>
      </c>
      <c r="F186">
        <v>1.37</v>
      </c>
      <c r="G186">
        <v>-1.53</v>
      </c>
      <c r="H186" s="1">
        <f>IF(ISNUMBER(Main_S[[#This Row],[Free CF]]),IF(Main_S[[#This Row],[Free CF]]&lt;&gt;0,Main_S[[#This Row],[Current Price]]/Main_S[[#This Row],[Free CF]],""),"")</f>
        <v>-20.333333333333332</v>
      </c>
      <c r="I186" s="1">
        <f>IF(ISNUMBER(Main_S[[#This Row],[BVPS]]),IF(Main_S[[#This Row],[BVPS]]&lt;&gt;0,Main_S[[#This Row],[Current Price]]/Main_S[[#This Row],[BVPS]],""),"")</f>
        <v>1.7810218978102188</v>
      </c>
      <c r="J186">
        <v>-62.35</v>
      </c>
      <c r="K186">
        <v>0.25</v>
      </c>
      <c r="L186">
        <v>10.41</v>
      </c>
      <c r="M186" s="1">
        <f>IF(ISNUMBER(Main_S[[#This Row],[EPS]]),IF(Main_S[[#This Row],[EPS]]&lt;&gt;0,Main_S[[#This Row],[Current Price]]/Main_S[[#This Row],[EPS]],""),"")</f>
        <v>-1.5947712418300652</v>
      </c>
      <c r="N18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86" s="1">
        <f>(Main_S[[#This Row],[P/FCF]]-VLOOKUP(Main_S[[#This Row],[Industry]], Mean_PFCF_S, 2, FALSE))/(VLOOKUP(Main_S[[#This Row],[Industry]], Mean_PFCF_S, 3, FALSE))</f>
        <v>-1.8117568666940496</v>
      </c>
      <c r="P186" s="1">
        <f>(Main_S[[#This Row],[P/B]]-VLOOKUP(Main_S[[#This Row],[Industry]], Mean_PB_S, 2, FALSE))/(VLOOKUP(Main_S[[#This Row],[Industry]], Mean_PB_S, 3, FALSE))</f>
        <v>-0.29883091976855569</v>
      </c>
      <c r="Q186" s="1">
        <f>(Main_S[[#This Row],[ROE]]-VLOOKUP(Main_S[[#This Row],[Industry]], Mean_ROE_S, 2, FALSE))/(VLOOKUP(Main_S[[#This Row],[Industry]], Mean_ROE_S, 3, FALSE))</f>
        <v>-6.3511266757904243</v>
      </c>
      <c r="R186" s="1">
        <f>(Main_S[[#This Row],[ROA]]-VLOOKUP(Main_S[[#This Row],[Industry]], Mean_ROA_S, 2, FALSE))/(VLOOKUP(Main_S[[#This Row],[Industry]], Mean_ROA_S, 3, FALSE))</f>
        <v>-1.1839025036216659</v>
      </c>
      <c r="S186" s="1">
        <f>(Main_S[[#This Row],[A/E]]-VLOOKUP(Main_S[[#This Row],[Industry]], Mean_AE_S, 2, FALSE))/(VLOOKUP(Main_S[[#This Row],[Industry]], Mean_AE_S, 3, FALSE))</f>
        <v>9.4849543565923415</v>
      </c>
      <c r="T186" s="1">
        <f>(Main_S[[#This Row],[P/E]]-VLOOKUP(Main_S[[#This Row],[Industry]], Mean_PE_S, 2, FALSE))/(VLOOKUP(Main_S[[#This Row],[Industry]], Mean_PE_S, 3, FALSE))</f>
        <v>-0.43599339002980414</v>
      </c>
      <c r="U18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8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8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18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8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18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87" spans="1:26" x14ac:dyDescent="0.25">
      <c r="A187" s="68" t="s">
        <v>181</v>
      </c>
      <c r="B187" s="68" t="s">
        <v>490</v>
      </c>
      <c r="C187" s="2">
        <v>989</v>
      </c>
      <c r="D187">
        <f>RTD("tos.rtd", , "LAST", Main_S[[#This Row],[Symbol]])</f>
        <v>13.13</v>
      </c>
      <c r="E187">
        <v>2.64</v>
      </c>
      <c r="F187">
        <v>6.05</v>
      </c>
      <c r="G187">
        <v>0.56999999999999995</v>
      </c>
      <c r="H187" s="1">
        <f>IF(ISNUMBER(Main_S[[#This Row],[Free CF]]),IF(Main_S[[#This Row],[Free CF]]&lt;&gt;0,Main_S[[#This Row],[Current Price]]/Main_S[[#This Row],[Free CF]],""),"")</f>
        <v>4.9734848484848486</v>
      </c>
      <c r="I187" s="1">
        <f>IF(ISNUMBER(Main_S[[#This Row],[BVPS]]),IF(Main_S[[#This Row],[BVPS]]&lt;&gt;0,Main_S[[#This Row],[Current Price]]/Main_S[[#This Row],[BVPS]],""),"")</f>
        <v>2.1702479338842977</v>
      </c>
      <c r="J187">
        <v>11.48</v>
      </c>
      <c r="K187">
        <v>4.8099999999999996</v>
      </c>
      <c r="L187">
        <v>3.15</v>
      </c>
      <c r="M187" s="1">
        <f>IF(ISNUMBER(Main_S[[#This Row],[EPS]]),IF(Main_S[[#This Row],[EPS]]&lt;&gt;0,Main_S[[#This Row],[Current Price]]/Main_S[[#This Row],[EPS]],""),"")</f>
        <v>23.03508771929825</v>
      </c>
      <c r="N18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87" s="1">
        <f>(Main_S[[#This Row],[P/FCF]]-VLOOKUP(Main_S[[#This Row],[Industry]], Mean_PFCF_S, 2, FALSE))/(VLOOKUP(Main_S[[#This Row],[Industry]], Mean_PFCF_S, 3, FALSE))</f>
        <v>-0.19836465965070832</v>
      </c>
      <c r="P187" s="1">
        <f>(Main_S[[#This Row],[P/B]]-VLOOKUP(Main_S[[#This Row],[Industry]], Mean_PB_S, 2, FALSE))/(VLOOKUP(Main_S[[#This Row],[Industry]], Mean_PB_S, 3, FALSE))</f>
        <v>3.3740675325238556E-2</v>
      </c>
      <c r="Q187" s="1">
        <f>(Main_S[[#This Row],[ROE]]-VLOOKUP(Main_S[[#This Row],[Industry]], Mean_ROE_S, 2, FALSE))/(VLOOKUP(Main_S[[#This Row],[Industry]], Mean_ROE_S, 3, FALSE))</f>
        <v>0.47233420091977424</v>
      </c>
      <c r="R187" s="1">
        <f>(Main_S[[#This Row],[ROA]]-VLOOKUP(Main_S[[#This Row],[Industry]], Mean_ROA_S, 2, FALSE))/(VLOOKUP(Main_S[[#This Row],[Industry]], Mean_ROA_S, 3, FALSE))</f>
        <v>0.21930198862789091</v>
      </c>
      <c r="S187" s="1">
        <f>(Main_S[[#This Row],[A/E]]-VLOOKUP(Main_S[[#This Row],[Industry]], Mean_AE_S, 2, FALSE))/(VLOOKUP(Main_S[[#This Row],[Industry]], Mean_AE_S, 3, FALSE))</f>
        <v>0.85037521817724471</v>
      </c>
      <c r="T187" s="1">
        <f>(Main_S[[#This Row],[P/E]]-VLOOKUP(Main_S[[#This Row],[Industry]], Mean_PE_S, 2, FALSE))/(VLOOKUP(Main_S[[#This Row],[Industry]], Mean_PE_S, 3, FALSE))</f>
        <v>0.76947271292008712</v>
      </c>
      <c r="U18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8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8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8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8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8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88" spans="1:26" x14ac:dyDescent="0.25">
      <c r="A188" s="68" t="s">
        <v>181</v>
      </c>
      <c r="B188" s="68" t="s">
        <v>491</v>
      </c>
      <c r="C188" s="2">
        <v>408</v>
      </c>
      <c r="D188">
        <f>RTD("tos.rtd", , "LAST", Main_S[[#This Row],[Symbol]])</f>
        <v>21.23</v>
      </c>
      <c r="E188">
        <v>0.82</v>
      </c>
      <c r="F188">
        <v>27.13</v>
      </c>
      <c r="G188">
        <v>-1.63</v>
      </c>
      <c r="H188" s="1">
        <f>IF(ISNUMBER(Main_S[[#This Row],[Free CF]]),IF(Main_S[[#This Row],[Free CF]]&lt;&gt;0,Main_S[[#This Row],[Current Price]]/Main_S[[#This Row],[Free CF]],""),"")</f>
        <v>25.890243902439025</v>
      </c>
      <c r="I188" s="1">
        <f>IF(ISNUMBER(Main_S[[#This Row],[BVPS]]),IF(Main_S[[#This Row],[BVPS]]&lt;&gt;0,Main_S[[#This Row],[Current Price]]/Main_S[[#This Row],[BVPS]],""),"")</f>
        <v>0.78252856616291933</v>
      </c>
      <c r="J188">
        <v>-5.8</v>
      </c>
      <c r="K188">
        <v>0.19</v>
      </c>
      <c r="L188">
        <v>2.95</v>
      </c>
      <c r="M188" s="1">
        <f>IF(ISNUMBER(Main_S[[#This Row],[EPS]]),IF(Main_S[[#This Row],[EPS]]&lt;&gt;0,Main_S[[#This Row],[Current Price]]/Main_S[[#This Row],[EPS]],""),"")</f>
        <v>-13.024539877300615</v>
      </c>
      <c r="N18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88" s="1">
        <f>(Main_S[[#This Row],[P/FCF]]-VLOOKUP(Main_S[[#This Row],[Industry]], Mean_PFCF_S, 2, FALSE))/(VLOOKUP(Main_S[[#This Row],[Industry]], Mean_PFCF_S, 3, FALSE))</f>
        <v>1.1351469581195013</v>
      </c>
      <c r="P188" s="1">
        <f>(Main_S[[#This Row],[P/B]]-VLOOKUP(Main_S[[#This Row],[Industry]], Mean_PB_S, 2, FALSE))/(VLOOKUP(Main_S[[#This Row],[Industry]], Mean_PB_S, 3, FALSE))</f>
        <v>-1.1519868991215361</v>
      </c>
      <c r="Q188" s="1">
        <f>(Main_S[[#This Row],[ROE]]-VLOOKUP(Main_S[[#This Row],[Industry]], Mean_ROE_S, 2, FALSE))/(VLOOKUP(Main_S[[#This Row],[Industry]], Mean_ROE_S, 3, FALSE))</f>
        <v>-1.1247049965548597</v>
      </c>
      <c r="R188" s="1">
        <f>(Main_S[[#This Row],[ROA]]-VLOOKUP(Main_S[[#This Row],[Industry]], Mean_ROA_S, 2, FALSE))/(VLOOKUP(Main_S[[#This Row],[Industry]], Mean_ROA_S, 3, FALSE))</f>
        <v>-1.2023657206249496</v>
      </c>
      <c r="S188" s="1">
        <f>(Main_S[[#This Row],[A/E]]-VLOOKUP(Main_S[[#This Row],[Industry]], Mean_AE_S, 2, FALSE))/(VLOOKUP(Main_S[[#This Row],[Industry]], Mean_AE_S, 3, FALSE))</f>
        <v>0.6125080242815123</v>
      </c>
      <c r="T188" s="1">
        <f>(Main_S[[#This Row],[P/E]]-VLOOKUP(Main_S[[#This Row],[Industry]], Mean_PE_S, 2, FALSE))/(VLOOKUP(Main_S[[#This Row],[Industry]], Mean_PE_S, 3, FALSE))</f>
        <v>-0.99540376571911704</v>
      </c>
      <c r="U18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8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8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8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8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8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89" spans="1:26" x14ac:dyDescent="0.25">
      <c r="A189" s="68" t="s">
        <v>181</v>
      </c>
      <c r="B189" s="68" t="s">
        <v>492</v>
      </c>
      <c r="C189" s="2">
        <v>716</v>
      </c>
      <c r="D189">
        <f>RTD("tos.rtd", , "LAST", Main_S[[#This Row],[Symbol]])</f>
        <v>81.430000000000007</v>
      </c>
      <c r="E189">
        <v>2.14</v>
      </c>
      <c r="F189">
        <v>30.19</v>
      </c>
      <c r="G189">
        <v>1.85</v>
      </c>
      <c r="H189" s="1">
        <f>IF(ISNUMBER(Main_S[[#This Row],[Free CF]]),IF(Main_S[[#This Row],[Free CF]]&lt;&gt;0,Main_S[[#This Row],[Current Price]]/Main_S[[#This Row],[Free CF]],""),"")</f>
        <v>38.05140186915888</v>
      </c>
      <c r="I189" s="1">
        <f>IF(ISNUMBER(Main_S[[#This Row],[BVPS]]),IF(Main_S[[#This Row],[BVPS]]&lt;&gt;0,Main_S[[#This Row],[Current Price]]/Main_S[[#This Row],[BVPS]],""),"")</f>
        <v>2.6972507452798942</v>
      </c>
      <c r="J189">
        <v>6.78</v>
      </c>
      <c r="K189">
        <v>3.76</v>
      </c>
      <c r="L189">
        <v>1.37</v>
      </c>
      <c r="M189" s="1">
        <f>IF(ISNUMBER(Main_S[[#This Row],[EPS]]),IF(Main_S[[#This Row],[EPS]]&lt;&gt;0,Main_S[[#This Row],[Current Price]]/Main_S[[#This Row],[EPS]],""),"")</f>
        <v>44.016216216216215</v>
      </c>
      <c r="N18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89" s="1">
        <f>(Main_S[[#This Row],[P/FCF]]-VLOOKUP(Main_S[[#This Row],[Industry]], Mean_PFCF_S, 2, FALSE))/(VLOOKUP(Main_S[[#This Row],[Industry]], Mean_PFCF_S, 3, FALSE))</f>
        <v>1.9104604468071258</v>
      </c>
      <c r="P189" s="1">
        <f>(Main_S[[#This Row],[P/B]]-VLOOKUP(Main_S[[#This Row],[Industry]], Mean_PB_S, 2, FALSE))/(VLOOKUP(Main_S[[#This Row],[Industry]], Mean_PB_S, 3, FALSE))</f>
        <v>0.48403471878791748</v>
      </c>
      <c r="Q189" s="1">
        <f>(Main_S[[#This Row],[ROE]]-VLOOKUP(Main_S[[#This Row],[Industry]], Mean_ROE_S, 2, FALSE))/(VLOOKUP(Main_S[[#This Row],[Industry]], Mean_ROE_S, 3, FALSE))</f>
        <v>3.7954326606650421E-2</v>
      </c>
      <c r="R189" s="1">
        <f>(Main_S[[#This Row],[ROA]]-VLOOKUP(Main_S[[#This Row],[Industry]], Mean_ROA_S, 2, FALSE))/(VLOOKUP(Main_S[[#This Row],[Industry]], Mean_ROA_S, 3, FALSE))</f>
        <v>-0.10380430892957281</v>
      </c>
      <c r="S189" s="1">
        <f>(Main_S[[#This Row],[A/E]]-VLOOKUP(Main_S[[#This Row],[Industry]], Mean_AE_S, 2, FALSE))/(VLOOKUP(Main_S[[#This Row],[Industry]], Mean_AE_S, 3, FALSE))</f>
        <v>-1.266642807494776</v>
      </c>
      <c r="T189" s="1">
        <f>(Main_S[[#This Row],[P/E]]-VLOOKUP(Main_S[[#This Row],[Industry]], Mean_PE_S, 2, FALSE))/(VLOOKUP(Main_S[[#This Row],[Industry]], Mean_PE_S, 3, FALSE))</f>
        <v>1.7963579762335056</v>
      </c>
      <c r="U18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8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8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8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8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8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90" spans="1:26" x14ac:dyDescent="0.25">
      <c r="A190" s="68" t="s">
        <v>181</v>
      </c>
      <c r="B190" s="68" t="s">
        <v>577</v>
      </c>
      <c r="C190" s="2">
        <v>333</v>
      </c>
      <c r="D190">
        <f>RTD("tos.rtd", , "LAST", Main_S[[#This Row],[Symbol]])</f>
        <v>16.334743</v>
      </c>
      <c r="E190">
        <v>1.95</v>
      </c>
      <c r="F190">
        <v>16.37</v>
      </c>
      <c r="G190">
        <v>1.34</v>
      </c>
      <c r="H190" s="1">
        <f>IF(ISNUMBER(Main_S[[#This Row],[Free CF]]),IF(Main_S[[#This Row],[Free CF]]&lt;&gt;0,Main_S[[#This Row],[Current Price]]/Main_S[[#This Row],[Free CF]],""),"")</f>
        <v>8.3767912820512826</v>
      </c>
      <c r="I190" s="1">
        <f>IF(ISNUMBER(Main_S[[#This Row],[BVPS]]),IF(Main_S[[#This Row],[BVPS]]&lt;&gt;0,Main_S[[#This Row],[Current Price]]/Main_S[[#This Row],[BVPS]],""),"")</f>
        <v>0.99784624312767245</v>
      </c>
      <c r="J190">
        <v>8.49</v>
      </c>
      <c r="K190">
        <v>4.2300000000000004</v>
      </c>
      <c r="L190">
        <v>3.02</v>
      </c>
      <c r="M190" s="1">
        <f>IF(ISNUMBER(Main_S[[#This Row],[EPS]]),IF(Main_S[[#This Row],[EPS]]&lt;&gt;0,Main_S[[#This Row],[Current Price]]/Main_S[[#This Row],[EPS]],""),"")</f>
        <v>12.19010671641791</v>
      </c>
      <c r="N19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90" s="1">
        <f>(Main_S[[#This Row],[P/FCF]]-VLOOKUP(Main_S[[#This Row],[Industry]], Mean_PFCF_S, 2, FALSE))/(VLOOKUP(Main_S[[#This Row],[Industry]], Mean_PFCF_S, 3, FALSE))</f>
        <v>1.8607226686290546E-2</v>
      </c>
      <c r="P190" s="1">
        <f>(Main_S[[#This Row],[P/B]]-VLOOKUP(Main_S[[#This Row],[Industry]], Mean_PB_S, 2, FALSE))/(VLOOKUP(Main_S[[#This Row],[Industry]], Mean_PB_S, 3, FALSE))</f>
        <v>-0.96801014360349202</v>
      </c>
      <c r="Q190" s="1">
        <f>(Main_S[[#This Row],[ROE]]-VLOOKUP(Main_S[[#This Row],[Industry]], Mean_ROE_S, 2, FALSE))/(VLOOKUP(Main_S[[#This Row],[Industry]], Mean_ROE_S, 3, FALSE))</f>
        <v>0.19599466385674438</v>
      </c>
      <c r="R190" s="1">
        <f>(Main_S[[#This Row],[ROA]]-VLOOKUP(Main_S[[#This Row],[Industry]], Mean_ROA_S, 2, FALSE))/(VLOOKUP(Main_S[[#This Row],[Industry]], Mean_ROA_S, 3, FALSE))</f>
        <v>4.0824224262815935E-2</v>
      </c>
      <c r="S190" s="1">
        <f>(Main_S[[#This Row],[A/E]]-VLOOKUP(Main_S[[#This Row],[Industry]], Mean_AE_S, 2, FALSE))/(VLOOKUP(Main_S[[#This Row],[Industry]], Mean_AE_S, 3, FALSE))</f>
        <v>0.69576154214501851</v>
      </c>
      <c r="T190" s="1">
        <f>(Main_S[[#This Row],[P/E]]-VLOOKUP(Main_S[[#This Row],[Industry]], Mean_PE_S, 2, FALSE))/(VLOOKUP(Main_S[[#This Row],[Industry]], Mean_PE_S, 3, FALSE))</f>
        <v>0.23868376253509196</v>
      </c>
      <c r="U19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9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9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9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9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9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91" spans="1:26" x14ac:dyDescent="0.25">
      <c r="A191" s="68" t="s">
        <v>181</v>
      </c>
      <c r="B191" s="68" t="s">
        <v>493</v>
      </c>
      <c r="C191" s="2">
        <v>1034</v>
      </c>
      <c r="D191">
        <f>RTD("tos.rtd", , "LAST", Main_S[[#This Row],[Symbol]])</f>
        <v>145.74</v>
      </c>
      <c r="E191">
        <v>-60.28</v>
      </c>
      <c r="F191">
        <v>76.58</v>
      </c>
      <c r="G191">
        <v>15.34</v>
      </c>
      <c r="H191" s="1">
        <f>IF(ISNUMBER(Main_S[[#This Row],[Free CF]]),IF(Main_S[[#This Row],[Free CF]]&lt;&gt;0,Main_S[[#This Row],[Current Price]]/Main_S[[#This Row],[Free CF]],""),"")</f>
        <v>-2.4177173191771733</v>
      </c>
      <c r="I191" s="1">
        <f>IF(ISNUMBER(Main_S[[#This Row],[BVPS]]),IF(Main_S[[#This Row],[BVPS]]&lt;&gt;0,Main_S[[#This Row],[Current Price]]/Main_S[[#This Row],[BVPS]],""),"")</f>
        <v>1.9031078610603291</v>
      </c>
      <c r="J191">
        <v>19.72</v>
      </c>
      <c r="K191">
        <v>5.29</v>
      </c>
      <c r="L191">
        <v>6</v>
      </c>
      <c r="M191" s="1">
        <f>IF(ISNUMBER(Main_S[[#This Row],[EPS]]),IF(Main_S[[#This Row],[EPS]]&lt;&gt;0,Main_S[[#This Row],[Current Price]]/Main_S[[#This Row],[EPS]],""),"")</f>
        <v>9.5006518904824002</v>
      </c>
      <c r="N19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91" s="1">
        <f>(Main_S[[#This Row],[P/FCF]]-VLOOKUP(Main_S[[#This Row],[Industry]], Mean_PFCF_S, 2, FALSE))/(VLOOKUP(Main_S[[#This Row],[Industry]], Mean_PFCF_S, 3, FALSE))</f>
        <v>-0.66957790709701392</v>
      </c>
      <c r="P191" s="1">
        <f>(Main_S[[#This Row],[P/B]]-VLOOKUP(Main_S[[#This Row],[Industry]], Mean_PB_S, 2, FALSE))/(VLOOKUP(Main_S[[#This Row],[Industry]], Mean_PB_S, 3, FALSE))</f>
        <v>-0.19451538130615961</v>
      </c>
      <c r="Q191" s="1">
        <f>(Main_S[[#This Row],[ROE]]-VLOOKUP(Main_S[[#This Row],[Industry]], Mean_ROE_S, 2, FALSE))/(VLOOKUP(Main_S[[#This Row],[Industry]], Mean_ROE_S, 3, FALSE))</f>
        <v>1.2338852997155485</v>
      </c>
      <c r="R191" s="1">
        <f>(Main_S[[#This Row],[ROA]]-VLOOKUP(Main_S[[#This Row],[Industry]], Mean_ROA_S, 2, FALSE))/(VLOOKUP(Main_S[[#This Row],[Industry]], Mean_ROA_S, 3, FALSE))</f>
        <v>0.36700772465416021</v>
      </c>
      <c r="S191" s="1">
        <f>(Main_S[[#This Row],[A/E]]-VLOOKUP(Main_S[[#This Row],[Industry]], Mean_AE_S, 2, FALSE))/(VLOOKUP(Main_S[[#This Row],[Industry]], Mean_AE_S, 3, FALSE))</f>
        <v>4.2399827311914358</v>
      </c>
      <c r="T191" s="1">
        <f>(Main_S[[#This Row],[P/E]]-VLOOKUP(Main_S[[#This Row],[Industry]], Mean_PE_S, 2, FALSE))/(VLOOKUP(Main_S[[#This Row],[Industry]], Mean_PE_S, 3, FALSE))</f>
        <v>0.10705301981760559</v>
      </c>
      <c r="U19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9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9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9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9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19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92" spans="1:26" x14ac:dyDescent="0.25">
      <c r="A192" s="68" t="s">
        <v>181</v>
      </c>
      <c r="B192" s="68" t="s">
        <v>494</v>
      </c>
      <c r="C192" s="2">
        <v>1518</v>
      </c>
      <c r="D192">
        <f>RTD("tos.rtd", , "LAST", Main_S[[#This Row],[Symbol]])</f>
        <v>30.56</v>
      </c>
      <c r="E192">
        <v>-0.68</v>
      </c>
      <c r="F192">
        <v>6.32</v>
      </c>
      <c r="G192">
        <v>-1.03</v>
      </c>
      <c r="H192" s="1">
        <f>IF(ISNUMBER(Main_S[[#This Row],[Free CF]]),IF(Main_S[[#This Row],[Free CF]]&lt;&gt;0,Main_S[[#This Row],[Current Price]]/Main_S[[#This Row],[Free CF]],""),"")</f>
        <v>-44.941176470588232</v>
      </c>
      <c r="I192" s="1">
        <f>IF(ISNUMBER(Main_S[[#This Row],[BVPS]]),IF(Main_S[[#This Row],[BVPS]]&lt;&gt;0,Main_S[[#This Row],[Current Price]]/Main_S[[#This Row],[BVPS]],""),"")</f>
        <v>4.8354430379746836</v>
      </c>
      <c r="J192">
        <v>-15.6</v>
      </c>
      <c r="K192">
        <v>-5.04</v>
      </c>
      <c r="L192">
        <v>2.16</v>
      </c>
      <c r="M192" s="1">
        <f>IF(ISNUMBER(Main_S[[#This Row],[EPS]]),IF(Main_S[[#This Row],[EPS]]&lt;&gt;0,Main_S[[#This Row],[Current Price]]/Main_S[[#This Row],[EPS]],""),"")</f>
        <v>-29.669902912621357</v>
      </c>
      <c r="N19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92" s="1">
        <f>(Main_S[[#This Row],[P/FCF]]-VLOOKUP(Main_S[[#This Row],[Industry]], Mean_PFCF_S, 2, FALSE))/(VLOOKUP(Main_S[[#This Row],[Industry]], Mean_PFCF_S, 3, FALSE))</f>
        <v>-3.3805871346696654</v>
      </c>
      <c r="P192" s="1">
        <f>(Main_S[[#This Row],[P/B]]-VLOOKUP(Main_S[[#This Row],[Industry]], Mean_PB_S, 2, FALSE))/(VLOOKUP(Main_S[[#This Row],[Industry]], Mean_PB_S, 3, FALSE))</f>
        <v>2.3109988874013028</v>
      </c>
      <c r="Q192" s="1">
        <f>(Main_S[[#This Row],[ROE]]-VLOOKUP(Main_S[[#This Row],[Industry]], Mean_ROE_S, 2, FALSE))/(VLOOKUP(Main_S[[#This Row],[Industry]], Mean_ROE_S, 3, FALSE))</f>
        <v>-2.0304332451226497</v>
      </c>
      <c r="R192" s="1">
        <f>(Main_S[[#This Row],[ROA]]-VLOOKUP(Main_S[[#This Row],[Industry]], Mean_ROA_S, 2, FALSE))/(VLOOKUP(Main_S[[#This Row],[Industry]], Mean_ROA_S, 3, FALSE))</f>
        <v>-2.8117428027445071</v>
      </c>
      <c r="S192" s="1">
        <f>(Main_S[[#This Row],[A/E]]-VLOOKUP(Main_S[[#This Row],[Industry]], Mean_AE_S, 2, FALSE))/(VLOOKUP(Main_S[[#This Row],[Industry]], Mean_AE_S, 3, FALSE))</f>
        <v>-0.32706739160663179</v>
      </c>
      <c r="T192" s="1">
        <f>(Main_S[[#This Row],[P/E]]-VLOOKUP(Main_S[[#This Row],[Industry]], Mean_PE_S, 2, FALSE))/(VLOOKUP(Main_S[[#This Row],[Industry]], Mean_PE_S, 3, FALSE))</f>
        <v>-1.8100824426064754</v>
      </c>
      <c r="U19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9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9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9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19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9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93" spans="1:26" x14ac:dyDescent="0.25">
      <c r="A193" s="68" t="s">
        <v>181</v>
      </c>
      <c r="B193" s="68" t="s">
        <v>495</v>
      </c>
      <c r="C193" s="2">
        <v>440</v>
      </c>
      <c r="D193">
        <f>RTD("tos.rtd", , "LAST", Main_S[[#This Row],[Symbol]])</f>
        <v>2.82</v>
      </c>
      <c r="E193">
        <v>-2.0099999999999998</v>
      </c>
      <c r="F193">
        <v>2.63</v>
      </c>
      <c r="G193">
        <v>-0.22</v>
      </c>
      <c r="H193" s="1">
        <f>IF(ISNUMBER(Main_S[[#This Row],[Free CF]]),IF(Main_S[[#This Row],[Free CF]]&lt;&gt;0,Main_S[[#This Row],[Current Price]]/Main_S[[#This Row],[Free CF]],""),"")</f>
        <v>-1.4029850746268657</v>
      </c>
      <c r="I193" s="1">
        <f>IF(ISNUMBER(Main_S[[#This Row],[BVPS]]),IF(Main_S[[#This Row],[BVPS]]&lt;&gt;0,Main_S[[#This Row],[Current Price]]/Main_S[[#This Row],[BVPS]],""),"")</f>
        <v>1.0722433460076046</v>
      </c>
      <c r="J193">
        <v>-8.5</v>
      </c>
      <c r="K193">
        <v>-3.03</v>
      </c>
      <c r="L193">
        <v>2.13</v>
      </c>
      <c r="M193" s="1">
        <f>IF(ISNUMBER(Main_S[[#This Row],[EPS]]),IF(Main_S[[#This Row],[EPS]]&lt;&gt;0,Main_S[[#This Row],[Current Price]]/Main_S[[#This Row],[EPS]],""),"")</f>
        <v>-12.818181818181817</v>
      </c>
      <c r="N19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93" s="1">
        <f>(Main_S[[#This Row],[P/FCF]]-VLOOKUP(Main_S[[#This Row],[Industry]], Mean_PFCF_S, 2, FALSE))/(VLOOKUP(Main_S[[#This Row],[Industry]], Mean_PFCF_S, 3, FALSE))</f>
        <v>-0.6048854165661699</v>
      </c>
      <c r="P193" s="1">
        <f>(Main_S[[#This Row],[P/B]]-VLOOKUP(Main_S[[#This Row],[Industry]], Mean_PB_S, 2, FALSE))/(VLOOKUP(Main_S[[#This Row],[Industry]], Mean_PB_S, 3, FALSE))</f>
        <v>-0.90444203437652571</v>
      </c>
      <c r="Q193" s="1">
        <f>(Main_S[[#This Row],[ROE]]-VLOOKUP(Main_S[[#This Row],[Industry]], Mean_ROE_S, 2, FALSE))/(VLOOKUP(Main_S[[#This Row],[Industry]], Mean_ROE_S, 3, FALSE))</f>
        <v>-1.3742423711602711</v>
      </c>
      <c r="R193" s="1">
        <f>(Main_S[[#This Row],[ROA]]-VLOOKUP(Main_S[[#This Row],[Industry]], Mean_ROA_S, 2, FALSE))/(VLOOKUP(Main_S[[#This Row],[Industry]], Mean_ROA_S, 3, FALSE))</f>
        <v>-2.1932250331345053</v>
      </c>
      <c r="S193" s="1">
        <f>(Main_S[[#This Row],[A/E]]-VLOOKUP(Main_S[[#This Row],[Industry]], Mean_AE_S, 2, FALSE))/(VLOOKUP(Main_S[[#This Row],[Industry]], Mean_AE_S, 3, FALSE))</f>
        <v>-0.362747470690992</v>
      </c>
      <c r="T193" s="1">
        <f>(Main_S[[#This Row],[P/E]]-VLOOKUP(Main_S[[#This Row],[Industry]], Mean_PE_S, 2, FALSE))/(VLOOKUP(Main_S[[#This Row],[Industry]], Mean_PE_S, 3, FALSE))</f>
        <v>-0.98530392528840893</v>
      </c>
      <c r="U19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9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9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9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9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9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94" spans="1:26" x14ac:dyDescent="0.25">
      <c r="A194" s="68" t="s">
        <v>250</v>
      </c>
      <c r="B194" s="68" t="s">
        <v>553</v>
      </c>
      <c r="C194" s="2">
        <v>379</v>
      </c>
      <c r="D194">
        <f>RTD("tos.rtd", , "LAST", Main_S[[#This Row],[Symbol]])</f>
        <v>11.94</v>
      </c>
      <c r="E194">
        <v>-3.4</v>
      </c>
      <c r="F194">
        <v>3.11</v>
      </c>
      <c r="G194">
        <v>-1.76</v>
      </c>
      <c r="H194" s="1">
        <f>IF(ISNUMBER(Main_S[[#This Row],[Free CF]]),IF(Main_S[[#This Row],[Free CF]]&lt;&gt;0,Main_S[[#This Row],[Current Price]]/Main_S[[#This Row],[Free CF]],""),"")</f>
        <v>-3.5117647058823529</v>
      </c>
      <c r="I194" s="1">
        <f>IF(ISNUMBER(Main_S[[#This Row],[BVPS]]),IF(Main_S[[#This Row],[BVPS]]&lt;&gt;0,Main_S[[#This Row],[Current Price]]/Main_S[[#This Row],[BVPS]],""),"")</f>
        <v>3.8392282958199355</v>
      </c>
      <c r="J194">
        <v>-36.76</v>
      </c>
      <c r="K194">
        <v>-2.66</v>
      </c>
      <c r="L194">
        <v>5.35</v>
      </c>
      <c r="M194" s="1">
        <f>IF(ISNUMBER(Main_S[[#This Row],[EPS]]),IF(Main_S[[#This Row],[EPS]]&lt;&gt;0,Main_S[[#This Row],[Current Price]]/Main_S[[#This Row],[EPS]],""),"")</f>
        <v>-6.7840909090909092</v>
      </c>
      <c r="N19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94" s="1" t="e">
        <f>(Main_S[[#This Row],[P/FCF]]-VLOOKUP(Main_S[[#This Row],[Industry]], Mean_PFCF_S, 2, FALSE))/(VLOOKUP(Main_S[[#This Row],[Industry]], Mean_PFCF_S, 3, FALSE))</f>
        <v>#DIV/0!</v>
      </c>
      <c r="P194" s="1" t="e">
        <f>(Main_S[[#This Row],[P/B]]-VLOOKUP(Main_S[[#This Row],[Industry]], Mean_PB_S, 2, FALSE))/(VLOOKUP(Main_S[[#This Row],[Industry]], Mean_PB_S, 3, FALSE))</f>
        <v>#DIV/0!</v>
      </c>
      <c r="Q194" s="1" t="e">
        <f>(Main_S[[#This Row],[ROE]]-VLOOKUP(Main_S[[#This Row],[Industry]], Mean_ROE_S, 2, FALSE))/(VLOOKUP(Main_S[[#This Row],[Industry]], Mean_ROE_S, 3, FALSE))</f>
        <v>#DIV/0!</v>
      </c>
      <c r="R194" s="1" t="e">
        <f>(Main_S[[#This Row],[ROA]]-VLOOKUP(Main_S[[#This Row],[Industry]], Mean_ROA_S, 2, FALSE))/(VLOOKUP(Main_S[[#This Row],[Industry]], Mean_ROA_S, 3, FALSE))</f>
        <v>#DIV/0!</v>
      </c>
      <c r="S194" s="1" t="e">
        <f>(Main_S[[#This Row],[A/E]]-VLOOKUP(Main_S[[#This Row],[Industry]], Mean_AE_S, 2, FALSE))/(VLOOKUP(Main_S[[#This Row],[Industry]], Mean_AE_S, 3, FALSE))</f>
        <v>#DIV/0!</v>
      </c>
      <c r="T194" s="1" t="e">
        <f>(Main_S[[#This Row],[P/E]]-VLOOKUP(Main_S[[#This Row],[Industry]], Mean_PE_S, 2, FALSE))/(VLOOKUP(Main_S[[#This Row],[Industry]], Mean_PE_S, 3, FALSE))</f>
        <v>#DIV/0!</v>
      </c>
      <c r="U19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9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9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9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9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9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53DAE7-D49B-458A-9273-F0E72B30D474}">
  <sheetPr codeName="Sheet5"/>
  <dimension ref="A1:Y52"/>
  <sheetViews>
    <sheetView topLeftCell="A5" workbookViewId="0">
      <selection activeCell="B24" sqref="B24"/>
    </sheetView>
  </sheetViews>
  <sheetFormatPr defaultRowHeight="15" x14ac:dyDescent="0.25"/>
  <cols>
    <col min="1" max="1" width="31.42578125" bestFit="1" customWidth="1"/>
    <col min="2" max="3" width="60.140625" bestFit="1" customWidth="1"/>
    <col min="4" max="4" width="45.140625" bestFit="1" customWidth="1"/>
    <col min="5" max="5" width="45.42578125" bestFit="1" customWidth="1"/>
    <col min="6" max="7" width="58" bestFit="1" customWidth="1"/>
    <col min="8" max="8" width="39" bestFit="1" customWidth="1"/>
    <col min="9" max="9" width="39.28515625" bestFit="1" customWidth="1"/>
    <col min="10" max="11" width="58.7109375" bestFit="1" customWidth="1"/>
    <col min="12" max="12" width="40.7109375" bestFit="1" customWidth="1"/>
    <col min="13" max="13" width="41" bestFit="1" customWidth="1"/>
    <col min="14" max="15" width="58.85546875" bestFit="1" customWidth="1"/>
    <col min="16" max="16" width="41.140625" bestFit="1" customWidth="1"/>
    <col min="17" max="17" width="41.42578125" bestFit="1" customWidth="1"/>
    <col min="18" max="19" width="57.85546875" bestFit="1" customWidth="1"/>
    <col min="20" max="20" width="38.5703125" bestFit="1" customWidth="1"/>
    <col min="21" max="21" width="38.85546875" bestFit="1" customWidth="1"/>
    <col min="22" max="23" width="57.85546875" bestFit="1" customWidth="1"/>
    <col min="24" max="24" width="38.5703125" bestFit="1" customWidth="1"/>
    <col min="25" max="25" width="38.85546875" bestFit="1" customWidth="1"/>
  </cols>
  <sheetData>
    <row r="1" spans="1:25" x14ac:dyDescent="0.25">
      <c r="A1" t="s">
        <v>0</v>
      </c>
    </row>
    <row r="2" spans="1:25" x14ac:dyDescent="0.25">
      <c r="A2" t="s">
        <v>1</v>
      </c>
      <c r="B2" t="s">
        <v>2</v>
      </c>
      <c r="C2" t="s">
        <v>3</v>
      </c>
      <c r="D2" t="s">
        <v>4</v>
      </c>
      <c r="E2" t="s">
        <v>5</v>
      </c>
      <c r="F2" t="s">
        <v>72</v>
      </c>
      <c r="G2" t="s">
        <v>73</v>
      </c>
      <c r="H2" t="s">
        <v>74</v>
      </c>
      <c r="I2" t="s">
        <v>75</v>
      </c>
      <c r="J2" t="s">
        <v>6</v>
      </c>
      <c r="K2" t="s">
        <v>7</v>
      </c>
      <c r="L2" t="s">
        <v>8</v>
      </c>
      <c r="M2" t="s">
        <v>9</v>
      </c>
      <c r="N2" t="s">
        <v>10</v>
      </c>
      <c r="O2" t="s">
        <v>11</v>
      </c>
      <c r="P2" t="s">
        <v>12</v>
      </c>
      <c r="Q2" t="s">
        <v>13</v>
      </c>
      <c r="R2" t="s">
        <v>14</v>
      </c>
      <c r="S2" t="s">
        <v>15</v>
      </c>
      <c r="T2" t="s">
        <v>16</v>
      </c>
      <c r="U2" t="s">
        <v>17</v>
      </c>
      <c r="V2" t="s">
        <v>18</v>
      </c>
      <c r="W2" t="s">
        <v>19</v>
      </c>
      <c r="X2" t="s">
        <v>20</v>
      </c>
      <c r="Y2" t="s">
        <v>21</v>
      </c>
    </row>
    <row r="3" spans="1:25" x14ac:dyDescent="0.25">
      <c r="A3" t="s">
        <v>105</v>
      </c>
      <c r="B3" s="1" cm="1">
        <f t="array" ref="B3">_xlfn.QUARTILE.INC(IF(Quartile_L[[#This Row],[Industry]]=Main_L[Industry],Main_L[P/FCF]),1)</f>
        <v>22.323793949304985</v>
      </c>
      <c r="C3" s="1" cm="1">
        <f t="array" ref="C3">_xlfn.QUARTILE.INC(IF(Quartile_L[[#This Row],[Industry]]=Main_L[Industry],Main_L[P/FCF]),3)</f>
        <v>53.035573122529648</v>
      </c>
      <c r="D3" s="1">
        <f>Quartile_L[[#This Row],[P/FCF Q1]]-1.5*(Quartile_L[[#This Row],[P/FCF Q3]]-Quartile_L[[#This Row],[P/FCF Q1]])</f>
        <v>-23.743874810532006</v>
      </c>
      <c r="E3" s="1">
        <f>Quartile_L[[#This Row],[P/FCF Q3]]+1.5*(Quartile_L[[#This Row],[P/FCF Q3]]-Quartile_L[[#This Row],[P/FCF Q1]])</f>
        <v>99.103241882366632</v>
      </c>
      <c r="F3" s="1" cm="1">
        <f t="array" ref="F3">_xlfn.QUARTILE.INC(IF(Quartile_L[[#This Row],[Industry]]=Main_L[Industry],Main_L[P/B]),1)</f>
        <v>2.8386536373507059</v>
      </c>
      <c r="G3" s="1" cm="1">
        <f t="array" ref="G3">_xlfn.QUARTILE.INC(IF(Quartile_L[[#This Row],[Industry]]=Main_L[Industry],Main_L[P/B]),3)</f>
        <v>12.27590027700831</v>
      </c>
      <c r="H3" s="1">
        <f>Quartile_L[[#This Row],[P/B Q1]]-1.5*(Quartile_L[[#This Row],[P/B Q3]]-Quartile_L[[#This Row],[P/B Q1]])</f>
        <v>-11.3172163221357</v>
      </c>
      <c r="I3" s="1">
        <f>Quartile_L[[#This Row],[P/B Q3]]+1.5*(Quartile_L[[#This Row],[P/B Q3]]-Quartile_L[[#This Row],[P/B Q1]])</f>
        <v>26.431770236494714</v>
      </c>
      <c r="J3" s="1" cm="1">
        <f t="array" ref="J3">_xlfn.QUARTILE.INC(IF(Quartile_L[[#This Row],[Industry]]=Main_L[Industry],Main_L[ROE]),1)</f>
        <v>9.5</v>
      </c>
      <c r="K3" s="1" cm="1">
        <f t="array" ref="K3">_xlfn.QUARTILE.INC(IF(Quartile_L[[#This Row],[Industry]]=Main_L[Industry],Main_L[ROE]),3)</f>
        <v>25.41</v>
      </c>
      <c r="L3" s="1">
        <f>Quartile_L[[#This Row],[ROE Q1]]-1.5*(Quartile_L[[#This Row],[ROE Q3]]-Quartile_L[[#This Row],[ROE Q1]])</f>
        <v>-14.365000000000002</v>
      </c>
      <c r="M3" s="1">
        <f>Quartile_L[[#This Row],[ROE Q3]]+1.5*(Quartile_L[[#This Row],[ROE Q3]]-Quartile_L[[#This Row],[ROE Q1]])</f>
        <v>49.275000000000006</v>
      </c>
      <c r="N3" s="1" cm="1">
        <f t="array" ref="N3">_xlfn.QUARTILE.INC(IF(Quartile_L[[#This Row],[Industry]]=Main_L[Industry],Main_L[ROA]),1)</f>
        <v>3.47</v>
      </c>
      <c r="O3" s="1" cm="1">
        <f t="array" ref="O3">_xlfn.QUARTILE.INC(IF(Quartile_L[[#This Row],[Industry]]=Main_L[Industry],Main_L[ROA]),3)</f>
        <v>7.15</v>
      </c>
      <c r="P3" s="1">
        <f>Quartile_L[[#This Row],[ROA Q1]]-1.5*(Quartile_L[[#This Row],[ROA Q3]]-Quartile_L[[#This Row],[ROA Q1]])</f>
        <v>-2.0500000000000003</v>
      </c>
      <c r="Q3" s="1">
        <f>Quartile_L[[#This Row],[ROA Q3]]+1.5*(Quartile_L[[#This Row],[ROA Q3]]-Quartile_L[[#This Row],[ROA Q1]])</f>
        <v>12.670000000000002</v>
      </c>
      <c r="R3" s="1" cm="1">
        <f t="array" ref="R3">_xlfn.QUARTILE.INC(IF(Quartile_L[[#This Row],[Industry]]=Main_L[Industry],Main_L[P/E]),1)</f>
        <v>18.946564885496183</v>
      </c>
      <c r="S3" s="1" cm="1">
        <f t="array" ref="S3">_xlfn.QUARTILE.INC(IF(Quartile_L[[#This Row],[Industry]]=Main_L[Industry],Main_L[P/E]),3)</f>
        <v>49.906238984843142</v>
      </c>
      <c r="T3" s="1">
        <f>Quartile_L[[#This Row],[P/E Q1]]-1.5*(Quartile_L[[#This Row],[P/E Q3]]-Quartile_L[[#This Row],[P/E Q1]])</f>
        <v>-27.492946263524257</v>
      </c>
      <c r="U3" s="1">
        <f>Quartile_L[[#This Row],[P/E Q3]]+1.5*(Quartile_L[[#This Row],[P/E Q3]]-Quartile_L[[#This Row],[P/E Q1]])</f>
        <v>96.345750133863589</v>
      </c>
      <c r="V3" s="1" cm="1">
        <f t="array" ref="V3">_xlfn.QUARTILE.INC(IF(Quartile_L[[#This Row],[Industry]]=Main_L[Industry],Main_L[A/E]),1)</f>
        <v>1.92</v>
      </c>
      <c r="W3" s="1" cm="1">
        <f t="array" ref="W3">_xlfn.QUARTILE.INC(IF(Quartile_L[[#This Row],[Industry]]=Main_L[Industry],Main_L[A/E]),3)</f>
        <v>3.1</v>
      </c>
      <c r="X3" s="1">
        <f>Quartile_L[[#This Row],[A/E Q1]]-1.5*(Quartile_L[[#This Row],[A/E Q3]]-Quartile_L[[#This Row],[A/E Q1]])</f>
        <v>0.14999999999999969</v>
      </c>
      <c r="Y3" s="1">
        <f>Quartile_L[[#This Row],[A/E Q3]]+1.5*(Quartile_L[[#This Row],[A/E Q3]]-Quartile_L[[#This Row],[A/E Q1]])</f>
        <v>4.87</v>
      </c>
    </row>
    <row r="4" spans="1:25" x14ac:dyDescent="0.25">
      <c r="A4" t="s">
        <v>122</v>
      </c>
      <c r="B4" s="1" cm="1">
        <f t="array" ref="B4">_xlfn.QUARTILE.INC(IF(Quartile_L[[#This Row],[Industry]]=Main_L[Industry],Main_L[P/FCF]),1)</f>
        <v>17.453846153846154</v>
      </c>
      <c r="C4" s="1" cm="1">
        <f t="array" ref="C4">_xlfn.QUARTILE.INC(IF(Quartile_L[[#This Row],[Industry]]=Main_L[Industry],Main_L[P/FCF]),3)</f>
        <v>31.188311688311689</v>
      </c>
      <c r="D4" s="1">
        <f>Quartile_L[[#This Row],[P/FCF Q1]]-1.5*(Quartile_L[[#This Row],[P/FCF Q3]]-Quartile_L[[#This Row],[P/FCF Q1]])</f>
        <v>-3.1478521478521486</v>
      </c>
      <c r="E4" s="1">
        <f>Quartile_L[[#This Row],[P/FCF Q3]]+1.5*(Quartile_L[[#This Row],[P/FCF Q3]]-Quartile_L[[#This Row],[P/FCF Q1]])</f>
        <v>51.790009990009992</v>
      </c>
      <c r="F4" s="1" cm="1">
        <f t="array" ref="F4">_xlfn.QUARTILE.INC(IF(Quartile_L[[#This Row],[Industry]]=Main_L[Industry],Main_L[P/B]),1)</f>
        <v>3.219188767550702</v>
      </c>
      <c r="G4" s="1" cm="1">
        <f t="array" ref="G4">_xlfn.QUARTILE.INC(IF(Quartile_L[[#This Row],[Industry]]=Main_L[Industry],Main_L[P/B]),3)</f>
        <v>7.9838484546360915</v>
      </c>
      <c r="H4" s="1">
        <f>Quartile_L[[#This Row],[P/B Q1]]-1.5*(Quartile_L[[#This Row],[P/B Q3]]-Quartile_L[[#This Row],[P/B Q1]])</f>
        <v>-3.9278007630773821</v>
      </c>
      <c r="I4" s="1">
        <f>Quartile_L[[#This Row],[P/B Q3]]+1.5*(Quartile_L[[#This Row],[P/B Q3]]-Quartile_L[[#This Row],[P/B Q1]])</f>
        <v>15.130837985264176</v>
      </c>
      <c r="J4" s="1" cm="1">
        <f t="array" ref="J4">_xlfn.QUARTILE.INC(IF(Quartile_L[[#This Row],[Industry]]=Main_L[Industry],Main_L[ROE]),1)</f>
        <v>12.53</v>
      </c>
      <c r="K4" s="1" cm="1">
        <f t="array" ref="K4">_xlfn.QUARTILE.INC(IF(Quartile_L[[#This Row],[Industry]]=Main_L[Industry],Main_L[ROE]),3)</f>
        <v>42.05</v>
      </c>
      <c r="L4" s="1">
        <f>Quartile_L[[#This Row],[ROE Q1]]-1.5*(Quartile_L[[#This Row],[ROE Q3]]-Quartile_L[[#This Row],[ROE Q1]])</f>
        <v>-31.749999999999993</v>
      </c>
      <c r="M4" s="1">
        <f>Quartile_L[[#This Row],[ROE Q3]]+1.5*(Quartile_L[[#This Row],[ROE Q3]]-Quartile_L[[#This Row],[ROE Q1]])</f>
        <v>86.329999999999984</v>
      </c>
      <c r="N4" s="1" cm="1">
        <f t="array" ref="N4">_xlfn.QUARTILE.INC(IF(Quartile_L[[#This Row],[Industry]]=Main_L[Industry],Main_L[ROA]),1)</f>
        <v>7.77</v>
      </c>
      <c r="O4" s="1" cm="1">
        <f t="array" ref="O4">_xlfn.QUARTILE.INC(IF(Quartile_L[[#This Row],[Industry]]=Main_L[Industry],Main_L[ROA]),3)</f>
        <v>11.53</v>
      </c>
      <c r="P4" s="1">
        <f>Quartile_L[[#This Row],[ROA Q1]]-1.5*(Quartile_L[[#This Row],[ROA Q3]]-Quartile_L[[#This Row],[ROA Q1]])</f>
        <v>2.13</v>
      </c>
      <c r="Q4" s="1">
        <f>Quartile_L[[#This Row],[ROA Q3]]+1.5*(Quartile_L[[#This Row],[ROA Q3]]-Quartile_L[[#This Row],[ROA Q1]])</f>
        <v>17.169999999999998</v>
      </c>
      <c r="R4" s="1" cm="1">
        <f t="array" ref="R4">_xlfn.QUARTILE.INC(IF(Quartile_L[[#This Row],[Industry]]=Main_L[Industry],Main_L[P/E]),1)</f>
        <v>19.350067842605156</v>
      </c>
      <c r="S4" s="1" cm="1">
        <f t="array" ref="S4">_xlfn.QUARTILE.INC(IF(Quartile_L[[#This Row],[Industry]]=Main_L[Industry],Main_L[P/E]),3)</f>
        <v>34.721810699588474</v>
      </c>
      <c r="T4" s="1">
        <f>Quartile_L[[#This Row],[P/E Q1]]-1.5*(Quartile_L[[#This Row],[P/E Q3]]-Quartile_L[[#This Row],[P/E Q1]])</f>
        <v>-3.7075464428698197</v>
      </c>
      <c r="U4" s="1">
        <f>Quartile_L[[#This Row],[P/E Q3]]+1.5*(Quartile_L[[#This Row],[P/E Q3]]-Quartile_L[[#This Row],[P/E Q1]])</f>
        <v>57.77942498506345</v>
      </c>
      <c r="V4" s="1" cm="1">
        <f t="array" ref="V4">_xlfn.QUARTILE.INC(IF(Quartile_L[[#This Row],[Industry]]=Main_L[Industry],Main_L[A/E]),1)</f>
        <v>2.62</v>
      </c>
      <c r="W4" s="1" cm="1">
        <f t="array" ref="W4">_xlfn.QUARTILE.INC(IF(Quartile_L[[#This Row],[Industry]]=Main_L[Industry],Main_L[A/E]),3)</f>
        <v>2.77</v>
      </c>
      <c r="X4" s="1">
        <f>Quartile_L[[#This Row],[A/E Q1]]-1.5*(Quartile_L[[#This Row],[A/E Q3]]-Quartile_L[[#This Row],[A/E Q1]])</f>
        <v>2.3950000000000005</v>
      </c>
      <c r="Y4" s="1">
        <f>Quartile_L[[#This Row],[A/E Q3]]+1.5*(Quartile_L[[#This Row],[A/E Q3]]-Quartile_L[[#This Row],[A/E Q1]])</f>
        <v>2.9950000000000001</v>
      </c>
    </row>
    <row r="5" spans="1:25" x14ac:dyDescent="0.25">
      <c r="A5" t="s">
        <v>135</v>
      </c>
      <c r="B5" s="1" cm="1">
        <f t="array" ref="B5">_xlfn.QUARTILE.INC(IF(Quartile_L[[#This Row],[Industry]]=Main_L[Industry],Main_L[P/FCF]),1)</f>
        <v>18.201707435143138</v>
      </c>
      <c r="C5" s="1" cm="1">
        <f t="array" ref="C5">_xlfn.QUARTILE.INC(IF(Quartile_L[[#This Row],[Industry]]=Main_L[Industry],Main_L[P/FCF]),3)</f>
        <v>31.781862110226545</v>
      </c>
      <c r="D5" s="1">
        <f>Quartile_L[[#This Row],[P/FCF Q1]]-1.5*(Quartile_L[[#This Row],[P/FCF Q3]]-Quartile_L[[#This Row],[P/FCF Q1]])</f>
        <v>-2.1685245774819712</v>
      </c>
      <c r="E5" s="1">
        <f>Quartile_L[[#This Row],[P/FCF Q3]]+1.5*(Quartile_L[[#This Row],[P/FCF Q3]]-Quartile_L[[#This Row],[P/FCF Q1]])</f>
        <v>52.152094122851651</v>
      </c>
      <c r="F5" s="1" cm="1">
        <f t="array" ref="F5">_xlfn.QUARTILE.INC(IF(Quartile_L[[#This Row],[Industry]]=Main_L[Industry],Main_L[P/B]),1)</f>
        <v>4.7612064259170799</v>
      </c>
      <c r="G5" s="1" cm="1">
        <f t="array" ref="G5">_xlfn.QUARTILE.INC(IF(Quartile_L[[#This Row],[Industry]]=Main_L[Industry],Main_L[P/B]),3)</f>
        <v>7.045212842342929</v>
      </c>
      <c r="H5" s="1">
        <f>Quartile_L[[#This Row],[P/B Q1]]-1.5*(Quartile_L[[#This Row],[P/B Q3]]-Quartile_L[[#This Row],[P/B Q1]])</f>
        <v>1.3351968012783062</v>
      </c>
      <c r="I5" s="1">
        <f>Quartile_L[[#This Row],[P/B Q3]]+1.5*(Quartile_L[[#This Row],[P/B Q3]]-Quartile_L[[#This Row],[P/B Q1]])</f>
        <v>10.471222466981702</v>
      </c>
      <c r="J5" s="1" cm="1">
        <f t="array" ref="J5">_xlfn.QUARTILE.INC(IF(Quartile_L[[#This Row],[Industry]]=Main_L[Industry],Main_L[ROE]),1)</f>
        <v>11.245000000000001</v>
      </c>
      <c r="K5" s="1" cm="1">
        <f t="array" ref="K5">_xlfn.QUARTILE.INC(IF(Quartile_L[[#This Row],[Industry]]=Main_L[Industry],Main_L[ROE]),3)</f>
        <v>32.21</v>
      </c>
      <c r="L5" s="1">
        <f>Quartile_L[[#This Row],[ROE Q1]]-1.5*(Quartile_L[[#This Row],[ROE Q3]]-Quartile_L[[#This Row],[ROE Q1]])</f>
        <v>-20.202499999999997</v>
      </c>
      <c r="M5" s="1">
        <f>Quartile_L[[#This Row],[ROE Q3]]+1.5*(Quartile_L[[#This Row],[ROE Q3]]-Quartile_L[[#This Row],[ROE Q1]])</f>
        <v>63.657499999999999</v>
      </c>
      <c r="N5" s="1" cm="1">
        <f t="array" ref="N5">_xlfn.QUARTILE.INC(IF(Quartile_L[[#This Row],[Industry]]=Main_L[Industry],Main_L[ROA]),1)</f>
        <v>4.4399999999999995</v>
      </c>
      <c r="O5" s="1" cm="1">
        <f t="array" ref="O5">_xlfn.QUARTILE.INC(IF(Quartile_L[[#This Row],[Industry]]=Main_L[Industry],Main_L[ROA]),3)</f>
        <v>9.2050000000000001</v>
      </c>
      <c r="P5" s="1">
        <f>Quartile_L[[#This Row],[ROA Q1]]-1.5*(Quartile_L[[#This Row],[ROA Q3]]-Quartile_L[[#This Row],[ROA Q1]])</f>
        <v>-2.7075000000000014</v>
      </c>
      <c r="Q5" s="1">
        <f>Quartile_L[[#This Row],[ROA Q3]]+1.5*(Quartile_L[[#This Row],[ROA Q3]]-Quartile_L[[#This Row],[ROA Q1]])</f>
        <v>16.352499999999999</v>
      </c>
      <c r="R5" s="1" cm="1">
        <f t="array" ref="R5">_xlfn.QUARTILE.INC(IF(Quartile_L[[#This Row],[Industry]]=Main_L[Industry],Main_L[P/E]),1)</f>
        <v>25.384326535753488</v>
      </c>
      <c r="S5" s="1" cm="1">
        <f t="array" ref="S5">_xlfn.QUARTILE.INC(IF(Quartile_L[[#This Row],[Industry]]=Main_L[Industry],Main_L[P/E]),3)</f>
        <v>56.780604918327043</v>
      </c>
      <c r="T5" s="1">
        <f>Quartile_L[[#This Row],[P/E Q1]]-1.5*(Quartile_L[[#This Row],[P/E Q3]]-Quartile_L[[#This Row],[P/E Q1]])</f>
        <v>-21.710091038106846</v>
      </c>
      <c r="U5" s="1">
        <f>Quartile_L[[#This Row],[P/E Q3]]+1.5*(Quartile_L[[#This Row],[P/E Q3]]-Quartile_L[[#This Row],[P/E Q1]])</f>
        <v>103.87502249218738</v>
      </c>
      <c r="V5" s="1" cm="1">
        <f t="array" ref="V5">_xlfn.QUARTILE.INC(IF(Quartile_L[[#This Row],[Industry]]=Main_L[Industry],Main_L[A/E]),1)</f>
        <v>2.57</v>
      </c>
      <c r="W5" s="1" cm="1">
        <f t="array" ref="W5">_xlfn.QUARTILE.INC(IF(Quartile_L[[#This Row],[Industry]]=Main_L[Industry],Main_L[A/E]),3)</f>
        <v>2.9050000000000002</v>
      </c>
      <c r="X5" s="1">
        <f>Quartile_L[[#This Row],[A/E Q1]]-1.5*(Quartile_L[[#This Row],[A/E Q3]]-Quartile_L[[#This Row],[A/E Q1]])</f>
        <v>2.067499999999999</v>
      </c>
      <c r="Y5" s="1">
        <f>Quartile_L[[#This Row],[A/E Q3]]+1.5*(Quartile_L[[#This Row],[A/E Q3]]-Quartile_L[[#This Row],[A/E Q1]])</f>
        <v>3.4075000000000006</v>
      </c>
    </row>
    <row r="6" spans="1:25" x14ac:dyDescent="0.25">
      <c r="A6" t="s">
        <v>142</v>
      </c>
      <c r="B6" s="1" cm="1">
        <f t="array" ref="B6">_xlfn.QUARTILE.INC(IF(Quartile_L[[#This Row],[Industry]]=Main_L[Industry],Main_L[P/FCF]),1)</f>
        <v>25.64257910149275</v>
      </c>
      <c r="C6" s="1" cm="1">
        <f t="array" ref="C6">_xlfn.QUARTILE.INC(IF(Quartile_L[[#This Row],[Industry]]=Main_L[Industry],Main_L[P/FCF]),3)</f>
        <v>36.002972139164569</v>
      </c>
      <c r="D6" s="1">
        <f>Quartile_L[[#This Row],[P/FCF Q1]]-1.5*(Quartile_L[[#This Row],[P/FCF Q3]]-Quartile_L[[#This Row],[P/FCF Q1]])</f>
        <v>10.10198954498502</v>
      </c>
      <c r="E6" s="1">
        <f>Quartile_L[[#This Row],[P/FCF Q3]]+1.5*(Quartile_L[[#This Row],[P/FCF Q3]]-Quartile_L[[#This Row],[P/FCF Q1]])</f>
        <v>51.543561695672295</v>
      </c>
      <c r="F6" s="1" cm="1">
        <f t="array" ref="F6">_xlfn.QUARTILE.INC(IF(Quartile_L[[#This Row],[Industry]]=Main_L[Industry],Main_L[P/B]),1)</f>
        <v>5.25372734260249</v>
      </c>
      <c r="G6" s="1" cm="1">
        <f t="array" ref="G6">_xlfn.QUARTILE.INC(IF(Quartile_L[[#This Row],[Industry]]=Main_L[Industry],Main_L[P/B]),3)</f>
        <v>12.021668363147771</v>
      </c>
      <c r="H6" s="1">
        <f>Quartile_L[[#This Row],[P/B Q1]]-1.5*(Quartile_L[[#This Row],[P/B Q3]]-Quartile_L[[#This Row],[P/B Q1]])</f>
        <v>-4.8981841882154331</v>
      </c>
      <c r="I6" s="1">
        <f>Quartile_L[[#This Row],[P/B Q3]]+1.5*(Quartile_L[[#This Row],[P/B Q3]]-Quartile_L[[#This Row],[P/B Q1]])</f>
        <v>22.173579893965695</v>
      </c>
      <c r="J6" s="1" cm="1">
        <f t="array" ref="J6">_xlfn.QUARTILE.INC(IF(Quartile_L[[#This Row],[Industry]]=Main_L[Industry],Main_L[ROE]),1)</f>
        <v>17.3</v>
      </c>
      <c r="K6" s="1" cm="1">
        <f t="array" ref="K6">_xlfn.QUARTILE.INC(IF(Quartile_L[[#This Row],[Industry]]=Main_L[Industry],Main_L[ROE]),3)</f>
        <v>25.385000000000002</v>
      </c>
      <c r="L6" s="1">
        <f>Quartile_L[[#This Row],[ROE Q1]]-1.5*(Quartile_L[[#This Row],[ROE Q3]]-Quartile_L[[#This Row],[ROE Q1]])</f>
        <v>5.1724999999999994</v>
      </c>
      <c r="M6" s="1">
        <f>Quartile_L[[#This Row],[ROE Q3]]+1.5*(Quartile_L[[#This Row],[ROE Q3]]-Quartile_L[[#This Row],[ROE Q1]])</f>
        <v>37.512500000000003</v>
      </c>
      <c r="N6" s="1" cm="1">
        <f t="array" ref="N6">_xlfn.QUARTILE.INC(IF(Quartile_L[[#This Row],[Industry]]=Main_L[Industry],Main_L[ROA]),1)</f>
        <v>5.78</v>
      </c>
      <c r="O6" s="1" cm="1">
        <f t="array" ref="O6">_xlfn.QUARTILE.INC(IF(Quartile_L[[#This Row],[Industry]]=Main_L[Industry],Main_L[ROA]),3)</f>
        <v>8.9450000000000003</v>
      </c>
      <c r="P6" s="1">
        <f>Quartile_L[[#This Row],[ROA Q1]]-1.5*(Quartile_L[[#This Row],[ROA Q3]]-Quartile_L[[#This Row],[ROA Q1]])</f>
        <v>1.0324999999999998</v>
      </c>
      <c r="Q6" s="1">
        <f>Quartile_L[[#This Row],[ROA Q3]]+1.5*(Quartile_L[[#This Row],[ROA Q3]]-Quartile_L[[#This Row],[ROA Q1]])</f>
        <v>13.692500000000001</v>
      </c>
      <c r="R6" s="1" cm="1">
        <f t="array" ref="R6">_xlfn.QUARTILE.INC(IF(Quartile_L[[#This Row],[Industry]]=Main_L[Industry],Main_L[P/E]),1)</f>
        <v>31.458556633267328</v>
      </c>
      <c r="S6" s="1" cm="1">
        <f t="array" ref="S6">_xlfn.QUARTILE.INC(IF(Quartile_L[[#This Row],[Industry]]=Main_L[Industry],Main_L[P/E]),3)</f>
        <v>50.081183136338147</v>
      </c>
      <c r="T6" s="1">
        <f>Quartile_L[[#This Row],[P/E Q1]]-1.5*(Quartile_L[[#This Row],[P/E Q3]]-Quartile_L[[#This Row],[P/E Q1]])</f>
        <v>3.5246168786610994</v>
      </c>
      <c r="U6" s="1">
        <f>Quartile_L[[#This Row],[P/E Q3]]+1.5*(Quartile_L[[#This Row],[P/E Q3]]-Quartile_L[[#This Row],[P/E Q1]])</f>
        <v>78.015122890944383</v>
      </c>
      <c r="V6" s="1" cm="1">
        <f t="array" ref="V6">_xlfn.QUARTILE.INC(IF(Quartile_L[[#This Row],[Industry]]=Main_L[Industry],Main_L[A/E]),1)</f>
        <v>2.1</v>
      </c>
      <c r="W6" s="1" cm="1">
        <f t="array" ref="W6">_xlfn.QUARTILE.INC(IF(Quartile_L[[#This Row],[Industry]]=Main_L[Industry],Main_L[A/E]),3)</f>
        <v>3.3849999999999998</v>
      </c>
      <c r="X6" s="1">
        <f>Quartile_L[[#This Row],[A/E Q1]]-1.5*(Quartile_L[[#This Row],[A/E Q3]]-Quartile_L[[#This Row],[A/E Q1]])</f>
        <v>0.17250000000000054</v>
      </c>
      <c r="Y6" s="1">
        <f>Quartile_L[[#This Row],[A/E Q3]]+1.5*(Quartile_L[[#This Row],[A/E Q3]]-Quartile_L[[#This Row],[A/E Q1]])</f>
        <v>5.3124999999999991</v>
      </c>
    </row>
    <row r="7" spans="1:25" x14ac:dyDescent="0.25">
      <c r="A7" t="s">
        <v>154</v>
      </c>
      <c r="B7" s="1" cm="1">
        <f t="array" ref="B7">_xlfn.QUARTILE.INC(IF(Quartile_L[[#This Row],[Industry]]=Main_L[Industry],Main_L[P/FCF]),1)</f>
        <v>-862.65063691122748</v>
      </c>
      <c r="C7" s="1" cm="1">
        <f t="array" ref="C7">_xlfn.QUARTILE.INC(IF(Quartile_L[[#This Row],[Industry]]=Main_L[Industry],Main_L[P/FCF]),3)</f>
        <v>-268.87498765675912</v>
      </c>
      <c r="D7" s="1">
        <f>Quartile_L[[#This Row],[P/FCF Q1]]-1.5*(Quartile_L[[#This Row],[P/FCF Q3]]-Quartile_L[[#This Row],[P/FCF Q1]])</f>
        <v>-1753.31411079293</v>
      </c>
      <c r="E7" s="1">
        <f>Quartile_L[[#This Row],[P/FCF Q3]]+1.5*(Quartile_L[[#This Row],[P/FCF Q3]]-Quartile_L[[#This Row],[P/FCF Q1]])</f>
        <v>621.78848622494343</v>
      </c>
      <c r="F7" s="1" cm="1">
        <f t="array" ref="F7">_xlfn.QUARTILE.INC(IF(Quartile_L[[#This Row],[Industry]]=Main_L[Industry],Main_L[P/B]),1)</f>
        <v>10.569577777945501</v>
      </c>
      <c r="G7" s="1" cm="1">
        <f t="array" ref="G7">_xlfn.QUARTILE.INC(IF(Quartile_L[[#This Row],[Industry]]=Main_L[Industry],Main_L[P/B]),3)</f>
        <v>15.645428217899809</v>
      </c>
      <c r="H7" s="1">
        <f>Quartile_L[[#This Row],[P/B Q1]]-1.5*(Quartile_L[[#This Row],[P/B Q3]]-Quartile_L[[#This Row],[P/B Q1]])</f>
        <v>2.9558021180140379</v>
      </c>
      <c r="I7" s="1">
        <f>Quartile_L[[#This Row],[P/B Q3]]+1.5*(Quartile_L[[#This Row],[P/B Q3]]-Quartile_L[[#This Row],[P/B Q1]])</f>
        <v>23.259203877831272</v>
      </c>
      <c r="J7" s="1" cm="1">
        <f t="array" ref="J7">_xlfn.QUARTILE.INC(IF(Quartile_L[[#This Row],[Industry]]=Main_L[Industry],Main_L[ROE]),1)</f>
        <v>47.964999999999996</v>
      </c>
      <c r="K7" s="1" cm="1">
        <f t="array" ref="K7">_xlfn.QUARTILE.INC(IF(Quartile_L[[#This Row],[Industry]]=Main_L[Industry],Main_L[ROE]),3)</f>
        <v>78.534999999999997</v>
      </c>
      <c r="L7" s="1">
        <f>Quartile_L[[#This Row],[ROE Q1]]-1.5*(Quartile_L[[#This Row],[ROE Q3]]-Quartile_L[[#This Row],[ROE Q1]])</f>
        <v>2.1099999999999923</v>
      </c>
      <c r="M7" s="1">
        <f>Quartile_L[[#This Row],[ROE Q3]]+1.5*(Quartile_L[[#This Row],[ROE Q3]]-Quartile_L[[#This Row],[ROE Q1]])</f>
        <v>124.39</v>
      </c>
      <c r="N7" s="1" cm="1">
        <f t="array" ref="N7">_xlfn.QUARTILE.INC(IF(Quartile_L[[#This Row],[Industry]]=Main_L[Industry],Main_L[ROA]),1)</f>
        <v>5.94</v>
      </c>
      <c r="O7" s="1" cm="1">
        <f t="array" ref="O7">_xlfn.QUARTILE.INC(IF(Quartile_L[[#This Row],[Industry]]=Main_L[Industry],Main_L[ROA]),3)</f>
        <v>6.92</v>
      </c>
      <c r="P7" s="1">
        <f>Quartile_L[[#This Row],[ROA Q1]]-1.5*(Quartile_L[[#This Row],[ROA Q3]]-Quartile_L[[#This Row],[ROA Q1]])</f>
        <v>4.4700000000000006</v>
      </c>
      <c r="Q7" s="1">
        <f>Quartile_L[[#This Row],[ROA Q3]]+1.5*(Quartile_L[[#This Row],[ROA Q3]]-Quartile_L[[#This Row],[ROA Q1]])</f>
        <v>8.3899999999999988</v>
      </c>
      <c r="R7" s="1" cm="1">
        <f t="array" ref="R7">_xlfn.QUARTILE.INC(IF(Quartile_L[[#This Row],[Industry]]=Main_L[Industry],Main_L[P/E]),1)</f>
        <v>20.3497681109632</v>
      </c>
      <c r="S7" s="1" cm="1">
        <f t="array" ref="S7">_xlfn.QUARTILE.INC(IF(Quartile_L[[#This Row],[Industry]]=Main_L[Industry],Main_L[P/E]),3)</f>
        <v>23.505095117447503</v>
      </c>
      <c r="T7" s="1">
        <f>Quartile_L[[#This Row],[P/E Q1]]-1.5*(Quartile_L[[#This Row],[P/E Q3]]-Quartile_L[[#This Row],[P/E Q1]])</f>
        <v>15.616777601236747</v>
      </c>
      <c r="U7" s="1">
        <f>Quartile_L[[#This Row],[P/E Q3]]+1.5*(Quartile_L[[#This Row],[P/E Q3]]-Quartile_L[[#This Row],[P/E Q1]])</f>
        <v>28.238085627173959</v>
      </c>
      <c r="V7" s="1" cm="1">
        <f t="array" ref="V7">_xlfn.QUARTILE.INC(IF(Quartile_L[[#This Row],[Industry]]=Main_L[Industry],Main_L[A/E]),1)</f>
        <v>5.47</v>
      </c>
      <c r="W7" s="1" cm="1">
        <f t="array" ref="W7">_xlfn.QUARTILE.INC(IF(Quartile_L[[#This Row],[Industry]]=Main_L[Industry],Main_L[A/E]),3)</f>
        <v>7.7899999999999991</v>
      </c>
      <c r="X7" s="1">
        <f>Quartile_L[[#This Row],[A/E Q1]]-1.5*(Quartile_L[[#This Row],[A/E Q3]]-Quartile_L[[#This Row],[A/E Q1]])</f>
        <v>1.9900000000000007</v>
      </c>
      <c r="Y7" s="1">
        <f>Quartile_L[[#This Row],[A/E Q3]]+1.5*(Quartile_L[[#This Row],[A/E Q3]]-Quartile_L[[#This Row],[A/E Q1]])</f>
        <v>11.269999999999998</v>
      </c>
    </row>
    <row r="8" spans="1:25" x14ac:dyDescent="0.25">
      <c r="A8" t="s">
        <v>157</v>
      </c>
      <c r="B8" s="1" cm="1">
        <f t="array" ref="B8">_xlfn.QUARTILE.INC(IF(Quartile_L[[#This Row],[Industry]]=Main_L[Industry],Main_L[P/FCF]),1)</f>
        <v>21.52923432612539</v>
      </c>
      <c r="C8" s="1" cm="1">
        <f t="array" ref="C8">_xlfn.QUARTILE.INC(IF(Quartile_L[[#This Row],[Industry]]=Main_L[Industry],Main_L[P/FCF]),3)</f>
        <v>29.011589666090963</v>
      </c>
      <c r="D8" s="1">
        <f>Quartile_L[[#This Row],[P/FCF Q1]]-1.5*(Quartile_L[[#This Row],[P/FCF Q3]]-Quartile_L[[#This Row],[P/FCF Q1]])</f>
        <v>10.305701316177032</v>
      </c>
      <c r="E8" s="1">
        <f>Quartile_L[[#This Row],[P/FCF Q3]]+1.5*(Quartile_L[[#This Row],[P/FCF Q3]]-Quartile_L[[#This Row],[P/FCF Q1]])</f>
        <v>40.235122676039325</v>
      </c>
      <c r="F8" s="1" cm="1">
        <f t="array" ref="F8">_xlfn.QUARTILE.INC(IF(Quartile_L[[#This Row],[Industry]]=Main_L[Industry],Main_L[P/B]),1)</f>
        <v>3.2134899539151296</v>
      </c>
      <c r="G8" s="1" cm="1">
        <f t="array" ref="G8">_xlfn.QUARTILE.INC(IF(Quartile_L[[#This Row],[Industry]]=Main_L[Industry],Main_L[P/B]),3)</f>
        <v>5.8440495069058596</v>
      </c>
      <c r="H8" s="1">
        <f>Quartile_L[[#This Row],[P/B Q1]]-1.5*(Quartile_L[[#This Row],[P/B Q3]]-Quartile_L[[#This Row],[P/B Q1]])</f>
        <v>-0.73234937557096513</v>
      </c>
      <c r="I8" s="1">
        <f>Quartile_L[[#This Row],[P/B Q3]]+1.5*(Quartile_L[[#This Row],[P/B Q3]]-Quartile_L[[#This Row],[P/B Q1]])</f>
        <v>9.7898888363919543</v>
      </c>
      <c r="J8" s="1" cm="1">
        <f t="array" ref="J8">_xlfn.QUARTILE.INC(IF(Quartile_L[[#This Row],[Industry]]=Main_L[Industry],Main_L[ROE]),1)</f>
        <v>10.137499999999999</v>
      </c>
      <c r="K8" s="1" cm="1">
        <f t="array" ref="K8">_xlfn.QUARTILE.INC(IF(Quartile_L[[#This Row],[Industry]]=Main_L[Industry],Main_L[ROE]),3)</f>
        <v>26.43</v>
      </c>
      <c r="L8" s="1">
        <f>Quartile_L[[#This Row],[ROE Q1]]-1.5*(Quartile_L[[#This Row],[ROE Q3]]-Quartile_L[[#This Row],[ROE Q1]])</f>
        <v>-14.30125</v>
      </c>
      <c r="M8" s="1">
        <f>Quartile_L[[#This Row],[ROE Q3]]+1.5*(Quartile_L[[#This Row],[ROE Q3]]-Quartile_L[[#This Row],[ROE Q1]])</f>
        <v>50.868749999999999</v>
      </c>
      <c r="N8" s="1" cm="1">
        <f t="array" ref="N8">_xlfn.QUARTILE.INC(IF(Quartile_L[[#This Row],[Industry]]=Main_L[Industry],Main_L[ROA]),1)</f>
        <v>5.6450000000000005</v>
      </c>
      <c r="O8" s="1" cm="1">
        <f t="array" ref="O8">_xlfn.QUARTILE.INC(IF(Quartile_L[[#This Row],[Industry]]=Main_L[Industry],Main_L[ROA]),3)</f>
        <v>9.7199999999999989</v>
      </c>
      <c r="P8" s="1">
        <f>Quartile_L[[#This Row],[ROA Q1]]-1.5*(Quartile_L[[#This Row],[ROA Q3]]-Quartile_L[[#This Row],[ROA Q1]])</f>
        <v>-0.4674999999999967</v>
      </c>
      <c r="Q8" s="1">
        <f>Quartile_L[[#This Row],[ROA Q3]]+1.5*(Quartile_L[[#This Row],[ROA Q3]]-Quartile_L[[#This Row],[ROA Q1]])</f>
        <v>15.832499999999996</v>
      </c>
      <c r="R8" s="1" cm="1">
        <f t="array" ref="R8">_xlfn.QUARTILE.INC(IF(Quartile_L[[#This Row],[Industry]]=Main_L[Industry],Main_L[P/E]),1)</f>
        <v>22.016159150787104</v>
      </c>
      <c r="S8" s="1" cm="1">
        <f t="array" ref="S8">_xlfn.QUARTILE.INC(IF(Quartile_L[[#This Row],[Industry]]=Main_L[Industry],Main_L[P/E]),3)</f>
        <v>30.697966953665457</v>
      </c>
      <c r="T8" s="1">
        <f>Quartile_L[[#This Row],[P/E Q1]]-1.5*(Quartile_L[[#This Row],[P/E Q3]]-Quartile_L[[#This Row],[P/E Q1]])</f>
        <v>8.9934474464695739</v>
      </c>
      <c r="U8" s="1">
        <f>Quartile_L[[#This Row],[P/E Q3]]+1.5*(Quartile_L[[#This Row],[P/E Q3]]-Quartile_L[[#This Row],[P/E Q1]])</f>
        <v>43.720678657982987</v>
      </c>
      <c r="V8" s="1" cm="1">
        <f t="array" ref="V8">_xlfn.QUARTILE.INC(IF(Quartile_L[[#This Row],[Industry]]=Main_L[Industry],Main_L[A/E]),1)</f>
        <v>1.65</v>
      </c>
      <c r="W8" s="1" cm="1">
        <f t="array" ref="W8">_xlfn.QUARTILE.INC(IF(Quartile_L[[#This Row],[Industry]]=Main_L[Industry],Main_L[A/E]),3)</f>
        <v>2.4525000000000001</v>
      </c>
      <c r="X8" s="1">
        <f>Quartile_L[[#This Row],[A/E Q1]]-1.5*(Quartile_L[[#This Row],[A/E Q3]]-Quartile_L[[#This Row],[A/E Q1]])</f>
        <v>0.44624999999999959</v>
      </c>
      <c r="Y8" s="1">
        <f>Quartile_L[[#This Row],[A/E Q3]]+1.5*(Quartile_L[[#This Row],[A/E Q3]]-Quartile_L[[#This Row],[A/E Q1]])</f>
        <v>3.6562500000000004</v>
      </c>
    </row>
    <row r="9" spans="1:25" x14ac:dyDescent="0.25">
      <c r="A9" t="s">
        <v>181</v>
      </c>
      <c r="B9" s="1" cm="1">
        <f t="array" ref="B9">_xlfn.QUARTILE.INC(IF(Quartile_L[[#This Row],[Industry]]=Main_L[Industry],Main_L[P/FCF]),1)</f>
        <v>6.0572130479102935</v>
      </c>
      <c r="C9" s="1" cm="1">
        <f t="array" ref="C9">_xlfn.QUARTILE.INC(IF(Quartile_L[[#This Row],[Industry]]=Main_L[Industry],Main_L[P/FCF]),3)</f>
        <v>36.422374931690342</v>
      </c>
      <c r="D9" s="1">
        <f>Quartile_L[[#This Row],[P/FCF Q1]]-1.5*(Quartile_L[[#This Row],[P/FCF Q3]]-Quartile_L[[#This Row],[P/FCF Q1]])</f>
        <v>-39.490529777759775</v>
      </c>
      <c r="E9" s="1">
        <f>Quartile_L[[#This Row],[P/FCF Q3]]+1.5*(Quartile_L[[#This Row],[P/FCF Q3]]-Quartile_L[[#This Row],[P/FCF Q1]])</f>
        <v>81.970117757360413</v>
      </c>
      <c r="F9" s="1" cm="1">
        <f t="array" ref="F9">_xlfn.QUARTILE.INC(IF(Quartile_L[[#This Row],[Industry]]=Main_L[Industry],Main_L[P/B]),1)</f>
        <v>5.878566811166591</v>
      </c>
      <c r="G9" s="1" cm="1">
        <f t="array" ref="G9">_xlfn.QUARTILE.INC(IF(Quartile_L[[#This Row],[Industry]]=Main_L[Industry],Main_L[P/B]),3)</f>
        <v>13.583958027592463</v>
      </c>
      <c r="H9" s="1">
        <f>Quartile_L[[#This Row],[P/B Q1]]-1.5*(Quartile_L[[#This Row],[P/B Q3]]-Quartile_L[[#This Row],[P/B Q1]])</f>
        <v>-5.6795200134722155</v>
      </c>
      <c r="I9" s="1">
        <f>Quartile_L[[#This Row],[P/B Q3]]+1.5*(Quartile_L[[#This Row],[P/B Q3]]-Quartile_L[[#This Row],[P/B Q1]])</f>
        <v>25.142044852231269</v>
      </c>
      <c r="J9" s="1" cm="1">
        <f t="array" ref="J9">_xlfn.QUARTILE.INC(IF(Quartile_L[[#This Row],[Industry]]=Main_L[Industry],Main_L[ROE]),1)</f>
        <v>25.439999999999998</v>
      </c>
      <c r="K9" s="1" cm="1">
        <f t="array" ref="K9">_xlfn.QUARTILE.INC(IF(Quartile_L[[#This Row],[Industry]]=Main_L[Industry],Main_L[ROE]),3)</f>
        <v>43.254999999999995</v>
      </c>
      <c r="L9" s="1">
        <f>Quartile_L[[#This Row],[ROE Q1]]-1.5*(Quartile_L[[#This Row],[ROE Q3]]-Quartile_L[[#This Row],[ROE Q1]])</f>
        <v>-1.2824999999999989</v>
      </c>
      <c r="M9" s="1">
        <f>Quartile_L[[#This Row],[ROE Q3]]+1.5*(Quartile_L[[#This Row],[ROE Q3]]-Quartile_L[[#This Row],[ROE Q1]])</f>
        <v>69.977499999999992</v>
      </c>
      <c r="N9" s="1" cm="1">
        <f t="array" ref="N9">_xlfn.QUARTILE.INC(IF(Quartile_L[[#This Row],[Industry]]=Main_L[Industry],Main_L[ROA]),1)</f>
        <v>9.5150000000000006</v>
      </c>
      <c r="O9" s="1" cm="1">
        <f t="array" ref="O9">_xlfn.QUARTILE.INC(IF(Quartile_L[[#This Row],[Industry]]=Main_L[Industry],Main_L[ROA]),3)</f>
        <v>15.005000000000001</v>
      </c>
      <c r="P9" s="1">
        <f>Quartile_L[[#This Row],[ROA Q1]]-1.5*(Quartile_L[[#This Row],[ROA Q3]]-Quartile_L[[#This Row],[ROA Q1]])</f>
        <v>1.2800000000000011</v>
      </c>
      <c r="Q9" s="1">
        <f>Quartile_L[[#This Row],[ROA Q3]]+1.5*(Quartile_L[[#This Row],[ROA Q3]]-Quartile_L[[#This Row],[ROA Q1]])</f>
        <v>23.240000000000002</v>
      </c>
      <c r="R9" s="1" cm="1">
        <f t="array" ref="R9">_xlfn.QUARTILE.INC(IF(Quartile_L[[#This Row],[Industry]]=Main_L[Industry],Main_L[P/E]),1)</f>
        <v>20.235485711500473</v>
      </c>
      <c r="S9" s="1" cm="1">
        <f t="array" ref="S9">_xlfn.QUARTILE.INC(IF(Quartile_L[[#This Row],[Industry]]=Main_L[Industry],Main_L[P/E]),3)</f>
        <v>38.461034151957023</v>
      </c>
      <c r="T9" s="1">
        <f>Quartile_L[[#This Row],[P/E Q1]]-1.5*(Quartile_L[[#This Row],[P/E Q3]]-Quartile_L[[#This Row],[P/E Q1]])</f>
        <v>-7.1028369491843506</v>
      </c>
      <c r="U9" s="1">
        <f>Quartile_L[[#This Row],[P/E Q3]]+1.5*(Quartile_L[[#This Row],[P/E Q3]]-Quartile_L[[#This Row],[P/E Q1]])</f>
        <v>65.799356812641847</v>
      </c>
      <c r="V9" s="1" cm="1">
        <f t="array" ref="V9">_xlfn.QUARTILE.INC(IF(Quartile_L[[#This Row],[Industry]]=Main_L[Industry],Main_L[A/E]),1)</f>
        <v>2.08</v>
      </c>
      <c r="W9" s="1" cm="1">
        <f t="array" ref="W9">_xlfn.QUARTILE.INC(IF(Quartile_L[[#This Row],[Industry]]=Main_L[Industry],Main_L[A/E]),3)</f>
        <v>3.7050000000000001</v>
      </c>
      <c r="X9" s="1">
        <f>Quartile_L[[#This Row],[A/E Q1]]-1.5*(Quartile_L[[#This Row],[A/E Q3]]-Quartile_L[[#This Row],[A/E Q1]])</f>
        <v>-0.35749999999999993</v>
      </c>
      <c r="Y9" s="1">
        <f>Quartile_L[[#This Row],[A/E Q3]]+1.5*(Quartile_L[[#This Row],[A/E Q3]]-Quartile_L[[#This Row],[A/E Q1]])</f>
        <v>6.1425000000000001</v>
      </c>
    </row>
    <row r="10" spans="1:25" x14ac:dyDescent="0.25">
      <c r="A10" t="s">
        <v>191</v>
      </c>
      <c r="B10" s="1" cm="1">
        <f t="array" ref="B10">_xlfn.QUARTILE.INC(IF(Quartile_L[[#This Row],[Industry]]=Main_L[Industry],Main_L[P/FCF]),1)</f>
        <v>34.103743420101537</v>
      </c>
      <c r="C10" s="1" cm="1">
        <f t="array" ref="C10">_xlfn.QUARTILE.INC(IF(Quartile_L[[#This Row],[Industry]]=Main_L[Industry],Main_L[P/FCF]),3)</f>
        <v>53.75966103794228</v>
      </c>
      <c r="D10" s="1">
        <f>Quartile_L[[#This Row],[P/FCF Q1]]-1.5*(Quartile_L[[#This Row],[P/FCF Q3]]-Quartile_L[[#This Row],[P/FCF Q1]])</f>
        <v>4.6198669933404233</v>
      </c>
      <c r="E10" s="1">
        <f>Quartile_L[[#This Row],[P/FCF Q3]]+1.5*(Quartile_L[[#This Row],[P/FCF Q3]]-Quartile_L[[#This Row],[P/FCF Q1]])</f>
        <v>83.243537464703394</v>
      </c>
      <c r="F10" s="1" cm="1">
        <f t="array" ref="F10">_xlfn.QUARTILE.INC(IF(Quartile_L[[#This Row],[Industry]]=Main_L[Industry],Main_L[P/B]),1)</f>
        <v>5.3806747070201393</v>
      </c>
      <c r="G10" s="1" cm="1">
        <f t="array" ref="G10">_xlfn.QUARTILE.INC(IF(Quartile_L[[#This Row],[Industry]]=Main_L[Industry],Main_L[P/B]),3)</f>
        <v>10.912174330039436</v>
      </c>
      <c r="H10" s="1">
        <f>Quartile_L[[#This Row],[P/B Q1]]-1.5*(Quartile_L[[#This Row],[P/B Q3]]-Quartile_L[[#This Row],[P/B Q1]])</f>
        <v>-2.9165747275088059</v>
      </c>
      <c r="I10" s="1">
        <f>Quartile_L[[#This Row],[P/B Q3]]+1.5*(Quartile_L[[#This Row],[P/B Q3]]-Quartile_L[[#This Row],[P/B Q1]])</f>
        <v>19.209423764568381</v>
      </c>
      <c r="J10" s="1" cm="1">
        <f t="array" ref="J10">_xlfn.QUARTILE.INC(IF(Quartile_L[[#This Row],[Industry]]=Main_L[Industry],Main_L[ROE]),1)</f>
        <v>7.67</v>
      </c>
      <c r="K10" s="1" cm="1">
        <f t="array" ref="K10">_xlfn.QUARTILE.INC(IF(Quartile_L[[#This Row],[Industry]]=Main_L[Industry],Main_L[ROE]),3)</f>
        <v>35.92</v>
      </c>
      <c r="L10" s="1">
        <f>Quartile_L[[#This Row],[ROE Q1]]-1.5*(Quartile_L[[#This Row],[ROE Q3]]-Quartile_L[[#This Row],[ROE Q1]])</f>
        <v>-34.704999999999998</v>
      </c>
      <c r="M10" s="1">
        <f>Quartile_L[[#This Row],[ROE Q3]]+1.5*(Quartile_L[[#This Row],[ROE Q3]]-Quartile_L[[#This Row],[ROE Q1]])</f>
        <v>78.295000000000002</v>
      </c>
      <c r="N10" s="1" cm="1">
        <f t="array" ref="N10">_xlfn.QUARTILE.INC(IF(Quartile_L[[#This Row],[Industry]]=Main_L[Industry],Main_L[ROA]),1)</f>
        <v>4.0600000000000005</v>
      </c>
      <c r="O10" s="1" cm="1">
        <f t="array" ref="O10">_xlfn.QUARTILE.INC(IF(Quartile_L[[#This Row],[Industry]]=Main_L[Industry],Main_L[ROA]),3)</f>
        <v>12.33</v>
      </c>
      <c r="P10" s="1">
        <f>Quartile_L[[#This Row],[ROA Q1]]-1.5*(Quartile_L[[#This Row],[ROA Q3]]-Quartile_L[[#This Row],[ROA Q1]])</f>
        <v>-8.3449999999999989</v>
      </c>
      <c r="Q10" s="1">
        <f>Quartile_L[[#This Row],[ROA Q3]]+1.5*(Quartile_L[[#This Row],[ROA Q3]]-Quartile_L[[#This Row],[ROA Q1]])</f>
        <v>24.734999999999999</v>
      </c>
      <c r="R10" s="1" cm="1">
        <f t="array" ref="R10">_xlfn.QUARTILE.INC(IF(Quartile_L[[#This Row],[Industry]]=Main_L[Industry],Main_L[P/E]),1)</f>
        <v>32.590357273971236</v>
      </c>
      <c r="S10" s="1" cm="1">
        <f t="array" ref="S10">_xlfn.QUARTILE.INC(IF(Quartile_L[[#This Row],[Industry]]=Main_L[Industry],Main_L[P/E]),3)</f>
        <v>53.751771445801296</v>
      </c>
      <c r="T10" s="1">
        <f>Quartile_L[[#This Row],[P/E Q1]]-1.5*(Quartile_L[[#This Row],[P/E Q3]]-Quartile_L[[#This Row],[P/E Q1]])</f>
        <v>0.84823601622614575</v>
      </c>
      <c r="U10" s="1">
        <f>Quartile_L[[#This Row],[P/E Q3]]+1.5*(Quartile_L[[#This Row],[P/E Q3]]-Quartile_L[[#This Row],[P/E Q1]])</f>
        <v>85.493892703546379</v>
      </c>
      <c r="V10" s="1" cm="1">
        <f t="array" ref="V10">_xlfn.QUARTILE.INC(IF(Quartile_L[[#This Row],[Industry]]=Main_L[Industry],Main_L[A/E]),1)</f>
        <v>2.2149999999999999</v>
      </c>
      <c r="W10" s="1" cm="1">
        <f t="array" ref="W10">_xlfn.QUARTILE.INC(IF(Quartile_L[[#This Row],[Industry]]=Main_L[Industry],Main_L[A/E]),3)</f>
        <v>2.83</v>
      </c>
      <c r="X10" s="1">
        <f>Quartile_L[[#This Row],[A/E Q1]]-1.5*(Quartile_L[[#This Row],[A/E Q3]]-Quartile_L[[#This Row],[A/E Q1]])</f>
        <v>1.2924999999999995</v>
      </c>
      <c r="Y10" s="1">
        <f>Quartile_L[[#This Row],[A/E Q3]]+1.5*(Quartile_L[[#This Row],[A/E Q3]]-Quartile_L[[#This Row],[A/E Q1]])</f>
        <v>3.7525000000000004</v>
      </c>
    </row>
    <row r="11" spans="1:25" x14ac:dyDescent="0.25">
      <c r="A11" t="s">
        <v>204</v>
      </c>
      <c r="B11" s="1" cm="1">
        <f t="array" ref="B11">_xlfn.QUARTILE.INC(IF(Quartile_L[[#This Row],[Industry]]=Main_L[Industry],Main_L[P/FCF]),1)</f>
        <v>24.17396146473228</v>
      </c>
      <c r="C11" s="1" cm="1">
        <f t="array" ref="C11">_xlfn.QUARTILE.INC(IF(Quartile_L[[#This Row],[Industry]]=Main_L[Industry],Main_L[P/FCF]),3)</f>
        <v>42.302756380593479</v>
      </c>
      <c r="D11" s="1">
        <f>Quartile_L[[#This Row],[P/FCF Q1]]-1.5*(Quartile_L[[#This Row],[P/FCF Q3]]-Quartile_L[[#This Row],[P/FCF Q1]])</f>
        <v>-3.0192309090595195</v>
      </c>
      <c r="E11" s="1">
        <f>Quartile_L[[#This Row],[P/FCF Q3]]+1.5*(Quartile_L[[#This Row],[P/FCF Q3]]-Quartile_L[[#This Row],[P/FCF Q1]])</f>
        <v>69.495948754385282</v>
      </c>
      <c r="F11" s="1" cm="1">
        <f t="array" ref="F11">_xlfn.QUARTILE.INC(IF(Quartile_L[[#This Row],[Industry]]=Main_L[Industry],Main_L[P/B]),1)</f>
        <v>4.4825318369929041</v>
      </c>
      <c r="G11" s="1" cm="1">
        <f t="array" ref="G11">_xlfn.QUARTILE.INC(IF(Quartile_L[[#This Row],[Industry]]=Main_L[Industry],Main_L[P/B]),3)</f>
        <v>13.859931363668037</v>
      </c>
      <c r="H11" s="1">
        <f>Quartile_L[[#This Row],[P/B Q1]]-1.5*(Quartile_L[[#This Row],[P/B Q3]]-Quartile_L[[#This Row],[P/B Q1]])</f>
        <v>-9.5835674530197963</v>
      </c>
      <c r="I11" s="1">
        <f>Quartile_L[[#This Row],[P/B Q3]]+1.5*(Quartile_L[[#This Row],[P/B Q3]]-Quartile_L[[#This Row],[P/B Q1]])</f>
        <v>27.926030653680741</v>
      </c>
      <c r="J11" s="1" cm="1">
        <f t="array" ref="J11">_xlfn.QUARTILE.INC(IF(Quartile_L[[#This Row],[Industry]]=Main_L[Industry],Main_L[ROE]),1)</f>
        <v>13.24</v>
      </c>
      <c r="K11" s="1" cm="1">
        <f t="array" ref="K11">_xlfn.QUARTILE.INC(IF(Quartile_L[[#This Row],[Industry]]=Main_L[Industry],Main_L[ROE]),3)</f>
        <v>47.1875</v>
      </c>
      <c r="L11" s="1">
        <f>Quartile_L[[#This Row],[ROE Q1]]-1.5*(Quartile_L[[#This Row],[ROE Q3]]-Quartile_L[[#This Row],[ROE Q1]])</f>
        <v>-37.681249999999999</v>
      </c>
      <c r="M11" s="1">
        <f>Quartile_L[[#This Row],[ROE Q3]]+1.5*(Quartile_L[[#This Row],[ROE Q3]]-Quartile_L[[#This Row],[ROE Q1]])</f>
        <v>98.108750000000001</v>
      </c>
      <c r="N11" s="1" cm="1">
        <f t="array" ref="N11">_xlfn.QUARTILE.INC(IF(Quartile_L[[#This Row],[Industry]]=Main_L[Industry],Main_L[ROA]),1)</f>
        <v>5.4125000000000005</v>
      </c>
      <c r="O11" s="1" cm="1">
        <f t="array" ref="O11">_xlfn.QUARTILE.INC(IF(Quartile_L[[#This Row],[Industry]]=Main_L[Industry],Main_L[ROA]),3)</f>
        <v>10.612500000000001</v>
      </c>
      <c r="P11" s="1">
        <f>Quartile_L[[#This Row],[ROA Q1]]-1.5*(Quartile_L[[#This Row],[ROA Q3]]-Quartile_L[[#This Row],[ROA Q1]])</f>
        <v>-2.3875000000000002</v>
      </c>
      <c r="Q11" s="1">
        <f>Quartile_L[[#This Row],[ROA Q3]]+1.5*(Quartile_L[[#This Row],[ROA Q3]]-Quartile_L[[#This Row],[ROA Q1]])</f>
        <v>18.412500000000001</v>
      </c>
      <c r="R11" s="1" cm="1">
        <f t="array" ref="R11">_xlfn.QUARTILE.INC(IF(Quartile_L[[#This Row],[Industry]]=Main_L[Industry],Main_L[P/E]),1)</f>
        <v>28.063426106453498</v>
      </c>
      <c r="S11" s="1" cm="1">
        <f t="array" ref="S11">_xlfn.QUARTILE.INC(IF(Quartile_L[[#This Row],[Industry]]=Main_L[Industry],Main_L[P/E]),3)</f>
        <v>44.255380380380373</v>
      </c>
      <c r="T11" s="1">
        <f>Quartile_L[[#This Row],[P/E Q1]]-1.5*(Quartile_L[[#This Row],[P/E Q3]]-Quartile_L[[#This Row],[P/E Q1]])</f>
        <v>3.7754946955631858</v>
      </c>
      <c r="U11" s="1">
        <f>Quartile_L[[#This Row],[P/E Q3]]+1.5*(Quartile_L[[#This Row],[P/E Q3]]-Quartile_L[[#This Row],[P/E Q1]])</f>
        <v>68.543311791270682</v>
      </c>
      <c r="V11" s="1" cm="1">
        <f t="array" ref="V11">_xlfn.QUARTILE.INC(IF(Quartile_L[[#This Row],[Industry]]=Main_L[Industry],Main_L[A/E]),1)</f>
        <v>2.6724999999999999</v>
      </c>
      <c r="W11" s="1" cm="1">
        <f t="array" ref="W11">_xlfn.QUARTILE.INC(IF(Quartile_L[[#This Row],[Industry]]=Main_L[Industry],Main_L[A/E]),3)</f>
        <v>4.2975000000000003</v>
      </c>
      <c r="X11" s="1">
        <f>Quartile_L[[#This Row],[A/E Q1]]-1.5*(Quartile_L[[#This Row],[A/E Q3]]-Quartile_L[[#This Row],[A/E Q1]])</f>
        <v>0.23499999999999899</v>
      </c>
      <c r="Y11" s="1">
        <f>Quartile_L[[#This Row],[A/E Q3]]+1.5*(Quartile_L[[#This Row],[A/E Q3]]-Quartile_L[[#This Row],[A/E Q1]])</f>
        <v>6.7350000000000012</v>
      </c>
    </row>
    <row r="12" spans="1:25" x14ac:dyDescent="0.25">
      <c r="A12" t="s">
        <v>223</v>
      </c>
      <c r="B12" s="1" cm="1">
        <f t="array" ref="B12">_xlfn.QUARTILE.INC(IF(Quartile_L[[#This Row],[Industry]]=Main_L[Industry],Main_L[P/FCF]),1)</f>
        <v>16.358811040339702</v>
      </c>
      <c r="C12" s="1" cm="1">
        <f t="array" ref="C12">_xlfn.QUARTILE.INC(IF(Quartile_L[[#This Row],[Industry]]=Main_L[Industry],Main_L[P/FCF]),3)</f>
        <v>19.93374741200828</v>
      </c>
      <c r="D12" s="1">
        <f>Quartile_L[[#This Row],[P/FCF Q1]]-1.5*(Quartile_L[[#This Row],[P/FCF Q3]]-Quartile_L[[#This Row],[P/FCF Q1]])</f>
        <v>10.996406482836836</v>
      </c>
      <c r="E12" s="1">
        <f>Quartile_L[[#This Row],[P/FCF Q3]]+1.5*(Quartile_L[[#This Row],[P/FCF Q3]]-Quartile_L[[#This Row],[P/FCF Q1]])</f>
        <v>25.296151969511147</v>
      </c>
      <c r="F12" s="1" cm="1">
        <f t="array" ref="F12">_xlfn.QUARTILE.INC(IF(Quartile_L[[#This Row],[Industry]]=Main_L[Industry],Main_L[P/B]),1)</f>
        <v>2.0771926671459382</v>
      </c>
      <c r="G12" s="1" cm="1">
        <f t="array" ref="G12">_xlfn.QUARTILE.INC(IF(Quartile_L[[#This Row],[Industry]]=Main_L[Industry],Main_L[P/B]),3)</f>
        <v>6.603566529492455</v>
      </c>
      <c r="H12" s="1">
        <f>Quartile_L[[#This Row],[P/B Q1]]-1.5*(Quartile_L[[#This Row],[P/B Q3]]-Quartile_L[[#This Row],[P/B Q1]])</f>
        <v>-4.7123681263738373</v>
      </c>
      <c r="I12" s="1">
        <f>Quartile_L[[#This Row],[P/B Q3]]+1.5*(Quartile_L[[#This Row],[P/B Q3]]-Quartile_L[[#This Row],[P/B Q1]])</f>
        <v>13.39312732301223</v>
      </c>
      <c r="J12" s="1" cm="1">
        <f t="array" ref="J12">_xlfn.QUARTILE.INC(IF(Quartile_L[[#This Row],[Industry]]=Main_L[Industry],Main_L[ROE]),1)</f>
        <v>14.76</v>
      </c>
      <c r="K12" s="1" cm="1">
        <f t="array" ref="K12">_xlfn.QUARTILE.INC(IF(Quartile_L[[#This Row],[Industry]]=Main_L[Industry],Main_L[ROE]),3)</f>
        <v>35.159999999999997</v>
      </c>
      <c r="L12" s="1">
        <f>Quartile_L[[#This Row],[ROE Q1]]-1.5*(Quartile_L[[#This Row],[ROE Q3]]-Quartile_L[[#This Row],[ROE Q1]])</f>
        <v>-15.839999999999998</v>
      </c>
      <c r="M12" s="1">
        <f>Quartile_L[[#This Row],[ROE Q3]]+1.5*(Quartile_L[[#This Row],[ROE Q3]]-Quartile_L[[#This Row],[ROE Q1]])</f>
        <v>65.759999999999991</v>
      </c>
      <c r="N12" s="1" cm="1">
        <f t="array" ref="N12">_xlfn.QUARTILE.INC(IF(Quartile_L[[#This Row],[Industry]]=Main_L[Industry],Main_L[ROA]),1)</f>
        <v>7.38</v>
      </c>
      <c r="O12" s="1" cm="1">
        <f t="array" ref="O12">_xlfn.QUARTILE.INC(IF(Quartile_L[[#This Row],[Industry]]=Main_L[Industry],Main_L[ROA]),3)</f>
        <v>8.8699999999999992</v>
      </c>
      <c r="P12" s="1">
        <f>Quartile_L[[#This Row],[ROA Q1]]-1.5*(Quartile_L[[#This Row],[ROA Q3]]-Quartile_L[[#This Row],[ROA Q1]])</f>
        <v>5.1450000000000014</v>
      </c>
      <c r="Q12" s="1">
        <f>Quartile_L[[#This Row],[ROA Q3]]+1.5*(Quartile_L[[#This Row],[ROA Q3]]-Quartile_L[[#This Row],[ROA Q1]])</f>
        <v>11.104999999999999</v>
      </c>
      <c r="R12" s="1" cm="1">
        <f t="array" ref="R12">_xlfn.QUARTILE.INC(IF(Quartile_L[[#This Row],[Industry]]=Main_L[Industry],Main_L[P/E]),1)</f>
        <v>14.570802919708031</v>
      </c>
      <c r="S12" s="1" cm="1">
        <f t="array" ref="S12">_xlfn.QUARTILE.INC(IF(Quartile_L[[#This Row],[Industry]]=Main_L[Industry],Main_L[P/E]),3)</f>
        <v>20.15909090909091</v>
      </c>
      <c r="T12" s="1">
        <f>Quartile_L[[#This Row],[P/E Q1]]-1.5*(Quartile_L[[#This Row],[P/E Q3]]-Quartile_L[[#This Row],[P/E Q1]])</f>
        <v>6.1883709356337118</v>
      </c>
      <c r="U12" s="1">
        <f>Quartile_L[[#This Row],[P/E Q3]]+1.5*(Quartile_L[[#This Row],[P/E Q3]]-Quartile_L[[#This Row],[P/E Q1]])</f>
        <v>28.541522893165229</v>
      </c>
      <c r="V12" s="1" cm="1">
        <f t="array" ref="V12">_xlfn.QUARTILE.INC(IF(Quartile_L[[#This Row],[Industry]]=Main_L[Industry],Main_L[A/E]),1)</f>
        <v>2.14</v>
      </c>
      <c r="W12" s="1" cm="1">
        <f t="array" ref="W12">_xlfn.QUARTILE.INC(IF(Quartile_L[[#This Row],[Industry]]=Main_L[Industry],Main_L[A/E]),3)</f>
        <v>3.18</v>
      </c>
      <c r="X12" s="1">
        <f>Quartile_L[[#This Row],[A/E Q1]]-1.5*(Quartile_L[[#This Row],[A/E Q3]]-Quartile_L[[#This Row],[A/E Q1]])</f>
        <v>0.58000000000000007</v>
      </c>
      <c r="Y12" s="1">
        <f>Quartile_L[[#This Row],[A/E Q3]]+1.5*(Quartile_L[[#This Row],[A/E Q3]]-Quartile_L[[#This Row],[A/E Q1]])</f>
        <v>4.74</v>
      </c>
    </row>
    <row r="13" spans="1:25" x14ac:dyDescent="0.25">
      <c r="A13" t="s">
        <v>229</v>
      </c>
      <c r="B13" s="1" cm="1">
        <f t="array" ref="B13">_xlfn.QUARTILE.INC(IF(Quartile_L[[#This Row],[Industry]]=Main_L[Industry],Main_L[P/FCF]),1)</f>
        <v>-4.0170559994267521</v>
      </c>
      <c r="C13" s="1" cm="1">
        <f t="array" ref="C13">_xlfn.QUARTILE.INC(IF(Quartile_L[[#This Row],[Industry]]=Main_L[Industry],Main_L[P/FCF]),3)</f>
        <v>18.547653539208881</v>
      </c>
      <c r="D13" s="1">
        <f>Quartile_L[[#This Row],[P/FCF Q1]]-1.5*(Quartile_L[[#This Row],[P/FCF Q3]]-Quartile_L[[#This Row],[P/FCF Q1]])</f>
        <v>-37.864120307380198</v>
      </c>
      <c r="E13" s="1">
        <f>Quartile_L[[#This Row],[P/FCF Q3]]+1.5*(Quartile_L[[#This Row],[P/FCF Q3]]-Quartile_L[[#This Row],[P/FCF Q1]])</f>
        <v>52.394717847162326</v>
      </c>
      <c r="F13" s="1" cm="1">
        <f t="array" ref="F13">_xlfn.QUARTILE.INC(IF(Quartile_L[[#This Row],[Industry]]=Main_L[Industry],Main_L[P/B]),1)</f>
        <v>2.0843662246896582</v>
      </c>
      <c r="G13" s="1" cm="1">
        <f t="array" ref="G13">_xlfn.QUARTILE.INC(IF(Quartile_L[[#This Row],[Industry]]=Main_L[Industry],Main_L[P/B]),3)</f>
        <v>3.2611056399561664</v>
      </c>
      <c r="H13" s="1">
        <f>Quartile_L[[#This Row],[P/B Q1]]-1.5*(Quartile_L[[#This Row],[P/B Q3]]-Quartile_L[[#This Row],[P/B Q1]])</f>
        <v>0.31925710178989575</v>
      </c>
      <c r="I13" s="1">
        <f>Quartile_L[[#This Row],[P/B Q3]]+1.5*(Quartile_L[[#This Row],[P/B Q3]]-Quartile_L[[#This Row],[P/B Q1]])</f>
        <v>5.0262147628559291</v>
      </c>
      <c r="J13" s="1" cm="1">
        <f t="array" ref="J13">_xlfn.QUARTILE.INC(IF(Quartile_L[[#This Row],[Industry]]=Main_L[Industry],Main_L[ROE]),1)</f>
        <v>16.96</v>
      </c>
      <c r="K13" s="1" cm="1">
        <f t="array" ref="K13">_xlfn.QUARTILE.INC(IF(Quartile_L[[#This Row],[Industry]]=Main_L[Industry],Main_L[ROE]),3)</f>
        <v>29.032499999999999</v>
      </c>
      <c r="L13" s="1">
        <f>Quartile_L[[#This Row],[ROE Q1]]-1.5*(Quartile_L[[#This Row],[ROE Q3]]-Quartile_L[[#This Row],[ROE Q1]])</f>
        <v>-1.1487499999999962</v>
      </c>
      <c r="M13" s="1">
        <f>Quartile_L[[#This Row],[ROE Q3]]+1.5*(Quartile_L[[#This Row],[ROE Q3]]-Quartile_L[[#This Row],[ROE Q1]])</f>
        <v>47.141249999999999</v>
      </c>
      <c r="N13" s="1" cm="1">
        <f t="array" ref="N13">_xlfn.QUARTILE.INC(IF(Quartile_L[[#This Row],[Industry]]=Main_L[Industry],Main_L[ROA]),1)</f>
        <v>3.7800000000000002</v>
      </c>
      <c r="O13" s="1" cm="1">
        <f t="array" ref="O13">_xlfn.QUARTILE.INC(IF(Quartile_L[[#This Row],[Industry]]=Main_L[Industry],Main_L[ROA]),3)</f>
        <v>5.2949999999999999</v>
      </c>
      <c r="P13" s="1">
        <f>Quartile_L[[#This Row],[ROA Q1]]-1.5*(Quartile_L[[#This Row],[ROA Q3]]-Quartile_L[[#This Row],[ROA Q1]])</f>
        <v>1.5075000000000007</v>
      </c>
      <c r="Q13" s="1">
        <f>Quartile_L[[#This Row],[ROA Q3]]+1.5*(Quartile_L[[#This Row],[ROA Q3]]-Quartile_L[[#This Row],[ROA Q1]])</f>
        <v>7.567499999999999</v>
      </c>
      <c r="R13" s="1" cm="1">
        <f t="array" ref="R13">_xlfn.QUARTILE.INC(IF(Quartile_L[[#This Row],[Industry]]=Main_L[Industry],Main_L[P/E]),1)</f>
        <v>8.9449033634232791</v>
      </c>
      <c r="S13" s="1" cm="1">
        <f t="array" ref="S13">_xlfn.QUARTILE.INC(IF(Quartile_L[[#This Row],[Industry]]=Main_L[Industry],Main_L[P/E]),3)</f>
        <v>33.330381016042779</v>
      </c>
      <c r="T13" s="1">
        <f>Quartile_L[[#This Row],[P/E Q1]]-1.5*(Quartile_L[[#This Row],[P/E Q3]]-Quartile_L[[#This Row],[P/E Q1]])</f>
        <v>-27.63331311550597</v>
      </c>
      <c r="U13" s="1">
        <f>Quartile_L[[#This Row],[P/E Q3]]+1.5*(Quartile_L[[#This Row],[P/E Q3]]-Quartile_L[[#This Row],[P/E Q1]])</f>
        <v>69.908597494972028</v>
      </c>
      <c r="V13" s="1" cm="1">
        <f t="array" ref="V13">_xlfn.QUARTILE.INC(IF(Quartile_L[[#This Row],[Industry]]=Main_L[Industry],Main_L[A/E]),1)</f>
        <v>3.1624999999999996</v>
      </c>
      <c r="W13" s="1" cm="1">
        <f t="array" ref="W13">_xlfn.QUARTILE.INC(IF(Quartile_L[[#This Row],[Industry]]=Main_L[Industry],Main_L[A/E]),3)</f>
        <v>5.2649999999999997</v>
      </c>
      <c r="X13" s="1">
        <f>Quartile_L[[#This Row],[A/E Q1]]-1.5*(Quartile_L[[#This Row],[A/E Q3]]-Quartile_L[[#This Row],[A/E Q1]])</f>
        <v>8.7499999999995914E-3</v>
      </c>
      <c r="Y13" s="1">
        <f>Quartile_L[[#This Row],[A/E Q3]]+1.5*(Quartile_L[[#This Row],[A/E Q3]]-Quartile_L[[#This Row],[A/E Q1]])</f>
        <v>8.4187499999999993</v>
      </c>
    </row>
    <row r="14" spans="1:25" x14ac:dyDescent="0.25">
      <c r="A14" t="s">
        <v>249</v>
      </c>
      <c r="B14" s="1" t="e" cm="1">
        <f t="array" ref="B14">_xlfn.QUARTILE.INC(IF(Quartile_L[[#This Row],[Industry]]=Main_L[Industry],Main_L[P/FCF]),1)</f>
        <v>#NUM!</v>
      </c>
      <c r="C14" s="1" t="e" cm="1">
        <f t="array" ref="C14">_xlfn.QUARTILE.INC(IF(Quartile_L[[#This Row],[Industry]]=Main_L[Industry],Main_L[P/FCF]),3)</f>
        <v>#NUM!</v>
      </c>
      <c r="D14" s="1" t="e">
        <f>Quartile_L[[#This Row],[P/FCF Q1]]-1.5*(Quartile_L[[#This Row],[P/FCF Q3]]-Quartile_L[[#This Row],[P/FCF Q1]])</f>
        <v>#NUM!</v>
      </c>
      <c r="E14" s="1" t="e">
        <f>Quartile_L[[#This Row],[P/FCF Q3]]+1.5*(Quartile_L[[#This Row],[P/FCF Q3]]-Quartile_L[[#This Row],[P/FCF Q1]])</f>
        <v>#NUM!</v>
      </c>
      <c r="F14" s="1" t="e" cm="1">
        <f t="array" ref="F14">_xlfn.QUARTILE.INC(IF(Quartile_L[[#This Row],[Industry]]=Main_L[Industry],Main_L[P/B]),1)</f>
        <v>#NUM!</v>
      </c>
      <c r="G14" s="1" t="e" cm="1">
        <f t="array" ref="G14">_xlfn.QUARTILE.INC(IF(Quartile_L[[#This Row],[Industry]]=Main_L[Industry],Main_L[P/B]),3)</f>
        <v>#NUM!</v>
      </c>
      <c r="H14" s="1" t="e">
        <f>Quartile_L[[#This Row],[P/B Q1]]-1.5*(Quartile_L[[#This Row],[P/B Q3]]-Quartile_L[[#This Row],[P/B Q1]])</f>
        <v>#NUM!</v>
      </c>
      <c r="I14" s="1" t="e">
        <f>Quartile_L[[#This Row],[P/B Q3]]+1.5*(Quartile_L[[#This Row],[P/B Q3]]-Quartile_L[[#This Row],[P/B Q1]])</f>
        <v>#NUM!</v>
      </c>
      <c r="J14" s="1" t="e" cm="1">
        <f t="array" ref="J14">_xlfn.QUARTILE.INC(IF(Quartile_L[[#This Row],[Industry]]=Main_L[Industry],Main_L[ROE]),1)</f>
        <v>#NUM!</v>
      </c>
      <c r="K14" s="1" t="e" cm="1">
        <f t="array" ref="K14">_xlfn.QUARTILE.INC(IF(Quartile_L[[#This Row],[Industry]]=Main_L[Industry],Main_L[ROE]),3)</f>
        <v>#NUM!</v>
      </c>
      <c r="L14" s="1" t="e">
        <f>Quartile_L[[#This Row],[ROE Q1]]-1.5*(Quartile_L[[#This Row],[ROE Q3]]-Quartile_L[[#This Row],[ROE Q1]])</f>
        <v>#NUM!</v>
      </c>
      <c r="M14" s="1" t="e">
        <f>Quartile_L[[#This Row],[ROE Q3]]+1.5*(Quartile_L[[#This Row],[ROE Q3]]-Quartile_L[[#This Row],[ROE Q1]])</f>
        <v>#NUM!</v>
      </c>
      <c r="N14" s="1" t="e" cm="1">
        <f t="array" ref="N14">_xlfn.QUARTILE.INC(IF(Quartile_L[[#This Row],[Industry]]=Main_L[Industry],Main_L[ROA]),1)</f>
        <v>#NUM!</v>
      </c>
      <c r="O14" s="1" t="e" cm="1">
        <f t="array" ref="O14">_xlfn.QUARTILE.INC(IF(Quartile_L[[#This Row],[Industry]]=Main_L[Industry],Main_L[ROA]),3)</f>
        <v>#NUM!</v>
      </c>
      <c r="P14" s="1" t="e">
        <f>Quartile_L[[#This Row],[ROA Q1]]-1.5*(Quartile_L[[#This Row],[ROA Q3]]-Quartile_L[[#This Row],[ROA Q1]])</f>
        <v>#NUM!</v>
      </c>
      <c r="Q14" s="1" t="e">
        <f>Quartile_L[[#This Row],[ROA Q3]]+1.5*(Quartile_L[[#This Row],[ROA Q3]]-Quartile_L[[#This Row],[ROA Q1]])</f>
        <v>#NUM!</v>
      </c>
      <c r="R14" s="1" t="e" cm="1">
        <f t="array" ref="R14">_xlfn.QUARTILE.INC(IF(Quartile_L[[#This Row],[Industry]]=Main_L[Industry],Main_L[P/E]),1)</f>
        <v>#NUM!</v>
      </c>
      <c r="S14" s="1" t="e" cm="1">
        <f t="array" ref="S14">_xlfn.QUARTILE.INC(IF(Quartile_L[[#This Row],[Industry]]=Main_L[Industry],Main_L[P/E]),3)</f>
        <v>#NUM!</v>
      </c>
      <c r="T14" s="1" t="e">
        <f>Quartile_L[[#This Row],[P/E Q1]]-1.5*(Quartile_L[[#This Row],[P/E Q3]]-Quartile_L[[#This Row],[P/E Q1]])</f>
        <v>#NUM!</v>
      </c>
      <c r="U14" s="1" t="e">
        <f>Quartile_L[[#This Row],[P/E Q3]]+1.5*(Quartile_L[[#This Row],[P/E Q3]]-Quartile_L[[#This Row],[P/E Q1]])</f>
        <v>#NUM!</v>
      </c>
      <c r="V14" s="1" t="e" cm="1">
        <f t="array" ref="V14">_xlfn.QUARTILE.INC(IF(Quartile_L[[#This Row],[Industry]]=Main_L[Industry],Main_L[A/E]),1)</f>
        <v>#NUM!</v>
      </c>
      <c r="W14" s="1" t="e" cm="1">
        <f t="array" ref="W14">_xlfn.QUARTILE.INC(IF(Quartile_L[[#This Row],[Industry]]=Main_L[Industry],Main_L[A/E]),3)</f>
        <v>#NUM!</v>
      </c>
      <c r="X14" s="1" t="e">
        <f>Quartile_L[[#This Row],[A/E Q1]]-1.5*(Quartile_L[[#This Row],[A/E Q3]]-Quartile_L[[#This Row],[A/E Q1]])</f>
        <v>#NUM!</v>
      </c>
      <c r="Y14" s="1" t="e">
        <f>Quartile_L[[#This Row],[A/E Q3]]+1.5*(Quartile_L[[#This Row],[A/E Q3]]-Quartile_L[[#This Row],[A/E Q1]])</f>
        <v>#NUM!</v>
      </c>
    </row>
    <row r="15" spans="1:25" x14ac:dyDescent="0.25">
      <c r="A15" t="s">
        <v>235</v>
      </c>
      <c r="B15" s="1" cm="1">
        <f t="array" ref="B15">_xlfn.QUARTILE.INC(IF(Quartile_L[[#This Row],[Industry]]=Main_L[Industry],Main_L[P/FCF]),1)</f>
        <v>26.791546548428542</v>
      </c>
      <c r="C15" s="1" cm="1">
        <f t="array" ref="C15">_xlfn.QUARTILE.INC(IF(Quartile_L[[#This Row],[Industry]]=Main_L[Industry],Main_L[P/FCF]),3)</f>
        <v>35.423160449667854</v>
      </c>
      <c r="D15" s="1">
        <f>Quartile_L[[#This Row],[P/FCF Q1]]-1.5*(Quartile_L[[#This Row],[P/FCF Q3]]-Quartile_L[[#This Row],[P/FCF Q1]])</f>
        <v>13.844125696569574</v>
      </c>
      <c r="E15" s="1">
        <f>Quartile_L[[#This Row],[P/FCF Q3]]+1.5*(Quartile_L[[#This Row],[P/FCF Q3]]-Quartile_L[[#This Row],[P/FCF Q1]])</f>
        <v>48.370581301526826</v>
      </c>
      <c r="F15" s="1" cm="1">
        <f t="array" ref="F15">_xlfn.QUARTILE.INC(IF(Quartile_L[[#This Row],[Industry]]=Main_L[Industry],Main_L[P/B]),1)</f>
        <v>3.0406932038088401</v>
      </c>
      <c r="G15" s="1" cm="1">
        <f t="array" ref="G15">_xlfn.QUARTILE.INC(IF(Quartile_L[[#This Row],[Industry]]=Main_L[Industry],Main_L[P/B]),3)</f>
        <v>8.5405582880081621</v>
      </c>
      <c r="H15" s="1">
        <f>Quartile_L[[#This Row],[P/B Q1]]-1.5*(Quartile_L[[#This Row],[P/B Q3]]-Quartile_L[[#This Row],[P/B Q1]])</f>
        <v>-5.2091044224901433</v>
      </c>
      <c r="I15" s="1">
        <f>Quartile_L[[#This Row],[P/B Q3]]+1.5*(Quartile_L[[#This Row],[P/B Q3]]-Quartile_L[[#This Row],[P/B Q1]])</f>
        <v>16.790355914307145</v>
      </c>
      <c r="J15" s="1" cm="1">
        <f t="array" ref="J15">_xlfn.QUARTILE.INC(IF(Quartile_L[[#This Row],[Industry]]=Main_L[Industry],Main_L[ROE]),1)</f>
        <v>8.3974999999999991</v>
      </c>
      <c r="K15" s="1" cm="1">
        <f t="array" ref="K15">_xlfn.QUARTILE.INC(IF(Quartile_L[[#This Row],[Industry]]=Main_L[Industry],Main_L[ROE]),3)</f>
        <v>26.282499999999999</v>
      </c>
      <c r="L15" s="1">
        <f>Quartile_L[[#This Row],[ROE Q1]]-1.5*(Quartile_L[[#This Row],[ROE Q3]]-Quartile_L[[#This Row],[ROE Q1]])</f>
        <v>-18.43</v>
      </c>
      <c r="M15" s="1">
        <f>Quartile_L[[#This Row],[ROE Q3]]+1.5*(Quartile_L[[#This Row],[ROE Q3]]-Quartile_L[[#This Row],[ROE Q1]])</f>
        <v>53.11</v>
      </c>
      <c r="N15" s="1" cm="1">
        <f t="array" ref="N15">_xlfn.QUARTILE.INC(IF(Quartile_L[[#This Row],[Industry]]=Main_L[Industry],Main_L[ROA]),1)</f>
        <v>3.8774999999999999</v>
      </c>
      <c r="O15" s="1" cm="1">
        <f t="array" ref="O15">_xlfn.QUARTILE.INC(IF(Quartile_L[[#This Row],[Industry]]=Main_L[Industry],Main_L[ROA]),3)</f>
        <v>7.5175000000000001</v>
      </c>
      <c r="P15" s="1">
        <f>Quartile_L[[#This Row],[ROA Q1]]-1.5*(Quartile_L[[#This Row],[ROA Q3]]-Quartile_L[[#This Row],[ROA Q1]])</f>
        <v>-1.5825</v>
      </c>
      <c r="Q15" s="1">
        <f>Quartile_L[[#This Row],[ROA Q3]]+1.5*(Quartile_L[[#This Row],[ROA Q3]]-Quartile_L[[#This Row],[ROA Q1]])</f>
        <v>12.977499999999999</v>
      </c>
      <c r="R15" s="1" cm="1">
        <f t="array" ref="R15">_xlfn.QUARTILE.INC(IF(Quartile_L[[#This Row],[Industry]]=Main_L[Industry],Main_L[P/E]),1)</f>
        <v>20.338549075391182</v>
      </c>
      <c r="S15" s="1" cm="1">
        <f t="array" ref="S15">_xlfn.QUARTILE.INC(IF(Quartile_L[[#This Row],[Industry]]=Main_L[Industry],Main_L[P/E]),3)</f>
        <v>30.199344978165939</v>
      </c>
      <c r="T15" s="1">
        <f>Quartile_L[[#This Row],[P/E Q1]]-1.5*(Quartile_L[[#This Row],[P/E Q3]]-Quartile_L[[#This Row],[P/E Q1]])</f>
        <v>5.5473552212290453</v>
      </c>
      <c r="U15" s="1">
        <f>Quartile_L[[#This Row],[P/E Q3]]+1.5*(Quartile_L[[#This Row],[P/E Q3]]-Quartile_L[[#This Row],[P/E Q1]])</f>
        <v>44.990538832328077</v>
      </c>
      <c r="V15" s="1" cm="1">
        <f t="array" ref="V15">_xlfn.QUARTILE.INC(IF(Quartile_L[[#This Row],[Industry]]=Main_L[Industry],Main_L[A/E]),1)</f>
        <v>1.7275</v>
      </c>
      <c r="W15" s="1" cm="1">
        <f t="array" ref="W15">_xlfn.QUARTILE.INC(IF(Quartile_L[[#This Row],[Industry]]=Main_L[Industry],Main_L[A/E]),3)</f>
        <v>3.1524999999999999</v>
      </c>
      <c r="X15" s="1">
        <f>Quartile_L[[#This Row],[A/E Q1]]-1.5*(Quartile_L[[#This Row],[A/E Q3]]-Quartile_L[[#This Row],[A/E Q1]])</f>
        <v>-0.4099999999999997</v>
      </c>
      <c r="Y15" s="1">
        <f>Quartile_L[[#This Row],[A/E Q3]]+1.5*(Quartile_L[[#This Row],[A/E Q3]]-Quartile_L[[#This Row],[A/E Q1]])</f>
        <v>5.2899999999999991</v>
      </c>
    </row>
    <row r="16" spans="1:25" x14ac:dyDescent="0.25">
      <c r="A16" t="s">
        <v>250</v>
      </c>
      <c r="B16" s="1" cm="1">
        <f t="array" ref="B16">_xlfn.QUARTILE.INC(IF(Quartile_L[[#This Row],[Industry]]=Main_L[Industry],Main_L[P/FCF]),1)</f>
        <v>262.13414634146341</v>
      </c>
      <c r="C16" s="1" cm="1">
        <f t="array" ref="C16">_xlfn.QUARTILE.INC(IF(Quartile_L[[#This Row],[Industry]]=Main_L[Industry],Main_L[P/FCF]),3)</f>
        <v>262.13414634146341</v>
      </c>
      <c r="D16" s="1">
        <f>Quartile_L[[#This Row],[P/FCF Q1]]-1.5*(Quartile_L[[#This Row],[P/FCF Q3]]-Quartile_L[[#This Row],[P/FCF Q1]])</f>
        <v>262.13414634146341</v>
      </c>
      <c r="E16" s="1">
        <f>Quartile_L[[#This Row],[P/FCF Q3]]+1.5*(Quartile_L[[#This Row],[P/FCF Q3]]-Quartile_L[[#This Row],[P/FCF Q1]])</f>
        <v>262.13414634146341</v>
      </c>
      <c r="F16" s="1" cm="1">
        <f t="array" ref="F16">_xlfn.QUARTILE.INC(IF(Quartile_L[[#This Row],[Industry]]=Main_L[Industry],Main_L[P/B]),1)</f>
        <v>88.82231404958678</v>
      </c>
      <c r="G16" s="1" cm="1">
        <f t="array" ref="G16">_xlfn.QUARTILE.INC(IF(Quartile_L[[#This Row],[Industry]]=Main_L[Industry],Main_L[P/B]),3)</f>
        <v>88.82231404958678</v>
      </c>
      <c r="H16" s="1">
        <f>Quartile_L[[#This Row],[P/B Q1]]-1.5*(Quartile_L[[#This Row],[P/B Q3]]-Quartile_L[[#This Row],[P/B Q1]])</f>
        <v>88.82231404958678</v>
      </c>
      <c r="I16" s="1">
        <f>Quartile_L[[#This Row],[P/B Q3]]+1.5*(Quartile_L[[#This Row],[P/B Q3]]-Quartile_L[[#This Row],[P/B Q1]])</f>
        <v>88.82231404958678</v>
      </c>
      <c r="J16" s="1" cm="1">
        <f t="array" ref="J16">_xlfn.QUARTILE.INC(IF(Quartile_L[[#This Row],[Industry]]=Main_L[Industry],Main_L[ROE]),1)</f>
        <v>36.65</v>
      </c>
      <c r="K16" s="1" cm="1">
        <f t="array" ref="K16">_xlfn.QUARTILE.INC(IF(Quartile_L[[#This Row],[Industry]]=Main_L[Industry],Main_L[ROE]),3)</f>
        <v>36.65</v>
      </c>
      <c r="L16" s="1">
        <f>Quartile_L[[#This Row],[ROE Q1]]-1.5*(Quartile_L[[#This Row],[ROE Q3]]-Quartile_L[[#This Row],[ROE Q1]])</f>
        <v>36.65</v>
      </c>
      <c r="M16" s="1">
        <f>Quartile_L[[#This Row],[ROE Q3]]+1.5*(Quartile_L[[#This Row],[ROE Q3]]-Quartile_L[[#This Row],[ROE Q1]])</f>
        <v>36.65</v>
      </c>
      <c r="N16" s="1" cm="1">
        <f t="array" ref="N16">_xlfn.QUARTILE.INC(IF(Quartile_L[[#This Row],[Industry]]=Main_L[Industry],Main_L[ROA]),1)</f>
        <v>12.76</v>
      </c>
      <c r="O16" s="1" cm="1">
        <f t="array" ref="O16">_xlfn.QUARTILE.INC(IF(Quartile_L[[#This Row],[Industry]]=Main_L[Industry],Main_L[ROA]),3)</f>
        <v>12.76</v>
      </c>
      <c r="P16" s="1">
        <f>Quartile_L[[#This Row],[ROA Q1]]-1.5*(Quartile_L[[#This Row],[ROA Q3]]-Quartile_L[[#This Row],[ROA Q1]])</f>
        <v>12.76</v>
      </c>
      <c r="Q16" s="1">
        <f>Quartile_L[[#This Row],[ROA Q3]]+1.5*(Quartile_L[[#This Row],[ROA Q3]]-Quartile_L[[#This Row],[ROA Q1]])</f>
        <v>12.76</v>
      </c>
      <c r="R16" s="1" cm="1">
        <f t="array" ref="R16">_xlfn.QUARTILE.INC(IF(Quartile_L[[#This Row],[Industry]]=Main_L[Industry],Main_L[P/E]),1)</f>
        <v>249.94186046511626</v>
      </c>
      <c r="S16" s="1" cm="1">
        <f t="array" ref="S16">_xlfn.QUARTILE.INC(IF(Quartile_L[[#This Row],[Industry]]=Main_L[Industry],Main_L[P/E]),3)</f>
        <v>249.94186046511626</v>
      </c>
      <c r="T16" s="1">
        <f>Quartile_L[[#This Row],[P/E Q1]]-1.5*(Quartile_L[[#This Row],[P/E Q3]]-Quartile_L[[#This Row],[P/E Q1]])</f>
        <v>249.94186046511626</v>
      </c>
      <c r="U16" s="1">
        <f>Quartile_L[[#This Row],[P/E Q3]]+1.5*(Quartile_L[[#This Row],[P/E Q3]]-Quartile_L[[#This Row],[P/E Q1]])</f>
        <v>249.94186046511626</v>
      </c>
      <c r="V16" s="1" cm="1">
        <f t="array" ref="V16">_xlfn.QUARTILE.INC(IF(Quartile_L[[#This Row],[Industry]]=Main_L[Industry],Main_L[A/E]),1)</f>
        <v>3.36</v>
      </c>
      <c r="W16" s="1" cm="1">
        <f t="array" ref="W16">_xlfn.QUARTILE.INC(IF(Quartile_L[[#This Row],[Industry]]=Main_L[Industry],Main_L[A/E]),3)</f>
        <v>3.36</v>
      </c>
      <c r="X16" s="1">
        <f>Quartile_L[[#This Row],[A/E Q1]]-1.5*(Quartile_L[[#This Row],[A/E Q3]]-Quartile_L[[#This Row],[A/E Q1]])</f>
        <v>3.36</v>
      </c>
      <c r="Y16" s="1">
        <f>Quartile_L[[#This Row],[A/E Q3]]+1.5*(Quartile_L[[#This Row],[A/E Q3]]-Quartile_L[[#This Row],[A/E Q1]])</f>
        <v>3.36</v>
      </c>
    </row>
    <row r="19" spans="1:25" x14ac:dyDescent="0.25">
      <c r="A19" t="s">
        <v>22</v>
      </c>
    </row>
    <row r="20" spans="1:25" x14ac:dyDescent="0.25">
      <c r="A20" t="s">
        <v>1</v>
      </c>
      <c r="B20" t="s">
        <v>2</v>
      </c>
      <c r="C20" t="s">
        <v>3</v>
      </c>
      <c r="D20" t="s">
        <v>4</v>
      </c>
      <c r="E20" t="s">
        <v>5</v>
      </c>
      <c r="F20" t="s">
        <v>72</v>
      </c>
      <c r="G20" t="s">
        <v>73</v>
      </c>
      <c r="H20" t="s">
        <v>74</v>
      </c>
      <c r="I20" t="s">
        <v>75</v>
      </c>
      <c r="J20" t="s">
        <v>6</v>
      </c>
      <c r="K20" t="s">
        <v>7</v>
      </c>
      <c r="L20" t="s">
        <v>8</v>
      </c>
      <c r="M20" t="s">
        <v>9</v>
      </c>
      <c r="N20" t="s">
        <v>10</v>
      </c>
      <c r="O20" t="s">
        <v>11</v>
      </c>
      <c r="P20" t="s">
        <v>12</v>
      </c>
      <c r="Q20" t="s">
        <v>13</v>
      </c>
      <c r="R20" t="s">
        <v>14</v>
      </c>
      <c r="S20" t="s">
        <v>15</v>
      </c>
      <c r="T20" t="s">
        <v>16</v>
      </c>
      <c r="U20" t="s">
        <v>17</v>
      </c>
      <c r="V20" t="s">
        <v>18</v>
      </c>
      <c r="W20" t="s">
        <v>19</v>
      </c>
      <c r="X20" t="s">
        <v>20</v>
      </c>
      <c r="Y20" t="s">
        <v>21</v>
      </c>
    </row>
    <row r="21" spans="1:25" x14ac:dyDescent="0.25">
      <c r="A21" t="s">
        <v>105</v>
      </c>
      <c r="B21" s="1" cm="1">
        <f t="array" ref="B21">_xlfn.QUARTILE.INC(IF(Quartile_M[[#This Row],[Industry]]=Main_M[Industry],Main_M[P/FCF]),1)</f>
        <v>-84.791517517136327</v>
      </c>
      <c r="C21" s="1" cm="1">
        <f t="array" ref="C21">_xlfn.QUARTILE.INC(IF(Quartile_M[[#This Row],[Industry]]=Main_M[Industry],Main_M[P/FCF]),3)</f>
        <v>36.124793160507451</v>
      </c>
      <c r="D21" s="1">
        <f>Quartile_M[[#This Row],[P/FCF Q1]]-1.5*(Quartile_M[[#This Row],[P/FCF Q3]]-Quartile_M[[#This Row],[P/FCF Q1]])</f>
        <v>-266.165983533602</v>
      </c>
      <c r="E21" s="1">
        <f>Quartile_M[[#This Row],[P/FCF Q3]]+1.5*(Quartile_M[[#This Row],[P/FCF Q3]]-Quartile_M[[#This Row],[P/FCF Q1]])</f>
        <v>217.49925917697311</v>
      </c>
      <c r="F21" s="1" cm="1">
        <f t="array" ref="F21">_xlfn.QUARTILE.INC(IF(Quartile_M[[#This Row],[Industry]]=Main_M[Industry],Main_M[P/B]),1)</f>
        <v>2.0469845096201063</v>
      </c>
      <c r="G21" s="1" cm="1">
        <f t="array" ref="G21">_xlfn.QUARTILE.INC(IF(Quartile_M[[#This Row],[Industry]]=Main_M[Industry],Main_M[P/B]),3)</f>
        <v>7.0092041825018203</v>
      </c>
      <c r="H21" s="1">
        <f>Quartile_M[[#This Row],[P/B Q1]]-1.5*(Quartile_M[[#This Row],[P/B Q3]]-Quartile_M[[#This Row],[P/B Q1]])</f>
        <v>-5.3963449997024648</v>
      </c>
      <c r="I21" s="1">
        <f>Quartile_M[[#This Row],[P/B Q3]]+1.5*(Quartile_M[[#This Row],[P/B Q3]]-Quartile_M[[#This Row],[P/B Q1]])</f>
        <v>14.452533691824392</v>
      </c>
      <c r="J21" s="1" cm="1">
        <f t="array" ref="J21">_xlfn.QUARTILE.INC(IF(Quartile_M[[#This Row],[Industry]]=Main_M[Industry],Main_M[ROE]),1)</f>
        <v>-0.21999999999999997</v>
      </c>
      <c r="K21" s="1" cm="1">
        <f t="array" ref="K21">_xlfn.QUARTILE.INC(IF(Quartile_M[[#This Row],[Industry]]=Main_M[Industry],Main_M[ROE]),3)</f>
        <v>11.565</v>
      </c>
      <c r="L21" s="1">
        <f>Quartile_M[[#This Row],[ROE Q1]]-1.5*(Quartile_M[[#This Row],[ROE Q3]]-Quartile_M[[#This Row],[ROE Q1]])</f>
        <v>-17.897500000000001</v>
      </c>
      <c r="M21" s="1">
        <f>Quartile_M[[#This Row],[ROE Q3]]+1.5*(Quartile_M[[#This Row],[ROE Q3]]-Quartile_M[[#This Row],[ROE Q1]])</f>
        <v>29.2425</v>
      </c>
      <c r="N21" s="1" cm="1">
        <f t="array" ref="N21">_xlfn.QUARTILE.INC(IF(Quartile_M[[#This Row],[Industry]]=Main_M[Industry],Main_M[ROA]),1)</f>
        <v>1.65</v>
      </c>
      <c r="O21" s="1" cm="1">
        <f t="array" ref="O21">_xlfn.QUARTILE.INC(IF(Quartile_M[[#This Row],[Industry]]=Main_M[Industry],Main_M[ROA]),3)</f>
        <v>4.8949999999999996</v>
      </c>
      <c r="P21" s="1">
        <f>Quartile_M[[#This Row],[ROA Q1]]-1.5*(Quartile_M[[#This Row],[ROA Q3]]-Quartile_M[[#This Row],[ROA Q1]])</f>
        <v>-3.2174999999999998</v>
      </c>
      <c r="Q21" s="1">
        <f>Quartile_M[[#This Row],[ROA Q3]]+1.5*(Quartile_M[[#This Row],[ROA Q3]]-Quartile_M[[#This Row],[ROA Q1]])</f>
        <v>9.7624999999999993</v>
      </c>
      <c r="R21" s="1" cm="1">
        <f t="array" ref="R21">_xlfn.QUARTILE.INC(IF(Quartile_M[[#This Row],[Industry]]=Main_M[Industry],Main_M[P/E]),1)</f>
        <v>-6.4058856705786003</v>
      </c>
      <c r="S21" s="1" cm="1">
        <f t="array" ref="S21">_xlfn.QUARTILE.INC(IF(Quartile_M[[#This Row],[Industry]]=Main_M[Industry],Main_M[P/E]),3)</f>
        <v>136.19963369963369</v>
      </c>
      <c r="T21" s="1">
        <f>Quartile_M[[#This Row],[P/E Q1]]-1.5*(Quartile_M[[#This Row],[P/E Q3]]-Quartile_M[[#This Row],[P/E Q1]])</f>
        <v>-220.31416472589709</v>
      </c>
      <c r="U21" s="1">
        <f>Quartile_M[[#This Row],[P/E Q3]]+1.5*(Quartile_M[[#This Row],[P/E Q3]]-Quartile_M[[#This Row],[P/E Q1]])</f>
        <v>350.10791275495217</v>
      </c>
      <c r="V21" s="1" cm="1">
        <f t="array" ref="V21">_xlfn.QUARTILE.INC(IF(Quartile_M[[#This Row],[Industry]]=Main_M[Industry],Main_M[A/E]),1)</f>
        <v>1.385</v>
      </c>
      <c r="W21" s="1" cm="1">
        <f t="array" ref="W21">_xlfn.QUARTILE.INC(IF(Quartile_M[[#This Row],[Industry]]=Main_M[Industry],Main_M[A/E]),3)</f>
        <v>2.6950000000000003</v>
      </c>
      <c r="X21" s="1">
        <f>Quartile_M[[#This Row],[A/E Q1]]-1.5*(Quartile_M[[#This Row],[A/E Q3]]-Quartile_M[[#This Row],[A/E Q1]])</f>
        <v>-0.58000000000000029</v>
      </c>
      <c r="Y21" s="1">
        <f>Quartile_M[[#This Row],[A/E Q3]]+1.5*(Quartile_M[[#This Row],[A/E Q3]]-Quartile_M[[#This Row],[A/E Q1]])</f>
        <v>4.66</v>
      </c>
    </row>
    <row r="22" spans="1:25" x14ac:dyDescent="0.25">
      <c r="A22" t="s">
        <v>122</v>
      </c>
      <c r="B22" s="1" cm="1">
        <f t="array" ref="B22">_xlfn.QUARTILE.INC(IF(Quartile_M[[#This Row],[Industry]]=Main_M[Industry],Main_M[P/FCF]),1)</f>
        <v>12.039701378254211</v>
      </c>
      <c r="C22" s="1" cm="1">
        <f t="array" ref="C22">_xlfn.QUARTILE.INC(IF(Quartile_M[[#This Row],[Industry]]=Main_M[Industry],Main_M[P/FCF]),3)</f>
        <v>35.688988276584851</v>
      </c>
      <c r="D22" s="1">
        <f>Quartile_M[[#This Row],[P/FCF Q1]]-1.5*(Quartile_M[[#This Row],[P/FCF Q3]]-Quartile_M[[#This Row],[P/FCF Q1]])</f>
        <v>-23.434228969241747</v>
      </c>
      <c r="E22" s="1">
        <f>Quartile_M[[#This Row],[P/FCF Q3]]+1.5*(Quartile_M[[#This Row],[P/FCF Q3]]-Quartile_M[[#This Row],[P/FCF Q1]])</f>
        <v>71.162918624080817</v>
      </c>
      <c r="F22" s="1" cm="1">
        <f t="array" ref="F22">_xlfn.QUARTILE.INC(IF(Quartile_M[[#This Row],[Industry]]=Main_M[Industry],Main_M[P/B]),1)</f>
        <v>2.8342584133535764</v>
      </c>
      <c r="G22" s="1" cm="1">
        <f t="array" ref="G22">_xlfn.QUARTILE.INC(IF(Quartile_M[[#This Row],[Industry]]=Main_M[Industry],Main_M[P/B]),3)</f>
        <v>6.8306474935657224</v>
      </c>
      <c r="H22" s="1">
        <f>Quartile_M[[#This Row],[P/B Q1]]-1.5*(Quartile_M[[#This Row],[P/B Q3]]-Quartile_M[[#This Row],[P/B Q1]])</f>
        <v>-3.1603252069646421</v>
      </c>
      <c r="I22" s="1">
        <f>Quartile_M[[#This Row],[P/B Q3]]+1.5*(Quartile_M[[#This Row],[P/B Q3]]-Quartile_M[[#This Row],[P/B Q1]])</f>
        <v>12.825231113883941</v>
      </c>
      <c r="J22" s="1" cm="1">
        <f t="array" ref="J22">_xlfn.QUARTILE.INC(IF(Quartile_M[[#This Row],[Industry]]=Main_M[Industry],Main_M[ROE]),1)</f>
        <v>11.524999999999999</v>
      </c>
      <c r="K22" s="1" cm="1">
        <f t="array" ref="K22">_xlfn.QUARTILE.INC(IF(Quartile_M[[#This Row],[Industry]]=Main_M[Industry],Main_M[ROE]),3)</f>
        <v>28.202500000000001</v>
      </c>
      <c r="L22" s="1">
        <f>Quartile_M[[#This Row],[ROE Q1]]-1.5*(Quartile_M[[#This Row],[ROE Q3]]-Quartile_M[[#This Row],[ROE Q1]])</f>
        <v>-13.491250000000004</v>
      </c>
      <c r="M22" s="1">
        <f>Quartile_M[[#This Row],[ROE Q3]]+1.5*(Quartile_M[[#This Row],[ROE Q3]]-Quartile_M[[#This Row],[ROE Q1]])</f>
        <v>53.21875</v>
      </c>
      <c r="N22" s="1" cm="1">
        <f t="array" ref="N22">_xlfn.QUARTILE.INC(IF(Quartile_M[[#This Row],[Industry]]=Main_M[Industry],Main_M[ROA]),1)</f>
        <v>6.79</v>
      </c>
      <c r="O22" s="1" cm="1">
        <f t="array" ref="O22">_xlfn.QUARTILE.INC(IF(Quartile_M[[#This Row],[Industry]]=Main_M[Industry],Main_M[ROA]),3)</f>
        <v>12.254999999999999</v>
      </c>
      <c r="P22" s="1">
        <f>Quartile_M[[#This Row],[ROA Q1]]-1.5*(Quartile_M[[#This Row],[ROA Q3]]-Quartile_M[[#This Row],[ROA Q1]])</f>
        <v>-1.407499999999998</v>
      </c>
      <c r="Q22" s="1">
        <f>Quartile_M[[#This Row],[ROA Q3]]+1.5*(Quartile_M[[#This Row],[ROA Q3]]-Quartile_M[[#This Row],[ROA Q1]])</f>
        <v>20.452499999999997</v>
      </c>
      <c r="R22" s="1" cm="1">
        <f t="array" ref="R22">_xlfn.QUARTILE.INC(IF(Quartile_M[[#This Row],[Industry]]=Main_M[Industry],Main_M[P/E]),1)</f>
        <v>20.392049382485375</v>
      </c>
      <c r="S22" s="1" cm="1">
        <f t="array" ref="S22">_xlfn.QUARTILE.INC(IF(Quartile_M[[#This Row],[Industry]]=Main_M[Industry],Main_M[P/E]),3)</f>
        <v>39.358662214885953</v>
      </c>
      <c r="T22" s="1">
        <f>Quartile_M[[#This Row],[P/E Q1]]-1.5*(Quartile_M[[#This Row],[P/E Q3]]-Quartile_M[[#This Row],[P/E Q1]])</f>
        <v>-8.0578698661154924</v>
      </c>
      <c r="U22" s="1">
        <f>Quartile_M[[#This Row],[P/E Q3]]+1.5*(Quartile_M[[#This Row],[P/E Q3]]-Quartile_M[[#This Row],[P/E Q1]])</f>
        <v>67.808581463486817</v>
      </c>
      <c r="V22" s="1" cm="1">
        <f t="array" ref="V22">_xlfn.QUARTILE.INC(IF(Quartile_M[[#This Row],[Industry]]=Main_M[Industry],Main_M[A/E]),1)</f>
        <v>1.5675000000000001</v>
      </c>
      <c r="W22" s="1" cm="1">
        <f t="array" ref="W22">_xlfn.QUARTILE.INC(IF(Quartile_M[[#This Row],[Industry]]=Main_M[Industry],Main_M[A/E]),3)</f>
        <v>2.375</v>
      </c>
      <c r="X22" s="1">
        <f>Quartile_M[[#This Row],[A/E Q1]]-1.5*(Quartile_M[[#This Row],[A/E Q3]]-Quartile_M[[#This Row],[A/E Q1]])</f>
        <v>0.3562500000000004</v>
      </c>
      <c r="Y22" s="1">
        <f>Quartile_M[[#This Row],[A/E Q3]]+1.5*(Quartile_M[[#This Row],[A/E Q3]]-Quartile_M[[#This Row],[A/E Q1]])</f>
        <v>3.5862499999999997</v>
      </c>
    </row>
    <row r="23" spans="1:25" x14ac:dyDescent="0.25">
      <c r="A23" t="s">
        <v>135</v>
      </c>
      <c r="B23" s="1" cm="1">
        <f t="array" ref="B23">_xlfn.QUARTILE.INC(IF(Quartile_M[[#This Row],[Industry]]=Main_M[Industry],Main_M[P/FCF]),1)</f>
        <v>12.684444444444445</v>
      </c>
      <c r="C23" s="1" cm="1">
        <f t="array" ref="C23">_xlfn.QUARTILE.INC(IF(Quartile_M[[#This Row],[Industry]]=Main_M[Industry],Main_M[P/FCF]),3)</f>
        <v>26.890343698854338</v>
      </c>
      <c r="D23" s="1">
        <f>Quartile_M[[#This Row],[P/FCF Q1]]-1.5*(Quartile_M[[#This Row],[P/FCF Q3]]-Quartile_M[[#This Row],[P/FCF Q1]])</f>
        <v>-8.6244044371703943</v>
      </c>
      <c r="E23" s="1">
        <f>Quartile_M[[#This Row],[P/FCF Q3]]+1.5*(Quartile_M[[#This Row],[P/FCF Q3]]-Quartile_M[[#This Row],[P/FCF Q1]])</f>
        <v>48.199192580469173</v>
      </c>
      <c r="F23" s="1" cm="1">
        <f t="array" ref="F23">_xlfn.QUARTILE.INC(IF(Quartile_M[[#This Row],[Industry]]=Main_M[Industry],Main_M[P/B]),1)</f>
        <v>3.768485915492958</v>
      </c>
      <c r="G23" s="1" cm="1">
        <f t="array" ref="G23">_xlfn.QUARTILE.INC(IF(Quartile_M[[#This Row],[Industry]]=Main_M[Industry],Main_M[P/B]),3)</f>
        <v>6.8004649360712905</v>
      </c>
      <c r="H23" s="1">
        <f>Quartile_M[[#This Row],[P/B Q1]]-1.5*(Quartile_M[[#This Row],[P/B Q3]]-Quartile_M[[#This Row],[P/B Q1]])</f>
        <v>-0.77948261537454044</v>
      </c>
      <c r="I23" s="1">
        <f>Quartile_M[[#This Row],[P/B Q3]]+1.5*(Quartile_M[[#This Row],[P/B Q3]]-Quartile_M[[#This Row],[P/B Q1]])</f>
        <v>11.34843346693879</v>
      </c>
      <c r="J23" s="1" cm="1">
        <f t="array" ref="J23">_xlfn.QUARTILE.INC(IF(Quartile_M[[#This Row],[Industry]]=Main_M[Industry],Main_M[ROE]),1)</f>
        <v>8.41</v>
      </c>
      <c r="K23" s="1" cm="1">
        <f t="array" ref="K23">_xlfn.QUARTILE.INC(IF(Quartile_M[[#This Row],[Industry]]=Main_M[Industry],Main_M[ROE]),3)</f>
        <v>32.92</v>
      </c>
      <c r="L23" s="1">
        <f>Quartile_M[[#This Row],[ROE Q1]]-1.5*(Quartile_M[[#This Row],[ROE Q3]]-Quartile_M[[#This Row],[ROE Q1]])</f>
        <v>-28.355</v>
      </c>
      <c r="M23" s="1">
        <f>Quartile_M[[#This Row],[ROE Q3]]+1.5*(Quartile_M[[#This Row],[ROE Q3]]-Quartile_M[[#This Row],[ROE Q1]])</f>
        <v>69.685000000000002</v>
      </c>
      <c r="N23" s="1" cm="1">
        <f t="array" ref="N23">_xlfn.QUARTILE.INC(IF(Quartile_M[[#This Row],[Industry]]=Main_M[Industry],Main_M[ROA]),1)</f>
        <v>4.38</v>
      </c>
      <c r="O23" s="1" cm="1">
        <f t="array" ref="O23">_xlfn.QUARTILE.INC(IF(Quartile_M[[#This Row],[Industry]]=Main_M[Industry],Main_M[ROA]),3)</f>
        <v>9.07</v>
      </c>
      <c r="P23" s="1">
        <f>Quartile_M[[#This Row],[ROA Q1]]-1.5*(Quartile_M[[#This Row],[ROA Q3]]-Quartile_M[[#This Row],[ROA Q1]])</f>
        <v>-2.6550000000000002</v>
      </c>
      <c r="Q23" s="1">
        <f>Quartile_M[[#This Row],[ROA Q3]]+1.5*(Quartile_M[[#This Row],[ROA Q3]]-Quartile_M[[#This Row],[ROA Q1]])</f>
        <v>16.105</v>
      </c>
      <c r="R23" s="1" cm="1">
        <f t="array" ref="R23">_xlfn.QUARTILE.INC(IF(Quartile_M[[#This Row],[Industry]]=Main_M[Industry],Main_M[P/E]),1)</f>
        <v>20.299734748010611</v>
      </c>
      <c r="S23" s="1" cm="1">
        <f t="array" ref="S23">_xlfn.QUARTILE.INC(IF(Quartile_M[[#This Row],[Industry]]=Main_M[Industry],Main_M[P/E]),3)</f>
        <v>47.382198952879584</v>
      </c>
      <c r="T23" s="1">
        <f>Quartile_M[[#This Row],[P/E Q1]]-1.5*(Quartile_M[[#This Row],[P/E Q3]]-Quartile_M[[#This Row],[P/E Q1]])</f>
        <v>-20.323961559292851</v>
      </c>
      <c r="U23" s="1">
        <f>Quartile_M[[#This Row],[P/E Q3]]+1.5*(Quartile_M[[#This Row],[P/E Q3]]-Quartile_M[[#This Row],[P/E Q1]])</f>
        <v>88.005895260183053</v>
      </c>
      <c r="V23" s="1" cm="1">
        <f t="array" ref="V23">_xlfn.QUARTILE.INC(IF(Quartile_M[[#This Row],[Industry]]=Main_M[Industry],Main_M[A/E]),1)</f>
        <v>2.35</v>
      </c>
      <c r="W23" s="1" cm="1">
        <f t="array" ref="W23">_xlfn.QUARTILE.INC(IF(Quartile_M[[#This Row],[Industry]]=Main_M[Industry],Main_M[A/E]),3)</f>
        <v>2.93</v>
      </c>
      <c r="X23" s="1">
        <f>Quartile_M[[#This Row],[A/E Q1]]-1.5*(Quartile_M[[#This Row],[A/E Q3]]-Quartile_M[[#This Row],[A/E Q1]])</f>
        <v>1.48</v>
      </c>
      <c r="Y23" s="1">
        <f>Quartile_M[[#This Row],[A/E Q3]]+1.5*(Quartile_M[[#This Row],[A/E Q3]]-Quartile_M[[#This Row],[A/E Q1]])</f>
        <v>3.8000000000000003</v>
      </c>
    </row>
    <row r="24" spans="1:25" x14ac:dyDescent="0.25">
      <c r="A24" t="s">
        <v>142</v>
      </c>
      <c r="B24" s="1" cm="1">
        <f t="array" ref="B24">_xlfn.QUARTILE.INC(IF(Quartile_M[[#This Row],[Industry]]=Main_M[Industry],Main_M[P/FCF]),1)</f>
        <v>12.415103523156986</v>
      </c>
      <c r="C24" s="1" cm="1">
        <f t="array" ref="C24">_xlfn.QUARTILE.INC(IF(Quartile_M[[#This Row],[Industry]]=Main_M[Industry],Main_M[P/FCF]),3)</f>
        <v>24.525082573712673</v>
      </c>
      <c r="D24" s="1">
        <f>Quartile_M[[#This Row],[P/FCF Q1]]-1.5*(Quartile_M[[#This Row],[P/FCF Q3]]-Quartile_M[[#This Row],[P/FCF Q1]])</f>
        <v>-5.7498650526765438</v>
      </c>
      <c r="E24" s="1">
        <f>Quartile_M[[#This Row],[P/FCF Q3]]+1.5*(Quartile_M[[#This Row],[P/FCF Q3]]-Quartile_M[[#This Row],[P/FCF Q1]])</f>
        <v>42.690051149546207</v>
      </c>
      <c r="F24" s="1" cm="1">
        <f t="array" ref="F24">_xlfn.QUARTILE.INC(IF(Quartile_M[[#This Row],[Industry]]=Main_M[Industry],Main_M[P/B]),1)</f>
        <v>1.8734265153771248</v>
      </c>
      <c r="G24" s="1" cm="1">
        <f t="array" ref="G24">_xlfn.QUARTILE.INC(IF(Quartile_M[[#This Row],[Industry]]=Main_M[Industry],Main_M[P/B]),3)</f>
        <v>4.5153232091734763</v>
      </c>
      <c r="H24" s="1">
        <f>Quartile_M[[#This Row],[P/B Q1]]-1.5*(Quartile_M[[#This Row],[P/B Q3]]-Quartile_M[[#This Row],[P/B Q1]])</f>
        <v>-2.0894185253174027</v>
      </c>
      <c r="I24" s="1">
        <f>Quartile_M[[#This Row],[P/B Q3]]+1.5*(Quartile_M[[#This Row],[P/B Q3]]-Quartile_M[[#This Row],[P/B Q1]])</f>
        <v>8.4781682498680038</v>
      </c>
      <c r="J24" s="1" cm="1">
        <f t="array" ref="J24">_xlfn.QUARTILE.INC(IF(Quartile_M[[#This Row],[Industry]]=Main_M[Industry],Main_M[ROE]),1)</f>
        <v>4.0350000000000001</v>
      </c>
      <c r="K24" s="1" cm="1">
        <f t="array" ref="K24">_xlfn.QUARTILE.INC(IF(Quartile_M[[#This Row],[Industry]]=Main_M[Industry],Main_M[ROE]),3)</f>
        <v>21.824999999999999</v>
      </c>
      <c r="L24" s="1">
        <f>Quartile_M[[#This Row],[ROE Q1]]-1.5*(Quartile_M[[#This Row],[ROE Q3]]-Quartile_M[[#This Row],[ROE Q1]])</f>
        <v>-22.65</v>
      </c>
      <c r="M24" s="1">
        <f>Quartile_M[[#This Row],[ROE Q3]]+1.5*(Quartile_M[[#This Row],[ROE Q3]]-Quartile_M[[#This Row],[ROE Q1]])</f>
        <v>48.51</v>
      </c>
      <c r="N24" s="1" cm="1">
        <f t="array" ref="N24">_xlfn.QUARTILE.INC(IF(Quartile_M[[#This Row],[Industry]]=Main_M[Industry],Main_M[ROA]),1)</f>
        <v>3.4450000000000003</v>
      </c>
      <c r="O24" s="1" cm="1">
        <f t="array" ref="O24">_xlfn.QUARTILE.INC(IF(Quartile_M[[#This Row],[Industry]]=Main_M[Industry],Main_M[ROA]),3)</f>
        <v>9.8149999999999995</v>
      </c>
      <c r="P24" s="1">
        <f>Quartile_M[[#This Row],[ROA Q1]]-1.5*(Quartile_M[[#This Row],[ROA Q3]]-Quartile_M[[#This Row],[ROA Q1]])</f>
        <v>-6.1099999999999994</v>
      </c>
      <c r="Q24" s="1">
        <f>Quartile_M[[#This Row],[ROA Q3]]+1.5*(Quartile_M[[#This Row],[ROA Q3]]-Quartile_M[[#This Row],[ROA Q1]])</f>
        <v>19.369999999999997</v>
      </c>
      <c r="R24" s="1" cm="1">
        <f t="array" ref="R24">_xlfn.QUARTILE.INC(IF(Quartile_M[[#This Row],[Industry]]=Main_M[Industry],Main_M[P/E]),1)</f>
        <v>13.634658102123685</v>
      </c>
      <c r="S24" s="1" cm="1">
        <f t="array" ref="S24">_xlfn.QUARTILE.INC(IF(Quartile_M[[#This Row],[Industry]]=Main_M[Industry],Main_M[P/E]),3)</f>
        <v>37.225882352941177</v>
      </c>
      <c r="T24" s="1">
        <f>Quartile_M[[#This Row],[P/E Q1]]-1.5*(Quartile_M[[#This Row],[P/E Q3]]-Quartile_M[[#This Row],[P/E Q1]])</f>
        <v>-21.752178274102548</v>
      </c>
      <c r="U24" s="1">
        <f>Quartile_M[[#This Row],[P/E Q3]]+1.5*(Quartile_M[[#This Row],[P/E Q3]]-Quartile_M[[#This Row],[P/E Q1]])</f>
        <v>72.612718729167412</v>
      </c>
      <c r="V24" s="1" cm="1">
        <f t="array" ref="V24">_xlfn.QUARTILE.INC(IF(Quartile_M[[#This Row],[Industry]]=Main_M[Industry],Main_M[A/E]),1)</f>
        <v>1.85</v>
      </c>
      <c r="W24" s="1" cm="1">
        <f t="array" ref="W24">_xlfn.QUARTILE.INC(IF(Quartile_M[[#This Row],[Industry]]=Main_M[Industry],Main_M[A/E]),3)</f>
        <v>2.1800000000000002</v>
      </c>
      <c r="X24" s="1">
        <f>Quartile_M[[#This Row],[A/E Q1]]-1.5*(Quartile_M[[#This Row],[A/E Q3]]-Quartile_M[[#This Row],[A/E Q1]])</f>
        <v>1.355</v>
      </c>
      <c r="Y24" s="1">
        <f>Quartile_M[[#This Row],[A/E Q3]]+1.5*(Quartile_M[[#This Row],[A/E Q3]]-Quartile_M[[#This Row],[A/E Q1]])</f>
        <v>2.6750000000000003</v>
      </c>
    </row>
    <row r="25" spans="1:25" x14ac:dyDescent="0.25">
      <c r="A25" t="s">
        <v>154</v>
      </c>
      <c r="B25" s="1" cm="1">
        <f t="array" ref="B25">_xlfn.QUARTILE.INC(IF(Quartile_M[[#This Row],[Industry]]=Main_M[Industry],Main_M[P/FCF]),1)</f>
        <v>7.7881355932203391</v>
      </c>
      <c r="C25" s="1" cm="1">
        <f t="array" ref="C25">_xlfn.QUARTILE.INC(IF(Quartile_M[[#This Row],[Industry]]=Main_M[Industry],Main_M[P/FCF]),3)</f>
        <v>7.7881355932203391</v>
      </c>
      <c r="D25" s="1">
        <f>Quartile_M[[#This Row],[P/FCF Q1]]-1.5*(Quartile_M[[#This Row],[P/FCF Q3]]-Quartile_M[[#This Row],[P/FCF Q1]])</f>
        <v>7.7881355932203391</v>
      </c>
      <c r="E25" s="1">
        <f>Quartile_M[[#This Row],[P/FCF Q3]]+1.5*(Quartile_M[[#This Row],[P/FCF Q3]]-Quartile_M[[#This Row],[P/FCF Q1]])</f>
        <v>7.7881355932203391</v>
      </c>
      <c r="F25" s="1" cm="1">
        <f t="array" ref="F25">_xlfn.QUARTILE.INC(IF(Quartile_M[[#This Row],[Industry]]=Main_M[Industry],Main_M[P/B]),1)</f>
        <v>1.482258064516129</v>
      </c>
      <c r="G25" s="1" cm="1">
        <f t="array" ref="G25">_xlfn.QUARTILE.INC(IF(Quartile_M[[#This Row],[Industry]]=Main_M[Industry],Main_M[P/B]),3)</f>
        <v>1.482258064516129</v>
      </c>
      <c r="H25" s="1">
        <f>Quartile_M[[#This Row],[P/B Q1]]-1.5*(Quartile_M[[#This Row],[P/B Q3]]-Quartile_M[[#This Row],[P/B Q1]])</f>
        <v>1.482258064516129</v>
      </c>
      <c r="I25" s="1">
        <f>Quartile_M[[#This Row],[P/B Q3]]+1.5*(Quartile_M[[#This Row],[P/B Q3]]-Quartile_M[[#This Row],[P/B Q1]])</f>
        <v>1.482258064516129</v>
      </c>
      <c r="J25" s="1" cm="1">
        <f t="array" ref="J25">_xlfn.QUARTILE.INC(IF(Quartile_M[[#This Row],[Industry]]=Main_M[Industry],Main_M[ROE]),1)</f>
        <v>-10.14</v>
      </c>
      <c r="K25" s="1" cm="1">
        <f t="array" ref="K25">_xlfn.QUARTILE.INC(IF(Quartile_M[[#This Row],[Industry]]=Main_M[Industry],Main_M[ROE]),3)</f>
        <v>-10.14</v>
      </c>
      <c r="L25" s="1">
        <f>Quartile_M[[#This Row],[ROE Q1]]-1.5*(Quartile_M[[#This Row],[ROE Q3]]-Quartile_M[[#This Row],[ROE Q1]])</f>
        <v>-10.14</v>
      </c>
      <c r="M25" s="1">
        <f>Quartile_M[[#This Row],[ROE Q3]]+1.5*(Quartile_M[[#This Row],[ROE Q3]]-Quartile_M[[#This Row],[ROE Q1]])</f>
        <v>-10.14</v>
      </c>
      <c r="N25" s="1" cm="1">
        <f t="array" ref="N25">_xlfn.QUARTILE.INC(IF(Quartile_M[[#This Row],[Industry]]=Main_M[Industry],Main_M[ROA]),1)</f>
        <v>7.0000000000000007E-2</v>
      </c>
      <c r="O25" s="1" cm="1">
        <f t="array" ref="O25">_xlfn.QUARTILE.INC(IF(Quartile_M[[#This Row],[Industry]]=Main_M[Industry],Main_M[ROA]),3)</f>
        <v>7.0000000000000007E-2</v>
      </c>
      <c r="P25" s="1">
        <f>Quartile_M[[#This Row],[ROA Q1]]-1.5*(Quartile_M[[#This Row],[ROA Q3]]-Quartile_M[[#This Row],[ROA Q1]])</f>
        <v>7.0000000000000007E-2</v>
      </c>
      <c r="Q25" s="1">
        <f>Quartile_M[[#This Row],[ROA Q3]]+1.5*(Quartile_M[[#This Row],[ROA Q3]]-Quartile_M[[#This Row],[ROA Q1]])</f>
        <v>7.0000000000000007E-2</v>
      </c>
      <c r="R25" s="1" cm="1">
        <f t="array" ref="R25">_xlfn.QUARTILE.INC(IF(Quartile_M[[#This Row],[Industry]]=Main_M[Industry],Main_M[P/E]),1)</f>
        <v>-9.7765957446808507</v>
      </c>
      <c r="S25" s="1" cm="1">
        <f t="array" ref="S25">_xlfn.QUARTILE.INC(IF(Quartile_M[[#This Row],[Industry]]=Main_M[Industry],Main_M[P/E]),3)</f>
        <v>-9.7765957446808507</v>
      </c>
      <c r="T25" s="1">
        <f>Quartile_M[[#This Row],[P/E Q1]]-1.5*(Quartile_M[[#This Row],[P/E Q3]]-Quartile_M[[#This Row],[P/E Q1]])</f>
        <v>-9.7765957446808507</v>
      </c>
      <c r="U25" s="1">
        <f>Quartile_M[[#This Row],[P/E Q3]]+1.5*(Quartile_M[[#This Row],[P/E Q3]]-Quartile_M[[#This Row],[P/E Q1]])</f>
        <v>-9.7765957446808507</v>
      </c>
      <c r="V25" s="1" cm="1">
        <f t="array" ref="V25">_xlfn.QUARTILE.INC(IF(Quartile_M[[#This Row],[Industry]]=Main_M[Industry],Main_M[A/E]),1)</f>
        <v>5.0199999999999996</v>
      </c>
      <c r="W25" s="1" cm="1">
        <f t="array" ref="W25">_xlfn.QUARTILE.INC(IF(Quartile_M[[#This Row],[Industry]]=Main_M[Industry],Main_M[A/E]),3)</f>
        <v>5.0199999999999996</v>
      </c>
      <c r="X25" s="1">
        <f>Quartile_M[[#This Row],[A/E Q1]]-1.5*(Quartile_M[[#This Row],[A/E Q3]]-Quartile_M[[#This Row],[A/E Q1]])</f>
        <v>5.0199999999999996</v>
      </c>
      <c r="Y25" s="1">
        <f>Quartile_M[[#This Row],[A/E Q3]]+1.5*(Quartile_M[[#This Row],[A/E Q3]]-Quartile_M[[#This Row],[A/E Q1]])</f>
        <v>5.0199999999999996</v>
      </c>
    </row>
    <row r="26" spans="1:25" x14ac:dyDescent="0.25">
      <c r="A26" t="s">
        <v>157</v>
      </c>
      <c r="B26" s="1" cm="1">
        <f t="array" ref="B26">_xlfn.QUARTILE.INC(IF(Quartile_M[[#This Row],[Industry]]=Main_M[Industry],Main_M[P/FCF]),1)</f>
        <v>15.795691287878787</v>
      </c>
      <c r="C26" s="1" cm="1">
        <f t="array" ref="C26">_xlfn.QUARTILE.INC(IF(Quartile_M[[#This Row],[Industry]]=Main_M[Industry],Main_M[P/FCF]),3)</f>
        <v>28.878849103350639</v>
      </c>
      <c r="D26" s="1">
        <f>Quartile_M[[#This Row],[P/FCF Q1]]-1.5*(Quartile_M[[#This Row],[P/FCF Q3]]-Quartile_M[[#This Row],[P/FCF Q1]])</f>
        <v>-3.8290454353289913</v>
      </c>
      <c r="E26" s="1">
        <f>Quartile_M[[#This Row],[P/FCF Q3]]+1.5*(Quartile_M[[#This Row],[P/FCF Q3]]-Quartile_M[[#This Row],[P/FCF Q1]])</f>
        <v>48.503585826558421</v>
      </c>
      <c r="F26" s="1" cm="1">
        <f t="array" ref="F26">_xlfn.QUARTILE.INC(IF(Quartile_M[[#This Row],[Industry]]=Main_M[Industry],Main_M[P/B]),1)</f>
        <v>2.2185922974767598</v>
      </c>
      <c r="G26" s="1" cm="1">
        <f t="array" ref="G26">_xlfn.QUARTILE.INC(IF(Quartile_M[[#This Row],[Industry]]=Main_M[Industry],Main_M[P/B]),3)</f>
        <v>5.0076571844056845</v>
      </c>
      <c r="H26" s="1">
        <f>Quartile_M[[#This Row],[P/B Q1]]-1.5*(Quartile_M[[#This Row],[P/B Q3]]-Quartile_M[[#This Row],[P/B Q1]])</f>
        <v>-1.9650050329166273</v>
      </c>
      <c r="I26" s="1">
        <f>Quartile_M[[#This Row],[P/B Q3]]+1.5*(Quartile_M[[#This Row],[P/B Q3]]-Quartile_M[[#This Row],[P/B Q1]])</f>
        <v>9.1912545147990716</v>
      </c>
      <c r="J26" s="1" cm="1">
        <f t="array" ref="J26">_xlfn.QUARTILE.INC(IF(Quartile_M[[#This Row],[Industry]]=Main_M[Industry],Main_M[ROE]),1)</f>
        <v>7.5224999999999991</v>
      </c>
      <c r="K26" s="1" cm="1">
        <f t="array" ref="K26">_xlfn.QUARTILE.INC(IF(Quartile_M[[#This Row],[Industry]]=Main_M[Industry],Main_M[ROE]),3)</f>
        <v>18.147500000000001</v>
      </c>
      <c r="L26" s="1">
        <f>Quartile_M[[#This Row],[ROE Q1]]-1.5*(Quartile_M[[#This Row],[ROE Q3]]-Quartile_M[[#This Row],[ROE Q1]])</f>
        <v>-8.4150000000000045</v>
      </c>
      <c r="M26" s="1">
        <f>Quartile_M[[#This Row],[ROE Q3]]+1.5*(Quartile_M[[#This Row],[ROE Q3]]-Quartile_M[[#This Row],[ROE Q1]])</f>
        <v>34.085000000000008</v>
      </c>
      <c r="N26" s="1" cm="1">
        <f t="array" ref="N26">_xlfn.QUARTILE.INC(IF(Quartile_M[[#This Row],[Industry]]=Main_M[Industry],Main_M[ROA]),1)</f>
        <v>4.5824999999999996</v>
      </c>
      <c r="O26" s="1" cm="1">
        <f t="array" ref="O26">_xlfn.QUARTILE.INC(IF(Quartile_M[[#This Row],[Industry]]=Main_M[Industry],Main_M[ROA]),3)</f>
        <v>9.1775000000000002</v>
      </c>
      <c r="P26" s="1">
        <f>Quartile_M[[#This Row],[ROA Q1]]-1.5*(Quartile_M[[#This Row],[ROA Q3]]-Quartile_M[[#This Row],[ROA Q1]])</f>
        <v>-2.3100000000000014</v>
      </c>
      <c r="Q26" s="1">
        <f>Quartile_M[[#This Row],[ROA Q3]]+1.5*(Quartile_M[[#This Row],[ROA Q3]]-Quartile_M[[#This Row],[ROA Q1]])</f>
        <v>16.07</v>
      </c>
      <c r="R26" s="1" cm="1">
        <f t="array" ref="R26">_xlfn.QUARTILE.INC(IF(Quartile_M[[#This Row],[Industry]]=Main_M[Industry],Main_M[P/E]),1)</f>
        <v>16.219681966449208</v>
      </c>
      <c r="S26" s="1" cm="1">
        <f t="array" ref="S26">_xlfn.QUARTILE.INC(IF(Quartile_M[[#This Row],[Industry]]=Main_M[Industry],Main_M[P/E]),3)</f>
        <v>33.909883407103528</v>
      </c>
      <c r="T26" s="1">
        <f>Quartile_M[[#This Row],[P/E Q1]]-1.5*(Quartile_M[[#This Row],[P/E Q3]]-Quartile_M[[#This Row],[P/E Q1]])</f>
        <v>-10.315620194532272</v>
      </c>
      <c r="U26" s="1">
        <f>Quartile_M[[#This Row],[P/E Q3]]+1.5*(Quartile_M[[#This Row],[P/E Q3]]-Quartile_M[[#This Row],[P/E Q1]])</f>
        <v>60.445185568085009</v>
      </c>
      <c r="V26" s="1" cm="1">
        <f t="array" ref="V26">_xlfn.QUARTILE.INC(IF(Quartile_M[[#This Row],[Industry]]=Main_M[Industry],Main_M[A/E]),1)</f>
        <v>1.6500000000000001</v>
      </c>
      <c r="W26" s="1" cm="1">
        <f t="array" ref="W26">_xlfn.QUARTILE.INC(IF(Quartile_M[[#This Row],[Industry]]=Main_M[Industry],Main_M[A/E]),3)</f>
        <v>2.6150000000000002</v>
      </c>
      <c r="X26" s="1">
        <f>Quartile_M[[#This Row],[A/E Q1]]-1.5*(Quartile_M[[#This Row],[A/E Q3]]-Quartile_M[[#This Row],[A/E Q1]])</f>
        <v>0.2024999999999999</v>
      </c>
      <c r="Y26" s="1">
        <f>Quartile_M[[#This Row],[A/E Q3]]+1.5*(Quartile_M[[#This Row],[A/E Q3]]-Quartile_M[[#This Row],[A/E Q1]])</f>
        <v>4.0625</v>
      </c>
    </row>
    <row r="27" spans="1:25" x14ac:dyDescent="0.25">
      <c r="A27" t="s">
        <v>181</v>
      </c>
      <c r="B27" s="1" cm="1">
        <f t="array" ref="B27">_xlfn.QUARTILE.INC(IF(Quartile_M[[#This Row],[Industry]]=Main_M[Industry],Main_M[P/FCF]),1)</f>
        <v>12.162131174265067</v>
      </c>
      <c r="C27" s="1" cm="1">
        <f t="array" ref="C27">_xlfn.QUARTILE.INC(IF(Quartile_M[[#This Row],[Industry]]=Main_M[Industry],Main_M[P/FCF]),3)</f>
        <v>25.452924463603409</v>
      </c>
      <c r="D27" s="1">
        <f>Quartile_M[[#This Row],[P/FCF Q1]]-1.5*(Quartile_M[[#This Row],[P/FCF Q3]]-Quartile_M[[#This Row],[P/FCF Q1]])</f>
        <v>-7.7740587597424486</v>
      </c>
      <c r="E27" s="1">
        <f>Quartile_M[[#This Row],[P/FCF Q3]]+1.5*(Quartile_M[[#This Row],[P/FCF Q3]]-Quartile_M[[#This Row],[P/FCF Q1]])</f>
        <v>45.389114397610925</v>
      </c>
      <c r="F27" s="1" cm="1">
        <f t="array" ref="F27">_xlfn.QUARTILE.INC(IF(Quartile_M[[#This Row],[Industry]]=Main_M[Industry],Main_M[P/B]),1)</f>
        <v>1.7900795337832336</v>
      </c>
      <c r="G27" s="1" cm="1">
        <f t="array" ref="G27">_xlfn.QUARTILE.INC(IF(Quartile_M[[#This Row],[Industry]]=Main_M[Industry],Main_M[P/B]),3)</f>
        <v>3.4639714580251342</v>
      </c>
      <c r="H27" s="1">
        <f>Quartile_M[[#This Row],[P/B Q1]]-1.5*(Quartile_M[[#This Row],[P/B Q3]]-Quartile_M[[#This Row],[P/B Q1]])</f>
        <v>-0.72075835257961751</v>
      </c>
      <c r="I27" s="1">
        <f>Quartile_M[[#This Row],[P/B Q3]]+1.5*(Quartile_M[[#This Row],[P/B Q3]]-Quartile_M[[#This Row],[P/B Q1]])</f>
        <v>5.9748093443879853</v>
      </c>
      <c r="J27" s="1" cm="1">
        <f t="array" ref="J27">_xlfn.QUARTILE.INC(IF(Quartile_M[[#This Row],[Industry]]=Main_M[Industry],Main_M[ROE]),1)</f>
        <v>9.98</v>
      </c>
      <c r="K27" s="1" cm="1">
        <f t="array" ref="K27">_xlfn.QUARTILE.INC(IF(Quartile_M[[#This Row],[Industry]]=Main_M[Industry],Main_M[ROE]),3)</f>
        <v>15.46</v>
      </c>
      <c r="L27" s="1">
        <f>Quartile_M[[#This Row],[ROE Q1]]-1.5*(Quartile_M[[#This Row],[ROE Q3]]-Quartile_M[[#This Row],[ROE Q1]])</f>
        <v>1.7599999999999998</v>
      </c>
      <c r="M27" s="1">
        <f>Quartile_M[[#This Row],[ROE Q3]]+1.5*(Quartile_M[[#This Row],[ROE Q3]]-Quartile_M[[#This Row],[ROE Q1]])</f>
        <v>23.68</v>
      </c>
      <c r="N27" s="1" cm="1">
        <f t="array" ref="N27">_xlfn.QUARTILE.INC(IF(Quartile_M[[#This Row],[Industry]]=Main_M[Industry],Main_M[ROA]),1)</f>
        <v>4.0750000000000002</v>
      </c>
      <c r="O27" s="1" cm="1">
        <f t="array" ref="O27">_xlfn.QUARTILE.INC(IF(Quartile_M[[#This Row],[Industry]]=Main_M[Industry],Main_M[ROA]),3)</f>
        <v>6.9450000000000003</v>
      </c>
      <c r="P27" s="1">
        <f>Quartile_M[[#This Row],[ROA Q1]]-1.5*(Quartile_M[[#This Row],[ROA Q3]]-Quartile_M[[#This Row],[ROA Q1]])</f>
        <v>-0.22999999999999954</v>
      </c>
      <c r="Q27" s="1">
        <f>Quartile_M[[#This Row],[ROA Q3]]+1.5*(Quartile_M[[#This Row],[ROA Q3]]-Quartile_M[[#This Row],[ROA Q1]])</f>
        <v>11.25</v>
      </c>
      <c r="R27" s="1" cm="1">
        <f t="array" ref="R27">_xlfn.QUARTILE.INC(IF(Quartile_M[[#This Row],[Industry]]=Main_M[Industry],Main_M[P/E]),1)</f>
        <v>12.53894450566197</v>
      </c>
      <c r="S27" s="1" cm="1">
        <f t="array" ref="S27">_xlfn.QUARTILE.INC(IF(Quartile_M[[#This Row],[Industry]]=Main_M[Industry],Main_M[P/E]),3)</f>
        <v>24.332481865138725</v>
      </c>
      <c r="T27" s="1">
        <f>Quartile_M[[#This Row],[P/E Q1]]-1.5*(Quartile_M[[#This Row],[P/E Q3]]-Quartile_M[[#This Row],[P/E Q1]])</f>
        <v>-5.1513615335531604</v>
      </c>
      <c r="U27" s="1">
        <f>Quartile_M[[#This Row],[P/E Q3]]+1.5*(Quartile_M[[#This Row],[P/E Q3]]-Quartile_M[[#This Row],[P/E Q1]])</f>
        <v>42.022787904353855</v>
      </c>
      <c r="V27" s="1" cm="1">
        <f t="array" ref="V27">_xlfn.QUARTILE.INC(IF(Quartile_M[[#This Row],[Industry]]=Main_M[Industry],Main_M[A/E]),1)</f>
        <v>1.895</v>
      </c>
      <c r="W27" s="1" cm="1">
        <f t="array" ref="W27">_xlfn.QUARTILE.INC(IF(Quartile_M[[#This Row],[Industry]]=Main_M[Industry],Main_M[A/E]),3)</f>
        <v>3.7850000000000001</v>
      </c>
      <c r="X27" s="1">
        <f>Quartile_M[[#This Row],[A/E Q1]]-1.5*(Quartile_M[[#This Row],[A/E Q3]]-Quartile_M[[#This Row],[A/E Q1]])</f>
        <v>-0.94</v>
      </c>
      <c r="Y27" s="1">
        <f>Quartile_M[[#This Row],[A/E Q3]]+1.5*(Quartile_M[[#This Row],[A/E Q3]]-Quartile_M[[#This Row],[A/E Q1]])</f>
        <v>6.62</v>
      </c>
    </row>
    <row r="28" spans="1:25" x14ac:dyDescent="0.25">
      <c r="A28" t="s">
        <v>191</v>
      </c>
      <c r="B28" s="1" cm="1">
        <f t="array" ref="B28">_xlfn.QUARTILE.INC(IF(Quartile_M[[#This Row],[Industry]]=Main_M[Industry],Main_M[P/FCF]),1)</f>
        <v>12.625692552225249</v>
      </c>
      <c r="C28" s="1" cm="1">
        <f t="array" ref="C28">_xlfn.QUARTILE.INC(IF(Quartile_M[[#This Row],[Industry]]=Main_M[Industry],Main_M[P/FCF]),3)</f>
        <v>26.622093023255815</v>
      </c>
      <c r="D28" s="1">
        <f>Quartile_M[[#This Row],[P/FCF Q1]]-1.5*(Quartile_M[[#This Row],[P/FCF Q3]]-Quartile_M[[#This Row],[P/FCF Q1]])</f>
        <v>-8.3689081543205965</v>
      </c>
      <c r="E28" s="1">
        <f>Quartile_M[[#This Row],[P/FCF Q3]]+1.5*(Quartile_M[[#This Row],[P/FCF Q3]]-Quartile_M[[#This Row],[P/FCF Q1]])</f>
        <v>47.616693729801661</v>
      </c>
      <c r="F28" s="1" cm="1">
        <f t="array" ref="F28">_xlfn.QUARTILE.INC(IF(Quartile_M[[#This Row],[Industry]]=Main_M[Industry],Main_M[P/B]),1)</f>
        <v>2.0420286513077923</v>
      </c>
      <c r="G28" s="1" cm="1">
        <f t="array" ref="G28">_xlfn.QUARTILE.INC(IF(Quartile_M[[#This Row],[Industry]]=Main_M[Industry],Main_M[P/B]),3)</f>
        <v>5.2024989531707986</v>
      </c>
      <c r="H28" s="1">
        <f>Quartile_M[[#This Row],[P/B Q1]]-1.5*(Quartile_M[[#This Row],[P/B Q3]]-Quartile_M[[#This Row],[P/B Q1]])</f>
        <v>-2.6986768014867173</v>
      </c>
      <c r="I28" s="1">
        <f>Quartile_M[[#This Row],[P/B Q3]]+1.5*(Quartile_M[[#This Row],[P/B Q3]]-Quartile_M[[#This Row],[P/B Q1]])</f>
        <v>9.9432044059653073</v>
      </c>
      <c r="J28" s="1" cm="1">
        <f t="array" ref="J28">_xlfn.QUARTILE.INC(IF(Quartile_M[[#This Row],[Industry]]=Main_M[Industry],Main_M[ROE]),1)</f>
        <v>2.9375</v>
      </c>
      <c r="K28" s="1" cm="1">
        <f t="array" ref="K28">_xlfn.QUARTILE.INC(IF(Quartile_M[[#This Row],[Industry]]=Main_M[Industry],Main_M[ROE]),3)</f>
        <v>17.077500000000001</v>
      </c>
      <c r="L28" s="1">
        <f>Quartile_M[[#This Row],[ROE Q1]]-1.5*(Quartile_M[[#This Row],[ROE Q3]]-Quartile_M[[#This Row],[ROE Q1]])</f>
        <v>-18.272500000000001</v>
      </c>
      <c r="M28" s="1">
        <f>Quartile_M[[#This Row],[ROE Q3]]+1.5*(Quartile_M[[#This Row],[ROE Q3]]-Quartile_M[[#This Row],[ROE Q1]])</f>
        <v>38.287500000000001</v>
      </c>
      <c r="N28" s="1" cm="1">
        <f t="array" ref="N28">_xlfn.QUARTILE.INC(IF(Quartile_M[[#This Row],[Industry]]=Main_M[Industry],Main_M[ROA]),1)</f>
        <v>3.82</v>
      </c>
      <c r="O28" s="1" cm="1">
        <f t="array" ref="O28">_xlfn.QUARTILE.INC(IF(Quartile_M[[#This Row],[Industry]]=Main_M[Industry],Main_M[ROA]),3)</f>
        <v>6.7</v>
      </c>
      <c r="P28" s="1">
        <f>Quartile_M[[#This Row],[ROA Q1]]-1.5*(Quartile_M[[#This Row],[ROA Q3]]-Quartile_M[[#This Row],[ROA Q1]])</f>
        <v>-0.50000000000000044</v>
      </c>
      <c r="Q28" s="1">
        <f>Quartile_M[[#This Row],[ROA Q3]]+1.5*(Quartile_M[[#This Row],[ROA Q3]]-Quartile_M[[#This Row],[ROA Q1]])</f>
        <v>11.02</v>
      </c>
      <c r="R28" s="1" cm="1">
        <f t="array" ref="R28">_xlfn.QUARTILE.INC(IF(Quartile_M[[#This Row],[Industry]]=Main_M[Industry],Main_M[P/E]),1)</f>
        <v>19.651348198081411</v>
      </c>
      <c r="S28" s="1" cm="1">
        <f t="array" ref="S28">_xlfn.QUARTILE.INC(IF(Quartile_M[[#This Row],[Industry]]=Main_M[Industry],Main_M[P/E]),3)</f>
        <v>47.443044619422572</v>
      </c>
      <c r="T28" s="1">
        <f>Quartile_M[[#This Row],[P/E Q1]]-1.5*(Quartile_M[[#This Row],[P/E Q3]]-Quartile_M[[#This Row],[P/E Q1]])</f>
        <v>-22.036196433930332</v>
      </c>
      <c r="U28" s="1">
        <f>Quartile_M[[#This Row],[P/E Q3]]+1.5*(Quartile_M[[#This Row],[P/E Q3]]-Quartile_M[[#This Row],[P/E Q1]])</f>
        <v>89.130589251434316</v>
      </c>
      <c r="V28" s="1" cm="1">
        <f t="array" ref="V28">_xlfn.QUARTILE.INC(IF(Quartile_M[[#This Row],[Industry]]=Main_M[Industry],Main_M[A/E]),1)</f>
        <v>1.9</v>
      </c>
      <c r="W28" s="1" cm="1">
        <f t="array" ref="W28">_xlfn.QUARTILE.INC(IF(Quartile_M[[#This Row],[Industry]]=Main_M[Industry],Main_M[A/E]),3)</f>
        <v>2.8775000000000004</v>
      </c>
      <c r="X28" s="1">
        <f>Quartile_M[[#This Row],[A/E Q1]]-1.5*(Quartile_M[[#This Row],[A/E Q3]]-Quartile_M[[#This Row],[A/E Q1]])</f>
        <v>0.43374999999999919</v>
      </c>
      <c r="Y28" s="1">
        <f>Quartile_M[[#This Row],[A/E Q3]]+1.5*(Quartile_M[[#This Row],[A/E Q3]]-Quartile_M[[#This Row],[A/E Q1]])</f>
        <v>4.3437500000000009</v>
      </c>
    </row>
    <row r="29" spans="1:25" x14ac:dyDescent="0.25">
      <c r="A29" t="s">
        <v>204</v>
      </c>
      <c r="B29" s="1" cm="1">
        <f t="array" ref="B29">_xlfn.QUARTILE.INC(IF(Quartile_M[[#This Row],[Industry]]=Main_M[Industry],Main_M[P/FCF]),1)</f>
        <v>12.872013525154212</v>
      </c>
      <c r="C29" s="1" cm="1">
        <f t="array" ref="C29">_xlfn.QUARTILE.INC(IF(Quartile_M[[#This Row],[Industry]]=Main_M[Industry],Main_M[P/FCF]),3)</f>
        <v>26.346954071231561</v>
      </c>
      <c r="D29" s="1">
        <f>Quartile_M[[#This Row],[P/FCF Q1]]-1.5*(Quartile_M[[#This Row],[P/FCF Q3]]-Quartile_M[[#This Row],[P/FCF Q1]])</f>
        <v>-7.3403972939618107</v>
      </c>
      <c r="E29" s="1">
        <f>Quartile_M[[#This Row],[P/FCF Q3]]+1.5*(Quartile_M[[#This Row],[P/FCF Q3]]-Quartile_M[[#This Row],[P/FCF Q1]])</f>
        <v>46.559364890347581</v>
      </c>
      <c r="F29" s="1" cm="1">
        <f t="array" ref="F29">_xlfn.QUARTILE.INC(IF(Quartile_M[[#This Row],[Industry]]=Main_M[Industry],Main_M[P/B]),1)</f>
        <v>2.0296472551689413</v>
      </c>
      <c r="G29" s="1" cm="1">
        <f t="array" ref="G29">_xlfn.QUARTILE.INC(IF(Quartile_M[[#This Row],[Industry]]=Main_M[Industry],Main_M[P/B]),3)</f>
        <v>4.9967271999306728</v>
      </c>
      <c r="H29" s="1">
        <f>Quartile_M[[#This Row],[P/B Q1]]-1.5*(Quartile_M[[#This Row],[P/B Q3]]-Quartile_M[[#This Row],[P/B Q1]])</f>
        <v>-2.4209726619736558</v>
      </c>
      <c r="I29" s="1">
        <f>Quartile_M[[#This Row],[P/B Q3]]+1.5*(Quartile_M[[#This Row],[P/B Q3]]-Quartile_M[[#This Row],[P/B Q1]])</f>
        <v>9.4473471170732708</v>
      </c>
      <c r="J29" s="1" cm="1">
        <f t="array" ref="J29">_xlfn.QUARTILE.INC(IF(Quartile_M[[#This Row],[Industry]]=Main_M[Industry],Main_M[ROE]),1)</f>
        <v>4.8699999999999992</v>
      </c>
      <c r="K29" s="1" cm="1">
        <f t="array" ref="K29">_xlfn.QUARTILE.INC(IF(Quartile_M[[#This Row],[Industry]]=Main_M[Industry],Main_M[ROE]),3)</f>
        <v>24.077500000000001</v>
      </c>
      <c r="L29" s="1">
        <f>Quartile_M[[#This Row],[ROE Q1]]-1.5*(Quartile_M[[#This Row],[ROE Q3]]-Quartile_M[[#This Row],[ROE Q1]])</f>
        <v>-23.941250000000004</v>
      </c>
      <c r="M29" s="1">
        <f>Quartile_M[[#This Row],[ROE Q3]]+1.5*(Quartile_M[[#This Row],[ROE Q3]]-Quartile_M[[#This Row],[ROE Q1]])</f>
        <v>52.888750000000002</v>
      </c>
      <c r="N29" s="1" cm="1">
        <f t="array" ref="N29">_xlfn.QUARTILE.INC(IF(Quartile_M[[#This Row],[Industry]]=Main_M[Industry],Main_M[ROA]),1)</f>
        <v>2.21</v>
      </c>
      <c r="O29" s="1" cm="1">
        <f t="array" ref="O29">_xlfn.QUARTILE.INC(IF(Quartile_M[[#This Row],[Industry]]=Main_M[Industry],Main_M[ROA]),3)</f>
        <v>7.3274999999999997</v>
      </c>
      <c r="P29" s="1">
        <f>Quartile_M[[#This Row],[ROA Q1]]-1.5*(Quartile_M[[#This Row],[ROA Q3]]-Quartile_M[[#This Row],[ROA Q1]])</f>
        <v>-5.4662499999999996</v>
      </c>
      <c r="Q29" s="1">
        <f>Quartile_M[[#This Row],[ROA Q3]]+1.5*(Quartile_M[[#This Row],[ROA Q3]]-Quartile_M[[#This Row],[ROA Q1]])</f>
        <v>15.00375</v>
      </c>
      <c r="R29" s="1" cm="1">
        <f t="array" ref="R29">_xlfn.QUARTILE.INC(IF(Quartile_M[[#This Row],[Industry]]=Main_M[Industry],Main_M[P/E]),1)</f>
        <v>12.979917168674699</v>
      </c>
      <c r="S29" s="1" cm="1">
        <f t="array" ref="S29">_xlfn.QUARTILE.INC(IF(Quartile_M[[#This Row],[Industry]]=Main_M[Industry],Main_M[P/E]),3)</f>
        <v>29.715425531914892</v>
      </c>
      <c r="T29" s="1">
        <f>Quartile_M[[#This Row],[P/E Q1]]-1.5*(Quartile_M[[#This Row],[P/E Q3]]-Quartile_M[[#This Row],[P/E Q1]])</f>
        <v>-12.12334537618559</v>
      </c>
      <c r="U29" s="1">
        <f>Quartile_M[[#This Row],[P/E Q3]]+1.5*(Quartile_M[[#This Row],[P/E Q3]]-Quartile_M[[#This Row],[P/E Q1]])</f>
        <v>54.818688076775182</v>
      </c>
      <c r="V29" s="1" cm="1">
        <f t="array" ref="V29">_xlfn.QUARTILE.INC(IF(Quartile_M[[#This Row],[Industry]]=Main_M[Industry],Main_M[A/E]),1)</f>
        <v>2.0474999999999999</v>
      </c>
      <c r="W29" s="1" cm="1">
        <f t="array" ref="W29">_xlfn.QUARTILE.INC(IF(Quartile_M[[#This Row],[Industry]]=Main_M[Industry],Main_M[A/E]),3)</f>
        <v>3.0825</v>
      </c>
      <c r="X29" s="1">
        <f>Quartile_M[[#This Row],[A/E Q1]]-1.5*(Quartile_M[[#This Row],[A/E Q3]]-Quartile_M[[#This Row],[A/E Q1]])</f>
        <v>0.49499999999999966</v>
      </c>
      <c r="Y29" s="1">
        <f>Quartile_M[[#This Row],[A/E Q3]]+1.5*(Quartile_M[[#This Row],[A/E Q3]]-Quartile_M[[#This Row],[A/E Q1]])</f>
        <v>4.6349999999999998</v>
      </c>
    </row>
    <row r="30" spans="1:25" x14ac:dyDescent="0.25">
      <c r="A30" t="s">
        <v>223</v>
      </c>
      <c r="B30" s="1" cm="1">
        <f t="array" ref="B30">_xlfn.QUARTILE.INC(IF(Quartile_M[[#This Row],[Industry]]=Main_M[Industry],Main_M[P/FCF]),1)</f>
        <v>25.509433962264151</v>
      </c>
      <c r="C30" s="1" cm="1">
        <f t="array" ref="C30">_xlfn.QUARTILE.INC(IF(Quartile_M[[#This Row],[Industry]]=Main_M[Industry],Main_M[P/FCF]),3)</f>
        <v>25.509433962264151</v>
      </c>
      <c r="D30" s="1">
        <f>Quartile_M[[#This Row],[P/FCF Q1]]-1.5*(Quartile_M[[#This Row],[P/FCF Q3]]-Quartile_M[[#This Row],[P/FCF Q1]])</f>
        <v>25.509433962264151</v>
      </c>
      <c r="E30" s="1">
        <f>Quartile_M[[#This Row],[P/FCF Q3]]+1.5*(Quartile_M[[#This Row],[P/FCF Q3]]-Quartile_M[[#This Row],[P/FCF Q1]])</f>
        <v>25.509433962264151</v>
      </c>
      <c r="F30" s="1" cm="1">
        <f t="array" ref="F30">_xlfn.QUARTILE.INC(IF(Quartile_M[[#This Row],[Industry]]=Main_M[Industry],Main_M[P/B]),1)</f>
        <v>1.6140071627536809</v>
      </c>
      <c r="G30" s="1" cm="1">
        <f t="array" ref="G30">_xlfn.QUARTILE.INC(IF(Quartile_M[[#This Row],[Industry]]=Main_M[Industry],Main_M[P/B]),3)</f>
        <v>1.6140071627536809</v>
      </c>
      <c r="H30" s="1">
        <f>Quartile_M[[#This Row],[P/B Q1]]-1.5*(Quartile_M[[#This Row],[P/B Q3]]-Quartile_M[[#This Row],[P/B Q1]])</f>
        <v>1.6140071627536809</v>
      </c>
      <c r="I30" s="1">
        <f>Quartile_M[[#This Row],[P/B Q3]]+1.5*(Quartile_M[[#This Row],[P/B Q3]]-Quartile_M[[#This Row],[P/B Q1]])</f>
        <v>1.6140071627536809</v>
      </c>
      <c r="J30" s="1" cm="1">
        <f t="array" ref="J30">_xlfn.QUARTILE.INC(IF(Quartile_M[[#This Row],[Industry]]=Main_M[Industry],Main_M[ROE]),1)</f>
        <v>4.6100000000000003</v>
      </c>
      <c r="K30" s="1" cm="1">
        <f t="array" ref="K30">_xlfn.QUARTILE.INC(IF(Quartile_M[[#This Row],[Industry]]=Main_M[Industry],Main_M[ROE]),3)</f>
        <v>4.6100000000000003</v>
      </c>
      <c r="L30" s="1">
        <f>Quartile_M[[#This Row],[ROE Q1]]-1.5*(Quartile_M[[#This Row],[ROE Q3]]-Quartile_M[[#This Row],[ROE Q1]])</f>
        <v>4.6100000000000003</v>
      </c>
      <c r="M30" s="1">
        <f>Quartile_M[[#This Row],[ROE Q3]]+1.5*(Quartile_M[[#This Row],[ROE Q3]]-Quartile_M[[#This Row],[ROE Q1]])</f>
        <v>4.6100000000000003</v>
      </c>
      <c r="N30" s="1" cm="1">
        <f t="array" ref="N30">_xlfn.QUARTILE.INC(IF(Quartile_M[[#This Row],[Industry]]=Main_M[Industry],Main_M[ROA]),1)</f>
        <v>2.41</v>
      </c>
      <c r="O30" s="1" cm="1">
        <f t="array" ref="O30">_xlfn.QUARTILE.INC(IF(Quartile_M[[#This Row],[Industry]]=Main_M[Industry],Main_M[ROA]),3)</f>
        <v>2.41</v>
      </c>
      <c r="P30" s="1">
        <f>Quartile_M[[#This Row],[ROA Q1]]-1.5*(Quartile_M[[#This Row],[ROA Q3]]-Quartile_M[[#This Row],[ROA Q1]])</f>
        <v>2.41</v>
      </c>
      <c r="Q30" s="1">
        <f>Quartile_M[[#This Row],[ROA Q3]]+1.5*(Quartile_M[[#This Row],[ROA Q3]]-Quartile_M[[#This Row],[ROA Q1]])</f>
        <v>2.41</v>
      </c>
      <c r="R30" s="1" cm="1">
        <f t="array" ref="R30">_xlfn.QUARTILE.INC(IF(Quartile_M[[#This Row],[Industry]]=Main_M[Industry],Main_M[P/E]),1)</f>
        <v>36.214285714285715</v>
      </c>
      <c r="S30" s="1" cm="1">
        <f t="array" ref="S30">_xlfn.QUARTILE.INC(IF(Quartile_M[[#This Row],[Industry]]=Main_M[Industry],Main_M[P/E]),3)</f>
        <v>36.214285714285715</v>
      </c>
      <c r="T30" s="1">
        <f>Quartile_M[[#This Row],[P/E Q1]]-1.5*(Quartile_M[[#This Row],[P/E Q3]]-Quartile_M[[#This Row],[P/E Q1]])</f>
        <v>36.214285714285715</v>
      </c>
      <c r="U30" s="1">
        <f>Quartile_M[[#This Row],[P/E Q3]]+1.5*(Quartile_M[[#This Row],[P/E Q3]]-Quartile_M[[#This Row],[P/E Q1]])</f>
        <v>36.214285714285715</v>
      </c>
      <c r="V30" s="1" cm="1">
        <f t="array" ref="V30">_xlfn.QUARTILE.INC(IF(Quartile_M[[#This Row],[Industry]]=Main_M[Industry],Main_M[A/E]),1)</f>
        <v>3.75</v>
      </c>
      <c r="W30" s="1" cm="1">
        <f t="array" ref="W30">_xlfn.QUARTILE.INC(IF(Quartile_M[[#This Row],[Industry]]=Main_M[Industry],Main_M[A/E]),3)</f>
        <v>3.75</v>
      </c>
      <c r="X30" s="1">
        <f>Quartile_M[[#This Row],[A/E Q1]]-1.5*(Quartile_M[[#This Row],[A/E Q3]]-Quartile_M[[#This Row],[A/E Q1]])</f>
        <v>3.75</v>
      </c>
      <c r="Y30" s="1">
        <f>Quartile_M[[#This Row],[A/E Q3]]+1.5*(Quartile_M[[#This Row],[A/E Q3]]-Quartile_M[[#This Row],[A/E Q1]])</f>
        <v>3.75</v>
      </c>
    </row>
    <row r="31" spans="1:25" x14ac:dyDescent="0.25">
      <c r="A31" t="s">
        <v>229</v>
      </c>
      <c r="B31" s="1" cm="1">
        <f t="array" ref="B31">_xlfn.QUARTILE.INC(IF(Quartile_M[[#This Row],[Industry]]=Main_M[Industry],Main_M[P/FCF]),1)</f>
        <v>5.1250000000000009</v>
      </c>
      <c r="C31" s="1" cm="1">
        <f t="array" ref="C31">_xlfn.QUARTILE.INC(IF(Quartile_M[[#This Row],[Industry]]=Main_M[Industry],Main_M[P/FCF]),3)</f>
        <v>12.503067484662576</v>
      </c>
      <c r="D31" s="1">
        <f>Quartile_M[[#This Row],[P/FCF Q1]]-1.5*(Quartile_M[[#This Row],[P/FCF Q3]]-Quartile_M[[#This Row],[P/FCF Q1]])</f>
        <v>-5.942101226993862</v>
      </c>
      <c r="E31" s="1">
        <f>Quartile_M[[#This Row],[P/FCF Q3]]+1.5*(Quartile_M[[#This Row],[P/FCF Q3]]-Quartile_M[[#This Row],[P/FCF Q1]])</f>
        <v>23.570168711656439</v>
      </c>
      <c r="F31" s="1" cm="1">
        <f t="array" ref="F31">_xlfn.QUARTILE.INC(IF(Quartile_M[[#This Row],[Industry]]=Main_M[Industry],Main_M[P/B]),1)</f>
        <v>1.62993762993763</v>
      </c>
      <c r="G31" s="1" cm="1">
        <f t="array" ref="G31">_xlfn.QUARTILE.INC(IF(Quartile_M[[#This Row],[Industry]]=Main_M[Industry],Main_M[P/B]),3)</f>
        <v>1.7743339717917466</v>
      </c>
      <c r="H31" s="1">
        <f>Quartile_M[[#This Row],[P/B Q1]]-1.5*(Quartile_M[[#This Row],[P/B Q3]]-Quartile_M[[#This Row],[P/B Q1]])</f>
        <v>1.4133431171564552</v>
      </c>
      <c r="I31" s="1">
        <f>Quartile_M[[#This Row],[P/B Q3]]+1.5*(Quartile_M[[#This Row],[P/B Q3]]-Quartile_M[[#This Row],[P/B Q1]])</f>
        <v>1.9909284845729214</v>
      </c>
      <c r="J31" s="1" cm="1">
        <f t="array" ref="J31">_xlfn.QUARTILE.INC(IF(Quartile_M[[#This Row],[Industry]]=Main_M[Industry],Main_M[ROE]),1)</f>
        <v>-8.0425000000000004</v>
      </c>
      <c r="K31" s="1" cm="1">
        <f t="array" ref="K31">_xlfn.QUARTILE.INC(IF(Quartile_M[[#This Row],[Industry]]=Main_M[Industry],Main_M[ROE]),3)</f>
        <v>24.21</v>
      </c>
      <c r="L31" s="1">
        <f>Quartile_M[[#This Row],[ROE Q1]]-1.5*(Quartile_M[[#This Row],[ROE Q3]]-Quartile_M[[#This Row],[ROE Q1]])</f>
        <v>-56.421250000000001</v>
      </c>
      <c r="M31" s="1">
        <f>Quartile_M[[#This Row],[ROE Q3]]+1.5*(Quartile_M[[#This Row],[ROE Q3]]-Quartile_M[[#This Row],[ROE Q1]])</f>
        <v>72.588750000000005</v>
      </c>
      <c r="N31" s="1" cm="1">
        <f t="array" ref="N31">_xlfn.QUARTILE.INC(IF(Quartile_M[[#This Row],[Industry]]=Main_M[Industry],Main_M[ROA]),1)</f>
        <v>3.1074999999999999</v>
      </c>
      <c r="O31" s="1" cm="1">
        <f t="array" ref="O31">_xlfn.QUARTILE.INC(IF(Quartile_M[[#This Row],[Industry]]=Main_M[Industry],Main_M[ROA]),3)</f>
        <v>6.3724999999999996</v>
      </c>
      <c r="P31" s="1">
        <f>Quartile_M[[#This Row],[ROA Q1]]-1.5*(Quartile_M[[#This Row],[ROA Q3]]-Quartile_M[[#This Row],[ROA Q1]])</f>
        <v>-1.7899999999999991</v>
      </c>
      <c r="Q31" s="1">
        <f>Quartile_M[[#This Row],[ROA Q3]]+1.5*(Quartile_M[[#This Row],[ROA Q3]]-Quartile_M[[#This Row],[ROA Q1]])</f>
        <v>11.27</v>
      </c>
      <c r="R31" s="1" cm="1">
        <f t="array" ref="R31">_xlfn.QUARTILE.INC(IF(Quartile_M[[#This Row],[Industry]]=Main_M[Industry],Main_M[P/E]),1)</f>
        <v>7.0034364261168385</v>
      </c>
      <c r="S31" s="1" cm="1">
        <f t="array" ref="S31">_xlfn.QUARTILE.INC(IF(Quartile_M[[#This Row],[Industry]]=Main_M[Industry],Main_M[P/E]),3)</f>
        <v>12.058823529411764</v>
      </c>
      <c r="T31" s="1">
        <f>Quartile_M[[#This Row],[P/E Q1]]-1.5*(Quartile_M[[#This Row],[P/E Q3]]-Quartile_M[[#This Row],[P/E Q1]])</f>
        <v>-0.57964422882555056</v>
      </c>
      <c r="U31" s="1">
        <f>Quartile_M[[#This Row],[P/E Q3]]+1.5*(Quartile_M[[#This Row],[P/E Q3]]-Quartile_M[[#This Row],[P/E Q1]])</f>
        <v>19.641904184354154</v>
      </c>
      <c r="V31" s="1" cm="1">
        <f t="array" ref="V31">_xlfn.QUARTILE.INC(IF(Quartile_M[[#This Row],[Industry]]=Main_M[Industry],Main_M[A/E]),1)</f>
        <v>1.595</v>
      </c>
      <c r="W31" s="1" cm="1">
        <f t="array" ref="W31">_xlfn.QUARTILE.INC(IF(Quartile_M[[#This Row],[Industry]]=Main_M[Industry],Main_M[A/E]),3)</f>
        <v>4.3125</v>
      </c>
      <c r="X31" s="1">
        <f>Quartile_M[[#This Row],[A/E Q1]]-1.5*(Quartile_M[[#This Row],[A/E Q3]]-Quartile_M[[#This Row],[A/E Q1]])</f>
        <v>-2.4812500000000002</v>
      </c>
      <c r="Y31" s="1">
        <f>Quartile_M[[#This Row],[A/E Q3]]+1.5*(Quartile_M[[#This Row],[A/E Q3]]-Quartile_M[[#This Row],[A/E Q1]])</f>
        <v>8.3887499999999999</v>
      </c>
    </row>
    <row r="32" spans="1:25" x14ac:dyDescent="0.25">
      <c r="A32" t="s">
        <v>249</v>
      </c>
      <c r="B32" s="1" cm="1">
        <f t="array" ref="B32">_xlfn.QUARTILE.INC(IF(Quartile_M[[#This Row],[Industry]]=Main_M[Industry],Main_M[P/FCF]),1)</f>
        <v>9.9775910364145659</v>
      </c>
      <c r="C32" s="1" cm="1">
        <f t="array" ref="C32">_xlfn.QUARTILE.INC(IF(Quartile_M[[#This Row],[Industry]]=Main_M[Industry],Main_M[P/FCF]),3)</f>
        <v>13.459383753501402</v>
      </c>
      <c r="D32" s="1">
        <f>Quartile_M[[#This Row],[P/FCF Q1]]-1.5*(Quartile_M[[#This Row],[P/FCF Q3]]-Quartile_M[[#This Row],[P/FCF Q1]])</f>
        <v>4.754901960784311</v>
      </c>
      <c r="E32" s="1">
        <f>Quartile_M[[#This Row],[P/FCF Q3]]+1.5*(Quartile_M[[#This Row],[P/FCF Q3]]-Quartile_M[[#This Row],[P/FCF Q1]])</f>
        <v>18.682072829131656</v>
      </c>
      <c r="F32" s="1" cm="1">
        <f t="array" ref="F32">_xlfn.QUARTILE.INC(IF(Quartile_M[[#This Row],[Industry]]=Main_M[Industry],Main_M[P/B]),1)</f>
        <v>1.562328059512921</v>
      </c>
      <c r="G32" s="1" cm="1">
        <f t="array" ref="G32">_xlfn.QUARTILE.INC(IF(Quartile_M[[#This Row],[Industry]]=Main_M[Industry],Main_M[P/B]),3)</f>
        <v>1.756740033047981</v>
      </c>
      <c r="H32" s="1">
        <f>Quartile_M[[#This Row],[P/B Q1]]-1.5*(Quartile_M[[#This Row],[P/B Q3]]-Quartile_M[[#This Row],[P/B Q1]])</f>
        <v>1.2707100992103308</v>
      </c>
      <c r="I32" s="1">
        <f>Quartile_M[[#This Row],[P/B Q3]]+1.5*(Quartile_M[[#This Row],[P/B Q3]]-Quartile_M[[#This Row],[P/B Q1]])</f>
        <v>2.0483579933505709</v>
      </c>
      <c r="J32" s="1" cm="1">
        <f t="array" ref="J32">_xlfn.QUARTILE.INC(IF(Quartile_M[[#This Row],[Industry]]=Main_M[Industry],Main_M[ROE]),1)</f>
        <v>11.6975</v>
      </c>
      <c r="K32" s="1" cm="1">
        <f t="array" ref="K32">_xlfn.QUARTILE.INC(IF(Quartile_M[[#This Row],[Industry]]=Main_M[Industry],Main_M[ROE]),3)</f>
        <v>17.552500000000002</v>
      </c>
      <c r="L32" s="1">
        <f>Quartile_M[[#This Row],[ROE Q1]]-1.5*(Quartile_M[[#This Row],[ROE Q3]]-Quartile_M[[#This Row],[ROE Q1]])</f>
        <v>2.9149999999999974</v>
      </c>
      <c r="M32" s="1">
        <f>Quartile_M[[#This Row],[ROE Q3]]+1.5*(Quartile_M[[#This Row],[ROE Q3]]-Quartile_M[[#This Row],[ROE Q1]])</f>
        <v>26.335000000000004</v>
      </c>
      <c r="N32" s="1" cm="1">
        <f t="array" ref="N32">_xlfn.QUARTILE.INC(IF(Quartile_M[[#This Row],[Industry]]=Main_M[Industry],Main_M[ROA]),1)</f>
        <v>5.4425000000000008</v>
      </c>
      <c r="O32" s="1" cm="1">
        <f t="array" ref="O32">_xlfn.QUARTILE.INC(IF(Quartile_M[[#This Row],[Industry]]=Main_M[Industry],Main_M[ROA]),3)</f>
        <v>7.5274999999999999</v>
      </c>
      <c r="P32" s="1">
        <f>Quartile_M[[#This Row],[ROA Q1]]-1.5*(Quartile_M[[#This Row],[ROA Q3]]-Quartile_M[[#This Row],[ROA Q1]])</f>
        <v>2.3150000000000022</v>
      </c>
      <c r="Q32" s="1">
        <f>Quartile_M[[#This Row],[ROA Q3]]+1.5*(Quartile_M[[#This Row],[ROA Q3]]-Quartile_M[[#This Row],[ROA Q1]])</f>
        <v>10.654999999999998</v>
      </c>
      <c r="R32" s="1" cm="1">
        <f t="array" ref="R32">_xlfn.QUARTILE.INC(IF(Quartile_M[[#This Row],[Industry]]=Main_M[Industry],Main_M[P/E]),1)</f>
        <v>11.195544554455445</v>
      </c>
      <c r="S32" s="1" cm="1">
        <f t="array" ref="S32">_xlfn.QUARTILE.INC(IF(Quartile_M[[#This Row],[Industry]]=Main_M[Industry],Main_M[P/E]),3)</f>
        <v>18.059240924092411</v>
      </c>
      <c r="T32" s="1">
        <f>Quartile_M[[#This Row],[P/E Q1]]-1.5*(Quartile_M[[#This Row],[P/E Q3]]-Quartile_M[[#This Row],[P/E Q1]])</f>
        <v>0.8999999999999968</v>
      </c>
      <c r="U32" s="1">
        <f>Quartile_M[[#This Row],[P/E Q3]]+1.5*(Quartile_M[[#This Row],[P/E Q3]]-Quartile_M[[#This Row],[P/E Q1]])</f>
        <v>28.354785478547861</v>
      </c>
      <c r="V32" s="1" cm="1">
        <f t="array" ref="V32">_xlfn.QUARTILE.INC(IF(Quartile_M[[#This Row],[Industry]]=Main_M[Industry],Main_M[A/E]),1)</f>
        <v>1.7275</v>
      </c>
      <c r="W32" s="1" cm="1">
        <f t="array" ref="W32">_xlfn.QUARTILE.INC(IF(Quartile_M[[#This Row],[Industry]]=Main_M[Industry],Main_M[A/E]),3)</f>
        <v>1.7424999999999999</v>
      </c>
      <c r="X32" s="1">
        <f>Quartile_M[[#This Row],[A/E Q1]]-1.5*(Quartile_M[[#This Row],[A/E Q3]]-Quartile_M[[#This Row],[A/E Q1]])</f>
        <v>1.7050000000000001</v>
      </c>
      <c r="Y32" s="1">
        <f>Quartile_M[[#This Row],[A/E Q3]]+1.5*(Quartile_M[[#This Row],[A/E Q3]]-Quartile_M[[#This Row],[A/E Q1]])</f>
        <v>1.7649999999999997</v>
      </c>
    </row>
    <row r="33" spans="1:25" x14ac:dyDescent="0.25">
      <c r="A33" t="s">
        <v>235</v>
      </c>
      <c r="B33" s="1" cm="1">
        <f t="array" ref="B33">_xlfn.QUARTILE.INC(IF(Quartile_M[[#This Row],[Industry]]=Main_M[Industry],Main_M[P/FCF]),1)</f>
        <v>4.4423558897243103</v>
      </c>
      <c r="C33" s="1" cm="1">
        <f t="array" ref="C33">_xlfn.QUARTILE.INC(IF(Quartile_M[[#This Row],[Industry]]=Main_M[Industry],Main_M[P/FCF]),3)</f>
        <v>19.500695410292071</v>
      </c>
      <c r="D33" s="1">
        <f>Quartile_M[[#This Row],[P/FCF Q1]]-1.5*(Quartile_M[[#This Row],[P/FCF Q3]]-Quartile_M[[#This Row],[P/FCF Q1]])</f>
        <v>-18.14515339112733</v>
      </c>
      <c r="E33" s="1">
        <f>Quartile_M[[#This Row],[P/FCF Q3]]+1.5*(Quartile_M[[#This Row],[P/FCF Q3]]-Quartile_M[[#This Row],[P/FCF Q1]])</f>
        <v>42.088204691143716</v>
      </c>
      <c r="F33" s="1" cm="1">
        <f t="array" ref="F33">_xlfn.QUARTILE.INC(IF(Quartile_M[[#This Row],[Industry]]=Main_M[Industry],Main_M[P/B]),1)</f>
        <v>1.4284876905041033</v>
      </c>
      <c r="G33" s="1" cm="1">
        <f t="array" ref="G33">_xlfn.QUARTILE.INC(IF(Quartile_M[[#This Row],[Industry]]=Main_M[Industry],Main_M[P/B]),3)</f>
        <v>3.2074940924946551</v>
      </c>
      <c r="H33" s="1">
        <f>Quartile_M[[#This Row],[P/B Q1]]-1.5*(Quartile_M[[#This Row],[P/B Q3]]-Quartile_M[[#This Row],[P/B Q1]])</f>
        <v>-1.2400219124817244</v>
      </c>
      <c r="I33" s="1">
        <f>Quartile_M[[#This Row],[P/B Q3]]+1.5*(Quartile_M[[#This Row],[P/B Q3]]-Quartile_M[[#This Row],[P/B Q1]])</f>
        <v>5.8760036954804828</v>
      </c>
      <c r="J33" s="1" cm="1">
        <f t="array" ref="J33">_xlfn.QUARTILE.INC(IF(Quartile_M[[#This Row],[Industry]]=Main_M[Industry],Main_M[ROE]),1)</f>
        <v>3.48</v>
      </c>
      <c r="K33" s="1" cm="1">
        <f t="array" ref="K33">_xlfn.QUARTILE.INC(IF(Quartile_M[[#This Row],[Industry]]=Main_M[Industry],Main_M[ROE]),3)</f>
        <v>16.55</v>
      </c>
      <c r="L33" s="1">
        <f>Quartile_M[[#This Row],[ROE Q1]]-1.5*(Quartile_M[[#This Row],[ROE Q3]]-Quartile_M[[#This Row],[ROE Q1]])</f>
        <v>-16.125</v>
      </c>
      <c r="M33" s="1">
        <f>Quartile_M[[#This Row],[ROE Q3]]+1.5*(Quartile_M[[#This Row],[ROE Q3]]-Quartile_M[[#This Row],[ROE Q1]])</f>
        <v>36.155000000000001</v>
      </c>
      <c r="N33" s="1" cm="1">
        <f t="array" ref="N33">_xlfn.QUARTILE.INC(IF(Quartile_M[[#This Row],[Industry]]=Main_M[Industry],Main_M[ROA]),1)</f>
        <v>1.28</v>
      </c>
      <c r="O33" s="1" cm="1">
        <f t="array" ref="O33">_xlfn.QUARTILE.INC(IF(Quartile_M[[#This Row],[Industry]]=Main_M[Industry],Main_M[ROA]),3)</f>
        <v>5.97</v>
      </c>
      <c r="P33" s="1">
        <f>Quartile_M[[#This Row],[ROA Q1]]-1.5*(Quartile_M[[#This Row],[ROA Q3]]-Quartile_M[[#This Row],[ROA Q1]])</f>
        <v>-5.754999999999999</v>
      </c>
      <c r="Q33" s="1">
        <f>Quartile_M[[#This Row],[ROA Q3]]+1.5*(Quartile_M[[#This Row],[ROA Q3]]-Quartile_M[[#This Row],[ROA Q1]])</f>
        <v>13.004999999999999</v>
      </c>
      <c r="R33" s="1" cm="1">
        <f t="array" ref="R33">_xlfn.QUARTILE.INC(IF(Quartile_M[[#This Row],[Industry]]=Main_M[Industry],Main_M[P/E]),1)</f>
        <v>13.920731707317072</v>
      </c>
      <c r="S33" s="1" cm="1">
        <f t="array" ref="S33">_xlfn.QUARTILE.INC(IF(Quartile_M[[#This Row],[Industry]]=Main_M[Industry],Main_M[P/E]),3)</f>
        <v>34.323943661971832</v>
      </c>
      <c r="T33" s="1">
        <f>Quartile_M[[#This Row],[P/E Q1]]-1.5*(Quartile_M[[#This Row],[P/E Q3]]-Quartile_M[[#This Row],[P/E Q1]])</f>
        <v>-16.684086224665066</v>
      </c>
      <c r="U33" s="1">
        <f>Quartile_M[[#This Row],[P/E Q3]]+1.5*(Quartile_M[[#This Row],[P/E Q3]]-Quartile_M[[#This Row],[P/E Q1]])</f>
        <v>64.928761593953965</v>
      </c>
      <c r="V33" s="1" cm="1">
        <f t="array" ref="V33">_xlfn.QUARTILE.INC(IF(Quartile_M[[#This Row],[Industry]]=Main_M[Industry],Main_M[A/E]),1)</f>
        <v>1.67</v>
      </c>
      <c r="W33" s="1" cm="1">
        <f t="array" ref="W33">_xlfn.QUARTILE.INC(IF(Quartile_M[[#This Row],[Industry]]=Main_M[Industry],Main_M[A/E]),3)</f>
        <v>2.7</v>
      </c>
      <c r="X33" s="1">
        <f>Quartile_M[[#This Row],[A/E Q1]]-1.5*(Quartile_M[[#This Row],[A/E Q3]]-Quartile_M[[#This Row],[A/E Q1]])</f>
        <v>0.12499999999999956</v>
      </c>
      <c r="Y33" s="1">
        <f>Quartile_M[[#This Row],[A/E Q3]]+1.5*(Quartile_M[[#This Row],[A/E Q3]]-Quartile_M[[#This Row],[A/E Q1]])</f>
        <v>4.245000000000001</v>
      </c>
    </row>
    <row r="34" spans="1:25" x14ac:dyDescent="0.25">
      <c r="A34" t="s">
        <v>250</v>
      </c>
      <c r="B34" s="1" cm="1">
        <f t="array" ref="B34">_xlfn.QUARTILE.INC(IF(Quartile_M[[#This Row],[Industry]]=Main_M[Industry],Main_M[P/FCF]),1)</f>
        <v>102.32369942196533</v>
      </c>
      <c r="C34" s="1" cm="1">
        <f t="array" ref="C34">_xlfn.QUARTILE.INC(IF(Quartile_M[[#This Row],[Industry]]=Main_M[Industry],Main_M[P/FCF]),3)</f>
        <v>207.6014771997431</v>
      </c>
      <c r="D34" s="1">
        <f>Quartile_M[[#This Row],[P/FCF Q1]]-1.5*(Quartile_M[[#This Row],[P/FCF Q3]]-Quartile_M[[#This Row],[P/FCF Q1]])</f>
        <v>-55.592967244701327</v>
      </c>
      <c r="E34" s="1">
        <f>Quartile_M[[#This Row],[P/FCF Q3]]+1.5*(Quartile_M[[#This Row],[P/FCF Q3]]-Quartile_M[[#This Row],[P/FCF Q1]])</f>
        <v>365.51814386640979</v>
      </c>
      <c r="F34" s="1" cm="1">
        <f t="array" ref="F34">_xlfn.QUARTILE.INC(IF(Quartile_M[[#This Row],[Industry]]=Main_M[Industry],Main_M[P/B]),1)</f>
        <v>19.271061449021694</v>
      </c>
      <c r="G34" s="1" cm="1">
        <f t="array" ref="G34">_xlfn.QUARTILE.INC(IF(Quartile_M[[#This Row],[Industry]]=Main_M[Industry],Main_M[P/B]),3)</f>
        <v>51.362969239164777</v>
      </c>
      <c r="H34" s="1">
        <f>Quartile_M[[#This Row],[P/B Q1]]-1.5*(Quartile_M[[#This Row],[P/B Q3]]-Quartile_M[[#This Row],[P/B Q1]])</f>
        <v>-28.86680023619293</v>
      </c>
      <c r="I34" s="1">
        <f>Quartile_M[[#This Row],[P/B Q3]]+1.5*(Quartile_M[[#This Row],[P/B Q3]]-Quartile_M[[#This Row],[P/B Q1]])</f>
        <v>99.5008309243794</v>
      </c>
      <c r="J34" s="1" cm="1">
        <f t="array" ref="J34">_xlfn.QUARTILE.INC(IF(Quartile_M[[#This Row],[Industry]]=Main_M[Industry],Main_M[ROE]),1)</f>
        <v>25.369999999999997</v>
      </c>
      <c r="K34" s="1" cm="1">
        <f t="array" ref="K34">_xlfn.QUARTILE.INC(IF(Quartile_M[[#This Row],[Industry]]=Main_M[Industry],Main_M[ROE]),3)</f>
        <v>35.89</v>
      </c>
      <c r="L34" s="1">
        <f>Quartile_M[[#This Row],[ROE Q1]]-1.5*(Quartile_M[[#This Row],[ROE Q3]]-Quartile_M[[#This Row],[ROE Q1]])</f>
        <v>9.5899999999999928</v>
      </c>
      <c r="M34" s="1">
        <f>Quartile_M[[#This Row],[ROE Q3]]+1.5*(Quartile_M[[#This Row],[ROE Q3]]-Quartile_M[[#This Row],[ROE Q1]])</f>
        <v>51.67</v>
      </c>
      <c r="N34" s="1" cm="1">
        <f t="array" ref="N34">_xlfn.QUARTILE.INC(IF(Quartile_M[[#This Row],[Industry]]=Main_M[Industry],Main_M[ROA]),1)</f>
        <v>10.545</v>
      </c>
      <c r="O34" s="1" cm="1">
        <f t="array" ref="O34">_xlfn.QUARTILE.INC(IF(Quartile_M[[#This Row],[Industry]]=Main_M[Industry],Main_M[ROA]),3)</f>
        <v>16.565000000000001</v>
      </c>
      <c r="P34" s="1">
        <f>Quartile_M[[#This Row],[ROA Q1]]-1.5*(Quartile_M[[#This Row],[ROA Q3]]-Quartile_M[[#This Row],[ROA Q1]])</f>
        <v>1.5149999999999988</v>
      </c>
      <c r="Q34" s="1">
        <f>Quartile_M[[#This Row],[ROA Q3]]+1.5*(Quartile_M[[#This Row],[ROA Q3]]-Quartile_M[[#This Row],[ROA Q1]])</f>
        <v>25.595000000000002</v>
      </c>
      <c r="R34" s="1" cm="1">
        <f t="array" ref="R34">_xlfn.QUARTILE.INC(IF(Quartile_M[[#This Row],[Industry]]=Main_M[Industry],Main_M[P/E]),1)</f>
        <v>80.474448621553904</v>
      </c>
      <c r="S34" s="1" cm="1">
        <f t="array" ref="S34">_xlfn.QUARTILE.INC(IF(Quartile_M[[#This Row],[Industry]]=Main_M[Industry],Main_M[P/E]),3)</f>
        <v>150.22587719298247</v>
      </c>
      <c r="T34" s="1">
        <f>Quartile_M[[#This Row],[P/E Q1]]-1.5*(Quartile_M[[#This Row],[P/E Q3]]-Quartile_M[[#This Row],[P/E Q1]])</f>
        <v>-24.152694235588939</v>
      </c>
      <c r="U34" s="1">
        <f>Quartile_M[[#This Row],[P/E Q3]]+1.5*(Quartile_M[[#This Row],[P/E Q3]]-Quartile_M[[#This Row],[P/E Q1]])</f>
        <v>254.85302005012531</v>
      </c>
      <c r="V34" s="1" cm="1">
        <f t="array" ref="V34">_xlfn.QUARTILE.INC(IF(Quartile_M[[#This Row],[Industry]]=Main_M[Industry],Main_M[A/E]),1)</f>
        <v>1.9650000000000001</v>
      </c>
      <c r="W34" s="1" cm="1">
        <f t="array" ref="W34">_xlfn.QUARTILE.INC(IF(Quartile_M[[#This Row],[Industry]]=Main_M[Industry],Main_M[A/E]),3)</f>
        <v>2.74</v>
      </c>
      <c r="X34" s="1">
        <f>Quartile_M[[#This Row],[A/E Q1]]-1.5*(Quartile_M[[#This Row],[A/E Q3]]-Quartile_M[[#This Row],[A/E Q1]])</f>
        <v>0.80249999999999999</v>
      </c>
      <c r="Y34" s="1">
        <f>Quartile_M[[#This Row],[A/E Q3]]+1.5*(Quartile_M[[#This Row],[A/E Q3]]-Quartile_M[[#This Row],[A/E Q1]])</f>
        <v>3.9025000000000003</v>
      </c>
    </row>
    <row r="37" spans="1:25" x14ac:dyDescent="0.25">
      <c r="A37" t="s">
        <v>23</v>
      </c>
    </row>
    <row r="38" spans="1:25" x14ac:dyDescent="0.25">
      <c r="A38" t="s">
        <v>1</v>
      </c>
      <c r="B38" t="s">
        <v>2</v>
      </c>
      <c r="C38" t="s">
        <v>3</v>
      </c>
      <c r="D38" t="s">
        <v>4</v>
      </c>
      <c r="E38" t="s">
        <v>5</v>
      </c>
      <c r="F38" t="s">
        <v>72</v>
      </c>
      <c r="G38" t="s">
        <v>73</v>
      </c>
      <c r="H38" t="s">
        <v>74</v>
      </c>
      <c r="I38" t="s">
        <v>75</v>
      </c>
      <c r="J38" t="s">
        <v>6</v>
      </c>
      <c r="K38" t="s">
        <v>7</v>
      </c>
      <c r="L38" t="s">
        <v>8</v>
      </c>
      <c r="M38" t="s">
        <v>9</v>
      </c>
      <c r="N38" t="s">
        <v>10</v>
      </c>
      <c r="O38" t="s">
        <v>11</v>
      </c>
      <c r="P38" t="s">
        <v>12</v>
      </c>
      <c r="Q38" t="s">
        <v>13</v>
      </c>
      <c r="R38" t="s">
        <v>14</v>
      </c>
      <c r="S38" t="s">
        <v>15</v>
      </c>
      <c r="T38" t="s">
        <v>16</v>
      </c>
      <c r="U38" t="s">
        <v>17</v>
      </c>
      <c r="V38" t="s">
        <v>18</v>
      </c>
      <c r="W38" t="s">
        <v>19</v>
      </c>
      <c r="X38" t="s">
        <v>20</v>
      </c>
      <c r="Y38" t="s">
        <v>21</v>
      </c>
    </row>
    <row r="39" spans="1:25" x14ac:dyDescent="0.25">
      <c r="A39" t="s">
        <v>105</v>
      </c>
      <c r="B39" s="1" cm="1">
        <f t="array" ref="B39">_xlfn.QUARTILE.INC(IF(Quartile_S[[#This Row],[Industry]]=Main_S[Industry],Main_S[P/FCF]),1)</f>
        <v>-17.941176470588232</v>
      </c>
      <c r="C39" s="1" cm="1">
        <f t="array" ref="C39">_xlfn.QUARTILE.INC(IF(Quartile_S[[#This Row],[Industry]]=Main_S[Industry],Main_S[P/FCF]),3)</f>
        <v>31.627906976744185</v>
      </c>
      <c r="D39" s="1">
        <f>Quartile_S[[#This Row],[P/FCF Q1]]-1.5*(Quartile_S[[#This Row],[P/FCF Q3]]-Quartile_S[[#This Row],[P/FCF Q1]])</f>
        <v>-92.294801641586858</v>
      </c>
      <c r="E39" s="1">
        <f>Quartile_S[[#This Row],[P/FCF Q3]]+1.5*(Quartile_S[[#This Row],[P/FCF Q3]]-Quartile_S[[#This Row],[P/FCF Q1]])</f>
        <v>105.98153214774281</v>
      </c>
      <c r="F39" s="1" cm="1">
        <f t="array" ref="F39">_xlfn.QUARTILE.INC(IF(Quartile_S[[#This Row],[Industry]]=Main_S[Industry],Main_S[P/B]),1)</f>
        <v>-0.53837597330367071</v>
      </c>
      <c r="G39" s="1" cm="1">
        <f t="array" ref="G39">_xlfn.QUARTILE.INC(IF(Quartile_S[[#This Row],[Industry]]=Main_S[Industry],Main_S[P/B]),3)</f>
        <v>4.6949152542372881</v>
      </c>
      <c r="H39" s="1">
        <f>Quartile_S[[#This Row],[P/B Q1]]-1.5*(Quartile_S[[#This Row],[P/B Q3]]-Quartile_S[[#This Row],[P/B Q1]])</f>
        <v>-8.3883128146151087</v>
      </c>
      <c r="I39" s="1">
        <f>Quartile_S[[#This Row],[P/B Q3]]+1.5*(Quartile_S[[#This Row],[P/B Q3]]-Quartile_S[[#This Row],[P/B Q1]])</f>
        <v>12.544852095548727</v>
      </c>
      <c r="J39" s="1" cm="1">
        <f t="array" ref="J39">_xlfn.QUARTILE.INC(IF(Quartile_S[[#This Row],[Industry]]=Main_S[Industry],Main_S[ROE]),1)</f>
        <v>-6.41</v>
      </c>
      <c r="K39" s="1" cm="1">
        <f t="array" ref="K39">_xlfn.QUARTILE.INC(IF(Quartile_S[[#This Row],[Industry]]=Main_S[Industry],Main_S[ROE]),3)</f>
        <v>14.21</v>
      </c>
      <c r="L39" s="1">
        <f>Quartile_S[[#This Row],[ROE Q1]]-1.5*(Quartile_S[[#This Row],[ROE Q3]]-Quartile_S[[#This Row],[ROE Q1]])</f>
        <v>-37.340000000000003</v>
      </c>
      <c r="M39" s="1">
        <f>Quartile_S[[#This Row],[ROE Q3]]+1.5*(Quartile_S[[#This Row],[ROE Q3]]-Quartile_S[[#This Row],[ROE Q1]])</f>
        <v>45.14</v>
      </c>
      <c r="N39" s="1" cm="1">
        <f t="array" ref="N39">_xlfn.QUARTILE.INC(IF(Quartile_S[[#This Row],[Industry]]=Main_S[Industry],Main_S[ROA]),1)</f>
        <v>-14.83</v>
      </c>
      <c r="O39" s="1" cm="1">
        <f t="array" ref="O39">_xlfn.QUARTILE.INC(IF(Quartile_S[[#This Row],[Industry]]=Main_S[Industry],Main_S[ROA]),3)</f>
        <v>4.8600000000000003</v>
      </c>
      <c r="P39" s="1">
        <f>Quartile_S[[#This Row],[ROA Q1]]-1.5*(Quartile_S[[#This Row],[ROA Q3]]-Quartile_S[[#This Row],[ROA Q1]])</f>
        <v>-44.365000000000002</v>
      </c>
      <c r="Q39" s="1">
        <f>Quartile_S[[#This Row],[ROA Q3]]+1.5*(Quartile_S[[#This Row],[ROA Q3]]-Quartile_S[[#This Row],[ROA Q1]])</f>
        <v>34.395000000000003</v>
      </c>
      <c r="R39" s="1" cm="1">
        <f t="array" ref="R39">_xlfn.QUARTILE.INC(IF(Quartile_S[[#This Row],[Industry]]=Main_S[Industry],Main_S[P/E]),1)</f>
        <v>-4.8468085106382981</v>
      </c>
      <c r="S39" s="1" cm="1">
        <f t="array" ref="S39">_xlfn.QUARTILE.INC(IF(Quartile_S[[#This Row],[Industry]]=Main_S[Industry],Main_S[P/E]),3)</f>
        <v>40.011111111111106</v>
      </c>
      <c r="T39" s="1">
        <f>Quartile_S[[#This Row],[P/E Q1]]-1.5*(Quartile_S[[#This Row],[P/E Q3]]-Quartile_S[[#This Row],[P/E Q1]])</f>
        <v>-72.133687943262402</v>
      </c>
      <c r="U39" s="1">
        <f>Quartile_S[[#This Row],[P/E Q3]]+1.5*(Quartile_S[[#This Row],[P/E Q3]]-Quartile_S[[#This Row],[P/E Q1]])</f>
        <v>107.29799054373521</v>
      </c>
      <c r="V39" s="1" cm="1">
        <f t="array" ref="V39">_xlfn.QUARTILE.INC(IF(Quartile_S[[#This Row],[Industry]]=Main_S[Industry],Main_S[A/E]),1)</f>
        <v>-0.1</v>
      </c>
      <c r="W39" s="1" cm="1">
        <f t="array" ref="W39">_xlfn.QUARTILE.INC(IF(Quartile_S[[#This Row],[Industry]]=Main_S[Industry],Main_S[A/E]),3)</f>
        <v>1.66</v>
      </c>
      <c r="X39" s="1">
        <f>Quartile_S[[#This Row],[A/E Q1]]-1.5*(Quartile_S[[#This Row],[A/E Q3]]-Quartile_S[[#This Row],[A/E Q1]])</f>
        <v>-2.74</v>
      </c>
      <c r="Y39" s="1">
        <f>Quartile_S[[#This Row],[A/E Q3]]+1.5*(Quartile_S[[#This Row],[A/E Q3]]-Quartile_S[[#This Row],[A/E Q1]])</f>
        <v>4.3</v>
      </c>
    </row>
    <row r="40" spans="1:25" x14ac:dyDescent="0.25">
      <c r="A40" t="s">
        <v>122</v>
      </c>
      <c r="B40" s="1" cm="1">
        <f t="array" ref="B40">_xlfn.QUARTILE.INC(IF(Quartile_S[[#This Row],[Industry]]=Main_S[Industry],Main_S[P/FCF]),1)</f>
        <v>8.5355616012436837</v>
      </c>
      <c r="C40" s="1" cm="1">
        <f t="array" ref="C40">_xlfn.QUARTILE.INC(IF(Quartile_S[[#This Row],[Industry]]=Main_S[Industry],Main_S[P/FCF]),3)</f>
        <v>19.026163977945682</v>
      </c>
      <c r="D40" s="1">
        <f>Quartile_S[[#This Row],[P/FCF Q1]]-1.5*(Quartile_S[[#This Row],[P/FCF Q3]]-Quartile_S[[#This Row],[P/FCF Q1]])</f>
        <v>-7.2003419638093131</v>
      </c>
      <c r="E40" s="1">
        <f>Quartile_S[[#This Row],[P/FCF Q3]]+1.5*(Quartile_S[[#This Row],[P/FCF Q3]]-Quartile_S[[#This Row],[P/FCF Q1]])</f>
        <v>34.762067542998679</v>
      </c>
      <c r="F40" s="1" cm="1">
        <f t="array" ref="F40">_xlfn.QUARTILE.INC(IF(Quartile_S[[#This Row],[Industry]]=Main_S[Industry],Main_S[P/B]),1)</f>
        <v>0.98304891428773677</v>
      </c>
      <c r="G40" s="1" cm="1">
        <f t="array" ref="G40">_xlfn.QUARTILE.INC(IF(Quartile_S[[#This Row],[Industry]]=Main_S[Industry],Main_S[P/B]),3)</f>
        <v>1.9205022857487968</v>
      </c>
      <c r="H40" s="1">
        <f>Quartile_S[[#This Row],[P/B Q1]]-1.5*(Quartile_S[[#This Row],[P/B Q3]]-Quartile_S[[#This Row],[P/B Q1]])</f>
        <v>-0.42313114290385334</v>
      </c>
      <c r="I40" s="1">
        <f>Quartile_S[[#This Row],[P/B Q3]]+1.5*(Quartile_S[[#This Row],[P/B Q3]]-Quartile_S[[#This Row],[P/B Q1]])</f>
        <v>3.3266823429403871</v>
      </c>
      <c r="J40" s="1" cm="1">
        <f t="array" ref="J40">_xlfn.QUARTILE.INC(IF(Quartile_S[[#This Row],[Industry]]=Main_S[Industry],Main_S[ROE]),1)</f>
        <v>5.3475000000000001</v>
      </c>
      <c r="K40" s="1" cm="1">
        <f t="array" ref="K40">_xlfn.QUARTILE.INC(IF(Quartile_S[[#This Row],[Industry]]=Main_S[Industry],Main_S[ROE]),3)</f>
        <v>13.595000000000001</v>
      </c>
      <c r="L40" s="1">
        <f>Quartile_S[[#This Row],[ROE Q1]]-1.5*(Quartile_S[[#This Row],[ROE Q3]]-Quartile_S[[#This Row],[ROE Q1]])</f>
        <v>-7.0237499999999997</v>
      </c>
      <c r="M40" s="1">
        <f>Quartile_S[[#This Row],[ROE Q3]]+1.5*(Quartile_S[[#This Row],[ROE Q3]]-Quartile_S[[#This Row],[ROE Q1]])</f>
        <v>25.966250000000002</v>
      </c>
      <c r="N40" s="1" cm="1">
        <f t="array" ref="N40">_xlfn.QUARTILE.INC(IF(Quartile_S[[#This Row],[Industry]]=Main_S[Industry],Main_S[ROA]),1)</f>
        <v>3.6599999999999997</v>
      </c>
      <c r="O40" s="1" cm="1">
        <f t="array" ref="O40">_xlfn.QUARTILE.INC(IF(Quartile_S[[#This Row],[Industry]]=Main_S[Industry],Main_S[ROA]),3)</f>
        <v>7.3925000000000001</v>
      </c>
      <c r="P40" s="1">
        <f>Quartile_S[[#This Row],[ROA Q1]]-1.5*(Quartile_S[[#This Row],[ROA Q3]]-Quartile_S[[#This Row],[ROA Q1]])</f>
        <v>-1.9387500000000011</v>
      </c>
      <c r="Q40" s="1">
        <f>Quartile_S[[#This Row],[ROA Q3]]+1.5*(Quartile_S[[#This Row],[ROA Q3]]-Quartile_S[[#This Row],[ROA Q1]])</f>
        <v>12.991250000000001</v>
      </c>
      <c r="R40" s="1" cm="1">
        <f t="array" ref="R40">_xlfn.QUARTILE.INC(IF(Quartile_S[[#This Row],[Industry]]=Main_S[Industry],Main_S[P/E]),1)</f>
        <v>10.515490613792885</v>
      </c>
      <c r="S40" s="1" cm="1">
        <f t="array" ref="S40">_xlfn.QUARTILE.INC(IF(Quartile_S[[#This Row],[Industry]]=Main_S[Industry],Main_S[P/E]),3)</f>
        <v>21.06408339197748</v>
      </c>
      <c r="T40" s="1">
        <f>Quartile_S[[#This Row],[P/E Q1]]-1.5*(Quartile_S[[#This Row],[P/E Q3]]-Quartile_S[[#This Row],[P/E Q1]])</f>
        <v>-5.307398553484008</v>
      </c>
      <c r="U40" s="1">
        <f>Quartile_S[[#This Row],[P/E Q3]]+1.5*(Quartile_S[[#This Row],[P/E Q3]]-Quartile_S[[#This Row],[P/E Q1]])</f>
        <v>36.886972559254374</v>
      </c>
      <c r="V40" s="1" cm="1">
        <f t="array" ref="V40">_xlfn.QUARTILE.INC(IF(Quartile_S[[#This Row],[Industry]]=Main_S[Industry],Main_S[A/E]),1)</f>
        <v>1.655</v>
      </c>
      <c r="W40" s="1" cm="1">
        <f t="array" ref="W40">_xlfn.QUARTILE.INC(IF(Quartile_S[[#This Row],[Industry]]=Main_S[Industry],Main_S[A/E]),3)</f>
        <v>2.4350000000000001</v>
      </c>
      <c r="X40" s="1">
        <f>Quartile_S[[#This Row],[A/E Q1]]-1.5*(Quartile_S[[#This Row],[A/E Q3]]-Quartile_S[[#This Row],[A/E Q1]])</f>
        <v>0.4850000000000001</v>
      </c>
      <c r="Y40" s="1">
        <f>Quartile_S[[#This Row],[A/E Q3]]+1.5*(Quartile_S[[#This Row],[A/E Q3]]-Quartile_S[[#This Row],[A/E Q1]])</f>
        <v>3.605</v>
      </c>
    </row>
    <row r="41" spans="1:25" x14ac:dyDescent="0.25">
      <c r="A41" t="s">
        <v>135</v>
      </c>
      <c r="B41" s="1" cm="1">
        <f t="array" ref="B41">_xlfn.QUARTILE.INC(IF(Quartile_S[[#This Row],[Industry]]=Main_S[Industry],Main_S[P/FCF]),1)</f>
        <v>0.62407088843493508</v>
      </c>
      <c r="C41" s="1" cm="1">
        <f t="array" ref="C41">_xlfn.QUARTILE.INC(IF(Quartile_S[[#This Row],[Industry]]=Main_S[Industry],Main_S[P/FCF]),3)</f>
        <v>23.859090909090909</v>
      </c>
      <c r="D41" s="1">
        <f>Quartile_S[[#This Row],[P/FCF Q1]]-1.5*(Quartile_S[[#This Row],[P/FCF Q3]]-Quartile_S[[#This Row],[P/FCF Q1]])</f>
        <v>-34.228459142549021</v>
      </c>
      <c r="E41" s="1">
        <f>Quartile_S[[#This Row],[P/FCF Q3]]+1.5*(Quartile_S[[#This Row],[P/FCF Q3]]-Quartile_S[[#This Row],[P/FCF Q1]])</f>
        <v>58.711620940074866</v>
      </c>
      <c r="F41" s="1" cm="1">
        <f t="array" ref="F41">_xlfn.QUARTILE.INC(IF(Quartile_S[[#This Row],[Industry]]=Main_S[Industry],Main_S[P/B]),1)</f>
        <v>1.5465535042419423</v>
      </c>
      <c r="G41" s="1" cm="1">
        <f t="array" ref="G41">_xlfn.QUARTILE.INC(IF(Quartile_S[[#This Row],[Industry]]=Main_S[Industry],Main_S[P/B]),3)</f>
        <v>2.7817979154603361</v>
      </c>
      <c r="H41" s="1">
        <f>Quartile_S[[#This Row],[P/B Q1]]-1.5*(Quartile_S[[#This Row],[P/B Q3]]-Quartile_S[[#This Row],[P/B Q1]])</f>
        <v>-0.30631311258564842</v>
      </c>
      <c r="I41" s="1">
        <f>Quartile_S[[#This Row],[P/B Q3]]+1.5*(Quartile_S[[#This Row],[P/B Q3]]-Quartile_S[[#This Row],[P/B Q1]])</f>
        <v>4.6346645322879265</v>
      </c>
      <c r="J41" s="1" cm="1">
        <f t="array" ref="J41">_xlfn.QUARTILE.INC(IF(Quartile_S[[#This Row],[Industry]]=Main_S[Industry],Main_S[ROE]),1)</f>
        <v>0.72500000000000009</v>
      </c>
      <c r="K41" s="1" cm="1">
        <f t="array" ref="K41">_xlfn.QUARTILE.INC(IF(Quartile_S[[#This Row],[Industry]]=Main_S[Industry],Main_S[ROE]),3)</f>
        <v>10.210000000000001</v>
      </c>
      <c r="L41" s="1">
        <f>Quartile_S[[#This Row],[ROE Q1]]-1.5*(Quartile_S[[#This Row],[ROE Q3]]-Quartile_S[[#This Row],[ROE Q1]])</f>
        <v>-13.502500000000003</v>
      </c>
      <c r="M41" s="1">
        <f>Quartile_S[[#This Row],[ROE Q3]]+1.5*(Quartile_S[[#This Row],[ROE Q3]]-Quartile_S[[#This Row],[ROE Q1]])</f>
        <v>24.437500000000004</v>
      </c>
      <c r="N41" s="1" cm="1">
        <f t="array" ref="N41">_xlfn.QUARTILE.INC(IF(Quartile_S[[#This Row],[Industry]]=Main_S[Industry],Main_S[ROA]),1)</f>
        <v>0.9574999999999998</v>
      </c>
      <c r="O41" s="1" cm="1">
        <f t="array" ref="O41">_xlfn.QUARTILE.INC(IF(Quartile_S[[#This Row],[Industry]]=Main_S[Industry],Main_S[ROA]),3)</f>
        <v>4.7050000000000001</v>
      </c>
      <c r="P41" s="1">
        <f>Quartile_S[[#This Row],[ROA Q1]]-1.5*(Quartile_S[[#This Row],[ROA Q3]]-Quartile_S[[#This Row],[ROA Q1]])</f>
        <v>-4.6637500000000012</v>
      </c>
      <c r="Q41" s="1">
        <f>Quartile_S[[#This Row],[ROA Q3]]+1.5*(Quartile_S[[#This Row],[ROA Q3]]-Quartile_S[[#This Row],[ROA Q1]])</f>
        <v>10.326250000000002</v>
      </c>
      <c r="R41" s="1" cm="1">
        <f t="array" ref="R41">_xlfn.QUARTILE.INC(IF(Quartile_S[[#This Row],[Industry]]=Main_S[Industry],Main_S[P/E]),1)</f>
        <v>0.92295833959993878</v>
      </c>
      <c r="S41" s="1" cm="1">
        <f t="array" ref="S41">_xlfn.QUARTILE.INC(IF(Quartile_S[[#This Row],[Industry]]=Main_S[Industry],Main_S[P/E]),3)</f>
        <v>74.910521582733821</v>
      </c>
      <c r="T41" s="1">
        <f>Quartile_S[[#This Row],[P/E Q1]]-1.5*(Quartile_S[[#This Row],[P/E Q3]]-Quartile_S[[#This Row],[P/E Q1]])</f>
        <v>-110.05838652510087</v>
      </c>
      <c r="U41" s="1">
        <f>Quartile_S[[#This Row],[P/E Q3]]+1.5*(Quartile_S[[#This Row],[P/E Q3]]-Quartile_S[[#This Row],[P/E Q1]])</f>
        <v>185.89186644743464</v>
      </c>
      <c r="V41" s="1" cm="1">
        <f t="array" ref="V41">_xlfn.QUARTILE.INC(IF(Quartile_S[[#This Row],[Industry]]=Main_S[Industry],Main_S[A/E]),1)</f>
        <v>2.0825</v>
      </c>
      <c r="W41" s="1" cm="1">
        <f t="array" ref="W41">_xlfn.QUARTILE.INC(IF(Quartile_S[[#This Row],[Industry]]=Main_S[Industry],Main_S[A/E]),3)</f>
        <v>3.5575000000000001</v>
      </c>
      <c r="X41" s="1">
        <f>Quartile_S[[#This Row],[A/E Q1]]-1.5*(Quartile_S[[#This Row],[A/E Q3]]-Quartile_S[[#This Row],[A/E Q1]])</f>
        <v>-0.13000000000000034</v>
      </c>
      <c r="Y41" s="1">
        <f>Quartile_S[[#This Row],[A/E Q3]]+1.5*(Quartile_S[[#This Row],[A/E Q3]]-Quartile_S[[#This Row],[A/E Q1]])</f>
        <v>5.7700000000000005</v>
      </c>
    </row>
    <row r="42" spans="1:25" x14ac:dyDescent="0.25">
      <c r="A42" t="s">
        <v>142</v>
      </c>
      <c r="B42" s="1" cm="1">
        <f t="array" ref="B42">_xlfn.QUARTILE.INC(IF(Quartile_S[[#This Row],[Industry]]=Main_S[Industry],Main_S[P/FCF]),1)</f>
        <v>-6.9323593073593068</v>
      </c>
      <c r="C42" s="1" cm="1">
        <f t="array" ref="C42">_xlfn.QUARTILE.INC(IF(Quartile_S[[#This Row],[Industry]]=Main_S[Industry],Main_S[P/FCF]),3)</f>
        <v>13.99561646363972</v>
      </c>
      <c r="D42" s="1">
        <f>Quartile_S[[#This Row],[P/FCF Q1]]-1.5*(Quartile_S[[#This Row],[P/FCF Q3]]-Quartile_S[[#This Row],[P/FCF Q1]])</f>
        <v>-38.324322963857846</v>
      </c>
      <c r="E42" s="1">
        <f>Quartile_S[[#This Row],[P/FCF Q3]]+1.5*(Quartile_S[[#This Row],[P/FCF Q3]]-Quartile_S[[#This Row],[P/FCF Q1]])</f>
        <v>45.38758012013826</v>
      </c>
      <c r="F42" s="1" cm="1">
        <f t="array" ref="F42">_xlfn.QUARTILE.INC(IF(Quartile_S[[#This Row],[Industry]]=Main_S[Industry],Main_S[P/B]),1)</f>
        <v>1.09025188616178</v>
      </c>
      <c r="G42" s="1" cm="1">
        <f t="array" ref="G42">_xlfn.QUARTILE.INC(IF(Quartile_S[[#This Row],[Industry]]=Main_S[Industry],Main_S[P/B]),3)</f>
        <v>4.4931251758267052</v>
      </c>
      <c r="H42" s="1">
        <f>Quartile_S[[#This Row],[P/B Q1]]-1.5*(Quartile_S[[#This Row],[P/B Q3]]-Quartile_S[[#This Row],[P/B Q1]])</f>
        <v>-4.0140580483356088</v>
      </c>
      <c r="I42" s="1">
        <f>Quartile_S[[#This Row],[P/B Q3]]+1.5*(Quartile_S[[#This Row],[P/B Q3]]-Quartile_S[[#This Row],[P/B Q1]])</f>
        <v>9.5974351103240938</v>
      </c>
      <c r="J42" s="1" cm="1">
        <f t="array" ref="J42">_xlfn.QUARTILE.INC(IF(Quartile_S[[#This Row],[Industry]]=Main_S[Industry],Main_S[ROE]),1)</f>
        <v>-67.692499999999995</v>
      </c>
      <c r="K42" s="1" cm="1">
        <f t="array" ref="K42">_xlfn.QUARTILE.INC(IF(Quartile_S[[#This Row],[Industry]]=Main_S[Industry],Main_S[ROE]),3)</f>
        <v>4.92</v>
      </c>
      <c r="L42" s="1">
        <f>Quartile_S[[#This Row],[ROE Q1]]-1.5*(Quartile_S[[#This Row],[ROE Q3]]-Quartile_S[[#This Row],[ROE Q1]])</f>
        <v>-176.61124999999998</v>
      </c>
      <c r="M42" s="1">
        <f>Quartile_S[[#This Row],[ROE Q3]]+1.5*(Quartile_S[[#This Row],[ROE Q3]]-Quartile_S[[#This Row],[ROE Q1]])</f>
        <v>113.83874999999999</v>
      </c>
      <c r="N42" s="1" cm="1">
        <f t="array" ref="N42">_xlfn.QUARTILE.INC(IF(Quartile_S[[#This Row],[Industry]]=Main_S[Industry],Main_S[ROA]),1)</f>
        <v>-16.105</v>
      </c>
      <c r="O42" s="1" cm="1">
        <f t="array" ref="O42">_xlfn.QUARTILE.INC(IF(Quartile_S[[#This Row],[Industry]]=Main_S[Industry],Main_S[ROA]),3)</f>
        <v>3.7025000000000001</v>
      </c>
      <c r="P42" s="1">
        <f>Quartile_S[[#This Row],[ROA Q1]]-1.5*(Quartile_S[[#This Row],[ROA Q3]]-Quartile_S[[#This Row],[ROA Q1]])</f>
        <v>-45.816249999999997</v>
      </c>
      <c r="Q42" s="1">
        <f>Quartile_S[[#This Row],[ROA Q3]]+1.5*(Quartile_S[[#This Row],[ROA Q3]]-Quartile_S[[#This Row],[ROA Q1]])</f>
        <v>33.41375</v>
      </c>
      <c r="R42" s="1" cm="1">
        <f t="array" ref="R42">_xlfn.QUARTILE.INC(IF(Quartile_S[[#This Row],[Industry]]=Main_S[Industry],Main_S[P/E]),1)</f>
        <v>-6.375</v>
      </c>
      <c r="S42" s="1" cm="1">
        <f t="array" ref="S42">_xlfn.QUARTILE.INC(IF(Quartile_S[[#This Row],[Industry]]=Main_S[Industry],Main_S[P/E]),3)</f>
        <v>21.195583895349376</v>
      </c>
      <c r="T42" s="1">
        <f>Quartile_S[[#This Row],[P/E Q1]]-1.5*(Quartile_S[[#This Row],[P/E Q3]]-Quartile_S[[#This Row],[P/E Q1]])</f>
        <v>-47.730875843024066</v>
      </c>
      <c r="U42" s="1">
        <f>Quartile_S[[#This Row],[P/E Q3]]+1.5*(Quartile_S[[#This Row],[P/E Q3]]-Quartile_S[[#This Row],[P/E Q1]])</f>
        <v>62.551459738373438</v>
      </c>
      <c r="V42" s="1" cm="1">
        <f t="array" ref="V42">_xlfn.QUARTILE.INC(IF(Quartile_S[[#This Row],[Industry]]=Main_S[Industry],Main_S[A/E]),1)</f>
        <v>1.1074999999999999</v>
      </c>
      <c r="W42" s="1" cm="1">
        <f t="array" ref="W42">_xlfn.QUARTILE.INC(IF(Quartile_S[[#This Row],[Industry]]=Main_S[Industry],Main_S[A/E]),3)</f>
        <v>2.1100000000000003</v>
      </c>
      <c r="X42" s="1">
        <f>Quartile_S[[#This Row],[A/E Q1]]-1.5*(Quartile_S[[#This Row],[A/E Q3]]-Quartile_S[[#This Row],[A/E Q1]])</f>
        <v>-0.39625000000000066</v>
      </c>
      <c r="Y42" s="1">
        <f>Quartile_S[[#This Row],[A/E Q3]]+1.5*(Quartile_S[[#This Row],[A/E Q3]]-Quartile_S[[#This Row],[A/E Q1]])</f>
        <v>3.6137500000000009</v>
      </c>
    </row>
    <row r="43" spans="1:25" x14ac:dyDescent="0.25">
      <c r="A43" t="s">
        <v>154</v>
      </c>
      <c r="B43" s="1" cm="1">
        <f t="array" ref="B43">_xlfn.QUARTILE.INC(IF(Quartile_S[[#This Row],[Industry]]=Main_S[Industry],Main_S[P/FCF]),1)</f>
        <v>-2.1189127410057642</v>
      </c>
      <c r="C43" s="1" cm="1">
        <f t="array" ref="C43">_xlfn.QUARTILE.INC(IF(Quartile_S[[#This Row],[Industry]]=Main_S[Industry],Main_S[P/FCF]),3)</f>
        <v>3.9831544424567689</v>
      </c>
      <c r="D43" s="1">
        <f>Quartile_S[[#This Row],[P/FCF Q1]]-1.5*(Quartile_S[[#This Row],[P/FCF Q3]]-Quartile_S[[#This Row],[P/FCF Q1]])</f>
        <v>-11.272013516199564</v>
      </c>
      <c r="E43" s="1">
        <f>Quartile_S[[#This Row],[P/FCF Q3]]+1.5*(Quartile_S[[#This Row],[P/FCF Q3]]-Quartile_S[[#This Row],[P/FCF Q1]])</f>
        <v>13.136255217650568</v>
      </c>
      <c r="F43" s="1" cm="1">
        <f t="array" ref="F43">_xlfn.QUARTILE.INC(IF(Quartile_S[[#This Row],[Industry]]=Main_S[Industry],Main_S[P/B]),1)</f>
        <v>-19.636657587000421</v>
      </c>
      <c r="G43" s="1" cm="1">
        <f t="array" ref="G43">_xlfn.QUARTILE.INC(IF(Quartile_S[[#This Row],[Industry]]=Main_S[Industry],Main_S[P/B]),3)</f>
        <v>-4.8912811722162211</v>
      </c>
      <c r="H43" s="1">
        <f>Quartile_S[[#This Row],[P/B Q1]]-1.5*(Quartile_S[[#This Row],[P/B Q3]]-Quartile_S[[#This Row],[P/B Q1]])</f>
        <v>-41.75472220917672</v>
      </c>
      <c r="I43" s="1">
        <f>Quartile_S[[#This Row],[P/B Q3]]+1.5*(Quartile_S[[#This Row],[P/B Q3]]-Quartile_S[[#This Row],[P/B Q1]])</f>
        <v>17.226783449960077</v>
      </c>
      <c r="J43" s="1" cm="1">
        <f t="array" ref="J43">_xlfn.QUARTILE.INC(IF(Quartile_S[[#This Row],[Industry]]=Main_S[Industry],Main_S[ROE]),1)</f>
        <v>-38.234999999999999</v>
      </c>
      <c r="K43" s="1" cm="1">
        <f t="array" ref="K43">_xlfn.QUARTILE.INC(IF(Quartile_S[[#This Row],[Industry]]=Main_S[Industry],Main_S[ROE]),3)</f>
        <v>-8.9450000000000003</v>
      </c>
      <c r="L43" s="1">
        <f>Quartile_S[[#This Row],[ROE Q1]]-1.5*(Quartile_S[[#This Row],[ROE Q3]]-Quartile_S[[#This Row],[ROE Q1]])</f>
        <v>-82.17</v>
      </c>
      <c r="M43" s="1">
        <f>Quartile_S[[#This Row],[ROE Q3]]+1.5*(Quartile_S[[#This Row],[ROE Q3]]-Quartile_S[[#This Row],[ROE Q1]])</f>
        <v>34.99</v>
      </c>
      <c r="N43" s="1" cm="1">
        <f t="array" ref="N43">_xlfn.QUARTILE.INC(IF(Quartile_S[[#This Row],[Industry]]=Main_S[Industry],Main_S[ROA]),1)</f>
        <v>1.5525</v>
      </c>
      <c r="O43" s="1" cm="1">
        <f t="array" ref="O43">_xlfn.QUARTILE.INC(IF(Quartile_S[[#This Row],[Industry]]=Main_S[Industry],Main_S[ROA]),3)</f>
        <v>2.9975000000000001</v>
      </c>
      <c r="P43" s="1">
        <f>Quartile_S[[#This Row],[ROA Q1]]-1.5*(Quartile_S[[#This Row],[ROA Q3]]-Quartile_S[[#This Row],[ROA Q1]])</f>
        <v>-0.61499999999999999</v>
      </c>
      <c r="Q43" s="1">
        <f>Quartile_S[[#This Row],[ROA Q3]]+1.5*(Quartile_S[[#This Row],[ROA Q3]]-Quartile_S[[#This Row],[ROA Q1]])</f>
        <v>5.165</v>
      </c>
      <c r="R43" s="1" cm="1">
        <f t="array" ref="R43">_xlfn.QUARTILE.INC(IF(Quartile_S[[#This Row],[Industry]]=Main_S[Industry],Main_S[P/E]),1)</f>
        <v>-169.00314557120242</v>
      </c>
      <c r="S43" s="1" cm="1">
        <f t="array" ref="S43">_xlfn.QUARTILE.INC(IF(Quartile_S[[#This Row],[Industry]]=Main_S[Industry],Main_S[P/E]),3)</f>
        <v>-58.100345804516309</v>
      </c>
      <c r="T43" s="1">
        <f>Quartile_S[[#This Row],[P/E Q1]]-1.5*(Quartile_S[[#This Row],[P/E Q3]]-Quartile_S[[#This Row],[P/E Q1]])</f>
        <v>-335.35734522123158</v>
      </c>
      <c r="U43" s="1">
        <f>Quartile_S[[#This Row],[P/E Q3]]+1.5*(Quartile_S[[#This Row],[P/E Q3]]-Quartile_S[[#This Row],[P/E Q1]])</f>
        <v>108.25385384551285</v>
      </c>
      <c r="V43" s="1" cm="1">
        <f t="array" ref="V43">_xlfn.QUARTILE.INC(IF(Quartile_S[[#This Row],[Industry]]=Main_S[Industry],Main_S[A/E]),1)</f>
        <v>-176.77499999999998</v>
      </c>
      <c r="W43" s="1" cm="1">
        <f t="array" ref="W43">_xlfn.QUARTILE.INC(IF(Quartile_S[[#This Row],[Industry]]=Main_S[Industry],Main_S[A/E]),3)</f>
        <v>-35.484999999999985</v>
      </c>
      <c r="X43" s="1">
        <f>Quartile_S[[#This Row],[A/E Q1]]-1.5*(Quartile_S[[#This Row],[A/E Q3]]-Quartile_S[[#This Row],[A/E Q1]])</f>
        <v>-388.71</v>
      </c>
      <c r="Y43" s="1">
        <f>Quartile_S[[#This Row],[A/E Q3]]+1.5*(Quartile_S[[#This Row],[A/E Q3]]-Quartile_S[[#This Row],[A/E Q1]])</f>
        <v>176.45000000000002</v>
      </c>
    </row>
    <row r="44" spans="1:25" x14ac:dyDescent="0.25">
      <c r="A44" t="s">
        <v>157</v>
      </c>
      <c r="B44" s="1" cm="1">
        <f t="array" ref="B44">_xlfn.QUARTILE.INC(IF(Quartile_S[[#This Row],[Industry]]=Main_S[Industry],Main_S[P/FCF]),1)</f>
        <v>6.1446808510638302</v>
      </c>
      <c r="C44" s="1" cm="1">
        <f t="array" ref="C44">_xlfn.QUARTILE.INC(IF(Quartile_S[[#This Row],[Industry]]=Main_S[Industry],Main_S[P/FCF]),3)</f>
        <v>21.939024390243901</v>
      </c>
      <c r="D44" s="1">
        <f>Quartile_S[[#This Row],[P/FCF Q1]]-1.5*(Quartile_S[[#This Row],[P/FCF Q3]]-Quartile_S[[#This Row],[P/FCF Q1]])</f>
        <v>-17.546834457706275</v>
      </c>
      <c r="E44" s="1">
        <f>Quartile_S[[#This Row],[P/FCF Q3]]+1.5*(Quartile_S[[#This Row],[P/FCF Q3]]-Quartile_S[[#This Row],[P/FCF Q1]])</f>
        <v>45.630539699014008</v>
      </c>
      <c r="F44" s="1" cm="1">
        <f t="array" ref="F44">_xlfn.QUARTILE.INC(IF(Quartile_S[[#This Row],[Industry]]=Main_S[Industry],Main_S[P/B]),1)</f>
        <v>1.0221410146173688</v>
      </c>
      <c r="G44" s="1" cm="1">
        <f t="array" ref="G44">_xlfn.QUARTILE.INC(IF(Quartile_S[[#This Row],[Industry]]=Main_S[Industry],Main_S[P/B]),3)</f>
        <v>2.6169642857142859</v>
      </c>
      <c r="H44" s="1">
        <f>Quartile_S[[#This Row],[P/B Q1]]-1.5*(Quartile_S[[#This Row],[P/B Q3]]-Quartile_S[[#This Row],[P/B Q1]])</f>
        <v>-1.3700938920280066</v>
      </c>
      <c r="I44" s="1">
        <f>Quartile_S[[#This Row],[P/B Q3]]+1.5*(Quartile_S[[#This Row],[P/B Q3]]-Quartile_S[[#This Row],[P/B Q1]])</f>
        <v>5.0091991923596613</v>
      </c>
      <c r="J44" s="1" cm="1">
        <f t="array" ref="J44">_xlfn.QUARTILE.INC(IF(Quartile_S[[#This Row],[Industry]]=Main_S[Industry],Main_S[ROE]),1)</f>
        <v>1.1950000000000001</v>
      </c>
      <c r="K44" s="1" cm="1">
        <f t="array" ref="K44">_xlfn.QUARTILE.INC(IF(Quartile_S[[#This Row],[Industry]]=Main_S[Industry],Main_S[ROE]),3)</f>
        <v>13.25</v>
      </c>
      <c r="L44" s="1">
        <f>Quartile_S[[#This Row],[ROE Q1]]-1.5*(Quartile_S[[#This Row],[ROE Q3]]-Quartile_S[[#This Row],[ROE Q1]])</f>
        <v>-16.887499999999999</v>
      </c>
      <c r="M44" s="1">
        <f>Quartile_S[[#This Row],[ROE Q3]]+1.5*(Quartile_S[[#This Row],[ROE Q3]]-Quartile_S[[#This Row],[ROE Q1]])</f>
        <v>31.3325</v>
      </c>
      <c r="N44" s="1" cm="1">
        <f t="array" ref="N44">_xlfn.QUARTILE.INC(IF(Quartile_S[[#This Row],[Industry]]=Main_S[Industry],Main_S[ROA]),1)</f>
        <v>1.38</v>
      </c>
      <c r="O44" s="1" cm="1">
        <f t="array" ref="O44">_xlfn.QUARTILE.INC(IF(Quartile_S[[#This Row],[Industry]]=Main_S[Industry],Main_S[ROA]),3)</f>
        <v>5.7350000000000003</v>
      </c>
      <c r="P44" s="1">
        <f>Quartile_S[[#This Row],[ROA Q1]]-1.5*(Quartile_S[[#This Row],[ROA Q3]]-Quartile_S[[#This Row],[ROA Q1]])</f>
        <v>-5.1525000000000007</v>
      </c>
      <c r="Q44" s="1">
        <f>Quartile_S[[#This Row],[ROA Q3]]+1.5*(Quartile_S[[#This Row],[ROA Q3]]-Quartile_S[[#This Row],[ROA Q1]])</f>
        <v>12.267500000000002</v>
      </c>
      <c r="R44" s="1" cm="1">
        <f t="array" ref="R44">_xlfn.QUARTILE.INC(IF(Quartile_S[[#This Row],[Industry]]=Main_S[Industry],Main_S[P/E]),1)</f>
        <v>5.388059701492538</v>
      </c>
      <c r="S44" s="1" cm="1">
        <f t="array" ref="S44">_xlfn.QUARTILE.INC(IF(Quartile_S[[#This Row],[Industry]]=Main_S[Industry],Main_S[P/E]),3)</f>
        <v>28.820512820512821</v>
      </c>
      <c r="T44" s="1">
        <f>Quartile_S[[#This Row],[P/E Q1]]-1.5*(Quartile_S[[#This Row],[P/E Q3]]-Quartile_S[[#This Row],[P/E Q1]])</f>
        <v>-29.760619977037891</v>
      </c>
      <c r="U44" s="1">
        <f>Quartile_S[[#This Row],[P/E Q3]]+1.5*(Quartile_S[[#This Row],[P/E Q3]]-Quartile_S[[#This Row],[P/E Q1]])</f>
        <v>63.969192499043245</v>
      </c>
      <c r="V44" s="1" cm="1">
        <f t="array" ref="V44">_xlfn.QUARTILE.INC(IF(Quartile_S[[#This Row],[Industry]]=Main_S[Industry],Main_S[A/E]),1)</f>
        <v>1.67</v>
      </c>
      <c r="W44" s="1" cm="1">
        <f t="array" ref="W44">_xlfn.QUARTILE.INC(IF(Quartile_S[[#This Row],[Industry]]=Main_S[Industry],Main_S[A/E]),3)</f>
        <v>2.9424999999999999</v>
      </c>
      <c r="X44" s="1">
        <f>Quartile_S[[#This Row],[A/E Q1]]-1.5*(Quartile_S[[#This Row],[A/E Q3]]-Quartile_S[[#This Row],[A/E Q1]])</f>
        <v>-0.23875000000000002</v>
      </c>
      <c r="Y44" s="1">
        <f>Quartile_S[[#This Row],[A/E Q3]]+1.5*(Quartile_S[[#This Row],[A/E Q3]]-Quartile_S[[#This Row],[A/E Q1]])</f>
        <v>4.8512500000000003</v>
      </c>
    </row>
    <row r="45" spans="1:25" x14ac:dyDescent="0.25">
      <c r="A45" t="s">
        <v>181</v>
      </c>
      <c r="B45" s="1" cm="1">
        <f t="array" ref="B45">_xlfn.QUARTILE.INC(IF(Quartile_S[[#This Row],[Industry]]=Main_S[Industry],Main_S[P/FCF]),1)</f>
        <v>-1.6566681357644426</v>
      </c>
      <c r="C45" s="1" cm="1">
        <f t="array" ref="C45">_xlfn.QUARTILE.INC(IF(Quartile_S[[#This Row],[Industry]]=Main_S[Industry],Main_S[P/FCF]),3)</f>
        <v>19.631054131054132</v>
      </c>
      <c r="D45" s="1">
        <f>Quartile_S[[#This Row],[P/FCF Q1]]-1.5*(Quartile_S[[#This Row],[P/FCF Q3]]-Quartile_S[[#This Row],[P/FCF Q1]])</f>
        <v>-33.588251535992299</v>
      </c>
      <c r="E45" s="1">
        <f>Quartile_S[[#This Row],[P/FCF Q3]]+1.5*(Quartile_S[[#This Row],[P/FCF Q3]]-Quartile_S[[#This Row],[P/FCF Q1]])</f>
        <v>51.562637531281993</v>
      </c>
      <c r="F45" s="1" cm="1">
        <f t="array" ref="F45">_xlfn.QUARTILE.INC(IF(Quartile_S[[#This Row],[Industry]]=Main_S[Industry],Main_S[P/B]),1)</f>
        <v>1.218060836501901</v>
      </c>
      <c r="G45" s="1" cm="1">
        <f t="array" ref="G45">_xlfn.QUARTILE.INC(IF(Quartile_S[[#This Row],[Industry]]=Main_S[Industry],Main_S[P/B]),3)</f>
        <v>2.8570137827906557</v>
      </c>
      <c r="H45" s="1">
        <f>Quartile_S[[#This Row],[P/B Q1]]-1.5*(Quartile_S[[#This Row],[P/B Q3]]-Quartile_S[[#This Row],[P/B Q1]])</f>
        <v>-1.240368582931231</v>
      </c>
      <c r="I45" s="1">
        <f>Quartile_S[[#This Row],[P/B Q3]]+1.5*(Quartile_S[[#This Row],[P/B Q3]]-Quartile_S[[#This Row],[P/B Q1]])</f>
        <v>5.3154432022237881</v>
      </c>
      <c r="J45" s="1" cm="1">
        <f t="array" ref="J45">_xlfn.QUARTILE.INC(IF(Quartile_S[[#This Row],[Industry]]=Main_S[Industry],Main_S[ROE]),1)</f>
        <v>-4.2699999999999996</v>
      </c>
      <c r="K45" s="1" cm="1">
        <f t="array" ref="K45">_xlfn.QUARTILE.INC(IF(Quartile_S[[#This Row],[Industry]]=Main_S[Industry],Main_S[ROE]),3)</f>
        <v>12.995000000000001</v>
      </c>
      <c r="L45" s="1">
        <f>Quartile_S[[#This Row],[ROE Q1]]-1.5*(Quartile_S[[#This Row],[ROE Q3]]-Quartile_S[[#This Row],[ROE Q1]])</f>
        <v>-30.1675</v>
      </c>
      <c r="M45" s="1">
        <f>Quartile_S[[#This Row],[ROE Q3]]+1.5*(Quartile_S[[#This Row],[ROE Q3]]-Quartile_S[[#This Row],[ROE Q1]])</f>
        <v>38.892499999999998</v>
      </c>
      <c r="N45" s="1" cm="1">
        <f t="array" ref="N45">_xlfn.QUARTILE.INC(IF(Quartile_S[[#This Row],[Industry]]=Main_S[Industry],Main_S[ROA]),1)</f>
        <v>1.585</v>
      </c>
      <c r="O45" s="1" cm="1">
        <f t="array" ref="O45">_xlfn.QUARTILE.INC(IF(Quartile_S[[#This Row],[Industry]]=Main_S[Industry],Main_S[ROA]),3)</f>
        <v>5.51</v>
      </c>
      <c r="P45" s="1">
        <f>Quartile_S[[#This Row],[ROA Q1]]-1.5*(Quartile_S[[#This Row],[ROA Q3]]-Quartile_S[[#This Row],[ROA Q1]])</f>
        <v>-4.3024999999999993</v>
      </c>
      <c r="Q45" s="1">
        <f>Quartile_S[[#This Row],[ROA Q3]]+1.5*(Quartile_S[[#This Row],[ROA Q3]]-Quartile_S[[#This Row],[ROA Q1]])</f>
        <v>11.397499999999999</v>
      </c>
      <c r="R45" s="1" cm="1">
        <f t="array" ref="R45">_xlfn.QUARTILE.INC(IF(Quartile_S[[#This Row],[Industry]]=Main_S[Industry],Main_S[P/E]),1)</f>
        <v>-4.4006238859180034</v>
      </c>
      <c r="S45" s="1" cm="1">
        <f t="array" ref="S45">_xlfn.QUARTILE.INC(IF(Quartile_S[[#This Row],[Industry]]=Main_S[Industry],Main_S[P/E]),3)</f>
        <v>21.10504995516844</v>
      </c>
      <c r="T45" s="1">
        <f>Quartile_S[[#This Row],[P/E Q1]]-1.5*(Quartile_S[[#This Row],[P/E Q3]]-Quartile_S[[#This Row],[P/E Q1]])</f>
        <v>-42.659134647547667</v>
      </c>
      <c r="U45" s="1">
        <f>Quartile_S[[#This Row],[P/E Q3]]+1.5*(Quartile_S[[#This Row],[P/E Q3]]-Quartile_S[[#This Row],[P/E Q1]])</f>
        <v>59.363560716798105</v>
      </c>
      <c r="V45" s="1" cm="1">
        <f t="array" ref="V45">_xlfn.QUARTILE.INC(IF(Quartile_S[[#This Row],[Industry]]=Main_S[Industry],Main_S[A/E]),1)</f>
        <v>1.8824999999999998</v>
      </c>
      <c r="W45" s="1" cm="1">
        <f t="array" ref="W45">_xlfn.QUARTILE.INC(IF(Quartile_S[[#This Row],[Industry]]=Main_S[Industry],Main_S[A/E]),3)</f>
        <v>3.16</v>
      </c>
      <c r="X45" s="1">
        <f>Quartile_S[[#This Row],[A/E Q1]]-1.5*(Quartile_S[[#This Row],[A/E Q3]]-Quartile_S[[#This Row],[A/E Q1]])</f>
        <v>-3.3750000000000613E-2</v>
      </c>
      <c r="Y45" s="1">
        <f>Quartile_S[[#This Row],[A/E Q3]]+1.5*(Quartile_S[[#This Row],[A/E Q3]]-Quartile_S[[#This Row],[A/E Q1]])</f>
        <v>5.0762500000000008</v>
      </c>
    </row>
    <row r="46" spans="1:25" x14ac:dyDescent="0.25">
      <c r="A46" t="s">
        <v>191</v>
      </c>
      <c r="B46" s="1" cm="1">
        <f t="array" ref="B46">_xlfn.QUARTILE.INC(IF(Quartile_S[[#This Row],[Industry]]=Main_S[Industry],Main_S[P/FCF]),1)</f>
        <v>3.4086956521739133</v>
      </c>
      <c r="C46" s="1" cm="1">
        <f t="array" ref="C46">_xlfn.QUARTILE.INC(IF(Quartile_S[[#This Row],[Industry]]=Main_S[Industry],Main_S[P/FCF]),3)</f>
        <v>13.100000000000001</v>
      </c>
      <c r="D46" s="1">
        <f>Quartile_S[[#This Row],[P/FCF Q1]]-1.5*(Quartile_S[[#This Row],[P/FCF Q3]]-Quartile_S[[#This Row],[P/FCF Q1]])</f>
        <v>-11.128260869565219</v>
      </c>
      <c r="E46" s="1">
        <f>Quartile_S[[#This Row],[P/FCF Q3]]+1.5*(Quartile_S[[#This Row],[P/FCF Q3]]-Quartile_S[[#This Row],[P/FCF Q1]])</f>
        <v>27.636956521739133</v>
      </c>
      <c r="F46" s="1" cm="1">
        <f t="array" ref="F46">_xlfn.QUARTILE.INC(IF(Quartile_S[[#This Row],[Industry]]=Main_S[Industry],Main_S[P/B]),1)</f>
        <v>0.96326310102647206</v>
      </c>
      <c r="G46" s="1" cm="1">
        <f t="array" ref="G46">_xlfn.QUARTILE.INC(IF(Quartile_S[[#This Row],[Industry]]=Main_S[Industry],Main_S[P/B]),3)</f>
        <v>2.0595744680851062</v>
      </c>
      <c r="H46" s="1">
        <f>Quartile_S[[#This Row],[P/B Q1]]-1.5*(Quartile_S[[#This Row],[P/B Q3]]-Quartile_S[[#This Row],[P/B Q1]])</f>
        <v>-0.68120394956147923</v>
      </c>
      <c r="I46" s="1">
        <f>Quartile_S[[#This Row],[P/B Q3]]+1.5*(Quartile_S[[#This Row],[P/B Q3]]-Quartile_S[[#This Row],[P/B Q1]])</f>
        <v>3.7040415186730575</v>
      </c>
      <c r="J46" s="1" cm="1">
        <f t="array" ref="J46">_xlfn.QUARTILE.INC(IF(Quartile_S[[#This Row],[Industry]]=Main_S[Industry],Main_S[ROE]),1)</f>
        <v>-12.3</v>
      </c>
      <c r="K46" s="1" cm="1">
        <f t="array" ref="K46">_xlfn.QUARTILE.INC(IF(Quartile_S[[#This Row],[Industry]]=Main_S[Industry],Main_S[ROE]),3)</f>
        <v>12.34</v>
      </c>
      <c r="L46" s="1">
        <f>Quartile_S[[#This Row],[ROE Q1]]-1.5*(Quartile_S[[#This Row],[ROE Q3]]-Quartile_S[[#This Row],[ROE Q1]])</f>
        <v>-49.260000000000005</v>
      </c>
      <c r="M46" s="1">
        <f>Quartile_S[[#This Row],[ROE Q3]]+1.5*(Quartile_S[[#This Row],[ROE Q3]]-Quartile_S[[#This Row],[ROE Q1]])</f>
        <v>49.3</v>
      </c>
      <c r="N46" s="1" cm="1">
        <f t="array" ref="N46">_xlfn.QUARTILE.INC(IF(Quartile_S[[#This Row],[Industry]]=Main_S[Industry],Main_S[ROA]),1)</f>
        <v>2.04</v>
      </c>
      <c r="O46" s="1" cm="1">
        <f t="array" ref="O46">_xlfn.QUARTILE.INC(IF(Quartile_S[[#This Row],[Industry]]=Main_S[Industry],Main_S[ROA]),3)</f>
        <v>5.87</v>
      </c>
      <c r="P46" s="1">
        <f>Quartile_S[[#This Row],[ROA Q1]]-1.5*(Quartile_S[[#This Row],[ROA Q3]]-Quartile_S[[#This Row],[ROA Q1]])</f>
        <v>-3.7050000000000001</v>
      </c>
      <c r="Q46" s="1">
        <f>Quartile_S[[#This Row],[ROA Q3]]+1.5*(Quartile_S[[#This Row],[ROA Q3]]-Quartile_S[[#This Row],[ROA Q1]])</f>
        <v>11.615</v>
      </c>
      <c r="R46" s="1" cm="1">
        <f t="array" ref="R46">_xlfn.QUARTILE.INC(IF(Quartile_S[[#This Row],[Industry]]=Main_S[Industry],Main_S[P/E]),1)</f>
        <v>-3.4385964912280702</v>
      </c>
      <c r="S46" s="1" cm="1">
        <f t="array" ref="S46">_xlfn.QUARTILE.INC(IF(Quartile_S[[#This Row],[Industry]]=Main_S[Industry],Main_S[P/E]),3)</f>
        <v>20.253846153846151</v>
      </c>
      <c r="T46" s="1">
        <f>Quartile_S[[#This Row],[P/E Q1]]-1.5*(Quartile_S[[#This Row],[P/E Q3]]-Quartile_S[[#This Row],[P/E Q1]])</f>
        <v>-38.977260458839403</v>
      </c>
      <c r="U46" s="1">
        <f>Quartile_S[[#This Row],[P/E Q3]]+1.5*(Quartile_S[[#This Row],[P/E Q3]]-Quartile_S[[#This Row],[P/E Q1]])</f>
        <v>55.792510121457482</v>
      </c>
      <c r="V46" s="1" cm="1">
        <f t="array" ref="V46">_xlfn.QUARTILE.INC(IF(Quartile_S[[#This Row],[Industry]]=Main_S[Industry],Main_S[A/E]),1)</f>
        <v>1.6</v>
      </c>
      <c r="W46" s="1" cm="1">
        <f t="array" ref="W46">_xlfn.QUARTILE.INC(IF(Quartile_S[[#This Row],[Industry]]=Main_S[Industry],Main_S[A/E]),3)</f>
        <v>3.22</v>
      </c>
      <c r="X46" s="1">
        <f>Quartile_S[[#This Row],[A/E Q1]]-1.5*(Quartile_S[[#This Row],[A/E Q3]]-Quartile_S[[#This Row],[A/E Q1]])</f>
        <v>-0.83000000000000007</v>
      </c>
      <c r="Y46" s="1">
        <f>Quartile_S[[#This Row],[A/E Q3]]+1.5*(Quartile_S[[#This Row],[A/E Q3]]-Quartile_S[[#This Row],[A/E Q1]])</f>
        <v>5.65</v>
      </c>
    </row>
    <row r="47" spans="1:25" x14ac:dyDescent="0.25">
      <c r="A47" t="s">
        <v>204</v>
      </c>
      <c r="B47" s="1" cm="1">
        <f t="array" ref="B47">_xlfn.QUARTILE.INC(IF(Quartile_S[[#This Row],[Industry]]=Main_S[Industry],Main_S[P/FCF]),1)</f>
        <v>-5.1373411534701861</v>
      </c>
      <c r="C47" s="1" cm="1">
        <f t="array" ref="C47">_xlfn.QUARTILE.INC(IF(Quartile_S[[#This Row],[Industry]]=Main_S[Industry],Main_S[P/FCF]),3)</f>
        <v>16.015178571428571</v>
      </c>
      <c r="D47" s="1">
        <f>Quartile_S[[#This Row],[P/FCF Q1]]-1.5*(Quartile_S[[#This Row],[P/FCF Q3]]-Quartile_S[[#This Row],[P/FCF Q1]])</f>
        <v>-36.866120740818324</v>
      </c>
      <c r="E47" s="1">
        <f>Quartile_S[[#This Row],[P/FCF Q3]]+1.5*(Quartile_S[[#This Row],[P/FCF Q3]]-Quartile_S[[#This Row],[P/FCF Q1]])</f>
        <v>47.743958158776707</v>
      </c>
      <c r="F47" s="1" cm="1">
        <f t="array" ref="F47">_xlfn.QUARTILE.INC(IF(Quartile_S[[#This Row],[Industry]]=Main_S[Industry],Main_S[P/B]),1)</f>
        <v>1.0100028978690163</v>
      </c>
      <c r="G47" s="1" cm="1">
        <f t="array" ref="G47">_xlfn.QUARTILE.INC(IF(Quartile_S[[#This Row],[Industry]]=Main_S[Industry],Main_S[P/B]),3)</f>
        <v>4.075528951769388</v>
      </c>
      <c r="H47" s="1">
        <f>Quartile_S[[#This Row],[P/B Q1]]-1.5*(Quartile_S[[#This Row],[P/B Q3]]-Quartile_S[[#This Row],[P/B Q1]])</f>
        <v>-3.5882861829815411</v>
      </c>
      <c r="I47" s="1">
        <f>Quartile_S[[#This Row],[P/B Q3]]+1.5*(Quartile_S[[#This Row],[P/B Q3]]-Quartile_S[[#This Row],[P/B Q1]])</f>
        <v>8.6738180326199448</v>
      </c>
      <c r="J47" s="1" cm="1">
        <f t="array" ref="J47">_xlfn.QUARTILE.INC(IF(Quartile_S[[#This Row],[Industry]]=Main_S[Industry],Main_S[ROE]),1)</f>
        <v>-2.3075000000000001</v>
      </c>
      <c r="K47" s="1" cm="1">
        <f t="array" ref="K47">_xlfn.QUARTILE.INC(IF(Quartile_S[[#This Row],[Industry]]=Main_S[Industry],Main_S[ROE]),3)</f>
        <v>24.41</v>
      </c>
      <c r="L47" s="1">
        <f>Quartile_S[[#This Row],[ROE Q1]]-1.5*(Quartile_S[[#This Row],[ROE Q3]]-Quartile_S[[#This Row],[ROE Q1]])</f>
        <v>-42.383749999999999</v>
      </c>
      <c r="M47" s="1">
        <f>Quartile_S[[#This Row],[ROE Q3]]+1.5*(Quartile_S[[#This Row],[ROE Q3]]-Quartile_S[[#This Row],[ROE Q1]])</f>
        <v>64.486249999999998</v>
      </c>
      <c r="N47" s="1" cm="1">
        <f t="array" ref="N47">_xlfn.QUARTILE.INC(IF(Quartile_S[[#This Row],[Industry]]=Main_S[Industry],Main_S[ROA]),1)</f>
        <v>-0.745</v>
      </c>
      <c r="O47" s="1" cm="1">
        <f t="array" ref="O47">_xlfn.QUARTILE.INC(IF(Quartile_S[[#This Row],[Industry]]=Main_S[Industry],Main_S[ROA]),3)</f>
        <v>6.3849999999999998</v>
      </c>
      <c r="P47" s="1">
        <f>Quartile_S[[#This Row],[ROA Q1]]-1.5*(Quartile_S[[#This Row],[ROA Q3]]-Quartile_S[[#This Row],[ROA Q1]])</f>
        <v>-11.44</v>
      </c>
      <c r="Q47" s="1">
        <f>Quartile_S[[#This Row],[ROA Q3]]+1.5*(Quartile_S[[#This Row],[ROA Q3]]-Quartile_S[[#This Row],[ROA Q1]])</f>
        <v>17.079999999999998</v>
      </c>
      <c r="R47" s="1" cm="1">
        <f t="array" ref="R47">_xlfn.QUARTILE.INC(IF(Quartile_S[[#This Row],[Industry]]=Main_S[Industry],Main_S[P/E]),1)</f>
        <v>-1.4956735931282767</v>
      </c>
      <c r="S47" s="1" cm="1">
        <f t="array" ref="S47">_xlfn.QUARTILE.INC(IF(Quartile_S[[#This Row],[Industry]]=Main_S[Industry],Main_S[P/E]),3)</f>
        <v>28.248939445774887</v>
      </c>
      <c r="T47" s="1">
        <f>Quartile_S[[#This Row],[P/E Q1]]-1.5*(Quartile_S[[#This Row],[P/E Q3]]-Quartile_S[[#This Row],[P/E Q1]])</f>
        <v>-46.112593151483019</v>
      </c>
      <c r="U47" s="1">
        <f>Quartile_S[[#This Row],[P/E Q3]]+1.5*(Quartile_S[[#This Row],[P/E Q3]]-Quartile_S[[#This Row],[P/E Q1]])</f>
        <v>72.865859004129632</v>
      </c>
      <c r="V47" s="1" cm="1">
        <f t="array" ref="V47">_xlfn.QUARTILE.INC(IF(Quartile_S[[#This Row],[Industry]]=Main_S[Industry],Main_S[A/E]),1)</f>
        <v>1.9350000000000001</v>
      </c>
      <c r="W47" s="1" cm="1">
        <f t="array" ref="W47">_xlfn.QUARTILE.INC(IF(Quartile_S[[#This Row],[Industry]]=Main_S[Industry],Main_S[A/E]),3)</f>
        <v>2.8875000000000002</v>
      </c>
      <c r="X47" s="1">
        <f>Quartile_S[[#This Row],[A/E Q1]]-1.5*(Quartile_S[[#This Row],[A/E Q3]]-Quartile_S[[#This Row],[A/E Q1]])</f>
        <v>0.50624999999999987</v>
      </c>
      <c r="Y47" s="1">
        <f>Quartile_S[[#This Row],[A/E Q3]]+1.5*(Quartile_S[[#This Row],[A/E Q3]]-Quartile_S[[#This Row],[A/E Q1]])</f>
        <v>4.3162500000000001</v>
      </c>
    </row>
    <row r="48" spans="1:25" x14ac:dyDescent="0.25">
      <c r="A48" t="s">
        <v>223</v>
      </c>
      <c r="B48" s="1" cm="1">
        <f t="array" ref="B48">_xlfn.QUARTILE.INC(IF(Quartile_S[[#This Row],[Industry]]=Main_S[Industry],Main_S[P/FCF]),1)</f>
        <v>5.1796041201290643</v>
      </c>
      <c r="C48" s="1" cm="1">
        <f t="array" ref="C48">_xlfn.QUARTILE.INC(IF(Quartile_S[[#This Row],[Industry]]=Main_S[Industry],Main_S[P/FCF]),3)</f>
        <v>18.395780590717301</v>
      </c>
      <c r="D48" s="1">
        <f>Quartile_S[[#This Row],[P/FCF Q1]]-1.5*(Quartile_S[[#This Row],[P/FCF Q3]]-Quartile_S[[#This Row],[P/FCF Q1]])</f>
        <v>-14.644660585753293</v>
      </c>
      <c r="E48" s="1">
        <f>Quartile_S[[#This Row],[P/FCF Q3]]+1.5*(Quartile_S[[#This Row],[P/FCF Q3]]-Quartile_S[[#This Row],[P/FCF Q1]])</f>
        <v>38.220045296599658</v>
      </c>
      <c r="F48" s="1" cm="1">
        <f t="array" ref="F48">_xlfn.QUARTILE.INC(IF(Quartile_S[[#This Row],[Industry]]=Main_S[Industry],Main_S[P/B]),1)</f>
        <v>1.3623460746184439</v>
      </c>
      <c r="G48" s="1" cm="1">
        <f t="array" ref="G48">_xlfn.QUARTILE.INC(IF(Quartile_S[[#This Row],[Industry]]=Main_S[Industry],Main_S[P/B]),3)</f>
        <v>2.0940194424968257</v>
      </c>
      <c r="H48" s="1">
        <f>Quartile_S[[#This Row],[P/B Q1]]-1.5*(Quartile_S[[#This Row],[P/B Q3]]-Quartile_S[[#This Row],[P/B Q1]])</f>
        <v>0.26483602280087126</v>
      </c>
      <c r="I48" s="1">
        <f>Quartile_S[[#This Row],[P/B Q3]]+1.5*(Quartile_S[[#This Row],[P/B Q3]]-Quartile_S[[#This Row],[P/B Q1]])</f>
        <v>3.1915294943143984</v>
      </c>
      <c r="J48" s="1" cm="1">
        <f t="array" ref="J48">_xlfn.QUARTILE.INC(IF(Quartile_S[[#This Row],[Industry]]=Main_S[Industry],Main_S[ROE]),1)</f>
        <v>-103.985</v>
      </c>
      <c r="K48" s="1" cm="1">
        <f t="array" ref="K48">_xlfn.QUARTILE.INC(IF(Quartile_S[[#This Row],[Industry]]=Main_S[Industry],Main_S[ROE]),3)</f>
        <v>6.49</v>
      </c>
      <c r="L48" s="1">
        <f>Quartile_S[[#This Row],[ROE Q1]]-1.5*(Quartile_S[[#This Row],[ROE Q3]]-Quartile_S[[#This Row],[ROE Q1]])</f>
        <v>-269.69749999999999</v>
      </c>
      <c r="M48" s="1">
        <f>Quartile_S[[#This Row],[ROE Q3]]+1.5*(Quartile_S[[#This Row],[ROE Q3]]-Quartile_S[[#This Row],[ROE Q1]])</f>
        <v>172.20249999999999</v>
      </c>
      <c r="N48" s="1" cm="1">
        <f t="array" ref="N48">_xlfn.QUARTILE.INC(IF(Quartile_S[[#This Row],[Industry]]=Main_S[Industry],Main_S[ROA]),1)</f>
        <v>1.88</v>
      </c>
      <c r="O48" s="1" cm="1">
        <f t="array" ref="O48">_xlfn.QUARTILE.INC(IF(Quartile_S[[#This Row],[Industry]]=Main_S[Industry],Main_S[ROA]),3)</f>
        <v>2.9</v>
      </c>
      <c r="P48" s="1">
        <f>Quartile_S[[#This Row],[ROA Q1]]-1.5*(Quartile_S[[#This Row],[ROA Q3]]-Quartile_S[[#This Row],[ROA Q1]])</f>
        <v>0.34999999999999987</v>
      </c>
      <c r="Q48" s="1">
        <f>Quartile_S[[#This Row],[ROA Q3]]+1.5*(Quartile_S[[#This Row],[ROA Q3]]-Quartile_S[[#This Row],[ROA Q1]])</f>
        <v>4.43</v>
      </c>
      <c r="R48" s="1" cm="1">
        <f t="array" ref="R48">_xlfn.QUARTILE.INC(IF(Quartile_S[[#This Row],[Industry]]=Main_S[Industry],Main_S[P/E]),1)</f>
        <v>10.139144736842107</v>
      </c>
      <c r="S48" s="1" cm="1">
        <f t="array" ref="S48">_xlfn.QUARTILE.INC(IF(Quartile_S[[#This Row],[Industry]]=Main_S[Industry],Main_S[P/E]),3)</f>
        <v>21.725862068965519</v>
      </c>
      <c r="T48" s="1">
        <f>Quartile_S[[#This Row],[P/E Q1]]-1.5*(Quartile_S[[#This Row],[P/E Q3]]-Quartile_S[[#This Row],[P/E Q1]])</f>
        <v>-7.2409312613430092</v>
      </c>
      <c r="U48" s="1">
        <f>Quartile_S[[#This Row],[P/E Q3]]+1.5*(Quartile_S[[#This Row],[P/E Q3]]-Quartile_S[[#This Row],[P/E Q1]])</f>
        <v>39.105938067150632</v>
      </c>
      <c r="V48" s="1" cm="1">
        <f t="array" ref="V48">_xlfn.QUARTILE.INC(IF(Quartile_S[[#This Row],[Industry]]=Main_S[Industry],Main_S[A/E]),1)</f>
        <v>1.77</v>
      </c>
      <c r="W48" s="1" cm="1">
        <f t="array" ref="W48">_xlfn.QUARTILE.INC(IF(Quartile_S[[#This Row],[Industry]]=Main_S[Industry],Main_S[A/E]),3)</f>
        <v>7.8449999999999998</v>
      </c>
      <c r="X48" s="1">
        <f>Quartile_S[[#This Row],[A/E Q1]]-1.5*(Quartile_S[[#This Row],[A/E Q3]]-Quartile_S[[#This Row],[A/E Q1]])</f>
        <v>-7.3424999999999994</v>
      </c>
      <c r="Y48" s="1">
        <f>Quartile_S[[#This Row],[A/E Q3]]+1.5*(Quartile_S[[#This Row],[A/E Q3]]-Quartile_S[[#This Row],[A/E Q1]])</f>
        <v>16.9575</v>
      </c>
    </row>
    <row r="49" spans="1:25" x14ac:dyDescent="0.25">
      <c r="A49" t="s">
        <v>229</v>
      </c>
      <c r="B49" s="1" cm="1">
        <f t="array" ref="B49">_xlfn.QUARTILE.INC(IF(Quartile_S[[#This Row],[Industry]]=Main_S[Industry],Main_S[P/FCF]),1)</f>
        <v>-2.8870086736934564</v>
      </c>
      <c r="C49" s="1" cm="1">
        <f t="array" ref="C49">_xlfn.QUARTILE.INC(IF(Quartile_S[[#This Row],[Industry]]=Main_S[Industry],Main_S[P/FCF]),3)</f>
        <v>8.9904118404118414</v>
      </c>
      <c r="D49" s="1">
        <f>Quartile_S[[#This Row],[P/FCF Q1]]-1.5*(Quartile_S[[#This Row],[P/FCF Q3]]-Quartile_S[[#This Row],[P/FCF Q1]])</f>
        <v>-20.703139444851402</v>
      </c>
      <c r="E49" s="1">
        <f>Quartile_S[[#This Row],[P/FCF Q3]]+1.5*(Quartile_S[[#This Row],[P/FCF Q3]]-Quartile_S[[#This Row],[P/FCF Q1]])</f>
        <v>26.806542611569789</v>
      </c>
      <c r="F49" s="1" cm="1">
        <f t="array" ref="F49">_xlfn.QUARTILE.INC(IF(Quartile_S[[#This Row],[Industry]]=Main_S[Industry],Main_S[P/B]),1)</f>
        <v>0.35724190853634841</v>
      </c>
      <c r="G49" s="1" cm="1">
        <f t="array" ref="G49">_xlfn.QUARTILE.INC(IF(Quartile_S[[#This Row],[Industry]]=Main_S[Industry],Main_S[P/B]),3)</f>
        <v>1.4415481023830536</v>
      </c>
      <c r="H49" s="1">
        <f>Quartile_S[[#This Row],[P/B Q1]]-1.5*(Quartile_S[[#This Row],[P/B Q3]]-Quartile_S[[#This Row],[P/B Q1]])</f>
        <v>-1.2692173822337094</v>
      </c>
      <c r="I49" s="1">
        <f>Quartile_S[[#This Row],[P/B Q3]]+1.5*(Quartile_S[[#This Row],[P/B Q3]]-Quartile_S[[#This Row],[P/B Q1]])</f>
        <v>3.0680073931531116</v>
      </c>
      <c r="J49" s="1" cm="1">
        <f t="array" ref="J49">_xlfn.QUARTILE.INC(IF(Quartile_S[[#This Row],[Industry]]=Main_S[Industry],Main_S[ROE]),1)</f>
        <v>-0.91999999999999993</v>
      </c>
      <c r="K49" s="1" cm="1">
        <f t="array" ref="K49">_xlfn.QUARTILE.INC(IF(Quartile_S[[#This Row],[Industry]]=Main_S[Industry],Main_S[ROE]),3)</f>
        <v>18.704999999999998</v>
      </c>
      <c r="L49" s="1">
        <f>Quartile_S[[#This Row],[ROE Q1]]-1.5*(Quartile_S[[#This Row],[ROE Q3]]-Quartile_S[[#This Row],[ROE Q1]])</f>
        <v>-30.357500000000002</v>
      </c>
      <c r="M49" s="1">
        <f>Quartile_S[[#This Row],[ROE Q3]]+1.5*(Quartile_S[[#This Row],[ROE Q3]]-Quartile_S[[#This Row],[ROE Q1]])</f>
        <v>48.142499999999998</v>
      </c>
      <c r="N49" s="1" cm="1">
        <f t="array" ref="N49">_xlfn.QUARTILE.INC(IF(Quartile_S[[#This Row],[Industry]]=Main_S[Industry],Main_S[ROA]),1)</f>
        <v>-1.7000000000000002</v>
      </c>
      <c r="O49" s="1" cm="1">
        <f t="array" ref="O49">_xlfn.QUARTILE.INC(IF(Quartile_S[[#This Row],[Industry]]=Main_S[Industry],Main_S[ROA]),3)</f>
        <v>2.415</v>
      </c>
      <c r="P49" s="1">
        <f>Quartile_S[[#This Row],[ROA Q1]]-1.5*(Quartile_S[[#This Row],[ROA Q3]]-Quartile_S[[#This Row],[ROA Q1]])</f>
        <v>-7.8725000000000005</v>
      </c>
      <c r="Q49" s="1">
        <f>Quartile_S[[#This Row],[ROA Q3]]+1.5*(Quartile_S[[#This Row],[ROA Q3]]-Quartile_S[[#This Row],[ROA Q1]])</f>
        <v>8.5875000000000004</v>
      </c>
      <c r="R49" s="1" cm="1">
        <f t="array" ref="R49">_xlfn.QUARTILE.INC(IF(Quartile_S[[#This Row],[Industry]]=Main_S[Industry],Main_S[P/E]),1)</f>
        <v>-3.8664241085611417</v>
      </c>
      <c r="S49" s="1" cm="1">
        <f t="array" ref="S49">_xlfn.QUARTILE.INC(IF(Quartile_S[[#This Row],[Industry]]=Main_S[Industry],Main_S[P/E]),3)</f>
        <v>13.831972789115646</v>
      </c>
      <c r="T49" s="1">
        <f>Quartile_S[[#This Row],[P/E Q1]]-1.5*(Quartile_S[[#This Row],[P/E Q3]]-Quartile_S[[#This Row],[P/E Q1]])</f>
        <v>-30.414019455076321</v>
      </c>
      <c r="U49" s="1">
        <f>Quartile_S[[#This Row],[P/E Q3]]+1.5*(Quartile_S[[#This Row],[P/E Q3]]-Quartile_S[[#This Row],[P/E Q1]])</f>
        <v>40.379568135630826</v>
      </c>
      <c r="V49" s="1" cm="1">
        <f t="array" ref="V49">_xlfn.QUARTILE.INC(IF(Quartile_S[[#This Row],[Industry]]=Main_S[Industry],Main_S[A/E]),1)</f>
        <v>0.91</v>
      </c>
      <c r="W49" s="1" cm="1">
        <f t="array" ref="W49">_xlfn.QUARTILE.INC(IF(Quartile_S[[#This Row],[Industry]]=Main_S[Industry],Main_S[A/E]),3)</f>
        <v>9.18</v>
      </c>
      <c r="X49" s="1">
        <f>Quartile_S[[#This Row],[A/E Q1]]-1.5*(Quartile_S[[#This Row],[A/E Q3]]-Quartile_S[[#This Row],[A/E Q1]])</f>
        <v>-11.494999999999999</v>
      </c>
      <c r="Y49" s="1">
        <f>Quartile_S[[#This Row],[A/E Q3]]+1.5*(Quartile_S[[#This Row],[A/E Q3]]-Quartile_S[[#This Row],[A/E Q1]])</f>
        <v>21.585000000000001</v>
      </c>
    </row>
    <row r="50" spans="1:25" x14ac:dyDescent="0.25">
      <c r="A50" t="s">
        <v>249</v>
      </c>
      <c r="B50" s="1" cm="1">
        <f t="array" ref="B50">_xlfn.QUARTILE.INC(IF(Quartile_S[[#This Row],[Industry]]=Main_S[Industry],Main_S[P/FCF]),1)</f>
        <v>-9.743761546309317</v>
      </c>
      <c r="C50" s="1" cm="1">
        <f t="array" ref="C50">_xlfn.QUARTILE.INC(IF(Quartile_S[[#This Row],[Industry]]=Main_S[Industry],Main_S[P/FCF]),3)</f>
        <v>4.1187696372465012</v>
      </c>
      <c r="D50" s="1">
        <f>Quartile_S[[#This Row],[P/FCF Q1]]-1.5*(Quartile_S[[#This Row],[P/FCF Q3]]-Quartile_S[[#This Row],[P/FCF Q1]])</f>
        <v>-30.537558321643047</v>
      </c>
      <c r="E50" s="1">
        <f>Quartile_S[[#This Row],[P/FCF Q3]]+1.5*(Quartile_S[[#This Row],[P/FCF Q3]]-Quartile_S[[#This Row],[P/FCF Q1]])</f>
        <v>24.91256641258023</v>
      </c>
      <c r="F50" s="1" cm="1">
        <f t="array" ref="F50">_xlfn.QUARTILE.INC(IF(Quartile_S[[#This Row],[Industry]]=Main_S[Industry],Main_S[P/B]),1)</f>
        <v>0.47464168239266258</v>
      </c>
      <c r="G50" s="1" cm="1">
        <f t="array" ref="G50">_xlfn.QUARTILE.INC(IF(Quartile_S[[#This Row],[Industry]]=Main_S[Industry],Main_S[P/B]),3)</f>
        <v>0.72528480853474231</v>
      </c>
      <c r="H50" s="1">
        <f>Quartile_S[[#This Row],[P/B Q1]]-1.5*(Quartile_S[[#This Row],[P/B Q3]]-Quartile_S[[#This Row],[P/B Q1]])</f>
        <v>9.8676993179542982E-2</v>
      </c>
      <c r="I50" s="1">
        <f>Quartile_S[[#This Row],[P/B Q3]]+1.5*(Quartile_S[[#This Row],[P/B Q3]]-Quartile_S[[#This Row],[P/B Q1]])</f>
        <v>1.101249497747862</v>
      </c>
      <c r="J50" s="1" cm="1">
        <f t="array" ref="J50">_xlfn.QUARTILE.INC(IF(Quartile_S[[#This Row],[Industry]]=Main_S[Industry],Main_S[ROE]),1)</f>
        <v>10.145</v>
      </c>
      <c r="K50" s="1" cm="1">
        <f t="array" ref="K50">_xlfn.QUARTILE.INC(IF(Quartile_S[[#This Row],[Industry]]=Main_S[Industry],Main_S[ROE]),3)</f>
        <v>16.254999999999999</v>
      </c>
      <c r="L50" s="1">
        <f>Quartile_S[[#This Row],[ROE Q1]]-1.5*(Quartile_S[[#This Row],[ROE Q3]]-Quartile_S[[#This Row],[ROE Q1]])</f>
        <v>0.98000000000000043</v>
      </c>
      <c r="M50" s="1">
        <f>Quartile_S[[#This Row],[ROE Q3]]+1.5*(Quartile_S[[#This Row],[ROE Q3]]-Quartile_S[[#This Row],[ROE Q1]])</f>
        <v>25.419999999999998</v>
      </c>
      <c r="N50" s="1" cm="1">
        <f t="array" ref="N50">_xlfn.QUARTILE.INC(IF(Quartile_S[[#This Row],[Industry]]=Main_S[Industry],Main_S[ROA]),1)</f>
        <v>4.7300000000000004</v>
      </c>
      <c r="O50" s="1" cm="1">
        <f t="array" ref="O50">_xlfn.QUARTILE.INC(IF(Quartile_S[[#This Row],[Industry]]=Main_S[Industry],Main_S[ROA]),3)</f>
        <v>7.1450000000000005</v>
      </c>
      <c r="P50" s="1">
        <f>Quartile_S[[#This Row],[ROA Q1]]-1.5*(Quartile_S[[#This Row],[ROA Q3]]-Quartile_S[[#This Row],[ROA Q1]])</f>
        <v>1.1075000000000004</v>
      </c>
      <c r="Q50" s="1">
        <f>Quartile_S[[#This Row],[ROA Q3]]+1.5*(Quartile_S[[#This Row],[ROA Q3]]-Quartile_S[[#This Row],[ROA Q1]])</f>
        <v>10.7675</v>
      </c>
      <c r="R50" s="1" cm="1">
        <f t="array" ref="R50">_xlfn.QUARTILE.INC(IF(Quartile_S[[#This Row],[Industry]]=Main_S[Industry],Main_S[P/E]),1)</f>
        <v>3.3409657424475654</v>
      </c>
      <c r="S50" s="1" cm="1">
        <f t="array" ref="S50">_xlfn.QUARTILE.INC(IF(Quartile_S[[#This Row],[Industry]]=Main_S[Industry],Main_S[P/E]),3)</f>
        <v>7.588571428571429</v>
      </c>
      <c r="T50" s="1">
        <f>Quartile_S[[#This Row],[P/E Q1]]-1.5*(Quartile_S[[#This Row],[P/E Q3]]-Quartile_S[[#This Row],[P/E Q1]])</f>
        <v>-3.03044278673823</v>
      </c>
      <c r="U50" s="1">
        <f>Quartile_S[[#This Row],[P/E Q3]]+1.5*(Quartile_S[[#This Row],[P/E Q3]]-Quartile_S[[#This Row],[P/E Q1]])</f>
        <v>13.959979957757223</v>
      </c>
      <c r="V50" s="1" cm="1">
        <f t="array" ref="V50">_xlfn.QUARTILE.INC(IF(Quartile_S[[#This Row],[Industry]]=Main_S[Industry],Main_S[A/E]),1)</f>
        <v>1.635</v>
      </c>
      <c r="W50" s="1" cm="1">
        <f t="array" ref="W50">_xlfn.QUARTILE.INC(IF(Quartile_S[[#This Row],[Industry]]=Main_S[Industry],Main_S[A/E]),3)</f>
        <v>2.5049999999999999</v>
      </c>
      <c r="X50" s="1">
        <f>Quartile_S[[#This Row],[A/E Q1]]-1.5*(Quartile_S[[#This Row],[A/E Q3]]-Quartile_S[[#This Row],[A/E Q1]])</f>
        <v>0.33000000000000029</v>
      </c>
      <c r="Y50" s="1">
        <f>Quartile_S[[#This Row],[A/E Q3]]+1.5*(Quartile_S[[#This Row],[A/E Q3]]-Quartile_S[[#This Row],[A/E Q1]])</f>
        <v>3.8099999999999996</v>
      </c>
    </row>
    <row r="51" spans="1:25" x14ac:dyDescent="0.25">
      <c r="A51" t="s">
        <v>235</v>
      </c>
      <c r="B51" s="1" cm="1">
        <f t="array" ref="B51">_xlfn.QUARTILE.INC(IF(Quartile_S[[#This Row],[Industry]]=Main_S[Industry],Main_S[P/FCF]),1)</f>
        <v>-11.388429752066115</v>
      </c>
      <c r="C51" s="1" cm="1">
        <f t="array" ref="C51">_xlfn.QUARTILE.INC(IF(Quartile_S[[#This Row],[Industry]]=Main_S[Industry],Main_S[P/FCF]),3)</f>
        <v>-2.422268907563025</v>
      </c>
      <c r="D51" s="1">
        <f>Quartile_S[[#This Row],[P/FCF Q1]]-1.5*(Quartile_S[[#This Row],[P/FCF Q3]]-Quartile_S[[#This Row],[P/FCF Q1]])</f>
        <v>-24.83767101882075</v>
      </c>
      <c r="E51" s="1">
        <f>Quartile_S[[#This Row],[P/FCF Q3]]+1.5*(Quartile_S[[#This Row],[P/FCF Q3]]-Quartile_S[[#This Row],[P/FCF Q1]])</f>
        <v>11.02697235919161</v>
      </c>
      <c r="F51" s="1" cm="1">
        <f t="array" ref="F51">_xlfn.QUARTILE.INC(IF(Quartile_S[[#This Row],[Industry]]=Main_S[Industry],Main_S[P/B]),1)</f>
        <v>1.2091418714963345</v>
      </c>
      <c r="G51" s="1" cm="1">
        <f t="array" ref="G51">_xlfn.QUARTILE.INC(IF(Quartile_S[[#This Row],[Industry]]=Main_S[Industry],Main_S[P/B]),3)</f>
        <v>1.4628450106157111</v>
      </c>
      <c r="H51" s="1">
        <f>Quartile_S[[#This Row],[P/B Q1]]-1.5*(Quartile_S[[#This Row],[P/B Q3]]-Quartile_S[[#This Row],[P/B Q1]])</f>
        <v>0.82858716281726941</v>
      </c>
      <c r="I51" s="1">
        <f>Quartile_S[[#This Row],[P/B Q3]]+1.5*(Quartile_S[[#This Row],[P/B Q3]]-Quartile_S[[#This Row],[P/B Q1]])</f>
        <v>1.8433997192947762</v>
      </c>
      <c r="J51" s="1" cm="1">
        <f t="array" ref="J51">_xlfn.QUARTILE.INC(IF(Quartile_S[[#This Row],[Industry]]=Main_S[Industry],Main_S[ROE]),1)</f>
        <v>-13.77</v>
      </c>
      <c r="K51" s="1" cm="1">
        <f t="array" ref="K51">_xlfn.QUARTILE.INC(IF(Quartile_S[[#This Row],[Industry]]=Main_S[Industry],Main_S[ROE]),3)</f>
        <v>8.39</v>
      </c>
      <c r="L51" s="1">
        <f>Quartile_S[[#This Row],[ROE Q1]]-1.5*(Quartile_S[[#This Row],[ROE Q3]]-Quartile_S[[#This Row],[ROE Q1]])</f>
        <v>-47.010000000000005</v>
      </c>
      <c r="M51" s="1">
        <f>Quartile_S[[#This Row],[ROE Q3]]+1.5*(Quartile_S[[#This Row],[ROE Q3]]-Quartile_S[[#This Row],[ROE Q1]])</f>
        <v>41.63</v>
      </c>
      <c r="N51" s="1" cm="1">
        <f t="array" ref="N51">_xlfn.QUARTILE.INC(IF(Quartile_S[[#This Row],[Industry]]=Main_S[Industry],Main_S[ROA]),1)</f>
        <v>-1.35</v>
      </c>
      <c r="O51" s="1" cm="1">
        <f t="array" ref="O51">_xlfn.QUARTILE.INC(IF(Quartile_S[[#This Row],[Industry]]=Main_S[Industry],Main_S[ROA]),3)</f>
        <v>3.47</v>
      </c>
      <c r="P51" s="1">
        <f>Quartile_S[[#This Row],[ROA Q1]]-1.5*(Quartile_S[[#This Row],[ROA Q3]]-Quartile_S[[#This Row],[ROA Q1]])</f>
        <v>-8.58</v>
      </c>
      <c r="Q51" s="1">
        <f>Quartile_S[[#This Row],[ROA Q3]]+1.5*(Quartile_S[[#This Row],[ROA Q3]]-Quartile_S[[#This Row],[ROA Q1]])</f>
        <v>10.700000000000001</v>
      </c>
      <c r="R51" s="1" cm="1">
        <f t="array" ref="R51">_xlfn.QUARTILE.INC(IF(Quartile_S[[#This Row],[Industry]]=Main_S[Industry],Main_S[P/E]),1)</f>
        <v>-1.8897058823529409</v>
      </c>
      <c r="S51" s="1" cm="1">
        <f t="array" ref="S51">_xlfn.QUARTILE.INC(IF(Quartile_S[[#This Row],[Industry]]=Main_S[Industry],Main_S[P/E]),3)</f>
        <v>16.70289855072464</v>
      </c>
      <c r="T51" s="1">
        <f>Quartile_S[[#This Row],[P/E Q1]]-1.5*(Quartile_S[[#This Row],[P/E Q3]]-Quartile_S[[#This Row],[P/E Q1]])</f>
        <v>-29.778612531969316</v>
      </c>
      <c r="U51" s="1">
        <f>Quartile_S[[#This Row],[P/E Q3]]+1.5*(Quartile_S[[#This Row],[P/E Q3]]-Quartile_S[[#This Row],[P/E Q1]])</f>
        <v>44.591805200341014</v>
      </c>
      <c r="V51" s="1" cm="1">
        <f t="array" ref="V51">_xlfn.QUARTILE.INC(IF(Quartile_S[[#This Row],[Industry]]=Main_S[Industry],Main_S[A/E]),1)</f>
        <v>1.86</v>
      </c>
      <c r="W51" s="1" cm="1">
        <f t="array" ref="W51">_xlfn.QUARTILE.INC(IF(Quartile_S[[#This Row],[Industry]]=Main_S[Industry],Main_S[A/E]),3)</f>
        <v>2.78</v>
      </c>
      <c r="X51" s="1">
        <f>Quartile_S[[#This Row],[A/E Q1]]-1.5*(Quartile_S[[#This Row],[A/E Q3]]-Quartile_S[[#This Row],[A/E Q1]])</f>
        <v>0.48000000000000065</v>
      </c>
      <c r="Y51" s="1">
        <f>Quartile_S[[#This Row],[A/E Q3]]+1.5*(Quartile_S[[#This Row],[A/E Q3]]-Quartile_S[[#This Row],[A/E Q1]])</f>
        <v>4.1599999999999993</v>
      </c>
    </row>
    <row r="52" spans="1:25" x14ac:dyDescent="0.25">
      <c r="A52" t="s">
        <v>250</v>
      </c>
      <c r="B52" s="1" cm="1">
        <f t="array" ref="B52">_xlfn.QUARTILE.INC(IF(Quartile_S[[#This Row],[Industry]]=Main_S[Industry],Main_S[P/FCF]),1)</f>
        <v>-3.5117647058823529</v>
      </c>
      <c r="C52" s="1" cm="1">
        <f t="array" ref="C52">_xlfn.QUARTILE.INC(IF(Quartile_S[[#This Row],[Industry]]=Main_S[Industry],Main_S[P/FCF]),3)</f>
        <v>-3.5117647058823529</v>
      </c>
      <c r="D52" s="1">
        <f>Quartile_S[[#This Row],[P/FCF Q1]]-1.5*(Quartile_S[[#This Row],[P/FCF Q3]]-Quartile_S[[#This Row],[P/FCF Q1]])</f>
        <v>-3.5117647058823529</v>
      </c>
      <c r="E52" s="1">
        <f>Quartile_S[[#This Row],[P/FCF Q3]]+1.5*(Quartile_S[[#This Row],[P/FCF Q3]]-Quartile_S[[#This Row],[P/FCF Q1]])</f>
        <v>-3.5117647058823529</v>
      </c>
      <c r="F52" s="1" cm="1">
        <f t="array" ref="F52">_xlfn.QUARTILE.INC(IF(Quartile_S[[#This Row],[Industry]]=Main_S[Industry],Main_S[P/B]),1)</f>
        <v>3.8392282958199355</v>
      </c>
      <c r="G52" s="1" cm="1">
        <f t="array" ref="G52">_xlfn.QUARTILE.INC(IF(Quartile_S[[#This Row],[Industry]]=Main_S[Industry],Main_S[P/B]),3)</f>
        <v>3.8392282958199355</v>
      </c>
      <c r="H52" s="1">
        <f>Quartile_S[[#This Row],[P/B Q1]]-1.5*(Quartile_S[[#This Row],[P/B Q3]]-Quartile_S[[#This Row],[P/B Q1]])</f>
        <v>3.8392282958199355</v>
      </c>
      <c r="I52" s="1">
        <f>Quartile_S[[#This Row],[P/B Q3]]+1.5*(Quartile_S[[#This Row],[P/B Q3]]-Quartile_S[[#This Row],[P/B Q1]])</f>
        <v>3.8392282958199355</v>
      </c>
      <c r="J52" s="1" cm="1">
        <f t="array" ref="J52">_xlfn.QUARTILE.INC(IF(Quartile_S[[#This Row],[Industry]]=Main_S[Industry],Main_S[ROE]),1)</f>
        <v>-36.76</v>
      </c>
      <c r="K52" s="1" cm="1">
        <f t="array" ref="K52">_xlfn.QUARTILE.INC(IF(Quartile_S[[#This Row],[Industry]]=Main_S[Industry],Main_S[ROE]),3)</f>
        <v>-36.76</v>
      </c>
      <c r="L52" s="1">
        <f>Quartile_S[[#This Row],[ROE Q1]]-1.5*(Quartile_S[[#This Row],[ROE Q3]]-Quartile_S[[#This Row],[ROE Q1]])</f>
        <v>-36.76</v>
      </c>
      <c r="M52" s="1">
        <f>Quartile_S[[#This Row],[ROE Q3]]+1.5*(Quartile_S[[#This Row],[ROE Q3]]-Quartile_S[[#This Row],[ROE Q1]])</f>
        <v>-36.76</v>
      </c>
      <c r="N52" s="1" cm="1">
        <f t="array" ref="N52">_xlfn.QUARTILE.INC(IF(Quartile_S[[#This Row],[Industry]]=Main_S[Industry],Main_S[ROA]),1)</f>
        <v>-2.66</v>
      </c>
      <c r="O52" s="1" cm="1">
        <f t="array" ref="O52">_xlfn.QUARTILE.INC(IF(Quartile_S[[#This Row],[Industry]]=Main_S[Industry],Main_S[ROA]),3)</f>
        <v>-2.66</v>
      </c>
      <c r="P52" s="1">
        <f>Quartile_S[[#This Row],[ROA Q1]]-1.5*(Quartile_S[[#This Row],[ROA Q3]]-Quartile_S[[#This Row],[ROA Q1]])</f>
        <v>-2.66</v>
      </c>
      <c r="Q52" s="1">
        <f>Quartile_S[[#This Row],[ROA Q3]]+1.5*(Quartile_S[[#This Row],[ROA Q3]]-Quartile_S[[#This Row],[ROA Q1]])</f>
        <v>-2.66</v>
      </c>
      <c r="R52" s="1" cm="1">
        <f t="array" ref="R52">_xlfn.QUARTILE.INC(IF(Quartile_S[[#This Row],[Industry]]=Main_S[Industry],Main_S[P/E]),1)</f>
        <v>-6.7840909090909092</v>
      </c>
      <c r="S52" s="1" cm="1">
        <f t="array" ref="S52">_xlfn.QUARTILE.INC(IF(Quartile_S[[#This Row],[Industry]]=Main_S[Industry],Main_S[P/E]),3)</f>
        <v>-6.7840909090909092</v>
      </c>
      <c r="T52" s="1">
        <f>Quartile_S[[#This Row],[P/E Q1]]-1.5*(Quartile_S[[#This Row],[P/E Q3]]-Quartile_S[[#This Row],[P/E Q1]])</f>
        <v>-6.7840909090909092</v>
      </c>
      <c r="U52" s="1">
        <f>Quartile_S[[#This Row],[P/E Q3]]+1.5*(Quartile_S[[#This Row],[P/E Q3]]-Quartile_S[[#This Row],[P/E Q1]])</f>
        <v>-6.7840909090909092</v>
      </c>
      <c r="V52" s="1" cm="1">
        <f t="array" ref="V52">_xlfn.QUARTILE.INC(IF(Quartile_S[[#This Row],[Industry]]=Main_S[Industry],Main_S[A/E]),1)</f>
        <v>5.35</v>
      </c>
      <c r="W52" s="1" cm="1">
        <f t="array" ref="W52">_xlfn.QUARTILE.INC(IF(Quartile_S[[#This Row],[Industry]]=Main_S[Industry],Main_S[A/E]),3)</f>
        <v>5.35</v>
      </c>
      <c r="X52" s="1">
        <f>Quartile_S[[#This Row],[A/E Q1]]-1.5*(Quartile_S[[#This Row],[A/E Q3]]-Quartile_S[[#This Row],[A/E Q1]])</f>
        <v>5.35</v>
      </c>
      <c r="Y52" s="1">
        <f>Quartile_S[[#This Row],[A/E Q3]]+1.5*(Quartile_S[[#This Row],[A/E Q3]]-Quartile_S[[#This Row],[A/E Q1]])</f>
        <v>5.35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E5DF7-6D09-48D2-A179-6B6FB67C4BE7}">
  <sheetPr codeName="Sheet6"/>
  <dimension ref="A1:K37"/>
  <sheetViews>
    <sheetView workbookViewId="0">
      <selection activeCell="I29" sqref="I29"/>
    </sheetView>
  </sheetViews>
  <sheetFormatPr defaultRowHeight="15" x14ac:dyDescent="0.25"/>
  <cols>
    <col min="1" max="1" width="31.42578125" bestFit="1" customWidth="1"/>
    <col min="2" max="2" width="14.85546875" bestFit="1" customWidth="1"/>
    <col min="3" max="3" width="15.42578125" bestFit="1" customWidth="1"/>
    <col min="5" max="5" width="31.42578125" bestFit="1" customWidth="1"/>
    <col min="6" max="6" width="14" bestFit="1" customWidth="1"/>
    <col min="7" max="7" width="14.5703125" bestFit="1" customWidth="1"/>
    <col min="9" max="9" width="31.42578125" bestFit="1" customWidth="1"/>
    <col min="10" max="10" width="14" bestFit="1" customWidth="1"/>
    <col min="11" max="11" width="14.5703125" bestFit="1" customWidth="1"/>
  </cols>
  <sheetData>
    <row r="1" spans="1:11" x14ac:dyDescent="0.25">
      <c r="A1" s="27" t="s">
        <v>55</v>
      </c>
      <c r="B1" s="27"/>
      <c r="C1" s="27"/>
      <c r="E1" s="27" t="s">
        <v>80</v>
      </c>
      <c r="F1" s="27"/>
      <c r="G1" s="27"/>
      <c r="I1" s="27" t="s">
        <v>56</v>
      </c>
      <c r="J1" s="27"/>
      <c r="K1" s="27"/>
    </row>
    <row r="2" spans="1:11" x14ac:dyDescent="0.25">
      <c r="A2" s="3" t="s">
        <v>35</v>
      </c>
      <c r="B2" t="s">
        <v>41</v>
      </c>
      <c r="E2" s="3" t="s">
        <v>76</v>
      </c>
      <c r="F2" t="s">
        <v>41</v>
      </c>
      <c r="I2" s="3" t="s">
        <v>36</v>
      </c>
      <c r="J2" t="s">
        <v>41</v>
      </c>
    </row>
    <row r="4" spans="1:11" x14ac:dyDescent="0.25">
      <c r="A4" s="3" t="s">
        <v>40</v>
      </c>
      <c r="B4" t="s">
        <v>42</v>
      </c>
      <c r="C4" t="s">
        <v>43</v>
      </c>
      <c r="E4" s="3" t="s">
        <v>40</v>
      </c>
      <c r="F4" t="s">
        <v>77</v>
      </c>
      <c r="G4" t="s">
        <v>78</v>
      </c>
      <c r="I4" s="3" t="s">
        <v>40</v>
      </c>
      <c r="J4" t="s">
        <v>44</v>
      </c>
      <c r="K4" t="s">
        <v>45</v>
      </c>
    </row>
    <row r="5" spans="1:11" x14ac:dyDescent="0.25">
      <c r="A5" s="6" t="s">
        <v>105</v>
      </c>
      <c r="B5" s="1">
        <v>35.11489030507262</v>
      </c>
      <c r="C5" s="1">
        <v>17.951216010776353</v>
      </c>
      <c r="E5" s="6" t="s">
        <v>105</v>
      </c>
      <c r="F5" s="1">
        <v>7.9254475152607613</v>
      </c>
      <c r="G5" s="1">
        <v>6.1794555847210555</v>
      </c>
      <c r="I5" s="6" t="s">
        <v>105</v>
      </c>
      <c r="J5" s="1">
        <v>16.533846153846156</v>
      </c>
      <c r="K5" s="1">
        <v>6.7572724794066623</v>
      </c>
    </row>
    <row r="6" spans="1:11" x14ac:dyDescent="0.25">
      <c r="A6" s="6" t="s">
        <v>223</v>
      </c>
      <c r="B6" s="1">
        <v>19.121746386141432</v>
      </c>
      <c r="C6" s="1">
        <v>2.8787832704121943</v>
      </c>
      <c r="E6" s="6" t="s">
        <v>223</v>
      </c>
      <c r="F6" s="1">
        <v>4.5982528636572759</v>
      </c>
      <c r="G6" s="1">
        <v>2.2716920051051228</v>
      </c>
      <c r="I6" s="6" t="s">
        <v>223</v>
      </c>
      <c r="J6" s="1">
        <v>26.48</v>
      </c>
      <c r="K6" s="1">
        <v>9.7755102168633545</v>
      </c>
    </row>
    <row r="7" spans="1:11" x14ac:dyDescent="0.25">
      <c r="A7" s="6" t="s">
        <v>122</v>
      </c>
      <c r="B7" s="1">
        <v>21.725140100156942</v>
      </c>
      <c r="C7" s="1">
        <v>8.2622643915667719</v>
      </c>
      <c r="E7" s="6" t="s">
        <v>122</v>
      </c>
      <c r="F7" s="1">
        <v>6.0662029129445845</v>
      </c>
      <c r="G7" s="1">
        <v>3.3081464143353423</v>
      </c>
      <c r="I7" s="6" t="s">
        <v>122</v>
      </c>
      <c r="J7" s="1">
        <v>23.618571428571432</v>
      </c>
      <c r="K7" s="1">
        <v>13.040448533665685</v>
      </c>
    </row>
    <row r="8" spans="1:11" x14ac:dyDescent="0.25">
      <c r="A8" s="6" t="s">
        <v>191</v>
      </c>
      <c r="B8" s="1">
        <v>40.892659357804092</v>
      </c>
      <c r="C8" s="1">
        <v>9.3405121968509803</v>
      </c>
      <c r="E8" s="6" t="s">
        <v>191</v>
      </c>
      <c r="F8" s="1">
        <v>8.2337685464131081</v>
      </c>
      <c r="G8" s="1">
        <v>4.4815127819580836</v>
      </c>
      <c r="I8" s="6" t="s">
        <v>191</v>
      </c>
      <c r="J8" s="1">
        <v>20.451818181818183</v>
      </c>
      <c r="K8" s="1">
        <v>16.413790110304319</v>
      </c>
    </row>
    <row r="9" spans="1:11" x14ac:dyDescent="0.25">
      <c r="A9" s="6" t="s">
        <v>135</v>
      </c>
      <c r="B9" s="1">
        <v>24.22185509668488</v>
      </c>
      <c r="C9" s="1">
        <v>7.999579655056003</v>
      </c>
      <c r="E9" s="6" t="s">
        <v>135</v>
      </c>
      <c r="F9" s="1">
        <v>6.213239524969338</v>
      </c>
      <c r="G9" s="1">
        <v>1.6567700157810723</v>
      </c>
      <c r="I9" s="6" t="s">
        <v>135</v>
      </c>
      <c r="J9" s="1">
        <v>21.024285714285714</v>
      </c>
      <c r="K9" s="1">
        <v>11.9422501554569</v>
      </c>
    </row>
    <row r="10" spans="1:11" x14ac:dyDescent="0.25">
      <c r="A10" s="6" t="s">
        <v>142</v>
      </c>
      <c r="B10" s="1">
        <v>30.645482169014286</v>
      </c>
      <c r="C10" s="1">
        <v>6.2915167223033528</v>
      </c>
      <c r="E10" s="6" t="s">
        <v>142</v>
      </c>
      <c r="F10" s="1">
        <v>8.5672679552964777</v>
      </c>
      <c r="G10" s="1">
        <v>4.2468143525729651</v>
      </c>
      <c r="I10" s="6" t="s">
        <v>142</v>
      </c>
      <c r="J10" s="1">
        <v>20.957142857142856</v>
      </c>
      <c r="K10" s="1">
        <v>7.5022448341160182</v>
      </c>
    </row>
    <row r="11" spans="1:11" x14ac:dyDescent="0.25">
      <c r="A11" s="6" t="s">
        <v>235</v>
      </c>
      <c r="B11" s="1">
        <v>30.797792468373522</v>
      </c>
      <c r="C11" s="1">
        <v>6.9534811522105304</v>
      </c>
      <c r="E11" s="6" t="s">
        <v>235</v>
      </c>
      <c r="F11" s="1">
        <v>5.1116882777857802</v>
      </c>
      <c r="G11" s="1">
        <v>2.726867914312602</v>
      </c>
      <c r="I11" s="6" t="s">
        <v>235</v>
      </c>
      <c r="J11" s="1">
        <v>18.358181818181819</v>
      </c>
      <c r="K11" s="1">
        <v>12.148535877501537</v>
      </c>
    </row>
    <row r="12" spans="1:11" x14ac:dyDescent="0.25">
      <c r="A12" s="6" t="s">
        <v>154</v>
      </c>
      <c r="B12" s="1">
        <v>-565.7628122839933</v>
      </c>
      <c r="C12" s="1">
        <v>593.77564925446836</v>
      </c>
      <c r="E12" s="6" t="s">
        <v>154</v>
      </c>
      <c r="F12" s="1">
        <v>13.107502997922655</v>
      </c>
      <c r="G12" s="1">
        <v>5.0758504399543076</v>
      </c>
      <c r="I12" s="6" t="s">
        <v>154</v>
      </c>
      <c r="J12" s="1">
        <v>63.25</v>
      </c>
      <c r="K12" s="1">
        <v>30.569999999999975</v>
      </c>
    </row>
    <row r="13" spans="1:11" x14ac:dyDescent="0.25">
      <c r="A13" s="6" t="s">
        <v>157</v>
      </c>
      <c r="B13" s="1">
        <v>24.584803112958987</v>
      </c>
      <c r="C13" s="1">
        <v>4.5008778369845759</v>
      </c>
      <c r="E13" s="6" t="s">
        <v>157</v>
      </c>
      <c r="F13" s="1">
        <v>4.5445962506904873</v>
      </c>
      <c r="G13" s="1">
        <v>1.8374618750478855</v>
      </c>
      <c r="I13" s="6" t="s">
        <v>157</v>
      </c>
      <c r="J13" s="1">
        <v>17.799999999999997</v>
      </c>
      <c r="K13" s="1">
        <v>7.7272428687689922</v>
      </c>
    </row>
    <row r="14" spans="1:11" x14ac:dyDescent="0.25">
      <c r="A14" s="6" t="s">
        <v>229</v>
      </c>
      <c r="B14" s="1">
        <v>5.6975702794318623</v>
      </c>
      <c r="C14" s="1">
        <v>25.398258877360743</v>
      </c>
      <c r="E14" s="6" t="s">
        <v>229</v>
      </c>
      <c r="F14" s="1">
        <v>2.0914397278265979</v>
      </c>
      <c r="G14" s="1">
        <v>0.13631815433865999</v>
      </c>
      <c r="I14" s="6" t="s">
        <v>229</v>
      </c>
      <c r="J14" s="1">
        <v>21.857500000000002</v>
      </c>
      <c r="K14" s="1">
        <v>10.429581427363226</v>
      </c>
    </row>
    <row r="15" spans="1:11" x14ac:dyDescent="0.25">
      <c r="A15" s="6" t="s">
        <v>204</v>
      </c>
      <c r="B15" s="1">
        <v>32.390618745593855</v>
      </c>
      <c r="C15" s="1">
        <v>10.638433611782315</v>
      </c>
      <c r="E15" s="6" t="s">
        <v>204</v>
      </c>
      <c r="F15" s="1">
        <v>9.8068732234370337</v>
      </c>
      <c r="G15" s="1">
        <v>6.1356520288417711</v>
      </c>
      <c r="I15" s="6" t="s">
        <v>204</v>
      </c>
      <c r="J15" s="1">
        <v>32.411333333333332</v>
      </c>
      <c r="K15" s="1">
        <v>22.051813792873268</v>
      </c>
    </row>
    <row r="16" spans="1:11" x14ac:dyDescent="0.25">
      <c r="A16" s="6" t="s">
        <v>181</v>
      </c>
      <c r="B16" s="1">
        <v>19.186759078707876</v>
      </c>
      <c r="C16" s="1">
        <v>26.75198326893597</v>
      </c>
      <c r="E16" s="6" t="s">
        <v>181</v>
      </c>
      <c r="F16" s="1">
        <v>7.8187885477021908</v>
      </c>
      <c r="G16" s="1">
        <v>4.5210300509723815</v>
      </c>
      <c r="I16" s="6" t="s">
        <v>181</v>
      </c>
      <c r="J16" s="1">
        <v>35.638571428571431</v>
      </c>
      <c r="K16" s="1">
        <v>18.159161740070509</v>
      </c>
    </row>
    <row r="17" spans="1:11" x14ac:dyDescent="0.25">
      <c r="A17" s="6" t="s">
        <v>250</v>
      </c>
      <c r="B17" s="1">
        <v>262.13414634146341</v>
      </c>
      <c r="C17" s="1">
        <v>0</v>
      </c>
      <c r="E17" s="6" t="s">
        <v>250</v>
      </c>
      <c r="F17" s="1">
        <v>88.82231404958678</v>
      </c>
      <c r="G17" s="1">
        <v>0</v>
      </c>
      <c r="I17" s="6" t="s">
        <v>250</v>
      </c>
      <c r="J17" s="1">
        <v>36.65</v>
      </c>
      <c r="K17" s="1">
        <v>0</v>
      </c>
    </row>
    <row r="21" spans="1:11" x14ac:dyDescent="0.25">
      <c r="A21" s="27" t="s">
        <v>57</v>
      </c>
      <c r="B21" s="27"/>
      <c r="C21" s="27"/>
      <c r="E21" s="27" t="s">
        <v>58</v>
      </c>
      <c r="F21" s="27"/>
      <c r="G21" s="27"/>
      <c r="I21" s="27" t="s">
        <v>59</v>
      </c>
      <c r="J21" s="27"/>
      <c r="K21" s="27"/>
    </row>
    <row r="22" spans="1:11" x14ac:dyDescent="0.25">
      <c r="A22" s="3" t="s">
        <v>37</v>
      </c>
      <c r="B22" t="s">
        <v>41</v>
      </c>
      <c r="E22" s="3" t="s">
        <v>39</v>
      </c>
      <c r="F22" t="s">
        <v>41</v>
      </c>
      <c r="I22" s="3" t="s">
        <v>38</v>
      </c>
      <c r="J22" t="s">
        <v>41</v>
      </c>
    </row>
    <row r="24" spans="1:11" x14ac:dyDescent="0.25">
      <c r="A24" s="3" t="s">
        <v>40</v>
      </c>
      <c r="B24" t="s">
        <v>46</v>
      </c>
      <c r="C24" t="s">
        <v>47</v>
      </c>
      <c r="E24" s="3" t="s">
        <v>40</v>
      </c>
      <c r="F24" t="s">
        <v>48</v>
      </c>
      <c r="G24" t="s">
        <v>49</v>
      </c>
      <c r="I24" s="3" t="s">
        <v>40</v>
      </c>
      <c r="J24" t="s">
        <v>50</v>
      </c>
      <c r="K24" t="s">
        <v>51</v>
      </c>
    </row>
    <row r="25" spans="1:11" x14ac:dyDescent="0.25">
      <c r="A25" s="6" t="s">
        <v>105</v>
      </c>
      <c r="B25" s="1">
        <v>5.818666666666668</v>
      </c>
      <c r="C25" s="1">
        <v>2.6401461239021509</v>
      </c>
      <c r="E25" s="6" t="s">
        <v>105</v>
      </c>
      <c r="F25" s="1">
        <v>2.4038461538461537</v>
      </c>
      <c r="G25" s="1">
        <v>0.52565766077492082</v>
      </c>
      <c r="I25" s="6" t="s">
        <v>105</v>
      </c>
      <c r="J25" s="1">
        <v>33.291283103424604</v>
      </c>
      <c r="K25" s="1">
        <v>18.740256530224702</v>
      </c>
    </row>
    <row r="26" spans="1:11" x14ac:dyDescent="0.25">
      <c r="A26" s="6" t="s">
        <v>223</v>
      </c>
      <c r="B26" s="1">
        <v>8.1366666666666667</v>
      </c>
      <c r="C26" s="1">
        <v>0.60851367189972327</v>
      </c>
      <c r="E26" s="6" t="s">
        <v>223</v>
      </c>
      <c r="F26" s="1">
        <v>2.8380000000000001</v>
      </c>
      <c r="G26" s="1">
        <v>0.97957950162301821</v>
      </c>
      <c r="I26" s="6" t="s">
        <v>223</v>
      </c>
      <c r="J26" s="1">
        <v>17.738329710634186</v>
      </c>
      <c r="K26" s="1">
        <v>3.330049834337041</v>
      </c>
    </row>
    <row r="27" spans="1:11" x14ac:dyDescent="0.25">
      <c r="A27" s="6" t="s">
        <v>122</v>
      </c>
      <c r="B27" s="1">
        <v>9.2674999999999983</v>
      </c>
      <c r="C27" s="1">
        <v>4.008783325399369</v>
      </c>
      <c r="E27" s="6" t="s">
        <v>122</v>
      </c>
      <c r="F27" s="1">
        <v>2.6742857142857148</v>
      </c>
      <c r="G27" s="1">
        <v>9.7226854440976881E-2</v>
      </c>
      <c r="I27" s="6" t="s">
        <v>122</v>
      </c>
      <c r="J27" s="1">
        <v>28.044816944250837</v>
      </c>
      <c r="K27" s="1">
        <v>11.651258347060679</v>
      </c>
    </row>
    <row r="28" spans="1:11" x14ac:dyDescent="0.25">
      <c r="A28" s="6" t="s">
        <v>191</v>
      </c>
      <c r="B28" s="1">
        <v>7.9845454545454553</v>
      </c>
      <c r="C28" s="1">
        <v>4.663224330549065</v>
      </c>
      <c r="E28" s="6" t="s">
        <v>191</v>
      </c>
      <c r="F28" s="1">
        <v>2.5022222222222226</v>
      </c>
      <c r="G28" s="1">
        <v>0.28125819603969354</v>
      </c>
      <c r="I28" s="6" t="s">
        <v>191</v>
      </c>
      <c r="J28" s="1">
        <v>45.056071324557564</v>
      </c>
      <c r="K28" s="1">
        <v>14.306486459794161</v>
      </c>
    </row>
    <row r="29" spans="1:11" x14ac:dyDescent="0.25">
      <c r="A29" s="6" t="s">
        <v>135</v>
      </c>
      <c r="B29" s="1">
        <v>6.8385714285714281</v>
      </c>
      <c r="C29" s="1">
        <v>3.4104563103634633</v>
      </c>
      <c r="E29" s="6" t="s">
        <v>135</v>
      </c>
      <c r="F29" s="1">
        <v>2.6716666666666669</v>
      </c>
      <c r="G29" s="1">
        <v>0.21736426160301042</v>
      </c>
      <c r="I29" s="6" t="s">
        <v>135</v>
      </c>
      <c r="J29" s="1">
        <v>45.434441380651542</v>
      </c>
      <c r="K29" s="1">
        <v>22.857038677496853</v>
      </c>
    </row>
    <row r="30" spans="1:11" x14ac:dyDescent="0.25">
      <c r="A30" s="6" t="s">
        <v>142</v>
      </c>
      <c r="B30" s="1">
        <v>7.0742857142857138</v>
      </c>
      <c r="C30" s="1">
        <v>2.899413029971301</v>
      </c>
      <c r="E30" s="6" t="s">
        <v>142</v>
      </c>
      <c r="F30" s="1">
        <v>2.4300000000000002</v>
      </c>
      <c r="G30" s="1">
        <v>0.71535538953259648</v>
      </c>
      <c r="I30" s="6" t="s">
        <v>142</v>
      </c>
      <c r="J30" s="1">
        <v>40.853562339245521</v>
      </c>
      <c r="K30" s="1">
        <v>13.92003233566648</v>
      </c>
    </row>
    <row r="31" spans="1:11" x14ac:dyDescent="0.25">
      <c r="A31" s="6" t="s">
        <v>235</v>
      </c>
      <c r="B31" s="1">
        <v>5.0972727272727276</v>
      </c>
      <c r="C31" s="1">
        <v>2.7205784508883424</v>
      </c>
      <c r="E31" s="6" t="s">
        <v>235</v>
      </c>
      <c r="F31" s="1">
        <v>2.5908333333333333</v>
      </c>
      <c r="G31" s="1">
        <v>1.1120660826687512</v>
      </c>
      <c r="I31" s="6" t="s">
        <v>235</v>
      </c>
      <c r="J31" s="1">
        <v>25.629641540257207</v>
      </c>
      <c r="K31" s="1">
        <v>6.620776296489673</v>
      </c>
    </row>
    <row r="32" spans="1:11" x14ac:dyDescent="0.25">
      <c r="A32" s="6" t="s">
        <v>154</v>
      </c>
      <c r="B32" s="1">
        <v>6.43</v>
      </c>
      <c r="C32" s="1">
        <v>0.98000000000000353</v>
      </c>
      <c r="E32" s="6" t="s">
        <v>154</v>
      </c>
      <c r="F32" s="1">
        <v>6.629999999999999</v>
      </c>
      <c r="G32" s="1">
        <v>2.3200000000000007</v>
      </c>
      <c r="I32" s="6" t="s">
        <v>154</v>
      </c>
      <c r="J32" s="1">
        <v>21.927431614205354</v>
      </c>
      <c r="K32" s="1">
        <v>3.1553270064842853</v>
      </c>
    </row>
    <row r="33" spans="1:11" x14ac:dyDescent="0.25">
      <c r="A33" s="6" t="s">
        <v>157</v>
      </c>
      <c r="B33" s="1">
        <v>7.903157894736843</v>
      </c>
      <c r="C33" s="1">
        <v>2.8164087858039082</v>
      </c>
      <c r="E33" s="6" t="s">
        <v>157</v>
      </c>
      <c r="F33" s="1">
        <v>1.900625</v>
      </c>
      <c r="G33" s="1">
        <v>0.44482396447920797</v>
      </c>
      <c r="I33" s="6" t="s">
        <v>157</v>
      </c>
      <c r="J33" s="1">
        <v>25.565673968546118</v>
      </c>
      <c r="K33" s="1">
        <v>6.6543184155441732</v>
      </c>
    </row>
    <row r="34" spans="1:11" x14ac:dyDescent="0.25">
      <c r="A34" s="6" t="s">
        <v>229</v>
      </c>
      <c r="B34" s="1">
        <v>5.4233333333333329</v>
      </c>
      <c r="C34" s="1">
        <v>0.91761768848591108</v>
      </c>
      <c r="E34" s="6" t="s">
        <v>229</v>
      </c>
      <c r="F34" s="1">
        <v>4.1475</v>
      </c>
      <c r="G34" s="1">
        <v>1.5212227811862411</v>
      </c>
      <c r="I34" s="6" t="s">
        <v>229</v>
      </c>
      <c r="J34" s="1">
        <v>21.27512765603068</v>
      </c>
      <c r="K34" s="1">
        <v>12.85735153035345</v>
      </c>
    </row>
    <row r="35" spans="1:11" x14ac:dyDescent="0.25">
      <c r="A35" s="6" t="s">
        <v>204</v>
      </c>
      <c r="B35" s="1">
        <v>8.0856249999999985</v>
      </c>
      <c r="C35" s="1">
        <v>3.7439467289713195</v>
      </c>
      <c r="E35" s="6" t="s">
        <v>204</v>
      </c>
      <c r="F35" s="1">
        <v>3.1957142857142853</v>
      </c>
      <c r="G35" s="1">
        <v>1.0046798657547897</v>
      </c>
      <c r="I35" s="6" t="s">
        <v>204</v>
      </c>
      <c r="J35" s="1">
        <v>35.450658164892175</v>
      </c>
      <c r="K35" s="1">
        <v>11.217287061147948</v>
      </c>
    </row>
    <row r="36" spans="1:11" x14ac:dyDescent="0.25">
      <c r="A36" s="6" t="s">
        <v>181</v>
      </c>
      <c r="B36" s="1">
        <v>11.870000000000001</v>
      </c>
      <c r="C36" s="1">
        <v>5.4878515181912757</v>
      </c>
      <c r="E36" s="6" t="s">
        <v>181</v>
      </c>
      <c r="F36" s="1">
        <v>2.65</v>
      </c>
      <c r="G36" s="1">
        <v>0.96962191944420628</v>
      </c>
      <c r="I36" s="6" t="s">
        <v>181</v>
      </c>
      <c r="J36" s="1">
        <v>25.795011346172984</v>
      </c>
      <c r="K36" s="1">
        <v>10.360650975477212</v>
      </c>
    </row>
    <row r="37" spans="1:11" x14ac:dyDescent="0.25">
      <c r="A37" s="6" t="s">
        <v>250</v>
      </c>
      <c r="B37" s="1">
        <v>12.76</v>
      </c>
      <c r="C37" s="1">
        <v>0</v>
      </c>
      <c r="E37" s="6" t="s">
        <v>250</v>
      </c>
      <c r="F37" s="1">
        <v>3.36</v>
      </c>
      <c r="G37" s="1">
        <v>0</v>
      </c>
      <c r="I37" s="6" t="s">
        <v>250</v>
      </c>
      <c r="J37" s="1">
        <v>249.94186046511626</v>
      </c>
      <c r="K37" s="1">
        <v>0</v>
      </c>
    </row>
  </sheetData>
  <mergeCells count="6">
    <mergeCell ref="A1:C1"/>
    <mergeCell ref="E1:G1"/>
    <mergeCell ref="I1:K1"/>
    <mergeCell ref="A21:C21"/>
    <mergeCell ref="E21:G21"/>
    <mergeCell ref="I21:K2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E63721-54CC-4C95-B1F3-821FC4084D80}">
  <sheetPr codeName="Sheet7"/>
  <dimension ref="A1:K38"/>
  <sheetViews>
    <sheetView workbookViewId="0">
      <selection activeCell="G13" sqref="G13"/>
    </sheetView>
  </sheetViews>
  <sheetFormatPr defaultRowHeight="15" x14ac:dyDescent="0.25"/>
  <cols>
    <col min="1" max="1" width="31.42578125" bestFit="1" customWidth="1"/>
    <col min="2" max="2" width="16.28515625" bestFit="1" customWidth="1"/>
    <col min="3" max="3" width="16.85546875" bestFit="1" customWidth="1"/>
    <col min="5" max="5" width="31.42578125" bestFit="1" customWidth="1"/>
    <col min="6" max="6" width="14" bestFit="1" customWidth="1"/>
    <col min="7" max="7" width="14.5703125" bestFit="1" customWidth="1"/>
    <col min="9" max="9" width="31.42578125" bestFit="1" customWidth="1"/>
    <col min="10" max="10" width="14.85546875" bestFit="1" customWidth="1"/>
    <col min="11" max="11" width="15.42578125" bestFit="1" customWidth="1"/>
  </cols>
  <sheetData>
    <row r="1" spans="1:11" x14ac:dyDescent="0.25">
      <c r="A1" s="27" t="s">
        <v>60</v>
      </c>
      <c r="B1" s="27"/>
      <c r="C1" s="27"/>
      <c r="E1" s="27" t="s">
        <v>79</v>
      </c>
      <c r="F1" s="27"/>
      <c r="G1" s="27"/>
      <c r="I1" s="27" t="s">
        <v>62</v>
      </c>
      <c r="J1" s="27"/>
      <c r="K1" s="27"/>
    </row>
    <row r="2" spans="1:11" x14ac:dyDescent="0.25">
      <c r="A2" s="3" t="s">
        <v>35</v>
      </c>
      <c r="B2" t="s">
        <v>41</v>
      </c>
      <c r="E2" s="3" t="s">
        <v>76</v>
      </c>
      <c r="F2" t="s">
        <v>41</v>
      </c>
      <c r="I2" s="3" t="s">
        <v>36</v>
      </c>
      <c r="J2" t="s">
        <v>41</v>
      </c>
    </row>
    <row r="4" spans="1:11" x14ac:dyDescent="0.25">
      <c r="A4" s="3" t="s">
        <v>40</v>
      </c>
      <c r="B4" t="s">
        <v>42</v>
      </c>
      <c r="C4" t="s">
        <v>43</v>
      </c>
      <c r="E4" s="3" t="s">
        <v>40</v>
      </c>
      <c r="F4" t="s">
        <v>77</v>
      </c>
      <c r="G4" t="s">
        <v>78</v>
      </c>
      <c r="I4" s="3" t="s">
        <v>40</v>
      </c>
      <c r="J4" t="s">
        <v>44</v>
      </c>
      <c r="K4" t="s">
        <v>45</v>
      </c>
    </row>
    <row r="5" spans="1:11" x14ac:dyDescent="0.25">
      <c r="A5" s="6" t="s">
        <v>105</v>
      </c>
      <c r="B5" s="1">
        <v>-3.6899969501794412</v>
      </c>
      <c r="C5" s="1">
        <v>91.095958906462528</v>
      </c>
      <c r="E5" s="6" t="s">
        <v>105</v>
      </c>
      <c r="F5" s="1">
        <v>4.6233689789261927</v>
      </c>
      <c r="G5" s="1">
        <v>3.3613091910592998</v>
      </c>
      <c r="I5" s="6" t="s">
        <v>105</v>
      </c>
      <c r="J5" s="1">
        <v>6.7415384615384628</v>
      </c>
      <c r="K5" s="1">
        <v>9.9362358188863791</v>
      </c>
    </row>
    <row r="6" spans="1:11" x14ac:dyDescent="0.25">
      <c r="A6" s="6" t="s">
        <v>223</v>
      </c>
      <c r="B6" s="1">
        <v>25.509433962264151</v>
      </c>
      <c r="C6" s="1">
        <v>0</v>
      </c>
      <c r="E6" s="6" t="s">
        <v>223</v>
      </c>
      <c r="F6" s="1">
        <v>1.6140071627536809</v>
      </c>
      <c r="G6" s="1">
        <v>0</v>
      </c>
      <c r="I6" s="6" t="s">
        <v>223</v>
      </c>
      <c r="J6" s="1">
        <v>4.6100000000000003</v>
      </c>
      <c r="K6" s="1">
        <v>0</v>
      </c>
    </row>
    <row r="7" spans="1:11" x14ac:dyDescent="0.25">
      <c r="A7" s="6" t="s">
        <v>122</v>
      </c>
      <c r="B7" s="1">
        <v>26.432992303315583</v>
      </c>
      <c r="C7" s="1">
        <v>12.208044807145548</v>
      </c>
      <c r="E7" s="6" t="s">
        <v>122</v>
      </c>
      <c r="F7" s="1">
        <v>4.9585354062041747</v>
      </c>
      <c r="G7" s="1">
        <v>2.5857655307648995</v>
      </c>
      <c r="I7" s="6" t="s">
        <v>122</v>
      </c>
      <c r="J7" s="1">
        <v>24.086250000000003</v>
      </c>
      <c r="K7" s="1">
        <v>20.288694781515634</v>
      </c>
    </row>
    <row r="8" spans="1:11" x14ac:dyDescent="0.25">
      <c r="A8" s="6" t="s">
        <v>191</v>
      </c>
      <c r="B8" s="1">
        <v>19.03686178092957</v>
      </c>
      <c r="C8" s="1">
        <v>5.113304509304391</v>
      </c>
      <c r="E8" s="6" t="s">
        <v>191</v>
      </c>
      <c r="F8" s="1">
        <v>3.4601243582995056</v>
      </c>
      <c r="G8" s="1">
        <v>1.6186101972043563</v>
      </c>
      <c r="I8" s="6" t="s">
        <v>191</v>
      </c>
      <c r="J8" s="1">
        <v>7.0283333333333351</v>
      </c>
      <c r="K8" s="1">
        <v>17.496671985139219</v>
      </c>
    </row>
    <row r="9" spans="1:11" x14ac:dyDescent="0.25">
      <c r="A9" s="6" t="s">
        <v>135</v>
      </c>
      <c r="B9" s="1">
        <v>16.976235949087467</v>
      </c>
      <c r="C9" s="1">
        <v>6.5975864182187998</v>
      </c>
      <c r="E9" s="6" t="s">
        <v>135</v>
      </c>
      <c r="F9" s="1">
        <v>4.9071223390046086</v>
      </c>
      <c r="G9" s="1">
        <v>1.9416685254221124</v>
      </c>
      <c r="I9" s="6" t="s">
        <v>135</v>
      </c>
      <c r="J9" s="1">
        <v>21.001666666666669</v>
      </c>
      <c r="K9" s="1">
        <v>16.914255739529956</v>
      </c>
    </row>
    <row r="10" spans="1:11" x14ac:dyDescent="0.25">
      <c r="A10" s="6" t="s">
        <v>142</v>
      </c>
      <c r="B10" s="1">
        <v>16.750615787484342</v>
      </c>
      <c r="C10" s="1">
        <v>5.8562740953446895</v>
      </c>
      <c r="E10" s="6" t="s">
        <v>142</v>
      </c>
      <c r="F10" s="1">
        <v>3.4977636153074156</v>
      </c>
      <c r="G10" s="1">
        <v>1.8549977472474566</v>
      </c>
      <c r="I10" s="6" t="s">
        <v>142</v>
      </c>
      <c r="J10" s="1">
        <v>18.234000000000002</v>
      </c>
      <c r="K10" s="1">
        <v>15.804928471840674</v>
      </c>
    </row>
    <row r="11" spans="1:11" x14ac:dyDescent="0.25">
      <c r="A11" s="6" t="s">
        <v>235</v>
      </c>
      <c r="B11" s="1">
        <v>15.767908052658298</v>
      </c>
      <c r="C11" s="1">
        <v>8.966752527812563</v>
      </c>
      <c r="E11" s="6" t="s">
        <v>235</v>
      </c>
      <c r="F11" s="1">
        <v>2.5045190514508882</v>
      </c>
      <c r="G11" s="1">
        <v>1.2752211733177126</v>
      </c>
      <c r="I11" s="6" t="s">
        <v>235</v>
      </c>
      <c r="J11" s="1">
        <v>20.677777777777777</v>
      </c>
      <c r="K11" s="1">
        <v>43.011372082218699</v>
      </c>
    </row>
    <row r="12" spans="1:11" x14ac:dyDescent="0.25">
      <c r="A12" s="6" t="s">
        <v>154</v>
      </c>
      <c r="B12" s="1">
        <v>7.7881355932203391</v>
      </c>
      <c r="C12" s="1">
        <v>0</v>
      </c>
      <c r="E12" s="6" t="s">
        <v>154</v>
      </c>
      <c r="F12" s="1">
        <v>1.482258064516129</v>
      </c>
      <c r="G12" s="1">
        <v>0</v>
      </c>
      <c r="I12" s="6" t="s">
        <v>154</v>
      </c>
      <c r="J12" s="1">
        <v>-10.14</v>
      </c>
      <c r="K12" s="1">
        <v>0</v>
      </c>
    </row>
    <row r="13" spans="1:11" x14ac:dyDescent="0.25">
      <c r="A13" s="6" t="s">
        <v>157</v>
      </c>
      <c r="B13" s="1">
        <v>23.31492617596259</v>
      </c>
      <c r="C13" s="1">
        <v>8.0762374960577148</v>
      </c>
      <c r="E13" s="6" t="s">
        <v>157</v>
      </c>
      <c r="F13" s="1">
        <v>3.4404784545206573</v>
      </c>
      <c r="G13" s="1">
        <v>1.4677525563785885</v>
      </c>
      <c r="I13" s="6" t="s">
        <v>157</v>
      </c>
      <c r="J13" s="1">
        <v>16.894827586206898</v>
      </c>
      <c r="K13" s="1">
        <v>18.50999387482706</v>
      </c>
    </row>
    <row r="14" spans="1:11" x14ac:dyDescent="0.25">
      <c r="A14" s="6" t="s">
        <v>249</v>
      </c>
      <c r="B14" s="1">
        <v>11.718487394957984</v>
      </c>
      <c r="C14" s="1">
        <v>3.4817927170868352</v>
      </c>
      <c r="E14" s="6" t="s">
        <v>249</v>
      </c>
      <c r="F14" s="1">
        <v>1.6595340462804509</v>
      </c>
      <c r="G14" s="1">
        <v>0.19441197353506051</v>
      </c>
      <c r="I14" s="6" t="s">
        <v>249</v>
      </c>
      <c r="J14" s="1">
        <v>14.625</v>
      </c>
      <c r="K14" s="1">
        <v>5.8549999999999995</v>
      </c>
    </row>
    <row r="15" spans="1:11" x14ac:dyDescent="0.25">
      <c r="A15" s="6" t="s">
        <v>229</v>
      </c>
      <c r="B15" s="1">
        <v>10.016373372080508</v>
      </c>
      <c r="C15" s="1">
        <v>3.4588853414412042</v>
      </c>
      <c r="E15" s="6" t="s">
        <v>229</v>
      </c>
      <c r="F15" s="1">
        <v>1.7021888945655299</v>
      </c>
      <c r="G15" s="1">
        <v>5.8949607530702108E-2</v>
      </c>
      <c r="I15" s="6" t="s">
        <v>229</v>
      </c>
      <c r="J15" s="1">
        <v>35.718000000000004</v>
      </c>
      <c r="K15" s="1">
        <v>54.130330277950456</v>
      </c>
    </row>
    <row r="16" spans="1:11" x14ac:dyDescent="0.25">
      <c r="A16" s="6" t="s">
        <v>204</v>
      </c>
      <c r="B16" s="1">
        <v>17.943630564829185</v>
      </c>
      <c r="C16" s="1">
        <v>7.5635320814154907</v>
      </c>
      <c r="E16" s="6" t="s">
        <v>204</v>
      </c>
      <c r="F16" s="1">
        <v>3.1807983351916689</v>
      </c>
      <c r="G16" s="1">
        <v>2.1104072649700183</v>
      </c>
      <c r="I16" s="6" t="s">
        <v>204</v>
      </c>
      <c r="J16" s="1">
        <v>20.591666666666669</v>
      </c>
      <c r="K16" s="1">
        <v>33.158270042663887</v>
      </c>
    </row>
    <row r="17" spans="1:11" x14ac:dyDescent="0.25">
      <c r="A17" s="6" t="s">
        <v>181</v>
      </c>
      <c r="B17" s="1">
        <v>16.430552283783008</v>
      </c>
      <c r="C17" s="1">
        <v>11.482396979886236</v>
      </c>
      <c r="E17" s="6" t="s">
        <v>181</v>
      </c>
      <c r="F17" s="1">
        <v>2.6157260413392565</v>
      </c>
      <c r="G17" s="1">
        <v>1.3101281588671156</v>
      </c>
      <c r="I17" s="6" t="s">
        <v>181</v>
      </c>
      <c r="J17" s="1">
        <v>14.857142857142859</v>
      </c>
      <c r="K17" s="1">
        <v>5.292272572306886</v>
      </c>
    </row>
    <row r="18" spans="1:11" x14ac:dyDescent="0.25">
      <c r="A18" s="6" t="s">
        <v>250</v>
      </c>
      <c r="B18" s="1">
        <v>141.40098479982873</v>
      </c>
      <c r="C18" s="1">
        <v>94.129044654347652</v>
      </c>
      <c r="E18" s="6" t="s">
        <v>250</v>
      </c>
      <c r="F18" s="1">
        <v>35.099626551600046</v>
      </c>
      <c r="G18" s="1">
        <v>26.210146130284055</v>
      </c>
      <c r="I18" s="6" t="s">
        <v>250</v>
      </c>
      <c r="J18" s="1">
        <v>32</v>
      </c>
      <c r="K18" s="1">
        <v>9.4231346518378203</v>
      </c>
    </row>
    <row r="21" spans="1:11" x14ac:dyDescent="0.25">
      <c r="A21" s="27" t="s">
        <v>64</v>
      </c>
      <c r="B21" s="27"/>
      <c r="C21" s="27"/>
      <c r="E21" s="27" t="s">
        <v>66</v>
      </c>
      <c r="F21" s="27"/>
      <c r="G21" s="27"/>
      <c r="I21" s="27" t="s">
        <v>59</v>
      </c>
      <c r="J21" s="27"/>
      <c r="K21" s="27"/>
    </row>
    <row r="22" spans="1:11" x14ac:dyDescent="0.25">
      <c r="A22" s="3" t="s">
        <v>37</v>
      </c>
      <c r="B22" t="s">
        <v>41</v>
      </c>
      <c r="E22" s="3" t="s">
        <v>39</v>
      </c>
      <c r="F22" t="s">
        <v>41</v>
      </c>
      <c r="I22" s="3" t="s">
        <v>38</v>
      </c>
      <c r="J22" t="s">
        <v>41</v>
      </c>
    </row>
    <row r="24" spans="1:11" x14ac:dyDescent="0.25">
      <c r="A24" s="3" t="s">
        <v>40</v>
      </c>
      <c r="B24" t="s">
        <v>46</v>
      </c>
      <c r="C24" t="s">
        <v>47</v>
      </c>
      <c r="E24" s="3" t="s">
        <v>40</v>
      </c>
      <c r="F24" t="s">
        <v>48</v>
      </c>
      <c r="G24" t="s">
        <v>49</v>
      </c>
      <c r="I24" s="3" t="s">
        <v>40</v>
      </c>
      <c r="J24" t="s">
        <v>50</v>
      </c>
      <c r="K24" t="s">
        <v>51</v>
      </c>
    </row>
    <row r="25" spans="1:11" x14ac:dyDescent="0.25">
      <c r="A25" s="6" t="s">
        <v>105</v>
      </c>
      <c r="B25" s="1">
        <v>3.7969230769230768</v>
      </c>
      <c r="C25" s="1">
        <v>2.265077294029719</v>
      </c>
      <c r="E25" s="6" t="s">
        <v>105</v>
      </c>
      <c r="F25" s="1">
        <v>2.2899999999999996</v>
      </c>
      <c r="G25" s="1">
        <v>0.85301147203808081</v>
      </c>
      <c r="I25" s="6" t="s">
        <v>105</v>
      </c>
      <c r="J25" s="1">
        <v>34.854858453083189</v>
      </c>
      <c r="K25" s="1">
        <v>111.76055771695522</v>
      </c>
    </row>
    <row r="26" spans="1:11" x14ac:dyDescent="0.25">
      <c r="A26" s="6" t="s">
        <v>223</v>
      </c>
      <c r="B26" s="1">
        <v>2.41</v>
      </c>
      <c r="C26" s="1">
        <v>0</v>
      </c>
      <c r="E26" s="6" t="s">
        <v>223</v>
      </c>
      <c r="F26" s="1">
        <v>3.75</v>
      </c>
      <c r="G26" s="1">
        <v>0</v>
      </c>
      <c r="I26" s="6" t="s">
        <v>223</v>
      </c>
      <c r="J26" s="1">
        <v>36.214285714285715</v>
      </c>
      <c r="K26" s="1">
        <v>0</v>
      </c>
    </row>
    <row r="27" spans="1:11" x14ac:dyDescent="0.25">
      <c r="A27" s="6" t="s">
        <v>122</v>
      </c>
      <c r="B27" s="1">
        <v>9.4633333333333329</v>
      </c>
      <c r="C27" s="1">
        <v>3.5452252710120153</v>
      </c>
      <c r="E27" s="6" t="s">
        <v>122</v>
      </c>
      <c r="F27" s="1">
        <v>1.8986666666666665</v>
      </c>
      <c r="G27" s="1">
        <v>0.4935567061870636</v>
      </c>
      <c r="I27" s="6" t="s">
        <v>122</v>
      </c>
      <c r="J27" s="1">
        <v>30.670361469948251</v>
      </c>
      <c r="K27" s="1">
        <v>13.254933188062452</v>
      </c>
    </row>
    <row r="28" spans="1:11" x14ac:dyDescent="0.25">
      <c r="A28" s="6" t="s">
        <v>191</v>
      </c>
      <c r="B28" s="1">
        <v>5.0508333333333333</v>
      </c>
      <c r="C28" s="1">
        <v>4.1764767015857869</v>
      </c>
      <c r="E28" s="6" t="s">
        <v>191</v>
      </c>
      <c r="F28" s="1">
        <v>2.2000000000000002</v>
      </c>
      <c r="G28" s="1">
        <v>0.59453062718977423</v>
      </c>
      <c r="I28" s="6" t="s">
        <v>191</v>
      </c>
      <c r="J28" s="1">
        <v>29.445398697309802</v>
      </c>
      <c r="K28" s="1">
        <v>18.66812036540097</v>
      </c>
    </row>
    <row r="29" spans="1:11" x14ac:dyDescent="0.25">
      <c r="A29" s="6" t="s">
        <v>135</v>
      </c>
      <c r="B29" s="1">
        <v>6.9999999999999991</v>
      </c>
      <c r="C29" s="1">
        <v>3.7439140358309944</v>
      </c>
      <c r="E29" s="6" t="s">
        <v>135</v>
      </c>
      <c r="F29" s="1">
        <v>2.5408333333333331</v>
      </c>
      <c r="G29" s="1">
        <v>0.40483449979247305</v>
      </c>
      <c r="I29" s="6" t="s">
        <v>135</v>
      </c>
      <c r="J29" s="1">
        <v>28.803670964259513</v>
      </c>
      <c r="K29" s="1">
        <v>18.474166520937004</v>
      </c>
    </row>
    <row r="30" spans="1:11" x14ac:dyDescent="0.25">
      <c r="A30" s="6" t="s">
        <v>142</v>
      </c>
      <c r="B30" s="1">
        <v>6.7555555555555555</v>
      </c>
      <c r="C30" s="1">
        <v>3.7103701855179141</v>
      </c>
      <c r="E30" s="6" t="s">
        <v>142</v>
      </c>
      <c r="F30" s="1">
        <v>2.0533333333333332</v>
      </c>
      <c r="G30" s="1">
        <v>0.19894164415169241</v>
      </c>
      <c r="I30" s="6" t="s">
        <v>142</v>
      </c>
      <c r="J30" s="1">
        <v>19.984044304956551</v>
      </c>
      <c r="K30" s="1">
        <v>16.919413554407829</v>
      </c>
    </row>
    <row r="31" spans="1:11" x14ac:dyDescent="0.25">
      <c r="A31" s="6" t="s">
        <v>235</v>
      </c>
      <c r="B31" s="1">
        <v>4.2142857142857135</v>
      </c>
      <c r="C31" s="1">
        <v>3.5446734975285996</v>
      </c>
      <c r="E31" s="6" t="s">
        <v>235</v>
      </c>
      <c r="F31" s="1">
        <v>1.925</v>
      </c>
      <c r="G31" s="1">
        <v>0.40351579894720402</v>
      </c>
      <c r="I31" s="6" t="s">
        <v>235</v>
      </c>
      <c r="J31" s="1">
        <v>19.647038803050865</v>
      </c>
      <c r="K31" s="1">
        <v>17.351121993789405</v>
      </c>
    </row>
    <row r="32" spans="1:11" x14ac:dyDescent="0.25">
      <c r="A32" s="6" t="s">
        <v>154</v>
      </c>
      <c r="B32" s="1">
        <v>7.0000000000000007E-2</v>
      </c>
      <c r="C32" s="1">
        <v>0</v>
      </c>
      <c r="E32" s="6" t="s">
        <v>154</v>
      </c>
      <c r="F32" s="1">
        <v>5.0199999999999996</v>
      </c>
      <c r="G32" s="1">
        <v>0</v>
      </c>
      <c r="I32" s="6" t="s">
        <v>154</v>
      </c>
      <c r="J32" s="1">
        <v>-9.7765957446808507</v>
      </c>
      <c r="K32" s="1">
        <v>0</v>
      </c>
    </row>
    <row r="33" spans="1:11" x14ac:dyDescent="0.25">
      <c r="A33" s="6" t="s">
        <v>157</v>
      </c>
      <c r="B33" s="1">
        <v>6.9273076923076937</v>
      </c>
      <c r="C33" s="1">
        <v>3.4113673749486244</v>
      </c>
      <c r="E33" s="6" t="s">
        <v>157</v>
      </c>
      <c r="F33" s="1">
        <v>2.1032142857142855</v>
      </c>
      <c r="G33" s="1">
        <v>0.57060152202634096</v>
      </c>
      <c r="I33" s="6" t="s">
        <v>157</v>
      </c>
      <c r="J33" s="1">
        <v>27.521009671597017</v>
      </c>
      <c r="K33" s="1">
        <v>11.314592197754147</v>
      </c>
    </row>
    <row r="34" spans="1:11" x14ac:dyDescent="0.25">
      <c r="A34" s="6" t="s">
        <v>249</v>
      </c>
      <c r="B34" s="1">
        <v>6.4850000000000003</v>
      </c>
      <c r="C34" s="1">
        <v>2.0849999999999986</v>
      </c>
      <c r="E34" s="6" t="s">
        <v>249</v>
      </c>
      <c r="F34" s="1">
        <v>1.7349999999999999</v>
      </c>
      <c r="G34" s="1">
        <v>1.4999999999997323E-2</v>
      </c>
      <c r="I34" s="6" t="s">
        <v>249</v>
      </c>
      <c r="J34" s="1">
        <v>14.627392739273928</v>
      </c>
      <c r="K34" s="1">
        <v>6.8636963696369628</v>
      </c>
    </row>
    <row r="35" spans="1:11" x14ac:dyDescent="0.25">
      <c r="A35" s="6" t="s">
        <v>229</v>
      </c>
      <c r="B35" s="1">
        <v>4.9174999999999995</v>
      </c>
      <c r="C35" s="1">
        <v>2.2169390496808896</v>
      </c>
      <c r="E35" s="6" t="s">
        <v>229</v>
      </c>
      <c r="F35" s="1">
        <v>2.8525</v>
      </c>
      <c r="G35" s="1">
        <v>1.2540210325189927</v>
      </c>
      <c r="I35" s="6" t="s">
        <v>229</v>
      </c>
      <c r="J35" s="1">
        <v>12.583873242231762</v>
      </c>
      <c r="K35" s="1">
        <v>4.4233653110190474</v>
      </c>
    </row>
    <row r="36" spans="1:11" x14ac:dyDescent="0.25">
      <c r="A36" s="6" t="s">
        <v>204</v>
      </c>
      <c r="B36" s="1">
        <v>5.2365217391304357</v>
      </c>
      <c r="C36" s="1">
        <v>3.5334065453531949</v>
      </c>
      <c r="E36" s="6" t="s">
        <v>204</v>
      </c>
      <c r="F36" s="1">
        <v>2.4695238095238095</v>
      </c>
      <c r="G36" s="1">
        <v>0.71134665175068978</v>
      </c>
      <c r="I36" s="6" t="s">
        <v>204</v>
      </c>
      <c r="J36" s="1">
        <v>22.386355791939636</v>
      </c>
      <c r="K36" s="1">
        <v>12.216646155974221</v>
      </c>
    </row>
    <row r="37" spans="1:11" x14ac:dyDescent="0.25">
      <c r="A37" s="6" t="s">
        <v>181</v>
      </c>
      <c r="B37" s="1">
        <v>5.8292307692307679</v>
      </c>
      <c r="C37" s="1">
        <v>2.1549494426996949</v>
      </c>
      <c r="E37" s="6" t="s">
        <v>181</v>
      </c>
      <c r="F37" s="1">
        <v>2.8820000000000001</v>
      </c>
      <c r="G37" s="1">
        <v>1.3319169143256138</v>
      </c>
      <c r="I37" s="6" t="s">
        <v>181</v>
      </c>
      <c r="J37" s="1">
        <v>19.631215219672189</v>
      </c>
      <c r="K37" s="1">
        <v>7.9186267180143686</v>
      </c>
    </row>
    <row r="38" spans="1:11" x14ac:dyDescent="0.25">
      <c r="A38" s="6" t="s">
        <v>250</v>
      </c>
      <c r="B38" s="1">
        <v>13.366666666666667</v>
      </c>
      <c r="C38" s="1">
        <v>4.9440896252214346</v>
      </c>
      <c r="E38" s="6" t="s">
        <v>250</v>
      </c>
      <c r="F38" s="1">
        <v>2.3266666666666667</v>
      </c>
      <c r="G38" s="1">
        <v>0.63698944697346038</v>
      </c>
      <c r="I38" s="6" t="s">
        <v>250</v>
      </c>
      <c r="J38" s="1">
        <v>104.31629908103594</v>
      </c>
      <c r="K38" s="1">
        <v>64.942105493971269</v>
      </c>
    </row>
  </sheetData>
  <mergeCells count="6">
    <mergeCell ref="A1:C1"/>
    <mergeCell ref="E1:G1"/>
    <mergeCell ref="I1:K1"/>
    <mergeCell ref="A21:C21"/>
    <mergeCell ref="E21:G21"/>
    <mergeCell ref="I21:K2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B91A86-58FD-423B-B7BA-62C453D67AD1}">
  <sheetPr codeName="Sheet8"/>
  <dimension ref="A1:K38"/>
  <sheetViews>
    <sheetView workbookViewId="0">
      <selection activeCell="F12" sqref="F12"/>
    </sheetView>
  </sheetViews>
  <sheetFormatPr defaultRowHeight="15" x14ac:dyDescent="0.25"/>
  <cols>
    <col min="1" max="1" width="31.42578125" bestFit="1" customWidth="1"/>
    <col min="2" max="2" width="16.28515625" bestFit="1" customWidth="1"/>
    <col min="3" max="3" width="16.85546875" bestFit="1" customWidth="1"/>
    <col min="5" max="5" width="31.42578125" bestFit="1" customWidth="1"/>
    <col min="6" max="6" width="14" bestFit="1" customWidth="1"/>
    <col min="7" max="7" width="14.5703125" bestFit="1" customWidth="1"/>
    <col min="9" max="9" width="31.42578125" bestFit="1" customWidth="1"/>
    <col min="10" max="10" width="14.85546875" bestFit="1" customWidth="1"/>
    <col min="11" max="11" width="15.42578125" bestFit="1" customWidth="1"/>
  </cols>
  <sheetData>
    <row r="1" spans="1:11" x14ac:dyDescent="0.25">
      <c r="A1" s="27" t="s">
        <v>61</v>
      </c>
      <c r="B1" s="27"/>
      <c r="C1" s="27"/>
      <c r="E1" s="27" t="s">
        <v>81</v>
      </c>
      <c r="F1" s="27"/>
      <c r="G1" s="27"/>
      <c r="I1" s="27" t="s">
        <v>63</v>
      </c>
      <c r="J1" s="27"/>
      <c r="K1" s="27"/>
    </row>
    <row r="2" spans="1:11" x14ac:dyDescent="0.25">
      <c r="A2" s="3" t="s">
        <v>35</v>
      </c>
      <c r="B2" t="s">
        <v>41</v>
      </c>
      <c r="E2" s="3" t="s">
        <v>76</v>
      </c>
      <c r="F2" t="s">
        <v>41</v>
      </c>
      <c r="I2" s="3" t="s">
        <v>36</v>
      </c>
      <c r="J2" t="s">
        <v>41</v>
      </c>
    </row>
    <row r="4" spans="1:11" x14ac:dyDescent="0.25">
      <c r="A4" s="3" t="s">
        <v>40</v>
      </c>
      <c r="B4" t="s">
        <v>42</v>
      </c>
      <c r="C4" t="s">
        <v>43</v>
      </c>
      <c r="E4" s="3" t="s">
        <v>40</v>
      </c>
      <c r="F4" t="s">
        <v>77</v>
      </c>
      <c r="G4" t="s">
        <v>78</v>
      </c>
      <c r="I4" s="3" t="s">
        <v>40</v>
      </c>
      <c r="J4" t="s">
        <v>44</v>
      </c>
      <c r="K4" t="s">
        <v>45</v>
      </c>
    </row>
    <row r="5" spans="1:11" x14ac:dyDescent="0.25">
      <c r="A5" s="6" t="s">
        <v>105</v>
      </c>
      <c r="B5" s="1">
        <v>6.3645178146477432</v>
      </c>
      <c r="C5" s="1">
        <v>34.040100813054984</v>
      </c>
      <c r="E5" s="6" t="s">
        <v>105</v>
      </c>
      <c r="F5" s="1">
        <v>2.4373863179641471</v>
      </c>
      <c r="G5" s="1">
        <v>4.787021609395576</v>
      </c>
      <c r="I5" s="6" t="s">
        <v>105</v>
      </c>
      <c r="J5" s="1">
        <v>7.25</v>
      </c>
      <c r="K5" s="1">
        <v>9.4982503651988459</v>
      </c>
    </row>
    <row r="6" spans="1:11" x14ac:dyDescent="0.25">
      <c r="A6" s="6" t="s">
        <v>223</v>
      </c>
      <c r="B6" s="1">
        <v>10.719736080086044</v>
      </c>
      <c r="C6" s="1">
        <v>11.205763034382914</v>
      </c>
      <c r="E6" s="6" t="s">
        <v>223</v>
      </c>
      <c r="F6" s="1">
        <v>1.8374342562353048</v>
      </c>
      <c r="G6" s="1">
        <v>0.67259526918757517</v>
      </c>
      <c r="I6" s="6" t="s">
        <v>223</v>
      </c>
      <c r="J6" s="1">
        <v>-67.083333333333329</v>
      </c>
      <c r="K6" s="1">
        <v>104.0485753012612</v>
      </c>
    </row>
    <row r="7" spans="1:11" x14ac:dyDescent="0.25">
      <c r="A7" s="6" t="s">
        <v>122</v>
      </c>
      <c r="B7" s="1">
        <v>13.191090975101744</v>
      </c>
      <c r="C7" s="1">
        <v>8.3480529516843411</v>
      </c>
      <c r="E7" s="6" t="s">
        <v>122</v>
      </c>
      <c r="F7" s="1">
        <v>1.4930742802844623</v>
      </c>
      <c r="G7" s="1">
        <v>0.55629708860531457</v>
      </c>
      <c r="I7" s="6" t="s">
        <v>122</v>
      </c>
      <c r="J7" s="1">
        <v>10.625714285714285</v>
      </c>
      <c r="K7" s="1">
        <v>4.8910818468568955</v>
      </c>
    </row>
    <row r="8" spans="1:11" x14ac:dyDescent="0.25">
      <c r="A8" s="6" t="s">
        <v>191</v>
      </c>
      <c r="B8" s="1">
        <v>10.196774945710285</v>
      </c>
      <c r="C8" s="1">
        <v>4.2926955104428366</v>
      </c>
      <c r="E8" s="6" t="s">
        <v>191</v>
      </c>
      <c r="F8" s="1">
        <v>1.6559164454059159</v>
      </c>
      <c r="G8" s="1">
        <v>0.75523693136633419</v>
      </c>
      <c r="I8" s="6" t="s">
        <v>191</v>
      </c>
      <c r="J8" s="1">
        <v>-0.14190476190476162</v>
      </c>
      <c r="K8" s="1">
        <v>14.789686760277251</v>
      </c>
    </row>
    <row r="9" spans="1:11" x14ac:dyDescent="0.25">
      <c r="A9" s="6" t="s">
        <v>135</v>
      </c>
      <c r="B9" s="1">
        <v>9.8597870361710331</v>
      </c>
      <c r="C9" s="1">
        <v>16.304666616905205</v>
      </c>
      <c r="E9" s="6" t="s">
        <v>135</v>
      </c>
      <c r="F9" s="1">
        <v>1.803865217589556</v>
      </c>
      <c r="G9" s="1">
        <v>0.68702004603324074</v>
      </c>
      <c r="I9" s="6" t="s">
        <v>135</v>
      </c>
      <c r="J9" s="1">
        <v>6.2536363636363639</v>
      </c>
      <c r="K9" s="1">
        <v>8.3924254514816923</v>
      </c>
    </row>
    <row r="10" spans="1:11" x14ac:dyDescent="0.25">
      <c r="A10" s="6" t="s">
        <v>142</v>
      </c>
      <c r="B10" s="1">
        <v>5.9096595754412338</v>
      </c>
      <c r="C10" s="1">
        <v>14.879696288944865</v>
      </c>
      <c r="E10" s="6" t="s">
        <v>142</v>
      </c>
      <c r="F10" s="1">
        <v>2.7178036371158645</v>
      </c>
      <c r="G10" s="1">
        <v>2.3597881983583711</v>
      </c>
      <c r="I10" s="6" t="s">
        <v>142</v>
      </c>
      <c r="J10" s="1">
        <v>-32.641578947368423</v>
      </c>
      <c r="K10" s="1">
        <v>40.095598559227341</v>
      </c>
    </row>
    <row r="11" spans="1:11" x14ac:dyDescent="0.25">
      <c r="A11" s="6" t="s">
        <v>235</v>
      </c>
      <c r="B11" s="1">
        <v>-9.8295761823374868</v>
      </c>
      <c r="C11" s="1">
        <v>7.2256297456517542</v>
      </c>
      <c r="E11" s="6" t="s">
        <v>235</v>
      </c>
      <c r="F11" s="1">
        <v>1.2066854881776545</v>
      </c>
      <c r="G11" s="1">
        <v>0.18559831733677348</v>
      </c>
      <c r="I11" s="6" t="s">
        <v>235</v>
      </c>
      <c r="J11" s="1">
        <v>3.2785714285714285</v>
      </c>
      <c r="K11" s="1">
        <v>9.2042853816988472</v>
      </c>
    </row>
    <row r="12" spans="1:11" x14ac:dyDescent="0.25">
      <c r="A12" s="6" t="s">
        <v>154</v>
      </c>
      <c r="B12" s="1">
        <v>0.93212085072550233</v>
      </c>
      <c r="C12" s="1">
        <v>6.1020671834625322</v>
      </c>
      <c r="E12" s="6" t="s">
        <v>154</v>
      </c>
      <c r="F12" s="1">
        <v>-12.263969379608319</v>
      </c>
      <c r="G12" s="1">
        <v>14.7453764147842</v>
      </c>
      <c r="I12" s="6" t="s">
        <v>154</v>
      </c>
      <c r="J12" s="1">
        <v>-23.59</v>
      </c>
      <c r="K12" s="1">
        <v>29.29</v>
      </c>
    </row>
    <row r="13" spans="1:11" x14ac:dyDescent="0.25">
      <c r="A13" s="6" t="s">
        <v>157</v>
      </c>
      <c r="B13" s="1">
        <v>13.768765388919785</v>
      </c>
      <c r="C13" s="1">
        <v>9.8757029513075363</v>
      </c>
      <c r="E13" s="6" t="s">
        <v>157</v>
      </c>
      <c r="F13" s="1">
        <v>1.7635618659251118</v>
      </c>
      <c r="G13" s="1">
        <v>1.0167833716779509</v>
      </c>
      <c r="I13" s="6" t="s">
        <v>157</v>
      </c>
      <c r="J13" s="1">
        <v>7.2056249999999977</v>
      </c>
      <c r="K13" s="1">
        <v>9.3008809856580275</v>
      </c>
    </row>
    <row r="14" spans="1:11" x14ac:dyDescent="0.25">
      <c r="A14" s="6" t="s">
        <v>249</v>
      </c>
      <c r="B14" s="1">
        <v>9.4070674513189345E-2</v>
      </c>
      <c r="C14" s="1">
        <v>6.9759851658535039</v>
      </c>
      <c r="E14" s="6" t="s">
        <v>249</v>
      </c>
      <c r="F14" s="1">
        <v>0.58251468063155598</v>
      </c>
      <c r="G14" s="1">
        <v>0.15124177858776219</v>
      </c>
      <c r="I14" s="6" t="s">
        <v>249</v>
      </c>
      <c r="J14" s="1">
        <v>12.612500000000001</v>
      </c>
      <c r="K14" s="1">
        <v>2.948278099162283</v>
      </c>
    </row>
    <row r="15" spans="1:11" x14ac:dyDescent="0.25">
      <c r="A15" s="6" t="s">
        <v>229</v>
      </c>
      <c r="B15" s="1">
        <v>1.0746513110006364</v>
      </c>
      <c r="C15" s="1">
        <v>6.1956564452752074</v>
      </c>
      <c r="E15" s="6" t="s">
        <v>229</v>
      </c>
      <c r="F15" s="1">
        <v>0.91016959913900275</v>
      </c>
      <c r="G15" s="1">
        <v>0.5711493821853838</v>
      </c>
      <c r="I15" s="6" t="s">
        <v>229</v>
      </c>
      <c r="J15" s="1">
        <v>4.7666666666666666</v>
      </c>
      <c r="K15" s="1">
        <v>15.180065510032851</v>
      </c>
    </row>
    <row r="16" spans="1:11" x14ac:dyDescent="0.25">
      <c r="A16" s="6" t="s">
        <v>204</v>
      </c>
      <c r="B16" s="1">
        <v>8.5625799370795868</v>
      </c>
      <c r="C16" s="1">
        <v>13.33998795375456</v>
      </c>
      <c r="E16" s="6" t="s">
        <v>204</v>
      </c>
      <c r="F16" s="1">
        <v>2.5704025995259077</v>
      </c>
      <c r="G16" s="1">
        <v>1.8092246718048255</v>
      </c>
      <c r="I16" s="6" t="s">
        <v>204</v>
      </c>
      <c r="J16" s="1">
        <v>10.92818181818182</v>
      </c>
      <c r="K16" s="1">
        <v>16.841966424911647</v>
      </c>
    </row>
    <row r="17" spans="1:11" x14ac:dyDescent="0.25">
      <c r="A17" s="6" t="s">
        <v>181</v>
      </c>
      <c r="B17" s="1">
        <v>8.0849281500972925</v>
      </c>
      <c r="C17" s="1">
        <v>15.685471933817489</v>
      </c>
      <c r="E17" s="6" t="s">
        <v>181</v>
      </c>
      <c r="F17" s="1">
        <v>2.130759446277287</v>
      </c>
      <c r="G17" s="1">
        <v>1.1703526152445658</v>
      </c>
      <c r="I17" s="6" t="s">
        <v>181</v>
      </c>
      <c r="J17" s="1">
        <v>6.3693333333333317</v>
      </c>
      <c r="K17" s="1">
        <v>10.820022468656072</v>
      </c>
    </row>
    <row r="18" spans="1:11" x14ac:dyDescent="0.25">
      <c r="A18" s="6" t="s">
        <v>250</v>
      </c>
      <c r="B18" s="1">
        <v>-3.5117647058823529</v>
      </c>
      <c r="C18" s="1">
        <v>0</v>
      </c>
      <c r="E18" s="6" t="s">
        <v>250</v>
      </c>
      <c r="F18" s="1">
        <v>3.8392282958199355</v>
      </c>
      <c r="G18" s="1">
        <v>0</v>
      </c>
      <c r="I18" s="6" t="s">
        <v>250</v>
      </c>
      <c r="J18" s="1">
        <v>-36.76</v>
      </c>
      <c r="K18" s="1">
        <v>0</v>
      </c>
    </row>
    <row r="21" spans="1:11" x14ac:dyDescent="0.25">
      <c r="A21" s="27" t="s">
        <v>65</v>
      </c>
      <c r="B21" s="27"/>
      <c r="C21" s="27"/>
      <c r="E21" s="27" t="s">
        <v>67</v>
      </c>
      <c r="F21" s="27"/>
      <c r="G21" s="27"/>
      <c r="I21" s="27" t="s">
        <v>68</v>
      </c>
      <c r="J21" s="27"/>
      <c r="K21" s="27"/>
    </row>
    <row r="22" spans="1:11" x14ac:dyDescent="0.25">
      <c r="A22" s="3" t="s">
        <v>37</v>
      </c>
      <c r="B22" t="s">
        <v>41</v>
      </c>
      <c r="E22" s="3" t="s">
        <v>39</v>
      </c>
      <c r="F22" t="s">
        <v>41</v>
      </c>
      <c r="I22" s="3" t="s">
        <v>38</v>
      </c>
      <c r="J22" t="s">
        <v>41</v>
      </c>
    </row>
    <row r="24" spans="1:11" x14ac:dyDescent="0.25">
      <c r="A24" s="3" t="s">
        <v>40</v>
      </c>
      <c r="B24" t="s">
        <v>46</v>
      </c>
      <c r="C24" t="s">
        <v>47</v>
      </c>
      <c r="E24" s="3" t="s">
        <v>40</v>
      </c>
      <c r="F24" t="s">
        <v>48</v>
      </c>
      <c r="G24" t="s">
        <v>49</v>
      </c>
      <c r="I24" s="3" t="s">
        <v>40</v>
      </c>
      <c r="J24" t="s">
        <v>50</v>
      </c>
      <c r="K24" t="s">
        <v>51</v>
      </c>
    </row>
    <row r="25" spans="1:11" x14ac:dyDescent="0.25">
      <c r="A25" s="6" t="s">
        <v>105</v>
      </c>
      <c r="B25" s="1">
        <v>-1.543571428571429</v>
      </c>
      <c r="C25" s="1">
        <v>11.83934277081705</v>
      </c>
      <c r="E25" s="6" t="s">
        <v>105</v>
      </c>
      <c r="F25" s="1">
        <v>1.13375</v>
      </c>
      <c r="G25" s="1">
        <v>1.2594486640986999</v>
      </c>
      <c r="I25" s="6" t="s">
        <v>105</v>
      </c>
      <c r="J25" s="1">
        <v>9.8604262538245742</v>
      </c>
      <c r="K25" s="1">
        <v>31.854776051041693</v>
      </c>
    </row>
    <row r="26" spans="1:11" x14ac:dyDescent="0.25">
      <c r="A26" s="6" t="s">
        <v>223</v>
      </c>
      <c r="B26" s="1">
        <v>2.27</v>
      </c>
      <c r="C26" s="1">
        <v>0.89933308623668473</v>
      </c>
      <c r="E26" s="6" t="s">
        <v>223</v>
      </c>
      <c r="F26" s="1">
        <v>5.81</v>
      </c>
      <c r="G26" s="1">
        <v>5.7134752996753226</v>
      </c>
      <c r="I26" s="6" t="s">
        <v>223</v>
      </c>
      <c r="J26" s="1">
        <v>14.276671203871748</v>
      </c>
      <c r="K26" s="1">
        <v>10.556305597153626</v>
      </c>
    </row>
    <row r="27" spans="1:11" x14ac:dyDescent="0.25">
      <c r="A27" s="6" t="s">
        <v>122</v>
      </c>
      <c r="B27" s="1">
        <v>5.2762499999999992</v>
      </c>
      <c r="C27" s="1">
        <v>2.7000598951689954</v>
      </c>
      <c r="E27" s="6" t="s">
        <v>122</v>
      </c>
      <c r="F27" s="1">
        <v>1.98</v>
      </c>
      <c r="G27" s="1">
        <v>0.47007598170022297</v>
      </c>
      <c r="I27" s="6" t="s">
        <v>122</v>
      </c>
      <c r="J27" s="1">
        <v>13.56891354480317</v>
      </c>
      <c r="K27" s="1">
        <v>9.3035635704153155</v>
      </c>
    </row>
    <row r="28" spans="1:11" x14ac:dyDescent="0.25">
      <c r="A28" s="6" t="s">
        <v>191</v>
      </c>
      <c r="B28" s="1">
        <v>3.7961904761904761</v>
      </c>
      <c r="C28" s="1">
        <v>2.5638855857959331</v>
      </c>
      <c r="E28" s="6" t="s">
        <v>191</v>
      </c>
      <c r="F28" s="1">
        <v>2.3594117647058823</v>
      </c>
      <c r="G28" s="1">
        <v>0.87210678372234607</v>
      </c>
      <c r="I28" s="6" t="s">
        <v>191</v>
      </c>
      <c r="J28" s="1">
        <v>9.9567590688095748</v>
      </c>
      <c r="K28" s="1">
        <v>15.171964543375129</v>
      </c>
    </row>
    <row r="29" spans="1:11" x14ac:dyDescent="0.25">
      <c r="A29" s="6" t="s">
        <v>135</v>
      </c>
      <c r="B29" s="1">
        <v>3.0954545454545452</v>
      </c>
      <c r="C29" s="1">
        <v>2.6716163430211162</v>
      </c>
      <c r="E29" s="6" t="s">
        <v>135</v>
      </c>
      <c r="F29" s="1">
        <v>2.8008333333333333</v>
      </c>
      <c r="G29" s="1">
        <v>0.85154230990336199</v>
      </c>
      <c r="I29" s="6" t="s">
        <v>135</v>
      </c>
      <c r="J29" s="1">
        <v>45.201218110687009</v>
      </c>
      <c r="K29" s="1">
        <v>53.470587881873541</v>
      </c>
    </row>
    <row r="30" spans="1:11" x14ac:dyDescent="0.25">
      <c r="A30" s="6" t="s">
        <v>142</v>
      </c>
      <c r="B30" s="1">
        <v>-5.9742857142857142</v>
      </c>
      <c r="C30" s="1">
        <v>11.723221388675174</v>
      </c>
      <c r="E30" s="6" t="s">
        <v>142</v>
      </c>
      <c r="F30" s="1">
        <v>1.3868750000000001</v>
      </c>
      <c r="G30" s="1">
        <v>0.56305770963108182</v>
      </c>
      <c r="I30" s="6" t="s">
        <v>142</v>
      </c>
      <c r="J30" s="1">
        <v>5.533118956389619</v>
      </c>
      <c r="K30" s="1">
        <v>16.523811165862298</v>
      </c>
    </row>
    <row r="31" spans="1:11" x14ac:dyDescent="0.25">
      <c r="A31" s="6" t="s">
        <v>235</v>
      </c>
      <c r="B31" s="1">
        <v>0.87000000000000022</v>
      </c>
      <c r="C31" s="1">
        <v>3.1108269711516332</v>
      </c>
      <c r="E31" s="6" t="s">
        <v>235</v>
      </c>
      <c r="F31" s="1">
        <v>2.0828571428571427</v>
      </c>
      <c r="G31" s="1">
        <v>0.49401313706402222</v>
      </c>
      <c r="I31" s="6" t="s">
        <v>235</v>
      </c>
      <c r="J31" s="1">
        <v>-8.9344008067398131E-2</v>
      </c>
      <c r="K31" s="1">
        <v>12.430348493326726</v>
      </c>
    </row>
    <row r="32" spans="1:11" x14ac:dyDescent="0.25">
      <c r="A32" s="6" t="s">
        <v>154</v>
      </c>
      <c r="B32" s="1">
        <v>2.2749999999999999</v>
      </c>
      <c r="C32" s="1">
        <v>1.4450000000000007</v>
      </c>
      <c r="E32" s="6" t="s">
        <v>154</v>
      </c>
      <c r="F32" s="1">
        <v>-106.13</v>
      </c>
      <c r="G32" s="1">
        <v>141.29</v>
      </c>
      <c r="I32" s="6" t="s">
        <v>154</v>
      </c>
      <c r="J32" s="1">
        <v>-113.55174568785935</v>
      </c>
      <c r="K32" s="1">
        <v>110.90279976668612</v>
      </c>
    </row>
    <row r="33" spans="1:11" x14ac:dyDescent="0.25">
      <c r="A33" s="6" t="s">
        <v>157</v>
      </c>
      <c r="B33" s="1">
        <v>3.1532352941176467</v>
      </c>
      <c r="C33" s="1">
        <v>3.1740739460864669</v>
      </c>
      <c r="E33" s="6" t="s">
        <v>157</v>
      </c>
      <c r="F33" s="1">
        <v>2.2837837837837838</v>
      </c>
      <c r="G33" s="1">
        <v>0.88043708847598057</v>
      </c>
      <c r="I33" s="6" t="s">
        <v>157</v>
      </c>
      <c r="J33" s="1">
        <v>14.504484215992557</v>
      </c>
      <c r="K33" s="1">
        <v>14.839465663215289</v>
      </c>
    </row>
    <row r="34" spans="1:11" x14ac:dyDescent="0.25">
      <c r="A34" s="6" t="s">
        <v>249</v>
      </c>
      <c r="B34" s="1">
        <v>5.7200000000000006</v>
      </c>
      <c r="C34" s="1">
        <v>2.0409850562902228</v>
      </c>
      <c r="E34" s="6" t="s">
        <v>249</v>
      </c>
      <c r="F34" s="1">
        <v>1.9319999999999997</v>
      </c>
      <c r="G34" s="1">
        <v>0.58760190605545237</v>
      </c>
      <c r="I34" s="6" t="s">
        <v>249</v>
      </c>
      <c r="J34" s="1">
        <v>4.9025313431035666</v>
      </c>
      <c r="K34" s="1">
        <v>2.6409254973971406</v>
      </c>
    </row>
    <row r="35" spans="1:11" x14ac:dyDescent="0.25">
      <c r="A35" s="6" t="s">
        <v>229</v>
      </c>
      <c r="B35" s="1">
        <v>1.1483333333333332</v>
      </c>
      <c r="C35" s="1">
        <v>2.373692037499576</v>
      </c>
      <c r="E35" s="6" t="s">
        <v>229</v>
      </c>
      <c r="F35" s="1">
        <v>5.5014285714285718</v>
      </c>
      <c r="G35" s="1">
        <v>6.8728293790453856</v>
      </c>
      <c r="I35" s="6" t="s">
        <v>229</v>
      </c>
      <c r="J35" s="1">
        <v>2.3198098867838088</v>
      </c>
      <c r="K35" s="1">
        <v>8.3477258322063665</v>
      </c>
    </row>
    <row r="36" spans="1:11" x14ac:dyDescent="0.25">
      <c r="A36" s="6" t="s">
        <v>204</v>
      </c>
      <c r="B36" s="1">
        <v>3.6127272727272723</v>
      </c>
      <c r="C36" s="1">
        <v>4.580595616112288</v>
      </c>
      <c r="E36" s="6" t="s">
        <v>204</v>
      </c>
      <c r="F36" s="1">
        <v>2.4978260869565214</v>
      </c>
      <c r="G36" s="1">
        <v>0.65011006774932922</v>
      </c>
      <c r="I36" s="6" t="s">
        <v>204</v>
      </c>
      <c r="J36" s="1">
        <v>16.847513959059231</v>
      </c>
      <c r="K36" s="1">
        <v>20.947520805554653</v>
      </c>
    </row>
    <row r="37" spans="1:11" x14ac:dyDescent="0.25">
      <c r="A37" s="6" t="s">
        <v>181</v>
      </c>
      <c r="B37" s="1">
        <v>4.0973333333333342</v>
      </c>
      <c r="C37" s="1">
        <v>3.2497045335777144</v>
      </c>
      <c r="E37" s="6" t="s">
        <v>181</v>
      </c>
      <c r="F37" s="1">
        <v>2.4349999999999996</v>
      </c>
      <c r="G37" s="1">
        <v>0.84080531125140578</v>
      </c>
      <c r="I37" s="6" t="s">
        <v>181</v>
      </c>
      <c r="J37" s="1">
        <v>7.3133645225354789</v>
      </c>
      <c r="K37" s="1">
        <v>20.431813802857405</v>
      </c>
    </row>
    <row r="38" spans="1:11" x14ac:dyDescent="0.25">
      <c r="A38" s="6" t="s">
        <v>250</v>
      </c>
      <c r="B38" s="1">
        <v>-2.66</v>
      </c>
      <c r="C38" s="1">
        <v>0</v>
      </c>
      <c r="E38" s="6" t="s">
        <v>250</v>
      </c>
      <c r="F38" s="1">
        <v>5.35</v>
      </c>
      <c r="G38" s="1">
        <v>0</v>
      </c>
      <c r="I38" s="6" t="s">
        <v>250</v>
      </c>
      <c r="J38" s="1">
        <v>-6.7840909090909092</v>
      </c>
      <c r="K38" s="1">
        <v>0</v>
      </c>
    </row>
  </sheetData>
  <mergeCells count="6">
    <mergeCell ref="A1:C1"/>
    <mergeCell ref="E1:G1"/>
    <mergeCell ref="I1:K1"/>
    <mergeCell ref="A21:C21"/>
    <mergeCell ref="E21:G21"/>
    <mergeCell ref="I21:K2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C29769-BCC2-47EA-9108-B1B7CE962C71}">
  <sheetPr codeName="Sheet9">
    <tabColor theme="9" tint="0.39997558519241921"/>
  </sheetPr>
  <dimension ref="A1:T18"/>
  <sheetViews>
    <sheetView tabSelected="1" zoomScaleNormal="100" workbookViewId="0">
      <pane xSplit="2" ySplit="8" topLeftCell="C9" activePane="bottomRight" state="frozen"/>
      <selection pane="topRight" activeCell="C1" sqref="C1"/>
      <selection pane="bottomLeft" activeCell="A7" sqref="A7"/>
      <selection pane="bottomRight" activeCell="I28" sqref="I28"/>
    </sheetView>
  </sheetViews>
  <sheetFormatPr defaultRowHeight="15" x14ac:dyDescent="0.25"/>
  <cols>
    <col min="1" max="1" width="31.42578125" bestFit="1" customWidth="1"/>
    <col min="2" max="2" width="10" bestFit="1" customWidth="1"/>
    <col min="3" max="3" width="17" style="2" bestFit="1" customWidth="1"/>
    <col min="4" max="4" width="15.42578125" style="1" bestFit="1" customWidth="1"/>
    <col min="5" max="5" width="10.140625" style="1" bestFit="1" customWidth="1"/>
    <col min="6" max="6" width="7.85546875" style="1" bestFit="1" customWidth="1"/>
    <col min="7" max="7" width="8.140625" style="1" bestFit="1" customWidth="1"/>
    <col min="8" max="8" width="8.5703125" style="1" bestFit="1" customWidth="1"/>
    <col min="9" max="9" width="11.7109375" style="1" bestFit="1" customWidth="1"/>
    <col min="10" max="11" width="7.28515625" style="1" customWidth="1"/>
    <col min="12" max="12" width="6.28515625" style="1" bestFit="1" customWidth="1"/>
    <col min="13" max="13" width="10.7109375" style="1" bestFit="1" customWidth="1"/>
    <col min="14" max="14" width="15.7109375" style="1" bestFit="1" customWidth="1"/>
    <col min="15" max="15" width="13.28515625" style="1" bestFit="1" customWidth="1"/>
    <col min="16" max="17" width="14.140625" style="1" bestFit="1" customWidth="1"/>
    <col min="18" max="19" width="13.28515625" style="1" bestFit="1" customWidth="1"/>
    <col min="20" max="20" width="10.42578125" bestFit="1" customWidth="1"/>
    <col min="21" max="21" width="16.140625" bestFit="1" customWidth="1"/>
    <col min="22" max="22" width="14.85546875" bestFit="1" customWidth="1"/>
    <col min="23" max="24" width="14.5703125" bestFit="1" customWidth="1"/>
    <col min="25" max="26" width="13.7109375" bestFit="1" customWidth="1"/>
  </cols>
  <sheetData>
    <row r="1" spans="1:20" ht="24.75" thickBot="1" x14ac:dyDescent="0.3">
      <c r="A1" s="25"/>
      <c r="B1" s="25"/>
      <c r="C1" s="28" t="str" cm="1">
        <f t="array" aca="1" ref="C1" ca="1">MID(CELL("filename", A1), FIND("[", CELL("filename", A1)) + 1, FIND(".x", CELL("filename", A1)) - FIND("[", CELL("filename", A1)) - 1) &amp; " - Large Cap"</f>
        <v>Industrials - Large Cap</v>
      </c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30"/>
    </row>
    <row r="2" spans="1:20" x14ac:dyDescent="0.25">
      <c r="C2" s="37" t="s">
        <v>104</v>
      </c>
      <c r="D2" s="38"/>
      <c r="E2" s="38"/>
      <c r="F2" s="38"/>
      <c r="G2" s="38"/>
      <c r="H2" s="39"/>
      <c r="I2" s="45" t="s">
        <v>69</v>
      </c>
      <c r="J2" s="46"/>
      <c r="K2" s="46"/>
      <c r="L2" s="46"/>
      <c r="M2" s="47"/>
      <c r="N2" s="48" t="s">
        <v>86</v>
      </c>
      <c r="O2" s="49"/>
      <c r="P2" s="49"/>
      <c r="Q2" s="49"/>
      <c r="R2" s="49"/>
      <c r="S2" s="50"/>
      <c r="T2" s="43" t="str">
        <f>"Max Score:"&amp;IFERROR(CHAR(10)&amp;MAX($T$9:$T$1048576)&amp;"/5", CHAR(10)&amp;"0/5")</f>
        <v>Max Score:
5/5</v>
      </c>
    </row>
    <row r="3" spans="1:20" s="10" customFormat="1" ht="15" customHeight="1" x14ac:dyDescent="0.25">
      <c r="C3" s="37"/>
      <c r="D3" s="38"/>
      <c r="E3" s="38"/>
      <c r="F3" s="38"/>
      <c r="G3" s="38"/>
      <c r="H3" s="39"/>
      <c r="I3" s="16" t="s">
        <v>71</v>
      </c>
      <c r="J3" s="15" t="s">
        <v>30</v>
      </c>
      <c r="K3" s="15" t="s">
        <v>83</v>
      </c>
      <c r="L3" s="14"/>
      <c r="M3" s="17" t="s">
        <v>32</v>
      </c>
      <c r="N3" s="22" t="s">
        <v>96</v>
      </c>
      <c r="O3" s="23" t="s">
        <v>97</v>
      </c>
      <c r="P3" s="23" t="s">
        <v>98</v>
      </c>
      <c r="Q3" s="23" t="s">
        <v>99</v>
      </c>
      <c r="R3" s="23" t="s">
        <v>100</v>
      </c>
      <c r="S3" s="24" t="s">
        <v>101</v>
      </c>
      <c r="T3" s="43"/>
    </row>
    <row r="4" spans="1:20" s="10" customFormat="1" ht="15" customHeight="1" x14ac:dyDescent="0.25">
      <c r="C4" s="37"/>
      <c r="D4" s="38"/>
      <c r="E4" s="38"/>
      <c r="F4" s="38"/>
      <c r="G4" s="38"/>
      <c r="H4" s="39"/>
      <c r="I4" s="53" t="s">
        <v>82</v>
      </c>
      <c r="J4" s="51" t="s">
        <v>87</v>
      </c>
      <c r="K4" s="51" t="s">
        <v>87</v>
      </c>
      <c r="L4" s="13"/>
      <c r="M4" s="18" t="s">
        <v>84</v>
      </c>
      <c r="N4" s="55" t="s">
        <v>102</v>
      </c>
      <c r="O4" s="31" t="s">
        <v>102</v>
      </c>
      <c r="P4" s="31" t="s">
        <v>103</v>
      </c>
      <c r="Q4" s="31" t="s">
        <v>103</v>
      </c>
      <c r="R4" s="31" t="s">
        <v>102</v>
      </c>
      <c r="S4" s="34" t="s">
        <v>102</v>
      </c>
      <c r="T4" s="43"/>
    </row>
    <row r="5" spans="1:20" s="10" customFormat="1" x14ac:dyDescent="0.25">
      <c r="A5" s="26"/>
      <c r="C5" s="37"/>
      <c r="D5" s="38"/>
      <c r="E5" s="38"/>
      <c r="F5" s="38"/>
      <c r="G5" s="38"/>
      <c r="H5" s="39"/>
      <c r="I5" s="53"/>
      <c r="J5" s="51"/>
      <c r="K5" s="51"/>
      <c r="L5" s="13"/>
      <c r="M5" s="19" t="s">
        <v>53</v>
      </c>
      <c r="N5" s="56"/>
      <c r="O5" s="32"/>
      <c r="P5" s="32"/>
      <c r="Q5" s="32"/>
      <c r="R5" s="32"/>
      <c r="S5" s="35"/>
      <c r="T5" s="43"/>
    </row>
    <row r="6" spans="1:20" s="10" customFormat="1" ht="30.75" thickBot="1" x14ac:dyDescent="0.3">
      <c r="A6" s="26" t="str">
        <f>"Number of stocks: "&amp;COUNTA($B$9:$B$1048576)</f>
        <v>Number of stocks: 10</v>
      </c>
      <c r="C6" s="40"/>
      <c r="D6" s="41"/>
      <c r="E6" s="41"/>
      <c r="F6" s="41"/>
      <c r="G6" s="41"/>
      <c r="H6" s="42"/>
      <c r="I6" s="54"/>
      <c r="J6" s="52"/>
      <c r="K6" s="52"/>
      <c r="L6" s="20"/>
      <c r="M6" s="21" t="s">
        <v>85</v>
      </c>
      <c r="N6" s="57"/>
      <c r="O6" s="33"/>
      <c r="P6" s="33"/>
      <c r="Q6" s="33"/>
      <c r="R6" s="33"/>
      <c r="S6" s="36"/>
      <c r="T6" s="44"/>
    </row>
    <row r="8" spans="1:20" x14ac:dyDescent="0.25">
      <c r="A8" s="4" t="s">
        <v>1</v>
      </c>
      <c r="B8" s="5" t="s">
        <v>24</v>
      </c>
      <c r="C8" s="8" t="s">
        <v>54</v>
      </c>
      <c r="D8" s="7" t="s">
        <v>25</v>
      </c>
      <c r="E8" s="5" t="s">
        <v>26</v>
      </c>
      <c r="F8" s="5" t="s">
        <v>27</v>
      </c>
      <c r="G8" s="5" t="s">
        <v>28</v>
      </c>
      <c r="H8" s="5" t="s">
        <v>29</v>
      </c>
      <c r="I8" s="11" t="s">
        <v>71</v>
      </c>
      <c r="J8" s="11" t="s">
        <v>30</v>
      </c>
      <c r="K8" s="11" t="s">
        <v>31</v>
      </c>
      <c r="L8" s="7" t="s">
        <v>33</v>
      </c>
      <c r="M8" s="11" t="s">
        <v>32</v>
      </c>
      <c r="N8" s="7" t="s">
        <v>90</v>
      </c>
      <c r="O8" s="7" t="s">
        <v>91</v>
      </c>
      <c r="P8" s="7" t="s">
        <v>92</v>
      </c>
      <c r="Q8" s="7" t="s">
        <v>93</v>
      </c>
      <c r="R8" s="7" t="s">
        <v>94</v>
      </c>
      <c r="S8" s="7" t="s">
        <v>95</v>
      </c>
      <c r="T8" s="12" t="s">
        <v>52</v>
      </c>
    </row>
    <row r="9" spans="1:20" x14ac:dyDescent="0.25">
      <c r="A9" t="str" cm="1">
        <f t="array" ref="A9:S18">_xlfn._xlws.FILTER(_xlfn._xlws.FILTER(Main_L[], Main_L[Preliminary Criteria]="YES"), COUNTIF($A$8:$S$8,Main_L[#Headers]))</f>
        <v>Aerospace &amp; Defense</v>
      </c>
      <c r="B9" t="str">
        <v>CW</v>
      </c>
      <c r="C9" s="9">
        <v>13646</v>
      </c>
      <c r="D9" s="1">
        <v>395.15</v>
      </c>
      <c r="E9" s="1">
        <v>12.67</v>
      </c>
      <c r="F9" s="1">
        <v>65.069999999999993</v>
      </c>
      <c r="G9" s="1">
        <v>10.55</v>
      </c>
      <c r="H9" s="1">
        <v>31.187845303867402</v>
      </c>
      <c r="I9" s="1">
        <v>6.0726909482096207</v>
      </c>
      <c r="J9" s="1">
        <v>16.95</v>
      </c>
      <c r="K9" s="1">
        <v>7.48</v>
      </c>
      <c r="L9" s="1">
        <v>2.04</v>
      </c>
      <c r="M9" s="1">
        <v>37.45497630331753</v>
      </c>
      <c r="N9" s="1">
        <v>-0.21876206040012897</v>
      </c>
      <c r="O9" s="1">
        <v>-0.29982520978581889</v>
      </c>
      <c r="P9" s="1">
        <v>6.1586068553858994E-2</v>
      </c>
      <c r="Q9" s="1">
        <v>0.62925809988042347</v>
      </c>
      <c r="R9" s="1">
        <v>-0.69217321651847374</v>
      </c>
      <c r="S9" s="1">
        <v>0.22217909307578734</v>
      </c>
      <c r="T9">
        <f t="shared" ref="T9:T25" si="0">SUM(IF($I9&lt;(0.7*VLOOKUP($A9, Mean_PB_L, 2, FALSE)),1,0), IF($J9&gt;VLOOKUP($A9, Mean_ROE_L, 2, FALSE),1,0), IF($K9&gt;VLOOKUP($A9, Mean_ROA_L, 2,FALSE),1,0), IF($M9&lt;VLOOKUP($A9, Mean_PE_L, 2, FALSE),1,0), IF(AND($M9&gt;1,$M9&lt;25),1,0))</f>
        <v>2</v>
      </c>
    </row>
    <row r="10" spans="1:20" x14ac:dyDescent="0.25">
      <c r="A10" t="str">
        <v>Building Products</v>
      </c>
      <c r="B10" t="str">
        <v>BLDR</v>
      </c>
      <c r="C10" s="2">
        <v>11713</v>
      </c>
      <c r="D10" s="1">
        <v>123.81</v>
      </c>
      <c r="E10" s="1">
        <v>11.21</v>
      </c>
      <c r="F10" s="1">
        <v>38.46</v>
      </c>
      <c r="G10" s="1">
        <v>7.84</v>
      </c>
      <c r="H10" s="1">
        <v>11.044603033006243</v>
      </c>
      <c r="I10" s="1">
        <v>3.219188767550702</v>
      </c>
      <c r="J10" s="1">
        <v>19.62</v>
      </c>
      <c r="K10" s="1">
        <v>7.77</v>
      </c>
      <c r="L10" s="1">
        <v>2.62</v>
      </c>
      <c r="M10" s="1">
        <v>15.792091836734695</v>
      </c>
      <c r="N10" s="1">
        <v>-1.292688851503256</v>
      </c>
      <c r="O10" s="1">
        <v>-0.86060705567830542</v>
      </c>
      <c r="P10" s="1">
        <v>-0.30662836621367562</v>
      </c>
      <c r="Q10" s="1">
        <v>-0.37355473679805645</v>
      </c>
      <c r="R10" s="1">
        <v>-0.55834074441511139</v>
      </c>
      <c r="S10" s="1">
        <v>-1.0516224722291216</v>
      </c>
      <c r="T10">
        <f t="shared" si="0"/>
        <v>3</v>
      </c>
    </row>
    <row r="11" spans="1:20" x14ac:dyDescent="0.25">
      <c r="A11" t="str">
        <v>Electrical Equipment</v>
      </c>
      <c r="B11" t="str">
        <v>AME</v>
      </c>
      <c r="C11" s="2">
        <v>39182</v>
      </c>
      <c r="D11" s="1">
        <v>180.5</v>
      </c>
      <c r="E11" s="1">
        <v>7.41</v>
      </c>
      <c r="F11" s="1">
        <v>43.18</v>
      </c>
      <c r="G11" s="1">
        <v>6.11</v>
      </c>
      <c r="H11" s="1">
        <v>24.358974358974358</v>
      </c>
      <c r="I11" s="1">
        <v>4.1801760074108385</v>
      </c>
      <c r="J11" s="1">
        <v>14.96</v>
      </c>
      <c r="K11" s="1">
        <v>7.52</v>
      </c>
      <c r="L11" s="1">
        <v>1.49</v>
      </c>
      <c r="M11" s="1">
        <v>29.541734860883796</v>
      </c>
      <c r="N11" s="1">
        <v>-0.99920386252083415</v>
      </c>
      <c r="O11" s="1">
        <v>-1.0330312520554814</v>
      </c>
      <c r="P11" s="1">
        <v>-0.79937978428419176</v>
      </c>
      <c r="Q11" s="1">
        <v>0.15372569589324689</v>
      </c>
      <c r="R11" s="1">
        <v>-1.3140321772289763</v>
      </c>
      <c r="S11" s="1">
        <v>-0.81262939665578893</v>
      </c>
      <c r="T11">
        <f t="shared" si="0"/>
        <v>3</v>
      </c>
    </row>
    <row r="12" spans="1:20" x14ac:dyDescent="0.25">
      <c r="A12" t="str">
        <v>Electrical Equipment</v>
      </c>
      <c r="B12" t="str">
        <v>HUBB</v>
      </c>
      <c r="C12" s="2">
        <v>18808</v>
      </c>
      <c r="D12" s="1">
        <v>386.66</v>
      </c>
      <c r="E12" s="1">
        <v>14.36</v>
      </c>
      <c r="F12" s="1">
        <v>61.11</v>
      </c>
      <c r="G12" s="1">
        <v>14.79</v>
      </c>
      <c r="H12" s="1">
        <v>26.926183844011145</v>
      </c>
      <c r="I12" s="1">
        <v>6.3272786777941423</v>
      </c>
      <c r="J12" s="1">
        <v>25.92</v>
      </c>
      <c r="K12" s="1">
        <v>10.07</v>
      </c>
      <c r="L12" s="1">
        <v>2.12</v>
      </c>
      <c r="M12" s="1">
        <v>26.143340094658555</v>
      </c>
      <c r="N12" s="1">
        <v>-0.5911608423161735</v>
      </c>
      <c r="O12" s="1">
        <v>-0.527451659417422</v>
      </c>
      <c r="P12" s="1">
        <v>0.66151628647053007</v>
      </c>
      <c r="Q12" s="1">
        <v>1.0332140522055731</v>
      </c>
      <c r="R12" s="1">
        <v>-0.43335103717125811</v>
      </c>
      <c r="S12" s="1">
        <v>-1.0567663845791384</v>
      </c>
      <c r="T12">
        <f t="shared" si="0"/>
        <v>3</v>
      </c>
    </row>
    <row r="13" spans="1:20" x14ac:dyDescent="0.25">
      <c r="A13" t="str">
        <v>Ground Transportation</v>
      </c>
      <c r="B13" t="str">
        <v>JBHT</v>
      </c>
      <c r="C13" s="2">
        <v>13188</v>
      </c>
      <c r="D13" s="1">
        <v>147.32</v>
      </c>
      <c r="E13" s="1">
        <v>5.07</v>
      </c>
      <c r="F13" s="1">
        <v>38.979999999999997</v>
      </c>
      <c r="G13" s="1">
        <v>5.52</v>
      </c>
      <c r="H13" s="1">
        <v>29.057199211045361</v>
      </c>
      <c r="I13" s="1">
        <v>3.7793740379681888</v>
      </c>
      <c r="J13" s="1">
        <v>13.97</v>
      </c>
      <c r="K13" s="1">
        <v>6.11</v>
      </c>
      <c r="L13" s="1">
        <v>2.14</v>
      </c>
      <c r="M13" s="1">
        <v>26.688405797101449</v>
      </c>
      <c r="N13" s="1">
        <v>-0.25031969156554368</v>
      </c>
      <c r="O13" s="1">
        <v>-0.48858774303831493</v>
      </c>
      <c r="P13" s="1">
        <v>-0.36121075514198425</v>
      </c>
      <c r="Q13" s="1">
        <v>0.37224703900620471</v>
      </c>
      <c r="R13" s="1">
        <v>-0.40540156773005548</v>
      </c>
      <c r="S13" s="1">
        <v>0.1599154252357986</v>
      </c>
      <c r="T13">
        <f t="shared" si="0"/>
        <v>1</v>
      </c>
    </row>
    <row r="14" spans="1:20" x14ac:dyDescent="0.25">
      <c r="A14" t="str">
        <v>Machinery</v>
      </c>
      <c r="B14" t="str">
        <v>WAB</v>
      </c>
      <c r="C14" s="2">
        <v>32463</v>
      </c>
      <c r="D14" s="1">
        <v>203.85</v>
      </c>
      <c r="E14" s="1">
        <v>8.52</v>
      </c>
      <c r="F14" s="1">
        <v>60.6</v>
      </c>
      <c r="G14" s="1">
        <v>6.39</v>
      </c>
      <c r="H14" s="1">
        <v>23.926056338028168</v>
      </c>
      <c r="I14" s="1">
        <v>3.3638613861386135</v>
      </c>
      <c r="J14" s="1">
        <v>10.68</v>
      </c>
      <c r="K14" s="1">
        <v>5.73</v>
      </c>
      <c r="L14" s="1">
        <v>1.84</v>
      </c>
      <c r="M14" s="1">
        <v>31.901408450704228</v>
      </c>
      <c r="N14" s="1">
        <v>-0.14635962112052239</v>
      </c>
      <c r="O14" s="1">
        <v>-0.64259012967063767</v>
      </c>
      <c r="P14" s="1">
        <v>-0.92141532509308421</v>
      </c>
      <c r="Q14" s="1">
        <v>-0.7716059918896121</v>
      </c>
      <c r="R14" s="1">
        <v>-0.13628986934410922</v>
      </c>
      <c r="S14" s="1">
        <v>0.95212373176464371</v>
      </c>
      <c r="T14">
        <f t="shared" si="0"/>
        <v>0</v>
      </c>
    </row>
    <row r="15" spans="1:20" x14ac:dyDescent="0.25">
      <c r="A15" t="str">
        <v>Machinery</v>
      </c>
      <c r="B15" t="str">
        <v>PNR</v>
      </c>
      <c r="C15" s="2">
        <v>15100</v>
      </c>
      <c r="D15" s="1">
        <v>98.46</v>
      </c>
      <c r="E15" s="1">
        <v>4.62</v>
      </c>
      <c r="F15" s="1">
        <v>22.09</v>
      </c>
      <c r="G15" s="1">
        <v>3.87</v>
      </c>
      <c r="H15" s="1">
        <v>21.311688311688311</v>
      </c>
      <c r="I15" s="1">
        <v>4.4572204617473972</v>
      </c>
      <c r="J15" s="1">
        <v>18.59</v>
      </c>
      <c r="K15" s="1">
        <v>8.5500000000000007</v>
      </c>
      <c r="L15" s="1">
        <v>1.86</v>
      </c>
      <c r="M15" s="1">
        <v>25.441860465116278</v>
      </c>
      <c r="N15" s="1">
        <v>-0.72721698295716097</v>
      </c>
      <c r="O15" s="1">
        <v>-4.7552436395891531E-2</v>
      </c>
      <c r="P15" s="1">
        <v>0.10223568916060945</v>
      </c>
      <c r="Q15" s="1">
        <v>0.22966911214151919</v>
      </c>
      <c r="R15" s="1">
        <v>-9.1328262962547313E-2</v>
      </c>
      <c r="S15" s="1">
        <v>-1.860648915456431E-2</v>
      </c>
      <c r="T15">
        <f t="shared" si="0"/>
        <v>3</v>
      </c>
    </row>
    <row r="16" spans="1:20" x14ac:dyDescent="0.25">
      <c r="A16" t="str">
        <v>Machinery</v>
      </c>
      <c r="B16" t="str">
        <v>SNA</v>
      </c>
      <c r="C16" s="2">
        <v>16454</v>
      </c>
      <c r="D16" s="1">
        <v>327.32</v>
      </c>
      <c r="E16" s="1">
        <v>20.62</v>
      </c>
      <c r="F16" s="1">
        <v>105.58</v>
      </c>
      <c r="G16" s="1">
        <v>19.11</v>
      </c>
      <c r="H16" s="1">
        <v>15.873908826382152</v>
      </c>
      <c r="I16" s="1">
        <v>3.1002083727978782</v>
      </c>
      <c r="J16" s="1">
        <v>19.54</v>
      </c>
      <c r="K16" s="1">
        <v>10.83</v>
      </c>
      <c r="L16" s="1">
        <v>1.46</v>
      </c>
      <c r="M16" s="1">
        <v>17.128205128205128</v>
      </c>
      <c r="N16" s="1">
        <v>-1.9353767425095938</v>
      </c>
      <c r="O16" s="1">
        <v>-0.78607773990138841</v>
      </c>
      <c r="P16" s="1">
        <v>0.2251773406828608</v>
      </c>
      <c r="Q16" s="1">
        <v>1.0392106856134973</v>
      </c>
      <c r="R16" s="1">
        <v>-0.99056039059378465</v>
      </c>
      <c r="S16" s="1">
        <v>-1.267968905820837</v>
      </c>
      <c r="T16">
        <f t="shared" si="0"/>
        <v>5</v>
      </c>
    </row>
    <row r="17" spans="1:20" x14ac:dyDescent="0.25">
      <c r="A17" t="str">
        <v>Professional Services</v>
      </c>
      <c r="B17" t="str">
        <v>CACI</v>
      </c>
      <c r="C17" s="2">
        <v>10427</v>
      </c>
      <c r="D17" s="1">
        <v>462.04</v>
      </c>
      <c r="E17" s="1">
        <v>21.86</v>
      </c>
      <c r="F17" s="1">
        <v>168.46</v>
      </c>
      <c r="G17" s="1">
        <v>21.19</v>
      </c>
      <c r="H17" s="1">
        <v>21.136322049405308</v>
      </c>
      <c r="I17" s="1">
        <v>2.7427282440935534</v>
      </c>
      <c r="J17" s="1">
        <v>13.48</v>
      </c>
      <c r="K17" s="1">
        <v>6.32</v>
      </c>
      <c r="L17" s="1">
        <v>2.3199999999999998</v>
      </c>
      <c r="M17" s="1">
        <v>21.80462482302973</v>
      </c>
      <c r="N17" s="1">
        <v>-1.057890391281302</v>
      </c>
      <c r="O17" s="1">
        <v>-1.1513275111002312</v>
      </c>
      <c r="P17" s="1">
        <v>-0.85849325189983161</v>
      </c>
      <c r="Q17" s="1">
        <v>-0.47159458395528997</v>
      </c>
      <c r="R17" s="1">
        <v>-0.87163515022408078</v>
      </c>
      <c r="S17" s="1">
        <v>-1.2165181534068672</v>
      </c>
      <c r="T17">
        <f t="shared" si="0"/>
        <v>3</v>
      </c>
    </row>
    <row r="18" spans="1:20" x14ac:dyDescent="0.25">
      <c r="A18" t="str">
        <v>Professional Services</v>
      </c>
      <c r="B18" t="str">
        <v>LDOS</v>
      </c>
      <c r="C18" s="2">
        <v>19837</v>
      </c>
      <c r="D18" s="1">
        <v>155.43</v>
      </c>
      <c r="E18" s="1">
        <v>9.2799999999999994</v>
      </c>
      <c r="F18" s="1">
        <v>33.64</v>
      </c>
      <c r="G18" s="1">
        <v>9.2200000000000006</v>
      </c>
      <c r="H18" s="1">
        <v>16.748922413793107</v>
      </c>
      <c r="I18" s="1">
        <v>4.6203923900118911</v>
      </c>
      <c r="J18" s="1">
        <v>28.7</v>
      </c>
      <c r="K18" s="1">
        <v>8.7899999999999991</v>
      </c>
      <c r="L18" s="1">
        <v>2.97</v>
      </c>
      <c r="M18" s="1">
        <v>16.857917570498916</v>
      </c>
      <c r="N18" s="1">
        <v>-1.4703006948764716</v>
      </c>
      <c r="O18" s="1">
        <v>-0.84530231001450651</v>
      </c>
      <c r="P18" s="1">
        <v>-0.16830059278537737</v>
      </c>
      <c r="Q18" s="1">
        <v>0.18813702517437622</v>
      </c>
      <c r="R18" s="1">
        <v>-0.22466289353247051</v>
      </c>
      <c r="S18" s="1">
        <v>-1.6575077817871702</v>
      </c>
      <c r="T18">
        <f t="shared" si="0"/>
        <v>4</v>
      </c>
    </row>
  </sheetData>
  <autoFilter ref="A8:T8" xr:uid="{97C29769-BCC2-47EA-9108-B1B7CE962C71}"/>
  <mergeCells count="14">
    <mergeCell ref="C1:T1"/>
    <mergeCell ref="Q4:Q6"/>
    <mergeCell ref="R4:R6"/>
    <mergeCell ref="S4:S6"/>
    <mergeCell ref="C2:H6"/>
    <mergeCell ref="T2:T6"/>
    <mergeCell ref="I2:M2"/>
    <mergeCell ref="N2:S2"/>
    <mergeCell ref="K4:K6"/>
    <mergeCell ref="J4:J6"/>
    <mergeCell ref="I4:I6"/>
    <mergeCell ref="N4:N6"/>
    <mergeCell ref="O4:O6"/>
    <mergeCell ref="P4:P6"/>
  </mergeCells>
  <phoneticPr fontId="6" type="noConversion"/>
  <conditionalFormatting sqref="I9:I1048576">
    <cfRule type="expression" dxfId="119" priority="1">
      <formula>$I9 &lt; (0.7*VLOOKUP($A9, Mean_PB_L, 2, FALSE))</formula>
    </cfRule>
  </conditionalFormatting>
  <conditionalFormatting sqref="J9:J1048576">
    <cfRule type="expression" dxfId="118" priority="3">
      <formula>$J9 &gt; VLOOKUP($A9, Mean_ROE_L, 2, FALSE)</formula>
    </cfRule>
  </conditionalFormatting>
  <conditionalFormatting sqref="K9:K1048576">
    <cfRule type="expression" dxfId="117" priority="4">
      <formula>$K9 &gt; VLOOKUP($A9, Mean_ROA_L, 2, FALSE)</formula>
    </cfRule>
  </conditionalFormatting>
  <conditionalFormatting sqref="M9:M1048576">
    <cfRule type="expression" dxfId="116" priority="5">
      <formula>AND($M9&gt;1, $M9&lt;25, $M9 &lt; VLOOKUP($A9, Mean_PE_L, 2, FALSE))</formula>
    </cfRule>
    <cfRule type="expression" dxfId="115" priority="6">
      <formula>AND($M9&gt;1, $M9&lt;25)</formula>
    </cfRule>
    <cfRule type="expression" dxfId="114" priority="9">
      <formula xml:space="preserve"> $M9 &lt; VLOOKUP($A9, Mean_PE_L, 2, FALSE)</formula>
    </cfRule>
  </conditionalFormatting>
  <conditionalFormatting sqref="N9:N1048576">
    <cfRule type="expression" dxfId="113" priority="10">
      <formula>$N9&lt;0</formula>
    </cfRule>
  </conditionalFormatting>
  <conditionalFormatting sqref="O9:O1048576">
    <cfRule type="expression" dxfId="112" priority="11">
      <formula>$O9&lt;0</formula>
    </cfRule>
  </conditionalFormatting>
  <conditionalFormatting sqref="P9:P1048576">
    <cfRule type="expression" dxfId="111" priority="12">
      <formula>$P9&gt;0</formula>
    </cfRule>
  </conditionalFormatting>
  <conditionalFormatting sqref="Q9:Q1048576">
    <cfRule type="expression" dxfId="110" priority="14">
      <formula>$Q9&gt;0</formula>
    </cfRule>
  </conditionalFormatting>
  <conditionalFormatting sqref="R9:R1048576">
    <cfRule type="expression" dxfId="109" priority="15">
      <formula>$R9&lt;0</formula>
    </cfRule>
  </conditionalFormatting>
  <conditionalFormatting sqref="S9:S1048576">
    <cfRule type="expression" dxfId="108" priority="16">
      <formula>$S9&lt;0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9" r:id="rId3" name="CommandButton1">
          <controlPr defaultSize="0" autoLine="0" r:id="rId4">
            <anchor moveWithCells="1" siz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9525</xdr:colOff>
                <xdr:row>2</xdr:row>
                <xdr:rowOff>0</xdr:rowOff>
              </to>
            </anchor>
          </controlPr>
        </control>
      </mc:Choice>
      <mc:Fallback>
        <control shapeId="9219" r:id="rId3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3C1E5-2754-4118-8E3A-5ED7654E3417}">
  <sheetPr codeName="Sheet10">
    <tabColor theme="9" tint="0.39997558519241921"/>
  </sheetPr>
  <dimension ref="A1:T24"/>
  <sheetViews>
    <sheetView workbookViewId="0">
      <pane xSplit="2" ySplit="8" topLeftCell="C9" activePane="bottomRight" state="frozen"/>
      <selection pane="topRight" activeCell="C1" sqref="C1"/>
      <selection pane="bottomLeft" activeCell="A7" sqref="A7"/>
      <selection pane="bottomRight" activeCell="K31" sqref="K31"/>
    </sheetView>
  </sheetViews>
  <sheetFormatPr defaultRowHeight="15" x14ac:dyDescent="0.25"/>
  <cols>
    <col min="1" max="1" width="31.42578125" bestFit="1" customWidth="1"/>
    <col min="2" max="2" width="10" bestFit="1" customWidth="1"/>
    <col min="3" max="3" width="17" style="2" bestFit="1" customWidth="1"/>
    <col min="4" max="4" width="15.42578125" style="1" bestFit="1" customWidth="1"/>
    <col min="5" max="5" width="10.140625" style="1" bestFit="1" customWidth="1"/>
    <col min="6" max="6" width="7.85546875" style="1" bestFit="1" customWidth="1"/>
    <col min="7" max="7" width="6.7109375" style="1" bestFit="1" customWidth="1"/>
    <col min="8" max="8" width="8.5703125" style="1" bestFit="1" customWidth="1"/>
    <col min="9" max="9" width="11.7109375" style="1" bestFit="1" customWidth="1"/>
    <col min="10" max="11" width="7.28515625" style="1" bestFit="1" customWidth="1"/>
    <col min="12" max="12" width="6.28515625" style="1" bestFit="1" customWidth="1"/>
    <col min="13" max="13" width="10.7109375" style="1" bestFit="1" customWidth="1"/>
    <col min="14" max="14" width="15.7109375" style="1" bestFit="1" customWidth="1"/>
    <col min="15" max="15" width="13.28515625" style="1" bestFit="1" customWidth="1"/>
    <col min="16" max="17" width="14.140625" style="1" bestFit="1" customWidth="1"/>
    <col min="18" max="19" width="13.28515625" style="1" bestFit="1" customWidth="1"/>
    <col min="20" max="20" width="10.42578125" bestFit="1" customWidth="1"/>
    <col min="21" max="21" width="16.140625" bestFit="1" customWidth="1"/>
    <col min="22" max="22" width="14.85546875" bestFit="1" customWidth="1"/>
    <col min="23" max="24" width="14.5703125" bestFit="1" customWidth="1"/>
    <col min="25" max="26" width="13.7109375" bestFit="1" customWidth="1"/>
  </cols>
  <sheetData>
    <row r="1" spans="1:20" ht="24.75" thickBot="1" x14ac:dyDescent="0.3">
      <c r="A1" s="25"/>
      <c r="B1" s="25"/>
      <c r="C1" s="28" t="str" cm="1">
        <f t="array" aca="1" ref="C1" ca="1">MID(CELL("filename", A1), FIND("[", CELL("filename", A1)) + 1, FIND(".x", CELL("filename", A1)) - FIND("[", CELL("filename", A1)) - 1) &amp; " - Mid Cap"</f>
        <v>Industrials - Mid Cap</v>
      </c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30"/>
    </row>
    <row r="2" spans="1:20" ht="15" customHeight="1" x14ac:dyDescent="0.25">
      <c r="C2" s="58" t="s">
        <v>88</v>
      </c>
      <c r="D2" s="59"/>
      <c r="E2" s="59"/>
      <c r="F2" s="59"/>
      <c r="G2" s="59"/>
      <c r="H2" s="60"/>
      <c r="I2" s="61" t="s">
        <v>69</v>
      </c>
      <c r="J2" s="62"/>
      <c r="K2" s="62"/>
      <c r="L2" s="62"/>
      <c r="M2" s="63"/>
      <c r="N2" s="65" t="s">
        <v>86</v>
      </c>
      <c r="O2" s="66"/>
      <c r="P2" s="66"/>
      <c r="Q2" s="66"/>
      <c r="R2" s="66"/>
      <c r="S2" s="67"/>
      <c r="T2" s="64" t="str">
        <f>"Max Score:"&amp;IFERROR(CHAR(10)&amp;MAX($T$9:$T$1048576)&amp;"/5", CHAR(10)&amp;"0/5")</f>
        <v>Max Score:
5/5</v>
      </c>
    </row>
    <row r="3" spans="1:20" ht="15" customHeight="1" x14ac:dyDescent="0.25">
      <c r="C3" s="37"/>
      <c r="D3" s="38"/>
      <c r="E3" s="38"/>
      <c r="F3" s="38"/>
      <c r="G3" s="38"/>
      <c r="H3" s="39"/>
      <c r="I3" s="16" t="s">
        <v>71</v>
      </c>
      <c r="J3" s="15" t="s">
        <v>30</v>
      </c>
      <c r="K3" s="15" t="s">
        <v>83</v>
      </c>
      <c r="L3" s="14"/>
      <c r="M3" s="17" t="s">
        <v>32</v>
      </c>
      <c r="N3" s="22" t="s">
        <v>96</v>
      </c>
      <c r="O3" s="23" t="s">
        <v>97</v>
      </c>
      <c r="P3" s="23" t="s">
        <v>98</v>
      </c>
      <c r="Q3" s="23" t="s">
        <v>99</v>
      </c>
      <c r="R3" s="23" t="s">
        <v>100</v>
      </c>
      <c r="S3" s="24" t="s">
        <v>101</v>
      </c>
      <c r="T3" s="43"/>
    </row>
    <row r="4" spans="1:20" s="10" customFormat="1" ht="15" customHeight="1" x14ac:dyDescent="0.25">
      <c r="C4" s="37"/>
      <c r="D4" s="38"/>
      <c r="E4" s="38"/>
      <c r="F4" s="38"/>
      <c r="G4" s="38"/>
      <c r="H4" s="39"/>
      <c r="I4" s="53" t="s">
        <v>82</v>
      </c>
      <c r="J4" s="51" t="s">
        <v>87</v>
      </c>
      <c r="K4" s="51" t="s">
        <v>87</v>
      </c>
      <c r="L4" s="13"/>
      <c r="M4" s="18" t="s">
        <v>84</v>
      </c>
      <c r="N4" s="55" t="s">
        <v>102</v>
      </c>
      <c r="O4" s="31" t="s">
        <v>102</v>
      </c>
      <c r="P4" s="31" t="s">
        <v>103</v>
      </c>
      <c r="Q4" s="31" t="s">
        <v>103</v>
      </c>
      <c r="R4" s="31" t="s">
        <v>102</v>
      </c>
      <c r="S4" s="34" t="s">
        <v>102</v>
      </c>
      <c r="T4" s="43"/>
    </row>
    <row r="5" spans="1:20" s="10" customFormat="1" x14ac:dyDescent="0.25">
      <c r="A5" s="26"/>
      <c r="C5" s="37"/>
      <c r="D5" s="38"/>
      <c r="E5" s="38"/>
      <c r="F5" s="38"/>
      <c r="G5" s="38"/>
      <c r="H5" s="39"/>
      <c r="I5" s="53"/>
      <c r="J5" s="51"/>
      <c r="K5" s="51"/>
      <c r="L5" s="13"/>
      <c r="M5" s="19" t="s">
        <v>53</v>
      </c>
      <c r="N5" s="56"/>
      <c r="O5" s="32"/>
      <c r="P5" s="32"/>
      <c r="Q5" s="32"/>
      <c r="R5" s="32"/>
      <c r="S5" s="35"/>
      <c r="T5" s="43"/>
    </row>
    <row r="6" spans="1:20" s="10" customFormat="1" ht="30.75" thickBot="1" x14ac:dyDescent="0.3">
      <c r="A6" s="26" t="str">
        <f>"Number of stocks: "&amp;COUNTA($B$9:$B$1048576)</f>
        <v>Number of stocks: 16</v>
      </c>
      <c r="C6" s="40"/>
      <c r="D6" s="41"/>
      <c r="E6" s="41"/>
      <c r="F6" s="41"/>
      <c r="G6" s="41"/>
      <c r="H6" s="42"/>
      <c r="I6" s="54"/>
      <c r="J6" s="52"/>
      <c r="K6" s="52"/>
      <c r="L6" s="20"/>
      <c r="M6" s="21" t="s">
        <v>85</v>
      </c>
      <c r="N6" s="57"/>
      <c r="O6" s="33"/>
      <c r="P6" s="33"/>
      <c r="Q6" s="33"/>
      <c r="R6" s="33"/>
      <c r="S6" s="36"/>
      <c r="T6" s="44"/>
    </row>
    <row r="8" spans="1:20" x14ac:dyDescent="0.25">
      <c r="A8" s="4" t="s">
        <v>1</v>
      </c>
      <c r="B8" s="5" t="s">
        <v>24</v>
      </c>
      <c r="C8" s="8" t="s">
        <v>54</v>
      </c>
      <c r="D8" s="7" t="s">
        <v>25</v>
      </c>
      <c r="E8" s="5" t="s">
        <v>26</v>
      </c>
      <c r="F8" s="5" t="s">
        <v>27</v>
      </c>
      <c r="G8" s="5" t="s">
        <v>28</v>
      </c>
      <c r="H8" s="5" t="s">
        <v>29</v>
      </c>
      <c r="I8" s="11" t="s">
        <v>71</v>
      </c>
      <c r="J8" s="11" t="s">
        <v>30</v>
      </c>
      <c r="K8" s="11" t="s">
        <v>31</v>
      </c>
      <c r="L8" s="7" t="s">
        <v>33</v>
      </c>
      <c r="M8" s="11" t="s">
        <v>32</v>
      </c>
      <c r="N8" s="7" t="s">
        <v>90</v>
      </c>
      <c r="O8" s="7" t="s">
        <v>91</v>
      </c>
      <c r="P8" s="7" t="s">
        <v>92</v>
      </c>
      <c r="Q8" s="7" t="s">
        <v>93</v>
      </c>
      <c r="R8" s="7" t="s">
        <v>94</v>
      </c>
      <c r="S8" s="7" t="s">
        <v>95</v>
      </c>
      <c r="T8" s="12" t="s">
        <v>52</v>
      </c>
    </row>
    <row r="9" spans="1:20" x14ac:dyDescent="0.25">
      <c r="A9" t="str" cm="1">
        <f t="array" ref="A9:S24">_xlfn._xlws.FILTER(_xlfn._xlws.FILTER(Main_M[], Main_M[Preliminary Criteria]="YES"), COUNTIF($A$8:$S$8,Main_M[#Headers]))</f>
        <v>Building Products</v>
      </c>
      <c r="B9" t="str">
        <v>UFPI</v>
      </c>
      <c r="C9" s="2">
        <v>5894</v>
      </c>
      <c r="D9" s="1">
        <v>103.59</v>
      </c>
      <c r="E9" s="1">
        <v>5.13</v>
      </c>
      <c r="F9" s="1">
        <v>53.8</v>
      </c>
      <c r="G9" s="1">
        <v>6.08</v>
      </c>
      <c r="H9" s="1">
        <v>20.192982456140353</v>
      </c>
      <c r="I9" s="1">
        <v>1.9254646840148701</v>
      </c>
      <c r="J9" s="1">
        <v>11.79</v>
      </c>
      <c r="K9" s="1">
        <v>6.94</v>
      </c>
      <c r="L9" s="1">
        <v>1.27</v>
      </c>
      <c r="M9" s="1">
        <v>17.037828947368421</v>
      </c>
      <c r="N9" s="1">
        <v>-0.511139166488221</v>
      </c>
      <c r="O9" s="1">
        <v>-1.1729875296512622</v>
      </c>
      <c r="P9" s="1">
        <v>-0.60606412252811426</v>
      </c>
      <c r="Q9" s="1">
        <v>-0.71175542890481125</v>
      </c>
      <c r="R9" s="1">
        <v>-1.2737475933077378</v>
      </c>
      <c r="S9" s="1">
        <v>-1.0284874566442515</v>
      </c>
      <c r="T9">
        <f t="shared" ref="T9:T28" si="0">SUM(IF($I9 &lt; (0.7*VLOOKUP($A9, Mean_PB_M, 2, FALSE)),1,0), IF($J9&gt;VLOOKUP($A9, Mean_ROE_M, 2, FALSE),1,0), IF($K9&gt;VLOOKUP($A9, Mean_ROA_M, 2,FALSE),1,0), IF($M9&lt;VLOOKUP($A9, Mean_PE_M, 2, FALSE),1,0), IF(AND($M9&gt;1,$M9&lt;25),1,0))</f>
        <v>3</v>
      </c>
    </row>
    <row r="10" spans="1:20" x14ac:dyDescent="0.25">
      <c r="A10" t="str">
        <v>Building Products</v>
      </c>
      <c r="B10" t="str">
        <v>ZWS</v>
      </c>
      <c r="C10" s="2">
        <v>5763</v>
      </c>
      <c r="D10" s="1">
        <v>37.46</v>
      </c>
      <c r="E10" s="1">
        <v>1.52</v>
      </c>
      <c r="F10" s="1">
        <v>9.19</v>
      </c>
      <c r="G10" s="1">
        <v>0.96</v>
      </c>
      <c r="H10" s="1">
        <v>24.644736842105264</v>
      </c>
      <c r="I10" s="1">
        <v>4.0761697497279652</v>
      </c>
      <c r="J10" s="1">
        <v>10.49</v>
      </c>
      <c r="K10" s="1">
        <v>6.2</v>
      </c>
      <c r="L10" s="1">
        <v>1.68</v>
      </c>
      <c r="M10" s="1">
        <v>39.020833333333336</v>
      </c>
      <c r="N10" s="1">
        <v>-0.1464817249166408</v>
      </c>
      <c r="O10" s="1">
        <v>-0.34123962361552379</v>
      </c>
      <c r="P10" s="1">
        <v>-0.67013921528294174</v>
      </c>
      <c r="Q10" s="1">
        <v>-0.92048687569063448</v>
      </c>
      <c r="R10" s="1">
        <v>-0.44304264115051739</v>
      </c>
      <c r="S10" s="1">
        <v>0.629989736267069</v>
      </c>
      <c r="T10">
        <f t="shared" si="0"/>
        <v>0</v>
      </c>
    </row>
    <row r="11" spans="1:20" x14ac:dyDescent="0.25">
      <c r="A11" t="str">
        <v>Construction &amp; Engineering</v>
      </c>
      <c r="B11" t="str">
        <v>VMI</v>
      </c>
      <c r="C11" s="2">
        <v>6039</v>
      </c>
      <c r="D11" s="1">
        <v>322.33999999999997</v>
      </c>
      <c r="E11" s="1">
        <v>25.87</v>
      </c>
      <c r="F11" s="1">
        <v>81.459999999999994</v>
      </c>
      <c r="G11" s="1">
        <v>17.190000000000001</v>
      </c>
      <c r="H11" s="1">
        <v>12.459992269037494</v>
      </c>
      <c r="I11" s="1">
        <v>3.9570341271789835</v>
      </c>
      <c r="J11" s="1">
        <v>22.18</v>
      </c>
      <c r="K11" s="1">
        <v>9.51</v>
      </c>
      <c r="L11" s="1">
        <v>2.06</v>
      </c>
      <c r="M11" s="1">
        <v>18.751599767306569</v>
      </c>
      <c r="N11" s="1">
        <v>-0.68452967399997433</v>
      </c>
      <c r="O11" s="1">
        <v>-0.48931534882818323</v>
      </c>
      <c r="P11" s="1">
        <v>6.9665100934915666E-2</v>
      </c>
      <c r="Q11" s="1">
        <v>0.67042137612619734</v>
      </c>
      <c r="R11" s="1">
        <v>-1.1877281545417167</v>
      </c>
      <c r="S11" s="1">
        <v>-0.5441150043527434</v>
      </c>
      <c r="T11">
        <f t="shared" si="0"/>
        <v>4</v>
      </c>
    </row>
    <row r="12" spans="1:20" x14ac:dyDescent="0.25">
      <c r="A12" t="str">
        <v>Electrical Equipment</v>
      </c>
      <c r="B12" t="str">
        <v>ATKR</v>
      </c>
      <c r="C12" s="2">
        <v>2310</v>
      </c>
      <c r="D12" s="1">
        <v>70.16</v>
      </c>
      <c r="E12" s="1">
        <v>8.9</v>
      </c>
      <c r="F12" s="1">
        <v>43.82</v>
      </c>
      <c r="G12" s="1">
        <v>10.43</v>
      </c>
      <c r="H12" s="1">
        <v>7.8831460674157299</v>
      </c>
      <c r="I12" s="1">
        <v>1.6010953902327703</v>
      </c>
      <c r="J12" s="1">
        <v>25.31</v>
      </c>
      <c r="K12" s="1">
        <v>10.95</v>
      </c>
      <c r="L12" s="1">
        <v>1.96</v>
      </c>
      <c r="M12" s="1">
        <v>6.7267497603068067</v>
      </c>
      <c r="N12" s="1">
        <v>-1.5141828363391672</v>
      </c>
      <c r="O12" s="1">
        <v>-1.0224638967292665</v>
      </c>
      <c r="P12" s="1">
        <v>0.44770844819748251</v>
      </c>
      <c r="Q12" s="1">
        <v>1.130465219027454</v>
      </c>
      <c r="R12" s="1">
        <v>-0.4691493011999382</v>
      </c>
      <c r="S12" s="1">
        <v>-0.78355520432302272</v>
      </c>
      <c r="T12">
        <f t="shared" si="0"/>
        <v>5</v>
      </c>
    </row>
    <row r="13" spans="1:20" x14ac:dyDescent="0.25">
      <c r="A13" t="str">
        <v>Electrical Equipment</v>
      </c>
      <c r="B13" t="str">
        <v>GNRC</v>
      </c>
      <c r="C13" s="2">
        <v>6881</v>
      </c>
      <c r="D13" s="1">
        <v>129.07</v>
      </c>
      <c r="E13" s="1">
        <v>9.2100000000000009</v>
      </c>
      <c r="F13" s="1">
        <v>41.79</v>
      </c>
      <c r="G13" s="1">
        <v>5.74</v>
      </c>
      <c r="H13" s="1">
        <v>14.014115092290986</v>
      </c>
      <c r="I13" s="1">
        <v>3.0885379277339076</v>
      </c>
      <c r="J13" s="1">
        <v>13.8</v>
      </c>
      <c r="K13" s="1">
        <v>6.79</v>
      </c>
      <c r="L13" s="1">
        <v>2.0499999999999998</v>
      </c>
      <c r="M13" s="1">
        <v>22.486062717770032</v>
      </c>
      <c r="N13" s="1">
        <v>-0.46727674467434421</v>
      </c>
      <c r="O13" s="1">
        <v>-0.2206071075723616</v>
      </c>
      <c r="P13" s="1">
        <v>-0.2805454012588523</v>
      </c>
      <c r="Q13" s="1">
        <v>9.283290540357916E-3</v>
      </c>
      <c r="R13" s="1">
        <v>-1.6755332185712478E-2</v>
      </c>
      <c r="S13" s="1">
        <v>0.14787855410991224</v>
      </c>
      <c r="T13">
        <f t="shared" si="0"/>
        <v>2</v>
      </c>
    </row>
    <row r="14" spans="1:20" x14ac:dyDescent="0.25">
      <c r="A14" t="str">
        <v>Machinery</v>
      </c>
      <c r="B14" t="str">
        <v>ALG</v>
      </c>
      <c r="C14" s="2">
        <v>2080</v>
      </c>
      <c r="D14" s="1">
        <v>202.64</v>
      </c>
      <c r="E14" s="1">
        <v>15.42</v>
      </c>
      <c r="F14" s="1">
        <v>85.32</v>
      </c>
      <c r="G14" s="1">
        <v>9.6300000000000008</v>
      </c>
      <c r="H14" s="1">
        <v>13.141374837872892</v>
      </c>
      <c r="I14" s="1">
        <v>2.3750586029067042</v>
      </c>
      <c r="J14" s="1">
        <v>11.88</v>
      </c>
      <c r="K14" s="1">
        <v>7.2</v>
      </c>
      <c r="L14" s="1">
        <v>1.42</v>
      </c>
      <c r="M14" s="1">
        <v>21.042575285565938</v>
      </c>
      <c r="N14" s="1">
        <v>-1.2596894708774666</v>
      </c>
      <c r="O14" s="1">
        <v>-0.72588519569176024</v>
      </c>
      <c r="P14" s="1">
        <v>-0.2709254049525584</v>
      </c>
      <c r="Q14" s="1">
        <v>7.9936365017389321E-2</v>
      </c>
      <c r="R14" s="1">
        <v>-1.1973579798526124</v>
      </c>
      <c r="S14" s="1">
        <v>-0.57257338778122246</v>
      </c>
      <c r="T14">
        <f t="shared" si="0"/>
        <v>4</v>
      </c>
    </row>
    <row r="15" spans="1:20" x14ac:dyDescent="0.25">
      <c r="A15" t="str">
        <v>Machinery</v>
      </c>
      <c r="B15" t="str">
        <v>FELE</v>
      </c>
      <c r="C15" s="2">
        <v>3925</v>
      </c>
      <c r="D15" s="1">
        <v>89.68</v>
      </c>
      <c r="E15" s="1">
        <v>4.45</v>
      </c>
      <c r="F15" s="1">
        <v>28.37</v>
      </c>
      <c r="G15" s="1">
        <v>3.83</v>
      </c>
      <c r="H15" s="1">
        <v>20.152808988764047</v>
      </c>
      <c r="I15" s="1">
        <v>3.1610856538597112</v>
      </c>
      <c r="J15" s="1">
        <v>14.25</v>
      </c>
      <c r="K15" s="1">
        <v>8.3699999999999992</v>
      </c>
      <c r="L15" s="1">
        <v>1.49</v>
      </c>
      <c r="M15" s="1">
        <v>23.41514360313316</v>
      </c>
      <c r="N15" s="1">
        <v>-0.39153345710079474</v>
      </c>
      <c r="O15" s="1">
        <v>-0.19035415707283576</v>
      </c>
      <c r="P15" s="1">
        <v>-0.14288646468996241</v>
      </c>
      <c r="Q15" s="1">
        <v>0.42290734158001164</v>
      </c>
      <c r="R15" s="1">
        <v>-1.0746804241541743</v>
      </c>
      <c r="S15" s="1">
        <v>-0.36288237319581329</v>
      </c>
      <c r="T15">
        <f t="shared" si="0"/>
        <v>3</v>
      </c>
    </row>
    <row r="16" spans="1:20" x14ac:dyDescent="0.25">
      <c r="A16" t="str">
        <v>Machinery</v>
      </c>
      <c r="B16" t="str">
        <v>MIDD</v>
      </c>
      <c r="C16" s="2">
        <v>7061</v>
      </c>
      <c r="D16" s="1">
        <v>149.91</v>
      </c>
      <c r="E16" s="1">
        <v>11.86</v>
      </c>
      <c r="F16" s="1">
        <v>67.77</v>
      </c>
      <c r="G16" s="1">
        <v>7.9</v>
      </c>
      <c r="H16" s="1">
        <v>12.639966273187184</v>
      </c>
      <c r="I16" s="1">
        <v>2.2120407259849491</v>
      </c>
      <c r="J16" s="1">
        <v>12.44</v>
      </c>
      <c r="K16" s="1">
        <v>6.34</v>
      </c>
      <c r="L16" s="1">
        <v>2</v>
      </c>
      <c r="M16" s="1">
        <v>18.975949367088607</v>
      </c>
      <c r="N16" s="1">
        <v>-1.3217738963206835</v>
      </c>
      <c r="O16" s="1">
        <v>-0.83695151692779479</v>
      </c>
      <c r="P16" s="1">
        <v>-0.24067147813945561</v>
      </c>
      <c r="Q16" s="1">
        <v>-0.17216195963547865</v>
      </c>
      <c r="R16" s="1">
        <v>-0.18088680406555374</v>
      </c>
      <c r="S16" s="1">
        <v>-0.7552247712652459</v>
      </c>
      <c r="T16">
        <f t="shared" si="0"/>
        <v>3</v>
      </c>
    </row>
    <row r="17" spans="1:20" x14ac:dyDescent="0.25">
      <c r="A17" t="str">
        <v>Machinery</v>
      </c>
      <c r="B17" t="str">
        <v>MLI</v>
      </c>
      <c r="C17" s="2">
        <v>8166</v>
      </c>
      <c r="D17" s="1">
        <v>79.05</v>
      </c>
      <c r="E17" s="1">
        <v>4.54</v>
      </c>
      <c r="F17" s="1">
        <v>24.1</v>
      </c>
      <c r="G17" s="1">
        <v>5.49</v>
      </c>
      <c r="H17" s="1">
        <v>17.411894273127754</v>
      </c>
      <c r="I17" s="1">
        <v>3.2800829875518671</v>
      </c>
      <c r="J17" s="1">
        <v>24.74</v>
      </c>
      <c r="K17" s="1">
        <v>15.76</v>
      </c>
      <c r="L17" s="1">
        <v>1.21</v>
      </c>
      <c r="M17" s="1">
        <v>14.398907103825136</v>
      </c>
      <c r="N17" s="1">
        <v>-0.73091360992248022</v>
      </c>
      <c r="O17" s="1">
        <v>-0.10927963727383087</v>
      </c>
      <c r="P17" s="1">
        <v>0.42383441436262487</v>
      </c>
      <c r="Q17" s="1">
        <v>2.5891941080738414</v>
      </c>
      <c r="R17" s="1">
        <v>-1.5653906469479266</v>
      </c>
      <c r="S17" s="1">
        <v>-1.1597503770729369</v>
      </c>
      <c r="T17">
        <f t="shared" si="0"/>
        <v>4</v>
      </c>
    </row>
    <row r="18" spans="1:20" x14ac:dyDescent="0.25">
      <c r="A18" t="str">
        <v>Marine Transportation</v>
      </c>
      <c r="B18" t="str">
        <v>MATX</v>
      </c>
      <c r="C18" s="2">
        <v>3102</v>
      </c>
      <c r="D18" s="1">
        <v>117.62</v>
      </c>
      <c r="E18" s="1">
        <v>14.28</v>
      </c>
      <c r="F18" s="1">
        <v>80.28</v>
      </c>
      <c r="G18" s="1">
        <v>15.15</v>
      </c>
      <c r="H18" s="1">
        <v>8.2366946778711494</v>
      </c>
      <c r="I18" s="1">
        <v>1.4651220727453911</v>
      </c>
      <c r="J18" s="1">
        <v>20.48</v>
      </c>
      <c r="K18" s="1">
        <v>8.57</v>
      </c>
      <c r="L18" s="1">
        <v>1.72</v>
      </c>
      <c r="M18" s="1">
        <v>7.7636963696369641</v>
      </c>
      <c r="N18" s="1">
        <v>-0.99999999999999989</v>
      </c>
      <c r="O18" s="1">
        <v>-0.99999999999999634</v>
      </c>
      <c r="P18" s="1">
        <v>1.0000000000000002</v>
      </c>
      <c r="Q18" s="1">
        <v>1.0000000000000007</v>
      </c>
      <c r="R18" s="1">
        <v>-1.0000000000001719</v>
      </c>
      <c r="S18" s="1">
        <v>-1.0000000000000002</v>
      </c>
      <c r="T18">
        <f t="shared" si="0"/>
        <v>4</v>
      </c>
    </row>
    <row r="19" spans="1:20" x14ac:dyDescent="0.25">
      <c r="A19" t="str">
        <v>Professional Services</v>
      </c>
      <c r="B19" t="str">
        <v>KFY</v>
      </c>
      <c r="C19" s="2">
        <v>3324</v>
      </c>
      <c r="D19" s="1">
        <v>68.459999999999994</v>
      </c>
      <c r="E19" s="1">
        <v>6.13</v>
      </c>
      <c r="F19" s="1">
        <v>34.76</v>
      </c>
      <c r="G19" s="1">
        <v>4.63</v>
      </c>
      <c r="H19" s="1">
        <v>11.168026101141924</v>
      </c>
      <c r="I19" s="1">
        <v>1.9695051783659379</v>
      </c>
      <c r="J19" s="1">
        <v>14.36</v>
      </c>
      <c r="K19" s="1">
        <v>5.45</v>
      </c>
      <c r="L19" s="1">
        <v>2.04</v>
      </c>
      <c r="M19" s="1">
        <v>14.786177105831532</v>
      </c>
      <c r="N19" s="1">
        <v>-0.89582544117658158</v>
      </c>
      <c r="O19" s="1">
        <v>-0.57396180203300207</v>
      </c>
      <c r="P19" s="1">
        <v>-0.18793702622750055</v>
      </c>
      <c r="Q19" s="1">
        <v>6.0417123851856519E-2</v>
      </c>
      <c r="R19" s="1">
        <v>-0.60381785514377784</v>
      </c>
      <c r="S19" s="1">
        <v>-0.62211662587865335</v>
      </c>
      <c r="T19">
        <f t="shared" si="0"/>
        <v>4</v>
      </c>
    </row>
    <row r="20" spans="1:20" x14ac:dyDescent="0.25">
      <c r="A20" t="str">
        <v>Professional Services</v>
      </c>
      <c r="B20" t="str">
        <v>PSN</v>
      </c>
      <c r="C20" s="2">
        <v>6722</v>
      </c>
      <c r="D20" s="1">
        <v>65.3</v>
      </c>
      <c r="E20" s="1">
        <v>4.9000000000000004</v>
      </c>
      <c r="F20" s="1">
        <v>22.97</v>
      </c>
      <c r="G20" s="1">
        <v>2.35</v>
      </c>
      <c r="H20" s="1">
        <v>13.326530612244897</v>
      </c>
      <c r="I20" s="1">
        <v>2.8428384849804091</v>
      </c>
      <c r="J20" s="1">
        <v>13.26</v>
      </c>
      <c r="K20" s="1">
        <v>5.5</v>
      </c>
      <c r="L20" s="1">
        <v>2.2200000000000002</v>
      </c>
      <c r="M20" s="1">
        <v>27.787234042553191</v>
      </c>
      <c r="N20" s="1">
        <v>-0.61044230432089519</v>
      </c>
      <c r="O20" s="1">
        <v>-0.16013963552009522</v>
      </c>
      <c r="P20" s="1">
        <v>-0.22111125391141345</v>
      </c>
      <c r="Q20" s="1">
        <v>7.4567774041191554E-2</v>
      </c>
      <c r="R20" s="1">
        <v>-0.3507766697287576</v>
      </c>
      <c r="S20" s="1">
        <v>0.44209173136871133</v>
      </c>
      <c r="T20">
        <f t="shared" si="0"/>
        <v>1</v>
      </c>
    </row>
    <row r="21" spans="1:20" x14ac:dyDescent="0.25">
      <c r="A21" t="str">
        <v>Professional Services</v>
      </c>
      <c r="B21" t="str">
        <v>MMS</v>
      </c>
      <c r="C21" s="2">
        <v>3801</v>
      </c>
      <c r="D21" s="1">
        <v>75.36</v>
      </c>
      <c r="E21" s="1">
        <v>4.63</v>
      </c>
      <c r="F21" s="1">
        <v>28.75</v>
      </c>
      <c r="G21" s="1">
        <v>4.6500000000000004</v>
      </c>
      <c r="H21" s="1">
        <v>16.276457883369332</v>
      </c>
      <c r="I21" s="1">
        <v>2.6212173913043477</v>
      </c>
      <c r="J21" s="1">
        <v>16.88</v>
      </c>
      <c r="K21" s="1">
        <v>7.3</v>
      </c>
      <c r="L21" s="1">
        <v>2.46</v>
      </c>
      <c r="M21" s="1">
        <v>16.206451612903223</v>
      </c>
      <c r="N21" s="1">
        <v>-0.22042250413088046</v>
      </c>
      <c r="O21" s="1">
        <v>-0.26515305987409538</v>
      </c>
      <c r="P21" s="1">
        <v>-0.11193788644253648</v>
      </c>
      <c r="Q21" s="1">
        <v>0.58399118085725443</v>
      </c>
      <c r="R21" s="1">
        <v>-1.3388422508731172E-2</v>
      </c>
      <c r="S21" s="1">
        <v>-0.50585930869531637</v>
      </c>
      <c r="T21">
        <f t="shared" si="0"/>
        <v>3</v>
      </c>
    </row>
    <row r="22" spans="1:20" x14ac:dyDescent="0.25">
      <c r="A22" t="str">
        <v>Professional Services</v>
      </c>
      <c r="B22" t="str">
        <v>WNS</v>
      </c>
      <c r="C22" s="2">
        <v>2574</v>
      </c>
      <c r="D22" s="1">
        <v>54.82</v>
      </c>
      <c r="E22" s="1">
        <v>4.42</v>
      </c>
      <c r="F22" s="1">
        <v>19.21</v>
      </c>
      <c r="G22" s="1">
        <v>3.71</v>
      </c>
      <c r="H22" s="1">
        <v>12.402714932126697</v>
      </c>
      <c r="I22" s="1">
        <v>2.853722019781364</v>
      </c>
      <c r="J22" s="1">
        <v>21.22</v>
      </c>
      <c r="K22" s="1">
        <v>7.41</v>
      </c>
      <c r="L22" s="1">
        <v>1.85</v>
      </c>
      <c r="M22" s="1">
        <v>14.776280323450136</v>
      </c>
      <c r="N22" s="1">
        <v>-0.73258308063731026</v>
      </c>
      <c r="O22" s="1">
        <v>-0.15498255755623147</v>
      </c>
      <c r="P22" s="1">
        <v>1.894952096490167E-2</v>
      </c>
      <c r="Q22" s="1">
        <v>0.61512261127379164</v>
      </c>
      <c r="R22" s="1">
        <v>-0.87091688419296565</v>
      </c>
      <c r="S22" s="1">
        <v>-0.62292673220857742</v>
      </c>
      <c r="T22">
        <f t="shared" si="0"/>
        <v>4</v>
      </c>
    </row>
    <row r="23" spans="1:20" x14ac:dyDescent="0.25">
      <c r="A23" t="str">
        <v>Trading Companies &amp; Distributors</v>
      </c>
      <c r="B23" t="str">
        <v>GMS</v>
      </c>
      <c r="C23" s="2">
        <v>2802</v>
      </c>
      <c r="D23" s="1">
        <v>77.45</v>
      </c>
      <c r="E23" s="1">
        <v>8.64</v>
      </c>
      <c r="F23" s="1">
        <v>36.21</v>
      </c>
      <c r="G23" s="1">
        <v>3.66</v>
      </c>
      <c r="H23" s="1">
        <v>8.9641203703703702</v>
      </c>
      <c r="I23" s="1">
        <v>2.1389119027892849</v>
      </c>
      <c r="J23" s="1">
        <v>10.36</v>
      </c>
      <c r="K23" s="1">
        <v>6.05</v>
      </c>
      <c r="L23" s="1">
        <v>2.72</v>
      </c>
      <c r="M23" s="1">
        <v>21.161202185792348</v>
      </c>
      <c r="N23" s="1">
        <v>-0.65025028541441465</v>
      </c>
      <c r="O23" s="1">
        <v>-0.36394465329428438</v>
      </c>
      <c r="P23" s="1">
        <v>-0.84975646958836981</v>
      </c>
      <c r="Q23" s="1">
        <v>0.1024475221528422</v>
      </c>
      <c r="R23" s="1">
        <v>-0.12162920844204834</v>
      </c>
      <c r="S23" s="1">
        <v>0.19321367461854677</v>
      </c>
      <c r="T23">
        <f t="shared" si="0"/>
        <v>2</v>
      </c>
    </row>
    <row r="24" spans="1:20" x14ac:dyDescent="0.25">
      <c r="A24" t="str">
        <v>Trading Companies &amp; Distributors</v>
      </c>
      <c r="B24" t="str">
        <v>MGRC</v>
      </c>
      <c r="C24" s="2">
        <v>2692</v>
      </c>
      <c r="D24" s="1">
        <v>115.46</v>
      </c>
      <c r="E24" s="1">
        <v>11.95</v>
      </c>
      <c r="F24" s="1">
        <v>46.18</v>
      </c>
      <c r="G24" s="1">
        <v>9.65</v>
      </c>
      <c r="H24" s="1">
        <v>9.661924686192469</v>
      </c>
      <c r="I24" s="1">
        <v>2.5002165439584236</v>
      </c>
      <c r="J24" s="1">
        <v>22.8</v>
      </c>
      <c r="K24" s="1">
        <v>6.6</v>
      </c>
      <c r="L24" s="1">
        <v>1.97</v>
      </c>
      <c r="M24" s="1">
        <v>11.964766839378237</v>
      </c>
      <c r="N24" s="1">
        <v>-0.58947862623519931</v>
      </c>
      <c r="O24" s="1">
        <v>-8.8166563399961831E-2</v>
      </c>
      <c r="P24" s="1">
        <v>1.5008405244318082</v>
      </c>
      <c r="Q24" s="1">
        <v>0.35767392751619326</v>
      </c>
      <c r="R24" s="1">
        <v>-0.68472739567375407</v>
      </c>
      <c r="S24" s="1">
        <v>-0.96815377884315124</v>
      </c>
      <c r="T24">
        <f t="shared" si="0"/>
        <v>4</v>
      </c>
    </row>
  </sheetData>
  <autoFilter ref="A8:T8" xr:uid="{0BF3C1E5-2754-4118-8E3A-5ED7654E3417}"/>
  <mergeCells count="14">
    <mergeCell ref="C1:T1"/>
    <mergeCell ref="I4:I6"/>
    <mergeCell ref="C2:H6"/>
    <mergeCell ref="J4:J6"/>
    <mergeCell ref="K4:K6"/>
    <mergeCell ref="I2:M2"/>
    <mergeCell ref="T2:T6"/>
    <mergeCell ref="N2:S2"/>
    <mergeCell ref="N4:N6"/>
    <mergeCell ref="O4:O6"/>
    <mergeCell ref="P4:P6"/>
    <mergeCell ref="Q4:Q6"/>
    <mergeCell ref="R4:R6"/>
    <mergeCell ref="S4:S6"/>
  </mergeCells>
  <conditionalFormatting sqref="I9:I1048576">
    <cfRule type="expression" dxfId="107" priority="1">
      <formula>$I9 &lt; (0.7*VLOOKUP($A9, Mean_PB_M, 2, FALSE))</formula>
    </cfRule>
  </conditionalFormatting>
  <conditionalFormatting sqref="J9:J1048576">
    <cfRule type="expression" dxfId="106" priority="3">
      <formula>$J9 &gt; VLOOKUP($A9, Mean_ROE_M, 2, FALSE)</formula>
    </cfRule>
  </conditionalFormatting>
  <conditionalFormatting sqref="K9:K1048576">
    <cfRule type="expression" dxfId="105" priority="4">
      <formula>$K9 &gt; VLOOKUP($A9, Mean_ROA_M, 2, FALSE)</formula>
    </cfRule>
  </conditionalFormatting>
  <conditionalFormatting sqref="M9:M1048576">
    <cfRule type="expression" dxfId="104" priority="5">
      <formula>AND($M9&gt;1, $M9&lt;25, $M9 &lt; VLOOKUP($A9, Mean_PE_M, 2, FALSE))</formula>
    </cfRule>
    <cfRule type="expression" dxfId="103" priority="6">
      <formula>AND($M9&gt;1, $M9&lt;25)</formula>
    </cfRule>
    <cfRule type="expression" dxfId="102" priority="7">
      <formula xml:space="preserve"> $M9 &lt; VLOOKUP($A9, Mean_PE_M, 2, FALSE)</formula>
    </cfRule>
  </conditionalFormatting>
  <conditionalFormatting sqref="N9:N1048576">
    <cfRule type="expression" dxfId="101" priority="8">
      <formula>$N9&lt;0</formula>
    </cfRule>
  </conditionalFormatting>
  <conditionalFormatting sqref="O9:O1048576">
    <cfRule type="expression" dxfId="100" priority="9">
      <formula>$O9&lt;0</formula>
    </cfRule>
  </conditionalFormatting>
  <conditionalFormatting sqref="P9:P1048576">
    <cfRule type="expression" dxfId="99" priority="10">
      <formula>$P9&gt;0</formula>
    </cfRule>
  </conditionalFormatting>
  <conditionalFormatting sqref="Q9:Q1048576">
    <cfRule type="expression" dxfId="98" priority="11">
      <formula>$Q9&gt;0</formula>
    </cfRule>
  </conditionalFormatting>
  <conditionalFormatting sqref="R9:R1048576">
    <cfRule type="expression" dxfId="97" priority="12">
      <formula>$R9&lt;0</formula>
    </cfRule>
  </conditionalFormatting>
  <conditionalFormatting sqref="S9:S1048576">
    <cfRule type="expression" dxfId="96" priority="13">
      <formula>$S9&lt;0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41" r:id="rId3" name="CommandButton1">
          <controlPr defaultSize="0" autoLine="0" autoPict="0" r:id="rId4">
            <anchor moveWithCells="1" siz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0241" r:id="rId3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F40F71-5FB0-44DA-81D2-9D55F6DCA29E}">
  <sheetPr codeName="Sheet11">
    <tabColor theme="9" tint="0.39997558519241921"/>
  </sheetPr>
  <dimension ref="A1:T9"/>
  <sheetViews>
    <sheetView workbookViewId="0">
      <pane xSplit="2" ySplit="8" topLeftCell="C9" activePane="bottomRight" state="frozen"/>
      <selection pane="topRight" activeCell="C1" sqref="C1"/>
      <selection pane="bottomLeft" activeCell="A7" sqref="A7"/>
      <selection pane="bottomRight" activeCell="G22" sqref="G22"/>
    </sheetView>
  </sheetViews>
  <sheetFormatPr defaultRowHeight="15" x14ac:dyDescent="0.25"/>
  <cols>
    <col min="1" max="1" width="31.42578125" bestFit="1" customWidth="1"/>
    <col min="2" max="2" width="10" bestFit="1" customWidth="1"/>
    <col min="3" max="3" width="17" bestFit="1" customWidth="1"/>
    <col min="4" max="4" width="15.42578125" bestFit="1" customWidth="1"/>
    <col min="5" max="5" width="10.140625" bestFit="1" customWidth="1"/>
    <col min="6" max="6" width="7.85546875" bestFit="1" customWidth="1"/>
    <col min="7" max="7" width="6.7109375" bestFit="1" customWidth="1"/>
    <col min="8" max="8" width="8.5703125" style="1" bestFit="1" customWidth="1"/>
    <col min="9" max="9" width="9.5703125" style="1" bestFit="1" customWidth="1"/>
    <col min="10" max="11" width="7.28515625" style="1" bestFit="1" customWidth="1"/>
    <col min="12" max="12" width="6.28515625" style="1" bestFit="1" customWidth="1"/>
    <col min="13" max="13" width="10.7109375" style="1" bestFit="1" customWidth="1"/>
    <col min="14" max="14" width="15.7109375" style="1" bestFit="1" customWidth="1"/>
    <col min="15" max="15" width="13.28515625" style="1" bestFit="1" customWidth="1"/>
    <col min="16" max="17" width="14.140625" style="1" bestFit="1" customWidth="1"/>
    <col min="18" max="19" width="13.28515625" style="1" bestFit="1" customWidth="1"/>
    <col min="20" max="20" width="10.42578125" bestFit="1" customWidth="1"/>
    <col min="21" max="21" width="16.140625" bestFit="1" customWidth="1"/>
    <col min="22" max="22" width="13.7109375" bestFit="1" customWidth="1"/>
    <col min="23" max="24" width="14.5703125" bestFit="1" customWidth="1"/>
    <col min="25" max="26" width="13.7109375" bestFit="1" customWidth="1"/>
  </cols>
  <sheetData>
    <row r="1" spans="1:20" ht="24.75" thickBot="1" x14ac:dyDescent="0.3">
      <c r="A1" s="25"/>
      <c r="B1" s="25"/>
      <c r="C1" s="28" t="str" cm="1">
        <f t="array" aca="1" ref="C1" ca="1">MID(CELL("filename", A1), FIND("[", CELL("filename", A1)) + 1, FIND(".x", CELL("filename", A1)) - FIND("[", CELL("filename", A1)) - 1) &amp; " - Small Cap"</f>
        <v>Industrials - Small Cap</v>
      </c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30"/>
    </row>
    <row r="2" spans="1:20" ht="15" customHeight="1" x14ac:dyDescent="0.25">
      <c r="C2" s="58" t="s">
        <v>89</v>
      </c>
      <c r="D2" s="59"/>
      <c r="E2" s="59"/>
      <c r="F2" s="59"/>
      <c r="G2" s="59"/>
      <c r="H2" s="60"/>
      <c r="I2" s="61" t="s">
        <v>69</v>
      </c>
      <c r="J2" s="62"/>
      <c r="K2" s="62"/>
      <c r="L2" s="62"/>
      <c r="M2" s="63"/>
      <c r="N2" s="65" t="s">
        <v>86</v>
      </c>
      <c r="O2" s="66"/>
      <c r="P2" s="66"/>
      <c r="Q2" s="66"/>
      <c r="R2" s="66"/>
      <c r="S2" s="67"/>
      <c r="T2" s="64" t="str">
        <f>"Max Score:"&amp;IFERROR(CHAR(10)&amp;MAX($T$9:$T$1048576)&amp;"/5", CHAR(10)&amp;"0/5")</f>
        <v>Max Score:
4/5</v>
      </c>
    </row>
    <row r="3" spans="1:20" ht="15" customHeight="1" x14ac:dyDescent="0.25">
      <c r="C3" s="37"/>
      <c r="D3" s="38"/>
      <c r="E3" s="38"/>
      <c r="F3" s="38"/>
      <c r="G3" s="38"/>
      <c r="H3" s="39"/>
      <c r="I3" s="16" t="s">
        <v>71</v>
      </c>
      <c r="J3" s="15" t="s">
        <v>30</v>
      </c>
      <c r="K3" s="15" t="s">
        <v>83</v>
      </c>
      <c r="L3" s="14"/>
      <c r="M3" s="17" t="s">
        <v>32</v>
      </c>
      <c r="N3" s="22" t="s">
        <v>96</v>
      </c>
      <c r="O3" s="23" t="s">
        <v>97</v>
      </c>
      <c r="P3" s="23" t="s">
        <v>98</v>
      </c>
      <c r="Q3" s="23" t="s">
        <v>99</v>
      </c>
      <c r="R3" s="23" t="s">
        <v>100</v>
      </c>
      <c r="S3" s="24" t="s">
        <v>101</v>
      </c>
      <c r="T3" s="43"/>
    </row>
    <row r="4" spans="1:20" s="10" customFormat="1" ht="15" customHeight="1" x14ac:dyDescent="0.25">
      <c r="C4" s="37"/>
      <c r="D4" s="38"/>
      <c r="E4" s="38"/>
      <c r="F4" s="38"/>
      <c r="G4" s="38"/>
      <c r="H4" s="39"/>
      <c r="I4" s="53" t="s">
        <v>82</v>
      </c>
      <c r="J4" s="51" t="s">
        <v>87</v>
      </c>
      <c r="K4" s="51" t="s">
        <v>87</v>
      </c>
      <c r="L4" s="13"/>
      <c r="M4" s="18" t="s">
        <v>84</v>
      </c>
      <c r="N4" s="55" t="s">
        <v>102</v>
      </c>
      <c r="O4" s="31" t="s">
        <v>102</v>
      </c>
      <c r="P4" s="31" t="s">
        <v>103</v>
      </c>
      <c r="Q4" s="31" t="s">
        <v>103</v>
      </c>
      <c r="R4" s="31" t="s">
        <v>102</v>
      </c>
      <c r="S4" s="34" t="s">
        <v>102</v>
      </c>
      <c r="T4" s="43"/>
    </row>
    <row r="5" spans="1:20" s="10" customFormat="1" x14ac:dyDescent="0.25">
      <c r="A5" s="26"/>
      <c r="C5" s="37"/>
      <c r="D5" s="38"/>
      <c r="E5" s="38"/>
      <c r="F5" s="38"/>
      <c r="G5" s="38"/>
      <c r="H5" s="39"/>
      <c r="I5" s="53"/>
      <c r="J5" s="51"/>
      <c r="K5" s="51"/>
      <c r="L5" s="13"/>
      <c r="M5" s="19" t="s">
        <v>53</v>
      </c>
      <c r="N5" s="56"/>
      <c r="O5" s="32"/>
      <c r="P5" s="32"/>
      <c r="Q5" s="32"/>
      <c r="R5" s="32"/>
      <c r="S5" s="35"/>
      <c r="T5" s="43"/>
    </row>
    <row r="6" spans="1:20" s="10" customFormat="1" ht="30.75" thickBot="1" x14ac:dyDescent="0.3">
      <c r="A6" s="26" t="str">
        <f>"Number of stocks: "&amp;COUNTA($B$9:$B$1048576)</f>
        <v>Number of stocks: 1</v>
      </c>
      <c r="C6" s="40"/>
      <c r="D6" s="41"/>
      <c r="E6" s="41"/>
      <c r="F6" s="41"/>
      <c r="G6" s="41"/>
      <c r="H6" s="42"/>
      <c r="I6" s="54"/>
      <c r="J6" s="52"/>
      <c r="K6" s="52"/>
      <c r="L6" s="20"/>
      <c r="M6" s="21" t="s">
        <v>85</v>
      </c>
      <c r="N6" s="57"/>
      <c r="O6" s="33"/>
      <c r="P6" s="33"/>
      <c r="Q6" s="33"/>
      <c r="R6" s="33"/>
      <c r="S6" s="36"/>
      <c r="T6" s="44"/>
    </row>
    <row r="7" spans="1:20" x14ac:dyDescent="0.25">
      <c r="C7" s="2"/>
      <c r="D7" s="1"/>
      <c r="E7" s="1"/>
      <c r="F7" s="1"/>
      <c r="G7" s="1"/>
    </row>
    <row r="8" spans="1:20" x14ac:dyDescent="0.25">
      <c r="A8" s="4" t="s">
        <v>1</v>
      </c>
      <c r="B8" s="5" t="s">
        <v>24</v>
      </c>
      <c r="C8" s="8" t="s">
        <v>54</v>
      </c>
      <c r="D8" s="7" t="s">
        <v>25</v>
      </c>
      <c r="E8" s="5" t="s">
        <v>26</v>
      </c>
      <c r="F8" s="5" t="s">
        <v>27</v>
      </c>
      <c r="G8" s="5" t="s">
        <v>28</v>
      </c>
      <c r="H8" s="5" t="s">
        <v>29</v>
      </c>
      <c r="I8" s="11" t="s">
        <v>71</v>
      </c>
      <c r="J8" s="11" t="s">
        <v>30</v>
      </c>
      <c r="K8" s="11" t="s">
        <v>31</v>
      </c>
      <c r="L8" s="7" t="s">
        <v>33</v>
      </c>
      <c r="M8" s="11" t="s">
        <v>32</v>
      </c>
      <c r="N8" s="7" t="s">
        <v>90</v>
      </c>
      <c r="O8" s="7" t="s">
        <v>91</v>
      </c>
      <c r="P8" s="7" t="s">
        <v>92</v>
      </c>
      <c r="Q8" s="7" t="s">
        <v>93</v>
      </c>
      <c r="R8" s="7" t="s">
        <v>94</v>
      </c>
      <c r="S8" s="7" t="s">
        <v>95</v>
      </c>
      <c r="T8" s="12" t="s">
        <v>52</v>
      </c>
    </row>
    <row r="9" spans="1:20" x14ac:dyDescent="0.25">
      <c r="A9" t="str" cm="1">
        <f t="array" ref="A9:S9">_xlfn._xlws.FILTER(_xlfn._xlws.FILTER(Main_S[], Main_S[Preliminary Criteria]="YES"), COUNTIF($A$8:$S$8,Main_S[#Headers]))</f>
        <v>Trading Companies &amp; Distributors</v>
      </c>
      <c r="B9" t="str">
        <v>HDSN</v>
      </c>
      <c r="C9">
        <v>295</v>
      </c>
      <c r="D9">
        <v>7.61</v>
      </c>
      <c r="E9">
        <v>1.91</v>
      </c>
      <c r="F9">
        <v>5.55</v>
      </c>
      <c r="G9">
        <v>0.52</v>
      </c>
      <c r="H9" s="1">
        <v>3.9842931937172779</v>
      </c>
      <c r="I9" s="1">
        <v>1.3711711711711714</v>
      </c>
      <c r="J9" s="1">
        <v>10.28</v>
      </c>
      <c r="K9" s="1">
        <v>6.17</v>
      </c>
      <c r="L9" s="1">
        <v>1.23</v>
      </c>
      <c r="M9" s="1">
        <v>14.634615384615385</v>
      </c>
      <c r="N9" s="1">
        <v>-0.26142885427241414</v>
      </c>
      <c r="O9" s="1">
        <v>-0.64902514439837111</v>
      </c>
      <c r="P9" s="1">
        <v>0.3614287010951468</v>
      </c>
      <c r="Q9" s="1">
        <v>0.63780157403565363</v>
      </c>
      <c r="R9" s="1">
        <v>-1.4331498432217888</v>
      </c>
      <c r="S9" s="1">
        <v>0.35832603667600099</v>
      </c>
      <c r="T9">
        <f>SUM(IF($I9 &lt; (0.7*VLOOKUP($A9, Mean_PB_S, 2, FALSE)),1,0), IF($J9&gt;VLOOKUP($A9, Mean_ROE_S, 2, FALSE),1,0), IF($K9&gt;VLOOKUP($A9, Mean_ROA_S, 2,FALSE),1,0), IF($M9&lt;VLOOKUP($A9, Mean_PE_S, 2, FALSE),1,0), IF(AND($M9&gt;1,$M9&lt;25),1,0))</f>
        <v>4</v>
      </c>
    </row>
  </sheetData>
  <autoFilter ref="A8:T8" xr:uid="{F6F40F71-5FB0-44DA-81D2-9D55F6DCA29E}"/>
  <mergeCells count="14">
    <mergeCell ref="C1:T1"/>
    <mergeCell ref="I4:I6"/>
    <mergeCell ref="C2:H6"/>
    <mergeCell ref="J4:J6"/>
    <mergeCell ref="K4:K6"/>
    <mergeCell ref="I2:M2"/>
    <mergeCell ref="T2:T6"/>
    <mergeCell ref="N2:S2"/>
    <mergeCell ref="N4:N6"/>
    <mergeCell ref="O4:O6"/>
    <mergeCell ref="P4:P6"/>
    <mergeCell ref="Q4:Q6"/>
    <mergeCell ref="R4:R6"/>
    <mergeCell ref="S4:S6"/>
  </mergeCells>
  <conditionalFormatting sqref="I9:I1048576">
    <cfRule type="expression" dxfId="95" priority="1">
      <formula>$I9 &lt; (0.7*VLOOKUP($A9, Mean_PB_S, 2, FALSE))</formula>
    </cfRule>
  </conditionalFormatting>
  <conditionalFormatting sqref="J9:J1048576">
    <cfRule type="expression" dxfId="94" priority="3">
      <formula>$J9 &gt; VLOOKUP($A9, Mean_ROE_S, 2, FALSE)</formula>
    </cfRule>
  </conditionalFormatting>
  <conditionalFormatting sqref="K9:K1048576">
    <cfRule type="expression" dxfId="93" priority="4">
      <formula>$K9 &gt; VLOOKUP($A9, Mean_ROA_S, 2, FALSE)</formula>
    </cfRule>
  </conditionalFormatting>
  <conditionalFormatting sqref="M9:M1048576">
    <cfRule type="expression" dxfId="92" priority="5">
      <formula>AND($M9&gt;1, $M9&lt;25, $M9 &lt; VLOOKUP($A9, Mean_PE_S, 2, FALSE))</formula>
    </cfRule>
    <cfRule type="expression" dxfId="91" priority="6">
      <formula>AND($M9&gt;1, $M9&lt;25)</formula>
    </cfRule>
    <cfRule type="expression" dxfId="90" priority="7">
      <formula xml:space="preserve"> $M9 &lt; VLOOKUP($A9, Mean_PE_S, 2, FALSE)</formula>
    </cfRule>
  </conditionalFormatting>
  <conditionalFormatting sqref="N9:N1048576">
    <cfRule type="expression" dxfId="89" priority="8">
      <formula>$N9&lt;0</formula>
    </cfRule>
  </conditionalFormatting>
  <conditionalFormatting sqref="O9:O1048576">
    <cfRule type="expression" dxfId="88" priority="9">
      <formula>$O9&lt;0</formula>
    </cfRule>
  </conditionalFormatting>
  <conditionalFormatting sqref="P9:P1048576">
    <cfRule type="expression" dxfId="87" priority="10">
      <formula>$P9&gt;0</formula>
    </cfRule>
  </conditionalFormatting>
  <conditionalFormatting sqref="Q9:Q1048576">
    <cfRule type="expression" dxfId="86" priority="11">
      <formula>$Q9&gt;0</formula>
    </cfRule>
  </conditionalFormatting>
  <conditionalFormatting sqref="R9:R1048576">
    <cfRule type="expression" dxfId="85" priority="12">
      <formula>$R9&lt;0</formula>
    </cfRule>
  </conditionalFormatting>
  <conditionalFormatting sqref="S9:S1048576">
    <cfRule type="expression" dxfId="84" priority="13">
      <formula>$S9&lt;0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9" r:id="rId3" name="CommandButton1">
          <controlPr defaultSize="0" autoLine="0" autoPict="0" r:id="rId4">
            <anchor moveWithCells="1" siz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9525</xdr:colOff>
                <xdr:row>2</xdr:row>
                <xdr:rowOff>0</xdr:rowOff>
              </to>
            </anchor>
          </controlPr>
        </control>
      </mc:Choice>
      <mc:Fallback>
        <control shapeId="11269" r:id="rId3" name="CommandButton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C81F70B-6B2C-4725-86C4-DB71D896056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18</vt:i4>
      </vt:variant>
    </vt:vector>
  </HeadingPairs>
  <TitlesOfParts>
    <vt:vector size="29" baseType="lpstr">
      <vt:lpstr>Dynamic Path</vt:lpstr>
      <vt:lpstr>Main_L</vt:lpstr>
      <vt:lpstr>Main_M</vt:lpstr>
      <vt:lpstr>Main_S</vt:lpstr>
      <vt:lpstr>Quartile Tables</vt:lpstr>
      <vt:lpstr>Mean_L</vt:lpstr>
      <vt:lpstr>Mean_M</vt:lpstr>
      <vt:lpstr>Mean_S</vt:lpstr>
      <vt:lpstr>Result_L</vt:lpstr>
      <vt:lpstr>Result_M</vt:lpstr>
      <vt:lpstr>Result_S</vt:lpstr>
      <vt:lpstr>Mean_AE_L</vt:lpstr>
      <vt:lpstr>Mean_AE_M</vt:lpstr>
      <vt:lpstr>Mean_AE_S</vt:lpstr>
      <vt:lpstr>Mean_PB_L</vt:lpstr>
      <vt:lpstr>Mean_PB_M</vt:lpstr>
      <vt:lpstr>Mean_PB_S</vt:lpstr>
      <vt:lpstr>Mean_PE_L</vt:lpstr>
      <vt:lpstr>Mean_PE_M</vt:lpstr>
      <vt:lpstr>Mean_PE_S</vt:lpstr>
      <vt:lpstr>Mean_PFCF_L</vt:lpstr>
      <vt:lpstr>Mean_PFCF_M</vt:lpstr>
      <vt:lpstr>Mean_PFCF_S</vt:lpstr>
      <vt:lpstr>Mean_ROA_L</vt:lpstr>
      <vt:lpstr>Mean_ROA_M</vt:lpstr>
      <vt:lpstr>Mean_ROA_S</vt:lpstr>
      <vt:lpstr>Mean_ROE_L</vt:lpstr>
      <vt:lpstr>Mean_ROE_M</vt:lpstr>
      <vt:lpstr>Mean_ROE_S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Ngan Vu</dc:creator>
  <cp:lastModifiedBy>Ngan Vu</cp:lastModifiedBy>
  <dcterms:created xsi:type="dcterms:W3CDTF">2024-11-08T05:29:25Z</dcterms:created>
  <dcterms:modified xsi:type="dcterms:W3CDTF">2025-05-14T03:07:03Z</dcterms:modified>
</cp:coreProperties>
</file>
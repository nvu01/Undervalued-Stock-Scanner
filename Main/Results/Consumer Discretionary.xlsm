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AAF2DE37-7F0E-4DA1-B464-805858E460B0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Main_L!$A$1:$M$91</definedName>
    <definedName name="ExternalData_1" localSheetId="2" hidden="1">Main_M!$A$1:$M$141</definedName>
    <definedName name="ExternalData_1" localSheetId="3" hidden="1">Main_S!$A$1:$M$157</definedName>
    <definedName name="ExternalData_5" localSheetId="4" hidden="1">'Quartile Tables'!$A$2:$Y$12</definedName>
    <definedName name="ExternalData_6" localSheetId="4" hidden="1">'Quartile Tables'!$A$16:$Y$26</definedName>
    <definedName name="ExternalData_7" localSheetId="4" hidden="1">'Quartile Tables'!$A$30:$Y$40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0" i="1" l="1"/>
  <c r="Y39" i="1"/>
  <c r="Y38" i="1"/>
  <c r="Y37" i="1"/>
  <c r="Y36" i="1"/>
  <c r="Y35" i="1"/>
  <c r="Y34" i="1"/>
  <c r="Y33" i="1"/>
  <c r="Y32" i="1"/>
  <c r="Y31" i="1"/>
  <c r="X40" i="1"/>
  <c r="X39" i="1"/>
  <c r="X38" i="1"/>
  <c r="X37" i="1"/>
  <c r="X36" i="1"/>
  <c r="X35" i="1"/>
  <c r="X34" i="1"/>
  <c r="X33" i="1"/>
  <c r="X32" i="1"/>
  <c r="X31" i="1"/>
  <c r="W40" i="1" a="1"/>
  <c r="W40" i="1" s="1"/>
  <c r="W39" i="1" a="1"/>
  <c r="W39" i="1" s="1"/>
  <c r="W38" i="1" a="1"/>
  <c r="W38" i="1" s="1"/>
  <c r="W37" i="1" a="1"/>
  <c r="W37" i="1" s="1"/>
  <c r="W36" i="1" a="1"/>
  <c r="W36" i="1"/>
  <c r="W35" i="1" a="1"/>
  <c r="W35" i="1" s="1"/>
  <c r="W34" i="1" a="1"/>
  <c r="W34" i="1" s="1"/>
  <c r="W33" i="1" a="1"/>
  <c r="W33" i="1" s="1"/>
  <c r="W32" i="1" a="1"/>
  <c r="W32" i="1" s="1"/>
  <c r="W31" i="1" a="1"/>
  <c r="W31" i="1" s="1"/>
  <c r="V40" i="1" a="1"/>
  <c r="V40" i="1" s="1"/>
  <c r="V39" i="1" a="1"/>
  <c r="V39" i="1" s="1"/>
  <c r="V38" i="1" a="1"/>
  <c r="V38" i="1" s="1"/>
  <c r="V37" i="1" a="1"/>
  <c r="V37" i="1" s="1"/>
  <c r="V36" i="1" a="1"/>
  <c r="V36" i="1" s="1"/>
  <c r="V35" i="1" a="1"/>
  <c r="V35" i="1" s="1"/>
  <c r="V34" i="1" a="1"/>
  <c r="V34" i="1" s="1"/>
  <c r="V33" i="1" a="1"/>
  <c r="V33" i="1" s="1"/>
  <c r="V32" i="1" a="1"/>
  <c r="V32" i="1" s="1"/>
  <c r="V31" i="1" a="1"/>
  <c r="V31" i="1" s="1"/>
  <c r="Q40" i="1"/>
  <c r="Q39" i="1"/>
  <c r="Q38" i="1"/>
  <c r="Q37" i="1"/>
  <c r="Q36" i="1"/>
  <c r="Q35" i="1"/>
  <c r="Q34" i="1"/>
  <c r="Q33" i="1"/>
  <c r="Q32" i="1"/>
  <c r="Q31" i="1"/>
  <c r="P40" i="1"/>
  <c r="P39" i="1"/>
  <c r="P38" i="1"/>
  <c r="P37" i="1"/>
  <c r="P36" i="1"/>
  <c r="P35" i="1"/>
  <c r="P34" i="1"/>
  <c r="P33" i="1"/>
  <c r="P32" i="1"/>
  <c r="P31" i="1"/>
  <c r="O40" i="1" a="1"/>
  <c r="O40" i="1" s="1"/>
  <c r="O39" i="1" a="1"/>
  <c r="O39" i="1" s="1"/>
  <c r="O38" i="1" a="1"/>
  <c r="O38" i="1" s="1"/>
  <c r="O37" i="1" a="1"/>
  <c r="O37" i="1" s="1"/>
  <c r="O36" i="1" a="1"/>
  <c r="O36" i="1" s="1"/>
  <c r="O35" i="1" a="1"/>
  <c r="O35" i="1" s="1"/>
  <c r="O34" i="1" a="1"/>
  <c r="O34" i="1" s="1"/>
  <c r="O33" i="1" a="1"/>
  <c r="O33" i="1" s="1"/>
  <c r="O32" i="1" a="1"/>
  <c r="O32" i="1" s="1"/>
  <c r="O31" i="1" a="1"/>
  <c r="O31" i="1" s="1"/>
  <c r="N40" i="1" a="1"/>
  <c r="N40" i="1" s="1"/>
  <c r="N39" i="1" a="1"/>
  <c r="N39" i="1" s="1"/>
  <c r="N38" i="1" a="1"/>
  <c r="N38" i="1" s="1"/>
  <c r="N37" i="1" a="1"/>
  <c r="N37" i="1" s="1"/>
  <c r="N36" i="1" a="1"/>
  <c r="N36" i="1" s="1"/>
  <c r="N35" i="1" a="1"/>
  <c r="N35" i="1" s="1"/>
  <c r="N34" i="1" a="1"/>
  <c r="N34" i="1" s="1"/>
  <c r="N33" i="1" a="1"/>
  <c r="N33" i="1" s="1"/>
  <c r="N32" i="1" a="1"/>
  <c r="N32" i="1" s="1"/>
  <c r="N31" i="1" a="1"/>
  <c r="N31" i="1" s="1"/>
  <c r="M40" i="1"/>
  <c r="M39" i="1"/>
  <c r="M38" i="1"/>
  <c r="M37" i="1"/>
  <c r="M36" i="1"/>
  <c r="M35" i="1"/>
  <c r="M34" i="1"/>
  <c r="M33" i="1"/>
  <c r="M32" i="1"/>
  <c r="M31" i="1"/>
  <c r="L40" i="1"/>
  <c r="L39" i="1"/>
  <c r="L38" i="1"/>
  <c r="L37" i="1"/>
  <c r="L36" i="1"/>
  <c r="L35" i="1"/>
  <c r="L34" i="1"/>
  <c r="L33" i="1"/>
  <c r="L32" i="1"/>
  <c r="L31" i="1"/>
  <c r="K40" i="1" a="1"/>
  <c r="K40" i="1" s="1"/>
  <c r="K39" i="1" a="1"/>
  <c r="K39" i="1" s="1"/>
  <c r="K38" i="1" a="1"/>
  <c r="K38" i="1" s="1"/>
  <c r="K37" i="1" a="1"/>
  <c r="K37" i="1" s="1"/>
  <c r="K36" i="1" a="1"/>
  <c r="K36" i="1" s="1"/>
  <c r="K35" i="1" a="1"/>
  <c r="K35" i="1" s="1"/>
  <c r="K34" i="1" a="1"/>
  <c r="K34" i="1" s="1"/>
  <c r="K33" i="1" a="1"/>
  <c r="K33" i="1"/>
  <c r="K32" i="1" a="1"/>
  <c r="K32" i="1" s="1"/>
  <c r="K31" i="1" a="1"/>
  <c r="K31" i="1"/>
  <c r="J40" i="1" a="1"/>
  <c r="J40" i="1"/>
  <c r="J39" i="1" a="1"/>
  <c r="J39" i="1" s="1"/>
  <c r="J38" i="1" a="1"/>
  <c r="J38" i="1" s="1"/>
  <c r="J37" i="1" a="1"/>
  <c r="J37" i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Y26" i="1"/>
  <c r="Y25" i="1"/>
  <c r="Y24" i="1"/>
  <c r="Y23" i="1"/>
  <c r="Y22" i="1"/>
  <c r="Y21" i="1"/>
  <c r="Y20" i="1"/>
  <c r="Y19" i="1"/>
  <c r="Y18" i="1"/>
  <c r="Y17" i="1"/>
  <c r="X26" i="1"/>
  <c r="X25" i="1"/>
  <c r="X24" i="1"/>
  <c r="X23" i="1"/>
  <c r="X22" i="1"/>
  <c r="X21" i="1"/>
  <c r="X20" i="1"/>
  <c r="X19" i="1"/>
  <c r="X18" i="1"/>
  <c r="X17" i="1"/>
  <c r="W26" i="1" a="1"/>
  <c r="W26" i="1" s="1"/>
  <c r="W25" i="1" a="1"/>
  <c r="W25" i="1" s="1"/>
  <c r="W24" i="1" a="1"/>
  <c r="W24" i="1" s="1"/>
  <c r="W23" i="1" a="1"/>
  <c r="W23" i="1" s="1"/>
  <c r="W22" i="1" a="1"/>
  <c r="W22" i="1" s="1"/>
  <c r="W21" i="1" a="1"/>
  <c r="W21" i="1" s="1"/>
  <c r="W20" i="1" a="1"/>
  <c r="W20" i="1" s="1"/>
  <c r="W19" i="1" a="1"/>
  <c r="W19" i="1" s="1"/>
  <c r="W18" i="1" a="1"/>
  <c r="W18" i="1" s="1"/>
  <c r="W17" i="1" a="1"/>
  <c r="W17" i="1" s="1"/>
  <c r="V26" i="1" a="1"/>
  <c r="V26" i="1" s="1"/>
  <c r="V25" i="1" a="1"/>
  <c r="V25" i="1" s="1"/>
  <c r="V24" i="1" a="1"/>
  <c r="V24" i="1" s="1"/>
  <c r="V23" i="1" a="1"/>
  <c r="V23" i="1"/>
  <c r="V22" i="1" a="1"/>
  <c r="V22" i="1" s="1"/>
  <c r="V21" i="1" a="1"/>
  <c r="V21" i="1" s="1"/>
  <c r="V20" i="1" a="1"/>
  <c r="V20" i="1" s="1"/>
  <c r="V19" i="1" a="1"/>
  <c r="V19" i="1" s="1"/>
  <c r="V18" i="1" a="1"/>
  <c r="V18" i="1" s="1"/>
  <c r="V17" i="1" a="1"/>
  <c r="V17" i="1" s="1"/>
  <c r="Q26" i="1"/>
  <c r="Q25" i="1"/>
  <c r="Q24" i="1"/>
  <c r="Q23" i="1"/>
  <c r="Q22" i="1"/>
  <c r="Q21" i="1"/>
  <c r="Q20" i="1"/>
  <c r="Q19" i="1"/>
  <c r="Q18" i="1"/>
  <c r="Q17" i="1"/>
  <c r="P26" i="1"/>
  <c r="P25" i="1"/>
  <c r="P24" i="1"/>
  <c r="P23" i="1"/>
  <c r="P22" i="1"/>
  <c r="P21" i="1"/>
  <c r="P20" i="1"/>
  <c r="P19" i="1"/>
  <c r="P18" i="1"/>
  <c r="P17" i="1"/>
  <c r="O26" i="1" a="1"/>
  <c r="O26" i="1" s="1"/>
  <c r="O25" i="1" a="1"/>
  <c r="O25" i="1" s="1"/>
  <c r="O24" i="1" a="1"/>
  <c r="O24" i="1" s="1"/>
  <c r="O23" i="1" a="1"/>
  <c r="O23" i="1" s="1"/>
  <c r="O22" i="1" a="1"/>
  <c r="O22" i="1" s="1"/>
  <c r="O21" i="1" a="1"/>
  <c r="O21" i="1" s="1"/>
  <c r="O20" i="1" a="1"/>
  <c r="O20" i="1" s="1"/>
  <c r="O19" i="1" a="1"/>
  <c r="O19" i="1" s="1"/>
  <c r="O18" i="1" a="1"/>
  <c r="O18" i="1" s="1"/>
  <c r="O17" i="1" a="1"/>
  <c r="O17" i="1" s="1"/>
  <c r="N26" i="1" a="1"/>
  <c r="N26" i="1" s="1"/>
  <c r="N25" i="1" a="1"/>
  <c r="N25" i="1" s="1"/>
  <c r="N24" i="1" a="1"/>
  <c r="N24" i="1" s="1"/>
  <c r="N23" i="1" a="1"/>
  <c r="N23" i="1" s="1"/>
  <c r="N22" i="1" a="1"/>
  <c r="N22" i="1" s="1"/>
  <c r="N21" i="1" a="1"/>
  <c r="N21" i="1"/>
  <c r="N20" i="1" a="1"/>
  <c r="N20" i="1" s="1"/>
  <c r="N19" i="1" a="1"/>
  <c r="N19" i="1"/>
  <c r="N18" i="1" a="1"/>
  <c r="N18" i="1" s="1"/>
  <c r="N17" i="1" a="1"/>
  <c r="N17" i="1" s="1"/>
  <c r="M26" i="1"/>
  <c r="M25" i="1"/>
  <c r="M24" i="1"/>
  <c r="M23" i="1"/>
  <c r="M22" i="1"/>
  <c r="M21" i="1"/>
  <c r="M20" i="1"/>
  <c r="M19" i="1"/>
  <c r="M18" i="1"/>
  <c r="M17" i="1"/>
  <c r="L26" i="1"/>
  <c r="L25" i="1"/>
  <c r="L24" i="1"/>
  <c r="L23" i="1"/>
  <c r="L22" i="1"/>
  <c r="L21" i="1"/>
  <c r="L20" i="1"/>
  <c r="L19" i="1"/>
  <c r="L18" i="1"/>
  <c r="L17" i="1"/>
  <c r="K26" i="1" a="1"/>
  <c r="K26" i="1" s="1"/>
  <c r="K25" i="1" a="1"/>
  <c r="K25" i="1" s="1"/>
  <c r="K24" i="1" a="1"/>
  <c r="K24" i="1" s="1"/>
  <c r="K23" i="1" a="1"/>
  <c r="K23" i="1" s="1"/>
  <c r="K22" i="1" a="1"/>
  <c r="K22" i="1" s="1"/>
  <c r="K21" i="1" a="1"/>
  <c r="K21" i="1" s="1"/>
  <c r="K20" i="1" a="1"/>
  <c r="K20" i="1" s="1"/>
  <c r="K19" i="1" a="1"/>
  <c r="K19" i="1" s="1"/>
  <c r="K18" i="1" a="1"/>
  <c r="K18" i="1" s="1"/>
  <c r="K17" i="1" a="1"/>
  <c r="K1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Y12" i="1"/>
  <c r="Y11" i="1"/>
  <c r="Y10" i="1"/>
  <c r="Y9" i="1"/>
  <c r="Y8" i="1"/>
  <c r="Y7" i="1"/>
  <c r="Y6" i="1"/>
  <c r="Y5" i="1"/>
  <c r="Y4" i="1"/>
  <c r="Y3" i="1"/>
  <c r="X12" i="1"/>
  <c r="X11" i="1"/>
  <c r="X10" i="1"/>
  <c r="X9" i="1"/>
  <c r="X8" i="1"/>
  <c r="X7" i="1"/>
  <c r="X6" i="1"/>
  <c r="X5" i="1"/>
  <c r="X4" i="1"/>
  <c r="X3" i="1"/>
  <c r="W12" i="1" a="1"/>
  <c r="W12" i="1" s="1"/>
  <c r="W11" i="1" a="1"/>
  <c r="W11" i="1"/>
  <c r="W10" i="1" a="1"/>
  <c r="W10" i="1" s="1"/>
  <c r="W9" i="1" a="1"/>
  <c r="W9" i="1" s="1"/>
  <c r="W8" i="1" a="1"/>
  <c r="W8" i="1" s="1"/>
  <c r="W7" i="1" a="1"/>
  <c r="W7" i="1" s="1"/>
  <c r="W6" i="1" a="1"/>
  <c r="W6" i="1" s="1"/>
  <c r="W5" i="1" a="1"/>
  <c r="W5" i="1" s="1"/>
  <c r="W4" i="1" a="1"/>
  <c r="W4" i="1" s="1"/>
  <c r="W3" i="1" a="1"/>
  <c r="W3" i="1" s="1"/>
  <c r="V12" i="1" a="1"/>
  <c r="V12" i="1" s="1"/>
  <c r="V11" i="1" a="1"/>
  <c r="V11" i="1" s="1"/>
  <c r="V10" i="1" a="1"/>
  <c r="V10" i="1"/>
  <c r="V9" i="1" a="1"/>
  <c r="V9" i="1" s="1"/>
  <c r="V8" i="1" a="1"/>
  <c r="V8" i="1"/>
  <c r="V7" i="1" a="1"/>
  <c r="V7" i="1" s="1"/>
  <c r="V6" i="1" a="1"/>
  <c r="V6" i="1" s="1"/>
  <c r="V5" i="1" a="1"/>
  <c r="V5" i="1" s="1"/>
  <c r="V4" i="1" a="1"/>
  <c r="V4" i="1"/>
  <c r="V3" i="1" a="1"/>
  <c r="V3" i="1"/>
  <c r="Q12" i="1"/>
  <c r="Q11" i="1"/>
  <c r="Q10" i="1"/>
  <c r="Q9" i="1"/>
  <c r="Q8" i="1"/>
  <c r="Q7" i="1"/>
  <c r="Q6" i="1"/>
  <c r="Q5" i="1"/>
  <c r="Q4" i="1"/>
  <c r="Q3" i="1"/>
  <c r="P12" i="1"/>
  <c r="P11" i="1"/>
  <c r="P10" i="1"/>
  <c r="P9" i="1"/>
  <c r="P8" i="1"/>
  <c r="P7" i="1"/>
  <c r="P6" i="1"/>
  <c r="P5" i="1"/>
  <c r="P4" i="1"/>
  <c r="P3" i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7" i="1" a="1"/>
  <c r="O7" i="1" s="1"/>
  <c r="O6" i="1" a="1"/>
  <c r="O6" i="1" s="1"/>
  <c r="O5" i="1" a="1"/>
  <c r="O5" i="1" s="1"/>
  <c r="O4" i="1" a="1"/>
  <c r="O4" i="1" s="1"/>
  <c r="O3" i="1" a="1"/>
  <c r="O3" i="1" s="1"/>
  <c r="N12" i="1" a="1"/>
  <c r="N12" i="1" s="1"/>
  <c r="N11" i="1" a="1"/>
  <c r="N11" i="1" s="1"/>
  <c r="N10" i="1" a="1"/>
  <c r="N10" i="1" s="1"/>
  <c r="N9" i="1" a="1"/>
  <c r="N9" i="1" s="1"/>
  <c r="N8" i="1" a="1"/>
  <c r="N8" i="1" s="1"/>
  <c r="N7" i="1" a="1"/>
  <c r="N7" i="1" s="1"/>
  <c r="N6" i="1" a="1"/>
  <c r="N6" i="1" s="1"/>
  <c r="N5" i="1" a="1"/>
  <c r="N5" i="1" s="1"/>
  <c r="N4" i="1" a="1"/>
  <c r="N4" i="1" s="1"/>
  <c r="N3" i="1" a="1"/>
  <c r="N3" i="1" s="1"/>
  <c r="M12" i="1"/>
  <c r="M11" i="1"/>
  <c r="M10" i="1"/>
  <c r="M9" i="1"/>
  <c r="M8" i="1"/>
  <c r="M7" i="1"/>
  <c r="M6" i="1"/>
  <c r="M5" i="1"/>
  <c r="M4" i="1"/>
  <c r="M3" i="1"/>
  <c r="L12" i="1"/>
  <c r="L11" i="1"/>
  <c r="L10" i="1"/>
  <c r="L9" i="1"/>
  <c r="L8" i="1"/>
  <c r="L7" i="1"/>
  <c r="L6" i="1"/>
  <c r="L5" i="1"/>
  <c r="L4" i="1"/>
  <c r="L3" i="1"/>
  <c r="K12" i="1" a="1"/>
  <c r="K12" i="1" s="1"/>
  <c r="K11" i="1" a="1"/>
  <c r="K11" i="1" s="1"/>
  <c r="K10" i="1" a="1"/>
  <c r="K10" i="1" s="1"/>
  <c r="K9" i="1" a="1"/>
  <c r="K9" i="1" s="1"/>
  <c r="K8" i="1" a="1"/>
  <c r="K8" i="1" s="1"/>
  <c r="K7" i="1" a="1"/>
  <c r="K7" i="1" s="1"/>
  <c r="K6" i="1" a="1"/>
  <c r="K6" i="1" s="1"/>
  <c r="K5" i="1" a="1"/>
  <c r="K5" i="1" s="1"/>
  <c r="K4" i="1" a="1"/>
  <c r="K4" i="1" s="1"/>
  <c r="K3" i="1" a="1"/>
  <c r="K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M157" i="4"/>
  <c r="M156" i="4"/>
  <c r="M155" i="4"/>
  <c r="M143" i="4"/>
  <c r="M142" i="4"/>
  <c r="T142" i="4" s="1"/>
  <c r="M141" i="4"/>
  <c r="M140" i="4"/>
  <c r="T140" i="4" s="1"/>
  <c r="M139" i="4"/>
  <c r="M138" i="4"/>
  <c r="M136" i="4"/>
  <c r="M133" i="4"/>
  <c r="M122" i="4"/>
  <c r="M121" i="4"/>
  <c r="M120" i="4"/>
  <c r="T120" i="4" s="1"/>
  <c r="M119" i="4"/>
  <c r="M117" i="4"/>
  <c r="M116" i="4"/>
  <c r="M106" i="4"/>
  <c r="M105" i="4"/>
  <c r="M103" i="4"/>
  <c r="M102" i="4"/>
  <c r="M101" i="4"/>
  <c r="M100" i="4"/>
  <c r="M97" i="4"/>
  <c r="M96" i="4"/>
  <c r="M82" i="4"/>
  <c r="M81" i="4"/>
  <c r="T81" i="4" s="1"/>
  <c r="M80" i="4"/>
  <c r="T80" i="4" s="1"/>
  <c r="M79" i="4"/>
  <c r="M78" i="4"/>
  <c r="T78" i="4" s="1"/>
  <c r="M77" i="4"/>
  <c r="M76" i="4"/>
  <c r="M63" i="4"/>
  <c r="M62" i="4"/>
  <c r="M61" i="4"/>
  <c r="M60" i="4"/>
  <c r="M56" i="4"/>
  <c r="M42" i="4"/>
  <c r="M41" i="4"/>
  <c r="M40" i="4"/>
  <c r="M39" i="4"/>
  <c r="M37" i="4"/>
  <c r="T37" i="4" s="1"/>
  <c r="M36" i="4"/>
  <c r="M35" i="4"/>
  <c r="T35" i="4" s="1"/>
  <c r="M25" i="4"/>
  <c r="M22" i="4"/>
  <c r="M20" i="4"/>
  <c r="M16" i="4"/>
  <c r="T16" i="4" s="1"/>
  <c r="M2" i="4"/>
  <c r="I157" i="4"/>
  <c r="P157" i="4" s="1"/>
  <c r="I156" i="4"/>
  <c r="I155" i="4"/>
  <c r="I154" i="4"/>
  <c r="I153" i="4"/>
  <c r="I143" i="4"/>
  <c r="I142" i="4"/>
  <c r="I141" i="4"/>
  <c r="I140" i="4"/>
  <c r="I139" i="4"/>
  <c r="I138" i="4"/>
  <c r="I137" i="4"/>
  <c r="P137" i="4" s="1"/>
  <c r="I136" i="4"/>
  <c r="I134" i="4"/>
  <c r="I123" i="4"/>
  <c r="I122" i="4"/>
  <c r="I121" i="4"/>
  <c r="I120" i="4"/>
  <c r="I119" i="4"/>
  <c r="P119" i="4" s="1"/>
  <c r="I117" i="4"/>
  <c r="I116" i="4"/>
  <c r="P116" i="4" s="1"/>
  <c r="I114" i="4"/>
  <c r="I106" i="4"/>
  <c r="I105" i="4"/>
  <c r="I103" i="4"/>
  <c r="I102" i="4"/>
  <c r="I101" i="4"/>
  <c r="I100" i="4"/>
  <c r="I99" i="4"/>
  <c r="I98" i="4"/>
  <c r="P98" i="4" s="1"/>
  <c r="I97" i="4"/>
  <c r="P97" i="4" s="1"/>
  <c r="I96" i="4"/>
  <c r="I95" i="4"/>
  <c r="P95" i="4" s="1"/>
  <c r="I94" i="4"/>
  <c r="I93" i="4"/>
  <c r="I82" i="4"/>
  <c r="I81" i="4"/>
  <c r="I80" i="4"/>
  <c r="I77" i="4"/>
  <c r="I76" i="4"/>
  <c r="I74" i="4"/>
  <c r="I63" i="4"/>
  <c r="I62" i="4"/>
  <c r="I61" i="4"/>
  <c r="P61" i="4" s="1"/>
  <c r="I60" i="4"/>
  <c r="P60" i="4" s="1"/>
  <c r="I59" i="4"/>
  <c r="I58" i="4"/>
  <c r="I56" i="4"/>
  <c r="I54" i="4"/>
  <c r="I42" i="4"/>
  <c r="I41" i="4"/>
  <c r="P41" i="4" s="1"/>
  <c r="I40" i="4"/>
  <c r="I39" i="4"/>
  <c r="I37" i="4"/>
  <c r="P37" i="4" s="1"/>
  <c r="I36" i="4"/>
  <c r="I34" i="4"/>
  <c r="I33" i="4"/>
  <c r="I25" i="4"/>
  <c r="I22" i="4"/>
  <c r="I21" i="4"/>
  <c r="I20" i="4"/>
  <c r="I16" i="4"/>
  <c r="I14" i="4"/>
  <c r="I3" i="4"/>
  <c r="I2" i="4"/>
  <c r="H157" i="4"/>
  <c r="H156" i="4"/>
  <c r="H155" i="4"/>
  <c r="H154" i="4"/>
  <c r="H153" i="4"/>
  <c r="O153" i="4" s="1"/>
  <c r="H142" i="4"/>
  <c r="H141" i="4"/>
  <c r="H139" i="4"/>
  <c r="H137" i="4"/>
  <c r="O137" i="4" s="1"/>
  <c r="H136" i="4"/>
  <c r="H134" i="4"/>
  <c r="O134" i="4" s="1"/>
  <c r="H129" i="4"/>
  <c r="H128" i="4"/>
  <c r="H122" i="4"/>
  <c r="N122" i="4" s="1"/>
  <c r="H121" i="4"/>
  <c r="O121" i="4" s="1"/>
  <c r="H119" i="4"/>
  <c r="H117" i="4"/>
  <c r="H116" i="4"/>
  <c r="H114" i="4"/>
  <c r="H106" i="4"/>
  <c r="H105" i="4"/>
  <c r="H102" i="4"/>
  <c r="O102" i="4" s="1"/>
  <c r="H101" i="4"/>
  <c r="H99" i="4"/>
  <c r="H97" i="4"/>
  <c r="H96" i="4"/>
  <c r="H94" i="4"/>
  <c r="H82" i="4"/>
  <c r="O82" i="4" s="1"/>
  <c r="H81" i="4"/>
  <c r="H79" i="4"/>
  <c r="N79" i="4" s="1"/>
  <c r="H77" i="4"/>
  <c r="H76" i="4"/>
  <c r="N76" i="4" s="1"/>
  <c r="H75" i="4"/>
  <c r="O75" i="4" s="1"/>
  <c r="H74" i="4"/>
  <c r="N74" i="4" s="1"/>
  <c r="H73" i="4"/>
  <c r="O73" i="4" s="1"/>
  <c r="H62" i="4"/>
  <c r="H61" i="4"/>
  <c r="H56" i="4"/>
  <c r="H54" i="4"/>
  <c r="H42" i="4"/>
  <c r="H41" i="4"/>
  <c r="H36" i="4"/>
  <c r="H34" i="4"/>
  <c r="H25" i="4"/>
  <c r="H22" i="4"/>
  <c r="O22" i="4" s="1"/>
  <c r="H19" i="4"/>
  <c r="H17" i="4"/>
  <c r="H16" i="4"/>
  <c r="N16" i="4" s="1"/>
  <c r="H14" i="4"/>
  <c r="H2" i="4"/>
  <c r="D157" i="4"/>
  <c r="D156" i="4"/>
  <c r="D155" i="4"/>
  <c r="D154" i="4"/>
  <c r="M154" i="4" s="1"/>
  <c r="T154" i="4" s="1"/>
  <c r="D153" i="4"/>
  <c r="M153" i="4" s="1"/>
  <c r="D152" i="4"/>
  <c r="D151" i="4"/>
  <c r="D150" i="4"/>
  <c r="D149" i="4"/>
  <c r="D148" i="4"/>
  <c r="D147" i="4"/>
  <c r="D146" i="4"/>
  <c r="D145" i="4"/>
  <c r="D144" i="4"/>
  <c r="D143" i="4"/>
  <c r="H143" i="4" s="1"/>
  <c r="D142" i="4"/>
  <c r="D141" i="4"/>
  <c r="D140" i="4"/>
  <c r="H140" i="4" s="1"/>
  <c r="D139" i="4"/>
  <c r="D138" i="4"/>
  <c r="H138" i="4" s="1"/>
  <c r="O138" i="4" s="1"/>
  <c r="D137" i="4"/>
  <c r="M137" i="4" s="1"/>
  <c r="T137" i="4" s="1"/>
  <c r="D136" i="4"/>
  <c r="D135" i="4"/>
  <c r="D134" i="4"/>
  <c r="M134" i="4" s="1"/>
  <c r="D133" i="4"/>
  <c r="I133" i="4" s="1"/>
  <c r="P133" i="4" s="1"/>
  <c r="D132" i="4"/>
  <c r="D131" i="4"/>
  <c r="D130" i="4"/>
  <c r="D129" i="4"/>
  <c r="D128" i="4"/>
  <c r="D127" i="4"/>
  <c r="D126" i="4"/>
  <c r="D125" i="4"/>
  <c r="D124" i="4"/>
  <c r="D123" i="4"/>
  <c r="H123" i="4" s="1"/>
  <c r="D122" i="4"/>
  <c r="D121" i="4"/>
  <c r="D120" i="4"/>
  <c r="H120" i="4" s="1"/>
  <c r="O120" i="4" s="1"/>
  <c r="D119" i="4"/>
  <c r="D118" i="4"/>
  <c r="H118" i="4" s="1"/>
  <c r="D117" i="4"/>
  <c r="D116" i="4"/>
  <c r="D115" i="4"/>
  <c r="D114" i="4"/>
  <c r="M114" i="4" s="1"/>
  <c r="D113" i="4"/>
  <c r="D112" i="4"/>
  <c r="D111" i="4"/>
  <c r="D110" i="4"/>
  <c r="D109" i="4"/>
  <c r="D108" i="4"/>
  <c r="D107" i="4"/>
  <c r="I107" i="4" s="1"/>
  <c r="P107" i="4" s="1"/>
  <c r="D106" i="4"/>
  <c r="D105" i="4"/>
  <c r="D104" i="4"/>
  <c r="D103" i="4"/>
  <c r="H103" i="4" s="1"/>
  <c r="D102" i="4"/>
  <c r="D101" i="4"/>
  <c r="D100" i="4"/>
  <c r="H100" i="4" s="1"/>
  <c r="N100" i="4" s="1"/>
  <c r="D99" i="4"/>
  <c r="M99" i="4" s="1"/>
  <c r="T99" i="4" s="1"/>
  <c r="D98" i="4"/>
  <c r="D97" i="4"/>
  <c r="D96" i="4"/>
  <c r="D95" i="4"/>
  <c r="D94" i="4"/>
  <c r="M94" i="4" s="1"/>
  <c r="D93" i="4"/>
  <c r="D92" i="4"/>
  <c r="D91" i="4"/>
  <c r="D90" i="4"/>
  <c r="D89" i="4"/>
  <c r="D88" i="4"/>
  <c r="D87" i="4"/>
  <c r="D86" i="4"/>
  <c r="D85" i="4"/>
  <c r="D84" i="4"/>
  <c r="D83" i="4"/>
  <c r="H83" i="4" s="1"/>
  <c r="D82" i="4"/>
  <c r="D81" i="4"/>
  <c r="D80" i="4"/>
  <c r="H80" i="4" s="1"/>
  <c r="D79" i="4"/>
  <c r="I79" i="4" s="1"/>
  <c r="D78" i="4"/>
  <c r="D77" i="4"/>
  <c r="D76" i="4"/>
  <c r="D75" i="4"/>
  <c r="I75" i="4" s="1"/>
  <c r="P75" i="4" s="1"/>
  <c r="D74" i="4"/>
  <c r="M74" i="4" s="1"/>
  <c r="D73" i="4"/>
  <c r="D72" i="4"/>
  <c r="D71" i="4"/>
  <c r="M71" i="4" s="1"/>
  <c r="T71" i="4" s="1"/>
  <c r="D70" i="4"/>
  <c r="D69" i="4"/>
  <c r="D68" i="4"/>
  <c r="D67" i="4"/>
  <c r="D66" i="4"/>
  <c r="D65" i="4"/>
  <c r="D64" i="4"/>
  <c r="D63" i="4"/>
  <c r="H63" i="4" s="1"/>
  <c r="N63" i="4" s="1"/>
  <c r="D62" i="4"/>
  <c r="D61" i="4"/>
  <c r="D60" i="4"/>
  <c r="H60" i="4" s="1"/>
  <c r="N60" i="4" s="1"/>
  <c r="D59" i="4"/>
  <c r="M59" i="4" s="1"/>
  <c r="T59" i="4" s="1"/>
  <c r="D58" i="4"/>
  <c r="D57" i="4"/>
  <c r="I57" i="4" s="1"/>
  <c r="P57" i="4" s="1"/>
  <c r="D56" i="4"/>
  <c r="D55" i="4"/>
  <c r="D54" i="4"/>
  <c r="M54" i="4" s="1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H40" i="4" s="1"/>
  <c r="D39" i="4"/>
  <c r="H39" i="4" s="1"/>
  <c r="N39" i="4" s="1"/>
  <c r="D38" i="4"/>
  <c r="M38" i="4" s="1"/>
  <c r="T38" i="4" s="1"/>
  <c r="D37" i="4"/>
  <c r="H37" i="4" s="1"/>
  <c r="O37" i="4" s="1"/>
  <c r="D36" i="4"/>
  <c r="D35" i="4"/>
  <c r="H35" i="4" s="1"/>
  <c r="D34" i="4"/>
  <c r="M34" i="4" s="1"/>
  <c r="T34" i="4" s="1"/>
  <c r="D33" i="4"/>
  <c r="D32" i="4"/>
  <c r="D31" i="4"/>
  <c r="M31" i="4" s="1"/>
  <c r="D30" i="4"/>
  <c r="D29" i="4"/>
  <c r="D28" i="4"/>
  <c r="D27" i="4"/>
  <c r="I27" i="4" s="1"/>
  <c r="D26" i="4"/>
  <c r="D25" i="4"/>
  <c r="D24" i="4"/>
  <c r="D23" i="4"/>
  <c r="D22" i="4"/>
  <c r="D21" i="4"/>
  <c r="H21" i="4" s="1"/>
  <c r="D20" i="4"/>
  <c r="H20" i="4" s="1"/>
  <c r="D19" i="4"/>
  <c r="M19" i="4" s="1"/>
  <c r="D18" i="4"/>
  <c r="D17" i="4"/>
  <c r="D16" i="4"/>
  <c r="D15" i="4"/>
  <c r="D14" i="4"/>
  <c r="M14" i="4" s="1"/>
  <c r="D13" i="4"/>
  <c r="D12" i="4"/>
  <c r="D11" i="4"/>
  <c r="I11" i="4" s="1"/>
  <c r="D10" i="4"/>
  <c r="D9" i="4"/>
  <c r="D8" i="4"/>
  <c r="D7" i="4"/>
  <c r="D6" i="4"/>
  <c r="D5" i="4"/>
  <c r="D4" i="4"/>
  <c r="D3" i="4"/>
  <c r="D2" i="4"/>
  <c r="M130" i="3"/>
  <c r="M129" i="3"/>
  <c r="M127" i="3"/>
  <c r="M126" i="3"/>
  <c r="M125" i="3"/>
  <c r="M124" i="3"/>
  <c r="M123" i="3"/>
  <c r="M119" i="3"/>
  <c r="T119" i="3" s="1"/>
  <c r="M110" i="3"/>
  <c r="M109" i="3"/>
  <c r="T109" i="3" s="1"/>
  <c r="M108" i="3"/>
  <c r="M106" i="3"/>
  <c r="M105" i="3"/>
  <c r="T105" i="3" s="1"/>
  <c r="M104" i="3"/>
  <c r="T104" i="3" s="1"/>
  <c r="M99" i="3"/>
  <c r="M92" i="3"/>
  <c r="T92" i="3" s="1"/>
  <c r="M89" i="3"/>
  <c r="M87" i="3"/>
  <c r="M85" i="3"/>
  <c r="T85" i="3" s="1"/>
  <c r="M84" i="3"/>
  <c r="T84" i="3" s="1"/>
  <c r="M83" i="3"/>
  <c r="T83" i="3" s="1"/>
  <c r="M73" i="3"/>
  <c r="T73" i="3" s="1"/>
  <c r="M72" i="3"/>
  <c r="M70" i="3"/>
  <c r="M69" i="3"/>
  <c r="M68" i="3"/>
  <c r="M67" i="3"/>
  <c r="T67" i="3" s="1"/>
  <c r="M64" i="3"/>
  <c r="M53" i="3"/>
  <c r="M50" i="3"/>
  <c r="M49" i="3"/>
  <c r="M48" i="3"/>
  <c r="M47" i="3"/>
  <c r="M45" i="3"/>
  <c r="M44" i="3"/>
  <c r="M43" i="3"/>
  <c r="T43" i="3" s="1"/>
  <c r="M30" i="3"/>
  <c r="T30" i="3" s="1"/>
  <c r="M29" i="3"/>
  <c r="M25" i="3"/>
  <c r="T25" i="3" s="1"/>
  <c r="M24" i="3"/>
  <c r="T24" i="3" s="1"/>
  <c r="M12" i="3"/>
  <c r="T12" i="3" s="1"/>
  <c r="M9" i="3"/>
  <c r="M5" i="3"/>
  <c r="M4" i="3"/>
  <c r="M3" i="3"/>
  <c r="T3" i="3" s="1"/>
  <c r="I137" i="3"/>
  <c r="I132" i="3"/>
  <c r="P132" i="3" s="1"/>
  <c r="I130" i="3"/>
  <c r="I129" i="3"/>
  <c r="I128" i="3"/>
  <c r="P128" i="3" s="1"/>
  <c r="I127" i="3"/>
  <c r="I110" i="3"/>
  <c r="I109" i="3"/>
  <c r="I108" i="3"/>
  <c r="I107" i="3"/>
  <c r="I106" i="3"/>
  <c r="I105" i="3"/>
  <c r="N105" i="3" s="1"/>
  <c r="I104" i="3"/>
  <c r="I99" i="3"/>
  <c r="P99" i="3" s="1"/>
  <c r="I90" i="3"/>
  <c r="I89" i="3"/>
  <c r="I88" i="3"/>
  <c r="P88" i="3" s="1"/>
  <c r="I87" i="3"/>
  <c r="I86" i="3"/>
  <c r="P86" i="3" s="1"/>
  <c r="I85" i="3"/>
  <c r="I83" i="3"/>
  <c r="I72" i="3"/>
  <c r="I69" i="3"/>
  <c r="I67" i="3"/>
  <c r="I65" i="3"/>
  <c r="I64" i="3"/>
  <c r="I63" i="3"/>
  <c r="P63" i="3" s="1"/>
  <c r="I57" i="3"/>
  <c r="I52" i="3"/>
  <c r="I50" i="3"/>
  <c r="P50" i="3" s="1"/>
  <c r="I49" i="3"/>
  <c r="P49" i="3" s="1"/>
  <c r="I48" i="3"/>
  <c r="I45" i="3"/>
  <c r="I32" i="3"/>
  <c r="I31" i="3"/>
  <c r="I30" i="3"/>
  <c r="P30" i="3" s="1"/>
  <c r="I29" i="3"/>
  <c r="I28" i="3"/>
  <c r="I27" i="3"/>
  <c r="P27" i="3" s="1"/>
  <c r="I25" i="3"/>
  <c r="P25" i="3" s="1"/>
  <c r="I12" i="3"/>
  <c r="I11" i="3"/>
  <c r="P11" i="3" s="1"/>
  <c r="I9" i="3"/>
  <c r="I7" i="3"/>
  <c r="I5" i="3"/>
  <c r="I4" i="3"/>
  <c r="H137" i="3"/>
  <c r="H133" i="3"/>
  <c r="H129" i="3"/>
  <c r="O129" i="3" s="1"/>
  <c r="H128" i="3"/>
  <c r="H127" i="3"/>
  <c r="O127" i="3" s="1"/>
  <c r="H125" i="3"/>
  <c r="O125" i="3" s="1"/>
  <c r="H124" i="3"/>
  <c r="H117" i="3"/>
  <c r="H113" i="3"/>
  <c r="H112" i="3"/>
  <c r="H109" i="3"/>
  <c r="H107" i="3"/>
  <c r="O107" i="3" s="1"/>
  <c r="H105" i="3"/>
  <c r="H104" i="3"/>
  <c r="O104" i="3" s="1"/>
  <c r="H97" i="3"/>
  <c r="O97" i="3" s="1"/>
  <c r="H94" i="3"/>
  <c r="H93" i="3"/>
  <c r="H92" i="3"/>
  <c r="H90" i="3"/>
  <c r="O90" i="3" s="1"/>
  <c r="H89" i="3"/>
  <c r="H88" i="3"/>
  <c r="H85" i="3"/>
  <c r="O85" i="3" s="1"/>
  <c r="H72" i="3"/>
  <c r="H70" i="3"/>
  <c r="H69" i="3"/>
  <c r="H68" i="3"/>
  <c r="O68" i="3" s="1"/>
  <c r="H67" i="3"/>
  <c r="N67" i="3" s="1"/>
  <c r="H66" i="3"/>
  <c r="H65" i="3"/>
  <c r="O65" i="3" s="1"/>
  <c r="H64" i="3"/>
  <c r="H58" i="3"/>
  <c r="H52" i="3"/>
  <c r="H50" i="3"/>
  <c r="H49" i="3"/>
  <c r="H48" i="3"/>
  <c r="N48" i="3" s="1"/>
  <c r="H47" i="3"/>
  <c r="H45" i="3"/>
  <c r="N45" i="3" s="1"/>
  <c r="H44" i="3"/>
  <c r="O44" i="3" s="1"/>
  <c r="H29" i="3"/>
  <c r="N29" i="3" s="1"/>
  <c r="H28" i="3"/>
  <c r="N28" i="3" s="1"/>
  <c r="H27" i="3"/>
  <c r="O27" i="3" s="1"/>
  <c r="H25" i="3"/>
  <c r="H24" i="3"/>
  <c r="H23" i="3"/>
  <c r="H14" i="3"/>
  <c r="H12" i="3"/>
  <c r="H9" i="3"/>
  <c r="O9" i="3" s="1"/>
  <c r="H7" i="3"/>
  <c r="H5" i="3"/>
  <c r="N5" i="3" s="1"/>
  <c r="H4" i="3"/>
  <c r="D141" i="3"/>
  <c r="M141" i="3" s="1"/>
  <c r="D140" i="3"/>
  <c r="M140" i="3" s="1"/>
  <c r="D139" i="3"/>
  <c r="D138" i="3"/>
  <c r="M138" i="3" s="1"/>
  <c r="T138" i="3" s="1"/>
  <c r="D137" i="3"/>
  <c r="M137" i="3" s="1"/>
  <c r="D136" i="3"/>
  <c r="M136" i="3" s="1"/>
  <c r="D135" i="3"/>
  <c r="H135" i="3" s="1"/>
  <c r="D134" i="3"/>
  <c r="D133" i="3"/>
  <c r="M133" i="3" s="1"/>
  <c r="T133" i="3" s="1"/>
  <c r="D132" i="3"/>
  <c r="D131" i="3"/>
  <c r="H131" i="3" s="1"/>
  <c r="D130" i="3"/>
  <c r="H130" i="3" s="1"/>
  <c r="N130" i="3" s="1"/>
  <c r="D129" i="3"/>
  <c r="D128" i="3"/>
  <c r="M128" i="3" s="1"/>
  <c r="T128" i="3" s="1"/>
  <c r="D127" i="3"/>
  <c r="D126" i="3"/>
  <c r="I126" i="3" s="1"/>
  <c r="P126" i="3" s="1"/>
  <c r="D125" i="3"/>
  <c r="I125" i="3" s="1"/>
  <c r="D124" i="3"/>
  <c r="I124" i="3" s="1"/>
  <c r="P124" i="3" s="1"/>
  <c r="D123" i="3"/>
  <c r="I123" i="3" s="1"/>
  <c r="D122" i="3"/>
  <c r="M122" i="3" s="1"/>
  <c r="D121" i="3"/>
  <c r="M121" i="3" s="1"/>
  <c r="D120" i="3"/>
  <c r="M120" i="3" s="1"/>
  <c r="D119" i="3"/>
  <c r="I119" i="3" s="1"/>
  <c r="D118" i="3"/>
  <c r="D117" i="3"/>
  <c r="D116" i="3"/>
  <c r="M116" i="3" s="1"/>
  <c r="D115" i="3"/>
  <c r="H115" i="3" s="1"/>
  <c r="D114" i="3"/>
  <c r="D113" i="3"/>
  <c r="M113" i="3" s="1"/>
  <c r="D112" i="3"/>
  <c r="D111" i="3"/>
  <c r="I111" i="3" s="1"/>
  <c r="P111" i="3" s="1"/>
  <c r="D110" i="3"/>
  <c r="H110" i="3" s="1"/>
  <c r="D109" i="3"/>
  <c r="D108" i="3"/>
  <c r="H108" i="3" s="1"/>
  <c r="D107" i="3"/>
  <c r="M107" i="3" s="1"/>
  <c r="D106" i="3"/>
  <c r="H106" i="3" s="1"/>
  <c r="O106" i="3" s="1"/>
  <c r="D105" i="3"/>
  <c r="D104" i="3"/>
  <c r="D103" i="3"/>
  <c r="H103" i="3" s="1"/>
  <c r="D102" i="3"/>
  <c r="M102" i="3" s="1"/>
  <c r="D101" i="3"/>
  <c r="M101" i="3" s="1"/>
  <c r="D100" i="3"/>
  <c r="M100" i="3" s="1"/>
  <c r="D99" i="3"/>
  <c r="H99" i="3" s="1"/>
  <c r="D98" i="3"/>
  <c r="I98" i="3" s="1"/>
  <c r="P98" i="3" s="1"/>
  <c r="D97" i="3"/>
  <c r="I97" i="3" s="1"/>
  <c r="D96" i="3"/>
  <c r="M96" i="3" s="1"/>
  <c r="T96" i="3" s="1"/>
  <c r="D95" i="3"/>
  <c r="M95" i="3" s="1"/>
  <c r="T95" i="3" s="1"/>
  <c r="D94" i="3"/>
  <c r="D93" i="3"/>
  <c r="I93" i="3" s="1"/>
  <c r="D92" i="3"/>
  <c r="I92" i="3" s="1"/>
  <c r="D91" i="3"/>
  <c r="H91" i="3" s="1"/>
  <c r="D90" i="3"/>
  <c r="M90" i="3" s="1"/>
  <c r="D89" i="3"/>
  <c r="D88" i="3"/>
  <c r="M88" i="3" s="1"/>
  <c r="T88" i="3" s="1"/>
  <c r="D87" i="3"/>
  <c r="H87" i="3" s="1"/>
  <c r="D86" i="3"/>
  <c r="H86" i="3" s="1"/>
  <c r="O86" i="3" s="1"/>
  <c r="D85" i="3"/>
  <c r="D84" i="3"/>
  <c r="H84" i="3" s="1"/>
  <c r="D83" i="3"/>
  <c r="H83" i="3" s="1"/>
  <c r="D82" i="3"/>
  <c r="M82" i="3" s="1"/>
  <c r="D81" i="3"/>
  <c r="M81" i="3" s="1"/>
  <c r="D80" i="3"/>
  <c r="M80" i="3" s="1"/>
  <c r="D79" i="3"/>
  <c r="D78" i="3"/>
  <c r="H78" i="3" s="1"/>
  <c r="O78" i="3" s="1"/>
  <c r="D77" i="3"/>
  <c r="H77" i="3" s="1"/>
  <c r="D76" i="3"/>
  <c r="M76" i="3" s="1"/>
  <c r="D75" i="3"/>
  <c r="H75" i="3" s="1"/>
  <c r="D74" i="3"/>
  <c r="D73" i="3"/>
  <c r="H73" i="3" s="1"/>
  <c r="D72" i="3"/>
  <c r="D71" i="3"/>
  <c r="I71" i="3" s="1"/>
  <c r="P71" i="3" s="1"/>
  <c r="D70" i="3"/>
  <c r="I70" i="3" s="1"/>
  <c r="D69" i="3"/>
  <c r="D68" i="3"/>
  <c r="I68" i="3" s="1"/>
  <c r="D67" i="3"/>
  <c r="D66" i="3"/>
  <c r="D65" i="3"/>
  <c r="M65" i="3" s="1"/>
  <c r="D64" i="3"/>
  <c r="D63" i="3"/>
  <c r="D62" i="3"/>
  <c r="M62" i="3" s="1"/>
  <c r="D61" i="3"/>
  <c r="M61" i="3" s="1"/>
  <c r="D60" i="3"/>
  <c r="M60" i="3" s="1"/>
  <c r="D59" i="3"/>
  <c r="D58" i="3"/>
  <c r="M58" i="3" s="1"/>
  <c r="T58" i="3" s="1"/>
  <c r="D57" i="3"/>
  <c r="D56" i="3"/>
  <c r="M56" i="3" s="1"/>
  <c r="D55" i="3"/>
  <c r="H55" i="3" s="1"/>
  <c r="D54" i="3"/>
  <c r="D53" i="3"/>
  <c r="I53" i="3" s="1"/>
  <c r="P53" i="3" s="1"/>
  <c r="D52" i="3"/>
  <c r="M52" i="3" s="1"/>
  <c r="D51" i="3"/>
  <c r="H51" i="3" s="1"/>
  <c r="D50" i="3"/>
  <c r="D49" i="3"/>
  <c r="D48" i="3"/>
  <c r="D47" i="3"/>
  <c r="I47" i="3" s="1"/>
  <c r="D46" i="3"/>
  <c r="I46" i="3" s="1"/>
  <c r="D45" i="3"/>
  <c r="D44" i="3"/>
  <c r="I44" i="3" s="1"/>
  <c r="D43" i="3"/>
  <c r="I43" i="3" s="1"/>
  <c r="D42" i="3"/>
  <c r="M42" i="3" s="1"/>
  <c r="T42" i="3" s="1"/>
  <c r="D41" i="3"/>
  <c r="M41" i="3" s="1"/>
  <c r="D40" i="3"/>
  <c r="M40" i="3" s="1"/>
  <c r="D39" i="3"/>
  <c r="I39" i="3" s="1"/>
  <c r="P39" i="3" s="1"/>
  <c r="D38" i="3"/>
  <c r="D37" i="3"/>
  <c r="M37" i="3" s="1"/>
  <c r="D36" i="3"/>
  <c r="M36" i="3" s="1"/>
  <c r="D35" i="3"/>
  <c r="H35" i="3" s="1"/>
  <c r="D34" i="3"/>
  <c r="D33" i="3"/>
  <c r="M33" i="3" s="1"/>
  <c r="D32" i="3"/>
  <c r="D31" i="3"/>
  <c r="D30" i="3"/>
  <c r="H30" i="3" s="1"/>
  <c r="D29" i="3"/>
  <c r="D28" i="3"/>
  <c r="M28" i="3" s="1"/>
  <c r="T28" i="3" s="1"/>
  <c r="D27" i="3"/>
  <c r="M27" i="3" s="1"/>
  <c r="D26" i="3"/>
  <c r="H26" i="3" s="1"/>
  <c r="D25" i="3"/>
  <c r="D24" i="3"/>
  <c r="I24" i="3" s="1"/>
  <c r="D23" i="3"/>
  <c r="I23" i="3" s="1"/>
  <c r="D22" i="3"/>
  <c r="M22" i="3" s="1"/>
  <c r="T22" i="3" s="1"/>
  <c r="D21" i="3"/>
  <c r="M21" i="3" s="1"/>
  <c r="D20" i="3"/>
  <c r="M20" i="3" s="1"/>
  <c r="D19" i="3"/>
  <c r="I19" i="3" s="1"/>
  <c r="D18" i="3"/>
  <c r="H18" i="3" s="1"/>
  <c r="D17" i="3"/>
  <c r="I17" i="3" s="1"/>
  <c r="D16" i="3"/>
  <c r="M16" i="3" s="1"/>
  <c r="T16" i="3" s="1"/>
  <c r="D15" i="3"/>
  <c r="I15" i="3" s="1"/>
  <c r="P15" i="3" s="1"/>
  <c r="D14" i="3"/>
  <c r="D13" i="3"/>
  <c r="I13" i="3" s="1"/>
  <c r="D12" i="3"/>
  <c r="D11" i="3"/>
  <c r="D10" i="3"/>
  <c r="M10" i="3" s="1"/>
  <c r="D9" i="3"/>
  <c r="D8" i="3"/>
  <c r="I8" i="3" s="1"/>
  <c r="P8" i="3" s="1"/>
  <c r="D7" i="3"/>
  <c r="M7" i="3" s="1"/>
  <c r="D6" i="3"/>
  <c r="I6" i="3" s="1"/>
  <c r="P6" i="3" s="1"/>
  <c r="D5" i="3"/>
  <c r="D4" i="3"/>
  <c r="D3" i="3"/>
  <c r="I3" i="3" s="1"/>
  <c r="P3" i="3" s="1"/>
  <c r="D2" i="3"/>
  <c r="M2" i="3" s="1"/>
  <c r="M85" i="2"/>
  <c r="M84" i="2"/>
  <c r="T84" i="2" s="1"/>
  <c r="M82" i="2"/>
  <c r="M80" i="2"/>
  <c r="M79" i="2"/>
  <c r="M76" i="2"/>
  <c r="M75" i="2"/>
  <c r="M74" i="2"/>
  <c r="M62" i="2"/>
  <c r="M61" i="2"/>
  <c r="T61" i="2" s="1"/>
  <c r="M60" i="2"/>
  <c r="M58" i="2"/>
  <c r="M57" i="2"/>
  <c r="T57" i="2" s="1"/>
  <c r="M56" i="2"/>
  <c r="T56" i="2" s="1"/>
  <c r="M55" i="2"/>
  <c r="M54" i="2"/>
  <c r="T54" i="2" s="1"/>
  <c r="M48" i="2"/>
  <c r="M42" i="2"/>
  <c r="M41" i="2"/>
  <c r="M40" i="2"/>
  <c r="M37" i="2"/>
  <c r="M36" i="2"/>
  <c r="M35" i="2"/>
  <c r="M34" i="2"/>
  <c r="M33" i="2"/>
  <c r="M28" i="2"/>
  <c r="M22" i="2"/>
  <c r="M19" i="2"/>
  <c r="T19" i="2" s="1"/>
  <c r="M17" i="2"/>
  <c r="M14" i="2"/>
  <c r="M13" i="2"/>
  <c r="T13" i="2" s="1"/>
  <c r="M2" i="2"/>
  <c r="I85" i="2"/>
  <c r="I84" i="2"/>
  <c r="P84" i="2" s="1"/>
  <c r="I78" i="2"/>
  <c r="P78" i="2" s="1"/>
  <c r="I77" i="2"/>
  <c r="N77" i="2" s="1"/>
  <c r="I75" i="2"/>
  <c r="I74" i="2"/>
  <c r="I72" i="2"/>
  <c r="I70" i="2"/>
  <c r="P70" i="2" s="1"/>
  <c r="I65" i="2"/>
  <c r="I57" i="2"/>
  <c r="I55" i="2"/>
  <c r="P55" i="2" s="1"/>
  <c r="I54" i="2"/>
  <c r="I53" i="2"/>
  <c r="I52" i="2"/>
  <c r="P52" i="2" s="1"/>
  <c r="I51" i="2"/>
  <c r="I50" i="2"/>
  <c r="I49" i="2"/>
  <c r="I48" i="2"/>
  <c r="P48" i="2" s="1"/>
  <c r="I46" i="2"/>
  <c r="I38" i="2"/>
  <c r="I35" i="2"/>
  <c r="N35" i="2" s="1"/>
  <c r="I34" i="2"/>
  <c r="I32" i="2"/>
  <c r="I30" i="2"/>
  <c r="I28" i="2"/>
  <c r="I26" i="2"/>
  <c r="I25" i="2"/>
  <c r="P25" i="2" s="1"/>
  <c r="I24" i="2"/>
  <c r="P24" i="2" s="1"/>
  <c r="I19" i="2"/>
  <c r="I18" i="2"/>
  <c r="P18" i="2" s="1"/>
  <c r="I17" i="2"/>
  <c r="I13" i="2"/>
  <c r="I8" i="2"/>
  <c r="I7" i="2"/>
  <c r="P7" i="2" s="1"/>
  <c r="H88" i="2"/>
  <c r="H85" i="2"/>
  <c r="O85" i="2" s="1"/>
  <c r="H82" i="2"/>
  <c r="O82" i="2" s="1"/>
  <c r="H80" i="2"/>
  <c r="H79" i="2"/>
  <c r="H77" i="2"/>
  <c r="O77" i="2" s="1"/>
  <c r="H76" i="2"/>
  <c r="H75" i="2"/>
  <c r="H74" i="2"/>
  <c r="H73" i="2"/>
  <c r="H68" i="2"/>
  <c r="O68" i="2" s="1"/>
  <c r="H67" i="2"/>
  <c r="H62" i="2"/>
  <c r="H61" i="2"/>
  <c r="H60" i="2"/>
  <c r="H59" i="2"/>
  <c r="O59" i="2" s="1"/>
  <c r="H56" i="2"/>
  <c r="H55" i="2"/>
  <c r="H54" i="2"/>
  <c r="H53" i="2"/>
  <c r="O53" i="2" s="1"/>
  <c r="H48" i="2"/>
  <c r="H47" i="2"/>
  <c r="H42" i="2"/>
  <c r="H41" i="2"/>
  <c r="O41" i="2" s="1"/>
  <c r="H40" i="2"/>
  <c r="H39" i="2"/>
  <c r="H37" i="2"/>
  <c r="H36" i="2"/>
  <c r="O36" i="2" s="1"/>
  <c r="H35" i="2"/>
  <c r="H34" i="2"/>
  <c r="H25" i="2"/>
  <c r="H22" i="2"/>
  <c r="H21" i="2"/>
  <c r="N21" i="2" s="1"/>
  <c r="H19" i="2"/>
  <c r="N19" i="2" s="1"/>
  <c r="H17" i="2"/>
  <c r="H14" i="2"/>
  <c r="O14" i="2" s="1"/>
  <c r="H8" i="2"/>
  <c r="H7" i="2"/>
  <c r="O7" i="2" s="1"/>
  <c r="H2" i="2"/>
  <c r="D91" i="2"/>
  <c r="D90" i="2"/>
  <c r="D89" i="2"/>
  <c r="M89" i="2" s="1"/>
  <c r="D88" i="2"/>
  <c r="I88" i="2" s="1"/>
  <c r="D87" i="2"/>
  <c r="H87" i="2" s="1"/>
  <c r="D86" i="2"/>
  <c r="D85" i="2"/>
  <c r="D84" i="2"/>
  <c r="H84" i="2" s="1"/>
  <c r="O84" i="2" s="1"/>
  <c r="D83" i="2"/>
  <c r="H83" i="2" s="1"/>
  <c r="D82" i="2"/>
  <c r="I82" i="2" s="1"/>
  <c r="P82" i="2" s="1"/>
  <c r="D81" i="2"/>
  <c r="I81" i="2" s="1"/>
  <c r="P81" i="2" s="1"/>
  <c r="D80" i="2"/>
  <c r="I80" i="2" s="1"/>
  <c r="D79" i="2"/>
  <c r="I79" i="2" s="1"/>
  <c r="D78" i="2"/>
  <c r="H78" i="2" s="1"/>
  <c r="D77" i="2"/>
  <c r="M77" i="2" s="1"/>
  <c r="D76" i="2"/>
  <c r="I76" i="2" s="1"/>
  <c r="D75" i="2"/>
  <c r="D74" i="2"/>
  <c r="D73" i="2"/>
  <c r="I73" i="2" s="1"/>
  <c r="P73" i="2" s="1"/>
  <c r="D72" i="2"/>
  <c r="D71" i="2"/>
  <c r="D70" i="2"/>
  <c r="D69" i="2"/>
  <c r="D68" i="2"/>
  <c r="M68" i="2" s="1"/>
  <c r="T68" i="2" s="1"/>
  <c r="D67" i="2"/>
  <c r="I67" i="2" s="1"/>
  <c r="D66" i="2"/>
  <c r="D65" i="2"/>
  <c r="H65" i="2" s="1"/>
  <c r="D64" i="2"/>
  <c r="D63" i="2"/>
  <c r="H63" i="2" s="1"/>
  <c r="D62" i="2"/>
  <c r="I62" i="2" s="1"/>
  <c r="D61" i="2"/>
  <c r="I61" i="2" s="1"/>
  <c r="D60" i="2"/>
  <c r="I60" i="2" s="1"/>
  <c r="D59" i="2"/>
  <c r="I59" i="2" s="1"/>
  <c r="D58" i="2"/>
  <c r="I58" i="2" s="1"/>
  <c r="P58" i="2" s="1"/>
  <c r="D57" i="2"/>
  <c r="H57" i="2" s="1"/>
  <c r="D56" i="2"/>
  <c r="I56" i="2" s="1"/>
  <c r="D55" i="2"/>
  <c r="D54" i="2"/>
  <c r="D53" i="2"/>
  <c r="M53" i="2" s="1"/>
  <c r="D52" i="2"/>
  <c r="D51" i="2"/>
  <c r="D50" i="2"/>
  <c r="D49" i="2"/>
  <c r="D48" i="2"/>
  <c r="D47" i="2"/>
  <c r="M47" i="2" s="1"/>
  <c r="D46" i="2"/>
  <c r="D45" i="2"/>
  <c r="I45" i="2" s="1"/>
  <c r="P45" i="2" s="1"/>
  <c r="D44" i="2"/>
  <c r="D43" i="2"/>
  <c r="I43" i="2" s="1"/>
  <c r="P43" i="2" s="1"/>
  <c r="D42" i="2"/>
  <c r="I42" i="2" s="1"/>
  <c r="D41" i="2"/>
  <c r="I41" i="2" s="1"/>
  <c r="D40" i="2"/>
  <c r="I40" i="2" s="1"/>
  <c r="D39" i="2"/>
  <c r="I39" i="2" s="1"/>
  <c r="D38" i="2"/>
  <c r="H38" i="2" s="1"/>
  <c r="D37" i="2"/>
  <c r="I37" i="2" s="1"/>
  <c r="D36" i="2"/>
  <c r="I36" i="2" s="1"/>
  <c r="D35" i="2"/>
  <c r="D34" i="2"/>
  <c r="D33" i="2"/>
  <c r="H33" i="2" s="1"/>
  <c r="D32" i="2"/>
  <c r="D31" i="2"/>
  <c r="I31" i="2" s="1"/>
  <c r="D30" i="2"/>
  <c r="D29" i="2"/>
  <c r="H29" i="2" s="1"/>
  <c r="D28" i="2"/>
  <c r="H28" i="2" s="1"/>
  <c r="O28" i="2" s="1"/>
  <c r="D27" i="2"/>
  <c r="H27" i="2" s="1"/>
  <c r="O27" i="2" s="1"/>
  <c r="D26" i="2"/>
  <c r="D25" i="2"/>
  <c r="M25" i="2" s="1"/>
  <c r="D24" i="2"/>
  <c r="D23" i="2"/>
  <c r="H23" i="2" s="1"/>
  <c r="O23" i="2" s="1"/>
  <c r="D22" i="2"/>
  <c r="I22" i="2" s="1"/>
  <c r="D21" i="2"/>
  <c r="I21" i="2" s="1"/>
  <c r="P21" i="2" s="1"/>
  <c r="D20" i="2"/>
  <c r="D19" i="2"/>
  <c r="D18" i="2"/>
  <c r="H18" i="2" s="1"/>
  <c r="D17" i="2"/>
  <c r="D16" i="2"/>
  <c r="I16" i="2" s="1"/>
  <c r="P16" i="2" s="1"/>
  <c r="D15" i="2"/>
  <c r="I15" i="2" s="1"/>
  <c r="P15" i="2" s="1"/>
  <c r="D14" i="2"/>
  <c r="I14" i="2" s="1"/>
  <c r="P14" i="2" s="1"/>
  <c r="D13" i="2"/>
  <c r="H13" i="2" s="1"/>
  <c r="D12" i="2"/>
  <c r="D11" i="2"/>
  <c r="D10" i="2"/>
  <c r="D9" i="2"/>
  <c r="M9" i="2" s="1"/>
  <c r="T9" i="2" s="1"/>
  <c r="D8" i="2"/>
  <c r="M8" i="2" s="1"/>
  <c r="T8" i="2" s="1"/>
  <c r="D7" i="2"/>
  <c r="M7" i="2" s="1"/>
  <c r="T7" i="2" s="1"/>
  <c r="D6" i="2"/>
  <c r="D5" i="2"/>
  <c r="H5" i="2" s="1"/>
  <c r="D4" i="2"/>
  <c r="H4" i="2" s="1"/>
  <c r="O4" i="2" s="1"/>
  <c r="D3" i="2"/>
  <c r="D2" i="2"/>
  <c r="I2" i="2" s="1"/>
  <c r="N105" i="4"/>
  <c r="N106" i="4"/>
  <c r="N25" i="4"/>
  <c r="N82" i="4"/>
  <c r="N40" i="4"/>
  <c r="N41" i="4"/>
  <c r="N42" i="4"/>
  <c r="N2" i="4"/>
  <c r="N117" i="4"/>
  <c r="N119" i="4"/>
  <c r="N120" i="4"/>
  <c r="N123" i="4"/>
  <c r="N56" i="4"/>
  <c r="N99" i="4"/>
  <c r="N62" i="4"/>
  <c r="N154" i="4"/>
  <c r="N20" i="4"/>
  <c r="N134" i="4"/>
  <c r="N14" i="4"/>
  <c r="N136" i="4"/>
  <c r="N101" i="4"/>
  <c r="N139" i="4"/>
  <c r="N102" i="4"/>
  <c r="N140" i="4"/>
  <c r="N141" i="4"/>
  <c r="N96" i="4"/>
  <c r="N37" i="4"/>
  <c r="N77" i="4"/>
  <c r="N142" i="4"/>
  <c r="N157" i="4"/>
  <c r="N143" i="4"/>
  <c r="N103" i="4"/>
  <c r="N80" i="4"/>
  <c r="N22" i="4"/>
  <c r="N81" i="4"/>
  <c r="O105" i="4"/>
  <c r="O106" i="4"/>
  <c r="O25" i="4"/>
  <c r="O83" i="4"/>
  <c r="O40" i="4"/>
  <c r="O41" i="4"/>
  <c r="O42" i="4"/>
  <c r="O2" i="4"/>
  <c r="O114" i="4"/>
  <c r="O116" i="4"/>
  <c r="O117" i="4"/>
  <c r="O118" i="4"/>
  <c r="O119" i="4"/>
  <c r="O122" i="4"/>
  <c r="O123" i="4"/>
  <c r="O56" i="4"/>
  <c r="O99" i="4"/>
  <c r="O60" i="4"/>
  <c r="O94" i="4"/>
  <c r="O61" i="4"/>
  <c r="O62" i="4"/>
  <c r="O63" i="4"/>
  <c r="O19" i="4"/>
  <c r="O129" i="4"/>
  <c r="O154" i="4"/>
  <c r="O100" i="4"/>
  <c r="O20" i="4"/>
  <c r="O155" i="4"/>
  <c r="O14" i="4"/>
  <c r="O136" i="4"/>
  <c r="O156" i="4"/>
  <c r="O34" i="4"/>
  <c r="O101" i="4"/>
  <c r="O35" i="4"/>
  <c r="O139" i="4"/>
  <c r="O36" i="4"/>
  <c r="O140" i="4"/>
  <c r="O141" i="4"/>
  <c r="O96" i="4"/>
  <c r="O76" i="4"/>
  <c r="O77" i="4"/>
  <c r="O142" i="4"/>
  <c r="O157" i="4"/>
  <c r="O17" i="4"/>
  <c r="O39" i="4"/>
  <c r="O143" i="4"/>
  <c r="O97" i="4"/>
  <c r="O103" i="4"/>
  <c r="O79" i="4"/>
  <c r="O80" i="4"/>
  <c r="O81" i="4"/>
  <c r="P105" i="4"/>
  <c r="P106" i="4"/>
  <c r="P25" i="4"/>
  <c r="P82" i="4"/>
  <c r="P40" i="4"/>
  <c r="P42" i="4"/>
  <c r="P2" i="4"/>
  <c r="P114" i="4"/>
  <c r="P3" i="4"/>
  <c r="P27" i="4"/>
  <c r="P117" i="4"/>
  <c r="P120" i="4"/>
  <c r="P54" i="4"/>
  <c r="P121" i="4"/>
  <c r="P122" i="4"/>
  <c r="P123" i="4"/>
  <c r="P153" i="4"/>
  <c r="P56" i="4"/>
  <c r="P58" i="4"/>
  <c r="P99" i="4"/>
  <c r="P59" i="4"/>
  <c r="P93" i="4"/>
  <c r="P94" i="4"/>
  <c r="P33" i="4"/>
  <c r="P62" i="4"/>
  <c r="P63" i="4"/>
  <c r="P154" i="4"/>
  <c r="P100" i="4"/>
  <c r="P20" i="4"/>
  <c r="P155" i="4"/>
  <c r="P134" i="4"/>
  <c r="P14" i="4"/>
  <c r="P136" i="4"/>
  <c r="P156" i="4"/>
  <c r="P138" i="4"/>
  <c r="P34" i="4"/>
  <c r="P101" i="4"/>
  <c r="P139" i="4"/>
  <c r="P36" i="4"/>
  <c r="P102" i="4"/>
  <c r="P140" i="4"/>
  <c r="P141" i="4"/>
  <c r="P96" i="4"/>
  <c r="P16" i="4"/>
  <c r="P74" i="4"/>
  <c r="P21" i="4"/>
  <c r="P76" i="4"/>
  <c r="P77" i="4"/>
  <c r="P142" i="4"/>
  <c r="P39" i="4"/>
  <c r="P143" i="4"/>
  <c r="P103" i="4"/>
  <c r="P79" i="4"/>
  <c r="P80" i="4"/>
  <c r="P22" i="4"/>
  <c r="P81" i="4"/>
  <c r="Q105" i="4"/>
  <c r="Q106" i="4"/>
  <c r="Q25" i="4"/>
  <c r="Q82" i="4"/>
  <c r="Q107" i="4"/>
  <c r="Q83" i="4"/>
  <c r="Q84" i="4"/>
  <c r="Q147" i="4"/>
  <c r="Q40" i="4"/>
  <c r="Q85" i="4"/>
  <c r="Q148" i="4"/>
  <c r="Q149" i="4"/>
  <c r="Q108" i="4"/>
  <c r="Q41" i="4"/>
  <c r="Q42" i="4"/>
  <c r="Q86" i="4"/>
  <c r="Q87" i="4"/>
  <c r="Q23" i="4"/>
  <c r="Q26" i="4"/>
  <c r="Q88" i="4"/>
  <c r="Q109" i="4"/>
  <c r="Q2" i="4"/>
  <c r="Q110" i="4"/>
  <c r="Q111" i="4"/>
  <c r="Q89" i="4"/>
  <c r="Q43" i="4"/>
  <c r="Q150" i="4"/>
  <c r="Q90" i="4"/>
  <c r="Q91" i="4"/>
  <c r="Q112" i="4"/>
  <c r="Q113" i="4"/>
  <c r="Q98" i="4"/>
  <c r="Q114" i="4"/>
  <c r="Q3" i="4"/>
  <c r="Q4" i="4"/>
  <c r="Q115" i="4"/>
  <c r="Q44" i="4"/>
  <c r="Q5" i="4"/>
  <c r="Q24" i="4"/>
  <c r="Q45" i="4"/>
  <c r="Q116" i="4"/>
  <c r="Q46" i="4"/>
  <c r="Q27" i="4"/>
  <c r="Q117" i="4"/>
  <c r="Q47" i="4"/>
  <c r="Q48" i="4"/>
  <c r="Q18" i="4"/>
  <c r="Q118" i="4"/>
  <c r="Q119" i="4"/>
  <c r="Q28" i="4"/>
  <c r="Q29" i="4"/>
  <c r="Q120" i="4"/>
  <c r="Q30" i="4"/>
  <c r="Q49" i="4"/>
  <c r="Q50" i="4"/>
  <c r="Q51" i="4"/>
  <c r="Q151" i="4"/>
  <c r="Q52" i="4"/>
  <c r="Q53" i="4"/>
  <c r="Q54" i="4"/>
  <c r="Q152" i="4"/>
  <c r="Q121" i="4"/>
  <c r="Q122" i="4"/>
  <c r="Q123" i="4"/>
  <c r="Q92" i="4"/>
  <c r="Q153" i="4"/>
  <c r="Q55" i="4"/>
  <c r="Q31" i="4"/>
  <c r="Q56" i="4"/>
  <c r="Q57" i="4"/>
  <c r="Q58" i="4"/>
  <c r="Q99" i="4"/>
  <c r="Q59" i="4"/>
  <c r="Q124" i="4"/>
  <c r="Q60" i="4"/>
  <c r="Q32" i="4"/>
  <c r="Q93" i="4"/>
  <c r="Q94" i="4"/>
  <c r="Q61" i="4"/>
  <c r="Q95" i="4"/>
  <c r="Q125" i="4"/>
  <c r="Q6" i="4"/>
  <c r="Q33" i="4"/>
  <c r="Q62" i="4"/>
  <c r="Q63" i="4"/>
  <c r="Q126" i="4"/>
  <c r="Q19" i="4"/>
  <c r="Q127" i="4"/>
  <c r="Q64" i="4"/>
  <c r="Q128" i="4"/>
  <c r="Q129" i="4"/>
  <c r="Q65" i="4"/>
  <c r="Q130" i="4"/>
  <c r="Q66" i="4"/>
  <c r="Q131" i="4"/>
  <c r="Q12" i="4"/>
  <c r="Q132" i="4"/>
  <c r="Q154" i="4"/>
  <c r="Q133" i="4"/>
  <c r="Q67" i="4"/>
  <c r="Q68" i="4"/>
  <c r="Q69" i="4"/>
  <c r="Q100" i="4"/>
  <c r="Q20" i="4"/>
  <c r="Q155" i="4"/>
  <c r="Q13" i="4"/>
  <c r="Q134" i="4"/>
  <c r="Q135" i="4"/>
  <c r="Q14" i="4"/>
  <c r="Q136" i="4"/>
  <c r="Q7" i="4"/>
  <c r="Q137" i="4"/>
  <c r="Q156" i="4"/>
  <c r="Q138" i="4"/>
  <c r="Q34" i="4"/>
  <c r="Q15" i="4"/>
  <c r="Q70" i="4"/>
  <c r="Q101" i="4"/>
  <c r="Q35" i="4"/>
  <c r="Q139" i="4"/>
  <c r="Q36" i="4"/>
  <c r="Q71" i="4"/>
  <c r="Q102" i="4"/>
  <c r="Q140" i="4"/>
  <c r="Q141" i="4"/>
  <c r="Q72" i="4"/>
  <c r="Q96" i="4"/>
  <c r="Q8" i="4"/>
  <c r="Q73" i="4"/>
  <c r="Q37" i="4"/>
  <c r="Q38" i="4"/>
  <c r="Q16" i="4"/>
  <c r="Q74" i="4"/>
  <c r="Q75" i="4"/>
  <c r="Q21" i="4"/>
  <c r="Q76" i="4"/>
  <c r="Q77" i="4"/>
  <c r="Q142" i="4"/>
  <c r="Q157" i="4"/>
  <c r="Q17" i="4"/>
  <c r="Q78" i="4"/>
  <c r="Q39" i="4"/>
  <c r="Q9" i="4"/>
  <c r="Q143" i="4"/>
  <c r="Q144" i="4"/>
  <c r="Q10" i="4"/>
  <c r="Q97" i="4"/>
  <c r="Q145" i="4"/>
  <c r="Q103" i="4"/>
  <c r="Q146" i="4"/>
  <c r="Q11" i="4"/>
  <c r="Q104" i="4"/>
  <c r="Q79" i="4"/>
  <c r="Q80" i="4"/>
  <c r="Q22" i="4"/>
  <c r="Q81" i="4"/>
  <c r="R105" i="4"/>
  <c r="R106" i="4"/>
  <c r="R25" i="4"/>
  <c r="R82" i="4"/>
  <c r="R107" i="4"/>
  <c r="R83" i="4"/>
  <c r="R84" i="4"/>
  <c r="R147" i="4"/>
  <c r="R40" i="4"/>
  <c r="R85" i="4"/>
  <c r="R148" i="4"/>
  <c r="R149" i="4"/>
  <c r="R108" i="4"/>
  <c r="R41" i="4"/>
  <c r="R42" i="4"/>
  <c r="R86" i="4"/>
  <c r="R87" i="4"/>
  <c r="R23" i="4"/>
  <c r="R26" i="4"/>
  <c r="R88" i="4"/>
  <c r="R109" i="4"/>
  <c r="R2" i="4"/>
  <c r="R110" i="4"/>
  <c r="R111" i="4"/>
  <c r="R89" i="4"/>
  <c r="R43" i="4"/>
  <c r="R150" i="4"/>
  <c r="R90" i="4"/>
  <c r="R91" i="4"/>
  <c r="R112" i="4"/>
  <c r="R113" i="4"/>
  <c r="R98" i="4"/>
  <c r="R114" i="4"/>
  <c r="R3" i="4"/>
  <c r="R4" i="4"/>
  <c r="R115" i="4"/>
  <c r="R44" i="4"/>
  <c r="R5" i="4"/>
  <c r="R24" i="4"/>
  <c r="R45" i="4"/>
  <c r="R116" i="4"/>
  <c r="R46" i="4"/>
  <c r="R27" i="4"/>
  <c r="R117" i="4"/>
  <c r="R47" i="4"/>
  <c r="R48" i="4"/>
  <c r="R18" i="4"/>
  <c r="R118" i="4"/>
  <c r="R119" i="4"/>
  <c r="R28" i="4"/>
  <c r="R29" i="4"/>
  <c r="R120" i="4"/>
  <c r="R30" i="4"/>
  <c r="R49" i="4"/>
  <c r="R50" i="4"/>
  <c r="R51" i="4"/>
  <c r="R151" i="4"/>
  <c r="R52" i="4"/>
  <c r="R53" i="4"/>
  <c r="R54" i="4"/>
  <c r="R152" i="4"/>
  <c r="R121" i="4"/>
  <c r="R122" i="4"/>
  <c r="R123" i="4"/>
  <c r="R92" i="4"/>
  <c r="R153" i="4"/>
  <c r="R55" i="4"/>
  <c r="R31" i="4"/>
  <c r="R56" i="4"/>
  <c r="R57" i="4"/>
  <c r="R58" i="4"/>
  <c r="R99" i="4"/>
  <c r="R59" i="4"/>
  <c r="R124" i="4"/>
  <c r="R60" i="4"/>
  <c r="R32" i="4"/>
  <c r="R93" i="4"/>
  <c r="R94" i="4"/>
  <c r="R61" i="4"/>
  <c r="R95" i="4"/>
  <c r="R125" i="4"/>
  <c r="R6" i="4"/>
  <c r="R33" i="4"/>
  <c r="R62" i="4"/>
  <c r="R63" i="4"/>
  <c r="R126" i="4"/>
  <c r="R19" i="4"/>
  <c r="R127" i="4"/>
  <c r="R64" i="4"/>
  <c r="R128" i="4"/>
  <c r="R129" i="4"/>
  <c r="R65" i="4"/>
  <c r="R130" i="4"/>
  <c r="R66" i="4"/>
  <c r="R131" i="4"/>
  <c r="R12" i="4"/>
  <c r="R132" i="4"/>
  <c r="R154" i="4"/>
  <c r="R133" i="4"/>
  <c r="R67" i="4"/>
  <c r="R68" i="4"/>
  <c r="R69" i="4"/>
  <c r="R100" i="4"/>
  <c r="R20" i="4"/>
  <c r="R155" i="4"/>
  <c r="R13" i="4"/>
  <c r="R134" i="4"/>
  <c r="R135" i="4"/>
  <c r="R14" i="4"/>
  <c r="R136" i="4"/>
  <c r="R7" i="4"/>
  <c r="R137" i="4"/>
  <c r="R156" i="4"/>
  <c r="R138" i="4"/>
  <c r="R34" i="4"/>
  <c r="R15" i="4"/>
  <c r="R70" i="4"/>
  <c r="R101" i="4"/>
  <c r="R35" i="4"/>
  <c r="R139" i="4"/>
  <c r="R36" i="4"/>
  <c r="R71" i="4"/>
  <c r="R102" i="4"/>
  <c r="R140" i="4"/>
  <c r="R141" i="4"/>
  <c r="R72" i="4"/>
  <c r="R96" i="4"/>
  <c r="R8" i="4"/>
  <c r="R73" i="4"/>
  <c r="R37" i="4"/>
  <c r="R38" i="4"/>
  <c r="R16" i="4"/>
  <c r="R74" i="4"/>
  <c r="R75" i="4"/>
  <c r="R21" i="4"/>
  <c r="R76" i="4"/>
  <c r="R77" i="4"/>
  <c r="R142" i="4"/>
  <c r="R157" i="4"/>
  <c r="R17" i="4"/>
  <c r="R78" i="4"/>
  <c r="R39" i="4"/>
  <c r="R9" i="4"/>
  <c r="R143" i="4"/>
  <c r="R144" i="4"/>
  <c r="R10" i="4"/>
  <c r="R97" i="4"/>
  <c r="R145" i="4"/>
  <c r="R103" i="4"/>
  <c r="R146" i="4"/>
  <c r="R11" i="4"/>
  <c r="R104" i="4"/>
  <c r="R79" i="4"/>
  <c r="R80" i="4"/>
  <c r="R22" i="4"/>
  <c r="R81" i="4"/>
  <c r="S105" i="4"/>
  <c r="S106" i="4"/>
  <c r="S25" i="4"/>
  <c r="S82" i="4"/>
  <c r="S107" i="4"/>
  <c r="S83" i="4"/>
  <c r="S84" i="4"/>
  <c r="S147" i="4"/>
  <c r="S40" i="4"/>
  <c r="S85" i="4"/>
  <c r="S148" i="4"/>
  <c r="S149" i="4"/>
  <c r="S108" i="4"/>
  <c r="S41" i="4"/>
  <c r="S42" i="4"/>
  <c r="S86" i="4"/>
  <c r="S87" i="4"/>
  <c r="S23" i="4"/>
  <c r="S26" i="4"/>
  <c r="S88" i="4"/>
  <c r="S109" i="4"/>
  <c r="S2" i="4"/>
  <c r="S110" i="4"/>
  <c r="S111" i="4"/>
  <c r="S89" i="4"/>
  <c r="S43" i="4"/>
  <c r="S150" i="4"/>
  <c r="S90" i="4"/>
  <c r="S91" i="4"/>
  <c r="S112" i="4"/>
  <c r="S113" i="4"/>
  <c r="S98" i="4"/>
  <c r="S114" i="4"/>
  <c r="S3" i="4"/>
  <c r="S4" i="4"/>
  <c r="S115" i="4"/>
  <c r="S44" i="4"/>
  <c r="S5" i="4"/>
  <c r="S24" i="4"/>
  <c r="S45" i="4"/>
  <c r="S116" i="4"/>
  <c r="S46" i="4"/>
  <c r="S27" i="4"/>
  <c r="S117" i="4"/>
  <c r="S47" i="4"/>
  <c r="S48" i="4"/>
  <c r="S18" i="4"/>
  <c r="S118" i="4"/>
  <c r="S119" i="4"/>
  <c r="S28" i="4"/>
  <c r="S29" i="4"/>
  <c r="S120" i="4"/>
  <c r="S30" i="4"/>
  <c r="S49" i="4"/>
  <c r="S50" i="4"/>
  <c r="S51" i="4"/>
  <c r="S151" i="4"/>
  <c r="S52" i="4"/>
  <c r="S53" i="4"/>
  <c r="S54" i="4"/>
  <c r="S152" i="4"/>
  <c r="S121" i="4"/>
  <c r="S122" i="4"/>
  <c r="S123" i="4"/>
  <c r="S92" i="4"/>
  <c r="S153" i="4"/>
  <c r="S55" i="4"/>
  <c r="S31" i="4"/>
  <c r="S56" i="4"/>
  <c r="S57" i="4"/>
  <c r="S58" i="4"/>
  <c r="S99" i="4"/>
  <c r="S59" i="4"/>
  <c r="S124" i="4"/>
  <c r="S60" i="4"/>
  <c r="S32" i="4"/>
  <c r="S93" i="4"/>
  <c r="S94" i="4"/>
  <c r="S61" i="4"/>
  <c r="S95" i="4"/>
  <c r="S125" i="4"/>
  <c r="S6" i="4"/>
  <c r="S33" i="4"/>
  <c r="S62" i="4"/>
  <c r="S63" i="4"/>
  <c r="S126" i="4"/>
  <c r="S19" i="4"/>
  <c r="S127" i="4"/>
  <c r="S64" i="4"/>
  <c r="S128" i="4"/>
  <c r="S129" i="4"/>
  <c r="S65" i="4"/>
  <c r="S130" i="4"/>
  <c r="S66" i="4"/>
  <c r="S131" i="4"/>
  <c r="S12" i="4"/>
  <c r="S132" i="4"/>
  <c r="S154" i="4"/>
  <c r="S133" i="4"/>
  <c r="S67" i="4"/>
  <c r="S68" i="4"/>
  <c r="S69" i="4"/>
  <c r="S100" i="4"/>
  <c r="S20" i="4"/>
  <c r="S155" i="4"/>
  <c r="S13" i="4"/>
  <c r="S134" i="4"/>
  <c r="S135" i="4"/>
  <c r="S14" i="4"/>
  <c r="S136" i="4"/>
  <c r="S7" i="4"/>
  <c r="S137" i="4"/>
  <c r="S156" i="4"/>
  <c r="S138" i="4"/>
  <c r="S34" i="4"/>
  <c r="S15" i="4"/>
  <c r="S70" i="4"/>
  <c r="S101" i="4"/>
  <c r="S35" i="4"/>
  <c r="S139" i="4"/>
  <c r="S36" i="4"/>
  <c r="S71" i="4"/>
  <c r="S102" i="4"/>
  <c r="S140" i="4"/>
  <c r="S141" i="4"/>
  <c r="S72" i="4"/>
  <c r="S96" i="4"/>
  <c r="S8" i="4"/>
  <c r="S73" i="4"/>
  <c r="S37" i="4"/>
  <c r="S38" i="4"/>
  <c r="S16" i="4"/>
  <c r="S74" i="4"/>
  <c r="S75" i="4"/>
  <c r="S21" i="4"/>
  <c r="S76" i="4"/>
  <c r="S77" i="4"/>
  <c r="S142" i="4"/>
  <c r="S157" i="4"/>
  <c r="S17" i="4"/>
  <c r="S78" i="4"/>
  <c r="S39" i="4"/>
  <c r="S9" i="4"/>
  <c r="S143" i="4"/>
  <c r="S144" i="4"/>
  <c r="S10" i="4"/>
  <c r="S97" i="4"/>
  <c r="S145" i="4"/>
  <c r="S103" i="4"/>
  <c r="S146" i="4"/>
  <c r="S11" i="4"/>
  <c r="S104" i="4"/>
  <c r="S79" i="4"/>
  <c r="S80" i="4"/>
  <c r="S22" i="4"/>
  <c r="S81" i="4"/>
  <c r="T105" i="4"/>
  <c r="T106" i="4"/>
  <c r="T25" i="4"/>
  <c r="T82" i="4"/>
  <c r="T40" i="4"/>
  <c r="T41" i="4"/>
  <c r="T42" i="4"/>
  <c r="T114" i="4"/>
  <c r="T116" i="4"/>
  <c r="T117" i="4"/>
  <c r="T119" i="4"/>
  <c r="T54" i="4"/>
  <c r="T121" i="4"/>
  <c r="T122" i="4"/>
  <c r="T153" i="4"/>
  <c r="T31" i="4"/>
  <c r="T56" i="4"/>
  <c r="T60" i="4"/>
  <c r="T94" i="4"/>
  <c r="T61" i="4"/>
  <c r="T62" i="4"/>
  <c r="T63" i="4"/>
  <c r="T19" i="4"/>
  <c r="T133" i="4"/>
  <c r="T100" i="4"/>
  <c r="T20" i="4"/>
  <c r="T155" i="4"/>
  <c r="T134" i="4"/>
  <c r="T14" i="4"/>
  <c r="T136" i="4"/>
  <c r="T156" i="4"/>
  <c r="T138" i="4"/>
  <c r="T101" i="4"/>
  <c r="T139" i="4"/>
  <c r="T36" i="4"/>
  <c r="T102" i="4"/>
  <c r="T141" i="4"/>
  <c r="T96" i="4"/>
  <c r="T74" i="4"/>
  <c r="T76" i="4"/>
  <c r="T77" i="4"/>
  <c r="T157" i="4"/>
  <c r="T39" i="4"/>
  <c r="T143" i="4"/>
  <c r="T97" i="4"/>
  <c r="T103" i="4"/>
  <c r="T79" i="4"/>
  <c r="T22" i="4"/>
  <c r="N104" i="3"/>
  <c r="N106" i="3"/>
  <c r="N107" i="3"/>
  <c r="N108" i="3"/>
  <c r="N109" i="3"/>
  <c r="N87" i="3"/>
  <c r="N88" i="3"/>
  <c r="N89" i="3"/>
  <c r="N90" i="3"/>
  <c r="N110" i="3"/>
  <c r="N4" i="3"/>
  <c r="N52" i="3"/>
  <c r="N92" i="3"/>
  <c r="N7" i="3"/>
  <c r="N64" i="3"/>
  <c r="N97" i="3"/>
  <c r="N44" i="3"/>
  <c r="N9" i="3"/>
  <c r="N68" i="3"/>
  <c r="N12" i="3"/>
  <c r="N70" i="3"/>
  <c r="N137" i="3"/>
  <c r="N72" i="3"/>
  <c r="N47" i="3"/>
  <c r="N129" i="3"/>
  <c r="O26" i="3"/>
  <c r="O105" i="3"/>
  <c r="O84" i="3"/>
  <c r="O108" i="3"/>
  <c r="O130" i="3"/>
  <c r="O131" i="3"/>
  <c r="O109" i="3"/>
  <c r="O87" i="3"/>
  <c r="O28" i="3"/>
  <c r="O88" i="3"/>
  <c r="O89" i="3"/>
  <c r="O49" i="3"/>
  <c r="O110" i="3"/>
  <c r="O4" i="3"/>
  <c r="O50" i="3"/>
  <c r="O52" i="3"/>
  <c r="O112" i="3"/>
  <c r="O113" i="3"/>
  <c r="O92" i="3"/>
  <c r="O117" i="3"/>
  <c r="O7" i="3"/>
  <c r="O135" i="3"/>
  <c r="O64" i="3"/>
  <c r="O30" i="3"/>
  <c r="O99" i="3"/>
  <c r="O66" i="3"/>
  <c r="O67" i="3"/>
  <c r="O69" i="3"/>
  <c r="O12" i="3"/>
  <c r="O45" i="3"/>
  <c r="O70" i="3"/>
  <c r="O137" i="3"/>
  <c r="O72" i="3"/>
  <c r="O73" i="3"/>
  <c r="O47" i="3"/>
  <c r="O94" i="3"/>
  <c r="O124" i="3"/>
  <c r="O14" i="3"/>
  <c r="O23" i="3"/>
  <c r="O25" i="3"/>
  <c r="O128" i="3"/>
  <c r="P48" i="3"/>
  <c r="P104" i="3"/>
  <c r="P105" i="3"/>
  <c r="P106" i="3"/>
  <c r="P107" i="3"/>
  <c r="P83" i="3"/>
  <c r="P85" i="3"/>
  <c r="P108" i="3"/>
  <c r="P130" i="3"/>
  <c r="P109" i="3"/>
  <c r="P87" i="3"/>
  <c r="P28" i="3"/>
  <c r="P89" i="3"/>
  <c r="P90" i="3"/>
  <c r="P110" i="3"/>
  <c r="P4" i="3"/>
  <c r="P52" i="3"/>
  <c r="P5" i="3"/>
  <c r="P92" i="3"/>
  <c r="P57" i="3"/>
  <c r="P7" i="3"/>
  <c r="P93" i="3"/>
  <c r="P29" i="3"/>
  <c r="P119" i="3"/>
  <c r="P43" i="3"/>
  <c r="P64" i="3"/>
  <c r="P97" i="3"/>
  <c r="P31" i="3"/>
  <c r="P44" i="3"/>
  <c r="P9" i="3"/>
  <c r="P32" i="3"/>
  <c r="P65" i="3"/>
  <c r="P67" i="3"/>
  <c r="P68" i="3"/>
  <c r="P69" i="3"/>
  <c r="P12" i="3"/>
  <c r="P45" i="3"/>
  <c r="P123" i="3"/>
  <c r="P70" i="3"/>
  <c r="P137" i="3"/>
  <c r="P72" i="3"/>
  <c r="P13" i="3"/>
  <c r="P46" i="3"/>
  <c r="P47" i="3"/>
  <c r="P125" i="3"/>
  <c r="P24" i="3"/>
  <c r="P17" i="3"/>
  <c r="P127" i="3"/>
  <c r="P129" i="3"/>
  <c r="Q48" i="3"/>
  <c r="Q35" i="3"/>
  <c r="Q26" i="3"/>
  <c r="Q104" i="3"/>
  <c r="Q105" i="3"/>
  <c r="Q106" i="3"/>
  <c r="Q107" i="3"/>
  <c r="Q83" i="3"/>
  <c r="Q84" i="3"/>
  <c r="Q85" i="3"/>
  <c r="Q108" i="3"/>
  <c r="Q130" i="3"/>
  <c r="Q27" i="3"/>
  <c r="Q131" i="3"/>
  <c r="Q109" i="3"/>
  <c r="Q86" i="3"/>
  <c r="Q87" i="3"/>
  <c r="Q2" i="3"/>
  <c r="Q28" i="3"/>
  <c r="Q88" i="3"/>
  <c r="Q3" i="3"/>
  <c r="Q89" i="3"/>
  <c r="Q90" i="3"/>
  <c r="Q36" i="3"/>
  <c r="Q91" i="3"/>
  <c r="Q49" i="3"/>
  <c r="Q110" i="3"/>
  <c r="Q4" i="3"/>
  <c r="Q50" i="3"/>
  <c r="Q51" i="3"/>
  <c r="Q37" i="3"/>
  <c r="Q52" i="3"/>
  <c r="Q5" i="3"/>
  <c r="Q38" i="3"/>
  <c r="Q53" i="3"/>
  <c r="Q111" i="3"/>
  <c r="Q54" i="3"/>
  <c r="Q112" i="3"/>
  <c r="Q55" i="3"/>
  <c r="Q56" i="3"/>
  <c r="Q113" i="3"/>
  <c r="Q39" i="3"/>
  <c r="Q114" i="3"/>
  <c r="Q92" i="3"/>
  <c r="Q57" i="3"/>
  <c r="Q132" i="3"/>
  <c r="Q6" i="3"/>
  <c r="Q133" i="3"/>
  <c r="Q40" i="3"/>
  <c r="Q115" i="3"/>
  <c r="Q134" i="3"/>
  <c r="Q58" i="3"/>
  <c r="Q18" i="3"/>
  <c r="Q59" i="3"/>
  <c r="Q116" i="3"/>
  <c r="Q60" i="3"/>
  <c r="Q117" i="3"/>
  <c r="Q95" i="3"/>
  <c r="Q7" i="3"/>
  <c r="Q93" i="3"/>
  <c r="Q29" i="3"/>
  <c r="Q118" i="3"/>
  <c r="Q61" i="3"/>
  <c r="Q41" i="3"/>
  <c r="Q96" i="3"/>
  <c r="Q8" i="3"/>
  <c r="Q42" i="3"/>
  <c r="Q19" i="3"/>
  <c r="Q62" i="3"/>
  <c r="Q135" i="3"/>
  <c r="Q119" i="3"/>
  <c r="Q43" i="3"/>
  <c r="Q63" i="3"/>
  <c r="Q64" i="3"/>
  <c r="Q97" i="3"/>
  <c r="Q120" i="3"/>
  <c r="Q30" i="3"/>
  <c r="Q31" i="3"/>
  <c r="Q44" i="3"/>
  <c r="Q121" i="3"/>
  <c r="Q98" i="3"/>
  <c r="Q9" i="3"/>
  <c r="Q99" i="3"/>
  <c r="Q32" i="3"/>
  <c r="Q100" i="3"/>
  <c r="Q65" i="3"/>
  <c r="Q10" i="3"/>
  <c r="Q11" i="3"/>
  <c r="Q66" i="3"/>
  <c r="Q122" i="3"/>
  <c r="Q67" i="3"/>
  <c r="Q33" i="3"/>
  <c r="Q101" i="3"/>
  <c r="Q68" i="3"/>
  <c r="Q69" i="3"/>
  <c r="Q136" i="3"/>
  <c r="Q12" i="3"/>
  <c r="Q102" i="3"/>
  <c r="Q45" i="3"/>
  <c r="Q123" i="3"/>
  <c r="Q20" i="3"/>
  <c r="Q70" i="3"/>
  <c r="Q71" i="3"/>
  <c r="Q137" i="3"/>
  <c r="Q72" i="3"/>
  <c r="Q13" i="3"/>
  <c r="Q73" i="3"/>
  <c r="Q46" i="3"/>
  <c r="Q74" i="3"/>
  <c r="Q138" i="3"/>
  <c r="Q75" i="3"/>
  <c r="Q47" i="3"/>
  <c r="Q94" i="3"/>
  <c r="Q124" i="3"/>
  <c r="Q76" i="3"/>
  <c r="Q125" i="3"/>
  <c r="Q77" i="3"/>
  <c r="Q78" i="3"/>
  <c r="Q14" i="3"/>
  <c r="Q34" i="3"/>
  <c r="Q103" i="3"/>
  <c r="Q139" i="3"/>
  <c r="Q140" i="3"/>
  <c r="Q79" i="3"/>
  <c r="Q126" i="3"/>
  <c r="Q15" i="3"/>
  <c r="Q16" i="3"/>
  <c r="Q21" i="3"/>
  <c r="Q80" i="3"/>
  <c r="Q22" i="3"/>
  <c r="Q23" i="3"/>
  <c r="Q24" i="3"/>
  <c r="Q17" i="3"/>
  <c r="Q25" i="3"/>
  <c r="Q127" i="3"/>
  <c r="Q81" i="3"/>
  <c r="Q128" i="3"/>
  <c r="Q82" i="3"/>
  <c r="Q129" i="3"/>
  <c r="Q141" i="3"/>
  <c r="R48" i="3"/>
  <c r="R35" i="3"/>
  <c r="R26" i="3"/>
  <c r="R104" i="3"/>
  <c r="R105" i="3"/>
  <c r="R106" i="3"/>
  <c r="R107" i="3"/>
  <c r="R83" i="3"/>
  <c r="R84" i="3"/>
  <c r="R85" i="3"/>
  <c r="R108" i="3"/>
  <c r="R130" i="3"/>
  <c r="R27" i="3"/>
  <c r="R131" i="3"/>
  <c r="R109" i="3"/>
  <c r="R86" i="3"/>
  <c r="R87" i="3"/>
  <c r="R2" i="3"/>
  <c r="R28" i="3"/>
  <c r="R88" i="3"/>
  <c r="R3" i="3"/>
  <c r="R89" i="3"/>
  <c r="R90" i="3"/>
  <c r="R36" i="3"/>
  <c r="R91" i="3"/>
  <c r="R49" i="3"/>
  <c r="R110" i="3"/>
  <c r="R4" i="3"/>
  <c r="R50" i="3"/>
  <c r="R51" i="3"/>
  <c r="R37" i="3"/>
  <c r="R52" i="3"/>
  <c r="R5" i="3"/>
  <c r="R38" i="3"/>
  <c r="R53" i="3"/>
  <c r="R111" i="3"/>
  <c r="R54" i="3"/>
  <c r="R112" i="3"/>
  <c r="R55" i="3"/>
  <c r="R56" i="3"/>
  <c r="R113" i="3"/>
  <c r="R39" i="3"/>
  <c r="R114" i="3"/>
  <c r="R92" i="3"/>
  <c r="R57" i="3"/>
  <c r="R132" i="3"/>
  <c r="R6" i="3"/>
  <c r="R133" i="3"/>
  <c r="R40" i="3"/>
  <c r="R115" i="3"/>
  <c r="R134" i="3"/>
  <c r="R58" i="3"/>
  <c r="R18" i="3"/>
  <c r="R59" i="3"/>
  <c r="R116" i="3"/>
  <c r="R60" i="3"/>
  <c r="R117" i="3"/>
  <c r="R95" i="3"/>
  <c r="R7" i="3"/>
  <c r="R93" i="3"/>
  <c r="R29" i="3"/>
  <c r="R118" i="3"/>
  <c r="R61" i="3"/>
  <c r="R41" i="3"/>
  <c r="R96" i="3"/>
  <c r="R8" i="3"/>
  <c r="R42" i="3"/>
  <c r="R19" i="3"/>
  <c r="R62" i="3"/>
  <c r="R135" i="3"/>
  <c r="R119" i="3"/>
  <c r="R43" i="3"/>
  <c r="R63" i="3"/>
  <c r="R64" i="3"/>
  <c r="R97" i="3"/>
  <c r="R120" i="3"/>
  <c r="R30" i="3"/>
  <c r="R31" i="3"/>
  <c r="R44" i="3"/>
  <c r="R121" i="3"/>
  <c r="R98" i="3"/>
  <c r="R9" i="3"/>
  <c r="R99" i="3"/>
  <c r="R32" i="3"/>
  <c r="R100" i="3"/>
  <c r="R65" i="3"/>
  <c r="R10" i="3"/>
  <c r="R11" i="3"/>
  <c r="R66" i="3"/>
  <c r="R122" i="3"/>
  <c r="R67" i="3"/>
  <c r="R33" i="3"/>
  <c r="R101" i="3"/>
  <c r="R68" i="3"/>
  <c r="R69" i="3"/>
  <c r="R136" i="3"/>
  <c r="R12" i="3"/>
  <c r="R102" i="3"/>
  <c r="R45" i="3"/>
  <c r="R123" i="3"/>
  <c r="R20" i="3"/>
  <c r="R70" i="3"/>
  <c r="R71" i="3"/>
  <c r="R137" i="3"/>
  <c r="R72" i="3"/>
  <c r="R13" i="3"/>
  <c r="R73" i="3"/>
  <c r="R46" i="3"/>
  <c r="R74" i="3"/>
  <c r="R138" i="3"/>
  <c r="R75" i="3"/>
  <c r="R47" i="3"/>
  <c r="R94" i="3"/>
  <c r="R124" i="3"/>
  <c r="R76" i="3"/>
  <c r="R125" i="3"/>
  <c r="R77" i="3"/>
  <c r="R78" i="3"/>
  <c r="R14" i="3"/>
  <c r="R34" i="3"/>
  <c r="R103" i="3"/>
  <c r="R139" i="3"/>
  <c r="R140" i="3"/>
  <c r="R79" i="3"/>
  <c r="R126" i="3"/>
  <c r="R15" i="3"/>
  <c r="R16" i="3"/>
  <c r="R21" i="3"/>
  <c r="R80" i="3"/>
  <c r="R22" i="3"/>
  <c r="R23" i="3"/>
  <c r="R24" i="3"/>
  <c r="R17" i="3"/>
  <c r="R25" i="3"/>
  <c r="R127" i="3"/>
  <c r="R81" i="3"/>
  <c r="R128" i="3"/>
  <c r="R82" i="3"/>
  <c r="R129" i="3"/>
  <c r="R141" i="3"/>
  <c r="S48" i="3"/>
  <c r="S35" i="3"/>
  <c r="S26" i="3"/>
  <c r="S104" i="3"/>
  <c r="S105" i="3"/>
  <c r="S106" i="3"/>
  <c r="S107" i="3"/>
  <c r="S83" i="3"/>
  <c r="S84" i="3"/>
  <c r="S85" i="3"/>
  <c r="S108" i="3"/>
  <c r="S130" i="3"/>
  <c r="S27" i="3"/>
  <c r="S131" i="3"/>
  <c r="S109" i="3"/>
  <c r="S86" i="3"/>
  <c r="S87" i="3"/>
  <c r="S2" i="3"/>
  <c r="S28" i="3"/>
  <c r="S88" i="3"/>
  <c r="S3" i="3"/>
  <c r="S89" i="3"/>
  <c r="S90" i="3"/>
  <c r="S36" i="3"/>
  <c r="S91" i="3"/>
  <c r="S49" i="3"/>
  <c r="S110" i="3"/>
  <c r="S4" i="3"/>
  <c r="S50" i="3"/>
  <c r="S51" i="3"/>
  <c r="S37" i="3"/>
  <c r="S52" i="3"/>
  <c r="S5" i="3"/>
  <c r="S38" i="3"/>
  <c r="S53" i="3"/>
  <c r="S111" i="3"/>
  <c r="S54" i="3"/>
  <c r="S112" i="3"/>
  <c r="S55" i="3"/>
  <c r="S56" i="3"/>
  <c r="S113" i="3"/>
  <c r="S39" i="3"/>
  <c r="S114" i="3"/>
  <c r="S92" i="3"/>
  <c r="S57" i="3"/>
  <c r="S132" i="3"/>
  <c r="S6" i="3"/>
  <c r="S133" i="3"/>
  <c r="S40" i="3"/>
  <c r="S115" i="3"/>
  <c r="S134" i="3"/>
  <c r="S58" i="3"/>
  <c r="S18" i="3"/>
  <c r="S59" i="3"/>
  <c r="S116" i="3"/>
  <c r="S60" i="3"/>
  <c r="S117" i="3"/>
  <c r="S95" i="3"/>
  <c r="S7" i="3"/>
  <c r="S93" i="3"/>
  <c r="S29" i="3"/>
  <c r="S118" i="3"/>
  <c r="S61" i="3"/>
  <c r="S41" i="3"/>
  <c r="S96" i="3"/>
  <c r="S8" i="3"/>
  <c r="S42" i="3"/>
  <c r="S19" i="3"/>
  <c r="S62" i="3"/>
  <c r="S135" i="3"/>
  <c r="S119" i="3"/>
  <c r="S43" i="3"/>
  <c r="S63" i="3"/>
  <c r="S64" i="3"/>
  <c r="S97" i="3"/>
  <c r="S120" i="3"/>
  <c r="S30" i="3"/>
  <c r="S31" i="3"/>
  <c r="S44" i="3"/>
  <c r="S121" i="3"/>
  <c r="S98" i="3"/>
  <c r="S9" i="3"/>
  <c r="S99" i="3"/>
  <c r="S32" i="3"/>
  <c r="S100" i="3"/>
  <c r="S65" i="3"/>
  <c r="S10" i="3"/>
  <c r="S11" i="3"/>
  <c r="S66" i="3"/>
  <c r="S122" i="3"/>
  <c r="S67" i="3"/>
  <c r="S33" i="3"/>
  <c r="S101" i="3"/>
  <c r="S68" i="3"/>
  <c r="S69" i="3"/>
  <c r="S136" i="3"/>
  <c r="S12" i="3"/>
  <c r="S102" i="3"/>
  <c r="S45" i="3"/>
  <c r="S123" i="3"/>
  <c r="S20" i="3"/>
  <c r="S70" i="3"/>
  <c r="S71" i="3"/>
  <c r="S137" i="3"/>
  <c r="S72" i="3"/>
  <c r="S13" i="3"/>
  <c r="S73" i="3"/>
  <c r="S46" i="3"/>
  <c r="S74" i="3"/>
  <c r="S138" i="3"/>
  <c r="S75" i="3"/>
  <c r="S47" i="3"/>
  <c r="S94" i="3"/>
  <c r="S124" i="3"/>
  <c r="S76" i="3"/>
  <c r="S125" i="3"/>
  <c r="S77" i="3"/>
  <c r="S78" i="3"/>
  <c r="S14" i="3"/>
  <c r="S34" i="3"/>
  <c r="S103" i="3"/>
  <c r="S139" i="3"/>
  <c r="S140" i="3"/>
  <c r="S79" i="3"/>
  <c r="S126" i="3"/>
  <c r="S15" i="3"/>
  <c r="S16" i="3"/>
  <c r="S21" i="3"/>
  <c r="S80" i="3"/>
  <c r="S22" i="3"/>
  <c r="S23" i="3"/>
  <c r="S24" i="3"/>
  <c r="S17" i="3"/>
  <c r="S25" i="3"/>
  <c r="S127" i="3"/>
  <c r="S81" i="3"/>
  <c r="S128" i="3"/>
  <c r="S82" i="3"/>
  <c r="S129" i="3"/>
  <c r="S141" i="3"/>
  <c r="T48" i="3"/>
  <c r="T106" i="3"/>
  <c r="T107" i="3"/>
  <c r="T108" i="3"/>
  <c r="T130" i="3"/>
  <c r="T27" i="3"/>
  <c r="T87" i="3"/>
  <c r="T2" i="3"/>
  <c r="T89" i="3"/>
  <c r="T90" i="3"/>
  <c r="T36" i="3"/>
  <c r="T49" i="3"/>
  <c r="T110" i="3"/>
  <c r="T4" i="3"/>
  <c r="T50" i="3"/>
  <c r="T37" i="3"/>
  <c r="T52" i="3"/>
  <c r="T5" i="3"/>
  <c r="T53" i="3"/>
  <c r="T56" i="3"/>
  <c r="T113" i="3"/>
  <c r="T40" i="3"/>
  <c r="T116" i="3"/>
  <c r="T60" i="3"/>
  <c r="T7" i="3"/>
  <c r="T29" i="3"/>
  <c r="T61" i="3"/>
  <c r="T41" i="3"/>
  <c r="T62" i="3"/>
  <c r="T64" i="3"/>
  <c r="T120" i="3"/>
  <c r="T44" i="3"/>
  <c r="T121" i="3"/>
  <c r="T9" i="3"/>
  <c r="T99" i="3"/>
  <c r="T100" i="3"/>
  <c r="T65" i="3"/>
  <c r="T10" i="3"/>
  <c r="T122" i="3"/>
  <c r="T33" i="3"/>
  <c r="T101" i="3"/>
  <c r="T68" i="3"/>
  <c r="T69" i="3"/>
  <c r="T136" i="3"/>
  <c r="T102" i="3"/>
  <c r="T45" i="3"/>
  <c r="T123" i="3"/>
  <c r="T20" i="3"/>
  <c r="T70" i="3"/>
  <c r="T137" i="3"/>
  <c r="T72" i="3"/>
  <c r="T47" i="3"/>
  <c r="T124" i="3"/>
  <c r="T76" i="3"/>
  <c r="T125" i="3"/>
  <c r="T140" i="3"/>
  <c r="T126" i="3"/>
  <c r="T21" i="3"/>
  <c r="T80" i="3"/>
  <c r="T127" i="3"/>
  <c r="T81" i="3"/>
  <c r="T82" i="3"/>
  <c r="T129" i="3"/>
  <c r="T141" i="3"/>
  <c r="N54" i="2"/>
  <c r="N55" i="2"/>
  <c r="N67" i="2"/>
  <c r="N57" i="2"/>
  <c r="N22" i="2"/>
  <c r="N14" i="2"/>
  <c r="N34" i="2"/>
  <c r="N2" i="2"/>
  <c r="N74" i="2"/>
  <c r="N85" i="2"/>
  <c r="N37" i="2"/>
  <c r="N75" i="2"/>
  <c r="N76" i="2"/>
  <c r="N39" i="2"/>
  <c r="N25" i="2"/>
  <c r="N78" i="2"/>
  <c r="N41" i="2"/>
  <c r="N42" i="2"/>
  <c r="N88" i="2"/>
  <c r="N79" i="2"/>
  <c r="N8" i="2"/>
  <c r="N61" i="2"/>
  <c r="N82" i="2"/>
  <c r="N53" i="2"/>
  <c r="O54" i="2"/>
  <c r="O55" i="2"/>
  <c r="O67" i="2"/>
  <c r="O29" i="2"/>
  <c r="O83" i="2"/>
  <c r="O56" i="2"/>
  <c r="O57" i="2"/>
  <c r="O22" i="2"/>
  <c r="O33" i="2"/>
  <c r="O34" i="2"/>
  <c r="O73" i="2"/>
  <c r="O35" i="2"/>
  <c r="O60" i="2"/>
  <c r="O5" i="2"/>
  <c r="O2" i="2"/>
  <c r="O74" i="2"/>
  <c r="O37" i="2"/>
  <c r="O75" i="2"/>
  <c r="O76" i="2"/>
  <c r="O17" i="2"/>
  <c r="O39" i="2"/>
  <c r="O25" i="2"/>
  <c r="O78" i="2"/>
  <c r="O40" i="2"/>
  <c r="O19" i="2"/>
  <c r="O42" i="2"/>
  <c r="O88" i="2"/>
  <c r="O79" i="2"/>
  <c r="O8" i="2"/>
  <c r="O61" i="2"/>
  <c r="O48" i="2"/>
  <c r="O62" i="2"/>
  <c r="O80" i="2"/>
  <c r="P54" i="2"/>
  <c r="P28" i="2"/>
  <c r="P65" i="2"/>
  <c r="P13" i="2"/>
  <c r="P67" i="2"/>
  <c r="P56" i="2"/>
  <c r="P57" i="2"/>
  <c r="P59" i="2"/>
  <c r="P30" i="2"/>
  <c r="P31" i="2"/>
  <c r="P22" i="2"/>
  <c r="P32" i="2"/>
  <c r="P34" i="2"/>
  <c r="P35" i="2"/>
  <c r="P36" i="2"/>
  <c r="P2" i="2"/>
  <c r="P74" i="2"/>
  <c r="P85" i="2"/>
  <c r="P37" i="2"/>
  <c r="P38" i="2"/>
  <c r="P75" i="2"/>
  <c r="P76" i="2"/>
  <c r="P17" i="2"/>
  <c r="P39" i="2"/>
  <c r="P41" i="2"/>
  <c r="P19" i="2"/>
  <c r="P42" i="2"/>
  <c r="P88" i="2"/>
  <c r="P26" i="2"/>
  <c r="P79" i="2"/>
  <c r="P8" i="2"/>
  <c r="P46" i="2"/>
  <c r="P61" i="2"/>
  <c r="P62" i="2"/>
  <c r="P49" i="2"/>
  <c r="P50" i="2"/>
  <c r="P53" i="2"/>
  <c r="Q54" i="2"/>
  <c r="Q55" i="2"/>
  <c r="Q28" i="2"/>
  <c r="Q65" i="2"/>
  <c r="Q66" i="2"/>
  <c r="Q13" i="2"/>
  <c r="Q67" i="2"/>
  <c r="Q29" i="2"/>
  <c r="Q68" i="2"/>
  <c r="Q83" i="2"/>
  <c r="Q56" i="2"/>
  <c r="Q69" i="2"/>
  <c r="Q70" i="2"/>
  <c r="Q57" i="2"/>
  <c r="Q58" i="2"/>
  <c r="Q59" i="2"/>
  <c r="Q30" i="2"/>
  <c r="Q71" i="2"/>
  <c r="Q84" i="2"/>
  <c r="Q31" i="2"/>
  <c r="Q22" i="2"/>
  <c r="Q14" i="2"/>
  <c r="Q32" i="2"/>
  <c r="Q33" i="2"/>
  <c r="Q72" i="2"/>
  <c r="Q34" i="2"/>
  <c r="Q73" i="2"/>
  <c r="Q35" i="2"/>
  <c r="Q60" i="2"/>
  <c r="Q15" i="2"/>
  <c r="Q5" i="2"/>
  <c r="Q36" i="2"/>
  <c r="Q2" i="2"/>
  <c r="Q74" i="2"/>
  <c r="Q85" i="2"/>
  <c r="Q16" i="2"/>
  <c r="Q23" i="2"/>
  <c r="Q37" i="2"/>
  <c r="Q38" i="2"/>
  <c r="Q75" i="2"/>
  <c r="Q76" i="2"/>
  <c r="Q17" i="2"/>
  <c r="Q77" i="2"/>
  <c r="Q6" i="2"/>
  <c r="Q18" i="2"/>
  <c r="Q3" i="2"/>
  <c r="Q39" i="2"/>
  <c r="Q86" i="2"/>
  <c r="Q25" i="2"/>
  <c r="Q87" i="2"/>
  <c r="Q78" i="2"/>
  <c r="Q40" i="2"/>
  <c r="Q41" i="2"/>
  <c r="Q19" i="2"/>
  <c r="Q42" i="2"/>
  <c r="Q24" i="2"/>
  <c r="Q88" i="2"/>
  <c r="Q7" i="2"/>
  <c r="Q43" i="2"/>
  <c r="Q20" i="2"/>
  <c r="Q26" i="2"/>
  <c r="Q79" i="2"/>
  <c r="Q8" i="2"/>
  <c r="Q44" i="2"/>
  <c r="Q9" i="2"/>
  <c r="Q45" i="2"/>
  <c r="Q46" i="2"/>
  <c r="Q61" i="2"/>
  <c r="Q89" i="2"/>
  <c r="Q47" i="2"/>
  <c r="Q48" i="2"/>
  <c r="Q62" i="2"/>
  <c r="Q10" i="2"/>
  <c r="Q11" i="2"/>
  <c r="Q49" i="2"/>
  <c r="Q63" i="2"/>
  <c r="Q80" i="2"/>
  <c r="Q50" i="2"/>
  <c r="Q27" i="2"/>
  <c r="Q51" i="2"/>
  <c r="Q90" i="2"/>
  <c r="Q52" i="2"/>
  <c r="Q91" i="2"/>
  <c r="Q81" i="2"/>
  <c r="Q82" i="2"/>
  <c r="Q64" i="2"/>
  <c r="Q21" i="2"/>
  <c r="Q12" i="2"/>
  <c r="Q53" i="2"/>
  <c r="Q4" i="2"/>
  <c r="R54" i="2"/>
  <c r="R55" i="2"/>
  <c r="R28" i="2"/>
  <c r="R65" i="2"/>
  <c r="R66" i="2"/>
  <c r="R13" i="2"/>
  <c r="R67" i="2"/>
  <c r="R29" i="2"/>
  <c r="R68" i="2"/>
  <c r="R83" i="2"/>
  <c r="R56" i="2"/>
  <c r="R69" i="2"/>
  <c r="R70" i="2"/>
  <c r="R57" i="2"/>
  <c r="R58" i="2"/>
  <c r="R59" i="2"/>
  <c r="R30" i="2"/>
  <c r="R71" i="2"/>
  <c r="R84" i="2"/>
  <c r="R31" i="2"/>
  <c r="R22" i="2"/>
  <c r="R14" i="2"/>
  <c r="R32" i="2"/>
  <c r="R33" i="2"/>
  <c r="R72" i="2"/>
  <c r="R34" i="2"/>
  <c r="R73" i="2"/>
  <c r="R35" i="2"/>
  <c r="R60" i="2"/>
  <c r="R15" i="2"/>
  <c r="R5" i="2"/>
  <c r="R36" i="2"/>
  <c r="R2" i="2"/>
  <c r="R74" i="2"/>
  <c r="R85" i="2"/>
  <c r="R16" i="2"/>
  <c r="R23" i="2"/>
  <c r="R37" i="2"/>
  <c r="R38" i="2"/>
  <c r="R75" i="2"/>
  <c r="R76" i="2"/>
  <c r="R17" i="2"/>
  <c r="R77" i="2"/>
  <c r="R6" i="2"/>
  <c r="R18" i="2"/>
  <c r="R3" i="2"/>
  <c r="R39" i="2"/>
  <c r="R86" i="2"/>
  <c r="R25" i="2"/>
  <c r="R87" i="2"/>
  <c r="R78" i="2"/>
  <c r="R40" i="2"/>
  <c r="R41" i="2"/>
  <c r="R19" i="2"/>
  <c r="R42" i="2"/>
  <c r="R24" i="2"/>
  <c r="R88" i="2"/>
  <c r="R7" i="2"/>
  <c r="R43" i="2"/>
  <c r="R20" i="2"/>
  <c r="R26" i="2"/>
  <c r="R79" i="2"/>
  <c r="R8" i="2"/>
  <c r="R44" i="2"/>
  <c r="R9" i="2"/>
  <c r="R45" i="2"/>
  <c r="R46" i="2"/>
  <c r="R61" i="2"/>
  <c r="R89" i="2"/>
  <c r="R47" i="2"/>
  <c r="R48" i="2"/>
  <c r="R62" i="2"/>
  <c r="R10" i="2"/>
  <c r="R11" i="2"/>
  <c r="R49" i="2"/>
  <c r="R63" i="2"/>
  <c r="R80" i="2"/>
  <c r="R50" i="2"/>
  <c r="R27" i="2"/>
  <c r="R51" i="2"/>
  <c r="R90" i="2"/>
  <c r="R52" i="2"/>
  <c r="R91" i="2"/>
  <c r="R81" i="2"/>
  <c r="R82" i="2"/>
  <c r="R64" i="2"/>
  <c r="R21" i="2"/>
  <c r="R12" i="2"/>
  <c r="R53" i="2"/>
  <c r="R4" i="2"/>
  <c r="S54" i="2"/>
  <c r="S55" i="2"/>
  <c r="S28" i="2"/>
  <c r="S65" i="2"/>
  <c r="S66" i="2"/>
  <c r="S13" i="2"/>
  <c r="S67" i="2"/>
  <c r="S29" i="2"/>
  <c r="S68" i="2"/>
  <c r="S83" i="2"/>
  <c r="S56" i="2"/>
  <c r="S69" i="2"/>
  <c r="S70" i="2"/>
  <c r="S57" i="2"/>
  <c r="S58" i="2"/>
  <c r="S59" i="2"/>
  <c r="S30" i="2"/>
  <c r="S71" i="2"/>
  <c r="S84" i="2"/>
  <c r="S31" i="2"/>
  <c r="S22" i="2"/>
  <c r="S14" i="2"/>
  <c r="S32" i="2"/>
  <c r="S33" i="2"/>
  <c r="S72" i="2"/>
  <c r="S34" i="2"/>
  <c r="S73" i="2"/>
  <c r="S35" i="2"/>
  <c r="S60" i="2"/>
  <c r="S15" i="2"/>
  <c r="S5" i="2"/>
  <c r="S36" i="2"/>
  <c r="S2" i="2"/>
  <c r="S74" i="2"/>
  <c r="S85" i="2"/>
  <c r="S16" i="2"/>
  <c r="S23" i="2"/>
  <c r="S37" i="2"/>
  <c r="S38" i="2"/>
  <c r="S75" i="2"/>
  <c r="S76" i="2"/>
  <c r="S17" i="2"/>
  <c r="S77" i="2"/>
  <c r="S6" i="2"/>
  <c r="S18" i="2"/>
  <c r="S3" i="2"/>
  <c r="S39" i="2"/>
  <c r="S86" i="2"/>
  <c r="S25" i="2"/>
  <c r="S87" i="2"/>
  <c r="S78" i="2"/>
  <c r="S40" i="2"/>
  <c r="S41" i="2"/>
  <c r="S19" i="2"/>
  <c r="S42" i="2"/>
  <c r="S24" i="2"/>
  <c r="S88" i="2"/>
  <c r="S7" i="2"/>
  <c r="S43" i="2"/>
  <c r="S20" i="2"/>
  <c r="S26" i="2"/>
  <c r="S79" i="2"/>
  <c r="S8" i="2"/>
  <c r="S44" i="2"/>
  <c r="S9" i="2"/>
  <c r="S45" i="2"/>
  <c r="S46" i="2"/>
  <c r="S61" i="2"/>
  <c r="S89" i="2"/>
  <c r="S47" i="2"/>
  <c r="S48" i="2"/>
  <c r="S62" i="2"/>
  <c r="S10" i="2"/>
  <c r="S11" i="2"/>
  <c r="S49" i="2"/>
  <c r="S63" i="2"/>
  <c r="S80" i="2"/>
  <c r="S50" i="2"/>
  <c r="S27" i="2"/>
  <c r="S51" i="2"/>
  <c r="S90" i="2"/>
  <c r="S52" i="2"/>
  <c r="S91" i="2"/>
  <c r="S81" i="2"/>
  <c r="S82" i="2"/>
  <c r="S64" i="2"/>
  <c r="S21" i="2"/>
  <c r="S12" i="2"/>
  <c r="S53" i="2"/>
  <c r="S4" i="2"/>
  <c r="T55" i="2"/>
  <c r="T28" i="2"/>
  <c r="T58" i="2"/>
  <c r="T22" i="2"/>
  <c r="T14" i="2"/>
  <c r="T33" i="2"/>
  <c r="T34" i="2"/>
  <c r="T35" i="2"/>
  <c r="T60" i="2"/>
  <c r="T36" i="2"/>
  <c r="T2" i="2"/>
  <c r="T74" i="2"/>
  <c r="T85" i="2"/>
  <c r="T37" i="2"/>
  <c r="T75" i="2"/>
  <c r="T76" i="2"/>
  <c r="T17" i="2"/>
  <c r="T77" i="2"/>
  <c r="T25" i="2"/>
  <c r="T40" i="2"/>
  <c r="T41" i="2"/>
  <c r="T42" i="2"/>
  <c r="T79" i="2"/>
  <c r="T89" i="2"/>
  <c r="T47" i="2"/>
  <c r="T48" i="2"/>
  <c r="T62" i="2"/>
  <c r="T80" i="2"/>
  <c r="T82" i="2"/>
  <c r="T53" i="2"/>
  <c r="C1" i="12" a="1"/>
  <c r="C1" i="12" s="1"/>
  <c r="C1" i="11" a="1"/>
  <c r="C1" i="11" s="1"/>
  <c r="C1" i="9" a="1"/>
  <c r="C1" i="9" s="1"/>
  <c r="H81" i="2" l="1"/>
  <c r="O81" i="2" s="1"/>
  <c r="M15" i="2"/>
  <c r="T15" i="2" s="1"/>
  <c r="M16" i="2"/>
  <c r="T16" i="2" s="1"/>
  <c r="O21" i="4"/>
  <c r="N21" i="4"/>
  <c r="M21" i="4"/>
  <c r="T21" i="4" s="1"/>
  <c r="M81" i="2"/>
  <c r="T81" i="2" s="1"/>
  <c r="M21" i="2"/>
  <c r="T21" i="2" s="1"/>
  <c r="O21" i="2"/>
  <c r="O16" i="4"/>
  <c r="H15" i="2"/>
  <c r="O15" i="2" s="1"/>
  <c r="H16" i="2"/>
  <c r="O16" i="2" s="1"/>
  <c r="O103" i="3"/>
  <c r="H9" i="2"/>
  <c r="M103" i="3"/>
  <c r="T103" i="3" s="1"/>
  <c r="I103" i="3"/>
  <c r="P103" i="3" s="1"/>
  <c r="I9" i="2"/>
  <c r="P9" i="2" s="1"/>
  <c r="O87" i="2"/>
  <c r="O13" i="2"/>
  <c r="N13" i="2"/>
  <c r="O91" i="3"/>
  <c r="N47" i="2"/>
  <c r="O47" i="2"/>
  <c r="O51" i="3"/>
  <c r="N124" i="3"/>
  <c r="N118" i="4"/>
  <c r="N18" i="2"/>
  <c r="O18" i="2"/>
  <c r="O38" i="2"/>
  <c r="N38" i="2"/>
  <c r="O75" i="3"/>
  <c r="O115" i="3"/>
  <c r="P11" i="4"/>
  <c r="I20" i="2"/>
  <c r="P20" i="2" s="1"/>
  <c r="M20" i="2"/>
  <c r="T20" i="2" s="1"/>
  <c r="H20" i="2"/>
  <c r="N40" i="2"/>
  <c r="P40" i="2"/>
  <c r="N60" i="2"/>
  <c r="P60" i="2"/>
  <c r="P80" i="2"/>
  <c r="N80" i="2"/>
  <c r="O77" i="3"/>
  <c r="N73" i="3"/>
  <c r="O18" i="3"/>
  <c r="H3" i="2"/>
  <c r="I3" i="2"/>
  <c r="M3" i="2"/>
  <c r="O63" i="2"/>
  <c r="N128" i="4"/>
  <c r="N65" i="2"/>
  <c r="O65" i="2"/>
  <c r="N58" i="3"/>
  <c r="N129" i="4"/>
  <c r="O133" i="3"/>
  <c r="N30" i="3"/>
  <c r="H43" i="2"/>
  <c r="M45" i="2"/>
  <c r="T45" i="2" s="1"/>
  <c r="H19" i="3"/>
  <c r="O19" i="3" s="1"/>
  <c r="M71" i="3"/>
  <c r="T71" i="3" s="1"/>
  <c r="N128" i="3"/>
  <c r="H45" i="2"/>
  <c r="N17" i="2"/>
  <c r="I47" i="2"/>
  <c r="P47" i="2" s="1"/>
  <c r="M18" i="2"/>
  <c r="T18" i="2" s="1"/>
  <c r="M14" i="3"/>
  <c r="T14" i="3" s="1"/>
  <c r="I14" i="3"/>
  <c r="P14" i="3" s="1"/>
  <c r="M34" i="3"/>
  <c r="T34" i="3" s="1"/>
  <c r="H34" i="3"/>
  <c r="O34" i="3" s="1"/>
  <c r="I34" i="3"/>
  <c r="P34" i="3" s="1"/>
  <c r="M54" i="3"/>
  <c r="T54" i="3" s="1"/>
  <c r="H54" i="3"/>
  <c r="M74" i="3"/>
  <c r="T74" i="3" s="1"/>
  <c r="I74" i="3"/>
  <c r="P74" i="3" s="1"/>
  <c r="H74" i="3"/>
  <c r="M94" i="3"/>
  <c r="T94" i="3" s="1"/>
  <c r="I94" i="3"/>
  <c r="P94" i="3" s="1"/>
  <c r="M114" i="3"/>
  <c r="T114" i="3" s="1"/>
  <c r="I114" i="3"/>
  <c r="P114" i="3" s="1"/>
  <c r="M134" i="3"/>
  <c r="T134" i="3" s="1"/>
  <c r="I134" i="3"/>
  <c r="P134" i="3" s="1"/>
  <c r="H134" i="3"/>
  <c r="O134" i="3" s="1"/>
  <c r="H53" i="3"/>
  <c r="I26" i="3"/>
  <c r="I58" i="3"/>
  <c r="P58" i="3" s="1"/>
  <c r="I95" i="3"/>
  <c r="P95" i="3" s="1"/>
  <c r="I133" i="3"/>
  <c r="P133" i="3" s="1"/>
  <c r="H6" i="4"/>
  <c r="I6" i="4"/>
  <c r="P6" i="4" s="1"/>
  <c r="M6" i="4"/>
  <c r="T6" i="4" s="1"/>
  <c r="H26" i="4"/>
  <c r="I26" i="4"/>
  <c r="P26" i="4" s="1"/>
  <c r="M26" i="4"/>
  <c r="T26" i="4" s="1"/>
  <c r="H46" i="4"/>
  <c r="I46" i="4"/>
  <c r="P46" i="4" s="1"/>
  <c r="M46" i="4"/>
  <c r="T46" i="4" s="1"/>
  <c r="H66" i="4"/>
  <c r="I66" i="4"/>
  <c r="P66" i="4" s="1"/>
  <c r="M66" i="4"/>
  <c r="T66" i="4" s="1"/>
  <c r="H86" i="4"/>
  <c r="I86" i="4"/>
  <c r="P86" i="4" s="1"/>
  <c r="M86" i="4"/>
  <c r="T86" i="4" s="1"/>
  <c r="H126" i="4"/>
  <c r="I126" i="4"/>
  <c r="P126" i="4" s="1"/>
  <c r="M126" i="4"/>
  <c r="T126" i="4" s="1"/>
  <c r="H146" i="4"/>
  <c r="O146" i="4" s="1"/>
  <c r="I146" i="4"/>
  <c r="P146" i="4" s="1"/>
  <c r="M146" i="4"/>
  <c r="T146" i="4" s="1"/>
  <c r="I135" i="3"/>
  <c r="I67" i="4"/>
  <c r="P67" i="4" s="1"/>
  <c r="H67" i="4"/>
  <c r="I87" i="4"/>
  <c r="P87" i="4" s="1"/>
  <c r="M87" i="4"/>
  <c r="T87" i="4" s="1"/>
  <c r="H87" i="4"/>
  <c r="I127" i="4"/>
  <c r="P127" i="4" s="1"/>
  <c r="M127" i="4"/>
  <c r="T127" i="4" s="1"/>
  <c r="O93" i="3"/>
  <c r="N93" i="3"/>
  <c r="M35" i="3"/>
  <c r="T35" i="3" s="1"/>
  <c r="N127" i="3"/>
  <c r="N94" i="3"/>
  <c r="M39" i="3"/>
  <c r="T39" i="3" s="1"/>
  <c r="M75" i="3"/>
  <c r="T75" i="3" s="1"/>
  <c r="I8" i="4"/>
  <c r="P8" i="4" s="1"/>
  <c r="M8" i="4"/>
  <c r="T8" i="4" s="1"/>
  <c r="H8" i="4"/>
  <c r="I28" i="4"/>
  <c r="P28" i="4" s="1"/>
  <c r="M28" i="4"/>
  <c r="T28" i="4" s="1"/>
  <c r="H28" i="4"/>
  <c r="O28" i="4" s="1"/>
  <c r="I48" i="4"/>
  <c r="P48" i="4" s="1"/>
  <c r="M48" i="4"/>
  <c r="T48" i="4" s="1"/>
  <c r="I68" i="4"/>
  <c r="P68" i="4" s="1"/>
  <c r="M68" i="4"/>
  <c r="T68" i="4" s="1"/>
  <c r="H68" i="4"/>
  <c r="I88" i="4"/>
  <c r="P88" i="4" s="1"/>
  <c r="M88" i="4"/>
  <c r="T88" i="4" s="1"/>
  <c r="H88" i="4"/>
  <c r="I108" i="4"/>
  <c r="P108" i="4" s="1"/>
  <c r="M108" i="4"/>
  <c r="T108" i="4" s="1"/>
  <c r="I128" i="4"/>
  <c r="P128" i="4" s="1"/>
  <c r="M128" i="4"/>
  <c r="T128" i="4" s="1"/>
  <c r="I148" i="4"/>
  <c r="P148" i="4" s="1"/>
  <c r="M148" i="4"/>
  <c r="T148" i="4" s="1"/>
  <c r="H148" i="4"/>
  <c r="O148" i="4" s="1"/>
  <c r="H31" i="4"/>
  <c r="N24" i="3"/>
  <c r="I7" i="4"/>
  <c r="P7" i="4" s="1"/>
  <c r="H7" i="4"/>
  <c r="M7" i="4"/>
  <c r="T7" i="4" s="1"/>
  <c r="I47" i="4"/>
  <c r="P47" i="4" s="1"/>
  <c r="M47" i="4"/>
  <c r="T47" i="4" s="1"/>
  <c r="I147" i="4"/>
  <c r="P147" i="4" s="1"/>
  <c r="H147" i="4"/>
  <c r="H27" i="4"/>
  <c r="N59" i="2"/>
  <c r="I23" i="2"/>
  <c r="I83" i="2"/>
  <c r="M83" i="2"/>
  <c r="T83" i="2" s="1"/>
  <c r="H57" i="3"/>
  <c r="M57" i="3"/>
  <c r="T57" i="3" s="1"/>
  <c r="M117" i="3"/>
  <c r="T117" i="3" s="1"/>
  <c r="I117" i="3"/>
  <c r="P117" i="3" s="1"/>
  <c r="H95" i="3"/>
  <c r="I138" i="3"/>
  <c r="P138" i="3" s="1"/>
  <c r="M77" i="3"/>
  <c r="T77" i="3" s="1"/>
  <c r="M115" i="3"/>
  <c r="T115" i="3" s="1"/>
  <c r="I9" i="4"/>
  <c r="P9" i="4" s="1"/>
  <c r="M9" i="4"/>
  <c r="T9" i="4" s="1"/>
  <c r="H9" i="4"/>
  <c r="I29" i="4"/>
  <c r="P29" i="4" s="1"/>
  <c r="M29" i="4"/>
  <c r="T29" i="4" s="1"/>
  <c r="H29" i="4"/>
  <c r="B38" i="1" s="1" a="1"/>
  <c r="B38" i="1" s="1"/>
  <c r="I49" i="4"/>
  <c r="P49" i="4" s="1"/>
  <c r="M49" i="4"/>
  <c r="T49" i="4" s="1"/>
  <c r="I69" i="4"/>
  <c r="P69" i="4" s="1"/>
  <c r="M69" i="4"/>
  <c r="T69" i="4" s="1"/>
  <c r="H69" i="4"/>
  <c r="I89" i="4"/>
  <c r="P89" i="4" s="1"/>
  <c r="M89" i="4"/>
  <c r="T89" i="4" s="1"/>
  <c r="H89" i="4"/>
  <c r="I109" i="4"/>
  <c r="P109" i="4" s="1"/>
  <c r="M109" i="4"/>
  <c r="T109" i="4" s="1"/>
  <c r="H109" i="4"/>
  <c r="O109" i="4" s="1"/>
  <c r="I129" i="4"/>
  <c r="P129" i="4" s="1"/>
  <c r="M129" i="4"/>
  <c r="T129" i="4" s="1"/>
  <c r="I149" i="4"/>
  <c r="P149" i="4" s="1"/>
  <c r="M149" i="4"/>
  <c r="T149" i="4" s="1"/>
  <c r="H149" i="4"/>
  <c r="H127" i="4"/>
  <c r="M27" i="4"/>
  <c r="T27" i="4" s="1"/>
  <c r="N51" i="2"/>
  <c r="M23" i="2"/>
  <c r="T23" i="2" s="1"/>
  <c r="M38" i="3"/>
  <c r="T38" i="3" s="1"/>
  <c r="I38" i="3"/>
  <c r="P38" i="3" s="1"/>
  <c r="M118" i="3"/>
  <c r="T118" i="3" s="1"/>
  <c r="I118" i="3"/>
  <c r="P118" i="3" s="1"/>
  <c r="M78" i="3"/>
  <c r="T78" i="3" s="1"/>
  <c r="I10" i="4"/>
  <c r="P10" i="4" s="1"/>
  <c r="M10" i="4"/>
  <c r="T10" i="4" s="1"/>
  <c r="H10" i="4"/>
  <c r="I30" i="4"/>
  <c r="P30" i="4" s="1"/>
  <c r="M30" i="4"/>
  <c r="T30" i="4" s="1"/>
  <c r="H30" i="4"/>
  <c r="I50" i="4"/>
  <c r="P50" i="4" s="1"/>
  <c r="M50" i="4"/>
  <c r="T50" i="4" s="1"/>
  <c r="I70" i="4"/>
  <c r="P70" i="4" s="1"/>
  <c r="M70" i="4"/>
  <c r="T70" i="4" s="1"/>
  <c r="H70" i="4"/>
  <c r="I90" i="4"/>
  <c r="P90" i="4" s="1"/>
  <c r="M90" i="4"/>
  <c r="T90" i="4" s="1"/>
  <c r="H90" i="4"/>
  <c r="I110" i="4"/>
  <c r="P110" i="4" s="1"/>
  <c r="M110" i="4"/>
  <c r="T110" i="4" s="1"/>
  <c r="H110" i="4"/>
  <c r="O110" i="4" s="1"/>
  <c r="I130" i="4"/>
  <c r="P130" i="4" s="1"/>
  <c r="M130" i="4"/>
  <c r="T130" i="4" s="1"/>
  <c r="I150" i="4"/>
  <c r="P150" i="4" s="1"/>
  <c r="M150" i="4"/>
  <c r="T150" i="4" s="1"/>
  <c r="H150" i="4"/>
  <c r="M24" i="2"/>
  <c r="T24" i="2" s="1"/>
  <c r="H24" i="2"/>
  <c r="M44" i="2"/>
  <c r="T44" i="2" s="1"/>
  <c r="H44" i="2"/>
  <c r="I64" i="2"/>
  <c r="P64" i="2" s="1"/>
  <c r="M64" i="2"/>
  <c r="T64" i="2" s="1"/>
  <c r="M27" i="2"/>
  <c r="T27" i="2" s="1"/>
  <c r="H59" i="3"/>
  <c r="M59" i="3"/>
  <c r="T59" i="3" s="1"/>
  <c r="I59" i="3"/>
  <c r="P59" i="3" s="1"/>
  <c r="H79" i="3"/>
  <c r="M79" i="3"/>
  <c r="T79" i="3" s="1"/>
  <c r="N99" i="3"/>
  <c r="M139" i="3"/>
  <c r="T139" i="3" s="1"/>
  <c r="I139" i="3"/>
  <c r="P139" i="3" s="1"/>
  <c r="H98" i="3"/>
  <c r="M11" i="4"/>
  <c r="T11" i="4" s="1"/>
  <c r="H11" i="4"/>
  <c r="O11" i="4" s="1"/>
  <c r="M51" i="4"/>
  <c r="T51" i="4" s="1"/>
  <c r="I51" i="4"/>
  <c r="M91" i="4"/>
  <c r="T91" i="4" s="1"/>
  <c r="H91" i="4"/>
  <c r="O91" i="4" s="1"/>
  <c r="M111" i="4"/>
  <c r="T111" i="4" s="1"/>
  <c r="I111" i="4"/>
  <c r="P111" i="4" s="1"/>
  <c r="H111" i="4"/>
  <c r="M131" i="4"/>
  <c r="T131" i="4" s="1"/>
  <c r="I131" i="4"/>
  <c r="P131" i="4" s="1"/>
  <c r="M151" i="4"/>
  <c r="T151" i="4" s="1"/>
  <c r="H151" i="4"/>
  <c r="O151" i="4" s="1"/>
  <c r="I87" i="2"/>
  <c r="P87" i="2" s="1"/>
  <c r="M59" i="2"/>
  <c r="T59" i="2" s="1"/>
  <c r="M87" i="2"/>
  <c r="T87" i="2" s="1"/>
  <c r="H33" i="3"/>
  <c r="H138" i="3"/>
  <c r="M46" i="3"/>
  <c r="T46" i="3" s="1"/>
  <c r="M12" i="4"/>
  <c r="T12" i="4" s="1"/>
  <c r="H12" i="4"/>
  <c r="I12" i="4"/>
  <c r="P12" i="4" s="1"/>
  <c r="M32" i="4"/>
  <c r="T32" i="4" s="1"/>
  <c r="H32" i="4"/>
  <c r="O32" i="4" s="1"/>
  <c r="M52" i="4"/>
  <c r="T52" i="4" s="1"/>
  <c r="I52" i="4"/>
  <c r="M72" i="4"/>
  <c r="T72" i="4" s="1"/>
  <c r="I72" i="4"/>
  <c r="P72" i="4" s="1"/>
  <c r="M92" i="4"/>
  <c r="T92" i="4" s="1"/>
  <c r="H92" i="4"/>
  <c r="M112" i="4"/>
  <c r="T112" i="4" s="1"/>
  <c r="I112" i="4"/>
  <c r="P112" i="4" s="1"/>
  <c r="H112" i="4"/>
  <c r="M132" i="4"/>
  <c r="T132" i="4" s="1"/>
  <c r="I132" i="4"/>
  <c r="P132" i="4" s="1"/>
  <c r="M152" i="4"/>
  <c r="T152" i="4" s="1"/>
  <c r="H152" i="4"/>
  <c r="H130" i="4"/>
  <c r="O55" i="3"/>
  <c r="N27" i="3"/>
  <c r="N75" i="4"/>
  <c r="M6" i="2"/>
  <c r="T6" i="2" s="1"/>
  <c r="H6" i="2"/>
  <c r="I6" i="2"/>
  <c r="P6" i="2" s="1"/>
  <c r="M26" i="2"/>
  <c r="T26" i="2" s="1"/>
  <c r="H26" i="2"/>
  <c r="M46" i="2"/>
  <c r="T46" i="2" s="1"/>
  <c r="H46" i="2"/>
  <c r="M66" i="2"/>
  <c r="T66" i="2" s="1"/>
  <c r="H66" i="2"/>
  <c r="I66" i="2"/>
  <c r="P66" i="2" s="1"/>
  <c r="M86" i="2"/>
  <c r="T86" i="2" s="1"/>
  <c r="H86" i="2"/>
  <c r="I86" i="2"/>
  <c r="P86" i="2" s="1"/>
  <c r="H58" i="2"/>
  <c r="I27" i="2"/>
  <c r="I89" i="2"/>
  <c r="P89" i="2" s="1"/>
  <c r="M29" i="2"/>
  <c r="T29" i="2" s="1"/>
  <c r="M88" i="2"/>
  <c r="T88" i="2" s="1"/>
  <c r="H37" i="3"/>
  <c r="N69" i="3"/>
  <c r="H139" i="3"/>
  <c r="I33" i="3"/>
  <c r="P33" i="3" s="1"/>
  <c r="I73" i="3"/>
  <c r="P73" i="3" s="1"/>
  <c r="M13" i="4"/>
  <c r="T13" i="4" s="1"/>
  <c r="H13" i="4"/>
  <c r="I13" i="4"/>
  <c r="P13" i="4" s="1"/>
  <c r="M33" i="4"/>
  <c r="T33" i="4" s="1"/>
  <c r="H33" i="4"/>
  <c r="M53" i="4"/>
  <c r="T53" i="4" s="1"/>
  <c r="I53" i="4"/>
  <c r="P53" i="4" s="1"/>
  <c r="H53" i="4"/>
  <c r="M73" i="4"/>
  <c r="T73" i="4" s="1"/>
  <c r="I73" i="4"/>
  <c r="M93" i="4"/>
  <c r="T93" i="4" s="1"/>
  <c r="H93" i="4"/>
  <c r="M113" i="4"/>
  <c r="T113" i="4" s="1"/>
  <c r="I113" i="4"/>
  <c r="N113" i="4" s="1"/>
  <c r="H113" i="4"/>
  <c r="O113" i="4" s="1"/>
  <c r="H47" i="4"/>
  <c r="N94" i="4"/>
  <c r="H131" i="4"/>
  <c r="H3" i="3"/>
  <c r="H38" i="3"/>
  <c r="I35" i="3"/>
  <c r="P35" i="3" s="1"/>
  <c r="I75" i="3"/>
  <c r="P75" i="3" s="1"/>
  <c r="H48" i="4"/>
  <c r="H132" i="4"/>
  <c r="O132" i="4" s="1"/>
  <c r="N28" i="2"/>
  <c r="O29" i="3"/>
  <c r="N85" i="3"/>
  <c r="N153" i="4"/>
  <c r="I29" i="2"/>
  <c r="N23" i="3"/>
  <c r="H63" i="3"/>
  <c r="M63" i="3"/>
  <c r="T63" i="3" s="1"/>
  <c r="N83" i="3"/>
  <c r="H39" i="3"/>
  <c r="H71" i="3"/>
  <c r="I37" i="3"/>
  <c r="P37" i="3" s="1"/>
  <c r="I77" i="3"/>
  <c r="P77" i="3" s="1"/>
  <c r="M13" i="3"/>
  <c r="T13" i="3" s="1"/>
  <c r="M15" i="4"/>
  <c r="T15" i="4" s="1"/>
  <c r="I15" i="4"/>
  <c r="P15" i="4" s="1"/>
  <c r="I55" i="4"/>
  <c r="P55" i="4" s="1"/>
  <c r="M55" i="4"/>
  <c r="T55" i="4" s="1"/>
  <c r="H55" i="4"/>
  <c r="H95" i="4"/>
  <c r="M95" i="4"/>
  <c r="T95" i="4" s="1"/>
  <c r="I115" i="4"/>
  <c r="P115" i="4" s="1"/>
  <c r="H115" i="4"/>
  <c r="M135" i="4"/>
  <c r="T135" i="4" s="1"/>
  <c r="I135" i="4"/>
  <c r="H135" i="4"/>
  <c r="O135" i="4" s="1"/>
  <c r="H49" i="4"/>
  <c r="N97" i="4"/>
  <c r="H133" i="4"/>
  <c r="O133" i="4" s="1"/>
  <c r="M49" i="2"/>
  <c r="T49" i="2" s="1"/>
  <c r="H49" i="2"/>
  <c r="O49" i="2" s="1"/>
  <c r="M69" i="2"/>
  <c r="T69" i="2" s="1"/>
  <c r="H69" i="2"/>
  <c r="M4" i="2"/>
  <c r="T4" i="2" s="1"/>
  <c r="M63" i="2"/>
  <c r="T63" i="2" s="1"/>
  <c r="H43" i="3"/>
  <c r="I78" i="3"/>
  <c r="M15" i="3"/>
  <c r="T15" i="3" s="1"/>
  <c r="H50" i="4"/>
  <c r="I31" i="4"/>
  <c r="P31" i="4" s="1"/>
  <c r="I71" i="4"/>
  <c r="P71" i="4" s="1"/>
  <c r="I151" i="4"/>
  <c r="N151" i="4" s="1"/>
  <c r="N7" i="2"/>
  <c r="P51" i="2"/>
  <c r="N36" i="2"/>
  <c r="P19" i="3"/>
  <c r="O128" i="4"/>
  <c r="N62" i="2"/>
  <c r="H89" i="2"/>
  <c r="I63" i="2"/>
  <c r="P63" i="2" s="1"/>
  <c r="M5" i="2"/>
  <c r="T5" i="2" s="1"/>
  <c r="M65" i="2"/>
  <c r="T65" i="2" s="1"/>
  <c r="N125" i="3"/>
  <c r="I79" i="3"/>
  <c r="P79" i="3" s="1"/>
  <c r="I113" i="3"/>
  <c r="P113" i="3" s="1"/>
  <c r="M17" i="3"/>
  <c r="T17" i="3" s="1"/>
  <c r="M51" i="3"/>
  <c r="T51" i="3" s="1"/>
  <c r="M93" i="3"/>
  <c r="T93" i="3" s="1"/>
  <c r="M17" i="4"/>
  <c r="T17" i="4" s="1"/>
  <c r="I17" i="4"/>
  <c r="M57" i="4"/>
  <c r="T57" i="4" s="1"/>
  <c r="H57" i="4"/>
  <c r="H51" i="4"/>
  <c r="O51" i="4" s="1"/>
  <c r="I32" i="4"/>
  <c r="I152" i="4"/>
  <c r="P152" i="4" s="1"/>
  <c r="M6" i="3"/>
  <c r="T6" i="3" s="1"/>
  <c r="H6" i="3"/>
  <c r="I115" i="3"/>
  <c r="P115" i="3" s="1"/>
  <c r="M18" i="3"/>
  <c r="T18" i="3" s="1"/>
  <c r="H38" i="4"/>
  <c r="I38" i="4"/>
  <c r="P38" i="4" s="1"/>
  <c r="H98" i="4"/>
  <c r="N98" i="4" s="1"/>
  <c r="M98" i="4"/>
  <c r="T98" i="4" s="1"/>
  <c r="H52" i="4"/>
  <c r="O52" i="4" s="1"/>
  <c r="M147" i="4"/>
  <c r="T147" i="4" s="1"/>
  <c r="M31" i="2"/>
  <c r="T31" i="2" s="1"/>
  <c r="H31" i="2"/>
  <c r="M51" i="2"/>
  <c r="T51" i="2" s="1"/>
  <c r="H51" i="2"/>
  <c r="O51" i="2" s="1"/>
  <c r="M91" i="2"/>
  <c r="T91" i="2" s="1"/>
  <c r="H91" i="2"/>
  <c r="I91" i="2"/>
  <c r="P91" i="2" s="1"/>
  <c r="M67" i="2"/>
  <c r="T67" i="2" s="1"/>
  <c r="M66" i="3"/>
  <c r="T66" i="3" s="1"/>
  <c r="I66" i="3"/>
  <c r="P66" i="3" s="1"/>
  <c r="N86" i="3"/>
  <c r="H18" i="4"/>
  <c r="M18" i="4"/>
  <c r="T18" i="4" s="1"/>
  <c r="I18" i="4"/>
  <c r="P18" i="4" s="1"/>
  <c r="H58" i="4"/>
  <c r="M58" i="4"/>
  <c r="T58" i="4" s="1"/>
  <c r="H78" i="4"/>
  <c r="I78" i="4"/>
  <c r="P78" i="4" s="1"/>
  <c r="M12" i="2"/>
  <c r="T12" i="2" s="1"/>
  <c r="H12" i="2"/>
  <c r="I12" i="2"/>
  <c r="P12" i="2" s="1"/>
  <c r="H64" i="2"/>
  <c r="I4" i="2"/>
  <c r="I33" i="2"/>
  <c r="I68" i="2"/>
  <c r="P68" i="2" s="1"/>
  <c r="M38" i="2"/>
  <c r="T38" i="2" s="1"/>
  <c r="H46" i="3"/>
  <c r="H114" i="3"/>
  <c r="I84" i="3"/>
  <c r="M19" i="3"/>
  <c r="T19" i="3" s="1"/>
  <c r="M55" i="3"/>
  <c r="T55" i="3" s="1"/>
  <c r="M97" i="3"/>
  <c r="T97" i="3" s="1"/>
  <c r="M131" i="3"/>
  <c r="T131" i="3" s="1"/>
  <c r="M11" i="2"/>
  <c r="T11" i="2" s="1"/>
  <c r="H11" i="2"/>
  <c r="M71" i="2"/>
  <c r="T71" i="2" s="1"/>
  <c r="H71" i="2"/>
  <c r="O24" i="3"/>
  <c r="I5" i="2"/>
  <c r="I69" i="2"/>
  <c r="P69" i="2" s="1"/>
  <c r="M39" i="2"/>
  <c r="T39" i="2" s="1"/>
  <c r="M73" i="2"/>
  <c r="T73" i="2" s="1"/>
  <c r="M8" i="3"/>
  <c r="T8" i="3" s="1"/>
  <c r="H8" i="3"/>
  <c r="H13" i="3"/>
  <c r="I51" i="3"/>
  <c r="P51" i="3" s="1"/>
  <c r="M23" i="3"/>
  <c r="T23" i="3" s="1"/>
  <c r="M98" i="3"/>
  <c r="T98" i="3" s="1"/>
  <c r="H15" i="4"/>
  <c r="I35" i="4"/>
  <c r="P35" i="4" s="1"/>
  <c r="M107" i="4"/>
  <c r="T107" i="4" s="1"/>
  <c r="N14" i="3"/>
  <c r="M135" i="3"/>
  <c r="T135" i="3" s="1"/>
  <c r="H107" i="4"/>
  <c r="I118" i="4"/>
  <c r="P118" i="4" s="1"/>
  <c r="N156" i="4"/>
  <c r="M115" i="4"/>
  <c r="T115" i="4" s="1"/>
  <c r="O35" i="3"/>
  <c r="I71" i="2"/>
  <c r="P71" i="2" s="1"/>
  <c r="H15" i="3"/>
  <c r="N15" i="3" s="1"/>
  <c r="N49" i="3"/>
  <c r="H118" i="3"/>
  <c r="H108" i="4"/>
  <c r="O58" i="3"/>
  <c r="O48" i="3"/>
  <c r="I44" i="2"/>
  <c r="P44" i="2" s="1"/>
  <c r="N72" i="2"/>
  <c r="M11" i="3"/>
  <c r="T11" i="3" s="1"/>
  <c r="H11" i="3"/>
  <c r="H31" i="3"/>
  <c r="M31" i="3"/>
  <c r="T31" i="3" s="1"/>
  <c r="M91" i="3"/>
  <c r="T91" i="3" s="1"/>
  <c r="I91" i="3"/>
  <c r="P91" i="3" s="1"/>
  <c r="H111" i="3"/>
  <c r="M111" i="3"/>
  <c r="T111" i="3" s="1"/>
  <c r="H17" i="3"/>
  <c r="H119" i="3"/>
  <c r="I18" i="3"/>
  <c r="P18" i="3" s="1"/>
  <c r="I54" i="3"/>
  <c r="P54" i="3" s="1"/>
  <c r="M26" i="3"/>
  <c r="T26" i="3" s="1"/>
  <c r="H3" i="4"/>
  <c r="M3" i="4"/>
  <c r="H23" i="4"/>
  <c r="M23" i="4"/>
  <c r="T23" i="4" s="1"/>
  <c r="I23" i="4"/>
  <c r="P23" i="4" s="1"/>
  <c r="H43" i="4"/>
  <c r="I43" i="4"/>
  <c r="P43" i="4" s="1"/>
  <c r="M43" i="4"/>
  <c r="T43" i="4" s="1"/>
  <c r="H71" i="4"/>
  <c r="I91" i="4"/>
  <c r="N91" i="4" s="1"/>
  <c r="M67" i="4"/>
  <c r="T67" i="4" s="1"/>
  <c r="N48" i="2"/>
  <c r="O74" i="4"/>
  <c r="I11" i="2"/>
  <c r="P11" i="2" s="1"/>
  <c r="M43" i="2"/>
  <c r="T43" i="2" s="1"/>
  <c r="M78" i="2"/>
  <c r="T78" i="2" s="1"/>
  <c r="H32" i="3"/>
  <c r="M32" i="3"/>
  <c r="T32" i="3" s="1"/>
  <c r="M112" i="3"/>
  <c r="T112" i="3" s="1"/>
  <c r="I112" i="3"/>
  <c r="H132" i="3"/>
  <c r="M132" i="3"/>
  <c r="T132" i="3" s="1"/>
  <c r="H123" i="3"/>
  <c r="I55" i="3"/>
  <c r="P55" i="3" s="1"/>
  <c r="I131" i="3"/>
  <c r="H72" i="4"/>
  <c r="N155" i="4"/>
  <c r="I92" i="4"/>
  <c r="P92" i="4" s="1"/>
  <c r="M75" i="4"/>
  <c r="T75" i="4" s="1"/>
  <c r="M118" i="4"/>
  <c r="T118" i="4" s="1"/>
  <c r="T2" i="4"/>
  <c r="N54" i="4"/>
  <c r="O54" i="4"/>
  <c r="N50" i="3"/>
  <c r="H126" i="3"/>
  <c r="I10" i="3"/>
  <c r="P10" i="3" s="1"/>
  <c r="M83" i="4"/>
  <c r="T83" i="4" s="1"/>
  <c r="M123" i="4"/>
  <c r="T123" i="4" s="1"/>
  <c r="N65" i="3"/>
  <c r="H59" i="4"/>
  <c r="M10" i="2"/>
  <c r="T10" i="2" s="1"/>
  <c r="H10" i="2"/>
  <c r="M30" i="2"/>
  <c r="T30" i="2" s="1"/>
  <c r="H30" i="2"/>
  <c r="M50" i="2"/>
  <c r="T50" i="2" s="1"/>
  <c r="H50" i="2"/>
  <c r="O50" i="2" s="1"/>
  <c r="M70" i="2"/>
  <c r="T70" i="2" s="1"/>
  <c r="H70" i="2"/>
  <c r="M90" i="2"/>
  <c r="T90" i="2" s="1"/>
  <c r="H90" i="2"/>
  <c r="I10" i="2"/>
  <c r="P10" i="2" s="1"/>
  <c r="M86" i="3"/>
  <c r="T86" i="3" s="1"/>
  <c r="N137" i="4"/>
  <c r="N34" i="4"/>
  <c r="N116" i="4"/>
  <c r="I19" i="4"/>
  <c r="P19" i="4" s="1"/>
  <c r="M32" i="2"/>
  <c r="T32" i="2" s="1"/>
  <c r="H32" i="2"/>
  <c r="M52" i="2"/>
  <c r="T52" i="2" s="1"/>
  <c r="H52" i="2"/>
  <c r="M72" i="2"/>
  <c r="T72" i="2" s="1"/>
  <c r="H72" i="2"/>
  <c r="O72" i="2" s="1"/>
  <c r="N83" i="4"/>
  <c r="N36" i="4"/>
  <c r="N56" i="2"/>
  <c r="I90" i="2"/>
  <c r="P90" i="2" s="1"/>
  <c r="H10" i="3"/>
  <c r="O10" i="3" s="1"/>
  <c r="H4" i="4"/>
  <c r="I4" i="4"/>
  <c r="M4" i="4"/>
  <c r="T4" i="4" s="1"/>
  <c r="H24" i="4"/>
  <c r="I24" i="4"/>
  <c r="P24" i="4" s="1"/>
  <c r="M24" i="4"/>
  <c r="T24" i="4" s="1"/>
  <c r="H44" i="4"/>
  <c r="I44" i="4"/>
  <c r="P44" i="4" s="1"/>
  <c r="M44" i="4"/>
  <c r="T44" i="4" s="1"/>
  <c r="H64" i="4"/>
  <c r="I64" i="4"/>
  <c r="P64" i="4" s="1"/>
  <c r="M64" i="4"/>
  <c r="T64" i="4" s="1"/>
  <c r="H84" i="4"/>
  <c r="O84" i="4" s="1"/>
  <c r="I84" i="4"/>
  <c r="M84" i="4"/>
  <c r="T84" i="4" s="1"/>
  <c r="H104" i="4"/>
  <c r="I104" i="4"/>
  <c r="P104" i="4" s="1"/>
  <c r="M104" i="4"/>
  <c r="T104" i="4" s="1"/>
  <c r="H124" i="4"/>
  <c r="I124" i="4"/>
  <c r="P124" i="4" s="1"/>
  <c r="M124" i="4"/>
  <c r="T124" i="4" s="1"/>
  <c r="H144" i="4"/>
  <c r="I144" i="4"/>
  <c r="P144" i="4" s="1"/>
  <c r="M144" i="4"/>
  <c r="T144" i="4" s="1"/>
  <c r="N114" i="4"/>
  <c r="H5" i="4"/>
  <c r="I5" i="4"/>
  <c r="P5" i="4" s="1"/>
  <c r="M5" i="4"/>
  <c r="T5" i="4" s="1"/>
  <c r="H45" i="4"/>
  <c r="O45" i="4" s="1"/>
  <c r="I45" i="4"/>
  <c r="M45" i="4"/>
  <c r="T45" i="4" s="1"/>
  <c r="H65" i="4"/>
  <c r="I65" i="4"/>
  <c r="P65" i="4" s="1"/>
  <c r="M65" i="4"/>
  <c r="T65" i="4" s="1"/>
  <c r="H85" i="4"/>
  <c r="I85" i="4"/>
  <c r="P85" i="4" s="1"/>
  <c r="M85" i="4"/>
  <c r="T85" i="4" s="1"/>
  <c r="H125" i="4"/>
  <c r="I125" i="4"/>
  <c r="P125" i="4" s="1"/>
  <c r="M125" i="4"/>
  <c r="T125" i="4" s="1"/>
  <c r="H145" i="4"/>
  <c r="I145" i="4"/>
  <c r="P145" i="4" s="1"/>
  <c r="M145" i="4"/>
  <c r="T145" i="4" s="1"/>
  <c r="I83" i="4"/>
  <c r="P83" i="4" s="1"/>
  <c r="H16" i="3"/>
  <c r="H36" i="3"/>
  <c r="H56" i="3"/>
  <c r="H76" i="3"/>
  <c r="H96" i="3"/>
  <c r="H116" i="3"/>
  <c r="H136" i="3"/>
  <c r="I16" i="3"/>
  <c r="P16" i="3" s="1"/>
  <c r="I36" i="3"/>
  <c r="P36" i="3" s="1"/>
  <c r="I56" i="3"/>
  <c r="P56" i="3" s="1"/>
  <c r="I76" i="3"/>
  <c r="P76" i="3" s="1"/>
  <c r="I96" i="3"/>
  <c r="P96" i="3" s="1"/>
  <c r="I116" i="3"/>
  <c r="P116" i="3" s="1"/>
  <c r="I136" i="3"/>
  <c r="P136" i="3" s="1"/>
  <c r="N61" i="4"/>
  <c r="H20" i="3"/>
  <c r="O20" i="3" s="1"/>
  <c r="H40" i="3"/>
  <c r="H60" i="3"/>
  <c r="H80" i="3"/>
  <c r="H100" i="3"/>
  <c r="H120" i="3"/>
  <c r="H140" i="3"/>
  <c r="I20" i="3"/>
  <c r="P20" i="3" s="1"/>
  <c r="I40" i="3"/>
  <c r="P40" i="3" s="1"/>
  <c r="I60" i="3"/>
  <c r="P60" i="3" s="1"/>
  <c r="I80" i="3"/>
  <c r="P80" i="3" s="1"/>
  <c r="I100" i="3"/>
  <c r="P100" i="3" s="1"/>
  <c r="I120" i="3"/>
  <c r="P120" i="3" s="1"/>
  <c r="I140" i="3"/>
  <c r="P140" i="3" s="1"/>
  <c r="H21" i="3"/>
  <c r="H41" i="3"/>
  <c r="H61" i="3"/>
  <c r="O61" i="3" s="1"/>
  <c r="H81" i="3"/>
  <c r="H101" i="3"/>
  <c r="H121" i="3"/>
  <c r="H141" i="3"/>
  <c r="I21" i="3"/>
  <c r="P21" i="3" s="1"/>
  <c r="I41" i="3"/>
  <c r="P41" i="3" s="1"/>
  <c r="I61" i="3"/>
  <c r="I81" i="3"/>
  <c r="P81" i="3" s="1"/>
  <c r="I101" i="3"/>
  <c r="P101" i="3" s="1"/>
  <c r="I121" i="3"/>
  <c r="P121" i="3" s="1"/>
  <c r="I141" i="3"/>
  <c r="P141" i="3" s="1"/>
  <c r="H2" i="3"/>
  <c r="H22" i="3"/>
  <c r="H42" i="3"/>
  <c r="H62" i="3"/>
  <c r="H82" i="3"/>
  <c r="H102" i="3"/>
  <c r="H122" i="3"/>
  <c r="I2" i="3"/>
  <c r="I22" i="3"/>
  <c r="P22" i="3" s="1"/>
  <c r="I42" i="3"/>
  <c r="P42" i="3" s="1"/>
  <c r="I62" i="3"/>
  <c r="P62" i="3" s="1"/>
  <c r="I82" i="3"/>
  <c r="P82" i="3" s="1"/>
  <c r="I102" i="3"/>
  <c r="P102" i="3" s="1"/>
  <c r="I122" i="3"/>
  <c r="P122" i="3" s="1"/>
  <c r="P151" i="4"/>
  <c r="N148" i="4"/>
  <c r="P113" i="4"/>
  <c r="N146" i="4"/>
  <c r="N138" i="4"/>
  <c r="N133" i="4"/>
  <c r="N132" i="4"/>
  <c r="N121" i="4"/>
  <c r="N110" i="4"/>
  <c r="N109" i="4"/>
  <c r="O98" i="4"/>
  <c r="N28" i="4"/>
  <c r="P61" i="3"/>
  <c r="N34" i="3"/>
  <c r="N25" i="3"/>
  <c r="P23" i="3"/>
  <c r="N134" i="3"/>
  <c r="O121" i="3"/>
  <c r="O83" i="3"/>
  <c r="N20" i="3"/>
  <c r="O15" i="3"/>
  <c r="O5" i="3"/>
  <c r="N84" i="2"/>
  <c r="P77" i="2"/>
  <c r="N73" i="2"/>
  <c r="P72" i="2"/>
  <c r="N68" i="2"/>
  <c r="W86" i="4"/>
  <c r="Y44" i="4"/>
  <c r="Y113" i="4"/>
  <c r="W143" i="4"/>
  <c r="X21" i="4"/>
  <c r="X5" i="4"/>
  <c r="X148" i="4"/>
  <c r="Y31" i="4"/>
  <c r="W146" i="4"/>
  <c r="Y45" i="4"/>
  <c r="Y78" i="4"/>
  <c r="Y77" i="4"/>
  <c r="Y101" i="4"/>
  <c r="W124" i="4"/>
  <c r="X29" i="4"/>
  <c r="Y54" i="4"/>
  <c r="W145" i="4"/>
  <c r="Y111" i="4"/>
  <c r="Y84" i="4"/>
  <c r="W58" i="4"/>
  <c r="Y21" i="4"/>
  <c r="W101" i="4"/>
  <c r="Y156" i="4"/>
  <c r="Y155" i="4"/>
  <c r="Y153" i="4"/>
  <c r="Y150" i="4"/>
  <c r="Y148" i="4"/>
  <c r="Y18" i="4"/>
  <c r="Y19" i="4"/>
  <c r="Y20" i="4"/>
  <c r="Y22" i="4"/>
  <c r="Y37" i="4"/>
  <c r="X16" i="4"/>
  <c r="X22" i="4"/>
  <c r="Y23" i="4"/>
  <c r="W112" i="4"/>
  <c r="W91" i="4"/>
  <c r="X24" i="4"/>
  <c r="X11" i="4"/>
  <c r="Y85" i="4"/>
  <c r="Y83" i="4"/>
  <c r="Y10" i="4"/>
  <c r="Y3" i="4"/>
  <c r="Y8" i="4"/>
  <c r="Y7" i="4"/>
  <c r="Y11" i="4"/>
  <c r="Y9" i="4"/>
  <c r="Y71" i="4"/>
  <c r="W132" i="4"/>
  <c r="W121" i="4"/>
  <c r="W142" i="4"/>
  <c r="W117" i="4"/>
  <c r="W122" i="4"/>
  <c r="W107" i="4"/>
  <c r="W141" i="4"/>
  <c r="W144" i="4"/>
  <c r="W113" i="4"/>
  <c r="W129" i="4"/>
  <c r="W131" i="4"/>
  <c r="Y73" i="4"/>
  <c r="Y57" i="4"/>
  <c r="Y49" i="4"/>
  <c r="Y58" i="4"/>
  <c r="Y59" i="4"/>
  <c r="W72" i="4"/>
  <c r="X13" i="4"/>
  <c r="X150" i="4"/>
  <c r="X157" i="4"/>
  <c r="Y104" i="4"/>
  <c r="Y99" i="4"/>
  <c r="Y98" i="4"/>
  <c r="Y103" i="4"/>
  <c r="Y100" i="4"/>
  <c r="Y102" i="4"/>
  <c r="W99" i="4"/>
  <c r="Y137" i="4"/>
  <c r="Y119" i="4"/>
  <c r="Y120" i="4"/>
  <c r="X104" i="4"/>
  <c r="Y2" i="4"/>
  <c r="W96" i="4"/>
  <c r="Y98" i="3"/>
  <c r="W45" i="3"/>
  <c r="Y136" i="3"/>
  <c r="X25" i="3"/>
  <c r="Y21" i="3"/>
  <c r="W89" i="3"/>
  <c r="Y28" i="3"/>
  <c r="W21" i="3"/>
  <c r="Y95" i="3"/>
  <c r="X131" i="3"/>
  <c r="W62" i="3"/>
  <c r="W110" i="3"/>
  <c r="X7" i="3"/>
  <c r="W7" i="3"/>
  <c r="X45" i="3"/>
  <c r="Y55" i="3"/>
  <c r="X120" i="3"/>
  <c r="X33" i="3"/>
  <c r="Y111" i="3"/>
  <c r="W125" i="3"/>
  <c r="W34" i="3"/>
  <c r="W14" i="3"/>
  <c r="Y93" i="3"/>
  <c r="W121" i="3"/>
  <c r="W120" i="3"/>
  <c r="W85" i="3"/>
  <c r="W94" i="3"/>
  <c r="X113" i="3"/>
  <c r="X118" i="3"/>
  <c r="X107" i="3"/>
  <c r="X124" i="3"/>
  <c r="X116" i="3"/>
  <c r="X108" i="3"/>
  <c r="X119" i="3"/>
  <c r="X117" i="3"/>
  <c r="X128" i="3"/>
  <c r="X112" i="3"/>
  <c r="Y48" i="3"/>
  <c r="Y70" i="3"/>
  <c r="Y49" i="3"/>
  <c r="Y71" i="3"/>
  <c r="Y69" i="3"/>
  <c r="Y66" i="3"/>
  <c r="Y74" i="3"/>
  <c r="Y80" i="3"/>
  <c r="Y51" i="3"/>
  <c r="Y68" i="3"/>
  <c r="Y53" i="3"/>
  <c r="Y67" i="3"/>
  <c r="Y75" i="3"/>
  <c r="Y63" i="3"/>
  <c r="Y52" i="3"/>
  <c r="Y77" i="3"/>
  <c r="Y126" i="3"/>
  <c r="Y110" i="3"/>
  <c r="Y56" i="3"/>
  <c r="W35" i="3"/>
  <c r="W39" i="3"/>
  <c r="W46" i="3"/>
  <c r="W36" i="3"/>
  <c r="W41" i="3"/>
  <c r="W42" i="3"/>
  <c r="W40" i="3"/>
  <c r="W37" i="3"/>
  <c r="W38" i="3"/>
  <c r="W43" i="3"/>
  <c r="W47" i="3"/>
  <c r="Y92" i="3"/>
  <c r="Y91" i="3"/>
  <c r="Y84" i="3"/>
  <c r="Y85" i="3"/>
  <c r="Y94" i="3"/>
  <c r="Y87" i="3"/>
  <c r="X36" i="3"/>
  <c r="X40" i="3"/>
  <c r="X37" i="3"/>
  <c r="X43" i="3"/>
  <c r="X47" i="3"/>
  <c r="X38" i="3"/>
  <c r="X29" i="3"/>
  <c r="X26" i="3"/>
  <c r="X32" i="3"/>
  <c r="X27" i="3"/>
  <c r="X132" i="3"/>
  <c r="X135" i="3"/>
  <c r="X138" i="3"/>
  <c r="Y88" i="3"/>
  <c r="X111" i="3"/>
  <c r="X123" i="3"/>
  <c r="W123" i="3"/>
  <c r="Y139" i="3"/>
  <c r="Y140" i="3"/>
  <c r="Y137" i="3"/>
  <c r="Y135" i="3"/>
  <c r="Y138" i="3"/>
  <c r="Y131" i="3"/>
  <c r="Y134" i="3"/>
  <c r="Y130" i="3"/>
  <c r="Y141" i="3"/>
  <c r="Y86" i="3"/>
  <c r="X28" i="3"/>
  <c r="W88" i="3"/>
  <c r="W113" i="3"/>
  <c r="W118" i="3"/>
  <c r="W106" i="3"/>
  <c r="W114" i="3"/>
  <c r="W104" i="3"/>
  <c r="W107" i="3"/>
  <c r="W105" i="3"/>
  <c r="W126" i="3"/>
  <c r="W109" i="3"/>
  <c r="W115" i="3"/>
  <c r="W119" i="3"/>
  <c r="W124" i="3"/>
  <c r="W116" i="3"/>
  <c r="W117" i="3"/>
  <c r="W128" i="3"/>
  <c r="W112" i="3"/>
  <c r="X98" i="3"/>
  <c r="W44" i="3"/>
  <c r="W98" i="3"/>
  <c r="W103" i="3"/>
  <c r="W97" i="3"/>
  <c r="W99" i="3"/>
  <c r="W100" i="3"/>
  <c r="W101" i="3"/>
  <c r="W95" i="3"/>
  <c r="W102" i="3"/>
  <c r="Y129" i="3"/>
  <c r="Y121" i="3"/>
  <c r="X99" i="3"/>
  <c r="W86" i="3"/>
  <c r="W71" i="3"/>
  <c r="W73" i="3"/>
  <c r="W63" i="3"/>
  <c r="W82" i="3"/>
  <c r="X121" i="3"/>
  <c r="X44" i="3"/>
  <c r="W3" i="3"/>
  <c r="W8" i="3"/>
  <c r="W11" i="3"/>
  <c r="W9" i="3"/>
  <c r="W6" i="3"/>
  <c r="W16" i="3"/>
  <c r="W13" i="3"/>
  <c r="W15" i="3"/>
  <c r="W10" i="3"/>
  <c r="W4" i="3"/>
  <c r="W5" i="3"/>
  <c r="W17" i="3"/>
  <c r="W12" i="3"/>
  <c r="W2" i="3"/>
  <c r="Y35" i="3"/>
  <c r="Y42" i="3"/>
  <c r="Y36" i="3"/>
  <c r="Y41" i="3"/>
  <c r="Y40" i="3"/>
  <c r="X3" i="3"/>
  <c r="X15" i="3"/>
  <c r="X16" i="3"/>
  <c r="X9" i="3"/>
  <c r="X4" i="3"/>
  <c r="X8" i="3"/>
  <c r="X10" i="3"/>
  <c r="X13" i="3"/>
  <c r="X6" i="3"/>
  <c r="X11" i="3"/>
  <c r="X17" i="3"/>
  <c r="X5" i="3"/>
  <c r="X12" i="3"/>
  <c r="X2" i="3"/>
  <c r="Y20" i="3"/>
  <c r="Y19" i="3"/>
  <c r="Y22" i="3"/>
  <c r="Y25" i="3"/>
  <c r="Y23" i="3"/>
  <c r="Y24" i="3"/>
  <c r="Y18" i="3"/>
  <c r="W129" i="3"/>
  <c r="X94" i="3"/>
  <c r="X20" i="3"/>
  <c r="X21" i="3"/>
  <c r="X19" i="3"/>
  <c r="X22" i="3"/>
  <c r="X23" i="3"/>
  <c r="X34" i="3"/>
  <c r="W81" i="3"/>
  <c r="W23" i="3"/>
  <c r="W22" i="3"/>
  <c r="X35" i="2"/>
  <c r="Y64" i="2"/>
  <c r="X21" i="2"/>
  <c r="Y27" i="2"/>
  <c r="W24" i="2"/>
  <c r="X90" i="2"/>
  <c r="Y16" i="2"/>
  <c r="X11" i="2"/>
  <c r="W2" i="2"/>
  <c r="W82" i="2"/>
  <c r="X52" i="2"/>
  <c r="X31" i="2"/>
  <c r="X26" i="2"/>
  <c r="Y4" i="2"/>
  <c r="Y11" i="2"/>
  <c r="W89" i="2"/>
  <c r="X63" i="2"/>
  <c r="W49" i="2"/>
  <c r="W12" i="2"/>
  <c r="X15" i="2"/>
  <c r="W4" i="2"/>
  <c r="W64" i="2"/>
  <c r="Y88" i="2"/>
  <c r="W18" i="2"/>
  <c r="Y82" i="2"/>
  <c r="Y24" i="2"/>
  <c r="W25" i="2"/>
  <c r="Y53" i="2"/>
  <c r="X75" i="2"/>
  <c r="X54" i="2"/>
  <c r="X58" i="2"/>
  <c r="X55" i="2"/>
  <c r="X60" i="2"/>
  <c r="X64" i="2"/>
  <c r="X61" i="2"/>
  <c r="X56" i="2"/>
  <c r="Y40" i="2"/>
  <c r="Y41" i="2"/>
  <c r="Y34" i="2"/>
  <c r="Y38" i="2"/>
  <c r="Y42" i="2"/>
  <c r="Y49" i="2"/>
  <c r="Y43" i="2"/>
  <c r="Y39" i="2"/>
  <c r="Y30" i="2"/>
  <c r="Y37" i="2"/>
  <c r="Y31" i="2"/>
  <c r="Y32" i="2"/>
  <c r="Y33" i="2"/>
  <c r="Y66" i="2"/>
  <c r="Y73" i="2"/>
  <c r="Y77" i="2"/>
  <c r="Y80" i="2"/>
  <c r="Y72" i="2"/>
  <c r="Y76" i="2"/>
  <c r="Y79" i="2"/>
  <c r="Y67" i="2"/>
  <c r="Y81" i="2"/>
  <c r="W48" i="2"/>
  <c r="W36" i="2"/>
  <c r="W29" i="2"/>
  <c r="W47" i="2"/>
  <c r="W43" i="2"/>
  <c r="W46" i="2"/>
  <c r="W37" i="2"/>
  <c r="X91" i="2"/>
  <c r="X89" i="2"/>
  <c r="X3" i="2"/>
  <c r="X4" i="2"/>
  <c r="X2" i="2"/>
  <c r="Y85" i="2"/>
  <c r="Y84" i="2"/>
  <c r="Y89" i="2"/>
  <c r="Y87" i="2"/>
  <c r="Y90" i="2"/>
  <c r="Y91" i="2"/>
  <c r="Y12" i="2"/>
  <c r="Y7" i="2"/>
  <c r="Y56" i="2"/>
  <c r="Y62" i="2"/>
  <c r="Y61" i="2"/>
  <c r="Y57" i="2"/>
  <c r="Y58" i="2"/>
  <c r="Y59" i="2"/>
  <c r="Y63" i="2"/>
  <c r="Y3" i="2"/>
  <c r="W78" i="2"/>
  <c r="Y25" i="2"/>
  <c r="W56" i="2"/>
  <c r="W62" i="2"/>
  <c r="W57" i="2"/>
  <c r="W58" i="2"/>
  <c r="W59" i="2"/>
  <c r="W63" i="2"/>
  <c r="W60" i="2"/>
  <c r="W19" i="2"/>
  <c r="W17" i="2"/>
  <c r="W85" i="2"/>
  <c r="W91" i="2"/>
  <c r="W86" i="2"/>
  <c r="W27" i="2"/>
  <c r="X76" i="2"/>
  <c r="X80" i="2"/>
  <c r="X71" i="2"/>
  <c r="X77" i="2"/>
  <c r="X65" i="2"/>
  <c r="X81" i="2"/>
  <c r="X66" i="2"/>
  <c r="X72" i="2"/>
  <c r="X82" i="2"/>
  <c r="X67" i="2"/>
  <c r="X73" i="2"/>
  <c r="X68" i="2"/>
  <c r="X70" i="2"/>
  <c r="X78" i="2"/>
  <c r="X69" i="2"/>
  <c r="X38" i="2"/>
  <c r="X42" i="2"/>
  <c r="X41" i="2"/>
  <c r="W77" i="2"/>
  <c r="X40" i="2"/>
  <c r="X36" i="2"/>
  <c r="W79" i="2"/>
  <c r="X48" i="2"/>
  <c r="W26" i="2"/>
  <c r="W76" i="2"/>
  <c r="X50" i="2"/>
  <c r="X47" i="2"/>
  <c r="W75" i="2"/>
  <c r="X37" i="2"/>
  <c r="X46" i="2"/>
  <c r="X39" i="2"/>
  <c r="X43" i="2"/>
  <c r="X30" i="2"/>
  <c r="W73" i="2"/>
  <c r="X45" i="2"/>
  <c r="X34" i="2"/>
  <c r="X44" i="2"/>
  <c r="X33" i="2"/>
  <c r="W74" i="2"/>
  <c r="X53" i="2"/>
  <c r="X32" i="2"/>
  <c r="X28" i="2"/>
  <c r="A2" i="15" a="1"/>
  <c r="A2" i="15" s="1"/>
  <c r="B33" i="1" l="1" a="1"/>
  <c r="B33" i="1" s="1"/>
  <c r="N81" i="2"/>
  <c r="N15" i="2"/>
  <c r="S35" i="1" a="1"/>
  <c r="S35" i="1" s="1"/>
  <c r="N19" i="3"/>
  <c r="N16" i="2"/>
  <c r="S12" i="1" a="1"/>
  <c r="S12" i="1" s="1"/>
  <c r="B7" i="1" a="1"/>
  <c r="B7" i="1" s="1"/>
  <c r="F3" i="1" a="1"/>
  <c r="F3" i="1" s="1"/>
  <c r="F39" i="1" a="1"/>
  <c r="F39" i="1" s="1"/>
  <c r="F9" i="1" a="1"/>
  <c r="F9" i="1" s="1"/>
  <c r="G4" i="1" a="1"/>
  <c r="G4" i="1" s="1"/>
  <c r="C31" i="1" a="1"/>
  <c r="C31" i="1" s="1"/>
  <c r="G39" i="1" a="1"/>
  <c r="G39" i="1" s="1"/>
  <c r="I39" i="1" s="1"/>
  <c r="G36" i="1" a="1"/>
  <c r="G36" i="1" s="1"/>
  <c r="F36" i="1" a="1"/>
  <c r="F36" i="1" s="1"/>
  <c r="B34" i="1" a="1"/>
  <c r="B34" i="1" s="1"/>
  <c r="C6" i="1" a="1"/>
  <c r="C6" i="1" s="1"/>
  <c r="B8" i="1" a="1"/>
  <c r="B8" i="1" s="1"/>
  <c r="O9" i="2"/>
  <c r="N9" i="2"/>
  <c r="N103" i="3"/>
  <c r="N126" i="3"/>
  <c r="O126" i="3"/>
  <c r="B10" i="1" a="1"/>
  <c r="B10" i="1" s="1"/>
  <c r="O71" i="3"/>
  <c r="N71" i="3"/>
  <c r="R5" i="1" a="1"/>
  <c r="R5" i="1" s="1"/>
  <c r="S18" i="1" a="1"/>
  <c r="S18" i="1" s="1"/>
  <c r="O46" i="2"/>
  <c r="N46" i="2"/>
  <c r="O92" i="4"/>
  <c r="N92" i="4"/>
  <c r="S4" i="1" a="1"/>
  <c r="S4" i="1" s="1"/>
  <c r="G6" i="1" a="1"/>
  <c r="G6" i="1" s="1"/>
  <c r="O7" i="4"/>
  <c r="N7" i="4"/>
  <c r="R10" i="1" a="1"/>
  <c r="R10" i="1" s="1"/>
  <c r="N33" i="4"/>
  <c r="O33" i="4"/>
  <c r="F32" i="1" a="1"/>
  <c r="F32" i="1" s="1"/>
  <c r="N45" i="4"/>
  <c r="P45" i="4"/>
  <c r="N64" i="4"/>
  <c r="O64" i="4"/>
  <c r="B12" i="1" a="1"/>
  <c r="B12" i="1" s="1"/>
  <c r="N70" i="2"/>
  <c r="O70" i="2"/>
  <c r="B3" i="1" a="1"/>
  <c r="B3" i="1" s="1"/>
  <c r="N71" i="4"/>
  <c r="O71" i="4"/>
  <c r="N31" i="3"/>
  <c r="O31" i="3"/>
  <c r="O6" i="3"/>
  <c r="N6" i="3"/>
  <c r="R7" i="1" a="1"/>
  <c r="R7" i="1" s="1"/>
  <c r="S20" i="1" a="1"/>
  <c r="S20" i="1" s="1"/>
  <c r="O13" i="4"/>
  <c r="N13" i="4"/>
  <c r="O26" i="2"/>
  <c r="N26" i="2"/>
  <c r="O70" i="4"/>
  <c r="N70" i="4"/>
  <c r="O127" i="4"/>
  <c r="N127" i="4"/>
  <c r="O9" i="4"/>
  <c r="N9" i="4"/>
  <c r="O67" i="4"/>
  <c r="N67" i="4"/>
  <c r="O26" i="4"/>
  <c r="N26" i="4"/>
  <c r="G38" i="1" a="1"/>
  <c r="G38" i="1" s="1"/>
  <c r="O89" i="2"/>
  <c r="N89" i="2"/>
  <c r="F40" i="1" a="1"/>
  <c r="F40" i="1" s="1"/>
  <c r="C32" i="1" a="1"/>
  <c r="C32" i="1" s="1"/>
  <c r="C3" i="1" a="1"/>
  <c r="C3" i="1" s="1"/>
  <c r="N19" i="4"/>
  <c r="N11" i="3"/>
  <c r="O11" i="3"/>
  <c r="O15" i="4"/>
  <c r="N15" i="4"/>
  <c r="N84" i="3"/>
  <c r="P84" i="3"/>
  <c r="S21" i="1" a="1"/>
  <c r="S21" i="1" s="1"/>
  <c r="N149" i="4"/>
  <c r="O149" i="4"/>
  <c r="G12" i="1" a="1"/>
  <c r="G12" i="1" s="1"/>
  <c r="G33" i="1" a="1"/>
  <c r="G33" i="1" s="1"/>
  <c r="R18" i="1" a="1"/>
  <c r="R18" i="1" s="1"/>
  <c r="N74" i="3"/>
  <c r="O74" i="3"/>
  <c r="G5" i="1" a="1"/>
  <c r="G5" i="1" s="1"/>
  <c r="G7" i="1" a="1"/>
  <c r="G7" i="1" s="1"/>
  <c r="P91" i="4"/>
  <c r="G37" i="1" a="1"/>
  <c r="G37" i="1" s="1"/>
  <c r="C4" i="1" a="1"/>
  <c r="C4" i="1" s="1"/>
  <c r="N72" i="4"/>
  <c r="O72" i="4"/>
  <c r="O114" i="3"/>
  <c r="N114" i="3"/>
  <c r="S24" i="1" a="1"/>
  <c r="S24" i="1" s="1"/>
  <c r="N49" i="4"/>
  <c r="O49" i="4"/>
  <c r="N63" i="3"/>
  <c r="O63" i="3"/>
  <c r="S22" i="1" a="1"/>
  <c r="S22" i="1" s="1"/>
  <c r="N52" i="4"/>
  <c r="P52" i="4"/>
  <c r="O111" i="4"/>
  <c r="N111" i="4"/>
  <c r="F4" i="1" a="1"/>
  <c r="F4" i="1" s="1"/>
  <c r="S3" i="1" a="1"/>
  <c r="S3" i="1" s="1"/>
  <c r="P135" i="3"/>
  <c r="N135" i="3"/>
  <c r="N20" i="2"/>
  <c r="O20" i="2"/>
  <c r="N111" i="3"/>
  <c r="O111" i="3"/>
  <c r="R4" i="1" a="1"/>
  <c r="R4" i="1" s="1"/>
  <c r="B11" i="1" a="1"/>
  <c r="B11" i="1" s="1"/>
  <c r="F31" i="1" a="1"/>
  <c r="F31" i="1" s="1"/>
  <c r="O44" i="4"/>
  <c r="N44" i="4"/>
  <c r="O6" i="4"/>
  <c r="N6" i="4"/>
  <c r="O5" i="4"/>
  <c r="N5" i="4"/>
  <c r="O30" i="2"/>
  <c r="N30" i="2"/>
  <c r="S31" i="1" a="1"/>
  <c r="S31" i="1" s="1"/>
  <c r="N43" i="4"/>
  <c r="O43" i="4"/>
  <c r="N32" i="4"/>
  <c r="P32" i="4"/>
  <c r="N135" i="4"/>
  <c r="P135" i="4"/>
  <c r="P29" i="2"/>
  <c r="N29" i="2"/>
  <c r="N48" i="4"/>
  <c r="O48" i="4"/>
  <c r="N131" i="4"/>
  <c r="O131" i="4"/>
  <c r="N139" i="3"/>
  <c r="O139" i="3"/>
  <c r="O44" i="2"/>
  <c r="N44" i="2"/>
  <c r="F7" i="1" a="1"/>
  <c r="F7" i="1" s="1"/>
  <c r="N31" i="4"/>
  <c r="O31" i="4"/>
  <c r="N133" i="3"/>
  <c r="F35" i="1" a="1"/>
  <c r="F35" i="1" s="1"/>
  <c r="N6" i="2"/>
  <c r="O6" i="2"/>
  <c r="C9" i="1" a="1"/>
  <c r="C9" i="1" s="1"/>
  <c r="N123" i="3"/>
  <c r="O123" i="3"/>
  <c r="O13" i="3"/>
  <c r="N13" i="3"/>
  <c r="N91" i="2"/>
  <c r="O91" i="2"/>
  <c r="O30" i="4"/>
  <c r="N30" i="4"/>
  <c r="F8" i="1" a="1"/>
  <c r="F8" i="1" s="1"/>
  <c r="N35" i="4"/>
  <c r="N38" i="4"/>
  <c r="O38" i="4"/>
  <c r="R39" i="1" a="1"/>
  <c r="R39" i="1" s="1"/>
  <c r="O18" i="4"/>
  <c r="N18" i="4"/>
  <c r="N39" i="3"/>
  <c r="O39" i="3"/>
  <c r="C5" i="1" a="1"/>
  <c r="C5" i="1" s="1"/>
  <c r="P131" i="3"/>
  <c r="N131" i="3"/>
  <c r="R24" i="1" a="1"/>
  <c r="R24" i="1" s="1"/>
  <c r="N140" i="3"/>
  <c r="O140" i="3"/>
  <c r="S32" i="1" a="1"/>
  <c r="S32" i="1" s="1"/>
  <c r="N61" i="3"/>
  <c r="O120" i="3"/>
  <c r="N120" i="3"/>
  <c r="O24" i="4"/>
  <c r="N24" i="4"/>
  <c r="N10" i="2"/>
  <c r="O10" i="2"/>
  <c r="S33" i="1" a="1"/>
  <c r="S33" i="1" s="1"/>
  <c r="N8" i="3"/>
  <c r="O8" i="3"/>
  <c r="N33" i="2"/>
  <c r="P33" i="2"/>
  <c r="N57" i="4"/>
  <c r="O57" i="4"/>
  <c r="O115" i="4"/>
  <c r="N115" i="4"/>
  <c r="N47" i="4"/>
  <c r="O47" i="4"/>
  <c r="O37" i="3"/>
  <c r="N37" i="3"/>
  <c r="O24" i="2"/>
  <c r="N24" i="2"/>
  <c r="N95" i="3"/>
  <c r="O95" i="3"/>
  <c r="N11" i="4"/>
  <c r="N91" i="3"/>
  <c r="O132" i="3"/>
  <c r="N132" i="3"/>
  <c r="O23" i="4"/>
  <c r="N23" i="4"/>
  <c r="N108" i="4"/>
  <c r="O108" i="4"/>
  <c r="P4" i="2"/>
  <c r="N4" i="2"/>
  <c r="O38" i="3"/>
  <c r="N38" i="3"/>
  <c r="N12" i="4"/>
  <c r="O12" i="4"/>
  <c r="N51" i="4"/>
  <c r="P51" i="4"/>
  <c r="F10" i="1" a="1"/>
  <c r="F10" i="1" s="1"/>
  <c r="P26" i="3"/>
  <c r="N26" i="3"/>
  <c r="N63" i="2"/>
  <c r="N51" i="3"/>
  <c r="R6" i="1" a="1"/>
  <c r="R6" i="1" s="1"/>
  <c r="N59" i="3"/>
  <c r="O59" i="3"/>
  <c r="F34" i="1" a="1"/>
  <c r="F34" i="1" s="1"/>
  <c r="N52" i="2"/>
  <c r="O52" i="2"/>
  <c r="O80" i="3"/>
  <c r="N80" i="3"/>
  <c r="O116" i="3"/>
  <c r="N116" i="3"/>
  <c r="N144" i="4"/>
  <c r="O144" i="4"/>
  <c r="P4" i="4"/>
  <c r="G34" i="1" a="1"/>
  <c r="G34" i="1" s="1"/>
  <c r="G32" i="1" a="1"/>
  <c r="G32" i="1" s="1"/>
  <c r="B6" i="1" a="1"/>
  <c r="B6" i="1" s="1"/>
  <c r="S36" i="1" a="1"/>
  <c r="S36" i="1" s="1"/>
  <c r="N112" i="3"/>
  <c r="P112" i="3"/>
  <c r="T3" i="4"/>
  <c r="R38" i="1" a="1"/>
  <c r="R38" i="1" s="1"/>
  <c r="R37" i="1" a="1"/>
  <c r="R37" i="1" s="1"/>
  <c r="R36" i="1" a="1"/>
  <c r="R36" i="1" s="1"/>
  <c r="R35" i="1" a="1"/>
  <c r="R35" i="1" s="1"/>
  <c r="T35" i="1" s="1"/>
  <c r="R34" i="1" a="1"/>
  <c r="R34" i="1" s="1"/>
  <c r="N118" i="3"/>
  <c r="O118" i="3"/>
  <c r="O64" i="2"/>
  <c r="N64" i="2"/>
  <c r="P17" i="4"/>
  <c r="N17" i="4"/>
  <c r="S9" i="1" a="1"/>
  <c r="S9" i="1" s="1"/>
  <c r="O3" i="3"/>
  <c r="N3" i="3"/>
  <c r="R19" i="1" a="1"/>
  <c r="R19" i="1" s="1"/>
  <c r="R17" i="1" a="1"/>
  <c r="R17" i="1" s="1"/>
  <c r="N10" i="4"/>
  <c r="O10" i="4"/>
  <c r="F11" i="1" a="1"/>
  <c r="F11" i="1" s="1"/>
  <c r="O126" i="4"/>
  <c r="N126" i="4"/>
  <c r="O53" i="3"/>
  <c r="N53" i="3"/>
  <c r="T3" i="2"/>
  <c r="R12" i="1" a="1"/>
  <c r="R12" i="1" s="1"/>
  <c r="T12" i="1" s="1"/>
  <c r="N115" i="3"/>
  <c r="O90" i="4"/>
  <c r="N90" i="4"/>
  <c r="N46" i="4"/>
  <c r="O46" i="4"/>
  <c r="N90" i="2"/>
  <c r="O90" i="2"/>
  <c r="C26" i="1" a="1"/>
  <c r="C26" i="1" s="1"/>
  <c r="B19" i="1" a="1"/>
  <c r="B19" i="1" s="1"/>
  <c r="B18" i="1" a="1"/>
  <c r="B18" i="1" s="1"/>
  <c r="C25" i="1" a="1"/>
  <c r="C25" i="1" s="1"/>
  <c r="B17" i="1" a="1"/>
  <c r="B17" i="1" s="1"/>
  <c r="C24" i="1" a="1"/>
  <c r="C24" i="1" s="1"/>
  <c r="C23" i="1" a="1"/>
  <c r="C23" i="1" s="1"/>
  <c r="C22" i="1" a="1"/>
  <c r="C22" i="1" s="1"/>
  <c r="C20" i="1" a="1"/>
  <c r="C20" i="1" s="1"/>
  <c r="C19" i="1" a="1"/>
  <c r="C19" i="1" s="1"/>
  <c r="C18" i="1" a="1"/>
  <c r="C18" i="1" s="1"/>
  <c r="E18" i="1" s="1"/>
  <c r="C17" i="1" a="1"/>
  <c r="C17" i="1" s="1"/>
  <c r="E17" i="1" s="1"/>
  <c r="B20" i="1" a="1"/>
  <c r="B20" i="1" s="1"/>
  <c r="C21" i="1" a="1"/>
  <c r="C21" i="1" s="1"/>
  <c r="B26" i="1" a="1"/>
  <c r="B26" i="1" s="1"/>
  <c r="B25" i="1" a="1"/>
  <c r="B25" i="1" s="1"/>
  <c r="B24" i="1" a="1"/>
  <c r="B24" i="1" s="1"/>
  <c r="B23" i="1" a="1"/>
  <c r="B23" i="1" s="1"/>
  <c r="B22" i="1" a="1"/>
  <c r="B22" i="1" s="1"/>
  <c r="O2" i="3"/>
  <c r="B21" i="1" a="1"/>
  <c r="B21" i="1" s="1"/>
  <c r="N2" i="3"/>
  <c r="R40" i="1" a="1"/>
  <c r="R40" i="1" s="1"/>
  <c r="O46" i="3"/>
  <c r="N46" i="3"/>
  <c r="F5" i="1" a="1"/>
  <c r="F5" i="1" s="1"/>
  <c r="N141" i="3"/>
  <c r="O141" i="3"/>
  <c r="N60" i="3"/>
  <c r="O60" i="3"/>
  <c r="N96" i="3"/>
  <c r="O96" i="3"/>
  <c r="N145" i="4"/>
  <c r="O145" i="4"/>
  <c r="O4" i="4"/>
  <c r="N4" i="4"/>
  <c r="N32" i="2"/>
  <c r="O32" i="2"/>
  <c r="N59" i="4"/>
  <c r="O59" i="4"/>
  <c r="S37" i="1" a="1"/>
  <c r="S37" i="1" s="1"/>
  <c r="B31" i="1" a="1"/>
  <c r="B31" i="1" s="1"/>
  <c r="C40" i="1" a="1"/>
  <c r="C40" i="1" s="1"/>
  <c r="C39" i="1" a="1"/>
  <c r="C39" i="1" s="1"/>
  <c r="C38" i="1" a="1"/>
  <c r="C38" i="1" s="1"/>
  <c r="E38" i="1" s="1"/>
  <c r="C37" i="1" a="1"/>
  <c r="C37" i="1" s="1"/>
  <c r="C36" i="1" a="1"/>
  <c r="C36" i="1" s="1"/>
  <c r="C35" i="1" a="1"/>
  <c r="C35" i="1" s="1"/>
  <c r="C34" i="1" a="1"/>
  <c r="C34" i="1" s="1"/>
  <c r="B37" i="1" a="1"/>
  <c r="B37" i="1" s="1"/>
  <c r="B32" i="1" a="1"/>
  <c r="B32" i="1" s="1"/>
  <c r="O3" i="4"/>
  <c r="N3" i="4"/>
  <c r="C7" i="1" a="1"/>
  <c r="C7" i="1" s="1"/>
  <c r="O31" i="2"/>
  <c r="N31" i="2"/>
  <c r="N50" i="4"/>
  <c r="O50" i="4"/>
  <c r="O95" i="4"/>
  <c r="N95" i="4"/>
  <c r="R8" i="1" a="1"/>
  <c r="R8" i="1" s="1"/>
  <c r="S25" i="1" a="1"/>
  <c r="S25" i="1" s="1"/>
  <c r="G10" i="1" a="1"/>
  <c r="G10" i="1" s="1"/>
  <c r="N150" i="4"/>
  <c r="O150" i="4"/>
  <c r="N89" i="4"/>
  <c r="O89" i="4"/>
  <c r="F12" i="1" a="1"/>
  <c r="F12" i="1" s="1"/>
  <c r="N49" i="2"/>
  <c r="O45" i="2"/>
  <c r="N45" i="2"/>
  <c r="G8" i="1" a="1"/>
  <c r="G8" i="1" s="1"/>
  <c r="P3" i="2"/>
  <c r="R26" i="1" a="1"/>
  <c r="R26" i="1" s="1"/>
  <c r="N79" i="3"/>
  <c r="O79" i="3"/>
  <c r="O43" i="2"/>
  <c r="N43" i="2"/>
  <c r="N42" i="3"/>
  <c r="O42" i="3"/>
  <c r="G11" i="1" a="1"/>
  <c r="G11" i="1" s="1"/>
  <c r="N8" i="4"/>
  <c r="O8" i="4"/>
  <c r="N100" i="3"/>
  <c r="O100" i="3"/>
  <c r="N121" i="3"/>
  <c r="O40" i="3"/>
  <c r="N40" i="3"/>
  <c r="N76" i="3"/>
  <c r="O76" i="3"/>
  <c r="S38" i="1" a="1"/>
  <c r="S38" i="1" s="1"/>
  <c r="U38" i="1" s="1"/>
  <c r="O55" i="4"/>
  <c r="N55" i="4"/>
  <c r="S6" i="1" a="1"/>
  <c r="S6" i="1" s="1"/>
  <c r="S26" i="1" a="1"/>
  <c r="S26" i="1" s="1"/>
  <c r="N93" i="4"/>
  <c r="O93" i="4"/>
  <c r="P27" i="2"/>
  <c r="N27" i="2"/>
  <c r="N130" i="4"/>
  <c r="O130" i="4"/>
  <c r="N138" i="3"/>
  <c r="O138" i="3"/>
  <c r="N57" i="3"/>
  <c r="O57" i="3"/>
  <c r="G3" i="1" a="1"/>
  <c r="G3" i="1" s="1"/>
  <c r="I3" i="1" s="1"/>
  <c r="N3" i="2"/>
  <c r="C11" i="1" a="1"/>
  <c r="C11" i="1" s="1"/>
  <c r="C10" i="1" a="1"/>
  <c r="C10" i="1" s="1"/>
  <c r="O3" i="2"/>
  <c r="C12" i="1" a="1"/>
  <c r="C12" i="1" s="1"/>
  <c r="N75" i="3"/>
  <c r="N117" i="3"/>
  <c r="N62" i="3"/>
  <c r="O62" i="3"/>
  <c r="N66" i="2"/>
  <c r="O66" i="2"/>
  <c r="R9" i="1" a="1"/>
  <c r="R9" i="1" s="1"/>
  <c r="O29" i="4"/>
  <c r="N29" i="4"/>
  <c r="S23" i="1" a="1"/>
  <c r="S23" i="1" s="1"/>
  <c r="N54" i="3"/>
  <c r="O54" i="3"/>
  <c r="N136" i="3"/>
  <c r="O136" i="3"/>
  <c r="N101" i="3"/>
  <c r="O101" i="3"/>
  <c r="N56" i="3"/>
  <c r="O56" i="3"/>
  <c r="N124" i="4"/>
  <c r="O124" i="4"/>
  <c r="B5" i="1" a="1"/>
  <c r="B5" i="1" s="1"/>
  <c r="R31" i="1" a="1"/>
  <c r="R31" i="1" s="1"/>
  <c r="N32" i="3"/>
  <c r="O32" i="3"/>
  <c r="N5" i="2"/>
  <c r="P5" i="2"/>
  <c r="N12" i="2"/>
  <c r="O12" i="2"/>
  <c r="N78" i="3"/>
  <c r="P78" i="3"/>
  <c r="S7" i="1" a="1"/>
  <c r="S7" i="1" s="1"/>
  <c r="R20" i="1" a="1"/>
  <c r="R20" i="1" s="1"/>
  <c r="O58" i="2"/>
  <c r="N58" i="2"/>
  <c r="O152" i="4"/>
  <c r="N152" i="4"/>
  <c r="O33" i="3"/>
  <c r="N33" i="3"/>
  <c r="N98" i="3"/>
  <c r="O98" i="3"/>
  <c r="G31" i="1" a="1"/>
  <c r="G31" i="1" s="1"/>
  <c r="N86" i="4"/>
  <c r="O86" i="4"/>
  <c r="N55" i="3"/>
  <c r="S5" i="1" a="1"/>
  <c r="S5" i="1" s="1"/>
  <c r="O107" i="4"/>
  <c r="N107" i="4"/>
  <c r="S17" i="1" a="1"/>
  <c r="S17" i="1" s="1"/>
  <c r="O87" i="4"/>
  <c r="N87" i="4"/>
  <c r="S19" i="1" a="1"/>
  <c r="S19" i="1" s="1"/>
  <c r="N10" i="3"/>
  <c r="G24" i="1" a="1"/>
  <c r="G24" i="1" s="1"/>
  <c r="F17" i="1" a="1"/>
  <c r="F17" i="1" s="1"/>
  <c r="G23" i="1" a="1"/>
  <c r="G23" i="1" s="1"/>
  <c r="G22" i="1" a="1"/>
  <c r="G22" i="1" s="1"/>
  <c r="G21" i="1" a="1"/>
  <c r="G21" i="1" s="1"/>
  <c r="G20" i="1" a="1"/>
  <c r="G20" i="1" s="1"/>
  <c r="G19" i="1" a="1"/>
  <c r="G19" i="1" s="1"/>
  <c r="G17" i="1" a="1"/>
  <c r="G17" i="1" s="1"/>
  <c r="F26" i="1" a="1"/>
  <c r="F26" i="1" s="1"/>
  <c r="F25" i="1" a="1"/>
  <c r="F25" i="1" s="1"/>
  <c r="F20" i="1" a="1"/>
  <c r="F20" i="1" s="1"/>
  <c r="F19" i="1" a="1"/>
  <c r="F19" i="1" s="1"/>
  <c r="F18" i="1" a="1"/>
  <c r="F18" i="1" s="1"/>
  <c r="G18" i="1" a="1"/>
  <c r="G18" i="1" s="1"/>
  <c r="F24" i="1" a="1"/>
  <c r="F24" i="1" s="1"/>
  <c r="F23" i="1" a="1"/>
  <c r="F23" i="1" s="1"/>
  <c r="F22" i="1" a="1"/>
  <c r="F22" i="1" s="1"/>
  <c r="F21" i="1" a="1"/>
  <c r="F21" i="1" s="1"/>
  <c r="P2" i="3"/>
  <c r="G26" i="1" a="1"/>
  <c r="G26" i="1" s="1"/>
  <c r="G25" i="1" a="1"/>
  <c r="G25" i="1" s="1"/>
  <c r="O81" i="3"/>
  <c r="N81" i="3"/>
  <c r="F38" i="1" a="1"/>
  <c r="F38" i="1" s="1"/>
  <c r="N36" i="3"/>
  <c r="O36" i="3"/>
  <c r="O125" i="4"/>
  <c r="N125" i="4"/>
  <c r="S39" i="1" a="1"/>
  <c r="S39" i="1" s="1"/>
  <c r="U39" i="1" s="1"/>
  <c r="O43" i="3"/>
  <c r="N43" i="3"/>
  <c r="S8" i="1" a="1"/>
  <c r="S8" i="1" s="1"/>
  <c r="R21" i="1" a="1"/>
  <c r="R21" i="1" s="1"/>
  <c r="P73" i="4"/>
  <c r="N73" i="4"/>
  <c r="N69" i="4"/>
  <c r="O69" i="4"/>
  <c r="N83" i="2"/>
  <c r="P83" i="2"/>
  <c r="N27" i="4"/>
  <c r="O27" i="4"/>
  <c r="O88" i="4"/>
  <c r="N88" i="4"/>
  <c r="R11" i="1" a="1"/>
  <c r="R11" i="1" s="1"/>
  <c r="N18" i="3"/>
  <c r="N35" i="3"/>
  <c r="N113" i="3"/>
  <c r="N84" i="4"/>
  <c r="P84" i="4"/>
  <c r="F33" i="1" a="1"/>
  <c r="F33" i="1" s="1"/>
  <c r="B35" i="1" a="1"/>
  <c r="B35" i="1" s="1"/>
  <c r="B40" i="1" a="1"/>
  <c r="B40" i="1" s="1"/>
  <c r="N86" i="2"/>
  <c r="O86" i="2"/>
  <c r="N50" i="2"/>
  <c r="N147" i="4"/>
  <c r="O147" i="4"/>
  <c r="N66" i="3"/>
  <c r="N58" i="4"/>
  <c r="O58" i="4"/>
  <c r="O22" i="3"/>
  <c r="N22" i="3"/>
  <c r="N65" i="4"/>
  <c r="O65" i="4"/>
  <c r="N122" i="3"/>
  <c r="O122" i="3"/>
  <c r="O16" i="3"/>
  <c r="N16" i="3"/>
  <c r="R32" i="1" a="1"/>
  <c r="R32" i="1" s="1"/>
  <c r="O119" i="3"/>
  <c r="N119" i="3"/>
  <c r="O71" i="2"/>
  <c r="N71" i="2"/>
  <c r="C33" i="1" a="1"/>
  <c r="C33" i="1" s="1"/>
  <c r="E33" i="1" s="1"/>
  <c r="S10" i="1" a="1"/>
  <c r="S10" i="1" s="1"/>
  <c r="R22" i="1" a="1"/>
  <c r="R22" i="1" s="1"/>
  <c r="O102" i="3"/>
  <c r="N102" i="3"/>
  <c r="N41" i="3"/>
  <c r="O41" i="3"/>
  <c r="F37" i="1" a="1"/>
  <c r="F37" i="1" s="1"/>
  <c r="G40" i="1" a="1"/>
  <c r="G40" i="1" s="1"/>
  <c r="N104" i="4"/>
  <c r="O104" i="4"/>
  <c r="B9" i="1" a="1"/>
  <c r="B9" i="1" s="1"/>
  <c r="B4" i="1" a="1"/>
  <c r="B4" i="1" s="1"/>
  <c r="R33" i="1" a="1"/>
  <c r="R33" i="1" s="1"/>
  <c r="O17" i="3"/>
  <c r="N17" i="3"/>
  <c r="O78" i="4"/>
  <c r="N78" i="4"/>
  <c r="S11" i="1" a="1"/>
  <c r="S11" i="1" s="1"/>
  <c r="R23" i="1" a="1"/>
  <c r="R23" i="1" s="1"/>
  <c r="N53" i="4"/>
  <c r="O53" i="4"/>
  <c r="N23" i="2"/>
  <c r="P23" i="2"/>
  <c r="N66" i="4"/>
  <c r="O66" i="4"/>
  <c r="G9" i="1" a="1"/>
  <c r="G9" i="1" s="1"/>
  <c r="I9" i="1" s="1"/>
  <c r="C8" i="1" a="1"/>
  <c r="C8" i="1" s="1"/>
  <c r="E8" i="1" s="1"/>
  <c r="S34" i="1" a="1"/>
  <c r="S34" i="1" s="1"/>
  <c r="O82" i="3"/>
  <c r="N82" i="3"/>
  <c r="O21" i="3"/>
  <c r="N21" i="3"/>
  <c r="B39" i="1" a="1"/>
  <c r="B39" i="1" s="1"/>
  <c r="B36" i="1" a="1"/>
  <c r="B36" i="1" s="1"/>
  <c r="D36" i="1" s="1"/>
  <c r="N85" i="4"/>
  <c r="O85" i="4"/>
  <c r="S40" i="1" a="1"/>
  <c r="S40" i="1" s="1"/>
  <c r="O11" i="2"/>
  <c r="N11" i="2"/>
  <c r="O69" i="2"/>
  <c r="N69" i="2"/>
  <c r="R3" i="1" a="1"/>
  <c r="R3" i="1" s="1"/>
  <c r="R25" i="1" a="1"/>
  <c r="R25" i="1" s="1"/>
  <c r="O112" i="4"/>
  <c r="N112" i="4"/>
  <c r="G35" i="1" a="1"/>
  <c r="G35" i="1" s="1"/>
  <c r="F6" i="1" a="1"/>
  <c r="F6" i="1" s="1"/>
  <c r="N68" i="4"/>
  <c r="O68" i="4"/>
  <c r="N77" i="3"/>
  <c r="N87" i="2"/>
  <c r="Y117" i="4"/>
  <c r="Y134" i="4"/>
  <c r="X152" i="4"/>
  <c r="W52" i="4"/>
  <c r="Y55" i="4"/>
  <c r="W116" i="4"/>
  <c r="X19" i="4"/>
  <c r="Y4" i="4"/>
  <c r="W63" i="4"/>
  <c r="Y145" i="4"/>
  <c r="Y123" i="4"/>
  <c r="Y127" i="4"/>
  <c r="Y94" i="4"/>
  <c r="Y118" i="4"/>
  <c r="Y138" i="4"/>
  <c r="W110" i="4"/>
  <c r="Y66" i="4"/>
  <c r="W62" i="4"/>
  <c r="W137" i="4"/>
  <c r="W77" i="4"/>
  <c r="Y72" i="4"/>
  <c r="W105" i="4"/>
  <c r="W114" i="4"/>
  <c r="X20" i="4"/>
  <c r="Y125" i="4"/>
  <c r="W47" i="4"/>
  <c r="Y135" i="4"/>
  <c r="Y56" i="4"/>
  <c r="Y40" i="4"/>
  <c r="W115" i="4"/>
  <c r="W46" i="4"/>
  <c r="Y82" i="4"/>
  <c r="Y80" i="4"/>
  <c r="Y107" i="4"/>
  <c r="W44" i="4"/>
  <c r="X154" i="4"/>
  <c r="Y130" i="4"/>
  <c r="Y140" i="4"/>
  <c r="Y52" i="4"/>
  <c r="Y41" i="4"/>
  <c r="W139" i="4"/>
  <c r="X151" i="4"/>
  <c r="X101" i="4"/>
  <c r="X36" i="4"/>
  <c r="Y30" i="4"/>
  <c r="Y142" i="4"/>
  <c r="Y64" i="4"/>
  <c r="X155" i="4"/>
  <c r="X156" i="4"/>
  <c r="W136" i="4"/>
  <c r="W71" i="4"/>
  <c r="Y112" i="4"/>
  <c r="Y24" i="4"/>
  <c r="W70" i="4"/>
  <c r="Y46" i="4"/>
  <c r="Y114" i="4"/>
  <c r="X102" i="4"/>
  <c r="W60" i="4"/>
  <c r="Y61" i="4"/>
  <c r="Y65" i="4"/>
  <c r="W126" i="4"/>
  <c r="Y105" i="4"/>
  <c r="Y87" i="4"/>
  <c r="X99" i="4"/>
  <c r="Y106" i="4"/>
  <c r="W69" i="4"/>
  <c r="W61" i="4"/>
  <c r="W43" i="4"/>
  <c r="W127" i="4"/>
  <c r="W81" i="4"/>
  <c r="Y143" i="4"/>
  <c r="W109" i="4"/>
  <c r="W128" i="4"/>
  <c r="Y50" i="4"/>
  <c r="W40" i="4"/>
  <c r="W49" i="4"/>
  <c r="W106" i="4"/>
  <c r="Y116" i="4"/>
  <c r="Y108" i="4"/>
  <c r="X100" i="4"/>
  <c r="W50" i="4"/>
  <c r="Y53" i="4"/>
  <c r="Y63" i="4"/>
  <c r="W123" i="4"/>
  <c r="Y68" i="4"/>
  <c r="Y121" i="4"/>
  <c r="Y38" i="4"/>
  <c r="W134" i="4"/>
  <c r="Y92" i="4"/>
  <c r="Y88" i="4"/>
  <c r="W53" i="4"/>
  <c r="W51" i="4"/>
  <c r="Y76" i="4"/>
  <c r="X147" i="4"/>
  <c r="W108" i="4"/>
  <c r="W55" i="4"/>
  <c r="Y60" i="4"/>
  <c r="X18" i="4"/>
  <c r="Y141" i="4"/>
  <c r="W111" i="4"/>
  <c r="X38" i="4"/>
  <c r="W92" i="4"/>
  <c r="Y75" i="4"/>
  <c r="W138" i="4"/>
  <c r="Y129" i="4"/>
  <c r="W42" i="4"/>
  <c r="Y79" i="4"/>
  <c r="Y47" i="4"/>
  <c r="W133" i="4"/>
  <c r="Y81" i="4"/>
  <c r="Y70" i="4"/>
  <c r="Y29" i="4"/>
  <c r="W135" i="4"/>
  <c r="Y62" i="4"/>
  <c r="Y89" i="4"/>
  <c r="W41" i="4"/>
  <c r="X153" i="4"/>
  <c r="W125" i="4"/>
  <c r="Y144" i="4"/>
  <c r="Y48" i="4"/>
  <c r="W140" i="4"/>
  <c r="Y109" i="4"/>
  <c r="Y131" i="4"/>
  <c r="Y69" i="4"/>
  <c r="Y67" i="4"/>
  <c r="Y43" i="4"/>
  <c r="Y115" i="4"/>
  <c r="Y124" i="4"/>
  <c r="W57" i="4"/>
  <c r="X149" i="4"/>
  <c r="W73" i="4"/>
  <c r="Y74" i="4"/>
  <c r="Y42" i="4"/>
  <c r="X25" i="4"/>
  <c r="Y149" i="4"/>
  <c r="Y28" i="4"/>
  <c r="Y147" i="4"/>
  <c r="X39" i="4"/>
  <c r="Y36" i="4"/>
  <c r="X15" i="4"/>
  <c r="Y34" i="4"/>
  <c r="Y32" i="4"/>
  <c r="X23" i="4"/>
  <c r="W66" i="4"/>
  <c r="W74" i="4"/>
  <c r="W75" i="4"/>
  <c r="W76" i="4"/>
  <c r="W65" i="4"/>
  <c r="W79" i="4"/>
  <c r="W64" i="4"/>
  <c r="W78" i="4"/>
  <c r="W100" i="4"/>
  <c r="W68" i="4"/>
  <c r="Y86" i="4"/>
  <c r="Y95" i="4"/>
  <c r="Y128" i="4"/>
  <c r="W48" i="4"/>
  <c r="Y139" i="4"/>
  <c r="Y91" i="4"/>
  <c r="Y93" i="4"/>
  <c r="Y25" i="4"/>
  <c r="Y154" i="4"/>
  <c r="Y51" i="4"/>
  <c r="W103" i="4"/>
  <c r="W104" i="4"/>
  <c r="W98" i="4"/>
  <c r="W80" i="4"/>
  <c r="Y132" i="4"/>
  <c r="Y122" i="4"/>
  <c r="Y126" i="4"/>
  <c r="W67" i="4"/>
  <c r="Y90" i="4"/>
  <c r="W59" i="4"/>
  <c r="Y6" i="4"/>
  <c r="Y35" i="4"/>
  <c r="Y151" i="4"/>
  <c r="X14" i="4"/>
  <c r="Y39" i="4"/>
  <c r="Y152" i="4"/>
  <c r="Y110" i="4"/>
  <c r="Y146" i="4"/>
  <c r="W54" i="4"/>
  <c r="Y97" i="4"/>
  <c r="Y5" i="4"/>
  <c r="Y26" i="4"/>
  <c r="Y157" i="4"/>
  <c r="W56" i="4"/>
  <c r="W90" i="4"/>
  <c r="W102" i="4"/>
  <c r="Y33" i="4"/>
  <c r="Y27" i="4"/>
  <c r="Y133" i="4"/>
  <c r="Y136" i="4"/>
  <c r="W45" i="4"/>
  <c r="Y96" i="4"/>
  <c r="W120" i="4"/>
  <c r="W130" i="4"/>
  <c r="W118" i="4"/>
  <c r="W119" i="4"/>
  <c r="W20" i="4"/>
  <c r="W21" i="4"/>
  <c r="W22" i="4"/>
  <c r="W18" i="4"/>
  <c r="W19" i="4"/>
  <c r="X30" i="4"/>
  <c r="W23" i="4"/>
  <c r="W24" i="4"/>
  <c r="W5" i="4"/>
  <c r="W10" i="4"/>
  <c r="W2" i="4"/>
  <c r="W6" i="4"/>
  <c r="W9" i="4"/>
  <c r="W7" i="4"/>
  <c r="W11" i="4"/>
  <c r="W4" i="4"/>
  <c r="W3" i="4"/>
  <c r="W8" i="4"/>
  <c r="Y13" i="4"/>
  <c r="Y14" i="4"/>
  <c r="Y16" i="4"/>
  <c r="Y17" i="4"/>
  <c r="Y15" i="4"/>
  <c r="Y12" i="4"/>
  <c r="X32" i="4"/>
  <c r="X105" i="4"/>
  <c r="X109" i="4"/>
  <c r="X116" i="4"/>
  <c r="X125" i="4"/>
  <c r="X106" i="4"/>
  <c r="X121" i="4"/>
  <c r="X127" i="4"/>
  <c r="X145" i="4"/>
  <c r="X128" i="4"/>
  <c r="X110" i="4"/>
  <c r="X122" i="4"/>
  <c r="X126" i="4"/>
  <c r="X118" i="4"/>
  <c r="X146" i="4"/>
  <c r="X111" i="4"/>
  <c r="X117" i="4"/>
  <c r="X123" i="4"/>
  <c r="X140" i="4"/>
  <c r="X143" i="4"/>
  <c r="X135" i="4"/>
  <c r="X112" i="4"/>
  <c r="X107" i="4"/>
  <c r="X141" i="4"/>
  <c r="X144" i="4"/>
  <c r="X136" i="4"/>
  <c r="X134" i="4"/>
  <c r="X119" i="4"/>
  <c r="X131" i="4"/>
  <c r="X133" i="4"/>
  <c r="X138" i="4"/>
  <c r="X108" i="4"/>
  <c r="X114" i="4"/>
  <c r="X115" i="4"/>
  <c r="X137" i="4"/>
  <c r="X129" i="4"/>
  <c r="X113" i="4"/>
  <c r="X142" i="4"/>
  <c r="X124" i="4"/>
  <c r="X139" i="4"/>
  <c r="X130" i="4"/>
  <c r="X120" i="4"/>
  <c r="X132" i="4"/>
  <c r="W151" i="4"/>
  <c r="W154" i="4"/>
  <c r="W157" i="4"/>
  <c r="W152" i="4"/>
  <c r="W153" i="4"/>
  <c r="W155" i="4"/>
  <c r="W148" i="4"/>
  <c r="W149" i="4"/>
  <c r="W150" i="4"/>
  <c r="W156" i="4"/>
  <c r="W147" i="4"/>
  <c r="W84" i="4"/>
  <c r="W97" i="4"/>
  <c r="W26" i="4"/>
  <c r="W35" i="4"/>
  <c r="W39" i="4"/>
  <c r="W36" i="4"/>
  <c r="W25" i="4"/>
  <c r="W27" i="4"/>
  <c r="W33" i="4"/>
  <c r="W29" i="4"/>
  <c r="W38" i="4"/>
  <c r="W34" i="4"/>
  <c r="W28" i="4"/>
  <c r="W31" i="4"/>
  <c r="W32" i="4"/>
  <c r="W37" i="4"/>
  <c r="W30" i="4"/>
  <c r="X9" i="4"/>
  <c r="X98" i="4"/>
  <c r="X37" i="4"/>
  <c r="X83" i="4"/>
  <c r="X82" i="4"/>
  <c r="X89" i="4"/>
  <c r="X92" i="4"/>
  <c r="X85" i="4"/>
  <c r="X84" i="4"/>
  <c r="X96" i="4"/>
  <c r="X97" i="4"/>
  <c r="X90" i="4"/>
  <c r="X91" i="4"/>
  <c r="X87" i="4"/>
  <c r="X93" i="4"/>
  <c r="X95" i="4"/>
  <c r="X86" i="4"/>
  <c r="X88" i="4"/>
  <c r="X94" i="4"/>
  <c r="W89" i="4"/>
  <c r="X35" i="4"/>
  <c r="W93" i="4"/>
  <c r="X7" i="4"/>
  <c r="X10" i="4"/>
  <c r="X28" i="4"/>
  <c r="X68" i="4"/>
  <c r="X78" i="4"/>
  <c r="X57" i="4"/>
  <c r="X46" i="4"/>
  <c r="X69" i="4"/>
  <c r="X71" i="4"/>
  <c r="X62" i="4"/>
  <c r="X48" i="4"/>
  <c r="X72" i="4"/>
  <c r="X47" i="4"/>
  <c r="X63" i="4"/>
  <c r="X43" i="4"/>
  <c r="X55" i="4"/>
  <c r="X40" i="4"/>
  <c r="X56" i="4"/>
  <c r="X64" i="4"/>
  <c r="X73" i="4"/>
  <c r="X42" i="4"/>
  <c r="X50" i="4"/>
  <c r="X60" i="4"/>
  <c r="X53" i="4"/>
  <c r="X61" i="4"/>
  <c r="X79" i="4"/>
  <c r="X52" i="4"/>
  <c r="X41" i="4"/>
  <c r="X49" i="4"/>
  <c r="X67" i="4"/>
  <c r="X80" i="4"/>
  <c r="X70" i="4"/>
  <c r="X74" i="4"/>
  <c r="X77" i="4"/>
  <c r="X45" i="4"/>
  <c r="X51" i="4"/>
  <c r="X81" i="4"/>
  <c r="X54" i="4"/>
  <c r="X58" i="4"/>
  <c r="X44" i="4"/>
  <c r="X65" i="4"/>
  <c r="X75" i="4"/>
  <c r="X59" i="4"/>
  <c r="X76" i="4"/>
  <c r="X66" i="4"/>
  <c r="W13" i="4"/>
  <c r="W17" i="4"/>
  <c r="W14" i="4"/>
  <c r="W15" i="4"/>
  <c r="W16" i="4"/>
  <c r="W12" i="4"/>
  <c r="W95" i="4"/>
  <c r="X26" i="4"/>
  <c r="W85" i="4"/>
  <c r="X34" i="4"/>
  <c r="W94" i="4"/>
  <c r="W82" i="4"/>
  <c r="W87" i="4"/>
  <c r="X3" i="4"/>
  <c r="X6" i="4"/>
  <c r="X33" i="4"/>
  <c r="W83" i="4"/>
  <c r="W88" i="4"/>
  <c r="X4" i="4"/>
  <c r="X2" i="4"/>
  <c r="X27" i="4"/>
  <c r="X31" i="4"/>
  <c r="X103" i="4"/>
  <c r="X17" i="4"/>
  <c r="X12" i="4"/>
  <c r="X8" i="4"/>
  <c r="W25" i="3"/>
  <c r="Y106" i="3"/>
  <c r="W33" i="3"/>
  <c r="W24" i="3"/>
  <c r="Y104" i="3"/>
  <c r="W32" i="3"/>
  <c r="Y114" i="3"/>
  <c r="W26" i="3"/>
  <c r="W18" i="3"/>
  <c r="Y31" i="3"/>
  <c r="Y107" i="3"/>
  <c r="W87" i="3"/>
  <c r="Y34" i="3"/>
  <c r="Y30" i="3"/>
  <c r="Y118" i="3"/>
  <c r="Y113" i="3"/>
  <c r="X88" i="3"/>
  <c r="W84" i="3"/>
  <c r="Y109" i="3"/>
  <c r="Y101" i="3"/>
  <c r="Y32" i="3"/>
  <c r="X42" i="3"/>
  <c r="Y62" i="3"/>
  <c r="X122" i="3"/>
  <c r="W91" i="3"/>
  <c r="Y13" i="3"/>
  <c r="W20" i="3"/>
  <c r="Y27" i="3"/>
  <c r="Y100" i="3"/>
  <c r="Y26" i="3"/>
  <c r="X39" i="3"/>
  <c r="X125" i="3"/>
  <c r="Y50" i="3"/>
  <c r="X115" i="3"/>
  <c r="W92" i="3"/>
  <c r="Y102" i="3"/>
  <c r="Y96" i="3"/>
  <c r="Y29" i="3"/>
  <c r="X35" i="3"/>
  <c r="W93" i="3"/>
  <c r="X127" i="3"/>
  <c r="W83" i="3"/>
  <c r="Y97" i="3"/>
  <c r="W50" i="3"/>
  <c r="Y120" i="3"/>
  <c r="X46" i="3"/>
  <c r="Y112" i="3"/>
  <c r="Y60" i="3"/>
  <c r="Y72" i="3"/>
  <c r="X126" i="3"/>
  <c r="W90" i="3"/>
  <c r="Y99" i="3"/>
  <c r="Y128" i="3"/>
  <c r="Y82" i="3"/>
  <c r="Y57" i="3"/>
  <c r="X105" i="3"/>
  <c r="Y103" i="3"/>
  <c r="Y117" i="3"/>
  <c r="Y78" i="3"/>
  <c r="Y79" i="3"/>
  <c r="X109" i="3"/>
  <c r="Y123" i="3"/>
  <c r="X18" i="3"/>
  <c r="X129" i="3"/>
  <c r="Y133" i="3"/>
  <c r="X31" i="3"/>
  <c r="Y127" i="3"/>
  <c r="Y54" i="3"/>
  <c r="Y61" i="3"/>
  <c r="X104" i="3"/>
  <c r="Y116" i="3"/>
  <c r="W19" i="3"/>
  <c r="X24" i="3"/>
  <c r="Y81" i="3"/>
  <c r="Y132" i="3"/>
  <c r="X30" i="3"/>
  <c r="Y124" i="3"/>
  <c r="Y59" i="3"/>
  <c r="Y76" i="3"/>
  <c r="X110" i="3"/>
  <c r="Y45" i="3"/>
  <c r="Y33" i="3"/>
  <c r="Y108" i="3"/>
  <c r="Y58" i="3"/>
  <c r="Y73" i="3"/>
  <c r="X106" i="3"/>
  <c r="W96" i="3"/>
  <c r="Y4" i="3"/>
  <c r="W69" i="3"/>
  <c r="Y6" i="3"/>
  <c r="W60" i="3"/>
  <c r="Y39" i="3"/>
  <c r="W77" i="3"/>
  <c r="W72" i="3"/>
  <c r="Y10" i="3"/>
  <c r="X137" i="3"/>
  <c r="W54" i="3"/>
  <c r="W57" i="3"/>
  <c r="Y8" i="3"/>
  <c r="X133" i="3"/>
  <c r="W31" i="3"/>
  <c r="Y7" i="3"/>
  <c r="W76" i="3"/>
  <c r="W49" i="3"/>
  <c r="Y15" i="3"/>
  <c r="X95" i="3"/>
  <c r="W55" i="3"/>
  <c r="X140" i="3"/>
  <c r="W30" i="3"/>
  <c r="W78" i="3"/>
  <c r="X87" i="3"/>
  <c r="W59" i="3"/>
  <c r="W79" i="3"/>
  <c r="Y11" i="3"/>
  <c r="X103" i="3"/>
  <c r="X139" i="3"/>
  <c r="W27" i="3"/>
  <c r="W56" i="3"/>
  <c r="Y44" i="3"/>
  <c r="W61" i="3"/>
  <c r="W65" i="3"/>
  <c r="W68" i="3"/>
  <c r="W70" i="3"/>
  <c r="Y83" i="3"/>
  <c r="W29" i="3"/>
  <c r="Y16" i="3"/>
  <c r="W111" i="3"/>
  <c r="Y9" i="3"/>
  <c r="W58" i="3"/>
  <c r="W75" i="3"/>
  <c r="W67" i="3"/>
  <c r="X86" i="3"/>
  <c r="Y90" i="3"/>
  <c r="W53" i="3"/>
  <c r="X141" i="3"/>
  <c r="W127" i="3"/>
  <c r="Y89" i="3"/>
  <c r="Y119" i="3"/>
  <c r="X89" i="3"/>
  <c r="W48" i="3"/>
  <c r="Y38" i="3"/>
  <c r="W64" i="3"/>
  <c r="Y14" i="3"/>
  <c r="W52" i="3"/>
  <c r="W28" i="3"/>
  <c r="Y47" i="3"/>
  <c r="W51" i="3"/>
  <c r="Y2" i="3"/>
  <c r="W108" i="3"/>
  <c r="Y122" i="3"/>
  <c r="Y3" i="3"/>
  <c r="Y43" i="3"/>
  <c r="W80" i="3"/>
  <c r="Y12" i="3"/>
  <c r="W122" i="3"/>
  <c r="X136" i="3"/>
  <c r="Y115" i="3"/>
  <c r="X14" i="3"/>
  <c r="X83" i="3"/>
  <c r="Y37" i="3"/>
  <c r="W74" i="3"/>
  <c r="Y5" i="3"/>
  <c r="X130" i="3"/>
  <c r="W66" i="3"/>
  <c r="Y17" i="3"/>
  <c r="X134" i="3"/>
  <c r="Y46" i="3"/>
  <c r="X41" i="3"/>
  <c r="Y105" i="3"/>
  <c r="Y64" i="3"/>
  <c r="Y65" i="3"/>
  <c r="X114" i="3"/>
  <c r="Y125" i="3"/>
  <c r="X48" i="3"/>
  <c r="X53" i="3"/>
  <c r="X70" i="3"/>
  <c r="X65" i="3"/>
  <c r="X69" i="3"/>
  <c r="X61" i="3"/>
  <c r="X71" i="3"/>
  <c r="X79" i="3"/>
  <c r="X57" i="3"/>
  <c r="X72" i="3"/>
  <c r="X73" i="3"/>
  <c r="X49" i="3"/>
  <c r="X50" i="3"/>
  <c r="X62" i="3"/>
  <c r="X66" i="3"/>
  <c r="X74" i="3"/>
  <c r="X80" i="3"/>
  <c r="X51" i="3"/>
  <c r="X63" i="3"/>
  <c r="X59" i="3"/>
  <c r="X67" i="3"/>
  <c r="X75" i="3"/>
  <c r="X64" i="3"/>
  <c r="X76" i="3"/>
  <c r="X52" i="3"/>
  <c r="X58" i="3"/>
  <c r="X68" i="3"/>
  <c r="X54" i="3"/>
  <c r="X77" i="3"/>
  <c r="X78" i="3"/>
  <c r="X82" i="3"/>
  <c r="X81" i="3"/>
  <c r="X55" i="3"/>
  <c r="X56" i="3"/>
  <c r="X60" i="3"/>
  <c r="W139" i="3"/>
  <c r="W140" i="3"/>
  <c r="W137" i="3"/>
  <c r="W133" i="3"/>
  <c r="W132" i="3"/>
  <c r="W135" i="3"/>
  <c r="W138" i="3"/>
  <c r="W131" i="3"/>
  <c r="W134" i="3"/>
  <c r="W130" i="3"/>
  <c r="W141" i="3"/>
  <c r="W136" i="3"/>
  <c r="X85" i="3"/>
  <c r="X84" i="3"/>
  <c r="X91" i="3"/>
  <c r="X102" i="3"/>
  <c r="X92" i="3"/>
  <c r="X101" i="3"/>
  <c r="X93" i="3"/>
  <c r="X90" i="3"/>
  <c r="X97" i="3"/>
  <c r="X100" i="3"/>
  <c r="X96" i="3"/>
  <c r="Y20" i="2"/>
  <c r="W38" i="2"/>
  <c r="Y65" i="2"/>
  <c r="W10" i="2"/>
  <c r="Y15" i="2"/>
  <c r="X88" i="2"/>
  <c r="W42" i="2"/>
  <c r="Y68" i="2"/>
  <c r="W90" i="2"/>
  <c r="Y26" i="2"/>
  <c r="Y6" i="2"/>
  <c r="X83" i="2"/>
  <c r="W41" i="2"/>
  <c r="Y75" i="2"/>
  <c r="W83" i="2"/>
  <c r="W88" i="2"/>
  <c r="Y8" i="2"/>
  <c r="X84" i="2"/>
  <c r="W40" i="2"/>
  <c r="Y71" i="2"/>
  <c r="W87" i="2"/>
  <c r="W6" i="2"/>
  <c r="Y2" i="2"/>
  <c r="Y9" i="2"/>
  <c r="W34" i="2"/>
  <c r="X10" i="2"/>
  <c r="Y74" i="2"/>
  <c r="Y36" i="2"/>
  <c r="Y19" i="2"/>
  <c r="W66" i="2"/>
  <c r="W81" i="2"/>
  <c r="X79" i="2"/>
  <c r="W16" i="2"/>
  <c r="Y22" i="2"/>
  <c r="Y5" i="2"/>
  <c r="W44" i="2"/>
  <c r="X12" i="2"/>
  <c r="Y70" i="2"/>
  <c r="Y29" i="2"/>
  <c r="X51" i="2"/>
  <c r="Y10" i="2"/>
  <c r="X5" i="2"/>
  <c r="W33" i="2"/>
  <c r="W71" i="2"/>
  <c r="W72" i="2"/>
  <c r="X29" i="2"/>
  <c r="X49" i="2"/>
  <c r="W23" i="2"/>
  <c r="W61" i="2"/>
  <c r="Y55" i="2"/>
  <c r="Y83" i="2"/>
  <c r="W52" i="2"/>
  <c r="X6" i="2"/>
  <c r="X59" i="2"/>
  <c r="X22" i="2"/>
  <c r="W80" i="2"/>
  <c r="W84" i="2"/>
  <c r="W45" i="2"/>
  <c r="W67" i="2"/>
  <c r="Y23" i="2"/>
  <c r="X7" i="2"/>
  <c r="W69" i="2"/>
  <c r="W22" i="2"/>
  <c r="X9" i="2"/>
  <c r="W68" i="2"/>
  <c r="X74" i="2"/>
  <c r="W55" i="2"/>
  <c r="Y54" i="2"/>
  <c r="Y86" i="2"/>
  <c r="W35" i="2"/>
  <c r="X8" i="2"/>
  <c r="Y45" i="2"/>
  <c r="X57" i="2"/>
  <c r="W65" i="2"/>
  <c r="Y69" i="2"/>
  <c r="W3" i="2"/>
  <c r="W15" i="2"/>
  <c r="W28" i="2"/>
  <c r="Y78" i="2"/>
  <c r="W70" i="2"/>
  <c r="W54" i="2"/>
  <c r="W32" i="2"/>
  <c r="Y44" i="2"/>
  <c r="X62" i="2"/>
  <c r="Y60" i="2"/>
  <c r="X13" i="2"/>
  <c r="X16" i="2"/>
  <c r="X18" i="2"/>
  <c r="X20" i="2"/>
  <c r="X17" i="2"/>
  <c r="W7" i="2"/>
  <c r="X14" i="2"/>
  <c r="W13" i="2"/>
  <c r="W39" i="2"/>
  <c r="Y28" i="2"/>
  <c r="Y47" i="2"/>
  <c r="W8" i="2"/>
  <c r="Y18" i="2"/>
  <c r="W14" i="2"/>
  <c r="W9" i="2"/>
  <c r="W51" i="2"/>
  <c r="Y52" i="2"/>
  <c r="Y48" i="2"/>
  <c r="W11" i="2"/>
  <c r="Y17" i="2"/>
  <c r="W20" i="2"/>
  <c r="W5" i="2"/>
  <c r="W31" i="2"/>
  <c r="Y35" i="2"/>
  <c r="X27" i="2"/>
  <c r="Y14" i="2"/>
  <c r="W21" i="2"/>
  <c r="X85" i="2"/>
  <c r="W53" i="2"/>
  <c r="Y46" i="2"/>
  <c r="X25" i="2"/>
  <c r="Y21" i="2"/>
  <c r="X87" i="2"/>
  <c r="W50" i="2"/>
  <c r="Y51" i="2"/>
  <c r="Y13" i="2"/>
  <c r="X86" i="2"/>
  <c r="W30" i="2"/>
  <c r="X24" i="2"/>
  <c r="Y50" i="2"/>
  <c r="X23" i="2"/>
  <c r="X19" i="2"/>
  <c r="I35" i="1" l="1"/>
  <c r="I36" i="1"/>
  <c r="V151" i="4" s="1"/>
  <c r="E7" i="1"/>
  <c r="D9" i="1"/>
  <c r="H38" i="1"/>
  <c r="H37" i="1"/>
  <c r="D6" i="1"/>
  <c r="U26" i="1"/>
  <c r="T18" i="1"/>
  <c r="I22" i="1"/>
  <c r="H18" i="1"/>
  <c r="I40" i="1"/>
  <c r="H36" i="1"/>
  <c r="V154" i="4" s="1"/>
  <c r="H26" i="1"/>
  <c r="D32" i="1"/>
  <c r="U142" i="4" s="1"/>
  <c r="E19" i="1"/>
  <c r="T37" i="1"/>
  <c r="D39" i="1"/>
  <c r="U14" i="4" s="1"/>
  <c r="E34" i="1"/>
  <c r="I21" i="1"/>
  <c r="E12" i="1"/>
  <c r="T21" i="1"/>
  <c r="Z31" i="3" s="1"/>
  <c r="U5" i="1"/>
  <c r="H4" i="1"/>
  <c r="H25" i="1"/>
  <c r="D20" i="1"/>
  <c r="E10" i="1"/>
  <c r="E11" i="1"/>
  <c r="D31" i="1"/>
  <c r="T3" i="1"/>
  <c r="T9" i="1"/>
  <c r="T34" i="1"/>
  <c r="T32" i="1"/>
  <c r="Z133" i="4" s="1"/>
  <c r="I31" i="1"/>
  <c r="I8" i="1"/>
  <c r="V90" i="2" s="1"/>
  <c r="H34" i="1"/>
  <c r="T36" i="1"/>
  <c r="Z150" i="4" s="1"/>
  <c r="H39" i="1"/>
  <c r="V15" i="4" s="1"/>
  <c r="H33" i="1"/>
  <c r="I12" i="1"/>
  <c r="T33" i="1"/>
  <c r="D37" i="1"/>
  <c r="E35" i="1"/>
  <c r="U21" i="4" s="1"/>
  <c r="E23" i="1"/>
  <c r="E40" i="1"/>
  <c r="T40" i="1"/>
  <c r="I32" i="1"/>
  <c r="U19" i="1"/>
  <c r="U25" i="1"/>
  <c r="T31" i="1"/>
  <c r="I10" i="1"/>
  <c r="T22" i="1"/>
  <c r="U10" i="1"/>
  <c r="I4" i="1"/>
  <c r="I17" i="1"/>
  <c r="D3" i="1"/>
  <c r="E22" i="1"/>
  <c r="D7" i="1"/>
  <c r="U15" i="2" s="1"/>
  <c r="D5" i="1"/>
  <c r="I19" i="1"/>
  <c r="V92" i="3" s="1"/>
  <c r="H5" i="1"/>
  <c r="E24" i="1"/>
  <c r="U10" i="3" s="1"/>
  <c r="D4" i="1"/>
  <c r="U73" i="2" s="1"/>
  <c r="H7" i="1"/>
  <c r="T11" i="1"/>
  <c r="H6" i="1"/>
  <c r="T17" i="1"/>
  <c r="Z49" i="3" s="1"/>
  <c r="U24" i="1"/>
  <c r="T6" i="1"/>
  <c r="T20" i="1"/>
  <c r="I20" i="1"/>
  <c r="U7" i="1"/>
  <c r="T4" i="1"/>
  <c r="E25" i="1"/>
  <c r="U23" i="1"/>
  <c r="T8" i="1"/>
  <c r="D21" i="1"/>
  <c r="E26" i="1"/>
  <c r="I23" i="1"/>
  <c r="I24" i="1"/>
  <c r="I11" i="1"/>
  <c r="V6" i="2" s="1"/>
  <c r="I33" i="1"/>
  <c r="V87" i="4" s="1"/>
  <c r="E20" i="1"/>
  <c r="T38" i="1"/>
  <c r="Z8" i="4" s="1"/>
  <c r="U22" i="1"/>
  <c r="Z134" i="3" s="1"/>
  <c r="U18" i="1"/>
  <c r="Z122" i="3" s="1"/>
  <c r="H12" i="1"/>
  <c r="T5" i="1"/>
  <c r="E36" i="1"/>
  <c r="U148" i="4" s="1"/>
  <c r="H11" i="1"/>
  <c r="H8" i="1"/>
  <c r="U21" i="1"/>
  <c r="D12" i="1"/>
  <c r="H17" i="1"/>
  <c r="D17" i="1"/>
  <c r="U72" i="3" s="1"/>
  <c r="U36" i="1"/>
  <c r="D10" i="1"/>
  <c r="I25" i="1"/>
  <c r="E39" i="1"/>
  <c r="H31" i="1"/>
  <c r="U12" i="1"/>
  <c r="D18" i="1"/>
  <c r="U114" i="3" s="1"/>
  <c r="T19" i="1"/>
  <c r="Z90" i="3" s="1"/>
  <c r="H10" i="1"/>
  <c r="D11" i="1"/>
  <c r="I34" i="1"/>
  <c r="V29" i="4" s="1"/>
  <c r="U32" i="1"/>
  <c r="Z119" i="4" s="1"/>
  <c r="H32" i="1"/>
  <c r="V130" i="4" s="1"/>
  <c r="D8" i="1"/>
  <c r="U89" i="2" s="1"/>
  <c r="I26" i="1"/>
  <c r="U37" i="1"/>
  <c r="E31" i="1"/>
  <c r="U33" i="1"/>
  <c r="E37" i="1"/>
  <c r="H22" i="1"/>
  <c r="V135" i="3" s="1"/>
  <c r="U9" i="1"/>
  <c r="E6" i="1"/>
  <c r="H23" i="1"/>
  <c r="U17" i="1"/>
  <c r="D22" i="1"/>
  <c r="T24" i="1"/>
  <c r="E4" i="1"/>
  <c r="E3" i="1"/>
  <c r="T10" i="1"/>
  <c r="Z3" i="2" s="1"/>
  <c r="H3" i="1"/>
  <c r="V50" i="2" s="1"/>
  <c r="U34" i="1"/>
  <c r="Z35" i="4" s="1"/>
  <c r="H24" i="1"/>
  <c r="D23" i="1"/>
  <c r="E9" i="1"/>
  <c r="I37" i="1"/>
  <c r="E32" i="1"/>
  <c r="U20" i="1"/>
  <c r="D38" i="1"/>
  <c r="U5" i="4" s="1"/>
  <c r="H21" i="1"/>
  <c r="I18" i="1"/>
  <c r="V109" i="3" s="1"/>
  <c r="D24" i="1"/>
  <c r="H40" i="1"/>
  <c r="V101" i="4" s="1"/>
  <c r="T7" i="1"/>
  <c r="U35" i="1"/>
  <c r="Z21" i="4" s="1"/>
  <c r="T23" i="1"/>
  <c r="D25" i="1"/>
  <c r="E5" i="1"/>
  <c r="I7" i="1"/>
  <c r="H9" i="1"/>
  <c r="V22" i="2" s="1"/>
  <c r="T39" i="1"/>
  <c r="Z16" i="4" s="1"/>
  <c r="D19" i="1"/>
  <c r="U88" i="3" s="1"/>
  <c r="U40" i="1"/>
  <c r="D40" i="1"/>
  <c r="U101" i="4" s="1"/>
  <c r="U8" i="1"/>
  <c r="H19" i="1"/>
  <c r="D26" i="1"/>
  <c r="H35" i="1"/>
  <c r="U3" i="1"/>
  <c r="I5" i="1"/>
  <c r="I6" i="1"/>
  <c r="D34" i="1"/>
  <c r="U28" i="4" s="1"/>
  <c r="U31" i="1"/>
  <c r="Z74" i="4" s="1"/>
  <c r="T25" i="1"/>
  <c r="U11" i="1"/>
  <c r="D35" i="1"/>
  <c r="H20" i="1"/>
  <c r="U6" i="1"/>
  <c r="T26" i="1"/>
  <c r="Z98" i="3" s="1"/>
  <c r="E21" i="1"/>
  <c r="I38" i="1"/>
  <c r="V6" i="4" s="1"/>
  <c r="U4" i="1"/>
  <c r="D33" i="1"/>
  <c r="U96" i="4" s="1"/>
  <c r="U6" i="4"/>
  <c r="U105" i="4"/>
  <c r="U123" i="4"/>
  <c r="U111" i="4"/>
  <c r="U121" i="4"/>
  <c r="V19" i="4"/>
  <c r="V20" i="4"/>
  <c r="U39" i="4"/>
  <c r="Z120" i="4"/>
  <c r="Z137" i="4"/>
  <c r="U51" i="4"/>
  <c r="V89" i="4"/>
  <c r="V90" i="4"/>
  <c r="V157" i="4"/>
  <c r="V152" i="4"/>
  <c r="V150" i="4"/>
  <c r="V148" i="4"/>
  <c r="V147" i="4"/>
  <c r="V149" i="4"/>
  <c r="V153" i="4"/>
  <c r="Z95" i="4"/>
  <c r="Z89" i="4"/>
  <c r="Z83" i="4"/>
  <c r="Z44" i="3"/>
  <c r="Z138" i="3"/>
  <c r="U109" i="3"/>
  <c r="U118" i="3"/>
  <c r="U120" i="3"/>
  <c r="V100" i="3"/>
  <c r="V97" i="3"/>
  <c r="V95" i="3"/>
  <c r="V102" i="3"/>
  <c r="U93" i="3"/>
  <c r="V48" i="3"/>
  <c r="Z28" i="2"/>
  <c r="Z32" i="2"/>
  <c r="U86" i="2"/>
  <c r="U126" i="4" l="1"/>
  <c r="Z94" i="4"/>
  <c r="Z90" i="4"/>
  <c r="U116" i="4"/>
  <c r="U18" i="4"/>
  <c r="V44" i="4"/>
  <c r="Z88" i="4"/>
  <c r="V146" i="4"/>
  <c r="U141" i="4"/>
  <c r="U70" i="2"/>
  <c r="Z155" i="4"/>
  <c r="U144" i="4"/>
  <c r="Z153" i="4"/>
  <c r="U130" i="4"/>
  <c r="Z123" i="4"/>
  <c r="U108" i="4"/>
  <c r="Z151" i="4"/>
  <c r="Z143" i="4"/>
  <c r="U120" i="4"/>
  <c r="V23" i="4"/>
  <c r="V117" i="4"/>
  <c r="V12" i="4"/>
  <c r="U27" i="2"/>
  <c r="U82" i="2"/>
  <c r="Z147" i="4"/>
  <c r="Z156" i="4"/>
  <c r="Z152" i="4"/>
  <c r="V92" i="4"/>
  <c r="V96" i="4"/>
  <c r="V156" i="4"/>
  <c r="Z157" i="4"/>
  <c r="V21" i="4"/>
  <c r="V155" i="4"/>
  <c r="U10" i="4"/>
  <c r="U23" i="2"/>
  <c r="U81" i="4"/>
  <c r="Z102" i="4"/>
  <c r="Z129" i="4"/>
  <c r="Z113" i="4"/>
  <c r="Z139" i="3"/>
  <c r="Z105" i="3"/>
  <c r="Z119" i="3"/>
  <c r="Z127" i="3"/>
  <c r="Z83" i="3"/>
  <c r="V66" i="3"/>
  <c r="Z53" i="3"/>
  <c r="Z79" i="3"/>
  <c r="Z71" i="3"/>
  <c r="Z61" i="3"/>
  <c r="V98" i="3"/>
  <c r="V31" i="2"/>
  <c r="Z76" i="3"/>
  <c r="V38" i="2"/>
  <c r="Z58" i="2"/>
  <c r="Z10" i="3"/>
  <c r="Z89" i="3"/>
  <c r="U88" i="2"/>
  <c r="U87" i="3"/>
  <c r="Z115" i="3"/>
  <c r="V126" i="4"/>
  <c r="U94" i="3"/>
  <c r="Z110" i="3"/>
  <c r="U73" i="4"/>
  <c r="V111" i="4"/>
  <c r="Z107" i="3"/>
  <c r="Z114" i="3"/>
  <c r="V136" i="4"/>
  <c r="Z118" i="3"/>
  <c r="U153" i="4"/>
  <c r="V7" i="3"/>
  <c r="V23" i="2"/>
  <c r="U89" i="3"/>
  <c r="U112" i="3"/>
  <c r="Z92" i="4"/>
  <c r="V116" i="4"/>
  <c r="U150" i="4"/>
  <c r="Z136" i="4"/>
  <c r="Z63" i="3"/>
  <c r="U15" i="4"/>
  <c r="U61" i="2"/>
  <c r="V83" i="4"/>
  <c r="U86" i="3"/>
  <c r="U85" i="3"/>
  <c r="V140" i="4"/>
  <c r="U83" i="3"/>
  <c r="U152" i="4"/>
  <c r="V109" i="4"/>
  <c r="U84" i="3"/>
  <c r="V129" i="4"/>
  <c r="U69" i="2"/>
  <c r="V134" i="4"/>
  <c r="U90" i="3"/>
  <c r="U6" i="3"/>
  <c r="V132" i="4"/>
  <c r="U4" i="2"/>
  <c r="U30" i="3"/>
  <c r="Z154" i="4"/>
  <c r="U155" i="4"/>
  <c r="U74" i="2"/>
  <c r="U157" i="4"/>
  <c r="U48" i="4"/>
  <c r="U12" i="3"/>
  <c r="Z90" i="2"/>
  <c r="U33" i="2"/>
  <c r="V39" i="4"/>
  <c r="U103" i="4"/>
  <c r="U147" i="4"/>
  <c r="U128" i="3"/>
  <c r="U151" i="4"/>
  <c r="Z10" i="4"/>
  <c r="U108" i="3"/>
  <c r="U77" i="4"/>
  <c r="V112" i="4"/>
  <c r="U129" i="3"/>
  <c r="U111" i="3"/>
  <c r="V121" i="4"/>
  <c r="Z146" i="4"/>
  <c r="U117" i="3"/>
  <c r="U15" i="3"/>
  <c r="V115" i="4"/>
  <c r="V8" i="2"/>
  <c r="U50" i="4"/>
  <c r="Z104" i="3"/>
  <c r="Z113" i="3"/>
  <c r="Z9" i="4"/>
  <c r="U35" i="4"/>
  <c r="Z30" i="3"/>
  <c r="Z5" i="4"/>
  <c r="U95" i="4"/>
  <c r="Z2" i="2"/>
  <c r="Z27" i="3"/>
  <c r="V27" i="3"/>
  <c r="V78" i="2"/>
  <c r="U36" i="4"/>
  <c r="Z33" i="2"/>
  <c r="Z32" i="3"/>
  <c r="Z137" i="3"/>
  <c r="Z37" i="4"/>
  <c r="U92" i="3"/>
  <c r="V24" i="2"/>
  <c r="U5" i="3"/>
  <c r="Z20" i="3"/>
  <c r="U119" i="3"/>
  <c r="U52" i="4"/>
  <c r="U31" i="4"/>
  <c r="Z123" i="3"/>
  <c r="U127" i="3"/>
  <c r="Z4" i="4"/>
  <c r="V14" i="4"/>
  <c r="U26" i="4"/>
  <c r="U89" i="4"/>
  <c r="Z4" i="2"/>
  <c r="Z120" i="3"/>
  <c r="Z86" i="3"/>
  <c r="U116" i="3"/>
  <c r="Z3" i="4"/>
  <c r="V16" i="4"/>
  <c r="U42" i="4"/>
  <c r="U84" i="4"/>
  <c r="Z75" i="2"/>
  <c r="Z122" i="4"/>
  <c r="Z112" i="3"/>
  <c r="Z87" i="3"/>
  <c r="U122" i="3"/>
  <c r="Z11" i="4"/>
  <c r="V13" i="4"/>
  <c r="U76" i="4"/>
  <c r="U33" i="4"/>
  <c r="U93" i="4"/>
  <c r="Z37" i="3"/>
  <c r="U40" i="4"/>
  <c r="U91" i="2"/>
  <c r="Z128" i="3"/>
  <c r="Z91" i="3"/>
  <c r="U115" i="3"/>
  <c r="Z7" i="4"/>
  <c r="V123" i="4"/>
  <c r="V17" i="4"/>
  <c r="U41" i="4"/>
  <c r="U38" i="4"/>
  <c r="U94" i="4"/>
  <c r="U101" i="3"/>
  <c r="U137" i="4"/>
  <c r="Z24" i="4"/>
  <c r="U87" i="2"/>
  <c r="U91" i="3"/>
  <c r="V20" i="3"/>
  <c r="U90" i="2"/>
  <c r="Z117" i="3"/>
  <c r="U107" i="3"/>
  <c r="V107" i="4"/>
  <c r="U86" i="4"/>
  <c r="U13" i="2"/>
  <c r="Z24" i="2"/>
  <c r="U14" i="2"/>
  <c r="Z45" i="2"/>
  <c r="U24" i="2"/>
  <c r="U22" i="2"/>
  <c r="Z34" i="2"/>
  <c r="V86" i="2"/>
  <c r="V7" i="2"/>
  <c r="Z78" i="2"/>
  <c r="Z80" i="2"/>
  <c r="U84" i="2"/>
  <c r="Z73" i="2"/>
  <c r="Z67" i="2"/>
  <c r="U83" i="2"/>
  <c r="Z48" i="2"/>
  <c r="V14" i="2"/>
  <c r="U85" i="2"/>
  <c r="V42" i="2"/>
  <c r="Z31" i="2"/>
  <c r="V45" i="2"/>
  <c r="V34" i="2"/>
  <c r="U17" i="3"/>
  <c r="U8" i="3"/>
  <c r="U102" i="3"/>
  <c r="Z73" i="3"/>
  <c r="Z13" i="2"/>
  <c r="U97" i="3"/>
  <c r="U16" i="3"/>
  <c r="U34" i="2"/>
  <c r="Z22" i="2"/>
  <c r="V73" i="2"/>
  <c r="V123" i="3"/>
  <c r="U58" i="3"/>
  <c r="Z35" i="3"/>
  <c r="V85" i="3"/>
  <c r="Z40" i="2"/>
  <c r="V82" i="2"/>
  <c r="Z41" i="2"/>
  <c r="Z87" i="2"/>
  <c r="V104" i="3"/>
  <c r="U57" i="3"/>
  <c r="V94" i="3"/>
  <c r="U44" i="2"/>
  <c r="V120" i="3"/>
  <c r="U64" i="3"/>
  <c r="V114" i="3"/>
  <c r="U65" i="3"/>
  <c r="Z47" i="2"/>
  <c r="V91" i="3"/>
  <c r="V11" i="3"/>
  <c r="Z57" i="3"/>
  <c r="Z48" i="3"/>
  <c r="U47" i="2"/>
  <c r="Z86" i="2"/>
  <c r="V137" i="3"/>
  <c r="V25" i="2"/>
  <c r="V121" i="3"/>
  <c r="V72" i="2"/>
  <c r="Z60" i="3"/>
  <c r="V77" i="2"/>
  <c r="Z59" i="2"/>
  <c r="Z35" i="2"/>
  <c r="Z89" i="2"/>
  <c r="V132" i="3"/>
  <c r="Z121" i="3"/>
  <c r="V101" i="3"/>
  <c r="Z54" i="3"/>
  <c r="V83" i="3"/>
  <c r="U8" i="2"/>
  <c r="Z6" i="2"/>
  <c r="U54" i="3"/>
  <c r="Z40" i="3"/>
  <c r="Z83" i="2"/>
  <c r="V84" i="3"/>
  <c r="U71" i="3"/>
  <c r="Z57" i="2"/>
  <c r="V140" i="3"/>
  <c r="Z56" i="2"/>
  <c r="Z69" i="3"/>
  <c r="V89" i="3"/>
  <c r="V13" i="2"/>
  <c r="U4" i="3"/>
  <c r="V118" i="3"/>
  <c r="V68" i="2"/>
  <c r="Z38" i="2"/>
  <c r="Z77" i="2"/>
  <c r="Z29" i="2"/>
  <c r="Z46" i="2"/>
  <c r="Z111" i="3"/>
  <c r="Z25" i="2"/>
  <c r="V71" i="2"/>
  <c r="Z88" i="2"/>
  <c r="V87" i="2"/>
  <c r="Z84" i="2"/>
  <c r="U14" i="3"/>
  <c r="V83" i="2"/>
  <c r="Z60" i="2"/>
  <c r="Z85" i="2"/>
  <c r="U7" i="3"/>
  <c r="U35" i="2"/>
  <c r="U39" i="3"/>
  <c r="Z55" i="2"/>
  <c r="Z39" i="2"/>
  <c r="Z91" i="2"/>
  <c r="U2" i="3"/>
  <c r="Z129" i="3"/>
  <c r="Z28" i="3"/>
  <c r="Z52" i="3"/>
  <c r="U62" i="2"/>
  <c r="U3" i="3"/>
  <c r="V29" i="2"/>
  <c r="Z54" i="2"/>
  <c r="Z53" i="2"/>
  <c r="Z125" i="3"/>
  <c r="Z59" i="3"/>
  <c r="U124" i="3"/>
  <c r="V12" i="2"/>
  <c r="U19" i="4"/>
  <c r="V94" i="4"/>
  <c r="V21" i="2"/>
  <c r="V15" i="2"/>
  <c r="U51" i="2"/>
  <c r="Z72" i="2"/>
  <c r="Z96" i="4"/>
  <c r="V25" i="4"/>
  <c r="Z84" i="4"/>
  <c r="V33" i="4"/>
  <c r="Z26" i="4"/>
  <c r="Z82" i="2"/>
  <c r="V32" i="2"/>
  <c r="Z66" i="2"/>
  <c r="V91" i="2"/>
  <c r="V28" i="2"/>
  <c r="V17" i="2"/>
  <c r="Z81" i="2"/>
  <c r="U50" i="2"/>
  <c r="Z93" i="4"/>
  <c r="V31" i="4"/>
  <c r="U64" i="4"/>
  <c r="Z31" i="4"/>
  <c r="V44" i="2"/>
  <c r="V18" i="2"/>
  <c r="U43" i="2"/>
  <c r="V51" i="2"/>
  <c r="U64" i="2"/>
  <c r="Z65" i="2"/>
  <c r="U38" i="2"/>
  <c r="Z87" i="4"/>
  <c r="V28" i="4"/>
  <c r="Z140" i="4"/>
  <c r="Z27" i="4"/>
  <c r="V19" i="2"/>
  <c r="V26" i="2"/>
  <c r="U52" i="2"/>
  <c r="Z97" i="4"/>
  <c r="V52" i="2"/>
  <c r="U78" i="2"/>
  <c r="U49" i="2"/>
  <c r="V36" i="4"/>
  <c r="Z71" i="2"/>
  <c r="V58" i="2"/>
  <c r="U11" i="2"/>
  <c r="U41" i="2"/>
  <c r="Z100" i="4"/>
  <c r="Z74" i="2"/>
  <c r="U29" i="2"/>
  <c r="U78" i="4"/>
  <c r="U32" i="2"/>
  <c r="V95" i="4"/>
  <c r="U55" i="2"/>
  <c r="V40" i="2"/>
  <c r="U42" i="2"/>
  <c r="Z86" i="4"/>
  <c r="Z7" i="2"/>
  <c r="Z38" i="4"/>
  <c r="U66" i="2"/>
  <c r="Z30" i="4"/>
  <c r="U67" i="2"/>
  <c r="Z79" i="2"/>
  <c r="Z15" i="4"/>
  <c r="Z32" i="4"/>
  <c r="Z11" i="2"/>
  <c r="U72" i="2"/>
  <c r="Z76" i="2"/>
  <c r="Z104" i="4"/>
  <c r="Z5" i="2"/>
  <c r="U12" i="2"/>
  <c r="U59" i="2"/>
  <c r="U17" i="4"/>
  <c r="Z127" i="4"/>
  <c r="V73" i="4"/>
  <c r="Z29" i="4"/>
  <c r="V3" i="2"/>
  <c r="Z10" i="2"/>
  <c r="U65" i="2"/>
  <c r="U58" i="2"/>
  <c r="Z23" i="2"/>
  <c r="Z30" i="2"/>
  <c r="Z14" i="4"/>
  <c r="U62" i="4"/>
  <c r="V56" i="4"/>
  <c r="Z76" i="4"/>
  <c r="Z12" i="2"/>
  <c r="V47" i="2"/>
  <c r="U80" i="2"/>
  <c r="U3" i="2"/>
  <c r="U57" i="2"/>
  <c r="Z42" i="2"/>
  <c r="V2" i="4"/>
  <c r="Z2" i="4"/>
  <c r="Z149" i="4"/>
  <c r="Z20" i="4"/>
  <c r="U12" i="4"/>
  <c r="V30" i="4"/>
  <c r="U71" i="4"/>
  <c r="Z118" i="4"/>
  <c r="V46" i="4"/>
  <c r="U113" i="4"/>
  <c r="Z28" i="4"/>
  <c r="V84" i="4"/>
  <c r="V33" i="2"/>
  <c r="U31" i="2"/>
  <c r="V41" i="2"/>
  <c r="Z17" i="4"/>
  <c r="Z25" i="4"/>
  <c r="U7" i="2"/>
  <c r="Z13" i="4"/>
  <c r="V35" i="4"/>
  <c r="U23" i="4"/>
  <c r="V36" i="2"/>
  <c r="Z82" i="4"/>
  <c r="V37" i="2"/>
  <c r="U63" i="2"/>
  <c r="Z52" i="2"/>
  <c r="V32" i="4"/>
  <c r="V63" i="4"/>
  <c r="V48" i="2"/>
  <c r="Z50" i="2"/>
  <c r="V9" i="4"/>
  <c r="Z12" i="4"/>
  <c r="V34" i="4"/>
  <c r="V88" i="2"/>
  <c r="V30" i="2"/>
  <c r="U5" i="2"/>
  <c r="Z51" i="2"/>
  <c r="V4" i="4"/>
  <c r="Z101" i="4"/>
  <c r="U13" i="4"/>
  <c r="Z139" i="4"/>
  <c r="U129" i="4"/>
  <c r="V9" i="2"/>
  <c r="Z9" i="2"/>
  <c r="V49" i="2"/>
  <c r="U68" i="2"/>
  <c r="Z70" i="2"/>
  <c r="Z26" i="2"/>
  <c r="V11" i="2"/>
  <c r="V3" i="4"/>
  <c r="Z6" i="4"/>
  <c r="Z148" i="4"/>
  <c r="Z22" i="4"/>
  <c r="U16" i="4"/>
  <c r="V82" i="4"/>
  <c r="U47" i="4"/>
  <c r="Z134" i="4"/>
  <c r="V81" i="4"/>
  <c r="U136" i="4"/>
  <c r="Z23" i="4"/>
  <c r="U100" i="4"/>
  <c r="Z68" i="2"/>
  <c r="U54" i="2"/>
  <c r="V10" i="4"/>
  <c r="V26" i="4"/>
  <c r="U10" i="2"/>
  <c r="V8" i="4"/>
  <c r="Z145" i="4"/>
  <c r="U81" i="2"/>
  <c r="Z49" i="2"/>
  <c r="Z98" i="4"/>
  <c r="V75" i="2"/>
  <c r="V35" i="2"/>
  <c r="Z69" i="2"/>
  <c r="U45" i="2"/>
  <c r="Z36" i="2"/>
  <c r="V5" i="4"/>
  <c r="U63" i="4"/>
  <c r="V51" i="4"/>
  <c r="U128" i="4"/>
  <c r="Z103" i="4"/>
  <c r="Z138" i="4"/>
  <c r="V67" i="2"/>
  <c r="V27" i="2"/>
  <c r="U17" i="2"/>
  <c r="V133" i="3"/>
  <c r="V111" i="3"/>
  <c r="V106" i="3"/>
  <c r="U63" i="3"/>
  <c r="U79" i="3"/>
  <c r="Z99" i="4"/>
  <c r="V144" i="4"/>
  <c r="V113" i="4"/>
  <c r="V86" i="4"/>
  <c r="U68" i="4"/>
  <c r="U57" i="4"/>
  <c r="Z117" i="4"/>
  <c r="Z124" i="4"/>
  <c r="U133" i="4"/>
  <c r="U114" i="4"/>
  <c r="U97" i="4"/>
  <c r="Z34" i="4"/>
  <c r="U21" i="2"/>
  <c r="V70" i="3"/>
  <c r="V66" i="2"/>
  <c r="V112" i="3"/>
  <c r="U76" i="3"/>
  <c r="U49" i="3"/>
  <c r="Z45" i="3"/>
  <c r="V127" i="4"/>
  <c r="V125" i="4"/>
  <c r="U55" i="4"/>
  <c r="U49" i="4"/>
  <c r="Z125" i="4"/>
  <c r="Z115" i="4"/>
  <c r="U140" i="4"/>
  <c r="U115" i="4"/>
  <c r="U87" i="4"/>
  <c r="U96" i="3"/>
  <c r="U52" i="3"/>
  <c r="U53" i="3"/>
  <c r="U18" i="2"/>
  <c r="U68" i="3"/>
  <c r="U48" i="3"/>
  <c r="U98" i="3"/>
  <c r="U70" i="3"/>
  <c r="V117" i="3"/>
  <c r="V124" i="3"/>
  <c r="U75" i="3"/>
  <c r="V33" i="3"/>
  <c r="V145" i="4"/>
  <c r="V105" i="4"/>
  <c r="U70" i="4"/>
  <c r="U56" i="4"/>
  <c r="Z126" i="4"/>
  <c r="Z128" i="4"/>
  <c r="U135" i="4"/>
  <c r="U124" i="4"/>
  <c r="U85" i="4"/>
  <c r="Z39" i="3"/>
  <c r="V139" i="3"/>
  <c r="V81" i="2"/>
  <c r="V65" i="2"/>
  <c r="V119" i="3"/>
  <c r="U67" i="3"/>
  <c r="Z77" i="3"/>
  <c r="V32" i="3"/>
  <c r="V118" i="4"/>
  <c r="V133" i="4"/>
  <c r="V91" i="4"/>
  <c r="U44" i="4"/>
  <c r="Z141" i="4"/>
  <c r="Z116" i="4"/>
  <c r="Z112" i="4"/>
  <c r="U145" i="4"/>
  <c r="U146" i="4"/>
  <c r="U91" i="4"/>
  <c r="Z27" i="2"/>
  <c r="V128" i="3"/>
  <c r="V108" i="3"/>
  <c r="U61" i="3"/>
  <c r="U59" i="3"/>
  <c r="Z67" i="4"/>
  <c r="U51" i="3"/>
  <c r="U80" i="3"/>
  <c r="V2" i="3"/>
  <c r="V120" i="4"/>
  <c r="V131" i="4"/>
  <c r="U45" i="4"/>
  <c r="U80" i="4"/>
  <c r="Z111" i="4"/>
  <c r="Z110" i="4"/>
  <c r="V18" i="4"/>
  <c r="U106" i="4"/>
  <c r="U112" i="4"/>
  <c r="U9" i="4"/>
  <c r="U2" i="2"/>
  <c r="Z47" i="4"/>
  <c r="V76" i="2"/>
  <c r="V122" i="3"/>
  <c r="U27" i="3"/>
  <c r="Z53" i="4"/>
  <c r="V84" i="2"/>
  <c r="Z62" i="2"/>
  <c r="V63" i="2"/>
  <c r="V136" i="3"/>
  <c r="V115" i="3"/>
  <c r="Z34" i="3"/>
  <c r="U60" i="3"/>
  <c r="U74" i="3"/>
  <c r="Z58" i="3"/>
  <c r="V4" i="3"/>
  <c r="U106" i="3"/>
  <c r="Z43" i="4"/>
  <c r="V143" i="4"/>
  <c r="V139" i="4"/>
  <c r="V37" i="4"/>
  <c r="V85" i="4"/>
  <c r="U69" i="4"/>
  <c r="U79" i="4"/>
  <c r="Z109" i="4"/>
  <c r="Z142" i="4"/>
  <c r="V22" i="4"/>
  <c r="U125" i="4"/>
  <c r="U138" i="4"/>
  <c r="U4" i="4"/>
  <c r="Z130" i="3"/>
  <c r="V116" i="3"/>
  <c r="V59" i="2"/>
  <c r="V56" i="3"/>
  <c r="V141" i="3"/>
  <c r="V107" i="3"/>
  <c r="U55" i="3"/>
  <c r="U66" i="3"/>
  <c r="V6" i="3"/>
  <c r="Z59" i="4"/>
  <c r="V110" i="4"/>
  <c r="V138" i="4"/>
  <c r="V97" i="4"/>
  <c r="U67" i="4"/>
  <c r="U74" i="4"/>
  <c r="Z135" i="4"/>
  <c r="Z132" i="4"/>
  <c r="U109" i="4"/>
  <c r="U119" i="4"/>
  <c r="U3" i="4"/>
  <c r="U29" i="3"/>
  <c r="V20" i="2"/>
  <c r="V113" i="3"/>
  <c r="V75" i="3"/>
  <c r="V110" i="3"/>
  <c r="U62" i="3"/>
  <c r="V8" i="3"/>
  <c r="Z52" i="4"/>
  <c r="V128" i="4"/>
  <c r="V124" i="4"/>
  <c r="U72" i="4"/>
  <c r="U59" i="4"/>
  <c r="Z121" i="4"/>
  <c r="Z131" i="4"/>
  <c r="U139" i="4"/>
  <c r="U134" i="4"/>
  <c r="U92" i="4"/>
  <c r="Z88" i="3"/>
  <c r="U71" i="2"/>
  <c r="U99" i="3"/>
  <c r="V29" i="3"/>
  <c r="V79" i="2"/>
  <c r="V70" i="2"/>
  <c r="Z63" i="2"/>
  <c r="V56" i="2"/>
  <c r="U50" i="3"/>
  <c r="Z75" i="3"/>
  <c r="V9" i="3"/>
  <c r="V106" i="4"/>
  <c r="U54" i="4"/>
  <c r="U66" i="4"/>
  <c r="Z130" i="4"/>
  <c r="U107" i="4"/>
  <c r="U122" i="4"/>
  <c r="U88" i="4"/>
  <c r="V69" i="2"/>
  <c r="V85" i="2"/>
  <c r="Z61" i="2"/>
  <c r="U40" i="2"/>
  <c r="Z37" i="2"/>
  <c r="V2" i="2"/>
  <c r="V68" i="3"/>
  <c r="V134" i="3"/>
  <c r="U13" i="3"/>
  <c r="V105" i="3"/>
  <c r="Z116" i="3"/>
  <c r="Z33" i="3"/>
  <c r="U82" i="3"/>
  <c r="U69" i="3"/>
  <c r="Z67" i="3"/>
  <c r="V3" i="3"/>
  <c r="U113" i="3"/>
  <c r="V11" i="4"/>
  <c r="Z85" i="4"/>
  <c r="U104" i="4"/>
  <c r="V135" i="4"/>
  <c r="V142" i="4"/>
  <c r="V27" i="4"/>
  <c r="V88" i="4"/>
  <c r="U43" i="4"/>
  <c r="U65" i="4"/>
  <c r="Z107" i="4"/>
  <c r="Z114" i="4"/>
  <c r="U27" i="4"/>
  <c r="U118" i="4"/>
  <c r="U110" i="4"/>
  <c r="U82" i="4"/>
  <c r="Z39" i="4"/>
  <c r="V35" i="3"/>
  <c r="U20" i="3"/>
  <c r="U95" i="3"/>
  <c r="V129" i="3"/>
  <c r="V67" i="3"/>
  <c r="V126" i="3"/>
  <c r="U56" i="3"/>
  <c r="Z65" i="4"/>
  <c r="V80" i="2"/>
  <c r="V89" i="2"/>
  <c r="Z64" i="2"/>
  <c r="U48" i="2"/>
  <c r="Z44" i="2"/>
  <c r="V4" i="2"/>
  <c r="V63" i="3"/>
  <c r="V138" i="3"/>
  <c r="U9" i="3"/>
  <c r="V127" i="3"/>
  <c r="Z106" i="3"/>
  <c r="Z26" i="3"/>
  <c r="U78" i="3"/>
  <c r="U73" i="3"/>
  <c r="Z74" i="3"/>
  <c r="Z102" i="3"/>
  <c r="U37" i="3"/>
  <c r="V7" i="4"/>
  <c r="Z91" i="4"/>
  <c r="U99" i="4"/>
  <c r="V122" i="4"/>
  <c r="V114" i="4"/>
  <c r="V38" i="4"/>
  <c r="V93" i="4"/>
  <c r="U61" i="4"/>
  <c r="U75" i="4"/>
  <c r="Z106" i="4"/>
  <c r="Z108" i="4"/>
  <c r="U32" i="4"/>
  <c r="U117" i="4"/>
  <c r="U132" i="4"/>
  <c r="U83" i="4"/>
  <c r="Z36" i="4"/>
  <c r="U20" i="4"/>
  <c r="U139" i="3"/>
  <c r="V74" i="2"/>
  <c r="V131" i="3"/>
  <c r="U81" i="3"/>
  <c r="V130" i="3"/>
  <c r="U102" i="4"/>
  <c r="V137" i="4"/>
  <c r="Z144" i="4"/>
  <c r="Z43" i="2"/>
  <c r="V51" i="3"/>
  <c r="V125" i="3"/>
  <c r="Z126" i="3"/>
  <c r="Z29" i="3"/>
  <c r="U77" i="3"/>
  <c r="Z66" i="3"/>
  <c r="Z95" i="3"/>
  <c r="U40" i="3"/>
  <c r="U98" i="4"/>
  <c r="V141" i="4"/>
  <c r="V108" i="4"/>
  <c r="U53" i="4"/>
  <c r="U58" i="4"/>
  <c r="Z105" i="4"/>
  <c r="U30" i="4"/>
  <c r="U127" i="4"/>
  <c r="U131" i="4"/>
  <c r="U90" i="4"/>
  <c r="Z33" i="4"/>
  <c r="U56" i="2"/>
  <c r="Z94" i="3"/>
  <c r="Z135" i="3"/>
  <c r="Z85" i="3"/>
  <c r="V15" i="3"/>
  <c r="U45" i="3"/>
  <c r="Z133" i="3"/>
  <c r="Z84" i="3"/>
  <c r="V16" i="3"/>
  <c r="U44" i="3"/>
  <c r="Z132" i="3"/>
  <c r="U47" i="3"/>
  <c r="U28" i="2"/>
  <c r="U36" i="2"/>
  <c r="Z92" i="3"/>
  <c r="Z68" i="3"/>
  <c r="Z70" i="3"/>
  <c r="V10" i="3"/>
  <c r="U43" i="3"/>
  <c r="Z140" i="3"/>
  <c r="V90" i="3"/>
  <c r="U38" i="3"/>
  <c r="U34" i="3"/>
  <c r="Z64" i="3"/>
  <c r="Z101" i="3"/>
  <c r="U41" i="3"/>
  <c r="Z38" i="3"/>
  <c r="U28" i="3"/>
  <c r="Z51" i="3"/>
  <c r="Z97" i="3"/>
  <c r="U36" i="3"/>
  <c r="Z47" i="3"/>
  <c r="Z6" i="3"/>
  <c r="U53" i="2"/>
  <c r="U100" i="3"/>
  <c r="U31" i="3"/>
  <c r="Z80" i="3"/>
  <c r="V14" i="3"/>
  <c r="Z100" i="3"/>
  <c r="U46" i="3"/>
  <c r="Z43" i="3"/>
  <c r="Z96" i="3"/>
  <c r="U42" i="3"/>
  <c r="Z99" i="3"/>
  <c r="U33" i="3"/>
  <c r="Z56" i="3"/>
  <c r="Z62" i="3"/>
  <c r="V12" i="3"/>
  <c r="Z103" i="3"/>
  <c r="U126" i="3"/>
  <c r="U35" i="3"/>
  <c r="Z41" i="3"/>
  <c r="U79" i="2"/>
  <c r="Z8" i="2"/>
  <c r="V46" i="2"/>
  <c r="U76" i="2"/>
  <c r="U60" i="2"/>
  <c r="U39" i="2"/>
  <c r="V5" i="2"/>
  <c r="U20" i="2"/>
  <c r="U11" i="3"/>
  <c r="Z108" i="3"/>
  <c r="V96" i="3"/>
  <c r="U103" i="3"/>
  <c r="U32" i="3"/>
  <c r="Z55" i="3"/>
  <c r="Z50" i="3"/>
  <c r="V5" i="3"/>
  <c r="U105" i="3"/>
  <c r="Z136" i="3"/>
  <c r="Z36" i="3"/>
  <c r="V39" i="2"/>
  <c r="U77" i="2"/>
  <c r="U9" i="2"/>
  <c r="U30" i="2"/>
  <c r="V10" i="2"/>
  <c r="U16" i="2"/>
  <c r="Z109" i="3"/>
  <c r="V99" i="3"/>
  <c r="U26" i="3"/>
  <c r="Z81" i="3"/>
  <c r="Z65" i="3"/>
  <c r="V17" i="3"/>
  <c r="U123" i="3"/>
  <c r="U110" i="3"/>
  <c r="Z141" i="3"/>
  <c r="Z46" i="3"/>
  <c r="V53" i="2"/>
  <c r="U6" i="2"/>
  <c r="U46" i="2"/>
  <c r="U19" i="2"/>
  <c r="Z124" i="3"/>
  <c r="V103" i="3"/>
  <c r="Z93" i="3"/>
  <c r="Z82" i="3"/>
  <c r="Z72" i="3"/>
  <c r="V13" i="3"/>
  <c r="U125" i="3"/>
  <c r="U104" i="3"/>
  <c r="Z131" i="3"/>
  <c r="Z42" i="3"/>
  <c r="V55" i="2"/>
  <c r="U37" i="2"/>
  <c r="V43" i="2"/>
  <c r="U75" i="2"/>
  <c r="V16" i="2"/>
  <c r="Z78" i="3"/>
  <c r="U121" i="3"/>
  <c r="Z13" i="3"/>
  <c r="V26" i="3"/>
  <c r="V45" i="3"/>
  <c r="Z62" i="4"/>
  <c r="Z41" i="4"/>
  <c r="V62" i="4"/>
  <c r="V76" i="4"/>
  <c r="U22" i="4"/>
  <c r="V44" i="3"/>
  <c r="Z11" i="3"/>
  <c r="V57" i="2"/>
  <c r="V80" i="3"/>
  <c r="U136" i="3"/>
  <c r="Z15" i="3"/>
  <c r="V37" i="3"/>
  <c r="Z46" i="4"/>
  <c r="Z58" i="4"/>
  <c r="V72" i="4"/>
  <c r="V60" i="4"/>
  <c r="V62" i="2"/>
  <c r="V81" i="3"/>
  <c r="V74" i="3"/>
  <c r="U141" i="3"/>
  <c r="Z8" i="3"/>
  <c r="V38" i="3"/>
  <c r="Z54" i="4"/>
  <c r="Z81" i="4"/>
  <c r="V57" i="4"/>
  <c r="V50" i="4"/>
  <c r="V47" i="3"/>
  <c r="V65" i="4"/>
  <c r="Z75" i="4"/>
  <c r="V60" i="2"/>
  <c r="Z19" i="2"/>
  <c r="V60" i="3"/>
  <c r="V62" i="3"/>
  <c r="U131" i="3"/>
  <c r="Z3" i="3"/>
  <c r="U24" i="3"/>
  <c r="V46" i="3"/>
  <c r="Z78" i="4"/>
  <c r="Z49" i="4"/>
  <c r="V64" i="4"/>
  <c r="V69" i="4"/>
  <c r="Z9" i="3"/>
  <c r="V61" i="2"/>
  <c r="Z20" i="2"/>
  <c r="V55" i="3"/>
  <c r="V50" i="3"/>
  <c r="U134" i="3"/>
  <c r="Z24" i="3"/>
  <c r="U25" i="3"/>
  <c r="V18" i="3"/>
  <c r="V41" i="3"/>
  <c r="Z55" i="4"/>
  <c r="Z57" i="4"/>
  <c r="V24" i="4"/>
  <c r="U25" i="4"/>
  <c r="V58" i="4"/>
  <c r="V45" i="4"/>
  <c r="U2" i="4"/>
  <c r="Z16" i="3"/>
  <c r="Z4" i="3"/>
  <c r="U130" i="3"/>
  <c r="Z68" i="4"/>
  <c r="V64" i="2"/>
  <c r="Z15" i="2"/>
  <c r="V82" i="3"/>
  <c r="V73" i="3"/>
  <c r="U138" i="3"/>
  <c r="Z25" i="3"/>
  <c r="U23" i="3"/>
  <c r="V25" i="3"/>
  <c r="V36" i="3"/>
  <c r="Z77" i="4"/>
  <c r="Z66" i="4"/>
  <c r="U34" i="4"/>
  <c r="V55" i="4"/>
  <c r="V80" i="4"/>
  <c r="U8" i="4"/>
  <c r="V43" i="3"/>
  <c r="V52" i="4"/>
  <c r="U22" i="3"/>
  <c r="V24" i="3"/>
  <c r="V42" i="3"/>
  <c r="V100" i="4"/>
  <c r="Z70" i="4"/>
  <c r="Z73" i="4"/>
  <c r="V78" i="4"/>
  <c r="V75" i="4"/>
  <c r="U18" i="3"/>
  <c r="V40" i="3"/>
  <c r="U135" i="3"/>
  <c r="U132" i="3"/>
  <c r="Z18" i="3"/>
  <c r="U19" i="3"/>
  <c r="V23" i="3"/>
  <c r="V39" i="3"/>
  <c r="V98" i="4"/>
  <c r="Z44" i="4"/>
  <c r="Z64" i="4"/>
  <c r="V68" i="4"/>
  <c r="V66" i="4"/>
  <c r="V43" i="4"/>
  <c r="V65" i="3"/>
  <c r="V54" i="2"/>
  <c r="Z18" i="2"/>
  <c r="V54" i="3"/>
  <c r="V57" i="3"/>
  <c r="U133" i="3"/>
  <c r="Z7" i="3"/>
  <c r="Z22" i="3"/>
  <c r="U21" i="3"/>
  <c r="V22" i="3"/>
  <c r="V99" i="4"/>
  <c r="Z63" i="4"/>
  <c r="Z51" i="4"/>
  <c r="Z56" i="4"/>
  <c r="V67" i="4"/>
  <c r="V49" i="4"/>
  <c r="V77" i="3"/>
  <c r="Z17" i="2"/>
  <c r="V59" i="3"/>
  <c r="V49" i="3"/>
  <c r="U137" i="3"/>
  <c r="Z14" i="3"/>
  <c r="Z19" i="3"/>
  <c r="V21" i="3"/>
  <c r="V93" i="3"/>
  <c r="V102" i="4"/>
  <c r="Z45" i="4"/>
  <c r="Z60" i="4"/>
  <c r="Z40" i="4"/>
  <c r="U156" i="4"/>
  <c r="U29" i="4"/>
  <c r="V61" i="4"/>
  <c r="V41" i="4"/>
  <c r="U11" i="4"/>
  <c r="Z21" i="2"/>
  <c r="Z14" i="2"/>
  <c r="V58" i="3"/>
  <c r="V79" i="3"/>
  <c r="U140" i="3"/>
  <c r="Z2" i="3"/>
  <c r="Z21" i="3"/>
  <c r="V34" i="3"/>
  <c r="V19" i="3"/>
  <c r="V88" i="3"/>
  <c r="V104" i="4"/>
  <c r="Z72" i="4"/>
  <c r="Z50" i="4"/>
  <c r="U154" i="4"/>
  <c r="U37" i="4"/>
  <c r="V53" i="4"/>
  <c r="V54" i="4"/>
  <c r="U7" i="4"/>
  <c r="V42" i="4"/>
  <c r="Z23" i="3"/>
  <c r="V72" i="3"/>
  <c r="U26" i="2"/>
  <c r="Z16" i="2"/>
  <c r="V52" i="3"/>
  <c r="V71" i="3"/>
  <c r="Z12" i="3"/>
  <c r="V28" i="3"/>
  <c r="V86" i="3"/>
  <c r="U24" i="4"/>
  <c r="V103" i="4"/>
  <c r="Z71" i="4"/>
  <c r="Z42" i="4"/>
  <c r="Z19" i="4"/>
  <c r="U149" i="4"/>
  <c r="V71" i="4"/>
  <c r="V79" i="4"/>
  <c r="V78" i="3"/>
  <c r="U25" i="2"/>
  <c r="V76" i="3"/>
  <c r="V61" i="3"/>
  <c r="Z5" i="3"/>
  <c r="V31" i="3"/>
  <c r="V87" i="3"/>
  <c r="Z61" i="4"/>
  <c r="Z80" i="4"/>
  <c r="Z18" i="4"/>
  <c r="V40" i="4"/>
  <c r="V77" i="4"/>
  <c r="V74" i="4"/>
  <c r="V53" i="3"/>
  <c r="V69" i="3"/>
  <c r="Z69" i="4"/>
  <c r="Z79" i="4"/>
  <c r="V48" i="4"/>
  <c r="V70" i="4"/>
  <c r="V59" i="4"/>
  <c r="Z17" i="3"/>
  <c r="V30" i="3"/>
  <c r="V64" i="3"/>
  <c r="Z48" i="4"/>
  <c r="V119" i="4"/>
  <c r="U46" i="4"/>
  <c r="U60" i="4"/>
  <c r="V47" i="4"/>
  <c r="U143" i="4"/>
  <c r="A9" i="12" l="1" a="1"/>
  <c r="A9" i="9" a="1"/>
  <c r="A9" i="11" a="1"/>
  <c r="A6" i="11" l="1"/>
  <c r="T10" i="11"/>
  <c r="T16" i="11"/>
  <c r="T11" i="11"/>
  <c r="T12" i="11"/>
  <c r="T13" i="11"/>
  <c r="T14" i="11"/>
  <c r="T15" i="11"/>
  <c r="T17" i="11"/>
  <c r="T10" i="12"/>
  <c r="T11" i="12"/>
  <c r="T12" i="12"/>
  <c r="A9" i="9"/>
  <c r="T9" i="9" s="1"/>
  <c r="T10" i="9"/>
  <c r="T15" i="9"/>
  <c r="T11" i="9"/>
  <c r="T12" i="9"/>
  <c r="T17" i="9"/>
  <c r="T13" i="9"/>
  <c r="T14" i="9"/>
  <c r="T16" i="9"/>
  <c r="T18" i="9"/>
  <c r="A9" i="12"/>
  <c r="T9" i="12" s="1"/>
  <c r="A6" i="12"/>
  <c r="A6" i="9"/>
  <c r="A9" i="11"/>
  <c r="T9" i="11" s="1"/>
  <c r="T2" i="12" l="1"/>
  <c r="T2" i="11"/>
  <c r="T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<sst xmlns="http://schemas.openxmlformats.org/spreadsheetml/2006/main" count="1376" uniqueCount="502">
  <si>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</si>
  <si>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</si>
  <si>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</si>
  <si>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</si>
  <si>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</si>
  <si>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</si>
  <si>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</si>
  <si>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</si>
  <si>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</si>
  <si>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</si>
  <si>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</si>
  <si>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</si>
  <si>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</si>
  <si>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</si>
  <si>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</si>
  <si>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</si>
  <si>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</si>
  <si>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</si>
  <si>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</si>
  <si>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</si>
  <si>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</si>
  <si>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</si>
  <si>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</si>
  <si>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</si>
  <si>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</si>
  <si>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</si>
  <si>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</si>
  <si>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</si>
  <si>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</si>
  <si>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</si>
  <si>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</si>
  <si>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</si>
  <si>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</si>
  <si>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</si>
  <si>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</si>
  <si>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</si>
  <si>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</si>
  <si>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</si>
  <si>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</si>
  <si>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</si>
  <si>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</si>
  <si>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</si>
  <si>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</si>
  <si>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</si>
  <si>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</si>
  <si>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</si>
  <si>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</si>
  <si>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</si>
  <si>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</si>
  <si>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</si>
  <si>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</si>
  <si>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</si>
  <si>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</si>
  <si>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</si>
  <si>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</si>
  <si>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</si>
  <si>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</si>
  <si>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</si>
  <si>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</si>
  <si>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</si>
  <si>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</si>
  <si>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</si>
  <si>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</si>
  <si>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</si>
  <si>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</si>
  <si>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</si>
  <si>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</si>
  <si>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</si>
  <si>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</si>
  <si>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</si>
  <si>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</si>
  <si>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</si>
  <si>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</si>
  <si>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</si>
  <si>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</si>
  <si>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</si>
  <si>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</si>
  <si>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</si>
  <si>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</si>
  <si>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</si>
  <si>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</si>
  <si>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</si>
  <si>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</si>
  <si>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</si>
  <si>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</si>
  <si>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</si>
  <si>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</si>
  <si>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</si>
  <si>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</si>
  <si>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</si>
  <si>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</si>
  <si>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</si>
  <si>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</si>
  <si>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</si>
  <si>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</si>
  <si>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</si>
  <si>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</si>
  <si>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</si>
  <si>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</si>
  <si>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</si>
  <si>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</si>
  <si>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</si>
  <si>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</si>
  <si>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</si>
  <si>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</si>
  <si>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MATW</t>
  </si>
  <si>
    <t>Automobile Components</t>
  </si>
  <si>
    <t>Automobiles</t>
  </si>
  <si>
    <t>Household Durables</t>
  </si>
  <si>
    <t>Leisure Products</t>
  </si>
  <si>
    <t>Textiles, Apparel &amp; Luxury Goods</t>
  </si>
  <si>
    <t>Hotels, Restaurants &amp; Leisure</t>
  </si>
  <si>
    <t>Diversified Consumer Services</t>
  </si>
  <si>
    <t>Distributors</t>
  </si>
  <si>
    <t>Broadline Retail</t>
  </si>
  <si>
    <t>Specialty Retail</t>
  </si>
  <si>
    <t>APTV</t>
  </si>
  <si>
    <t>MBLY</t>
  </si>
  <si>
    <t>F</t>
  </si>
  <si>
    <t>GM</t>
  </si>
  <si>
    <t>HMC</t>
  </si>
  <si>
    <t>STLA</t>
  </si>
  <si>
    <t>TM</t>
  </si>
  <si>
    <t>TSLA</t>
  </si>
  <si>
    <t>XPEV</t>
  </si>
  <si>
    <t>GRMN</t>
  </si>
  <si>
    <t>SONY</t>
  </si>
  <si>
    <t>SGI</t>
  </si>
  <si>
    <t>DHI</t>
  </si>
  <si>
    <t>LEN</t>
  </si>
  <si>
    <t>NVR</t>
  </si>
  <si>
    <t>PHM</t>
  </si>
  <si>
    <t>TOL</t>
  </si>
  <si>
    <t>AS</t>
  </si>
  <si>
    <t>LULU</t>
  </si>
  <si>
    <t>RL</t>
  </si>
  <si>
    <t>TPR</t>
  </si>
  <si>
    <t>DECK</t>
  </si>
  <si>
    <t>NKE</t>
  </si>
  <si>
    <t>ONON</t>
  </si>
  <si>
    <t>DKNG</t>
  </si>
  <si>
    <t>FLUT</t>
  </si>
  <si>
    <t>LVS</t>
  </si>
  <si>
    <t>BKNG</t>
  </si>
  <si>
    <t>CCL</t>
  </si>
  <si>
    <t>CUK</t>
  </si>
  <si>
    <t>EXPE</t>
  </si>
  <si>
    <t>H</t>
  </si>
  <si>
    <t>HTHT</t>
  </si>
  <si>
    <t>IHG</t>
  </si>
  <si>
    <t>MAR</t>
  </si>
  <si>
    <t>MMYT</t>
  </si>
  <si>
    <t>RCL</t>
  </si>
  <si>
    <t>VIK</t>
  </si>
  <si>
    <t>ARMK</t>
  </si>
  <si>
    <t>CAVA</t>
  </si>
  <si>
    <t>CMG</t>
  </si>
  <si>
    <t>DASH</t>
  </si>
  <si>
    <t>DPZ</t>
  </si>
  <si>
    <t>DRI</t>
  </si>
  <si>
    <t>MCD</t>
  </si>
  <si>
    <t>QSR</t>
  </si>
  <si>
    <t>SBUX</t>
  </si>
  <si>
    <t>TXRH</t>
  </si>
  <si>
    <t>YUM</t>
  </si>
  <si>
    <t>YUMC</t>
  </si>
  <si>
    <t>DUOL</t>
  </si>
  <si>
    <t>PSO</t>
  </si>
  <si>
    <t>SCI</t>
  </si>
  <si>
    <t>GPC</t>
  </si>
  <si>
    <t>LKQ</t>
  </si>
  <si>
    <t>POOL</t>
  </si>
  <si>
    <t>AMZN</t>
  </si>
  <si>
    <t>BABA</t>
  </si>
  <si>
    <t>CPNG</t>
  </si>
  <si>
    <t>EBAY</t>
  </si>
  <si>
    <t>JD</t>
  </si>
  <si>
    <t>MELI</t>
  </si>
  <si>
    <t>PDD</t>
  </si>
  <si>
    <t>BURL</t>
  </si>
  <si>
    <t>ROST</t>
  </si>
  <si>
    <t>TJX</t>
  </si>
  <si>
    <t>BBY</t>
  </si>
  <si>
    <t>GME</t>
  </si>
  <si>
    <t>HD</t>
  </si>
  <si>
    <t>LOW</t>
  </si>
  <si>
    <t>CHWY</t>
  </si>
  <si>
    <t>DKS</t>
  </si>
  <si>
    <t>TSCO</t>
  </si>
  <si>
    <t>ULTA</t>
  </si>
  <si>
    <t>AZO</t>
  </si>
  <si>
    <t>CVNA</t>
  </si>
  <si>
    <t>KMX</t>
  </si>
  <si>
    <t>MUSA</t>
  </si>
  <si>
    <t>ORLY</t>
  </si>
  <si>
    <t>PAG</t>
  </si>
  <si>
    <t>WSM</t>
  </si>
  <si>
    <t>ALV</t>
  </si>
  <si>
    <t>BWA</t>
  </si>
  <si>
    <t>DAN</t>
  </si>
  <si>
    <t>DORM</t>
  </si>
  <si>
    <t>GNTX</t>
  </si>
  <si>
    <t>GTX</t>
  </si>
  <si>
    <t>LCII</t>
  </si>
  <si>
    <t>LEA</t>
  </si>
  <si>
    <t>MGA</t>
  </si>
  <si>
    <t>MOD</t>
  </si>
  <si>
    <t>PATK</t>
  </si>
  <si>
    <t>QS</t>
  </si>
  <si>
    <t>WRD</t>
  </si>
  <si>
    <t>GT</t>
  </si>
  <si>
    <t>LCID</t>
  </si>
  <si>
    <t>NIO</t>
  </si>
  <si>
    <t>PSNY</t>
  </si>
  <si>
    <t>THO</t>
  </si>
  <si>
    <t>VFS</t>
  </si>
  <si>
    <t>ZK</t>
  </si>
  <si>
    <t>HOG</t>
  </si>
  <si>
    <t>MHK</t>
  </si>
  <si>
    <t>BLD</t>
  </si>
  <si>
    <t>CVCO</t>
  </si>
  <si>
    <t>DFH</t>
  </si>
  <si>
    <t>GRBK</t>
  </si>
  <si>
    <t>IBP</t>
  </si>
  <si>
    <t>KBH</t>
  </si>
  <si>
    <t>MHO</t>
  </si>
  <si>
    <t>MTH</t>
  </si>
  <si>
    <t>SKY</t>
  </si>
  <si>
    <t>TMHC</t>
  </si>
  <si>
    <t>TPH</t>
  </si>
  <si>
    <t>WHR</t>
  </si>
  <si>
    <t>BC</t>
  </si>
  <si>
    <t>DOOO</t>
  </si>
  <si>
    <t>GOLF</t>
  </si>
  <si>
    <t>HAS</t>
  </si>
  <si>
    <t>MAT</t>
  </si>
  <si>
    <t>PTON</t>
  </si>
  <si>
    <t>YETI</t>
  </si>
  <si>
    <t>COLM</t>
  </si>
  <si>
    <t>GIL</t>
  </si>
  <si>
    <t>KTB</t>
  </si>
  <si>
    <t>LEVI</t>
  </si>
  <si>
    <t>PVH</t>
  </si>
  <si>
    <t>UA</t>
  </si>
  <si>
    <t>UAA</t>
  </si>
  <si>
    <t>VFC</t>
  </si>
  <si>
    <t>ZGN</t>
  </si>
  <si>
    <t>BIRK</t>
  </si>
  <si>
    <t>CROX</t>
  </si>
  <si>
    <t>SKX</t>
  </si>
  <si>
    <t>BYD</t>
  </si>
  <si>
    <t>CHDN</t>
  </si>
  <si>
    <t>CZR</t>
  </si>
  <si>
    <t>GENI</t>
  </si>
  <si>
    <t>IGT</t>
  </si>
  <si>
    <t>LNW</t>
  </si>
  <si>
    <t>MGM</t>
  </si>
  <si>
    <t>MLCO</t>
  </si>
  <si>
    <t>PENN</t>
  </si>
  <si>
    <t>RRR</t>
  </si>
  <si>
    <t>SGHC</t>
  </si>
  <si>
    <t>SRAD</t>
  </si>
  <si>
    <t>WYNN</t>
  </si>
  <si>
    <t>ATAT</t>
  </si>
  <si>
    <t>CHH</t>
  </si>
  <si>
    <t>GBTG</t>
  </si>
  <si>
    <t>HGV</t>
  </si>
  <si>
    <t>TNL</t>
  </si>
  <si>
    <t>VAC</t>
  </si>
  <si>
    <t>WH</t>
  </si>
  <si>
    <t>FUN</t>
  </si>
  <si>
    <t>LTH</t>
  </si>
  <si>
    <t>MTN</t>
  </si>
  <si>
    <t>PLNT</t>
  </si>
  <si>
    <t>PRKS</t>
  </si>
  <si>
    <t>BROS</t>
  </si>
  <si>
    <t>CAKE</t>
  </si>
  <si>
    <t>EAT</t>
  </si>
  <si>
    <t>SG</t>
  </si>
  <si>
    <t>SHAK</t>
  </si>
  <si>
    <t>WEN</t>
  </si>
  <si>
    <t>WING</t>
  </si>
  <si>
    <t>ATGE</t>
  </si>
  <si>
    <t>BFAM</t>
  </si>
  <si>
    <t>EDU</t>
  </si>
  <si>
    <t>GHC</t>
  </si>
  <si>
    <t>LAUR</t>
  </si>
  <si>
    <t>LOPE</t>
  </si>
  <si>
    <t>LRN</t>
  </si>
  <si>
    <t>STRA</t>
  </si>
  <si>
    <t>TAL</t>
  </si>
  <si>
    <t>ADT</t>
  </si>
  <si>
    <t>FTDR</t>
  </si>
  <si>
    <t>HRB</t>
  </si>
  <si>
    <t>MCW</t>
  </si>
  <si>
    <t>DDS</t>
  </si>
  <si>
    <t>ETSY</t>
  </si>
  <si>
    <t>GLBE</t>
  </si>
  <si>
    <t>M</t>
  </si>
  <si>
    <t>MNSO</t>
  </si>
  <si>
    <t>OLLI</t>
  </si>
  <si>
    <t>QVCGB</t>
  </si>
  <si>
    <t>VIPS</t>
  </si>
  <si>
    <t>ANF</t>
  </si>
  <si>
    <t>BOOT</t>
  </si>
  <si>
    <t>GAP</t>
  </si>
  <si>
    <t>URBN</t>
  </si>
  <si>
    <t>FND</t>
  </si>
  <si>
    <t>ASO</t>
  </si>
  <si>
    <t>BBWI</t>
  </si>
  <si>
    <t>FIVE</t>
  </si>
  <si>
    <t>SIG</t>
  </si>
  <si>
    <t>ABG</t>
  </si>
  <si>
    <t>AN</t>
  </si>
  <si>
    <t>GPI</t>
  </si>
  <si>
    <t>LAD</t>
  </si>
  <si>
    <t>SAH</t>
  </si>
  <si>
    <t>VVV</t>
  </si>
  <si>
    <t>RH</t>
  </si>
  <si>
    <t>W</t>
  </si>
  <si>
    <t>ADNT</t>
  </si>
  <si>
    <t>AXL</t>
  </si>
  <si>
    <t>CPS</t>
  </si>
  <si>
    <t>ECX</t>
  </si>
  <si>
    <t>FOXF</t>
  </si>
  <si>
    <t>MRETF</t>
  </si>
  <si>
    <t>PHIN</t>
  </si>
  <si>
    <t>SMP</t>
  </si>
  <si>
    <t>THRM</t>
  </si>
  <si>
    <t>XPEL</t>
  </si>
  <si>
    <t>LOT</t>
  </si>
  <si>
    <t>WGO</t>
  </si>
  <si>
    <t>NIU</t>
  </si>
  <si>
    <t>SONO</t>
  </si>
  <si>
    <t>ETD</t>
  </si>
  <si>
    <t>LEG</t>
  </si>
  <si>
    <t>LOVE</t>
  </si>
  <si>
    <t>LZB</t>
  </si>
  <si>
    <t>BZH</t>
  </si>
  <si>
    <t>CCS</t>
  </si>
  <si>
    <t>HOV</t>
  </si>
  <si>
    <t>LEGH</t>
  </si>
  <si>
    <t>LGIH</t>
  </si>
  <si>
    <t>SDHC</t>
  </si>
  <si>
    <t>CRCT</t>
  </si>
  <si>
    <t>HELE</t>
  </si>
  <si>
    <t>JOUT</t>
  </si>
  <si>
    <t>MBUU</t>
  </si>
  <si>
    <t>MCFT</t>
  </si>
  <si>
    <t>MODG</t>
  </si>
  <si>
    <t>MPX</t>
  </si>
  <si>
    <t>PII</t>
  </si>
  <si>
    <t>RGR</t>
  </si>
  <si>
    <t>SWIM</t>
  </si>
  <si>
    <t>CPRI</t>
  </si>
  <si>
    <t>CRI</t>
  </si>
  <si>
    <t>FIGS</t>
  </si>
  <si>
    <t>GIII</t>
  </si>
  <si>
    <t>GOOS</t>
  </si>
  <si>
    <t>HBI</t>
  </si>
  <si>
    <t>LANV</t>
  </si>
  <si>
    <t>MOV</t>
  </si>
  <si>
    <t>OXM</t>
  </si>
  <si>
    <t>SHOO</t>
  </si>
  <si>
    <t>WWW</t>
  </si>
  <si>
    <t>ACEL</t>
  </si>
  <si>
    <t>AGS</t>
  </si>
  <si>
    <t>BALY</t>
  </si>
  <si>
    <t>CDRO</t>
  </si>
  <si>
    <t>EVRI</t>
  </si>
  <si>
    <t>GDEN</t>
  </si>
  <si>
    <t>MCRI</t>
  </si>
  <si>
    <t>MSC</t>
  </si>
  <si>
    <t>RSI</t>
  </si>
  <si>
    <t>LIND</t>
  </si>
  <si>
    <t>PLYA</t>
  </si>
  <si>
    <t>SABR</t>
  </si>
  <si>
    <t>SHCO</t>
  </si>
  <si>
    <t>TH</t>
  </si>
  <si>
    <t>LUCK</t>
  </si>
  <si>
    <t>PLAY</t>
  </si>
  <si>
    <t>XPOF</t>
  </si>
  <si>
    <t>ARCO</t>
  </si>
  <si>
    <t>BH</t>
  </si>
  <si>
    <t>BJRI</t>
  </si>
  <si>
    <t>BLMN</t>
  </si>
  <si>
    <t>CBRL</t>
  </si>
  <si>
    <t>DIN</t>
  </si>
  <si>
    <t>DNUT</t>
  </si>
  <si>
    <t>FWRG</t>
  </si>
  <si>
    <t>HDL</t>
  </si>
  <si>
    <t>JACK</t>
  </si>
  <si>
    <t>KRUS</t>
  </si>
  <si>
    <t>LOCO</t>
  </si>
  <si>
    <t>NATH</t>
  </si>
  <si>
    <t>PBPB</t>
  </si>
  <si>
    <t>PTLO</t>
  </si>
  <si>
    <t>PZZA</t>
  </si>
  <si>
    <t>RICK</t>
  </si>
  <si>
    <t>SERV</t>
  </si>
  <si>
    <t>VENU</t>
  </si>
  <si>
    <t>AFYA</t>
  </si>
  <si>
    <t>APEI</t>
  </si>
  <si>
    <t>COUR</t>
  </si>
  <si>
    <t>DAO</t>
  </si>
  <si>
    <t>GOTU</t>
  </si>
  <si>
    <t>KLC</t>
  </si>
  <si>
    <t>LINC</t>
  </si>
  <si>
    <t>QSG</t>
  </si>
  <si>
    <t>UDMY</t>
  </si>
  <si>
    <t>UTI</t>
  </si>
  <si>
    <t>CSV</t>
  </si>
  <si>
    <t>OSW</t>
  </si>
  <si>
    <t>SDA</t>
  </si>
  <si>
    <t>AMRK</t>
  </si>
  <si>
    <t>WEYS</t>
  </si>
  <si>
    <t>HEPS</t>
  </si>
  <si>
    <t>JMIA</t>
  </si>
  <si>
    <t>KSS</t>
  </si>
  <si>
    <t>SVV</t>
  </si>
  <si>
    <t>AEO</t>
  </si>
  <si>
    <t>BKE</t>
  </si>
  <si>
    <t>CAL</t>
  </si>
  <si>
    <t>CURV</t>
  </si>
  <si>
    <t>FL</t>
  </si>
  <si>
    <t>GES</t>
  </si>
  <si>
    <t>LUXE</t>
  </si>
  <si>
    <t>REAL</t>
  </si>
  <si>
    <t>RVLV</t>
  </si>
  <si>
    <t>SCVL</t>
  </si>
  <si>
    <t>SFIX</t>
  </si>
  <si>
    <t>TDUP</t>
  </si>
  <si>
    <t>VSCO</t>
  </si>
  <si>
    <t>EM</t>
  </si>
  <si>
    <t>RERE</t>
  </si>
  <si>
    <t>BWMX</t>
  </si>
  <si>
    <t>BBW</t>
  </si>
  <si>
    <t>BNED</t>
  </si>
  <si>
    <t>EYE</t>
  </si>
  <si>
    <t>FLWS</t>
  </si>
  <si>
    <t>HZO</t>
  </si>
  <si>
    <t>ODP</t>
  </si>
  <si>
    <t>PHH</t>
  </si>
  <si>
    <t>SBH</t>
  </si>
  <si>
    <t>UPBD</t>
  </si>
  <si>
    <t>WINA</t>
  </si>
  <si>
    <t>WOOF</t>
  </si>
  <si>
    <t>WRBY</t>
  </si>
  <si>
    <t>AAP</t>
  </si>
  <si>
    <t>ARKO</t>
  </si>
  <si>
    <t>BEVFF</t>
  </si>
  <si>
    <t>CANG</t>
  </si>
  <si>
    <t>CRMT</t>
  </si>
  <si>
    <t>CWH</t>
  </si>
  <si>
    <t>EVGO</t>
  </si>
  <si>
    <t>MNRO</t>
  </si>
  <si>
    <t>UXIN</t>
  </si>
  <si>
    <t>ARHS</t>
  </si>
  <si>
    <t>HVT</t>
  </si>
  <si>
    <t>None</t>
  </si>
  <si>
    <t>MGCLY</t>
  </si>
  <si>
    <t>RSTRF</t>
  </si>
  <si>
    <t>NCLTY</t>
  </si>
  <si>
    <t>DRPRY</t>
  </si>
  <si>
    <t>DLMAF</t>
  </si>
  <si>
    <t>MONRY</t>
  </si>
  <si>
    <t>PROSY</t>
  </si>
  <si>
    <t>PCRHY</t>
  </si>
  <si>
    <t>PMRTY</t>
  </si>
  <si>
    <t>HSHCY</t>
  </si>
  <si>
    <t>CHA</t>
  </si>
  <si>
    <t>CDNAF</t>
  </si>
  <si>
    <t>CDNTF</t>
  </si>
  <si>
    <t>LIMAF</t>
  </si>
  <si>
    <t>GOFPY</t>
  </si>
  <si>
    <t>ATZAF</t>
  </si>
  <si>
    <t>THUPY</t>
  </si>
  <si>
    <t>FHNGY</t>
  </si>
  <si>
    <t>VLVCY</t>
  </si>
  <si>
    <t>MNTHY</t>
  </si>
  <si>
    <t>JDSPY</t>
  </si>
  <si>
    <t>SFFLY</t>
  </si>
  <si>
    <t>DELHY</t>
  </si>
  <si>
    <t>GRGDF</t>
  </si>
  <si>
    <t>RYET</t>
  </si>
  <si>
    <t>HBB</t>
  </si>
  <si>
    <t>LEFUF</t>
  </si>
  <si>
    <t>CLKXF</t>
  </si>
  <si>
    <t>AOCIF</t>
  </si>
  <si>
    <t>BPZZF</t>
  </si>
  <si>
    <t>PBKOF</t>
  </si>
  <si>
    <t>LSEA</t>
  </si>
  <si>
    <t>MTYFF</t>
  </si>
  <si>
    <t>LE</t>
  </si>
  <si>
    <t>KTYCF</t>
  </si>
  <si>
    <t>DLVEY</t>
  </si>
  <si>
    <t>BCCMY</t>
  </si>
  <si>
    <t>TTSH</t>
  </si>
  <si>
    <t>DOGZ</t>
  </si>
  <si>
    <t>LVWR</t>
  </si>
  <si>
    <t>NWTN</t>
  </si>
  <si>
    <t>BYON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</si>
</sst>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0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7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9" fillId="0" borderId="5" xfId="0" applyNumberFormat="1" applyFont="1" applyBorder="1" applyAlignment="1">
      <alignment horizontal="center" vertical="center" wrapText="1"/>
    </xf>
    <xf numFmtId="2" fontId="9" fillId="0" borderId="9" xfId="0" applyNumberFormat="1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7" fillId="0" borderId="10" xfId="0" applyNumberFormat="1" applyFont="1" applyBorder="1" applyAlignment="1">
      <alignment horizontal="center" vertical="center"/>
    </xf>
    <xf numFmtId="2" fontId="8" fillId="0" borderId="10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 wrapText="1"/>
    </xf>
    <xf numFmtId="2" fontId="9" fillId="0" borderId="26" xfId="0" applyNumberFormat="1" applyFont="1" applyBorder="1" applyAlignment="1">
      <alignment horizontal="center" vertical="center"/>
    </xf>
    <xf numFmtId="2" fontId="9" fillId="0" borderId="5" xfId="0" applyNumberFormat="1" applyFont="1" applyBorder="1" applyAlignment="1">
      <alignment horizontal="center" vertical="center"/>
    </xf>
    <xf numFmtId="2" fontId="9" fillId="0" borderId="27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4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13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5" fillId="0" borderId="9" xfId="0" applyNumberFormat="1" applyFont="1" applyBorder="1" applyAlignment="1">
      <alignment horizontal="center" vertical="center" wrapText="1"/>
    </xf>
    <xf numFmtId="2" fontId="5" fillId="0" borderId="11" xfId="0" applyNumberFormat="1" applyFont="1" applyBorder="1" applyAlignment="1">
      <alignment horizontal="center" vertical="center" wrapText="1"/>
    </xf>
    <xf numFmtId="2" fontId="4" fillId="0" borderId="28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3" fontId="10" fillId="0" borderId="15" xfId="0" applyNumberFormat="1" applyFont="1" applyBorder="1" applyAlignment="1">
      <alignment horizontal="left" vertical="center" wrapText="1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2" fontId="1" fillId="0" borderId="6" xfId="0" applyNumberFormat="1" applyFont="1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2" fontId="1" fillId="0" borderId="6" xfId="0" applyNumberFormat="1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3.6949999999999998</v>
        <stp/>
        <stp>LAST</stp>
        <stp>VLVCY</stp>
        <tr r="D20" s="3"/>
      </tp>
      <tp>
        <v>2.17</v>
        <stp/>
        <stp>LAST</stp>
        <stp>BEVFF</stp>
        <tr r="D127" s="4"/>
      </tp>
      <tp>
        <v>6</v>
        <stp/>
        <stp>LAST</stp>
        <stp>DLVEY</stp>
        <tr r="D66" s="4"/>
      </tp>
      <tp>
        <v>36.76</v>
        <stp/>
        <stp>LAST</stp>
        <stp>VVV</stp>
        <tr r="D120" s="3"/>
      </tp>
      <tp>
        <v>48.88</v>
        <stp/>
        <stp>LAST</stp>
        <stp>VIK</stp>
        <tr r="D52" s="2"/>
      </tp>
      <tp>
        <v>66.58</v>
        <stp/>
        <stp>LAST</stp>
        <stp>VAC</stp>
        <tr r="D54" s="3"/>
      </tp>
      <tp>
        <v>3.57</v>
        <stp/>
        <stp>LAST</stp>
        <stp>VFS</stp>
        <tr r="D23" s="3"/>
      </tp>
      <tp>
        <v>13.02</v>
        <stp/>
        <stp>LAST</stp>
        <stp>VFC</stp>
        <tr r="D138" s="3"/>
      </tp>
      <tp>
        <v>9.15</v>
        <stp/>
        <stp>LAST</stp>
        <stp>WRD</stp>
        <tr r="D17" s="3"/>
      </tp>
      <tp>
        <v>156.74</v>
        <stp/>
        <stp>LAST</stp>
        <stp>WSM</stp>
        <tr r="D72" s="2"/>
      </tp>
      <tp>
        <v>18.63</v>
        <stp/>
        <stp>LAST</stp>
        <stp>WWW</stp>
        <tr r="D151" s="4"/>
      </tp>
      <tp>
        <v>84.58</v>
        <stp/>
        <stp>LAST</stp>
        <stp>WHR</stp>
        <tr r="D94" s="3"/>
      </tp>
      <tp>
        <v>33.5</v>
        <stp/>
        <stp>LAST</stp>
        <stp>WGO</stp>
        <tr r="D13" s="4"/>
      </tp>
      <tp>
        <v>11.46</v>
        <stp/>
        <stp>LAST</stp>
        <stp>WEN</stp>
        <tr r="D69" s="3"/>
      </tp>
      <tp>
        <v>71.069999999999993</v>
        <stp/>
        <stp>LAST</stp>
        <stp>RSTRF</stp>
        <tr r="D37" s="2"/>
      </tp>
      <tp>
        <v>51.03</v>
        <stp/>
        <stp>LAST</stp>
        <stp>MNTHY</stp>
        <tr r="D13" s="3"/>
      </tp>
      <tp>
        <v>79.260000000000005</v>
        <stp/>
        <stp>LAST</stp>
        <stp>TPR</stp>
        <tr r="D86" s="2"/>
      </tp>
      <tp>
        <v>30.63</v>
        <stp/>
        <stp>LAST</stp>
        <stp>TPH</stp>
        <tr r="D92" s="3"/>
      </tp>
      <tp>
        <v>126.35</v>
        <stp/>
        <stp>LAST</stp>
        <stp>TJX</stp>
        <tr r="D76" s="2"/>
      </tp>
      <tp>
        <v>87.7</v>
        <stp/>
        <stp>LAST</stp>
        <stp>THO</stp>
        <tr r="D18" s="3"/>
      </tp>
      <tp>
        <v>49.92</v>
        <stp/>
        <stp>LAST</stp>
        <stp>TNL</stp>
        <tr r="D56" s="3"/>
      </tp>
      <tp>
        <v>109.54</v>
        <stp/>
        <stp>LAST</stp>
        <stp>TOL</stp>
        <tr r="D58" s="2"/>
      </tp>
      <tp>
        <v>10.83</v>
        <stp/>
        <stp>LAST</stp>
        <stp>TAL</stp>
        <tr r="D47" s="3"/>
      </tp>
      <tp>
        <v>13.6</v>
        <stp/>
        <stp>LAST</stp>
        <stp>THUPY</stp>
        <tr r="D101" s="3"/>
      </tp>
      <tp>
        <v>33.24</v>
        <stp/>
        <stp>LAST</stp>
        <stp>UTI</stp>
        <tr r="D28" s="4"/>
      </tp>
      <tp>
        <v>6.75</v>
        <stp/>
        <stp>LAST</stp>
        <stp>UAA</stp>
        <tr r="D140" s="3"/>
      </tp>
      <tp>
        <v>32.299999999999997</v>
        <stp/>
        <stp>LAST</stp>
        <stp>PMRTY</stp>
        <tr r="D82" s="2"/>
      </tp>
      <tp>
        <v>10.66</v>
        <stp/>
        <stp>LAST</stp>
        <stp>PCRHY</stp>
        <tr r="D63" s="2"/>
      </tp>
      <tp>
        <v>49.11</v>
        <stp/>
        <stp>LAST</stp>
        <stp>RRR</stp>
        <tr r="D62" s="3"/>
      </tp>
      <tp>
        <v>13.55</v>
        <stp/>
        <stp>LAST</stp>
        <stp>RSI</stp>
        <tr r="D64" s="4"/>
      </tp>
      <tp>
        <v>273.99</v>
        <stp/>
        <stp>LAST</stp>
        <stp>RCL</stp>
        <tr r="D30" s="2"/>
      </tp>
      <tp>
        <v>37.26</v>
        <stp/>
        <stp>LAST</stp>
        <stp>RGR</stp>
        <tr r="D98" s="4"/>
      </tp>
      <tp>
        <v>1.06</v>
        <stp/>
        <stp>LAST</stp>
        <stp>JDSPY</stp>
        <tr r="D124" s="3"/>
      </tp>
      <tp>
        <v>10.61</v>
        <stp/>
        <stp>LAST</stp>
        <stp>SVV</stp>
        <tr r="D19" s="4"/>
      </tp>
      <tp>
        <v>62.11</v>
        <stp/>
        <stp>LAST</stp>
        <stp>SKX</stp>
        <tr r="D132" s="3"/>
      </tp>
      <tp>
        <v>65.05</v>
        <stp/>
        <stp>LAST</stp>
        <stp>SKY</stp>
        <tr r="D93" s="3"/>
      </tp>
      <tp>
        <v>79.709999999999994</v>
        <stp/>
        <stp>LAST</stp>
        <stp>SIG</stp>
        <tr r="D126" s="3"/>
      </tp>
      <tp>
        <v>30.22</v>
        <stp/>
        <stp>LAST</stp>
        <stp>SMP</stp>
        <tr r="D2" s="4"/>
      </tp>
      <tp>
        <v>8.92</v>
        <stp/>
        <stp>LAST</stp>
        <stp>SBH</stp>
        <tr r="D114" s="4"/>
      </tp>
      <tp>
        <v>79.83</v>
        <stp/>
        <stp>LAST</stp>
        <stp>SCI</stp>
        <tr r="D25" s="2"/>
      </tp>
      <tp>
        <v>74.36</v>
        <stp/>
        <stp>LAST</stp>
        <stp>SAH</stp>
        <tr r="D110" s="3"/>
      </tp>
      <tp>
        <v>65.84</v>
        <stp/>
        <stp>LAST</stp>
        <stp>SGI</stp>
        <tr r="D61" s="2"/>
      </tp>
      <tp>
        <v>2.67</v>
        <stp/>
        <stp>LAST</stp>
        <stp>SDA</stp>
        <tr r="D37" s="4"/>
      </tp>
      <tp>
        <v>4.67</v>
        <stp/>
        <stp>LAST</stp>
        <stp>DRPRY</stp>
        <tr r="D6" s="2"/>
      </tp>
      <tp>
        <v>14.94</v>
        <stp/>
        <stp>LAST</stp>
        <stp>PSO</stp>
        <tr r="D27" s="2"/>
      </tp>
      <tp>
        <v>65.319999999999993</v>
        <stp/>
        <stp>LAST</stp>
        <stp>PVH</stp>
        <tr r="D131" s="3"/>
      </tp>
      <tp>
        <v>101.47</v>
        <stp/>
        <stp>LAST</stp>
        <stp>PHM</stp>
        <tr r="D56" s="2"/>
      </tp>
      <tp>
        <v>18.5</v>
        <stp/>
        <stp>LAST</stp>
        <stp>PHH</stp>
        <tr r="D106" s="4"/>
      </tp>
      <tp>
        <v>41.6</v>
        <stp/>
        <stp>LAST</stp>
        <stp>PII</stp>
        <tr r="D102" s="3"/>
      </tp>
      <tp>
        <v>167.08</v>
        <stp/>
        <stp>LAST</stp>
        <stp>PAG</stp>
        <tr r="D69" s="2"/>
      </tp>
      <tp>
        <v>101.62</v>
        <stp/>
        <stp>LAST</stp>
        <stp>PDD</stp>
        <tr r="D14" s="2"/>
      </tp>
      <tp>
        <v>69.75</v>
        <stp/>
        <stp>LAST</stp>
        <stp>QSR</stp>
        <tr r="D40" s="2"/>
      </tp>
      <tp>
        <v>6.95</v>
        <stp/>
        <stp>LAST</stp>
        <stp>QSG</stp>
        <tr r="D29" s="4"/>
      </tp>
      <tp>
        <v>14.05</v>
        <stp/>
        <stp>LAST</stp>
        <stp>BPZZF</stp>
        <tr r="D50" s="4"/>
      </tp>
      <tp>
        <v>50.427999999999997</v>
        <stp/>
        <stp>LAST</stp>
        <stp>ATZAF</stp>
        <tr r="D122" s="3"/>
      </tp>
      <tp>
        <v>8.64</v>
        <stp/>
        <stp>LAST</stp>
        <stp>ZGN</stp>
        <tr r="D137" s="3"/>
      </tp>
      <tp>
        <v>10.41</v>
        <stp/>
        <stp>LAST</stp>
        <stp>KTYCF</stp>
        <tr r="D128" s="4"/>
      </tp>
      <tp>
        <v>30.04</v>
        <stp/>
        <stp>LAST</stp>
        <stp>MTYFF</stp>
        <tr r="D61" s="4"/>
      </tp>
      <tp>
        <v>143.13999999999999</v>
        <stp/>
        <stp>LAST</stp>
        <stp>YUM</stp>
        <tr r="D38" s="2"/>
      </tp>
      <tp>
        <v>10.85</v>
        <stp/>
        <stp>LAST</stp>
        <stp>GOFPY</stp>
        <tr r="D65" s="3"/>
      </tp>
      <tp>
        <v>20.62</v>
        <stp/>
        <stp>LAST</stp>
        <stp>LEFUF</stp>
        <tr r="D115" s="4"/>
      </tp>
      <tp>
        <v>7</v>
        <stp/>
        <stp>LAST</stp>
        <stp>SFFLY</stp>
        <tr r="D15" s="3"/>
      </tp>
      <tp>
        <v>31.82</v>
        <stp/>
        <stp>LAST</stp>
        <stp>FUN</stp>
        <tr r="D82" s="3"/>
      </tp>
      <tp>
        <v>74.61</v>
        <stp/>
        <stp>LAST</stp>
        <stp>FND</stp>
        <tr r="D121" s="3"/>
      </tp>
      <tp>
        <v>11.56</v>
        <stp/>
        <stp>LAST</stp>
        <stp>GRGDF</stp>
        <tr r="D105" s="4"/>
      </tp>
      <tp>
        <v>125.25</v>
        <stp/>
        <stp>LAST</stp>
        <stp>GPC</stp>
        <tr r="D23" s="2"/>
      </tp>
      <tp>
        <v>430.89</v>
        <stp/>
        <stp>LAST</stp>
        <stp>GPI</stp>
        <tr r="D104" s="3"/>
      </tp>
      <tp>
        <v>10.23</v>
        <stp/>
        <stp>LAST</stp>
        <stp>GTX</stp>
        <tr r="D11" s="3"/>
      </tp>
      <tp>
        <v>946</v>
        <stp/>
        <stp>LAST</stp>
        <stp>GHC</stp>
        <tr r="D35" s="3"/>
      </tp>
      <tp>
        <v>47.87</v>
        <stp/>
        <stp>LAST</stp>
        <stp>GIL</stp>
        <tr r="D135" s="3"/>
      </tp>
      <tp>
        <v>30.34</v>
        <stp/>
        <stp>LAST</stp>
        <stp>GME</stp>
        <tr r="D81" s="2"/>
      </tp>
      <tp>
        <v>22.25</v>
        <stp/>
        <stp>LAST</stp>
        <stp>GAP</stp>
        <tr r="D119" s="3"/>
      </tp>
      <tp>
        <v>12.04</v>
        <stp/>
        <stp>LAST</stp>
        <stp>GES</stp>
        <tr r="D121" s="4"/>
      </tp>
      <tp>
        <v>219.7</v>
        <stp/>
        <stp>LAST</stp>
        <stp>DRI</stp>
        <tr r="D32" s="2"/>
      </tp>
      <tp>
        <v>467.95</v>
        <stp/>
        <stp>LAST</stp>
        <stp>DPZ</stp>
        <tr r="D29" s="2"/>
      </tp>
      <tp>
        <v>182.36</v>
        <stp/>
        <stp>LAST</stp>
        <stp>DKS</stp>
        <tr r="D70" s="2"/>
      </tp>
      <tp>
        <v>122.65</v>
        <stp/>
        <stp>LAST</stp>
        <stp>DHI</stp>
        <tr r="D59" s="2"/>
      </tp>
      <tp>
        <v>26.05</v>
        <stp/>
        <stp>LAST</stp>
        <stp>DIN</stp>
        <tr r="D42" s="4"/>
      </tp>
      <tp>
        <v>17.329999999999998</v>
        <stp/>
        <stp>LAST</stp>
        <stp>DAN</stp>
        <tr r="D14" s="3"/>
      </tp>
      <tp>
        <v>9.02</v>
        <stp/>
        <stp>LAST</stp>
        <stp>DAO</stp>
        <tr r="D33" s="4"/>
      </tp>
      <tp>
        <v>23.22</v>
        <stp/>
        <stp>LAST</stp>
        <stp>DFH</stp>
        <tr r="D86" s="4"/>
      </tp>
      <tp>
        <v>402.95</v>
        <stp/>
        <stp>LAST</stp>
        <stp>DDS</stp>
        <tr r="D26" s="3"/>
      </tp>
      <tp>
        <v>6.1311999999999998</v>
        <stp/>
        <stp>LAST</stp>
        <stp>MRETF</stp>
        <tr r="D8" s="4"/>
      </tp>
      <tp>
        <v>21.01</v>
        <stp/>
        <stp>LAST</stp>
        <stp>EYE</stp>
        <tr r="D136" s="4"/>
      </tp>
      <tp>
        <v>26.64</v>
        <stp/>
        <stp>LAST</stp>
        <stp>ETD</stp>
        <tr r="D91" s="4"/>
      </tp>
      <tp>
        <v>1.72</v>
        <stp/>
        <stp>LAST</stp>
        <stp>ECX</stp>
        <tr r="D7" s="4"/>
      </tp>
      <tp>
        <v>173.45</v>
        <stp/>
        <stp>LAST</stp>
        <stp>EAT</stp>
        <tr r="D49" s="3"/>
      </tp>
      <tp>
        <v>47.39</v>
        <stp/>
        <stp>LAST</stp>
        <stp>EDU</stp>
        <tr r="D43" s="3"/>
      </tp>
      <tp>
        <v>21.98</v>
        <stp/>
        <stp>LAST</stp>
        <stp>BZH</stp>
        <tr r="D87" s="4"/>
      </tp>
      <tp>
        <v>73.930000000000007</v>
        <stp/>
        <stp>LAST</stp>
        <stp>BYD</stp>
        <tr r="D52" s="3"/>
      </tp>
      <tp>
        <v>32.64</v>
        <stp/>
        <stp>LAST</stp>
        <stp>BWA</stp>
        <tr r="D10" s="3"/>
      </tp>
      <tp>
        <v>43.87</v>
        <stp/>
        <stp>LAST</stp>
        <stp>BKE</stp>
        <tr r="D115" s="3"/>
      </tp>
      <tp>
        <v>300.8</v>
        <stp/>
        <stp>LAST</stp>
        <stp>BLD</stp>
        <tr r="D84" s="3"/>
      </tp>
      <tp>
        <v>48.61</v>
        <stp/>
        <stp>LAST</stp>
        <stp>BBW</stp>
        <tr r="D108" s="4"/>
      </tp>
      <tp>
        <v>72.75</v>
        <stp/>
        <stp>LAST</stp>
        <stp>BBY</stp>
        <tr r="D77" s="2"/>
      </tp>
      <tp>
        <v>40</v>
        <stp/>
        <stp>LAST</stp>
        <stp>QVCGB</stp>
        <tr r="D22" s="4"/>
      </tp>
      <tp>
        <v>16.5</v>
        <stp/>
        <stp>LAST</stp>
        <stp>AOCIF</stp>
        <tr r="D118" s="4"/>
      </tp>
      <tp>
        <v>11</v>
        <stp/>
        <stp>LAST</stp>
        <stp>MGCLY</stp>
        <tr r="D54" s="2"/>
      </tp>
      <tp>
        <v>2.4750000000000001</v>
        <stp/>
        <stp>LAST</stp>
        <stp>BCCMY</stp>
        <tr r="D12" s="4"/>
      </tp>
      <tp>
        <v>26.74</v>
        <stp/>
        <stp>LAST</stp>
        <stp>CZR</stp>
        <tr r="D80" s="3"/>
      </tp>
      <tp>
        <v>31.88</v>
        <stp/>
        <stp>LAST</stp>
        <stp>CRI</stp>
        <tr r="D148" s="4"/>
      </tp>
      <tp>
        <v>45.15</v>
        <stp/>
        <stp>LAST</stp>
        <stp>CSV</stp>
        <tr r="D26" s="4"/>
      </tp>
      <tp>
        <v>22.43</v>
        <stp/>
        <stp>LAST</stp>
        <stp>CPS</stp>
        <tr r="D9" s="4"/>
      </tp>
      <tp>
        <v>17.88</v>
        <stp/>
        <stp>LAST</stp>
        <stp>CWH</stp>
        <tr r="D140" s="4"/>
      </tp>
      <tp>
        <v>21.91</v>
        <stp/>
        <stp>LAST</stp>
        <stp>CUK</stp>
        <tr r="D46" s="2"/>
      </tp>
      <tp>
        <v>32.75</v>
        <stp/>
        <stp>LAST</stp>
        <stp>CHA</stp>
        <tr r="D48" s="3"/>
      </tp>
      <tp>
        <v>127.89</v>
        <stp/>
        <stp>LAST</stp>
        <stp>CHH</stp>
        <tr r="D51" s="3"/>
      </tp>
      <tp>
        <v>51.13</v>
        <stp/>
        <stp>LAST</stp>
        <stp>CMG</stp>
        <tr r="D49" s="2"/>
      </tp>
      <tp>
        <v>53.75</v>
        <stp/>
        <stp>LAST</stp>
        <stp>CCS</stp>
        <tr r="D83" s="4"/>
      </tp>
      <tp>
        <v>24.21</v>
        <stp/>
        <stp>LAST</stp>
        <stp>CCL</stp>
        <tr r="D45" s="2"/>
      </tp>
      <tp>
        <v>14.3</v>
        <stp/>
        <stp>LAST</stp>
        <stp>CAL</stp>
        <tr r="D111" s="4"/>
      </tp>
      <tp>
        <v>3697.48</v>
        <stp/>
        <stp>LAST</stp>
        <stp>AZO</stp>
        <tr r="D65" s="2"/>
      </tp>
      <tp>
        <v>4.26</v>
        <stp/>
        <stp>LAST</stp>
        <stp>AXL</stp>
        <tr r="D6" s="4"/>
      </tp>
      <tp>
        <v>44.37</v>
        <stp/>
        <stp>LAST</stp>
        <stp>ASO</stp>
        <tr r="D112" s="3"/>
      </tp>
      <tp>
        <v>81.98</v>
        <stp/>
        <stp>LAST</stp>
        <stp>ANF</stp>
        <tr r="D109" s="3"/>
      </tp>
      <tp>
        <v>105.22</v>
        <stp/>
        <stp>LAST</stp>
        <stp>ALV</stp>
        <tr r="D2" s="3"/>
      </tp>
      <tp>
        <v>237.48</v>
        <stp/>
        <stp>LAST</stp>
        <stp>ABG</stp>
        <tr r="D107" s="3"/>
      </tp>
      <tp>
        <v>52.1</v>
        <stp/>
        <stp>LAST</stp>
        <stp>AAP</stp>
        <tr r="D129" s="3"/>
      </tp>
      <tp>
        <v>12.36</v>
        <stp/>
        <stp>LAST</stp>
        <stp>AGS</stp>
        <tr r="D48" s="4"/>
      </tp>
      <tp>
        <v>8.24</v>
        <stp/>
        <stp>LAST</stp>
        <stp>ADT</stp>
        <tr r="D45" s="3"/>
      </tp>
      <tp>
        <v>10.36</v>
        <stp/>
        <stp>LAST</stp>
        <stp>AEO</stp>
        <tr r="D120" s="4"/>
      </tp>
      <tp>
        <v>61.174999999999997</v>
        <stp/>
        <stp>LAST</stp>
        <stp>MONRY</stp>
        <tr r="D88" s="2"/>
      </tp>
      <tp>
        <v>183.75</v>
        <stp/>
        <stp>LAST</stp>
        <stp>CDNTF</stp>
        <tr r="D28" s="3"/>
      </tp>
      <tp>
        <v>129.47999999999999</v>
        <stp/>
        <stp>LAST</stp>
        <stp>CDNAF</stp>
        <tr r="D27" s="3"/>
      </tp>
      <tp>
        <v>7.49</v>
        <stp/>
        <stp>LAST</stp>
        <stp>FHNGY</stp>
        <tr r="D123" s="3"/>
      </tp>
      <tp>
        <v>7138.62</v>
        <stp/>
        <stp>LAST</stp>
        <stp>NVR</stp>
        <tr r="D55" s="2"/>
      </tp>
      <tp>
        <v>61.91</v>
        <stp/>
        <stp>LAST</stp>
        <stp>NKE</stp>
        <tr r="D87" s="2"/>
      </tp>
      <tp>
        <v>3.47</v>
        <stp/>
        <stp>LAST</stp>
        <stp>NIU</stp>
        <tr r="D14" s="4"/>
      </tp>
      <tp>
        <v>3.6</v>
        <stp/>
        <stp>LAST</stp>
        <stp>NIO</stp>
        <tr r="D24" s="3"/>
      </tp>
      <tp>
        <v>10.88</v>
        <stp/>
        <stp>LAST</stp>
        <stp>PROSY</stp>
        <tr r="D20" s="2"/>
      </tp>
      <tp>
        <v>55.03</v>
        <stp/>
        <stp>LAST</stp>
        <stp>OXM</stp>
        <tr r="D147" s="4"/>
      </tp>
      <tp>
        <v>19.600000000000001</v>
        <stp/>
        <stp>LAST</stp>
        <stp>OSW</stp>
        <tr r="D31" s="4"/>
      </tp>
      <tp>
        <v>18.02</v>
        <stp/>
        <stp>LAST</stp>
        <stp>ODP</stp>
        <tr r="D116" s="4"/>
      </tp>
      <tp>
        <v>9.81</v>
        <stp/>
        <stp>LAST</stp>
        <stp>NCLTY</stp>
        <tr r="D75" s="2"/>
      </tp>
      <tp>
        <v>2.68</v>
        <stp/>
        <stp>LAST</stp>
        <stp>DELHY</stp>
        <tr r="D81" s="3"/>
      </tp>
      <tp>
        <v>40.74</v>
        <stp/>
        <stp>LAST</stp>
        <stp>LZB</stp>
        <tr r="D88" s="4"/>
      </tp>
      <tp>
        <v>141.22</v>
        <stp/>
        <stp>LAST</stp>
        <stp>LRN</stp>
        <tr r="D37" s="3"/>
      </tp>
      <tp>
        <v>41.9</v>
        <stp/>
        <stp>LAST</stp>
        <stp>LVS</stp>
        <tr r="D44" s="2"/>
      </tp>
      <tp>
        <v>28.04</v>
        <stp/>
        <stp>LAST</stp>
        <stp>LTH</stp>
        <tr r="D68" s="3"/>
      </tp>
      <tp>
        <v>39.28</v>
        <stp/>
        <stp>LAST</stp>
        <stp>LKQ</stp>
        <tr r="D24" s="2"/>
      </tp>
      <tp>
        <v>88.38</v>
        <stp/>
        <stp>LAST</stp>
        <stp>LNW</stp>
        <tr r="D60" s="3"/>
      </tp>
      <tp>
        <v>223.61</v>
        <stp/>
        <stp>LAST</stp>
        <stp>LOW</stp>
        <tr r="D71" s="2"/>
      </tp>
      <tp>
        <v>2.2000000000000002</v>
        <stp/>
        <stp>LAST</stp>
        <stp>LOT</stp>
        <tr r="D17" s="4"/>
      </tp>
      <tp>
        <v>323.56</v>
        <stp/>
        <stp>LAST</stp>
        <stp>LAD</stp>
        <tr r="D105" s="3"/>
      </tp>
      <tp>
        <v>9.25</v>
        <stp/>
        <stp>LAST</stp>
        <stp>LEG</stp>
        <tr r="D97" s="4"/>
      </tp>
      <tp>
        <v>90.4</v>
        <stp/>
        <stp>LAST</stp>
        <stp>LEA</stp>
        <tr r="D3" s="3"/>
      </tp>
      <tp>
        <v>110.37</v>
        <stp/>
        <stp>LAST</stp>
        <stp>LEN</stp>
        <tr r="D57" s="2"/>
      </tp>
      <tp>
        <v>129</v>
        <stp/>
        <stp>LAST</stp>
        <stp>DLMAF</stp>
        <tr r="D19" s="2"/>
      </tp>
      <tp>
        <v>45.38</v>
        <stp/>
        <stp>LAST</stp>
        <stp>LIMAF</stp>
        <tr r="D8" s="3"/>
      </tp>
      <tp>
        <v>2.78</v>
        <stp/>
        <stp>LAST</stp>
        <stp>MSC</stp>
        <tr r="D71" s="4"/>
      </tp>
      <tp>
        <v>8.42</v>
        <stp/>
        <stp>LAST</stp>
        <stp>MPX</stp>
        <tr r="D99" s="4"/>
      </tp>
      <tp>
        <v>155.68</v>
        <stp/>
        <stp>LAST</stp>
        <stp>MTN</stp>
        <tr r="D50" s="3"/>
      </tp>
      <tp>
        <v>65.28</v>
        <stp/>
        <stp>LAST</stp>
        <stp>MTH</stp>
        <tr r="D86" s="3"/>
      </tp>
      <tp>
        <v>108.87</v>
        <stp/>
        <stp>LAST</stp>
        <stp>MHO</stp>
        <tr r="D85" s="3"/>
      </tp>
      <tp>
        <v>103.1</v>
        <stp/>
        <stp>LAST</stp>
        <stp>MHK</stp>
        <tr r="D91" s="3"/>
      </tp>
      <tp>
        <v>16.07</v>
        <stp/>
        <stp>LAST</stp>
        <stp>MOV</stp>
        <tr r="D152" s="4"/>
      </tp>
      <tp>
        <v>90.69</v>
        <stp/>
        <stp>LAST</stp>
        <stp>MOD</stp>
        <tr r="D7" s="3"/>
      </tp>
      <tp>
        <v>6.66</v>
        <stp/>
        <stp>LAST</stp>
        <stp>MCW</stp>
        <tr r="D46" s="3"/>
      </tp>
      <tp>
        <v>304.77999999999997</v>
        <stp/>
        <stp>LAST</stp>
        <stp>MCD</stp>
        <tr r="D31" s="2"/>
      </tp>
      <tp>
        <v>19.059999999999999</v>
        <stp/>
        <stp>LAST</stp>
        <stp>MAT</stp>
        <tr r="D99" s="3"/>
      </tp>
      <tp>
        <v>265.93</v>
        <stp/>
        <stp>LAST</stp>
        <stp>MAR</stp>
        <tr r="D33" s="2"/>
      </tp>
      <tp>
        <v>37.25</v>
        <stp/>
        <stp>LAST</stp>
        <stp>MGA</stp>
        <tr r="D3" s="2"/>
      </tp>
      <tp>
        <v>32.47</v>
        <stp/>
        <stp>LAST</stp>
        <stp>MGM</stp>
        <tr r="D63" s="3"/>
      </tp>
      <tp>
        <v>14.78</v>
        <stp/>
        <stp>LAST</stp>
        <stp>CLKXF</stp>
        <tr r="D47" s="4"/>
      </tp>
      <tp>
        <v>16.14</v>
        <stp/>
        <stp>LAST</stp>
        <stp>PBKOF</stp>
        <tr r="D52" s="4"/>
      </tp>
      <tp>
        <v>9.01</v>
        <stp/>
        <stp>LAST</stp>
        <stp>KSS</stp>
        <tr r="D18" s="4"/>
      </tp>
      <tp>
        <v>68.27</v>
        <stp/>
        <stp>LAST</stp>
        <stp>KTB</stp>
        <tr r="D133" s="3"/>
      </tp>
      <tp>
        <v>10.97</v>
        <stp/>
        <stp>LAST</stp>
        <stp>KLC</stp>
        <tr r="D38" s="4"/>
      </tp>
      <tp>
        <v>67.2</v>
        <stp/>
        <stp>LAST</stp>
        <stp>KMX</stp>
        <tr r="D118" s="3"/>
      </tp>
      <tp>
        <v>52.95</v>
        <stp/>
        <stp>LAST</stp>
        <stp>KBH</stp>
        <tr r="D90" s="3"/>
      </tp>
      <tp>
        <v>11.81</v>
        <stp/>
        <stp>LAST</stp>
        <stp>HSHCY</stp>
        <tr r="D64" s="2"/>
      </tp>
      <tp>
        <v>24.91</v>
        <stp/>
        <stp>LAST</stp>
        <stp>HZO</stp>
        <tr r="D110" s="4"/>
      </tp>
      <tp>
        <v>56.21</v>
        <stp/>
        <stp>LAST</stp>
        <stp>HRB</stp>
        <tr r="D40" s="3"/>
      </tp>
      <tp>
        <v>20.32</v>
        <stp/>
        <stp>LAST</stp>
        <stp>HVT</stp>
        <tr r="D117" s="4"/>
      </tp>
      <tp>
        <v>97.94</v>
        <stp/>
        <stp>LAST</stp>
        <stp>HOV</stp>
        <tr r="D82" s="4"/>
      </tp>
      <tp>
        <v>24.99</v>
        <stp/>
        <stp>LAST</stp>
        <stp>HOG</stp>
        <tr r="D19" s="3"/>
      </tp>
      <tp>
        <v>29.2</v>
        <stp/>
        <stp>LAST</stp>
        <stp>HMC</stp>
        <tr r="D11" s="2"/>
      </tp>
      <tp>
        <v>18.260000000000002</v>
        <stp/>
        <stp>LAST</stp>
        <stp>HBB</stp>
        <tr r="D89" s="4"/>
      </tp>
      <tp>
        <v>4.97</v>
        <stp/>
        <stp>LAST</stp>
        <stp>HBI</stp>
        <tr r="D155" s="4"/>
      </tp>
      <tp>
        <v>67.569999999999993</v>
        <stp/>
        <stp>LAST</stp>
        <stp>HAS</stp>
        <tr r="D96" s="3"/>
      </tp>
      <tp>
        <v>40</v>
        <stp/>
        <stp>LAST</stp>
        <stp>HGV</stp>
        <tr r="D71" s="3"/>
      </tp>
      <tp>
        <v>20.41</v>
        <stp/>
        <stp>LAST</stp>
        <stp>HDL</stp>
        <tr r="D65" s="4"/>
      </tp>
      <tp>
        <v>115.08</v>
        <stp/>
        <stp>LAST</stp>
        <stp>IHG</stp>
        <tr r="D39" s="2"/>
      </tp>
      <tp>
        <v>168.48</v>
        <stp/>
        <stp>LAST</stp>
        <stp>IBP</stp>
        <tr r="D87" s="3"/>
      </tp>
      <tp>
        <v>14.73</v>
        <stp/>
        <stp>LAST</stp>
        <stp>IGT</stp>
        <tr r="D77" s="3"/>
      </tp>
      <tp>
        <v>50.53</v>
        <stp/>
        <stp>LAST</stp>
        <stp>PZZA</stp>
        <tr r="D43" s="4"/>
      </tp>
      <tp>
        <v>194.78</v>
        <stp/>
        <stp>LAST</stp>
        <stp>TXRH</stp>
        <tr r="D36" s="2"/>
      </tp>
      <tp>
        <v>176.62</v>
        <stp/>
        <stp>LAST</stp>
        <stp>EXPE</stp>
        <tr r="D34" s="2"/>
      </tp>
      <tp>
        <v>3.84</v>
        <stp/>
        <stp>LAST</stp>
        <stp>UXIN</stp>
        <tr r="D144" s="4"/>
      </tp>
      <tp>
        <v>8.91</v>
        <stp/>
        <stp>LAST</stp>
        <stp>RYET</stp>
        <tr r="D25" s="4"/>
      </tp>
      <tp>
        <v>84.7</v>
        <stp/>
        <stp>LAST</stp>
        <stp>WYNN</stp>
        <tr r="D59" s="3"/>
      </tp>
      <tp>
        <v>6.63</v>
        <stp/>
        <stp>LAST</stp>
        <stp>BYON</stp>
        <tr r="D146" s="4"/>
      </tp>
      <tp>
        <v>81.260000000000005</v>
        <stp/>
        <stp>LAST</stp>
        <stp>KRUS</stp>
        <tr r="D76" s="4"/>
      </tp>
      <tp>
        <v>22.48</v>
        <stp/>
        <stp>LAST</stp>
        <stp>WRBY</stp>
        <tr r="D125" s="3"/>
      </tp>
      <tp>
        <v>59.6</v>
        <stp/>
        <stp>LAST</stp>
        <stp>GRBK</stp>
        <tr r="D89" s="3"/>
      </tp>
      <tp>
        <v>69.709999999999994</v>
        <stp/>
        <stp>LAST</stp>
        <stp>URBN</stp>
        <tr r="D113" s="3"/>
      </tp>
      <tp>
        <v>6.37</v>
        <stp/>
        <stp>LAST</stp>
        <stp>CRCT</stp>
        <tr r="D93" s="4"/>
      </tp>
      <tp>
        <v>7.44</v>
        <stp/>
        <stp>LAST</stp>
        <stp>ARCO</stp>
        <tr r="D55" s="4"/>
      </tp>
      <tp>
        <v>24.12</v>
        <stp/>
        <stp>LAST</stp>
        <stp>SRAD</stp>
        <tr r="D74" s="3"/>
      </tp>
      <tp>
        <v>73.38</v>
        <stp/>
        <stp>LAST</stp>
        <stp>BROS</stp>
        <tr r="D70" s="3"/>
      </tp>
      <tp>
        <v>102.24</v>
        <stp/>
        <stp>LAST</stp>
        <stp>CROX</stp>
        <tr r="D130" s="3"/>
      </tp>
      <tp>
        <v>1348.1</v>
        <stp/>
        <stp>LAST</stp>
        <stp>ORLY</stp>
        <tr r="D66" s="2"/>
      </tp>
      <tp>
        <v>54.75</v>
        <stp/>
        <stp>LAST</stp>
        <stp>CRMT</stp>
        <tr r="D119" s="4"/>
      </tp>
      <tp>
        <v>39.520000000000003</v>
        <stp/>
        <stp>LAST</stp>
        <stp>ARMK</stp>
        <tr r="D48" s="2"/>
      </tp>
      <tp>
        <v>208.29</v>
        <stp/>
        <stp>LAST</stp>
        <stp>GRMN</stp>
        <tr r="D60" s="2"/>
      </tp>
      <tp>
        <v>42.83</v>
        <stp/>
        <stp>LAST</stp>
        <stp>PRKS</stp>
        <tr r="D58" s="3"/>
      </tp>
      <tp>
        <v>4.58</v>
        <stp/>
        <stp>LAST</stp>
        <stp>ARKO</stp>
        <tr r="D131" s="4"/>
      </tp>
      <tp>
        <v>8.83</v>
        <stp/>
        <stp>LAST</stp>
        <stp>ARHS</stp>
        <tr r="D124" s="4"/>
      </tp>
      <tp>
        <v>11.28</v>
        <stp/>
        <stp>LAST</stp>
        <stp>LSEA</stp>
        <tr r="D94" s="4"/>
      </tp>
      <tp>
        <v>22.72</v>
        <stp/>
        <stp>LAST</stp>
        <stp>VSCO</stp>
        <tr r="D113" s="4"/>
      </tp>
      <tp>
        <v>50.51</v>
        <stp/>
        <stp>LAST</stp>
        <stp>TSCO</stp>
        <tr r="D79" s="2"/>
      </tp>
      <tp>
        <v>1.05</v>
        <stp/>
        <stp>LAST</stp>
        <stp>PSNY</stp>
        <tr r="D21" s="3"/>
      </tp>
      <tp>
        <v>308.58</v>
        <stp/>
        <stp>LAST</stp>
        <stp>TSLA</stp>
        <tr r="D9" s="2"/>
      </tp>
      <tp>
        <v>67.19</v>
        <stp/>
        <stp>LAST</stp>
        <stp>APTV</stp>
        <tr r="D2" s="2"/>
      </tp>
      <tp>
        <v>17.41</v>
        <stp/>
        <stp>LAST</stp>
        <stp>CPRI</stp>
        <tr r="D141" s="3"/>
      </tp>
      <tp>
        <v>20.16</v>
        <stp/>
        <stp>LAST</stp>
        <stp>XPEV</stp>
        <tr r="D12" s="2"/>
      </tp>
      <tp>
        <v>27.07</v>
        <stp/>
        <stp>LAST</stp>
        <stp>APEI</stp>
        <tr r="D30" s="4"/>
      </tp>
      <tp>
        <v>37.564999999999998</v>
        <stp/>
        <stp>LAST</stp>
        <stp>XPEL</stp>
        <tr r="D4" s="4"/>
      </tp>
      <tp>
        <v>25.97</v>
        <stp/>
        <stp>LAST</stp>
        <stp>UPBD</stp>
        <tr r="D112" s="4"/>
      </tp>
      <tp>
        <v>28.47</v>
        <stp/>
        <stp>LAST</stp>
        <stp>CPNG</stp>
        <tr r="D21" s="2"/>
      </tp>
      <tp>
        <v>9.35</v>
        <stp/>
        <stp>LAST</stp>
        <stp>XPOF</stp>
        <tr r="D78" s="4"/>
      </tp>
      <tp>
        <v>5.98</v>
        <stp/>
        <stp>LAST</stp>
        <stp>LVWR</stp>
        <tr r="D15" s="4"/>
      </tp>
      <tp>
        <v>14.17</v>
        <stp/>
        <stp>LAST</stp>
        <stp>EVRI</stp>
        <tr r="D63" s="4"/>
      </tp>
      <tp>
        <v>4.1900000000000004</v>
        <stp/>
        <stp>LAST</stp>
        <stp>EVGO</stp>
        <tr r="D138" s="4"/>
      </tp>
      <tp>
        <v>425.23</v>
        <stp/>
        <stp>LAST</stp>
        <stp>CVCO</stp>
        <tr r="D83" s="3"/>
      </tp>
      <tp>
        <v>339.91</v>
        <stp/>
        <stp>LAST</stp>
        <stp>CVNA</stp>
        <tr r="D78" s="2"/>
      </tp>
      <tp>
        <v>22.53</v>
        <stp/>
        <stp>LAST</stp>
        <stp>RVLV</stp>
        <tr r="D123" s="4"/>
      </tp>
      <tp>
        <v>1.6</v>
        <stp/>
        <stp>LAST</stp>
        <stp>NWTN</stp>
        <tr r="D16" s="4"/>
      </tp>
      <tp>
        <v>15.97</v>
        <stp/>
        <stp>LAST</stp>
        <stp>FWRG</stp>
        <tr r="D62" s="4"/>
      </tp>
      <tp>
        <v>7.99</v>
        <stp/>
        <stp>LAST</stp>
        <stp>BWMX</stp>
        <tr r="D122" s="4"/>
      </tp>
      <tp>
        <v>5.94</v>
        <stp/>
        <stp>LAST</stp>
        <stp>SWIM</stp>
        <tr r="D100" s="4"/>
      </tp>
      <tp>
        <v>85.49</v>
        <stp/>
        <stp>LAST</stp>
        <stp>STRA</stp>
        <tr r="D39" s="3"/>
      </tp>
      <tp>
        <v>63.88</v>
        <stp/>
        <stp>LAST</stp>
        <stp>ETSY</stp>
        <tr r="D32" s="3"/>
      </tp>
      <tp>
        <v>6.28</v>
        <stp/>
        <stp>LAST</stp>
        <stp>TTSH</stp>
        <tr r="D132" s="4"/>
      </tp>
      <tp>
        <v>121.39</v>
        <stp/>
        <stp>LAST</stp>
        <stp>ATGE</stp>
        <tr r="D38" s="3"/>
      </tp>
      <tp>
        <v>57.2</v>
        <stp/>
        <stp>LAST</stp>
        <stp>FTDR</stp>
        <tr r="D41" s="3"/>
      </tp>
      <tp>
        <v>31.46</v>
        <stp/>
        <stp>LAST</stp>
        <stp>ATAT</stp>
        <tr r="D66" s="3"/>
      </tp>
      <tp>
        <v>7.65</v>
        <stp/>
        <stp>LAST</stp>
        <stp>PTON</stp>
        <tr r="D103" s="3"/>
      </tp>
      <tp>
        <v>9.9600000000000009</v>
        <stp/>
        <stp>LAST</stp>
        <stp>STLA</stp>
        <tr r="D8" s="2"/>
      </tp>
      <tp>
        <v>11.8</v>
        <stp/>
        <stp>LAST</stp>
        <stp>PTLO</stp>
        <tr r="D59" s="4"/>
      </tp>
      <tp>
        <v>34.909999999999997</v>
        <stp/>
        <stp>LAST</stp>
        <stp>HTHT</stp>
        <tr r="D47" s="2"/>
      </tp>
      <tp>
        <v>4.91</v>
        <stp/>
        <stp>LAST</stp>
        <stp>CURV</stp>
        <tr r="D126" s="4"/>
      </tp>
      <tp>
        <v>246.94</v>
        <stp/>
        <stp>LAST</stp>
        <stp>BURL</stp>
        <tr r="D73" s="2"/>
      </tp>
      <tp>
        <v>413.97</v>
        <stp/>
        <stp>LAST</stp>
        <stp>MUSA</stp>
        <tr r="D106" s="3"/>
      </tp>
      <tp>
        <v>9.2799999999999994</v>
        <stp/>
        <stp>LAST</stp>
        <stp>LUXE</stp>
        <tr r="D139" s="4"/>
      </tp>
      <tp>
        <v>8.81</v>
        <stp/>
        <stp>LAST</stp>
        <stp>LUCK</stp>
        <tr r="D68" s="4"/>
      </tp>
      <tp>
        <v>497.93</v>
        <stp/>
        <stp>LAST</stp>
        <stp>DUOL</stp>
        <tr r="D26" s="2"/>
      </tp>
      <tp>
        <v>259.04000000000002</v>
        <stp/>
        <stp>LAST</stp>
        <stp>LULU</stp>
        <tr r="D83" s="2"/>
      </tp>
      <tp>
        <v>44.24</v>
        <stp/>
        <stp>LAST</stp>
        <stp>YUMC</stp>
        <tr r="D43" s="2"/>
      </tp>
      <tp>
        <v>44.26</v>
        <stp/>
        <stp>LAST</stp>
        <stp>BJRI</stp>
        <tr r="D49" s="4"/>
      </tp>
      <tp>
        <v>36.200000000000003</v>
        <stp/>
        <stp>LAST</stp>
        <stp>DKNG</stp>
        <tr r="D53" s="2"/>
      </tp>
      <tp>
        <v>5539.41</v>
        <stp/>
        <stp>LAST</stp>
        <stp>BKNG</stp>
        <tr r="D28" s="2"/>
      </tp>
      <tp>
        <v>46.51</v>
        <stp/>
        <stp>LAST</stp>
        <stp>CHWY</stp>
        <tr r="D80" s="2"/>
      </tp>
      <tp>
        <v>27.78</v>
        <stp/>
        <stp>LAST</stp>
        <stp>THRM</stp>
        <tr r="D5" s="4"/>
      </tp>
      <tp>
        <v>99.59</v>
        <stp/>
        <stp>LAST</stp>
        <stp>CHDN</stp>
        <tr r="D55" s="3"/>
      </tp>
      <tp>
        <v>6.42</v>
        <stp/>
        <stp>LAST</stp>
        <stp>SHCO</stp>
        <tr r="D73" s="4"/>
      </tp>
      <tp>
        <v>124.5</v>
        <stp/>
        <stp>LAST</stp>
        <stp>SHAK</stp>
        <tr r="D72" s="3"/>
      </tp>
      <tp>
        <v>26.1</v>
        <stp/>
        <stp>LAST</stp>
        <stp>SHOO</stp>
        <tr r="D150" s="4"/>
      </tp>
      <tp>
        <v>43.38</v>
        <stp/>
        <stp>LAST</stp>
        <stp>PHIN</stp>
        <tr r="D3" s="4"/>
      </tp>
      <tp>
        <v>126.22</v>
        <stp/>
        <stp>LAST</stp>
        <stp>FIVE</stp>
        <tr r="D114" s="3"/>
      </tp>
      <tp>
        <v>56.1</v>
        <stp/>
        <stp>LAST</stp>
        <stp>BIRK</stp>
        <tr r="D89" s="2"/>
      </tp>
      <tp>
        <v>15.05</v>
        <stp/>
        <stp>LAST</stp>
        <stp>VIPS</stp>
        <tr r="D31" s="3"/>
      </tp>
      <tp>
        <v>5.16</v>
        <stp/>
        <stp>LAST</stp>
        <stp>FIGS</stp>
        <tr r="D154" s="4"/>
      </tp>
      <tp>
        <v>42.46</v>
        <stp/>
        <stp>LAST</stp>
        <stp>RICK</stp>
        <tr r="D54" s="4"/>
      </tp>
      <tp>
        <v>22.01</v>
        <stp/>
        <stp>LAST</stp>
        <stp>LINC</stp>
        <tr r="D32" s="4"/>
      </tp>
      <tp>
        <v>416.72</v>
        <stp/>
        <stp>LAST</stp>
        <stp>WINA</stp>
        <tr r="D107" s="4"/>
      </tp>
      <tp>
        <v>376.13</v>
        <stp/>
        <stp>LAST</stp>
        <stp>WING</stp>
        <tr r="D53" s="3"/>
      </tp>
      <tp>
        <v>11.42</v>
        <stp/>
        <stp>LAST</stp>
        <stp>LIND</stp>
        <tr r="D72" s="4"/>
      </tp>
      <tp>
        <v>22.16</v>
        <stp/>
        <stp>LAST</stp>
        <stp>GIII</stp>
        <tr r="D149" s="4"/>
      </tp>
      <tp>
        <v>21.64</v>
        <stp/>
        <stp>LAST</stp>
        <stp>GNTX</stp>
        <tr r="D9" s="3"/>
      </tp>
      <tp>
        <v>2.99</v>
        <stp/>
        <stp>LAST</stp>
        <stp>DNUT</stp>
        <tr r="D69" s="4"/>
      </tp>
      <tp>
        <v>17.260000000000002</v>
        <stp/>
        <stp>LAST</stp>
        <stp>MNRO</stp>
        <tr r="D134" s="4"/>
      </tp>
      <tp>
        <v>18.45</v>
        <stp/>
        <stp>LAST</stp>
        <stp>MNSO</stp>
        <tr r="D33" s="3"/>
      </tp>
      <tp>
        <v>11.88</v>
        <stp/>
        <stp>LAST</stp>
        <stp>BNED</stp>
        <tr r="D145" s="4"/>
      </tp>
      <tp>
        <v>56.46</v>
        <stp/>
        <stp>LAST</stp>
        <stp>ONON</stp>
        <tr r="D90" s="2"/>
      </tp>
      <tp>
        <v>20.25</v>
        <stp/>
        <stp>LAST</stp>
        <stp>LOVE</stp>
        <tr r="D92" s="4"/>
      </tp>
      <tp>
        <v>4.03</v>
        <stp/>
        <stp>LAST</stp>
        <stp>GOTU</stp>
        <tr r="D36" s="4"/>
      </tp>
      <tp>
        <v>8.85</v>
        <stp/>
        <stp>LAST</stp>
        <stp>COUR</stp>
        <tr r="D34" s="4"/>
      </tp>
      <tp>
        <v>28.64</v>
        <stp/>
        <stp>LAST</stp>
        <stp>JOUT</stp>
        <tr r="D103" s="4"/>
      </tp>
      <tp>
        <v>127.61</v>
        <stp/>
        <stp>LAST</stp>
        <stp>DORM</stp>
        <tr r="D4" s="3"/>
      </tp>
      <tp>
        <v>142.16</v>
        <stp/>
        <stp>LAST</stp>
        <stp>ROST</stp>
        <tr r="D74" s="2"/>
      </tp>
      <tp>
        <v>185.54</v>
        <stp/>
        <stp>LAST</stp>
        <stp>LOPE</stp>
        <tr r="D36" s="3"/>
      </tp>
      <tp>
        <v>27.29</v>
        <stp/>
        <stp>LAST</stp>
        <stp>FOXF</stp>
        <tr r="D11" s="4"/>
      </tp>
      <tp>
        <v>26.46</v>
        <stp/>
        <stp>LAST</stp>
        <stp>DOGZ</stp>
        <tr r="D156" s="4"/>
      </tp>
      <tp>
        <v>7.39</v>
        <stp/>
        <stp>LAST</stp>
        <stp>MODG</stp>
        <tr r="D104" s="4"/>
      </tp>
      <tp>
        <v>10.88</v>
        <stp/>
        <stp>LAST</stp>
        <stp>LOCO</stp>
        <tr r="D53" s="4"/>
      </tp>
      <tp>
        <v>26.59</v>
        <stp/>
        <stp>LAST</stp>
        <stp>SONY</stp>
        <tr r="D62" s="2"/>
      </tp>
      <tp>
        <v>10.46</v>
        <stp/>
        <stp>LAST</stp>
        <stp>SONO</stp>
        <tr r="D96" s="4"/>
      </tp>
      <tp>
        <v>11.74</v>
        <stp/>
        <stp>LAST</stp>
        <stp>GOOS</stp>
        <tr r="D153" s="4"/>
      </tp>
      <tp>
        <v>167.48</v>
        <stp/>
        <stp>LAST</stp>
        <stp>BOOT</stp>
        <tr r="D111" s="3"/>
      </tp>
      <tp>
        <v>2.64</v>
        <stp/>
        <stp>LAST</stp>
        <stp>WOOF</stp>
        <tr r="D137" s="4"/>
      </tp>
      <tp>
        <v>47.18</v>
        <stp/>
        <stp>LAST</stp>
        <stp>DOOO</stp>
        <tr r="D98" s="3"/>
      </tp>
      <tp>
        <v>298.25</v>
        <stp/>
        <stp>LAST</stp>
        <stp>POOL</stp>
        <tr r="D22" s="2"/>
      </tp>
      <tp>
        <v>72.400000000000006</v>
        <stp/>
        <stp>LAST</stp>
        <stp>GOLF</stp>
        <tr r="D95" s="3"/>
      </tp>
      <tp>
        <v>62.25</v>
        <stp/>
        <stp>LAST</stp>
        <stp>COLM</stp>
        <tr r="D134" s="3"/>
      </tp>
      <tp>
        <v>5.15</v>
        <stp/>
        <stp>LAST</stp>
        <stp>FLWS</stp>
        <tr r="D143" s="4"/>
      </tp>
      <tp>
        <v>468.32</v>
        <stp/>
        <stp>LAST</stp>
        <stp>ULTA</stp>
        <tr r="D67" s="2"/>
      </tp>
      <tp>
        <v>263.52</v>
        <stp/>
        <stp>LAST</stp>
        <stp>FLUT</stp>
        <tr r="D41" s="2"/>
      </tp>
      <tp>
        <v>13.48</v>
        <stp/>
        <stp>LAST</stp>
        <stp>PLYA</stp>
        <tr r="D57" s="4"/>
      </tp>
      <tp>
        <v>34.33</v>
        <stp/>
        <stp>LAST</stp>
        <stp>GLBE</stp>
        <tr r="D34" s="3"/>
      </tp>
      <tp>
        <v>6.15</v>
        <stp/>
        <stp>LAST</stp>
        <stp>MLCO</stp>
        <tr r="D75" s="3"/>
      </tp>
      <tp>
        <v>25.57</v>
        <stp/>
        <stp>LAST</stp>
        <stp>PLAY</stp>
        <tr r="D45" s="4"/>
      </tp>
      <tp>
        <v>102.6</v>
        <stp/>
        <stp>LAST</stp>
        <stp>PLNT</stp>
        <tr r="D64" s="3"/>
      </tp>
      <tp>
        <v>115.88</v>
        <stp/>
        <stp>LAST</stp>
        <stp>OLLI</stp>
        <tr r="D29" s="3"/>
      </tp>
      <tp>
        <v>8.33</v>
        <stp/>
        <stp>LAST</stp>
        <stp>BLMN</stp>
        <tr r="D51" s="4"/>
      </tp>
      <tp>
        <v>21.29</v>
        <stp/>
        <stp>LAST</stp>
        <stp>AMRK</stp>
        <tr r="D24" s="4"/>
      </tp>
      <tp>
        <v>216.98</v>
        <stp/>
        <stp>LAST</stp>
        <stp>AMZN</stp>
        <tr r="D16" s="2"/>
      </tp>
      <tp>
        <v>99.69</v>
        <stp/>
        <stp>LAST</stp>
        <stp>MMYT</stp>
        <tr r="D50" s="2"/>
      </tp>
      <tp>
        <v>57.95</v>
        <stp/>
        <stp>LAST</stp>
        <stp>TMHC</stp>
        <tr r="D88" s="3"/>
      </tp>
      <tp>
        <v>3.43</v>
        <stp/>
        <stp>LAST</stp>
        <stp>JMIA</stp>
        <tr r="D21" s="4"/>
      </tp>
      <tp>
        <v>26.83</v>
        <stp/>
        <stp>LAST</stp>
        <stp>BBWI</stp>
        <tr r="D116" s="3"/>
      </tp>
      <tp>
        <v>6.57</v>
        <stp/>
        <stp>LAST</stp>
        <stp>GBTG</stp>
        <tr r="D76" s="3"/>
      </tp>
      <tp>
        <v>32.19</v>
        <stp/>
        <stp>LAST</stp>
        <stp>MBUU</stp>
        <tr r="D101" s="4"/>
      </tp>
      <tp>
        <v>90.67</v>
        <stp/>
        <stp>LAST</stp>
        <stp>SBUX</stp>
        <tr r="D42" s="2"/>
      </tp>
      <tp>
        <v>60.74</v>
        <stp/>
        <stp>LAST</stp>
        <stp>CBRL</stp>
        <tr r="D44" s="4"/>
      </tp>
      <tp>
        <v>11.28</v>
        <stp/>
        <stp>LAST</stp>
        <stp>PBPB</stp>
        <tr r="D46" s="4"/>
      </tp>
      <tp>
        <v>79.364999999999995</v>
        <stp/>
        <stp>LAST</stp>
        <stp>EBAY</stp>
        <tr r="D17" s="2"/>
      </tp>
      <tp>
        <v>16.149999999999999</v>
        <stp/>
        <stp>LAST</stp>
        <stp>MBLY</stp>
        <tr r="D4" s="2"/>
      </tp>
      <tp>
        <v>20.079999999999998</v>
        <stp/>
        <stp>LAST</stp>
        <stp>SCVL</stp>
        <tr r="D109" s="4"/>
      </tp>
      <tp>
        <v>84.82</v>
        <stp/>
        <stp>LAST</stp>
        <stp>MCRI</stp>
        <tr r="D41" s="4"/>
      </tp>
      <tp>
        <v>18.350000000000001</v>
        <stp/>
        <stp>LAST</stp>
        <stp>MCFT</stp>
        <tr r="D102" s="4"/>
      </tp>
      <tp>
        <v>11.44</v>
        <stp/>
        <stp>LAST</stp>
        <stp>ACEL</stp>
        <tr r="D56" s="4"/>
      </tp>
      <tp>
        <v>2.23</v>
        <stp/>
        <stp>LAST</stp>
        <stp>LCID</stp>
        <tr r="D22" s="3"/>
      </tp>
      <tp>
        <v>90.77</v>
        <stp/>
        <stp>LAST</stp>
        <stp>LCII</stp>
        <tr r="D5" s="3"/>
      </tp>
      <tp>
        <v>78.22</v>
        <stp/>
        <stp>LAST</stp>
        <stp>CAVA</stp>
        <tr r="D67" s="3"/>
      </tp>
      <tp>
        <v>22.81</v>
        <stp/>
        <stp>LAST</stp>
        <stp>MATW</stp>
        <tr r="D39" s="4"/>
      </tp>
      <tp>
        <v>91.07</v>
        <stp/>
        <stp>LAST</stp>
        <stp>PATK</stp>
        <tr r="D6" s="3"/>
      </tp>
      <tp>
        <v>109.89</v>
        <stp/>
        <stp>LAST</stp>
        <stp>NATH</stp>
        <tr r="D40" s="4"/>
      </tp>
      <tp>
        <v>21.92</v>
        <stp/>
        <stp>LAST</stp>
        <stp>LAUR</stp>
        <tr r="D44" s="3"/>
      </tp>
      <tp>
        <v>217.49</v>
        <stp/>
        <stp>LAST</stp>
        <stp>DASH</stp>
        <tr r="D51" s="2"/>
      </tp>
      <tp>
        <v>2.97</v>
        <stp/>
        <stp>LAST</stp>
        <stp>SABR</stp>
        <tr r="D70" s="4"/>
      </tp>
      <tp>
        <v>121.48</v>
        <stp/>
        <stp>LAST</stp>
        <stp>BABA</stp>
        <tr r="D15" s="2"/>
      </tp>
      <tp>
        <v>21.57</v>
        <stp/>
        <stp>LAST</stp>
        <stp>JACK</stp>
        <tr r="D80" s="4"/>
      </tp>
      <tp>
        <v>2.1</v>
        <stp/>
        <stp>LAST</stp>
        <stp>LANV</stp>
        <tr r="D157" s="4"/>
      </tp>
      <tp>
        <v>5.16</v>
        <stp/>
        <stp>LAST</stp>
        <stp>CANG</stp>
        <tr r="D133" s="4"/>
      </tp>
      <tp>
        <v>9.98</v>
        <stp/>
        <stp>LAST</stp>
        <stp>BALY</stp>
        <tr r="D79" s="4"/>
      </tp>
      <tp>
        <v>58.84</v>
        <stp/>
        <stp>LAST</stp>
        <stp>CAKE</stp>
        <tr r="D61" s="3"/>
      </tp>
      <tp>
        <v>17.55</v>
        <stp/>
        <stp>LAST</stp>
        <stp>AFYA</stp>
        <tr r="D27" s="4"/>
      </tp>
      <tp>
        <v>125.15</v>
        <stp/>
        <stp>LAST</stp>
        <stp>BFAM</stp>
        <tr r="D42" s="3"/>
      </tp>
      <tp>
        <v>4.7300000000000004</v>
        <stp/>
        <stp>LAST</stp>
        <stp>SFIX</stp>
        <tr r="D141" s="4"/>
      </tp>
      <tp>
        <v>9.23</v>
        <stp/>
        <stp>LAST</stp>
        <stp>SGHC</stp>
        <tr r="D73" s="3"/>
      </tp>
      <tp>
        <v>51.31</v>
        <stp/>
        <stp>LAST</stp>
        <stp>LGIH</stp>
        <tr r="D84" s="4"/>
      </tp>
      <tp>
        <v>7.66</v>
        <stp/>
        <stp>LAST</stp>
        <stp>TDUP</stp>
        <tr r="D135" s="4"/>
      </tp>
      <tp>
        <v>7.47</v>
        <stp/>
        <stp>LAST</stp>
        <stp>CDRO</stp>
        <tr r="D67" s="4"/>
      </tp>
      <tp>
        <v>27.45</v>
        <stp/>
        <stp>LAST</stp>
        <stp>GDEN</stp>
        <tr r="D60" s="4"/>
      </tp>
      <tp>
        <v>16.47</v>
        <stp/>
        <stp>LAST</stp>
        <stp>ADNT</stp>
        <tr r="D10" s="4"/>
      </tp>
      <tp>
        <v>7.51</v>
        <stp/>
        <stp>LAST</stp>
        <stp>UDMY</stp>
        <tr r="D35" s="4"/>
      </tp>
      <tp>
        <v>20.190000000000001</v>
        <stp/>
        <stp>LAST</stp>
        <stp>SDHC</stp>
        <tr r="D95" s="4"/>
      </tp>
      <tp>
        <v>17.52</v>
        <stp/>
        <stp>LAST</stp>
        <stp>LEVI</stp>
        <tr r="D136" s="3"/>
      </tp>
      <tp>
        <v>32.25</v>
        <stp/>
        <stp>LAST</stp>
        <stp>YETI</stp>
        <tr r="D97" s="3"/>
      </tp>
      <tp>
        <v>12.57</v>
        <stp/>
        <stp>LAST</stp>
        <stp>SERV</stp>
        <tr r="D77" s="4"/>
      </tp>
      <tp>
        <v>2.69</v>
        <stp/>
        <stp>LAST</stp>
        <stp>RERE</stp>
        <tr r="D129" s="4"/>
      </tp>
      <tp>
        <v>2.71</v>
        <stp/>
        <stp>LAST</stp>
        <stp>HEPS</stp>
        <tr r="D20" s="4"/>
      </tp>
      <tp>
        <v>31.67</v>
        <stp/>
        <stp>LAST</stp>
        <stp>WEYS</stp>
        <tr r="D23" s="4"/>
      </tp>
      <tp>
        <v>22.18</v>
        <stp/>
        <stp>LAST</stp>
        <stp>LEGH</stp>
        <tr r="D90" s="4"/>
      </tp>
      <tp>
        <v>110.91</v>
        <stp/>
        <stp>LAST</stp>
        <stp>DECK</stp>
        <tr r="D85" s="2"/>
      </tp>
      <tp>
        <v>6.12</v>
        <stp/>
        <stp>LAST</stp>
        <stp>REAL</stp>
        <tr r="D142" s="4"/>
      </tp>
      <tp>
        <v>10.43</v>
        <stp/>
        <stp>LAST</stp>
        <stp>VENU</stp>
        <tr r="D75" s="4"/>
      </tp>
      <tp>
        <v>9.32</v>
        <stp/>
        <stp>LAST</stp>
        <stp>GENI</stp>
        <tr r="D78" s="3"/>
      </tp>
      <tp>
        <v>16.48</v>
        <stp/>
        <stp>LAST</stp>
        <stp>PENN</stp>
        <tr r="D79" s="3"/>
      </tp>
      <tp>
        <v>28.95</v>
        <stp/>
        <stp>LAST</stp>
        <stp>HELE</stp>
        <tr r="D85" s="4"/>
      </tp>
      <tp>
        <v>2448.6</v>
        <stp/>
        <stp>LAST</stp>
        <stp>MELI</stp>
        <tr r="D13" s="2"/>
      </tp>
      <tp>
        <v>82.42</v>
        <stp/>
        <stp>LAST</stp>
        <stp>WH</stp>
        <tr r="D57" s="3"/>
      </tp>
      <tp>
        <v>6.94</v>
        <stp/>
        <stp>LAST</stp>
        <stp>TH</stp>
        <tr r="D58" s="4"/>
      </tp>
      <tp>
        <v>183.94</v>
        <stp/>
        <stp>LAST</stp>
        <stp>TM</stp>
        <tr r="D7" s="2"/>
      </tp>
      <tp>
        <v>6.32</v>
        <stp/>
        <stp>LAST</stp>
        <stp>UA</stp>
        <tr r="D139" s="3"/>
      </tp>
      <tp>
        <v>184.85</v>
        <stp/>
        <stp>LAST</stp>
        <stp>RH</stp>
        <tr r="D117" s="3"/>
      </tp>
      <tp>
        <v>270.32</v>
        <stp/>
        <stp>LAST</stp>
        <stp>RL</stp>
        <tr r="D84" s="2"/>
      </tp>
      <tp>
        <v>14.01</v>
        <stp/>
        <stp>LAST</stp>
        <stp>SG</stp>
        <tr r="D74" s="4"/>
      </tp>
      <tp>
        <v>4.3499999999999996</v>
        <stp/>
        <stp>LAST</stp>
        <stp>QS</stp>
        <tr r="D16" s="3"/>
      </tp>
      <tp>
        <v>26.17</v>
        <stp/>
        <stp>LAST</stp>
        <stp>ZK</stp>
        <tr r="D25" s="3"/>
      </tp>
      <tp>
        <v>24.05</v>
        <stp/>
        <stp>LAST</stp>
        <stp>FL</stp>
        <tr r="D128" s="3"/>
      </tp>
      <tp>
        <v>11.78</v>
        <stp/>
        <stp>LAST</stp>
        <stp>GT</stp>
        <tr r="D12" s="3"/>
      </tp>
      <tp>
        <v>47.93</v>
        <stp/>
        <stp>LAST</stp>
        <stp>GM</stp>
        <tr r="D5" s="2"/>
      </tp>
      <tp>
        <v>1.08</v>
        <stp/>
        <stp>LAST</stp>
        <stp>EM</stp>
        <tr r="D130" s="4"/>
      </tp>
      <tp>
        <v>267.07</v>
        <stp/>
        <stp>LAST</stp>
        <stp>BH</stp>
        <tr r="D81" s="4"/>
      </tp>
      <tp>
        <v>57.22</v>
        <stp/>
        <stp>LAST</stp>
        <stp>BC</stp>
        <tr r="D100" s="3"/>
      </tp>
      <tp>
        <v>37.67</v>
        <stp/>
        <stp>LAST</stp>
        <stp>AS</stp>
        <tr r="D91" s="2"/>
      </tp>
      <tp>
        <v>189.25</v>
        <stp/>
        <stp>LAST</stp>
        <stp>AN</stp>
        <tr r="D108" s="3"/>
      </tp>
      <tp>
        <v>9.0399999999999991</v>
        <stp/>
        <stp>LAST</stp>
        <stp>LE</stp>
        <tr r="D125" s="4"/>
      </tp>
      <tp>
        <v>33.94</v>
        <stp/>
        <stp>LAST</stp>
        <stp>JD</stp>
        <tr r="D18" s="2"/>
      </tp>
      <tp>
        <v>365.2</v>
        <stp/>
        <stp>LAST</stp>
        <stp>HD</stp>
        <tr r="D68" s="2"/>
      </tp>
      <tp>
        <v>47.28</v>
        <stp/>
        <stp>LAST</stp>
        <stp>W</stp>
        <tr r="D127" s="3"/>
      </tp>
      <tp>
        <v>10.34</v>
        <stp/>
        <stp>LAST</stp>
        <stp>F</stp>
        <tr r="D10" s="2"/>
      </tp>
      <tp>
        <v>12.25</v>
        <stp/>
        <stp>LAST</stp>
        <stp>M</stp>
        <tr r="D30" s="3"/>
      </tp>
      <tp>
        <v>133.97</v>
        <stp/>
        <stp>LAST</stp>
        <stp>H</stp>
        <tr r="D35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78208217592" createdVersion="8" refreshedVersion="8" minRefreshableVersion="3" recordCount="90" xr:uid="{3432845B-C090-4238-AA0B-FA56B072311B}">
  <cacheSource type="worksheet">
    <worksheetSource name="Main_L"/>
  </cacheSource>
  <cacheFields count="26">
    <cacheField name="Industry" numFmtId="0">
      <sharedItems count="58">
        <s v="Automobile Components"/>
        <s v="Automobiles"/>
        <s v="Broadline Retail"/>
        <s v="Distributors"/>
        <s v="Diversified Consumer Services"/>
        <s v="Hotels, Restaurants &amp; Leisure"/>
        <s v="Household Durables"/>
        <s v="Specialty Retail"/>
        <s v="Textiles, Apparel &amp; Luxury Good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102" maxValue="2176458"/>
    </cacheField>
    <cacheField name="Current Price" numFmtId="0">
      <sharedItems containsSemiMixedTypes="0" containsString="0" containsNumber="1" minValue="4.67" maxValue="7138.62"/>
    </cacheField>
    <cacheField name="Free CF" numFmtId="0">
      <sharedItems containsString="0" containsBlank="1" containsNumber="1" minValue="-5.35" maxValue="460.43"/>
    </cacheField>
    <cacheField name="BVPS" numFmtId="0">
      <sharedItems containsString="0" containsBlank="1" containsNumber="1" minValue="-266.18" maxValue="1343.02"/>
    </cacheField>
    <cacheField name="EPS" numFmtId="0">
      <sharedItems containsString="0" containsBlank="1" containsNumber="1" minValue="-3.67" maxValue="486.51"/>
    </cacheField>
    <cacheField name="P/FCF" numFmtId="2">
      <sharedItems containsMixedTypes="1" containsNumber="1" minValue="-232.83544303797467" maxValue="152.28571428571428"/>
    </cacheField>
    <cacheField name="P/B" numFmtId="2">
      <sharedItems containsMixedTypes="1" containsNumber="1" minValue="-81.466666666666669" maxValue="73.825396825396822"/>
    </cacheField>
    <cacheField name="ROE" numFmtId="0">
      <sharedItems containsSemiMixedTypes="0" containsString="0" containsNumber="1" minValue="-196.98" maxValue="299.52"/>
    </cacheField>
    <cacheField name="ROA" numFmtId="0">
      <sharedItems containsSemiMixedTypes="0" containsString="0" containsNumber="1" minValue="-7.58" maxValue="30.32"/>
    </cacheField>
    <cacheField name="A/E" numFmtId="0">
      <sharedItems containsSemiMixedTypes="0" containsString="0" containsNumber="1" minValue="-40.020000000000003" maxValue="24.36"/>
    </cacheField>
    <cacheField name="P/E" numFmtId="2">
      <sharedItems containsMixedTypes="1" containsNumber="1" minValue="-44.146341463414643" maxValue="282.45454545454544"/>
    </cacheField>
    <cacheField name="Preliminary Criteria" numFmtId="0">
      <sharedItems/>
    </cacheField>
    <cacheField name="P/FCF Z-Score" numFmtId="2">
      <sharedItems containsMixedTypes="1" containsNumber="1" minValue="-12.988444088364348" maxValue="12.128040185838129"/>
    </cacheField>
    <cacheField name="P/B Z-Score" numFmtId="2">
      <sharedItems containsMixedTypes="1" containsNumber="1" minValue="-8.450732577129596" maxValue="5.726169088449943"/>
    </cacheField>
    <cacheField name="ROE Z-Score" numFmtId="2">
      <sharedItems containsSemiMixedTypes="0" containsString="0" containsNumber="1" minValue="-9.5533887312814993" maxValue="11.792306854033541"/>
    </cacheField>
    <cacheField name="ROA Z-Score" numFmtId="2">
      <sharedItems containsSemiMixedTypes="0" containsString="0" containsNumber="1" minValue="-7.6939597607555532" maxValue="7.6649029330560774"/>
    </cacheField>
    <cacheField name="A/E Z-Score" numFmtId="2">
      <sharedItems containsSemiMixedTypes="0" containsString="0" containsNumber="1" minValue="-10.485693882250887" maxValue="6.2297913538530656"/>
    </cacheField>
    <cacheField name="P/E Z-Score" numFmtId="2">
      <sharedItems containsMixedTypes="1" containsNumber="1" minValue="-9.3947847494832484" maxValue="34.709831453616999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78209953701" createdVersion="8" refreshedVersion="8" minRefreshableVersion="3" recordCount="140" xr:uid="{A2646FF5-8A5C-4026-A340-9C8CC354FDFF}">
  <cacheSource type="worksheet">
    <worksheetSource name="Main_M"/>
  </cacheSource>
  <cacheFields count="26">
    <cacheField name="Industry" numFmtId="0">
      <sharedItems count="59">
        <s v="Automobile Components"/>
        <s v="Automobiles"/>
        <s v="Broadline Retail"/>
        <s v="Diversified Consumer Services"/>
        <s v="Hotels, Restaurants &amp; Leisure"/>
        <s v="Household Durables"/>
        <s v="Leisure Products"/>
        <s v="Specialty Retail"/>
        <s v="Textiles, Apparel &amp; Luxury Good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137" maxValue="9835"/>
    </cacheField>
    <cacheField name="Current Price" numFmtId="0">
      <sharedItems containsSemiMixedTypes="0" containsString="0" containsNumber="1" minValue="1.05" maxValue="946"/>
    </cacheField>
    <cacheField name="Free CF" numFmtId="0">
      <sharedItems containsString="0" containsBlank="1" containsNumber="1" minValue="-11.56" maxValue="86.28"/>
    </cacheField>
    <cacheField name="BVPS" numFmtId="0">
      <sharedItems containsString="0" containsBlank="1" containsNumber="1" minValue="-25.62" maxValue="984.96"/>
    </cacheField>
    <cacheField name="EPS" numFmtId="0">
      <sharedItems containsString="0" containsBlank="1" containsNumber="1" minValue="-10" maxValue="141.53"/>
    </cacheField>
    <cacheField name="P/FCF" numFmtId="2">
      <sharedItems containsMixedTypes="1" containsNumber="1" minValue="-8374" maxValue="318.9375"/>
    </cacheField>
    <cacheField name="P/B" numFmtId="2">
      <sharedItems containsMixedTypes="1" containsNumber="1" minValue="-92.673913043478265" maxValue="29.751286449399654"/>
    </cacheField>
    <cacheField name="ROE" numFmtId="0">
      <sharedItems containsSemiMixedTypes="0" containsString="0" containsNumber="1" minValue="-1094.9000000000001" maxValue="314.08"/>
    </cacheField>
    <cacheField name="ROA" numFmtId="0">
      <sharedItems containsSemiMixedTypes="0" containsString="0" containsNumber="1" minValue="-26.69" maxValue="37.82"/>
    </cacheField>
    <cacheField name="A/E" numFmtId="0">
      <sharedItems containsSemiMixedTypes="0" containsString="0" containsNumber="1" minValue="-40.32" maxValue="37.770000000000003"/>
    </cacheField>
    <cacheField name="P/E" numFmtId="2">
      <sharedItems containsMixedTypes="1" containsNumber="1" minValue="-187.33333333333334" maxValue="650.61538461538453"/>
    </cacheField>
    <cacheField name="Preliminary Criteria" numFmtId="0">
      <sharedItems/>
    </cacheField>
    <cacheField name="P/FCF Z-Score" numFmtId="2">
      <sharedItems containsMixedTypes="1" containsNumber="1" minValue="-309.76996076194882" maxValue="33.509737245883805"/>
    </cacheField>
    <cacheField name="P/B Z-Score" numFmtId="2">
      <sharedItems containsMixedTypes="1" containsNumber="1" minValue="-24.240072577152073" maxValue="23.024428301087006"/>
    </cacheField>
    <cacheField name="ROE Z-Score" numFmtId="2">
      <sharedItems containsSemiMixedTypes="0" containsString="0" containsNumber="1" minValue="-8.4341274967288484" maxValue="3.8816657120212468"/>
    </cacheField>
    <cacheField name="ROA Z-Score" numFmtId="2">
      <sharedItems containsSemiMixedTypes="0" containsString="0" containsNumber="1" minValue="-10.688080107044305" maxValue="3.9898406896028411"/>
    </cacheField>
    <cacheField name="A/E Z-Score" numFmtId="2">
      <sharedItems containsSemiMixedTypes="0" containsString="0" containsNumber="1" minValue="-31.702568161757956" maxValue="20.458490219565743"/>
    </cacheField>
    <cacheField name="P/E Z-Score" numFmtId="2">
      <sharedItems containsMixedTypes="1" containsNumber="1" minValue="-23.926140213713115" maxValue="111.54059699057166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78211689818" createdVersion="8" refreshedVersion="8" minRefreshableVersion="3" recordCount="156" xr:uid="{FEEDC4AE-CB7E-4F82-B64E-6462C5DE2153}">
  <cacheSource type="worksheet">
    <worksheetSource name="Main_S"/>
  </cacheSource>
  <cacheFields count="26">
    <cacheField name="Industry" numFmtId="0">
      <sharedItems count="60">
        <s v="Automobile Components"/>
        <s v="Automobiles"/>
        <s v="Broadline Retail"/>
        <s v="Distributors"/>
        <s v="Diversified Consumer Services"/>
        <s v="Hotels, Restaurants &amp; Leisure"/>
        <s v="Household Durables"/>
        <s v="Leisure Products"/>
        <s v="Specialty Retail"/>
        <s v="Textiles, Apparel &amp; Luxury Good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0" maxValue="1984"/>
    </cacheField>
    <cacheField name="Current Price" numFmtId="0">
      <sharedItems containsSemiMixedTypes="0" containsString="0" containsNumber="1" minValue="1.08" maxValue="416.72"/>
    </cacheField>
    <cacheField name="Free CF" numFmtId="0">
      <sharedItems containsString="0" containsBlank="1" containsNumber="1" minValue="-11.38" maxValue="47.52"/>
    </cacheField>
    <cacheField name="BVPS" numFmtId="0">
      <sharedItems containsString="0" containsBlank="1" containsNumber="1" minValue="-121.58" maxValue="869.87"/>
    </cacheField>
    <cacheField name="EPS" numFmtId="0">
      <sharedItems containsString="0" containsBlank="1" containsNumber="1" minValue="-217.37" maxValue="28.18"/>
    </cacheField>
    <cacheField name="P/FCF" numFmtId="2">
      <sharedItems containsMixedTypes="1" containsNumber="1" minValue="-383" maxValue="1430"/>
    </cacheField>
    <cacheField name="P/B" numFmtId="2">
      <sharedItems containsMixedTypes="1" containsNumber="1" minValue="-52.5" maxValue="41.416666666666664"/>
    </cacheField>
    <cacheField name="ROE" numFmtId="0">
      <sharedItems containsSemiMixedTypes="0" containsString="0" containsNumber="1" minValue="-285.26" maxValue="497.79"/>
    </cacheField>
    <cacheField name="ROA" numFmtId="0">
      <sharedItems containsSemiMixedTypes="0" containsString="0" containsNumber="1" minValue="-51.32" maxValue="90.04"/>
    </cacheField>
    <cacheField name="A/E" numFmtId="0">
      <sharedItems containsSemiMixedTypes="0" containsString="0" containsNumber="1" minValue="-139.37" maxValue="87.95"/>
    </cacheField>
    <cacheField name="P/E" numFmtId="2">
      <sharedItems containsMixedTypes="1" containsNumber="1" minValue="-167.5" maxValue="628"/>
    </cacheField>
    <cacheField name="Preliminary Criteria" numFmtId="0">
      <sharedItems/>
    </cacheField>
    <cacheField name="P/FCF Z-Score" numFmtId="2">
      <sharedItems containsMixedTypes="1" containsNumber="1" minValue="-61.698540092988566" maxValue="83.609050025342796"/>
    </cacheField>
    <cacheField name="P/B Z-Score" numFmtId="2">
      <sharedItems containsMixedTypes="1" containsNumber="1" minValue="-37.591252669591888" maxValue="26.820202077335431"/>
    </cacheField>
    <cacheField name="ROE Z-Score" numFmtId="2">
      <sharedItems containsSemiMixedTypes="0" containsString="0" containsNumber="1" minValue="-19.179274780470156" maxValue="19.630233200316212"/>
    </cacheField>
    <cacheField name="ROA Z-Score" numFmtId="2">
      <sharedItems containsSemiMixedTypes="0" containsString="0" containsNumber="1" minValue="-14.491703949548501" maxValue="28.468641206766595"/>
    </cacheField>
    <cacheField name="A/E Z-Score" numFmtId="2">
      <sharedItems containsSemiMixedTypes="0" containsString="0" containsNumber="1" minValue="-231.88010147536809" maxValue="141.2718956036141"/>
    </cacheField>
    <cacheField name="P/E Z-Score" numFmtId="2">
      <sharedItems containsMixedTypes="1" containsNumber="1" minValue="-29.647420017131743" maxValue="68.795380752926349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s v="APTV"/>
    <n v="14547"/>
    <n v="67.19"/>
    <n v="6.99"/>
    <n v="40.04"/>
    <n v="6.35"/>
    <n v="9.6123032904148786"/>
    <n v="1.6780719280719281"/>
    <n v="15.24"/>
    <n v="5.73"/>
    <n v="2.58"/>
    <n v="10.581102362204724"/>
    <s v="NO"/>
    <n v="-0.5968443497906889"/>
    <n v="1.3735888609128613"/>
    <n v="0.85510641338796389"/>
    <n v="0.97373847640227784"/>
    <n v="0.60663418002934133"/>
    <n v="0.80025213979899767"/>
    <x v="0"/>
    <x v="0"/>
    <x v="0"/>
    <x v="0"/>
    <x v="0"/>
    <x v="0"/>
  </r>
  <r>
    <x v="0"/>
    <s v="MGA"/>
    <n v="10221"/>
    <n v="37.25"/>
    <n v="5.24"/>
    <n v="41.67"/>
    <n v="4.01"/>
    <n v="7.1087786259541978"/>
    <n v="0.89392848572114225"/>
    <n v="10.15"/>
    <n v="3.89"/>
    <n v="2.73"/>
    <n v="9.2892768079800501"/>
    <s v="NO"/>
    <n v="-0.81190778353692161"/>
    <n v="-0.97823950398158099"/>
    <n v="0.54794398260851884"/>
    <n v="0.4013171356418333"/>
    <n v="0.80302654047049493"/>
    <n v="0.60967459585604722"/>
    <x v="0"/>
    <x v="0"/>
    <x v="0"/>
    <x v="0"/>
    <x v="0"/>
    <x v="0"/>
  </r>
  <r>
    <x v="0"/>
    <s v="MBLY"/>
    <n v="13195"/>
    <n v="16.149999999999999"/>
    <n v="0.49"/>
    <n v="14.84"/>
    <n v="-3.67"/>
    <n v="32.959183673469383"/>
    <n v="1.0882749326145551"/>
    <n v="-22.18"/>
    <n v="-1.82"/>
    <n v="1.04"/>
    <n v="-4.400544959128065"/>
    <s v="NO"/>
    <n v="1.4087521333276105"/>
    <n v="-0.39534935693127887"/>
    <n v="-1.4030503959964828"/>
    <n v="-1.3750556120441111"/>
    <n v="-1.4096607204998364"/>
    <n v="-1.4099267356550451"/>
    <x v="0"/>
    <x v="0"/>
    <x v="0"/>
    <x v="0"/>
    <x v="0"/>
    <x v="0"/>
  </r>
  <r>
    <x v="1"/>
    <s v="GM"/>
    <n v="47697"/>
    <n v="47.93"/>
    <n v="12.28"/>
    <n v="66.64"/>
    <n v="6.95"/>
    <n v="3.9030944625407167"/>
    <n v="0.71923769507803115"/>
    <n v="8.56"/>
    <n v="2.76"/>
    <n v="4.38"/>
    <n v="6.8964028776978417"/>
    <s v="NO"/>
    <n v="0.83698014595645365"/>
    <n v="-0.68495244560296609"/>
    <n v="-0.51721312170030886"/>
    <n v="0.26337662691588548"/>
    <n v="2.1855229511184686"/>
    <n v="-0.22910085638279767"/>
    <x v="0"/>
    <x v="0"/>
    <x v="0"/>
    <x v="0"/>
    <x v="0"/>
    <x v="0"/>
  </r>
  <r>
    <x v="1"/>
    <s v="DRPRY"/>
    <n v="43455"/>
    <n v="4.67"/>
    <n v="2.95"/>
    <n v="26.2"/>
    <n v="4.08"/>
    <n v="1.583050847457627"/>
    <n v="0.1782442748091603"/>
    <n v="13.66"/>
    <n v="6.08"/>
    <n v="2.27"/>
    <n v="1.1446078431372548"/>
    <s v="NO"/>
    <n v="0.70149064112422443"/>
    <n v="-0.79981083095766825"/>
    <n v="1.4021744505139382"/>
    <n v="3.9842719518552063"/>
    <n v="-0.55240529214020673"/>
    <n v="-0.42457375931986641"/>
    <x v="0"/>
    <x v="0"/>
    <x v="0"/>
    <x v="1"/>
    <x v="0"/>
    <x v="0"/>
  </r>
  <r>
    <x v="1"/>
    <s v="TM"/>
    <n v="248364"/>
    <n v="183.94"/>
    <n v="-0.79"/>
    <n v="18.36"/>
    <n v="2.4"/>
    <n v="-232.83544303797467"/>
    <n v="10.018518518518519"/>
    <n v="13.28"/>
    <n v="3.26"/>
    <n v="2.61"/>
    <n v="76.641666666666666"/>
    <s v="NO"/>
    <n v="-12.988444088364348"/>
    <n v="1.2893791087613711"/>
    <n v="1.2591612588587586"/>
    <n v="0.82375242886457833"/>
    <n v="-0.11122254204165254"/>
    <n v="2.1411694847930307"/>
    <x v="1"/>
    <x v="0"/>
    <x v="0"/>
    <x v="0"/>
    <x v="0"/>
    <x v="0"/>
  </r>
  <r>
    <x v="1"/>
    <s v="STLA"/>
    <n v="29208"/>
    <n v="9.9600000000000009"/>
    <n v="-2.48"/>
    <n v="29.38"/>
    <n v="1.91"/>
    <n v="-4.0161290322580649"/>
    <n v="0.33900612661674612"/>
    <n v="6.72"/>
    <n v="1.92"/>
    <n v="2.54"/>
    <n v="5.2146596858638752"/>
    <s v="NO"/>
    <n v="0.37450105160217939"/>
    <n v="-0.76567946071646598"/>
    <n v="-1.2096980497148611"/>
    <n v="-0.67805472035791836"/>
    <n v="-0.20205428470900175"/>
    <n v="-0.28625435745979683"/>
    <x v="0"/>
    <x v="0"/>
    <x v="0"/>
    <x v="0"/>
    <x v="0"/>
    <x v="0"/>
  </r>
  <r>
    <x v="1"/>
    <s v="TSLA"/>
    <n v="1115932"/>
    <n v="308.58"/>
    <n v="2.12"/>
    <n v="23.18"/>
    <n v="1.75"/>
    <n v="145.5566037735849"/>
    <n v="13.312338222605694"/>
    <n v="8.77"/>
    <n v="3.72"/>
    <n v="1.68"/>
    <n v="176.33142857142857"/>
    <s v="NO"/>
    <n v="9.1094814513310993"/>
    <n v="1.9886904103164458"/>
    <n v="-0.43817951578560488"/>
    <n v="1.3392981666573762"/>
    <n v="-1.3179871231935805"/>
    <n v="5.5290939562911205"/>
    <x v="1"/>
    <x v="0"/>
    <x v="0"/>
    <x v="0"/>
    <x v="0"/>
    <x v="1"/>
  </r>
  <r>
    <x v="1"/>
    <s v="F"/>
    <n v="41277"/>
    <n v="10.34"/>
    <n v="2.34"/>
    <n v="11.22"/>
    <n v="1.25"/>
    <n v="4.4188034188034191"/>
    <n v="0.92156862745098034"/>
    <n v="11.5"/>
    <n v="0.98"/>
    <n v="6.37"/>
    <n v="8.2720000000000002"/>
    <s v="NO"/>
    <n v="0.86709731731793993"/>
    <n v="-0.64199553831171197"/>
    <n v="0.58925736110555105"/>
    <n v="-1.7315612280214607"/>
    <n v="4.7677396355188311"/>
    <n v="-0.18235163094054874"/>
    <x v="0"/>
    <x v="0"/>
    <x v="0"/>
    <x v="0"/>
    <x v="1"/>
    <x v="0"/>
  </r>
  <r>
    <x v="1"/>
    <s v="HMC"/>
    <n v="43007"/>
    <n v="29.2"/>
    <n v="-0.79"/>
    <n v="18.91"/>
    <n v="1.19"/>
    <n v="-36.962025316455694"/>
    <n v="1.5441565309360126"/>
    <n v="7.05"/>
    <n v="2.5099999999999998"/>
    <n v="2.5"/>
    <n v="24.537815126050422"/>
    <s v="NO"/>
    <n v="-1.54952449032284"/>
    <n v="-0.50981381732124209"/>
    <n v="-1.0855023832774686"/>
    <n v="-1.6811274058460925E-2"/>
    <n v="-0.25395813766177289"/>
    <n v="0.37043686069068349"/>
    <x v="0"/>
    <x v="0"/>
    <x v="0"/>
    <x v="0"/>
    <x v="0"/>
    <x v="0"/>
  </r>
  <r>
    <x v="1"/>
    <s v="XPEV"/>
    <n v="18357"/>
    <n v="20.16"/>
    <n v="-0.64"/>
    <n v="4.45"/>
    <n v="-0.74"/>
    <n v="-31.5"/>
    <n v="4.5303370786516854"/>
    <n v="-15.45"/>
    <n v="-4.34"/>
    <n v="2.89"/>
    <n v="-27.243243243243242"/>
    <s v="NO"/>
    <n v="-1.2305446656779575"/>
    <n v="0.12418257383223801"/>
    <n v="-9.5533887312814993"/>
    <n v="-7.6939597607555532"/>
    <n v="0.25210442862774546"/>
    <n v="-1.389325741380705"/>
    <x v="0"/>
    <x v="0"/>
    <x v="1"/>
    <x v="1"/>
    <x v="0"/>
    <x v="0"/>
  </r>
  <r>
    <x v="2"/>
    <s v="MELI"/>
    <n v="129952"/>
    <n v="2448.6"/>
    <n v="127.28"/>
    <n v="98.7"/>
    <n v="40.65"/>
    <n v="19.237900691389061"/>
    <n v="24.808510638297872"/>
    <n v="49.11"/>
    <n v="7.74"/>
    <n v="5.53"/>
    <n v="60.236162361623613"/>
    <s v="NO"/>
    <n v="-0.44947833031114071"/>
    <n v="2.3311472781510338"/>
    <n v="1.7512665397175722"/>
    <n v="1.0889078615351355"/>
    <n v="1.5980077036290905"/>
    <n v="1.9022839957124327"/>
    <x v="0"/>
    <x v="0"/>
    <x v="0"/>
    <x v="0"/>
    <x v="0"/>
    <x v="0"/>
  </r>
  <r>
    <x v="2"/>
    <s v="PDD"/>
    <n v="137010"/>
    <n v="101.62"/>
    <n v="11.46"/>
    <n v="32.630000000000003"/>
    <n v="9.23"/>
    <n v="8.8673647469458992"/>
    <n v="3.1143119828378794"/>
    <n v="36.17"/>
    <n v="13.56"/>
    <n v="1.61"/>
    <n v="11.009750812567715"/>
    <s v="YES"/>
    <n v="-1.2484181409346622"/>
    <n v="-0.5693158652000776"/>
    <n v="0.8230916872111057"/>
    <n v="3.2807115314433082"/>
    <n v="-1.02909908966235"/>
    <n v="-0.76012822720299389"/>
    <x v="0"/>
    <x v="0"/>
    <x v="0"/>
    <x v="1"/>
    <x v="0"/>
    <x v="0"/>
  </r>
  <r>
    <x v="2"/>
    <s v="BABA"/>
    <n v="271556"/>
    <n v="121.48"/>
    <n v="4.55"/>
    <n v="60.19"/>
    <n v="7.38"/>
    <n v="26.6989010989011"/>
    <n v="2.01827546104004"/>
    <n v="11.44"/>
    <n v="5.17"/>
    <n v="1.79"/>
    <n v="16.460704607046072"/>
    <s v="NO"/>
    <n v="0.12531262404003782"/>
    <n v="-0.71585336057980609"/>
    <n v="-0.95076952627304623"/>
    <n v="0.12104953994338236"/>
    <n v="-0.90846663486835533"/>
    <n v="-0.46531319697264723"/>
    <x v="0"/>
    <x v="0"/>
    <x v="0"/>
    <x v="0"/>
    <x v="0"/>
    <x v="0"/>
  </r>
  <r>
    <x v="2"/>
    <s v="AMZN"/>
    <n v="2176458"/>
    <n v="216.98"/>
    <n v="1.98"/>
    <n v="28.82"/>
    <n v="6.14"/>
    <n v="109.58585858585859"/>
    <n v="7.5287994448299784"/>
    <n v="25.24"/>
    <n v="7.63"/>
    <n v="2.1"/>
    <n v="35.338762214983717"/>
    <s v="NO"/>
    <n v="6.5108736473614242"/>
    <n v="2.0890686498071864E-2"/>
    <n v="3.9092372072335603E-2"/>
    <n v="1.0474820189767335"/>
    <n v="-0.70071074050091986"/>
    <n v="0.55570722151119178"/>
    <x v="1"/>
    <x v="0"/>
    <x v="0"/>
    <x v="0"/>
    <x v="0"/>
    <x v="0"/>
  </r>
  <r>
    <x v="2"/>
    <s v="EBAY"/>
    <n v="33720"/>
    <n v="79.364999999999995"/>
    <n v="4.4000000000000004"/>
    <n v="10.69"/>
    <n v="4.17"/>
    <n v="18.037499999999998"/>
    <n v="7.4242282507015904"/>
    <n v="36.479999999999997"/>
    <n v="6.78"/>
    <n v="3.83"/>
    <n v="19.032374100719423"/>
    <s v="NO"/>
    <n v="-0.54195647282841419"/>
    <n v="6.9097647206607478E-3"/>
    <n v="0.84532771536234219"/>
    <n v="0.72737323557090094"/>
    <n v="0.45870118613025146"/>
    <n v="-0.32622436076057587"/>
    <x v="0"/>
    <x v="0"/>
    <x v="0"/>
    <x v="0"/>
    <x v="0"/>
    <x v="0"/>
  </r>
  <r>
    <x v="2"/>
    <s v="JD"/>
    <n v="46719"/>
    <n v="33.94"/>
    <n v="3.15"/>
    <n v="22.39"/>
    <n v="4.07"/>
    <n v="10.774603174603174"/>
    <n v="1.5158552925413129"/>
    <n v="16.28"/>
    <n v="4.1399999999999997"/>
    <n v="2.89"/>
    <n v="8.3390663390663384"/>
    <s v="NO"/>
    <n v="-1.1014856471494316"/>
    <n v="-0.78302575096630467"/>
    <n v="-0.60360057062147732"/>
    <n v="-0.26684698583074445"/>
    <n v="-0.1712683000161653"/>
    <n v="-0.9045722921276671"/>
    <x v="0"/>
    <x v="0"/>
    <x v="0"/>
    <x v="0"/>
    <x v="0"/>
    <x v="0"/>
  </r>
  <r>
    <x v="2"/>
    <s v="DLMAF"/>
    <n v="35635"/>
    <n v="129"/>
    <n v="3.43"/>
    <n v="2.95"/>
    <n v="2.86"/>
    <n v="37.609329446064137"/>
    <n v="43.728813559322035"/>
    <n v="148.94"/>
    <n v="16.82"/>
    <n v="5.46"/>
    <n v="45.104895104895107"/>
    <s v="NO"/>
    <n v="0.96584541850710126"/>
    <n v="4.8607471105770799"/>
    <n v="8.9119848956465191"/>
    <n v="4.5084228654468541"/>
    <n v="1.5510950823203147"/>
    <n v="1.0839088668983441"/>
    <x v="0"/>
    <x v="1"/>
    <x v="1"/>
    <x v="1"/>
    <x v="0"/>
    <x v="0"/>
  </r>
  <r>
    <x v="2"/>
    <s v="PROSY"/>
    <n v="114308"/>
    <n v="10.88"/>
    <n v="0.37"/>
    <n v="13.5"/>
    <n v="2.1800000000000002"/>
    <n v="29.405405405405407"/>
    <n v="0.80592592592592593"/>
    <n v="18.09"/>
    <n v="0.04"/>
    <n v="1.44"/>
    <n v="4.9908256880733948"/>
    <s v="NO"/>
    <n v="0.33382007723959389"/>
    <n v="-0.87794163124161928"/>
    <n v="-0.47377085786748169"/>
    <n v="-1.8109011175529961"/>
    <n v="-1.1430297414122339"/>
    <n v="-1.085662007058084"/>
    <x v="0"/>
    <x v="0"/>
    <x v="0"/>
    <x v="0"/>
    <x v="0"/>
    <x v="0"/>
  </r>
  <r>
    <x v="2"/>
    <s v="CPNG"/>
    <n v="50928"/>
    <n v="28.47"/>
    <n v="0.56999999999999995"/>
    <n v="2.42"/>
    <n v="0.14000000000000001"/>
    <n v="49.947368421052637"/>
    <n v="11.764462809917354"/>
    <n v="4.75"/>
    <n v="2.44"/>
    <n v="3.66"/>
    <n v="203.35714285714283"/>
    <s v="NO"/>
    <n v="1.9163604714369162"/>
    <n v="0.58718887861804181"/>
    <n v="-1.4306373596013509"/>
    <n v="-0.9070645526424097"/>
    <n v="0.34477053438036764"/>
    <n v="9.6429873262240129"/>
    <x v="0"/>
    <x v="0"/>
    <x v="0"/>
    <x v="0"/>
    <x v="0"/>
    <x v="1"/>
  </r>
  <r>
    <x v="3"/>
    <s v="POOL"/>
    <n v="11301"/>
    <n v="298.25"/>
    <n v="12.83"/>
    <n v="32.89"/>
    <n v="10.7"/>
    <n v="23.246297739672642"/>
    <n v="9.0681058072362415"/>
    <n v="31.65"/>
    <n v="9.8000000000000007"/>
    <n v="3"/>
    <n v="27.873831775700936"/>
    <s v="NO"/>
    <n v="-0.542268163854839"/>
    <n v="1.3502378992379662"/>
    <n v="1.3089760018156322"/>
    <n v="1.4072937343812981"/>
    <n v="-0.38849525661189771"/>
    <n v="1.2655559367877014"/>
    <x v="0"/>
    <x v="0"/>
    <x v="0"/>
    <x v="0"/>
    <x v="0"/>
    <x v="0"/>
  </r>
  <r>
    <x v="3"/>
    <s v="GPC"/>
    <n v="17560"/>
    <n v="125.25"/>
    <n v="2.31"/>
    <n v="32.06"/>
    <n v="6.09"/>
    <n v="54.220779220779221"/>
    <n v="3.9067373674360573"/>
    <n v="19.13"/>
    <n v="4.82"/>
    <n v="4.45"/>
    <n v="20.566502463054189"/>
    <s v="NO"/>
    <n v="1.402265784627033"/>
    <n v="-0.31091679202504108"/>
    <n v="-0.19087569520069322"/>
    <n v="-0.82465620103872228"/>
    <n v="1.3718738749107624"/>
    <n v="-8.6173789717860133E-2"/>
    <x v="0"/>
    <x v="0"/>
    <x v="0"/>
    <x v="0"/>
    <x v="0"/>
    <x v="0"/>
  </r>
  <r>
    <x v="3"/>
    <s v="LKQ"/>
    <n v="10447"/>
    <n v="39.28"/>
    <n v="2.16"/>
    <n v="23.9"/>
    <n v="2.68"/>
    <n v="18.185185185185183"/>
    <n v="1.6435146443514645"/>
    <n v="11.39"/>
    <n v="5.36"/>
    <n v="2.5099999999999998"/>
    <n v="14.656716417910447"/>
    <s v="YES"/>
    <n v="-0.85999762077219433"/>
    <n v="-1.0393211072129249"/>
    <n v="-1.1181003066149389"/>
    <n v="-0.58263753334257551"/>
    <n v="-0.98337861829886575"/>
    <n v="-1.1793821470698416"/>
    <x v="0"/>
    <x v="0"/>
    <x v="0"/>
    <x v="0"/>
    <x v="0"/>
    <x v="0"/>
  </r>
  <r>
    <x v="4"/>
    <s v="SCI"/>
    <n v="11104"/>
    <n v="79.83"/>
    <n v="4.4800000000000004"/>
    <n v="11.52"/>
    <n v="3.62"/>
    <n v="17.819196428571427"/>
    <n v="6.9296875"/>
    <n v="32.72"/>
    <n v="3.48"/>
    <n v="10.49"/>
    <n v="22.052486187845304"/>
    <s v="NO"/>
    <n v="-0.67231869396118904"/>
    <n v="-0.4452691567939252"/>
    <n v="1.4124162735512351"/>
    <n v="-0.77631883674380342"/>
    <n v="1.4140808673398213"/>
    <n v="-0.691034974924429"/>
    <x v="0"/>
    <x v="0"/>
    <x v="0"/>
    <x v="0"/>
    <x v="0"/>
    <x v="0"/>
  </r>
  <r>
    <x v="4"/>
    <s v="DUOL"/>
    <n v="23618"/>
    <n v="497.93"/>
    <n v="6.55"/>
    <n v="19.68"/>
    <n v="2.04"/>
    <n v="76.019847328244282"/>
    <n v="25.301321138211382"/>
    <n v="12.06"/>
    <n v="3.59"/>
    <n v="1.57"/>
    <n v="244.08333333333334"/>
    <s v="NO"/>
    <n v="1.4136521220434906"/>
    <n v="1.3850895381721875"/>
    <n v="-0.64448129775293694"/>
    <n v="-0.63555772898256457"/>
    <n v="-0.723817664299366"/>
    <n v="1.4140927059533583"/>
    <x v="0"/>
    <x v="0"/>
    <x v="0"/>
    <x v="0"/>
    <x v="0"/>
    <x v="0"/>
  </r>
  <r>
    <x v="4"/>
    <s v="PSO"/>
    <n v="10510"/>
    <n v="14.94"/>
    <n v="0.94"/>
    <n v="7.6"/>
    <n v="0.8"/>
    <n v="15.893617021276595"/>
    <n v="1.9657894736842105"/>
    <n v="10.82"/>
    <n v="5.19"/>
    <n v="1.71"/>
    <n v="18.674999999999997"/>
    <s v="YES"/>
    <n v="-0.7413334280823014"/>
    <n v="-0.93982038137826185"/>
    <n v="-0.76793497579829872"/>
    <n v="1.4118765657263674"/>
    <n v="-0.69026320304045508"/>
    <n v="-0.72305773102892923"/>
    <x v="0"/>
    <x v="0"/>
    <x v="0"/>
    <x v="0"/>
    <x v="0"/>
    <x v="0"/>
  </r>
  <r>
    <x v="5"/>
    <s v="BKNG"/>
    <n v="179588"/>
    <n v="5539.41"/>
    <n v="254.85"/>
    <n v="-186.92"/>
    <n v="161.59"/>
    <n v="21.735962330782812"/>
    <n v="-29.635191525786436"/>
    <n v="-107.02"/>
    <n v="17.96"/>
    <n v="-4.45"/>
    <n v="34.280648554984836"/>
    <s v="NO"/>
    <n v="-0.57180545247107339"/>
    <n v="-3.3731777267032887"/>
    <n v="-4.2375022715998583"/>
    <n v="2.5569651888929488"/>
    <n v="-1.678972645793642"/>
    <n v="1.1960998233279658"/>
    <x v="0"/>
    <x v="1"/>
    <x v="1"/>
    <x v="0"/>
    <x v="0"/>
    <x v="0"/>
  </r>
  <r>
    <x v="5"/>
    <s v="DPZ"/>
    <n v="16224"/>
    <n v="467.95"/>
    <n v="16.57"/>
    <n v="-114.3"/>
    <n v="17.440000000000001"/>
    <n v="28.24079662039831"/>
    <n v="-4.0940507436570428"/>
    <n v="-15.35"/>
    <n v="30.32"/>
    <n v="-0.48"/>
    <n v="26.831995412844034"/>
    <s v="NO"/>
    <n v="-1.3519452097461387E-2"/>
    <n v="-0.87109684030697299"/>
    <n v="-1.0132655620737803"/>
    <n v="5.5412984971759371"/>
    <n v="-0.69604649148565045"/>
    <n v="0.19022384067437684"/>
    <x v="0"/>
    <x v="0"/>
    <x v="0"/>
    <x v="1"/>
    <x v="0"/>
    <x v="0"/>
  </r>
  <r>
    <x v="5"/>
    <s v="RCL"/>
    <n v="69783"/>
    <n v="273.99"/>
    <n v="7.99"/>
    <n v="29.31"/>
    <n v="12.3"/>
    <n v="34.291614518147682"/>
    <n v="9.3480040941658142"/>
    <n v="48.52"/>
    <n v="7.43"/>
    <n v="4.7"/>
    <n v="22.275609756097559"/>
    <s v="NO"/>
    <n v="0.50579999136882914"/>
    <n v="0.44572407895048238"/>
    <n v="1.2331836430907297"/>
    <n v="1.4487054894577304E-2"/>
    <n v="0.58646168970210688"/>
    <n v="-0.42507651126432844"/>
    <x v="0"/>
    <x v="0"/>
    <x v="0"/>
    <x v="0"/>
    <x v="0"/>
    <x v="0"/>
  </r>
  <r>
    <x v="5"/>
    <s v="MCD"/>
    <n v="224413"/>
    <n v="304.77999999999997"/>
    <n v="9.36"/>
    <n v="-4.83"/>
    <n v="11.33"/>
    <n v="32.561965811965813"/>
    <n v="-63.101449275362313"/>
    <n v="-196.98"/>
    <n v="13.42"/>
    <n v="-16.309999999999999"/>
    <n v="26.900264783759926"/>
    <s v="NO"/>
    <n v="0.35735060507666155"/>
    <n v="-6.6516250195906226"/>
    <n v="-7.4015944979439841"/>
    <n v="1.4607780352032425"/>
    <n v="-4.6153716861192793"/>
    <n v="0.19944302691445853"/>
    <x v="0"/>
    <x v="1"/>
    <x v="1"/>
    <x v="0"/>
    <x v="1"/>
    <x v="0"/>
  </r>
  <r>
    <x v="5"/>
    <s v="DRI"/>
    <n v="25068"/>
    <n v="219.7"/>
    <n v="8.7100000000000009"/>
    <n v="18.809999999999999"/>
    <n v="8.89"/>
    <n v="25.223880597014922"/>
    <n v="11.679957469431153"/>
    <n v="48.22"/>
    <n v="7.2"/>
    <n v="5.7"/>
    <n v="24.713160854893136"/>
    <s v="NO"/>
    <n v="-0.27245025727517996"/>
    <n v="0.6741686898623499"/>
    <n v="1.2226319793745972"/>
    <n v="-4.1046655534636767E-2"/>
    <n v="0.83405014166885538"/>
    <n v="-9.5906383459901171E-2"/>
    <x v="0"/>
    <x v="0"/>
    <x v="0"/>
    <x v="0"/>
    <x v="0"/>
    <x v="0"/>
  </r>
  <r>
    <x v="5"/>
    <s v="MAR"/>
    <n v="72262"/>
    <n v="265.93"/>
    <n v="6.46"/>
    <n v="-11.52"/>
    <n v="8.7899999999999991"/>
    <n v="41.1656346749226"/>
    <n v="-23.084201388888889"/>
    <n v="-103.51"/>
    <n v="9.4"/>
    <n v="-8.41"/>
    <n v="30.253697383390222"/>
    <s v="NO"/>
    <n v="1.0957718567459414"/>
    <n v="-2.7314245901334986"/>
    <n v="-4.1140478061211141"/>
    <n v="0.4901453572665424"/>
    <n v="-2.6594229155819664"/>
    <n v="0.65229500525832274"/>
    <x v="0"/>
    <x v="0"/>
    <x v="1"/>
    <x v="0"/>
    <x v="0"/>
    <x v="0"/>
  </r>
  <r>
    <x v="5"/>
    <s v="EXPE"/>
    <n v="21197"/>
    <n v="176.62"/>
    <n v="18.37"/>
    <n v="8.39"/>
    <n v="8.57"/>
    <n v="9.6145890038105613"/>
    <n v="21.051251489868889"/>
    <n v="52.19"/>
    <n v="4.08"/>
    <n v="24.36"/>
    <n v="20.609101516919488"/>
    <s v="NO"/>
    <n v="-1.6121383391295481"/>
    <n v="1.5922066056058488"/>
    <n v="1.3622656625514111"/>
    <n v="-0.79437351005267265"/>
    <n v="5.4540506553683823"/>
    <n v="-0.65012399041191604"/>
    <x v="0"/>
    <x v="0"/>
    <x v="0"/>
    <x v="0"/>
    <x v="1"/>
    <x v="0"/>
  </r>
  <r>
    <x v="5"/>
    <s v="H"/>
    <n v="12603"/>
    <n v="133.97"/>
    <n v="3.85"/>
    <n v="36.270000000000003"/>
    <n v="7.89"/>
    <n v="34.797402597402595"/>
    <n v="3.6936862420733383"/>
    <n v="21.5"/>
    <n v="2.4"/>
    <n v="4.05"/>
    <n v="16.979721166032952"/>
    <s v="NO"/>
    <n v="0.54920992177315431"/>
    <n v="-0.10818855729436434"/>
    <n v="0.28283046439110432"/>
    <n v="-1.2000110471008458"/>
    <n v="0.42552919592372024"/>
    <n v="-1.1402403184521797"/>
    <x v="0"/>
    <x v="0"/>
    <x v="0"/>
    <x v="0"/>
    <x v="0"/>
    <x v="0"/>
  </r>
  <r>
    <x v="5"/>
    <s v="TXRH"/>
    <n v="12951"/>
    <n v="194.78"/>
    <n v="5.91"/>
    <n v="20.78"/>
    <n v="6.48"/>
    <n v="32.957698815566836"/>
    <n v="9.3734359961501443"/>
    <n v="33.94"/>
    <n v="10.78"/>
    <n v="2.31"/>
    <n v="30.058641975308639"/>
    <s v="NO"/>
    <n v="0.39131491315272643"/>
    <n v="0.44821545850171285"/>
    <n v="0.72037278648671255"/>
    <n v="0.82334761984182725"/>
    <n v="-5.2747104984221076E-3"/>
    <n v="0.62595446468918992"/>
    <x v="0"/>
    <x v="0"/>
    <x v="0"/>
    <x v="0"/>
    <x v="0"/>
    <x v="0"/>
  </r>
  <r>
    <x v="5"/>
    <s v="RSTRF"/>
    <n v="23851"/>
    <n v="71.069999999999993"/>
    <n v="3.49"/>
    <n v="14.75"/>
    <n v="5.39"/>
    <n v="20.363896848137532"/>
    <n v="4.818305084745762"/>
    <n v="27.75"/>
    <n v="6.03"/>
    <n v="5.16"/>
    <n v="13.185528756957329"/>
    <s v="NO"/>
    <n v="-0.68956478598393389"/>
    <n v="1.9822191300245071E-3"/>
    <n v="0.5026567918105217"/>
    <n v="-0.3235442259789002"/>
    <n v="0.70035237760681113"/>
    <n v="-1.6526130850485903"/>
    <x v="0"/>
    <x v="0"/>
    <x v="0"/>
    <x v="0"/>
    <x v="0"/>
    <x v="0"/>
  </r>
  <r>
    <x v="5"/>
    <s v="YUM"/>
    <n v="40010"/>
    <n v="143.13999999999999"/>
    <n v="5.15"/>
    <n v="-28.07"/>
    <n v="5.0199999999999996"/>
    <n v="27.794174757281549"/>
    <n v="-5.09939437121482"/>
    <n v="-18.32"/>
    <n v="24.86"/>
    <n v="-0.85"/>
    <n v="28.513944223107568"/>
    <s v="NO"/>
    <n v="-5.1851363801488179E-2"/>
    <n v="-0.9695830863298075"/>
    <n v="-1.1177270328634876"/>
    <n v="4.2229765017693737"/>
    <n v="-0.7876542187133474"/>
    <n v="0.41735643498532926"/>
    <x v="0"/>
    <x v="0"/>
    <x v="0"/>
    <x v="1"/>
    <x v="0"/>
    <x v="0"/>
  </r>
  <r>
    <x v="5"/>
    <s v="IHG"/>
    <n v="17885"/>
    <n v="115.08"/>
    <n v="4.01"/>
    <n v="-14.67"/>
    <n v="3.85"/>
    <n v="28.698254364089777"/>
    <n v="-7.8445807770961142"/>
    <n v="-29.52"/>
    <n v="13.61"/>
    <n v="-2.0499999999999998"/>
    <n v="29.890909090909091"/>
    <s v="NO"/>
    <n v="2.57424633787194E-2"/>
    <n v="-1.2385091493565794"/>
    <n v="-1.5116558115990835"/>
    <n v="1.5066537090360714"/>
    <n v="-1.0847603610734455"/>
    <n v="0.6033035938942819"/>
    <x v="0"/>
    <x v="0"/>
    <x v="0"/>
    <x v="0"/>
    <x v="0"/>
    <x v="0"/>
  </r>
  <r>
    <x v="5"/>
    <s v="QSR"/>
    <n v="23397"/>
    <n v="69.75"/>
    <n v="3.5"/>
    <n v="9.51"/>
    <n v="2.94"/>
    <n v="19.928571428571427"/>
    <n v="7.3343848580441646"/>
    <n v="27.75"/>
    <n v="6.03"/>
    <n v="7.98"/>
    <n v="23.724489795918366"/>
    <s v="NO"/>
    <n v="-0.72692716548966774"/>
    <n v="0.24846436192542759"/>
    <n v="0.5026567918105217"/>
    <n v="-0.3235442259789002"/>
    <n v="1.398551812153042"/>
    <n v="-0.22941783230709364"/>
    <x v="0"/>
    <x v="0"/>
    <x v="0"/>
    <x v="0"/>
    <x v="0"/>
    <x v="0"/>
  </r>
  <r>
    <x v="5"/>
    <s v="FLUT"/>
    <n v="44648"/>
    <n v="263.52"/>
    <n v="4.74"/>
    <n v="55.66"/>
    <n v="2.89"/>
    <n v="55.59493670886075"/>
    <n v="4.7344592166726551"/>
    <n v="5.88"/>
    <n v="2.46"/>
    <n v="2.52"/>
    <n v="91.183391003460201"/>
    <s v="NO"/>
    <n v="2.3341857750790287"/>
    <n v="-6.2315543148880647E-3"/>
    <n v="-0.26655949309550353"/>
    <n v="-1.1855239922062684"/>
    <n v="4.6718864414595072E-2"/>
    <n v="8.8803215052619766"/>
    <x v="0"/>
    <x v="0"/>
    <x v="0"/>
    <x v="0"/>
    <x v="0"/>
    <x v="1"/>
  </r>
  <r>
    <x v="5"/>
    <s v="SBUX"/>
    <n v="95401"/>
    <n v="90.67"/>
    <n v="2.44"/>
    <n v="-6.71"/>
    <n v="2.75"/>
    <n v="37.159836065573771"/>
    <n v="-13.512667660208644"/>
    <n v="-38.99"/>
    <n v="8.98"/>
    <n v="-4.1500000000000004"/>
    <n v="32.970909090909089"/>
    <s v="NO"/>
    <n v="0.75196889661738631"/>
    <n v="-1.7937706380130451"/>
    <n v="-1.8447366629049846"/>
    <n v="0.38873597300449914"/>
    <n v="-1.6046961102036177"/>
    <n v="1.0192308719474836"/>
    <x v="0"/>
    <x v="0"/>
    <x v="0"/>
    <x v="0"/>
    <x v="0"/>
    <x v="0"/>
  </r>
  <r>
    <x v="5"/>
    <s v="YUMC"/>
    <n v="16245"/>
    <n v="44.24"/>
    <n v="2.0299999999999998"/>
    <n v="15.38"/>
    <n v="2.38"/>
    <n v="21.793103448275865"/>
    <n v="2.8764629388816645"/>
    <n v="15.14"/>
    <n v="6.9"/>
    <n v="1.9"/>
    <n v="18.588235294117649"/>
    <s v="YES"/>
    <n v="-0.56690124053857216"/>
    <n v="-0.18824601534902666"/>
    <n v="5.9135193609105241E-2"/>
    <n v="-0.11348193000752479"/>
    <n v="-0.10678597580478903"/>
    <n v="-0.92302444085335256"/>
    <x v="0"/>
    <x v="0"/>
    <x v="0"/>
    <x v="0"/>
    <x v="0"/>
    <x v="0"/>
  </r>
  <r>
    <x v="5"/>
    <s v="LVS"/>
    <n v="29085"/>
    <n v="41.9"/>
    <n v="1.63"/>
    <n v="3.82"/>
    <n v="1.78"/>
    <n v="25.70552147239264"/>
    <n v="10.968586387434556"/>
    <n v="44.69"/>
    <n v="6.87"/>
    <n v="7.87"/>
    <n v="23.539325842696627"/>
    <s v="NO"/>
    <n v="-0.23111279255907793"/>
    <n v="0.60448080855032493"/>
    <n v="1.0984740696481103"/>
    <n v="-0.12072545745481365"/>
    <n v="1.3713170824366996"/>
    <n v="-0.25442261771523922"/>
    <x v="0"/>
    <x v="0"/>
    <x v="0"/>
    <x v="0"/>
    <x v="0"/>
    <x v="0"/>
  </r>
  <r>
    <x v="5"/>
    <s v="CCL"/>
    <n v="31460"/>
    <n v="24.21"/>
    <n v="1.54"/>
    <n v="7"/>
    <n v="1.52"/>
    <n v="15.720779220779221"/>
    <n v="3.4585714285714286"/>
    <n v="25.87"/>
    <n v="4.8099999999999996"/>
    <n v="5.29"/>
    <n v="15.927631578947368"/>
    <s v="NO"/>
    <n v="-1.0880664931804305"/>
    <n v="-0.13122105556802671"/>
    <n v="0.43653303252276099"/>
    <n v="-0.61811434216864514"/>
    <n v="0.73253887636248849"/>
    <n v="-1.2823158893043303"/>
    <x v="0"/>
    <x v="0"/>
    <x v="0"/>
    <x v="0"/>
    <x v="0"/>
    <x v="0"/>
  </r>
  <r>
    <x v="5"/>
    <s v="CUK"/>
    <n v="27426"/>
    <n v="21.91"/>
    <n v="1.54"/>
    <n v="7"/>
    <n v="1.52"/>
    <n v="14.227272727272727"/>
    <n v="3.13"/>
    <n v="25.87"/>
    <n v="4.8099999999999996"/>
    <n v="5.29"/>
    <n v="14.414473684210526"/>
    <s v="NO"/>
    <n v="-1.2162486619595594"/>
    <n v="-0.16340882267902901"/>
    <n v="0.43653303252276099"/>
    <n v="-0.61811434216864514"/>
    <n v="0.73253887636248849"/>
    <n v="-1.4866547348960863"/>
    <x v="0"/>
    <x v="0"/>
    <x v="0"/>
    <x v="0"/>
    <x v="0"/>
    <x v="0"/>
  </r>
  <r>
    <x v="5"/>
    <s v="HTHT"/>
    <n v="10826"/>
    <n v="34.909999999999997"/>
    <n v="2.83"/>
    <n v="4.71"/>
    <n v="1.42"/>
    <n v="12.335689045936395"/>
    <n v="7.4118895966029719"/>
    <n v="28.97"/>
    <n v="5.36"/>
    <n v="5.87"/>
    <n v="24.58450704225352"/>
    <s v="NO"/>
    <n v="-1.3785963315245093"/>
    <n v="0.25605694076156238"/>
    <n v="0.54556689092279187"/>
    <n v="-0.48531633896835019"/>
    <n v="0.87614017850320258"/>
    <n v="-0.11327996466196678"/>
    <x v="0"/>
    <x v="0"/>
    <x v="0"/>
    <x v="0"/>
    <x v="0"/>
    <x v="0"/>
  </r>
  <r>
    <x v="5"/>
    <s v="ARMK"/>
    <n v="10614"/>
    <n v="39.520000000000003"/>
    <n v="1.4"/>
    <n v="11.49"/>
    <n v="1.3"/>
    <n v="28.228571428571431"/>
    <n v="3.4395126196692778"/>
    <n v="11.73"/>
    <n v="3.62"/>
    <n v="4.47"/>
    <n v="30.400000000000002"/>
    <s v="NO"/>
    <n v="-1.4568695344091694E-2"/>
    <n v="-0.13308810927084788"/>
    <n v="-6.0802050630928875E-2"/>
    <n v="-0.90544093091110101"/>
    <n v="0.52951634574975459"/>
    <n v="0.67205190431629913"/>
    <x v="0"/>
    <x v="0"/>
    <x v="0"/>
    <x v="0"/>
    <x v="0"/>
    <x v="0"/>
  </r>
  <r>
    <x v="5"/>
    <s v="CMG"/>
    <n v="67476"/>
    <n v="51.13"/>
    <n v="1.0900000000000001"/>
    <n v="2.59"/>
    <n v="1.1299999999999999"/>
    <n v="46.908256880733944"/>
    <n v="19.741312741312743"/>
    <n v="45.57"/>
    <n v="14.35"/>
    <n v="2.59"/>
    <n v="45.247787610619476"/>
    <s v="NO"/>
    <n v="1.5886399976080836"/>
    <n v="1.4638813779634918"/>
    <n v="1.1294256165487646"/>
    <n v="1.6853273860691953"/>
    <n v="6.4050056052267434E-2"/>
    <n v="2.6771168023672773"/>
    <x v="0"/>
    <x v="0"/>
    <x v="0"/>
    <x v="0"/>
    <x v="0"/>
    <x v="0"/>
  </r>
  <r>
    <x v="5"/>
    <s v="MMYT"/>
    <n v="11157"/>
    <n v="99.69"/>
    <n v="1.65"/>
    <n v="10.63"/>
    <n v="0.83"/>
    <n v="60.418181818181822"/>
    <n v="9.3781749764816542"/>
    <n v="8.1999999999999993"/>
    <n v="4.3"/>
    <n v="1.52"/>
    <n v="120.10843373493977"/>
    <s v="NO"/>
    <n v="2.7481471614902437"/>
    <n v="0.44867970213944325"/>
    <n v="-0.18495996035741585"/>
    <n v="-0.74125430877255483"/>
    <n v="-0.20086958755215345"/>
    <n v="12.786397573728486"/>
    <x v="1"/>
    <x v="0"/>
    <x v="0"/>
    <x v="0"/>
    <x v="0"/>
    <x v="1"/>
  </r>
  <r>
    <x v="5"/>
    <s v="DASH"/>
    <n v="88414"/>
    <n v="217.49"/>
    <n v="4.3499999999999996"/>
    <n v="19.8"/>
    <n v="0.77"/>
    <n v="49.997701149425296"/>
    <n v="10.984343434343435"/>
    <n v="4.34"/>
    <n v="1.42"/>
    <n v="1.62"/>
    <n v="282.45454545454544"/>
    <s v="NO"/>
    <n v="1.8537956353002509"/>
    <n v="0.60602441250416017"/>
    <n v="-0.320724700171648"/>
    <n v="-1.4366329437122802"/>
    <n v="-0.17611074235547858"/>
    <n v="34.709831453616999"/>
    <x v="0"/>
    <x v="0"/>
    <x v="0"/>
    <x v="0"/>
    <x v="0"/>
    <x v="1"/>
  </r>
  <r>
    <x v="5"/>
    <s v="VIK"/>
    <n v="19783"/>
    <n v="48.88"/>
    <n v="2.96"/>
    <n v="-0.6"/>
    <n v="0.69"/>
    <n v="16.513513513513516"/>
    <n v="-81.466666666666669"/>
    <n v="-17.62"/>
    <n v="7.29"/>
    <n v="-40.020000000000003"/>
    <n v="70.840579710144937"/>
    <s v="NO"/>
    <n v="-1.0200290247461972"/>
    <n v="-8.450732577129596"/>
    <n v="-1.0931064841925129"/>
    <n v="-1.9316073192770383E-2"/>
    <n v="-10.485693882250887"/>
    <n v="6.1332013334507565"/>
    <x v="0"/>
    <x v="1"/>
    <x v="0"/>
    <x v="0"/>
    <x v="1"/>
    <x v="1"/>
  </r>
  <r>
    <x v="5"/>
    <s v="DKNG"/>
    <n v="17807"/>
    <n v="36.200000000000003"/>
    <n v="0.51"/>
    <n v="1.76"/>
    <n v="-0.82"/>
    <n v="70.980392156862749"/>
    <n v="20.56818181818182"/>
    <n v="-46.78"/>
    <n v="-7.58"/>
    <n v="5.17"/>
    <n v="-44.146341463414643"/>
    <s v="NO"/>
    <n v="3.6546628239262113"/>
    <n v="1.5448837627212566"/>
    <n v="-2.1187281974005465"/>
    <n v="-3.609691177898922"/>
    <n v="0.70282826212647864"/>
    <n v="-9.3947847494832484"/>
    <x v="1"/>
    <x v="0"/>
    <x v="0"/>
    <x v="1"/>
    <x v="0"/>
    <x v="1"/>
  </r>
  <r>
    <x v="6"/>
    <s v="MGCLY"/>
    <n v="84458"/>
    <n v="11"/>
    <m/>
    <m/>
    <m/>
    <s v=""/>
    <s v=""/>
    <n v="19.96"/>
    <n v="4.3899999999999997"/>
    <n v="2.76"/>
    <s v=""/>
    <s v="NO"/>
    <e v="#VALUE!"/>
    <e v="#VALUE!"/>
    <n v="1.4435373531507498"/>
    <n v="-0.73806614933739967"/>
    <n v="0.8633369230612753"/>
    <e v="#VALUE!"/>
    <x v="1"/>
    <x v="1"/>
    <x v="0"/>
    <x v="0"/>
    <x v="0"/>
    <x v="1"/>
  </r>
  <r>
    <x v="6"/>
    <s v="NVR"/>
    <n v="20806"/>
    <n v="7138.62"/>
    <n v="460.43"/>
    <n v="1343.02"/>
    <n v="486.51"/>
    <n v="15.504246030884174"/>
    <n v="5.3153489895906239"/>
    <n v="38.25"/>
    <n v="20.36"/>
    <n v="1.57"/>
    <n v="14.673120799161374"/>
    <s v="NO"/>
    <n v="-0.5452839861573463"/>
    <n v="1.0572924221948408"/>
    <n v="11.792306854033541"/>
    <n v="3.6798185601522073"/>
    <n v="-0.55372644030826668"/>
    <n v="-0.33328074019413867"/>
    <x v="0"/>
    <x v="0"/>
    <x v="1"/>
    <x v="1"/>
    <x v="0"/>
    <x v="0"/>
  </r>
  <r>
    <x v="6"/>
    <s v="PHM"/>
    <n v="19648"/>
    <n v="101.47"/>
    <n v="7.06"/>
    <n v="61.33"/>
    <n v="14.2"/>
    <n v="14.372521246458923"/>
    <n v="1.6544920919615196"/>
    <n v="25.52"/>
    <n v="13.89"/>
    <n v="1.41"/>
    <n v="7.1457746478873245"/>
    <s v="YES"/>
    <n v="-0.65014259931232254"/>
    <n v="-0.73858883120481011"/>
    <n v="4.5894727509040738"/>
    <n v="1.8899804843602379"/>
    <n v="-0.74425596815627248"/>
    <n v="-0.90398700634179363"/>
    <x v="0"/>
    <x v="0"/>
    <x v="1"/>
    <x v="0"/>
    <x v="0"/>
    <x v="0"/>
  </r>
  <r>
    <x v="6"/>
    <s v="LEN"/>
    <n v="27983"/>
    <n v="110.37"/>
    <n v="5.93"/>
    <n v="86.16"/>
    <n v="13.77"/>
    <n v="18.612141652613829"/>
    <n v="1.2809888579387188"/>
    <n v="15.21"/>
    <n v="8.2200000000000006"/>
    <n v="1.54"/>
    <n v="8.0152505446623099"/>
    <s v="YES"/>
    <n v="-0.2573256157037927"/>
    <n v="-0.92181572993994032"/>
    <n v="-1.2440873121960656"/>
    <n v="0.32145159877438489"/>
    <n v="-0.58945072677976773"/>
    <n v="-0.8380653212509801"/>
    <x v="0"/>
    <x v="0"/>
    <x v="0"/>
    <x v="0"/>
    <x v="0"/>
    <x v="0"/>
  </r>
  <r>
    <x v="6"/>
    <s v="TOL"/>
    <n v="10235"/>
    <n v="109.54"/>
    <n v="7.98"/>
    <n v="80.84"/>
    <n v="13.5"/>
    <n v="13.726817042606516"/>
    <n v="1.355022266204849"/>
    <n v="18.059999999999999"/>
    <n v="8.3699999999999992"/>
    <n v="1.79"/>
    <n v="8.1140740740740753"/>
    <s v="YES"/>
    <n v="-0.70996955393600081"/>
    <n v="-0.88549767278874925"/>
    <n v="0.36848748701202244"/>
    <n v="0.36294707193803138"/>
    <n v="-0.29174833951725881"/>
    <n v="-0.83057274600006303"/>
    <x v="0"/>
    <x v="0"/>
    <x v="0"/>
    <x v="0"/>
    <x v="0"/>
    <x v="0"/>
  </r>
  <r>
    <x v="6"/>
    <s v="DHI"/>
    <n v="36266"/>
    <n v="122.65"/>
    <n v="8.48"/>
    <n v="78.819999999999993"/>
    <n v="13.25"/>
    <n v="14.463443396226415"/>
    <n v="1.5560771377822891"/>
    <n v="17.649999999999999"/>
    <n v="9.89"/>
    <n v="1.47"/>
    <n v="9.2566037735849065"/>
    <s v="YES"/>
    <n v="-0.64171831572244775"/>
    <n v="-0.78686757473590241"/>
    <n v="0.13650304221366569"/>
    <n v="0.78343453332965374"/>
    <n v="-0.67280739521327027"/>
    <n v="-0.74394874257752008"/>
    <x v="0"/>
    <x v="0"/>
    <x v="0"/>
    <x v="0"/>
    <x v="0"/>
    <x v="0"/>
  </r>
  <r>
    <x v="6"/>
    <s v="GRMN"/>
    <n v="39080"/>
    <n v="208.29"/>
    <n v="6.33"/>
    <n v="42.44"/>
    <n v="7.59"/>
    <n v="32.905213270142177"/>
    <n v="4.9078699340245056"/>
    <n v="19.04"/>
    <n v="11.05"/>
    <n v="1.2"/>
    <n v="27.442687747035574"/>
    <s v="NO"/>
    <n v="1.0669819263457709"/>
    <n v="0.85739823962842732"/>
    <n v="0.92298689165199732"/>
    <n v="1.1043328591285231"/>
    <n v="-0.99432597345677987"/>
    <n v="0.63487878464853231"/>
    <x v="0"/>
    <x v="0"/>
    <x v="0"/>
    <x v="0"/>
    <x v="0"/>
    <x v="0"/>
  </r>
  <r>
    <x v="6"/>
    <s v="SGI"/>
    <n v="13571"/>
    <n v="65.84"/>
    <n v="3.09"/>
    <n v="13.14"/>
    <n v="1.5"/>
    <n v="21.307443365695796"/>
    <n v="5.0106544901065453"/>
    <n v="17.899999999999999"/>
    <n v="4.67"/>
    <n v="4.13"/>
    <n v="43.893333333333338"/>
    <s v="NO"/>
    <n v="-7.595642871626603E-3"/>
    <n v="0.90782054854913008"/>
    <n v="0.27795697196876124"/>
    <n v="-0.66060793276525864"/>
    <n v="2.4947460052598243"/>
    <n v="1.8821293201756302"/>
    <x v="0"/>
    <x v="0"/>
    <x v="0"/>
    <x v="0"/>
    <x v="0"/>
    <x v="0"/>
  </r>
  <r>
    <x v="6"/>
    <s v="SONY"/>
    <n v="158786"/>
    <n v="26.59"/>
    <n v="1.85"/>
    <n v="9.0500000000000007"/>
    <n v="1.25"/>
    <n v="14.372972972972972"/>
    <n v="2.9381215469613258"/>
    <n v="14.21"/>
    <n v="2.5499999999999998"/>
    <n v="4.3099999999999996"/>
    <n v="21.271999999999998"/>
    <s v="NO"/>
    <n v="-0.65010074512971527"/>
    <n v="-0.10888760577894914"/>
    <n v="-1.8099030312164479"/>
    <n v="-1.2470772868114683"/>
    <n v="2.7090917240888301"/>
    <n v="0.1670312733343757"/>
    <x v="0"/>
    <x v="0"/>
    <x v="0"/>
    <x v="0"/>
    <x v="1"/>
    <x v="0"/>
  </r>
  <r>
    <x v="6"/>
    <s v="PCRHY"/>
    <n v="26771"/>
    <n v="10.66"/>
    <n v="7.0000000000000007E-2"/>
    <n v="13.41"/>
    <n v="1.05"/>
    <n v="152.28571428571428"/>
    <n v="0.7949291573452647"/>
    <n v="8.01"/>
    <n v="2.71"/>
    <n v="1.99"/>
    <n v="10.152380952380952"/>
    <s v="NO"/>
    <n v="12.128040185838129"/>
    <n v="-1.1602586761512919"/>
    <n v="-5.317960489142818"/>
    <n v="-1.2028154487702449"/>
    <n v="-5.3586429707251783E-2"/>
    <n v="-0.67603295409947284"/>
    <x v="1"/>
    <x v="0"/>
    <x v="1"/>
    <x v="0"/>
    <x v="0"/>
    <x v="0"/>
  </r>
  <r>
    <x v="6"/>
    <s v="HSHCY"/>
    <n v="26311"/>
    <n v="11.81"/>
    <n v="0.25"/>
    <n v="1.74"/>
    <n v="0.28999999999999998"/>
    <n v="47.24"/>
    <n v="6.7873563218390807"/>
    <n v="17.239999999999998"/>
    <n v="4.84"/>
    <n v="2.4900000000000002"/>
    <n v="40.724137931034484"/>
    <s v="NO"/>
    <n v="2.3951545324874801"/>
    <n v="1.7794048802272453"/>
    <n v="-9.5481402584691108E-2"/>
    <n v="-0.61357972984645881"/>
    <n v="0.54181834481776625"/>
    <n v="1.6418481323054319"/>
    <x v="0"/>
    <x v="0"/>
    <x v="0"/>
    <x v="0"/>
    <x v="0"/>
    <x v="0"/>
  </r>
  <r>
    <x v="7"/>
    <s v="AZO"/>
    <n v="62431"/>
    <n v="3697.48"/>
    <n v="118.61"/>
    <n v="-266.18"/>
    <n v="149.46"/>
    <n v="31.173425512182785"/>
    <n v="-13.890900894131791"/>
    <n v="-56.09"/>
    <n v="13.44"/>
    <n v="-4.0599999999999996"/>
    <n v="24.738926803158034"/>
    <s v="NO"/>
    <n v="0.10425906969682358"/>
    <n v="-1.8896872688931479"/>
    <n v="-3.681387051724581"/>
    <n v="0.5312420669196174"/>
    <n v="-2.9457619585396002"/>
    <n v="0.18649352695055244"/>
    <x v="0"/>
    <x v="0"/>
    <x v="1"/>
    <x v="0"/>
    <x v="1"/>
    <x v="0"/>
  </r>
  <r>
    <x v="7"/>
    <s v="ORLY"/>
    <n v="77933"/>
    <n v="1348.1"/>
    <n v="35.22"/>
    <n v="-23.77"/>
    <n v="40.840000000000003"/>
    <n v="38.276547416240774"/>
    <n v="-56.71434581405132"/>
    <n v="-173.02"/>
    <n v="13.73"/>
    <n v="-11.27"/>
    <n v="33.009304603330065"/>
    <s v="NO"/>
    <n v="0.51155334780869732"/>
    <n v="-5.6077785896134893"/>
    <n v="-7.9319895566012724"/>
    <n v="0.58472487481393587"/>
    <n v="-6.0080195496311264"/>
    <n v="0.95177028324242186"/>
    <x v="0"/>
    <x v="1"/>
    <x v="1"/>
    <x v="0"/>
    <x v="1"/>
    <x v="0"/>
  </r>
  <r>
    <x v="7"/>
    <s v="ULTA"/>
    <n v="21190"/>
    <n v="468.32"/>
    <n v="22.29"/>
    <n v="53.96"/>
    <n v="25.56"/>
    <n v="21.01031852848811"/>
    <n v="8.6790214974054845"/>
    <n v="50.44"/>
    <n v="16.850000000000001"/>
    <n v="2.46"/>
    <n v="18.322378716744915"/>
    <s v="NO"/>
    <n v="-0.4784952991860833"/>
    <n v="6.9917632352712311E-2"/>
    <n v="0.19115793112425142"/>
    <n v="1.1601261183666018"/>
    <n v="-0.17656369308651354"/>
    <n v="-0.40724417461598206"/>
    <x v="0"/>
    <x v="0"/>
    <x v="0"/>
    <x v="0"/>
    <x v="0"/>
    <x v="0"/>
  </r>
  <r>
    <x v="7"/>
    <s v="HD"/>
    <n v="366422"/>
    <n v="365.2"/>
    <n v="15.34"/>
    <n v="7.99"/>
    <n v="14.73"/>
    <n v="23.807040417209908"/>
    <n v="45.707133917396746"/>
    <n v="299.52"/>
    <n v="15.12"/>
    <n v="12.46"/>
    <n v="24.792939579090291"/>
    <s v="NO"/>
    <n v="-0.31813076678296304"/>
    <n v="3.2848365551268803"/>
    <n v="9.2456355836914828"/>
    <n v="0.84107350575566808"/>
    <n v="4.0706729103691419"/>
    <n v="0.19149145122468869"/>
    <x v="0"/>
    <x v="1"/>
    <x v="1"/>
    <x v="0"/>
    <x v="1"/>
    <x v="0"/>
  </r>
  <r>
    <x v="7"/>
    <s v="PAG"/>
    <n v="10864"/>
    <n v="167.08"/>
    <n v="9.93"/>
    <n v="80.92"/>
    <n v="14.19"/>
    <n v="16.825780463242701"/>
    <n v="2.0647553138902621"/>
    <n v="18.559999999999999"/>
    <n v="4.93"/>
    <n v="3.14"/>
    <n v="11.774489076814659"/>
    <s v="NO"/>
    <n v="-0.71843745892039723"/>
    <n v="-0.50435764456277743"/>
    <n v="-0.96773378063037885"/>
    <n v="-1.0382017095653779"/>
    <n v="0.11224839594847104"/>
    <n v="-1.0131352070786985"/>
    <x v="0"/>
    <x v="0"/>
    <x v="0"/>
    <x v="0"/>
    <x v="0"/>
    <x v="0"/>
  </r>
  <r>
    <x v="7"/>
    <s v="DKS"/>
    <n v="14355"/>
    <n v="182.36"/>
    <n v="6.33"/>
    <n v="38.47"/>
    <n v="14"/>
    <n v="28.808846761453399"/>
    <n v="4.7403171302313494"/>
    <n v="40.22"/>
    <n v="9.3699999999999992"/>
    <n v="3.42"/>
    <n v="13.025714285714287"/>
    <s v="NO"/>
    <n v="-3.1326298022516512E-2"/>
    <n v="-0.2720553814918959"/>
    <n v="-0.18035628763774109"/>
    <n v="-0.21936147835581529"/>
    <n v="0.23117102084522928"/>
    <n v="-0.89735650961249502"/>
    <x v="0"/>
    <x v="0"/>
    <x v="0"/>
    <x v="0"/>
    <x v="0"/>
    <x v="0"/>
  </r>
  <r>
    <x v="7"/>
    <s v="LOW"/>
    <n v="126508"/>
    <n v="223.61"/>
    <n v="11.84"/>
    <n v="-23.67"/>
    <n v="12.09"/>
    <n v="18.88597972972973"/>
    <n v="-9.4469792986903247"/>
    <n v="-49.12"/>
    <n v="14.44"/>
    <n v="-3.42"/>
    <n v="18.495450785773368"/>
    <s v="NO"/>
    <n v="-0.60030526516893323"/>
    <n v="-1.5038494096347279"/>
    <n v="-3.4280158085962942"/>
    <n v="0.71566554241726665"/>
    <n v="-2.6739388159184383"/>
    <n v="-0.39122942477129385"/>
    <x v="0"/>
    <x v="0"/>
    <x v="1"/>
    <x v="0"/>
    <x v="0"/>
    <x v="0"/>
  </r>
  <r>
    <x v="7"/>
    <s v="WSM"/>
    <n v="19979"/>
    <n v="156.74"/>
    <n v="8.1"/>
    <n v="17.57"/>
    <n v="8.66"/>
    <n v="19.350617283950619"/>
    <n v="8.9208878770631763"/>
    <n v="50.16"/>
    <n v="17.059999999999999"/>
    <n v="2.39"/>
    <n v="18.099307159353348"/>
    <s v="NO"/>
    <n v="-0.57366286485732521"/>
    <n v="9.0917374168462642E-2"/>
    <n v="0.18097945937734747"/>
    <n v="1.1988550482211076"/>
    <n v="-0.20629434931070306"/>
    <n v="-0.4278854901624185"/>
    <x v="0"/>
    <x v="0"/>
    <x v="0"/>
    <x v="0"/>
    <x v="0"/>
    <x v="0"/>
  </r>
  <r>
    <x v="7"/>
    <s v="BURL"/>
    <n v="14401"/>
    <n v="246.94"/>
    <n v="-5.35"/>
    <n v="21.13"/>
    <n v="8.16"/>
    <n v="-46.157009345794393"/>
    <n v="11.686701372456223"/>
    <n v="44.13"/>
    <n v="5.7"/>
    <n v="6.32"/>
    <n v="30.262254901960784"/>
    <s v="NO"/>
    <n v="-4.3298818710018567"/>
    <n v="0.33105562486694018"/>
    <n v="-3.8221200029189988E-2"/>
    <n v="-0.896195633432188"/>
    <n v="1.4628696358473692"/>
    <n v="0.69757956358839301"/>
    <x v="1"/>
    <x v="0"/>
    <x v="0"/>
    <x v="0"/>
    <x v="0"/>
    <x v="0"/>
  </r>
  <r>
    <x v="7"/>
    <s v="ROST"/>
    <n v="46066"/>
    <n v="142.16"/>
    <n v="4.91"/>
    <n v="17.16"/>
    <n v="6.33"/>
    <n v="28.953156822810588"/>
    <n v="8.2843822843822839"/>
    <n v="39.57"/>
    <n v="11.29"/>
    <n v="2.57"/>
    <n v="22.458135860979461"/>
    <s v="NO"/>
    <n v="-2.3051533340359299E-2"/>
    <n v="3.5653582940028447E-2"/>
    <n v="-0.20398488276448223"/>
    <n v="0.13473159459967132"/>
    <n v="-0.1298440904485014"/>
    <n v="-2.4553215554244431E-2"/>
    <x v="0"/>
    <x v="0"/>
    <x v="0"/>
    <x v="0"/>
    <x v="0"/>
    <x v="0"/>
  </r>
  <r>
    <x v="7"/>
    <s v="NCLTY"/>
    <n v="11233"/>
    <n v="9.81"/>
    <n v="-0.91"/>
    <n v="56.96"/>
    <n v="4.54"/>
    <n v="-10.780219780219781"/>
    <n v="0.17222612359550563"/>
    <n v="8.26"/>
    <n v="5.81"/>
    <n v="1.4"/>
    <n v="2.1607929515418505"/>
    <s v="NO"/>
    <n v="-2.3013704414296425"/>
    <n v="-0.66867409247590937"/>
    <n v="-1.3421561341772013"/>
    <n v="-0.87590905112744666"/>
    <n v="-0.62677077305281292"/>
    <n v="-1.9027122450915754"/>
    <x v="0"/>
    <x v="0"/>
    <x v="0"/>
    <x v="0"/>
    <x v="0"/>
    <x v="0"/>
  </r>
  <r>
    <x v="7"/>
    <s v="TJX"/>
    <n v="141683"/>
    <n v="126.35"/>
    <n v="3.36"/>
    <n v="7.51"/>
    <n v="4.25"/>
    <n v="37.604166666666664"/>
    <n v="16.824234354194406"/>
    <n v="60.36"/>
    <n v="12.75"/>
    <n v="3.75"/>
    <n v="29.72941176470588"/>
    <s v="NO"/>
    <n v="0.47299891558676765"/>
    <n v="0.77711541349524671"/>
    <n v="0.55176664444313273"/>
    <n v="0.40398986882623944"/>
    <n v="0.3713298287592659"/>
    <n v="0.64827438339670529"/>
    <x v="0"/>
    <x v="0"/>
    <x v="0"/>
    <x v="0"/>
    <x v="0"/>
    <x v="0"/>
  </r>
  <r>
    <x v="7"/>
    <s v="BBY"/>
    <n v="14031"/>
    <n v="72.75"/>
    <n v="5.87"/>
    <n v="13.03"/>
    <n v="4.0999999999999996"/>
    <n v="12.393526405451448"/>
    <n v="5.5832693783576364"/>
    <n v="30.21"/>
    <n v="7.51"/>
    <n v="5.1100000000000003"/>
    <n v="17.743902439024392"/>
    <s v="NO"/>
    <n v="-0.97258369789247345"/>
    <n v="-0.19886712110319998"/>
    <n v="-0.54423665258955567"/>
    <n v="-0.56238914278144281"/>
    <n v="0.94895400682923503"/>
    <n v="-0.4607718924666161"/>
    <x v="0"/>
    <x v="0"/>
    <x v="0"/>
    <x v="0"/>
    <x v="0"/>
    <x v="0"/>
  </r>
  <r>
    <x v="7"/>
    <s v="CVNA"/>
    <n v="44174"/>
    <n v="339.91"/>
    <n v="7.49"/>
    <n v="11.19"/>
    <n v="2.97"/>
    <n v="45.381842456608815"/>
    <n v="30.376228775692585"/>
    <n v="99.59"/>
    <n v="9.84"/>
    <n v="5.9"/>
    <n v="114.44781144781145"/>
    <s v="NO"/>
    <n v="0.9189722339445634"/>
    <n v="1.9537501501739127"/>
    <n v="1.9778432395539907"/>
    <n v="-0.13268244487191999"/>
    <n v="1.2844856985022317"/>
    <n v="8.4874594453386845"/>
    <x v="0"/>
    <x v="0"/>
    <x v="0"/>
    <x v="0"/>
    <x v="0"/>
    <x v="1"/>
  </r>
  <r>
    <x v="7"/>
    <s v="TSCO"/>
    <n v="25662"/>
    <n v="50.51"/>
    <n v="1.1399999999999999"/>
    <n v="4.21"/>
    <n v="2.0099999999999998"/>
    <n v="44.307017543859651"/>
    <n v="11.997624703087885"/>
    <n v="49.62"/>
    <n v="9.11"/>
    <n v="4.6399999999999997"/>
    <n v="25.129353233830848"/>
    <s v="NO"/>
    <n v="0.8573415815570925"/>
    <n v="0.3580511489120714"/>
    <n v="0.16134954957974712"/>
    <n v="-0.26731158198520405"/>
    <n v="0.74933388646681898"/>
    <n v="0.22262056729321839"/>
    <x v="0"/>
    <x v="0"/>
    <x v="0"/>
    <x v="0"/>
    <x v="0"/>
    <x v="0"/>
  </r>
  <r>
    <x v="7"/>
    <s v="CHWY"/>
    <n v="18778"/>
    <n v="46.51"/>
    <n v="1.07"/>
    <n v="0.63"/>
    <n v="0.91"/>
    <n v="43.467289719626166"/>
    <n v="73.825396825396822"/>
    <n v="101.78"/>
    <n v="2.27"/>
    <n v="11.53"/>
    <n v="51.109890109890109"/>
    <s v="NO"/>
    <n v="0.80919143819741868"/>
    <n v="5.726169088449943"/>
    <n v="2.0574534292887035"/>
    <n v="-1.5287681543891252"/>
    <n v="3.6756799062477645"/>
    <n v="2.6266583836573463"/>
    <x v="0"/>
    <x v="1"/>
    <x v="0"/>
    <x v="0"/>
    <x v="1"/>
    <x v="0"/>
  </r>
  <r>
    <x v="7"/>
    <s v="GME"/>
    <n v="13330"/>
    <n v="30.34"/>
    <n v="0.33"/>
    <n v="11.03"/>
    <n v="0.33"/>
    <n v="91.939393939393938"/>
    <n v="2.7506799637352675"/>
    <n v="4.1900000000000004"/>
    <n v="-0.25"/>
    <n v="1.19"/>
    <n v="91.939393939393938"/>
    <s v="NO"/>
    <n v="3.5885905479712568"/>
    <n v="-0.44480310634134262"/>
    <n v="-1.4901074913554115"/>
    <n v="-1.9935153126432013"/>
    <n v="-0.71596274172538166"/>
    <n v="6.4047046841539466"/>
    <x v="1"/>
    <x v="0"/>
    <x v="0"/>
    <x v="0"/>
    <x v="0"/>
    <x v="1"/>
  </r>
  <r>
    <x v="7"/>
    <s v="PMRTY"/>
    <n v="37853"/>
    <n v="32.299999999999997"/>
    <n v="0.46"/>
    <n v="1.1000000000000001"/>
    <n v="0.32"/>
    <n v="70.217391304347814"/>
    <n v="29.36363636363636"/>
    <n v="35.450000000000003"/>
    <n v="21.1"/>
    <n v="1.39"/>
    <n v="100.93749999999999"/>
    <s v="NO"/>
    <n v="2.3430470388093307"/>
    <n v="1.865833097593627"/>
    <n v="-0.35375382418321105"/>
    <n v="1.9439258892316111"/>
    <n v="-0.63101800965626864"/>
    <n v="7.2373197816997399"/>
    <x v="0"/>
    <x v="0"/>
    <x v="0"/>
    <x v="0"/>
    <x v="0"/>
    <x v="1"/>
  </r>
  <r>
    <x v="8"/>
    <s v="LULU"/>
    <n v="39668"/>
    <n v="259.04000000000002"/>
    <n v="12.8"/>
    <n v="35.65"/>
    <n v="14.64"/>
    <n v="20.237500000000001"/>
    <n v="7.2661991584852741"/>
    <n v="42.42"/>
    <n v="21.31"/>
    <n v="1.76"/>
    <n v="17.693989071038253"/>
    <s v="NO"/>
    <n v="-0.35004466157367298"/>
    <n v="0.18418612432269152"/>
    <n v="1.2042760189374169"/>
    <n v="7.2648160330904341"/>
    <n v="-0.29715322775700831"/>
    <n v="-0.84545966781131299"/>
    <x v="0"/>
    <x v="0"/>
    <x v="0"/>
    <x v="1"/>
    <x v="0"/>
    <x v="0"/>
  </r>
  <r>
    <x v="8"/>
    <s v="RL"/>
    <n v="16698"/>
    <n v="270.32"/>
    <n v="16.28"/>
    <n v="42.09"/>
    <n v="11.61"/>
    <n v="16.604422604422602"/>
    <n v="6.4224281301971962"/>
    <n v="29.49"/>
    <n v="8.4600000000000009"/>
    <n v="2.72"/>
    <n v="23.28337639965547"/>
    <s v="NO"/>
    <n v="-0.73132673131946202"/>
    <n v="-0.13678390149437106"/>
    <n v="0.25313172462665789"/>
    <n v="0.40999381367907844"/>
    <n v="1.7047211487112577"/>
    <n v="-1.6057137022956535E-2"/>
    <x v="0"/>
    <x v="0"/>
    <x v="0"/>
    <x v="0"/>
    <x v="0"/>
    <x v="0"/>
  </r>
  <r>
    <x v="8"/>
    <s v="DECK"/>
    <n v="15768"/>
    <n v="110.91"/>
    <n v="6.31"/>
    <n v="16.73"/>
    <n v="6.33"/>
    <n v="17.576862123613314"/>
    <n v="6.6294082486551105"/>
    <n v="41.82"/>
    <n v="22.06"/>
    <n v="1.42"/>
    <n v="17.521327014218009"/>
    <s v="YES"/>
    <n v="-0.62927172059192205"/>
    <n v="-5.8048780545926291E-2"/>
    <n v="1.1601393927513026"/>
    <n v="7.6649029330560774"/>
    <n v="-1.0061504027561858"/>
    <n v="-0.87108078484584517"/>
    <x v="0"/>
    <x v="0"/>
    <x v="0"/>
    <x v="1"/>
    <x v="0"/>
    <x v="0"/>
  </r>
  <r>
    <x v="8"/>
    <s v="TPR"/>
    <n v="16314"/>
    <n v="79.260000000000005"/>
    <n v="4.0199999999999996"/>
    <n v="7.19"/>
    <n v="3.79"/>
    <n v="19.716417910447763"/>
    <n v="11.023643949930459"/>
    <n v="40.270000000000003"/>
    <n v="8.17"/>
    <n v="4.8899999999999997"/>
    <n v="20.912928759894459"/>
    <s v="NO"/>
    <n v="-0.40473087823775866"/>
    <n v="1.6135160151145689"/>
    <n v="1.0461197751038414"/>
    <n v="0.25529354569236251"/>
    <n v="6.2297913538530656"/>
    <n v="-0.36780503995554137"/>
    <x v="0"/>
    <x v="0"/>
    <x v="0"/>
    <x v="0"/>
    <x v="1"/>
    <x v="0"/>
  </r>
  <r>
    <x v="8"/>
    <s v="NKE"/>
    <n v="89430"/>
    <n v="61.91"/>
    <n v="3.56"/>
    <n v="9.48"/>
    <n v="3.01"/>
    <n v="17.390449438202246"/>
    <n v="6.5305907172995772"/>
    <n v="31.93"/>
    <n v="8.26"/>
    <n v="2.7"/>
    <n v="20.568106312292358"/>
    <s v="NO"/>
    <n v="-0.64883524946332016"/>
    <n v="-9.5638914038320894E-2"/>
    <n v="0.43262067111685526"/>
    <n v="0.30330397368823964"/>
    <n v="1.6630154325348354"/>
    <n v="-0.41897283239846961"/>
    <x v="0"/>
    <x v="0"/>
    <x v="0"/>
    <x v="0"/>
    <x v="0"/>
    <x v="0"/>
  </r>
  <r>
    <x v="8"/>
    <s v="MONRY"/>
    <n v="16986"/>
    <n v="61.174999999999997"/>
    <n v="3.04"/>
    <n v="13.73"/>
    <n v="2.44"/>
    <n v="20.123355263157894"/>
    <n v="4.4555717407137649"/>
    <n v="18.809999999999999"/>
    <n v="10.91"/>
    <n v="1.53"/>
    <n v="25.071721311475411"/>
    <s v="YES"/>
    <n v="-0.36202385628246897"/>
    <n v="-0.88497496867499736"/>
    <n v="-0.53250022148617293"/>
    <n v="1.7169443535668465"/>
    <n v="-0.77676896378586358"/>
    <n v="0.24931323518076917"/>
    <x v="0"/>
    <x v="0"/>
    <x v="0"/>
    <x v="0"/>
    <x v="0"/>
    <x v="0"/>
  </r>
  <r>
    <x v="8"/>
    <s v="BIRK"/>
    <n v="10102"/>
    <n v="56.1"/>
    <n v="1.83"/>
    <n v="16.09"/>
    <n v="1.45"/>
    <n v="30.655737704918032"/>
    <n v="3.4866376631448106"/>
    <n v="9.44"/>
    <n v="6.48"/>
    <n v="1.8"/>
    <n v="38.689655172413794"/>
    <s v="NO"/>
    <n v="0.74332242167929929"/>
    <n v="-1.2535569482237887"/>
    <n v="-1.2217672004259881"/>
    <n v="-0.64623560223022036"/>
    <n v="-0.21374179540416385"/>
    <n v="2.2700622268533515"/>
    <x v="0"/>
    <x v="0"/>
    <x v="0"/>
    <x v="0"/>
    <x v="0"/>
    <x v="0"/>
  </r>
  <r>
    <x v="8"/>
    <s v="ONON"/>
    <n v="19369"/>
    <n v="56.46"/>
    <n v="1.22"/>
    <n v="5.03"/>
    <n v="0.71"/>
    <n v="46.278688524590166"/>
    <n v="11.224652087475148"/>
    <n v="15.73"/>
    <n v="7.25"/>
    <n v="1.66"/>
    <n v="79.521126760563391"/>
    <s v="NO"/>
    <n v="2.3829106757893017"/>
    <n v="1.68997939787382"/>
    <n v="-0.75906823590822514"/>
    <n v="-0.23547971826549335"/>
    <n v="-0.50568180863911949"/>
    <n v="8.3289956805494896"/>
    <x v="0"/>
    <x v="0"/>
    <x v="0"/>
    <x v="0"/>
    <x v="0"/>
    <x v="1"/>
  </r>
  <r>
    <x v="8"/>
    <s v="AS"/>
    <n v="20173"/>
    <n v="37.67"/>
    <n v="0.37"/>
    <n v="9.42"/>
    <n v="0.38"/>
    <n v="101.81081081081082"/>
    <n v="3.9989384288747347"/>
    <n v="4.53"/>
    <n v="4.3099999999999996"/>
    <n v="1.63"/>
    <n v="99.131578947368425"/>
    <s v="NO"/>
    <n v="8.2108631847122275"/>
    <n v="-1.0586780243336757"/>
    <n v="-1.582951924715688"/>
    <n v="-1.8038203661308156"/>
    <n v="-0.56824038290375289"/>
    <n v="11.238967331711482"/>
    <x v="1"/>
    <x v="0"/>
    <x v="0"/>
    <x v="0"/>
    <x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0">
  <r>
    <x v="0"/>
    <s v="ALV"/>
    <n v="7949"/>
    <n v="105.22"/>
    <n v="5.99"/>
    <n v="30.41"/>
    <n v="8.68"/>
    <n v="17.565943238731219"/>
    <n v="3.4600460374876683"/>
    <n v="28.66"/>
    <n v="7.91"/>
    <n v="3.45"/>
    <n v="12.122119815668203"/>
    <s v="NO"/>
    <n v="1.0534427804822912"/>
    <n v="1.8543793059679134"/>
    <n v="1.3562844283222835"/>
    <n v="0.81643696732688698"/>
    <n v="0.7890916401565462"/>
    <n v="6.2800716856489094E-2"/>
    <x v="0"/>
    <x v="0"/>
    <x v="0"/>
    <x v="0"/>
    <x v="0"/>
    <x v="0"/>
  </r>
  <r>
    <x v="0"/>
    <s v="LEA"/>
    <n v="4834"/>
    <n v="90.4"/>
    <n v="8.64"/>
    <n v="87.13"/>
    <n v="8.59"/>
    <n v="10.462962962962964"/>
    <n v="1.0375301273958455"/>
    <n v="11.57"/>
    <n v="4.38"/>
    <n v="3.14"/>
    <n v="10.523864959254949"/>
    <s v="NO"/>
    <n v="0.28848532434487417"/>
    <n v="-1.0407387327674198"/>
    <n v="0.31607218213562638"/>
    <n v="-0.46709480487697869"/>
    <n v="0.53294670984394998"/>
    <n v="-9.3782003632291805E-2"/>
    <x v="0"/>
    <x v="0"/>
    <x v="0"/>
    <x v="0"/>
    <x v="0"/>
    <x v="0"/>
  </r>
  <r>
    <x v="0"/>
    <s v="DORM"/>
    <n v="3945"/>
    <n v="127.61"/>
    <n v="6.22"/>
    <n v="43.79"/>
    <n v="6.97"/>
    <n v="20.516077170418008"/>
    <n v="2.914135647408084"/>
    <n v="17.09"/>
    <n v="8.59"/>
    <n v="1.82"/>
    <n v="18.308464849354376"/>
    <s v="NO"/>
    <n v="1.371158282994188"/>
    <n v="1.2019687227108811"/>
    <n v="0.65205647698351099"/>
    <n v="1.0636895466749403"/>
    <n v="-0.55773492890645937"/>
    <n v="0.66888348980717161"/>
    <x v="0"/>
    <x v="0"/>
    <x v="0"/>
    <x v="0"/>
    <x v="0"/>
    <x v="0"/>
  </r>
  <r>
    <x v="0"/>
    <s v="LCII"/>
    <n v="2199"/>
    <n v="90.77"/>
    <n v="14.84"/>
    <n v="54.16"/>
    <n v="6.1"/>
    <n v="6.1165768194070083"/>
    <n v="1.6759601181683901"/>
    <n v="11.44"/>
    <n v="4.97"/>
    <n v="2.27"/>
    <n v="14.88032786885246"/>
    <s v="NO"/>
    <n v="-0.179599952353416"/>
    <n v="-0.27775914817300229"/>
    <n v="0.30815950852507829"/>
    <n v="-0.25256683161910887"/>
    <n v="-0.18591164296881985"/>
    <n v="0.33302528017230587"/>
    <x v="0"/>
    <x v="0"/>
    <x v="0"/>
    <x v="0"/>
    <x v="0"/>
    <x v="0"/>
  </r>
  <r>
    <x v="0"/>
    <s v="PATK"/>
    <n v="2870"/>
    <n v="91.07"/>
    <n v="6.85"/>
    <n v="34.03"/>
    <n v="4.16"/>
    <n v="13.294890510948905"/>
    <n v="2.6761680869820745"/>
    <n v="12.87"/>
    <n v="5.31"/>
    <n v="2.79"/>
    <n v="21.89182692307692"/>
    <s v="NO"/>
    <n v="0.59347055715808117"/>
    <n v="0.91757670945179515"/>
    <n v="0.39519891824110637"/>
    <n v="-0.12894054194508223"/>
    <n v="0.24375082078134142"/>
    <n v="1.0199492661746399"/>
    <x v="0"/>
    <x v="0"/>
    <x v="0"/>
    <x v="0"/>
    <x v="0"/>
    <x v="0"/>
  </r>
  <r>
    <x v="0"/>
    <s v="MOD"/>
    <n v="4757"/>
    <n v="90.69"/>
    <n v="2.46"/>
    <n v="17.37"/>
    <n v="3.42"/>
    <n v="36.865853658536587"/>
    <n v="5.2210708117443865"/>
    <n v="22.17"/>
    <n v="10.25"/>
    <n v="2.11"/>
    <n v="26.517543859649123"/>
    <s v="NO"/>
    <n v="3.1319520547907453"/>
    <n v="3.9589576781352172"/>
    <n v="0.96125941499569478"/>
    <n v="1.667276725671659"/>
    <n v="-0.31811547796886958"/>
    <n v="1.4731356520836867"/>
    <x v="1"/>
    <x v="1"/>
    <x v="0"/>
    <x v="0"/>
    <x v="0"/>
    <x v="0"/>
  </r>
  <r>
    <x v="0"/>
    <s v="LIMAF"/>
    <n v="2742"/>
    <n v="45.38"/>
    <n v="9.16"/>
    <n v="65.62"/>
    <n v="2.92"/>
    <n v="4.9541484716157207"/>
    <n v="0.69155745199634255"/>
    <n v="4.62"/>
    <n v="5.38"/>
    <n v="1.89"/>
    <n v="15.54109589041096"/>
    <s v="NO"/>
    <n v="-0.3047879998131518"/>
    <n v="-1.4542062890736482"/>
    <n v="-0.10695152242828636"/>
    <n v="-0.10348807054160603"/>
    <n v="-0.4998957510939378"/>
    <n v="0.39776142285471355"/>
    <x v="0"/>
    <x v="0"/>
    <x v="0"/>
    <x v="0"/>
    <x v="0"/>
    <x v="0"/>
  </r>
  <r>
    <x v="0"/>
    <s v="GNTX"/>
    <n v="4849"/>
    <n v="21.64"/>
    <n v="1.64"/>
    <n v="11.01"/>
    <n v="1.72"/>
    <n v="13.195121951219514"/>
    <n v="1.9654859218891918"/>
    <n v="16.11"/>
    <n v="10.35"/>
    <n v="1.1200000000000001"/>
    <n v="12.58139534883721"/>
    <s v="NO"/>
    <n v="0.58272595409147132"/>
    <n v="6.8249467720739004E-2"/>
    <n v="0.59240709130399516"/>
    <n v="1.7036373991051961"/>
    <n v="-1.1361267070316763"/>
    <n v="0.10779642711444302"/>
    <x v="0"/>
    <x v="0"/>
    <x v="0"/>
    <x v="0"/>
    <x v="0"/>
    <x v="0"/>
  </r>
  <r>
    <x v="0"/>
    <s v="BWA"/>
    <n v="7271"/>
    <n v="32.64"/>
    <n v="4.3600000000000003"/>
    <n v="26.03"/>
    <n v="1.4"/>
    <n v="7.4862385321100913"/>
    <n v="1.2539377641183249"/>
    <n v="6.22"/>
    <n v="5.87"/>
    <n v="2.42"/>
    <n v="23.314285714285717"/>
    <s v="NO"/>
    <n v="-3.2093849444402134E-2"/>
    <n v="-0.78211271087615986"/>
    <n v="-9.5647702984647531E-3"/>
    <n v="7.4679229282726661E-2"/>
    <n v="-6.1970547656273405E-2"/>
    <n v="1.1593090600253555"/>
    <x v="0"/>
    <x v="0"/>
    <x v="0"/>
    <x v="0"/>
    <x v="0"/>
    <x v="0"/>
  </r>
  <r>
    <x v="0"/>
    <s v="GTX"/>
    <n v="2146"/>
    <n v="10.23"/>
    <n v="1.38"/>
    <n v="-3.43"/>
    <n v="1.28"/>
    <n v="7.4130434782608701"/>
    <n v="-2.9825072886297375"/>
    <n v="-38.75"/>
    <n v="12.97"/>
    <n v="-3.25"/>
    <n v="7.9921875"/>
    <s v="NO"/>
    <n v="-3.9976611330332548E-2"/>
    <n v="-5.8450344614528502"/>
    <n v="-2.7467411723472637"/>
    <n v="2.6562870430638728"/>
    <n v="-4.7469439504705315"/>
    <n v="-0.34181312481398451"/>
    <x v="0"/>
    <x v="1"/>
    <x v="0"/>
    <x v="1"/>
    <x v="1"/>
    <x v="0"/>
  </r>
  <r>
    <x v="0"/>
    <s v="GT"/>
    <n v="3260"/>
    <n v="11.78"/>
    <n v="-1.8"/>
    <n v="17.260000000000002"/>
    <n v="0.84"/>
    <n v="-6.5444444444444443"/>
    <n v="0.68250289687137877"/>
    <n v="4.78"/>
    <n v="1.9"/>
    <n v="4.4000000000000004"/>
    <n v="14.023809523809524"/>
    <s v="NO"/>
    <n v="-1.5431321940433322"/>
    <n v="-1.465027273062155"/>
    <n v="-9.7212847215304196E-2"/>
    <n v="-1.3688395060287029"/>
    <n v="1.5740519104693409"/>
    <n v="0.24911127104090272"/>
    <x v="0"/>
    <x v="0"/>
    <x v="0"/>
    <x v="0"/>
    <x v="0"/>
    <x v="0"/>
  </r>
  <r>
    <x v="0"/>
    <s v="MNTHY"/>
    <n v="3165"/>
    <n v="51.03"/>
    <n v="0.16"/>
    <n v="2.41"/>
    <n v="0.28000000000000003"/>
    <n v="318.9375"/>
    <n v="21.174273858921161"/>
    <n v="11.76"/>
    <n v="4.17"/>
    <n v="1.9"/>
    <n v="182.25"/>
    <s v="NO"/>
    <n v="33.509737245883805"/>
    <n v="23.024428301087006"/>
    <n v="0.32763685895104266"/>
    <n v="-0.54345221908740693"/>
    <n v="-0.49163301140643467"/>
    <n v="16.730409267118937"/>
    <x v="1"/>
    <x v="1"/>
    <x v="0"/>
    <x v="0"/>
    <x v="0"/>
    <x v="1"/>
  </r>
  <r>
    <x v="0"/>
    <s v="DAN"/>
    <n v="2424"/>
    <n v="17.329999999999998"/>
    <n v="0.89"/>
    <n v="9.4600000000000009"/>
    <n v="-0.24"/>
    <n v="19.471910112359549"/>
    <n v="1.8319238900634247"/>
    <n v="-1.1100000000000001"/>
    <n v="2.44"/>
    <n v="5.66"/>
    <n v="-72.208333333333329"/>
    <s v="NO"/>
    <n v="1.25870641835368"/>
    <n v="-9.1368822511362885E-2"/>
    <n v="-0.45571782849321013"/>
    <n v="-1.1724918694876016"/>
    <n v="2.6151571110947316"/>
    <n v="-8.1991430658490003"/>
    <x v="0"/>
    <x v="0"/>
    <x v="0"/>
    <x v="0"/>
    <x v="1"/>
    <x v="1"/>
  </r>
  <r>
    <x v="0"/>
    <s v="SFFLY"/>
    <n v="5386"/>
    <n v="7"/>
    <n v="0.61"/>
    <n v="4.2"/>
    <n v="-0.89"/>
    <n v="11.475409836065573"/>
    <n v="1.6666666666666665"/>
    <n v="-18.149999999999999"/>
    <n v="2.12"/>
    <n v="5.39"/>
    <n v="-7.8651685393258424"/>
    <s v="NO"/>
    <n v="0.39752107475586446"/>
    <n v="-0.288865634191388"/>
    <n v="-1.4928867386758102"/>
    <n v="-1.2888460244749209"/>
    <n v="2.3920631395321474"/>
    <n v="-1.8953750854946936"/>
    <x v="0"/>
    <x v="0"/>
    <x v="0"/>
    <x v="0"/>
    <x v="0"/>
    <x v="0"/>
  </r>
  <r>
    <x v="0"/>
    <s v="QS"/>
    <n v="2236"/>
    <n v="4.3499999999999996"/>
    <n v="-0.64"/>
    <n v="1.98"/>
    <n v="-0.91"/>
    <n v="-6.7968749999999991"/>
    <n v="2.1969696969696968"/>
    <n v="-39.840000000000003"/>
    <n v="-23.73"/>
    <n v="1.1399999999999999"/>
    <n v="-4.7802197802197792"/>
    <s v="NO"/>
    <n v="-1.5703177736355898"/>
    <n v="0.34489279134899142"/>
    <n v="-2.8130858972357049"/>
    <n v="-10.688080107044305"/>
    <n v="-1.1196012276566703"/>
    <n v="-1.5931393892720283"/>
    <x v="0"/>
    <x v="0"/>
    <x v="1"/>
    <x v="1"/>
    <x v="0"/>
    <x v="0"/>
  </r>
  <r>
    <x v="0"/>
    <s v="WRD"/>
    <n v="2817"/>
    <n v="9.15"/>
    <n v="-0.95"/>
    <n v="3.32"/>
    <n v="-2.12"/>
    <n v="-9.6315789473684212"/>
    <n v="2.7560240963855422"/>
    <n v="-132.19"/>
    <n v="-22.36"/>
    <n v="1.0900000000000001"/>
    <n v="-4.3160377358490569"/>
    <s v="NO"/>
    <n v="-1.875602011560227"/>
    <n v="1.0130116134548135"/>
    <n v="-8.4341274967288484"/>
    <n v="-10.189938881004844"/>
    <n v="-1.1609149260941858"/>
    <n v="-1.5476629829167088"/>
    <x v="0"/>
    <x v="0"/>
    <x v="1"/>
    <x v="1"/>
    <x v="0"/>
    <x v="0"/>
  </r>
  <r>
    <x v="1"/>
    <s v="THO"/>
    <n v="4320"/>
    <n v="87.7"/>
    <n v="10.14"/>
    <n v="74.28"/>
    <n v="3.79"/>
    <n v="8.6489151873767263"/>
    <n v="1.1806677436725903"/>
    <n v="5.09"/>
    <n v="2.86"/>
    <n v="1.7"/>
    <n v="23.139841688654354"/>
    <s v="NO"/>
    <n v="0.37635636517534643"/>
    <n v="0.74033180030344858"/>
    <n v="-8.5387122502131318E-2"/>
    <n v="1.0517122572378375"/>
    <n v="0.34785333210880393"/>
    <n v="2.1254833359732088"/>
    <x v="0"/>
    <x v="0"/>
    <x v="0"/>
    <x v="0"/>
    <x v="0"/>
    <x v="0"/>
  </r>
  <r>
    <x v="1"/>
    <s v="HOG"/>
    <n v="2941"/>
    <n v="24.99"/>
    <n v="7.17"/>
    <n v="26.19"/>
    <n v="2.73"/>
    <n v="3.4853556485355646"/>
    <n v="0.9541809851088201"/>
    <n v="10.56"/>
    <n v="1.9"/>
    <n v="3.89"/>
    <n v="9.1538461538461533"/>
    <s v="NO"/>
    <n v="-8.0486638183141626E-2"/>
    <n v="0.578085611564497"/>
    <n v="2.9471678215865524E-3"/>
    <n v="0.9727457056329406"/>
    <n v="1.3069525373656321"/>
    <n v="0.65487197181505152"/>
    <x v="0"/>
    <x v="0"/>
    <x v="0"/>
    <x v="0"/>
    <x v="0"/>
    <x v="0"/>
  </r>
  <r>
    <x v="1"/>
    <s v="VLVCY"/>
    <n v="5625"/>
    <n v="3.6949999999999998"/>
    <n v="7.0000000000000007E-2"/>
    <n v="4.87"/>
    <n v="0.44"/>
    <n v="52.785714285714278"/>
    <n v="0.75872689938398352"/>
    <n v="9.3800000000000008"/>
    <n v="3.63"/>
    <n v="2.6"/>
    <n v="8.3977272727272716"/>
    <s v="NO"/>
    <n v="4.2813346475096239"/>
    <n v="0.43807000675207608"/>
    <n v="-1.610849261387726E-2"/>
    <n v="1.1150500121709319"/>
    <n v="0.74200369043352787"/>
    <n v="0.57536694005234645"/>
    <x v="1"/>
    <x v="0"/>
    <x v="0"/>
    <x v="0"/>
    <x v="0"/>
    <x v="0"/>
  </r>
  <r>
    <x v="1"/>
    <s v="PSNY"/>
    <n v="2321"/>
    <n v="1.05"/>
    <n v="-0.64"/>
    <n v="-1.58"/>
    <n v="-0.97"/>
    <n v="-1.640625"/>
    <n v="-0.66455696202531644"/>
    <n v="89.52"/>
    <n v="-26.69"/>
    <n v="-1.22"/>
    <n v="-1.0824742268041239"/>
    <s v="NO"/>
    <n v="-0.53400487052253898"/>
    <n v="-0.58151446463898726"/>
    <n v="1.2780615305200806"/>
    <n v="-1.3789769093503932"/>
    <n v="-0.93094560823363337"/>
    <n v="-0.42146535729982548"/>
    <x v="0"/>
    <x v="0"/>
    <x v="0"/>
    <x v="0"/>
    <x v="0"/>
    <x v="0"/>
  </r>
  <r>
    <x v="1"/>
    <s v="LCID"/>
    <n v="6802"/>
    <n v="2.23"/>
    <n v="-1.06"/>
    <n v="1.04"/>
    <n v="-1.18"/>
    <n v="-2.1037735849056602"/>
    <n v="2.1442307692307692"/>
    <n v="-50.06"/>
    <n v="-20.440000000000001"/>
    <n v="2.9"/>
    <n v="-1.8898305084745763"/>
    <s v="NO"/>
    <n v="-0.57498167904734609"/>
    <n v="1.4305903809726119"/>
    <n v="-0.97599701488842749"/>
    <n v="-0.8648717556726796"/>
    <n v="0.87338714320843569"/>
    <n v="-0.5063579428718773"/>
    <x v="0"/>
    <x v="0"/>
    <x v="0"/>
    <x v="0"/>
    <x v="0"/>
    <x v="0"/>
  </r>
  <r>
    <x v="1"/>
    <s v="VFS"/>
    <n v="7601"/>
    <n v="3.57"/>
    <n v="-0.79"/>
    <n v="-2.76"/>
    <n v="-1.3"/>
    <n v="-4.5189873417721511"/>
    <n v="-1.2934782608695652"/>
    <n v="96.5"/>
    <n v="-22.32"/>
    <n v="-0.95"/>
    <n v="-2.7461538461538457"/>
    <s v="NO"/>
    <n v="-0.78866634717983564"/>
    <n v="-1.0320488994169916"/>
    <n v="1.3907806066552819"/>
    <n v="-1.0195145858989358"/>
    <n v="-0.81270050073621636"/>
    <n v="-0.59639935813264999"/>
    <x v="0"/>
    <x v="0"/>
    <x v="0"/>
    <x v="0"/>
    <x v="0"/>
    <x v="0"/>
  </r>
  <r>
    <x v="1"/>
    <s v="NIO"/>
    <n v="7951"/>
    <n v="3.6"/>
    <n v="-1.1299999999999999"/>
    <n v="0.39"/>
    <n v="-1.51"/>
    <n v="-3.1858407079646023"/>
    <n v="9.2307692307692299"/>
    <n v="-103.95"/>
    <n v="-12.15"/>
    <n v="18.03"/>
    <n v="-2.3841059602649008"/>
    <s v="NO"/>
    <n v="-0.67071695441606349"/>
    <n v="6.5071072777115351"/>
    <n v="-1.8462593376571945"/>
    <n v="-0.18296267983455999"/>
    <n v="7.4994926114896279"/>
    <n v="-0.55833043883172451"/>
    <x v="0"/>
    <x v="1"/>
    <x v="0"/>
    <x v="1"/>
    <x v="1"/>
    <x v="0"/>
  </r>
  <r>
    <x v="1"/>
    <s v="ZK"/>
    <n v="6683"/>
    <n v="26.17"/>
    <n v="0.87"/>
    <n v="-12.77"/>
    <n v="-2.85"/>
    <n v="30.080459770114945"/>
    <n v="-2.049334377447142"/>
    <n v="25.98"/>
    <n v="-8.42"/>
    <n v="-2.58"/>
    <n v="-9.1824561403508778"/>
    <s v="NO"/>
    <n v="2.2725001241735794"/>
    <n v="-1.5735144355366544"/>
    <n v="0.25196266266468154"/>
    <n v="0.12385527588029961"/>
    <n v="-1.5265505941465496"/>
    <n v="-1.2731691507045293"/>
    <x v="0"/>
    <x v="0"/>
    <x v="0"/>
    <x v="0"/>
    <x v="0"/>
    <x v="0"/>
  </r>
  <r>
    <x v="2"/>
    <s v="DDS"/>
    <n v="6178"/>
    <n v="402.95"/>
    <n v="38.46"/>
    <n v="119.1"/>
    <n v="36.03"/>
    <n v="10.477119084763389"/>
    <n v="3.3832913518052057"/>
    <n v="30.93"/>
    <n v="11.1"/>
    <n v="2.1"/>
    <n v="11.183735775742436"/>
    <s v="NO"/>
    <n v="-0.60728637502066318"/>
    <n v="0.19848394721955723"/>
    <n v="1.2679900301178948"/>
    <n v="2.3153485338349302"/>
    <n v="-0.47397550274105155"/>
    <n v="-0.50051563160919876"/>
    <x v="0"/>
    <x v="0"/>
    <x v="0"/>
    <x v="1"/>
    <x v="0"/>
    <x v="0"/>
  </r>
  <r>
    <x v="2"/>
    <s v="CDNAF"/>
    <n v="6957"/>
    <n v="129.47999999999999"/>
    <n v="12.46"/>
    <n v="75.59"/>
    <n v="10.71"/>
    <n v="10.391653290529694"/>
    <n v="1.7129249900780525"/>
    <n v="14.08"/>
    <n v="3.78"/>
    <n v="3.8"/>
    <n v="12.089635854341735"/>
    <s v="NO"/>
    <n v="-0.61555741295588973"/>
    <n v="-0.75120084864353565"/>
    <n v="0.21463101578002167"/>
    <n v="-0.83295201124340179"/>
    <n v="1.2824459788061702"/>
    <n v="-0.4045534083681871"/>
    <x v="0"/>
    <x v="0"/>
    <x v="0"/>
    <x v="0"/>
    <x v="0"/>
    <x v="0"/>
  </r>
  <r>
    <x v="2"/>
    <s v="CDNTF"/>
    <n v="9835"/>
    <n v="183.75"/>
    <n v="17.34"/>
    <n v="76.540000000000006"/>
    <n v="8.66"/>
    <n v="10.59688581314879"/>
    <n v="2.4007055134570159"/>
    <n v="14.08"/>
    <n v="3.78"/>
    <n v="3.8"/>
    <n v="21.21824480369515"/>
    <s v="NO"/>
    <n v="-0.59569582978867286"/>
    <n v="-0.36016405521315215"/>
    <n v="0.21463101578002167"/>
    <n v="-0.83295201124340179"/>
    <n v="1.2824459788061702"/>
    <n v="0.56244243429938678"/>
    <x v="0"/>
    <x v="0"/>
    <x v="0"/>
    <x v="0"/>
    <x v="0"/>
    <x v="0"/>
  </r>
  <r>
    <x v="2"/>
    <s v="OLLI"/>
    <n v="6844"/>
    <n v="115.88"/>
    <n v="1.74"/>
    <n v="27.63"/>
    <n v="3.23"/>
    <n v="66.597701149425291"/>
    <n v="4.1939920376402462"/>
    <n v="12.47"/>
    <n v="6.42"/>
    <n v="1.51"/>
    <n v="35.876160990712073"/>
    <s v="NO"/>
    <n v="4.8238392275167277"/>
    <n v="0.65940685190331494"/>
    <n v="0.11398365595307951"/>
    <n v="0.30250064435861962"/>
    <n v="-1.0835570757486168"/>
    <n v="2.1151591837685451"/>
    <x v="1"/>
    <x v="0"/>
    <x v="0"/>
    <x v="0"/>
    <x v="0"/>
    <x v="0"/>
  </r>
  <r>
    <x v="2"/>
    <s v="M"/>
    <n v="3312"/>
    <n v="12.25"/>
    <n v="0.92"/>
    <n v="16.39"/>
    <n v="1.98"/>
    <n v="13.315217391304348"/>
    <n v="0.74740695546064673"/>
    <n v="12.92"/>
    <n v="3.28"/>
    <n v="3.61"/>
    <n v="6.1868686868686869"/>
    <s v="NO"/>
    <n v="-0.33262656558724379"/>
    <n v="-1.3001449716918798"/>
    <n v="0.14211490559415024"/>
    <n v="-1.0479998626831786"/>
    <n v="1.0861400485155983"/>
    <n v="-1.0298350194931094"/>
    <x v="0"/>
    <x v="0"/>
    <x v="0"/>
    <x v="0"/>
    <x v="0"/>
    <x v="0"/>
  </r>
  <r>
    <x v="2"/>
    <s v="VIPS"/>
    <n v="7100"/>
    <n v="15.05"/>
    <n v="1.44"/>
    <n v="10.76"/>
    <n v="1.91"/>
    <n v="10.451388888888889"/>
    <n v="1.3986988847583643"/>
    <n v="18.52"/>
    <n v="7.34"/>
    <n v="1.85"/>
    <n v="7.8795811518324612"/>
    <s v="YES"/>
    <n v="-0.60977644052659974"/>
    <n v="-0.92985372475678651"/>
    <n v="0.49219267890525348"/>
    <n v="0.69818869100780889"/>
    <n v="-0.73227277943917246"/>
    <n v="-0.85052556221073894"/>
    <x v="0"/>
    <x v="0"/>
    <x v="0"/>
    <x v="0"/>
    <x v="0"/>
    <x v="0"/>
  </r>
  <r>
    <x v="2"/>
    <s v="ETSY"/>
    <n v="5772"/>
    <n v="63.88"/>
    <n v="6.11"/>
    <n v="-8.66"/>
    <n v="1.54"/>
    <n v="10.454991816693944"/>
    <n v="-7.3764434180138574"/>
    <n v="-25.19"/>
    <n v="10.6"/>
    <n v="-2.33"/>
    <n v="41.480519480519483"/>
    <s v="NO"/>
    <n v="-0.60942776357553785"/>
    <n v="-5.9189503788949205"/>
    <n v="-2.2402893695640897"/>
    <n v="2.1003006823951536"/>
    <n v="-5.0510032458317538"/>
    <n v="2.7088302885918427"/>
    <x v="0"/>
    <x v="1"/>
    <x v="0"/>
    <x v="1"/>
    <x v="1"/>
    <x v="1"/>
  </r>
  <r>
    <x v="2"/>
    <s v="MNSO"/>
    <n v="5218"/>
    <n v="18.45"/>
    <n v="0.62"/>
    <n v="4.78"/>
    <n v="1.0900000000000001"/>
    <n v="29.758064516129032"/>
    <n v="3.8598326359832633"/>
    <n v="24.94"/>
    <n v="9.6999999999999993"/>
    <n v="2.46"/>
    <n v="16.926605504587155"/>
    <s v="NO"/>
    <n v="1.2586464524892422"/>
    <n v="0.46942092401369306"/>
    <n v="0.89353184045119693"/>
    <n v="1.7132145498035551"/>
    <n v="-0.10202742429575763"/>
    <n v="0.10782800361330086"/>
    <x v="0"/>
    <x v="0"/>
    <x v="0"/>
    <x v="0"/>
    <x v="0"/>
    <x v="0"/>
  </r>
  <r>
    <x v="2"/>
    <s v="GLBE"/>
    <n v="5409"/>
    <n v="34.33"/>
    <n v="0.89"/>
    <n v="5.22"/>
    <n v="-0.36"/>
    <n v="38.573033707865164"/>
    <n v="6.5766283524904212"/>
    <n v="-6.93"/>
    <n v="-3.16"/>
    <n v="1.34"/>
    <n v="-95.361111111111114"/>
    <s v="NO"/>
    <n v="2.1117239349653651"/>
    <n v="2.0140518771687907"/>
    <n v="-1.0987857730175283"/>
    <n v="-3.8178161892275031"/>
    <n v="-1.2591992239033389"/>
    <n v="-11.786838067903082"/>
    <x v="0"/>
    <x v="0"/>
    <x v="0"/>
    <x v="1"/>
    <x v="0"/>
    <x v="1"/>
  </r>
  <r>
    <x v="3"/>
    <s v="GHC"/>
    <n v="4161"/>
    <n v="946"/>
    <n v="86.28"/>
    <n v="984.96"/>
    <n v="141.53"/>
    <n v="10.96430227167362"/>
    <n v="0.96044509421702395"/>
    <n v="14.86"/>
    <n v="8.9499999999999993"/>
    <n v="1.77"/>
    <n v="6.6840952448244186"/>
    <s v="YES"/>
    <n v="-1.1334919792961566"/>
    <n v="-1.180770588144076"/>
    <n v="0.17542515610159709"/>
    <n v="0.40451212891550242"/>
    <n v="-0.42624533104889334"/>
    <n v="-1.9305101509738543"/>
    <x v="0"/>
    <x v="0"/>
    <x v="0"/>
    <x v="0"/>
    <x v="0"/>
    <x v="0"/>
  </r>
  <r>
    <x v="3"/>
    <s v="LOPE"/>
    <n v="5614"/>
    <n v="185.54"/>
    <n v="8.16"/>
    <n v="27.79"/>
    <n v="7.94"/>
    <n v="22.737745098039213"/>
    <n v="6.6765023389708524"/>
    <n v="29.85"/>
    <n v="16.98"/>
    <n v="1.32"/>
    <n v="23.367758186397982"/>
    <s v="NO"/>
    <n v="2.1548516459783134"/>
    <n v="2.1148348321402457"/>
    <n v="0.31756694474824254"/>
    <n v="2.2009201906101405"/>
    <n v="-0.93100953886995141"/>
    <n v="0.95858017905411108"/>
    <x v="0"/>
    <x v="0"/>
    <x v="0"/>
    <x v="0"/>
    <x v="0"/>
    <x v="0"/>
  </r>
  <r>
    <x v="3"/>
    <s v="LRN"/>
    <n v="6589"/>
    <n v="141.22"/>
    <n v="5.7"/>
    <n v="33.049999999999997"/>
    <n v="6.39"/>
    <n v="24.775438596491227"/>
    <n v="4.2729198184568835"/>
    <n v="23.76"/>
    <n v="11.49"/>
    <n v="1.56"/>
    <n v="22.100156494522693"/>
    <s v="NO"/>
    <n v="2.723983082272583"/>
    <n v="0.72904402502812593"/>
    <n v="0.25981887984777091"/>
    <n v="0.9727408308712161"/>
    <n v="-0.66180196136538705"/>
    <n v="0.73907108185230841"/>
    <x v="1"/>
    <x v="0"/>
    <x v="0"/>
    <x v="0"/>
    <x v="0"/>
    <x v="0"/>
  </r>
  <r>
    <x v="3"/>
    <s v="ATGE"/>
    <n v="4744"/>
    <n v="121.39"/>
    <n v="7.75"/>
    <n v="39.24"/>
    <n v="5.94"/>
    <n v="15.663225806451614"/>
    <n v="3.0935270132517836"/>
    <n v="16.62"/>
    <n v="7.75"/>
    <n v="1.95"/>
    <n v="20.436026936026934"/>
    <s v="NO"/>
    <n v="0.17892576283078715"/>
    <n v="4.9062500167513602E-2"/>
    <n v="0.19211425203342475"/>
    <n v="0.13605762405453559"/>
    <n v="-0.2243396479204702"/>
    <n v="0.4508957193913869"/>
    <x v="0"/>
    <x v="0"/>
    <x v="0"/>
    <x v="0"/>
    <x v="0"/>
    <x v="0"/>
  </r>
  <r>
    <x v="3"/>
    <s v="STRA"/>
    <n v="2204"/>
    <n v="85.49"/>
    <n v="5.03"/>
    <n v="68.42"/>
    <n v="4.68"/>
    <n v="16.996023856858844"/>
    <n v="1.2494884536685178"/>
    <n v="6.86"/>
    <n v="4.82"/>
    <n v="1.26"/>
    <n v="18.267094017094017"/>
    <s v="NO"/>
    <n v="0.55117864055489618"/>
    <n v="-1.0141220013091909"/>
    <n v="9.9565629138744324E-2"/>
    <n v="-0.51941879198099206"/>
    <n v="-0.99831143324609251"/>
    <n v="7.53041514897278E-2"/>
    <x v="0"/>
    <x v="0"/>
    <x v="0"/>
    <x v="0"/>
    <x v="0"/>
    <x v="0"/>
  </r>
  <r>
    <x v="3"/>
    <s v="HRB"/>
    <n v="7624"/>
    <n v="56.21"/>
    <n v="4.7300000000000004"/>
    <n v="-1.44"/>
    <n v="4.07"/>
    <n v="11.883720930232558"/>
    <n v="-39.034722222222221"/>
    <n v="-351.72"/>
    <n v="15.63"/>
    <n v="-16.829999999999998"/>
    <n v="13.810810810810811"/>
    <s v="NO"/>
    <n v="-0.87669670459026283"/>
    <n v="-24.240072577152073"/>
    <n v="-3.3006480181537254"/>
    <n v="1.8989088726415522"/>
    <n v="-21.289832587652622"/>
    <n v="-0.69638518101632241"/>
    <x v="0"/>
    <x v="1"/>
    <x v="0"/>
    <x v="1"/>
    <x v="1"/>
    <x v="0"/>
  </r>
  <r>
    <x v="3"/>
    <s v="FTDR"/>
    <n v="4048"/>
    <n v="57.2"/>
    <n v="3.6"/>
    <n v="2.67"/>
    <n v="3.08"/>
    <n v="15.888888888888889"/>
    <n v="21.423220973782772"/>
    <n v="132.22"/>
    <n v="13.51"/>
    <n v="10.71"/>
    <n v="18.571428571428573"/>
    <s v="NO"/>
    <n v="0.24195386510607314"/>
    <n v="10.617088008295585"/>
    <n v="1.2882844166466478"/>
    <n v="1.4246392473871772"/>
    <n v="9.6017369309961271"/>
    <n v="0.12800540906730432"/>
    <x v="0"/>
    <x v="1"/>
    <x v="0"/>
    <x v="1"/>
    <x v="1"/>
    <x v="0"/>
  </r>
  <r>
    <x v="3"/>
    <s v="BFAM"/>
    <n v="7397"/>
    <n v="125.15"/>
    <n v="3.7"/>
    <n v="23.03"/>
    <n v="2.77"/>
    <n v="33.824324324324323"/>
    <n v="5.4342162396873643"/>
    <n v="12.63"/>
    <n v="4.91"/>
    <n v="2.89"/>
    <n v="45.180505415162457"/>
    <s v="NO"/>
    <n v="5.2513530400492066"/>
    <n v="1.3985920397679226"/>
    <n v="0.15427931296070191"/>
    <n v="-0.49928470411641962"/>
    <n v="0.83005669730574017"/>
    <n v="4.7358680151043373"/>
    <x v="1"/>
    <x v="0"/>
    <x v="0"/>
    <x v="0"/>
    <x v="0"/>
    <x v="1"/>
  </r>
  <r>
    <x v="3"/>
    <s v="EDU"/>
    <n v="7745"/>
    <n v="47.39"/>
    <n v="3.61"/>
    <n v="22.85"/>
    <n v="2.29"/>
    <n v="13.127423822714682"/>
    <n v="2.073960612691466"/>
    <n v="9.68"/>
    <n v="3.82"/>
    <n v="2.02"/>
    <n v="20.694323144104803"/>
    <s v="NO"/>
    <n v="-0.52932826372346398"/>
    <n v="-0.53877075834476473"/>
    <n v="0.12630611239314993"/>
    <n v="-0.74313087936513134"/>
    <n v="-0.14582077114830555"/>
    <n v="0.4956245705827596"/>
    <x v="0"/>
    <x v="0"/>
    <x v="0"/>
    <x v="0"/>
    <x v="0"/>
    <x v="0"/>
  </r>
  <r>
    <x v="3"/>
    <s v="LAUR"/>
    <n v="3348"/>
    <n v="21.92"/>
    <n v="1.3"/>
    <n v="6.11"/>
    <n v="1.89"/>
    <n v="16.861538461538462"/>
    <n v="3.5875613747954174"/>
    <n v="31.17"/>
    <n v="10.83"/>
    <n v="2.0499999999999998"/>
    <n v="11.5978835978836"/>
    <s v="NO"/>
    <n v="0.5136166292625024"/>
    <n v="0.33389910169109099"/>
    <n v="0.33008376669711326"/>
    <n v="0.82509085319768427"/>
    <n v="-0.11216982396023523"/>
    <n v="-1.0795951891730047"/>
    <x v="0"/>
    <x v="0"/>
    <x v="0"/>
    <x v="0"/>
    <x v="0"/>
    <x v="0"/>
  </r>
  <r>
    <x v="3"/>
    <s v="ADT"/>
    <n v="6960"/>
    <n v="8.24"/>
    <n v="0.85"/>
    <n v="4.33"/>
    <n v="0.64"/>
    <n v="9.6941176470588246"/>
    <n v="1.9030023094688222"/>
    <n v="16.260000000000002"/>
    <n v="4.82"/>
    <n v="4.38"/>
    <n v="12.875"/>
    <s v="NO"/>
    <n v="-1.4882568152811009"/>
    <n v="-0.63733714538720587"/>
    <n v="0.18870057332009638"/>
    <n v="-0.51941879198099206"/>
    <n v="2.5013870743132434"/>
    <n v="-0.85843844076613496"/>
    <x v="0"/>
    <x v="0"/>
    <x v="0"/>
    <x v="0"/>
    <x v="0"/>
    <x v="0"/>
  </r>
  <r>
    <x v="3"/>
    <s v="MCW"/>
    <n v="2300"/>
    <n v="6.66"/>
    <n v="-0.08"/>
    <n v="3.18"/>
    <n v="0.24"/>
    <n v="-83.25"/>
    <n v="2.0943396226415092"/>
    <n v="8.2100000000000009"/>
    <n v="4.2300000000000004"/>
    <n v="2.99"/>
    <n v="27.75"/>
    <s v="NO"/>
    <n v="-27.447715002569343"/>
    <n v="-0.52702119517986978"/>
    <n v="0.11236692431372573"/>
    <n v="-0.65140892353763413"/>
    <n v="0.94222652126597539"/>
    <n v="1.7174478504917168"/>
    <x v="1"/>
    <x v="0"/>
    <x v="0"/>
    <x v="0"/>
    <x v="0"/>
    <x v="0"/>
  </r>
  <r>
    <x v="3"/>
    <s v="TAL"/>
    <n v="5940"/>
    <n v="10.83"/>
    <n v="0.66"/>
    <n v="6.2"/>
    <n v="0.14000000000000001"/>
    <n v="16.40909090909091"/>
    <n v="1.7467741935483871"/>
    <n v="2.2799999999999998"/>
    <n v="-0.04"/>
    <n v="1.46"/>
    <n v="77.357142857142847"/>
    <s v="NO"/>
    <n v="0.38724721915842142"/>
    <n v="-0.72741081042979006"/>
    <n v="5.6136049952511084E-2"/>
    <n v="-1.6066595366679084"/>
    <n v="-0.77397178532562227"/>
    <n v="10.307858555310817"/>
    <x v="0"/>
    <x v="0"/>
    <x v="0"/>
    <x v="0"/>
    <x v="0"/>
    <x v="1"/>
  </r>
  <r>
    <x v="4"/>
    <s v="CHA"/>
    <n v="5203"/>
    <n v="32.75"/>
    <m/>
    <m/>
    <m/>
    <s v=""/>
    <s v=""/>
    <n v="100.9"/>
    <n v="37.82"/>
    <n v="2.4900000000000002"/>
    <s v=""/>
    <s v="NO"/>
    <e v="#VALUE!"/>
    <e v="#VALUE!"/>
    <n v="0.57473588511182672"/>
    <n v="3.9898406896028411"/>
    <n v="-0.46454957174982509"/>
    <e v="#VALUE!"/>
    <x v="1"/>
    <x v="1"/>
    <x v="1"/>
    <x v="0"/>
    <x v="0"/>
    <x v="1"/>
  </r>
  <r>
    <x v="4"/>
    <s v="EAT"/>
    <n v="7674"/>
    <n v="173.45"/>
    <n v="8.7799999999999994"/>
    <n v="5.83"/>
    <n v="7.16"/>
    <n v="19.755125284738043"/>
    <n v="29.751286449399654"/>
    <n v="314.08"/>
    <n v="12.21"/>
    <n v="9.93"/>
    <n v="24.22486033519553"/>
    <s v="NO"/>
    <n v="0.22988983483656328"/>
    <n v="4.3877509408949473"/>
    <n v="1.6134254319120651"/>
    <n v="0.66485849338026393"/>
    <n v="1.2758778566360445"/>
    <n v="0.17915069640445047"/>
    <x v="0"/>
    <x v="1"/>
    <x v="0"/>
    <x v="1"/>
    <x v="0"/>
    <x v="0"/>
  </r>
  <r>
    <x v="4"/>
    <s v="MTN"/>
    <n v="5980"/>
    <n v="155.68"/>
    <n v="10.58"/>
    <n v="14.21"/>
    <n v="6.89"/>
    <n v="14.714555765595463"/>
    <n v="10.955665024630541"/>
    <n v="28.08"/>
    <n v="6.21"/>
    <n v="10.42"/>
    <n v="22.595065312046447"/>
    <s v="NO"/>
    <n v="-0.17883957025238756"/>
    <n v="0.98374486865045163"/>
    <n v="0.21993068388284961"/>
    <n v="-0.11412991651178872"/>
    <n v="1.3905027813550064"/>
    <n v="9.3821597840367921E-2"/>
    <x v="0"/>
    <x v="0"/>
    <x v="0"/>
    <x v="0"/>
    <x v="0"/>
    <x v="0"/>
  </r>
  <r>
    <x v="4"/>
    <s v="CHH"/>
    <n v="5878"/>
    <n v="127.89"/>
    <n v="3.81"/>
    <n v="-1.38"/>
    <n v="6.57"/>
    <n v="33.566929133858267"/>
    <n v="-92.673913043478265"/>
    <n v="-1094.9000000000001"/>
    <n v="11.98"/>
    <n v="-40.32"/>
    <n v="19.465753424657535"/>
    <s v="NO"/>
    <n v="1.3498605740589988"/>
    <n v="-17.784228003111657"/>
    <n v="-5.251631316613123"/>
    <n v="0.63499727100106851"/>
    <n v="-10.47902513750239"/>
    <n v="-7.0015791944285019E-2"/>
    <x v="0"/>
    <x v="1"/>
    <x v="0"/>
    <x v="1"/>
    <x v="1"/>
    <x v="0"/>
  </r>
  <r>
    <x v="4"/>
    <s v="BYD"/>
    <n v="6103"/>
    <n v="73.930000000000007"/>
    <n v="5.34"/>
    <n v="16.48"/>
    <n v="6.13"/>
    <n v="13.844569288389515"/>
    <n v="4.4860436893203888"/>
    <n v="35.549999999999997"/>
    <n v="9.36"/>
    <n v="4.79"/>
    <n v="12.060358890701469"/>
    <s v="NO"/>
    <n v="-0.2493849826137087"/>
    <n v="-0.18794452713066334"/>
    <n v="0.25632720754640986"/>
    <n v="0.29483899868153879"/>
    <n v="7.3485789175914154E-2"/>
    <n v="-0.45773058498182267"/>
    <x v="0"/>
    <x v="0"/>
    <x v="0"/>
    <x v="0"/>
    <x v="0"/>
    <x v="0"/>
  </r>
  <r>
    <x v="4"/>
    <s v="WING"/>
    <n v="9534"/>
    <n v="376.13"/>
    <n v="3.08"/>
    <n v="-25.62"/>
    <n v="5.91"/>
    <n v="122.12012987012987"/>
    <n v="-14.68110850897736"/>
    <n v="-29.97"/>
    <n v="19.12"/>
    <n v="-0.97"/>
    <n v="63.642978003384094"/>
    <s v="NO"/>
    <n v="8.5304573138130273"/>
    <n v="-3.6592371753566555"/>
    <n v="-6.2909771093010353E-2"/>
    <n v="1.5619934787726111"/>
    <n v="-1.2739418973163721"/>
    <n v="2.2429147894009445"/>
    <x v="1"/>
    <x v="1"/>
    <x v="1"/>
    <x v="0"/>
    <x v="0"/>
    <x v="0"/>
  </r>
  <r>
    <x v="4"/>
    <s v="VAC"/>
    <n v="2274"/>
    <n v="66.58"/>
    <n v="4.3600000000000003"/>
    <n v="70.52"/>
    <n v="5.85"/>
    <n v="15.27064220183486"/>
    <n v="0.94412932501418045"/>
    <n v="9.4700000000000006"/>
    <n v="3.32"/>
    <n v="4.0599999999999996"/>
    <n v="11.381196581196582"/>
    <s v="NO"/>
    <n v="-0.13374766597470858"/>
    <n v="-0.82940764936507183"/>
    <n v="0.12925607807577374"/>
    <n v="-0.4893426672764607"/>
    <n v="-9.7281955813559723E-2"/>
    <n v="-0.49328861947426905"/>
    <x v="0"/>
    <x v="0"/>
    <x v="0"/>
    <x v="0"/>
    <x v="0"/>
    <x v="0"/>
  </r>
  <r>
    <x v="4"/>
    <s v="CHDN"/>
    <n v="6896"/>
    <n v="99.59"/>
    <n v="3.96"/>
    <n v="14.72"/>
    <n v="5.66"/>
    <n v="25.1489898989899"/>
    <n v="6.765625"/>
    <n v="44.36"/>
    <n v="6.12"/>
    <n v="6.86"/>
    <n v="17.595406360424029"/>
    <s v="NO"/>
    <n v="0.66726721184544568"/>
    <n v="0.22490208476707463"/>
    <n v="0.29925269261682036"/>
    <n v="-0.12581474266016948"/>
    <n v="0.5577176140090796"/>
    <n v="-0.16793916680197388"/>
    <x v="0"/>
    <x v="0"/>
    <x v="0"/>
    <x v="0"/>
    <x v="0"/>
    <x v="0"/>
  </r>
  <r>
    <x v="4"/>
    <s v="TNL"/>
    <n v="3226"/>
    <n v="49.92"/>
    <n v="6.57"/>
    <n v="-13.6"/>
    <n v="5.52"/>
    <n v="7.5981735159817347"/>
    <n v="-3.6705882352941179"/>
    <n v="-42.12"/>
    <n v="6.87"/>
    <n v="-7.49"/>
    <n v="9.0434782608695663"/>
    <s v="NO"/>
    <n v="-0.75589235609809613"/>
    <n v="-1.6651622244323188"/>
    <n v="-0.12210893608795778"/>
    <n v="-2.8441191423662922E-2"/>
    <n v="-2.7991551813319457"/>
    <n v="-0.61568155486611964"/>
    <x v="0"/>
    <x v="0"/>
    <x v="0"/>
    <x v="0"/>
    <x v="1"/>
    <x v="0"/>
  </r>
  <r>
    <x v="4"/>
    <s v="WH"/>
    <n v="6374"/>
    <n v="82.42"/>
    <n v="2.87"/>
    <n v="7.42"/>
    <n v="4.22"/>
    <n v="28.717770034843205"/>
    <n v="11.107816711590297"/>
    <n v="53.31"/>
    <n v="8.51"/>
    <n v="7.34"/>
    <n v="19.530805687203792"/>
    <s v="NO"/>
    <n v="0.95665224587404318"/>
    <n v="1.0113005027318407"/>
    <n v="0.34286030798346884"/>
    <n v="0.18448230728016474"/>
    <n v="0.67000325455010334"/>
    <n v="-6.6609933634630372E-2"/>
    <x v="0"/>
    <x v="0"/>
    <x v="0"/>
    <x v="0"/>
    <x v="0"/>
    <x v="0"/>
  </r>
  <r>
    <x v="4"/>
    <s v="PRKS"/>
    <n v="2462"/>
    <n v="42.83"/>
    <n v="3.78"/>
    <n v="-8.6999999999999993"/>
    <n v="3.85"/>
    <n v="11.330687830687831"/>
    <n v="-4.922988505747127"/>
    <n v="-61.71"/>
    <n v="11.47"/>
    <n v="-5.38"/>
    <n v="11.124675324675325"/>
    <s v="NO"/>
    <n v="-0.45323045459230671"/>
    <n v="-1.8919798448321754"/>
    <n v="-0.21755845396870019"/>
    <n v="0.56878325616024406"/>
    <n v="-2.3055662197870288"/>
    <n v="-0.50671897560530654"/>
    <x v="0"/>
    <x v="0"/>
    <x v="0"/>
    <x v="0"/>
    <x v="0"/>
    <x v="0"/>
  </r>
  <r>
    <x v="4"/>
    <s v="WYNN"/>
    <n v="9466"/>
    <n v="84.7"/>
    <n v="7"/>
    <n v="-3.44"/>
    <n v="3.75"/>
    <n v="12.1"/>
    <n v="-24.622093023255815"/>
    <n v="-53.18"/>
    <n v="5.03"/>
    <n v="-35.28"/>
    <n v="22.586666666666666"/>
    <s v="NO"/>
    <n v="-0.39084851459594283"/>
    <n v="-5.4596124269085227"/>
    <n v="-0.17599722949076591"/>
    <n v="-0.2673309704572257"/>
    <n v="-9.3000259118216402"/>
    <n v="9.3381880680088819E-2"/>
    <x v="0"/>
    <x v="1"/>
    <x v="0"/>
    <x v="0"/>
    <x v="1"/>
    <x v="0"/>
  </r>
  <r>
    <x v="4"/>
    <s v="LNW"/>
    <n v="7604"/>
    <n v="88.38"/>
    <n v="4.07"/>
    <n v="7.29"/>
    <n v="3.74"/>
    <n v="21.714987714987711"/>
    <n v="12.123456790123456"/>
    <n v="46.19"/>
    <n v="8.84"/>
    <n v="8.8000000000000007"/>
    <n v="23.631016042780747"/>
    <s v="NO"/>
    <n v="0.38881104445979542"/>
    <n v="1.1952393529784064"/>
    <n v="0.30816911006050379"/>
    <n v="0.22732666982422764"/>
    <n v="1.0115387445290511"/>
    <n v="0.14805954847514199"/>
    <x v="0"/>
    <x v="0"/>
    <x v="0"/>
    <x v="0"/>
    <x v="0"/>
    <x v="0"/>
  </r>
  <r>
    <x v="4"/>
    <s v="CAKE"/>
    <n v="2732"/>
    <n v="58.84"/>
    <n v="2.37"/>
    <n v="6.85"/>
    <n v="3.19"/>
    <n v="24.827004219409282"/>
    <n v="8.5897810218978119"/>
    <n v="46.6"/>
    <n v="4.3099999999999996"/>
    <n v="9.17"/>
    <n v="18.445141065830722"/>
    <s v="NO"/>
    <n v="0.6411580559728105"/>
    <n v="0.55526829266901911"/>
    <n v="0.31016677735662956"/>
    <n v="-0.36080957964427207"/>
    <n v="1.0980922591127569"/>
    <n v="-0.1234506910113978"/>
    <x v="0"/>
    <x v="0"/>
    <x v="0"/>
    <x v="0"/>
    <x v="0"/>
    <x v="0"/>
  </r>
  <r>
    <x v="4"/>
    <s v="RRR"/>
    <n v="2889"/>
    <n v="49.11"/>
    <n v="4.22"/>
    <n v="4.17"/>
    <n v="2.6"/>
    <n v="11.63744075829384"/>
    <n v="11.776978417266188"/>
    <n v="107.68"/>
    <n v="8.9"/>
    <n v="16.54"/>
    <n v="18.888461538461538"/>
    <s v="NO"/>
    <n v="-0.42835649121702812"/>
    <n v="1.132489925414746"/>
    <n v="0.60777048088678509"/>
    <n v="0.23511655392314823"/>
    <n v="2.82214469825306"/>
    <n v="-0.10024032666048745"/>
    <x v="0"/>
    <x v="0"/>
    <x v="0"/>
    <x v="0"/>
    <x v="1"/>
    <x v="0"/>
  </r>
  <r>
    <x v="4"/>
    <s v="MGM"/>
    <n v="8614"/>
    <n v="32.47"/>
    <n v="3.86"/>
    <n v="10.199999999999999"/>
    <n v="2.2400000000000002"/>
    <n v="8.4119170984455955"/>
    <n v="3.1833333333333336"/>
    <n v="25.82"/>
    <n v="2.34"/>
    <n v="14.68"/>
    <n v="14.495535714285712"/>
    <s v="NO"/>
    <n v="-0.68990756428195588"/>
    <n v="-0.42387362263329836"/>
    <n v="0.20891915195786351"/>
    <n v="-0.6165774408921626"/>
    <n v="2.3870378411565927"/>
    <n v="-0.33023513908268398"/>
    <x v="0"/>
    <x v="0"/>
    <x v="0"/>
    <x v="0"/>
    <x v="0"/>
    <x v="0"/>
  </r>
  <r>
    <x v="4"/>
    <s v="PLNT"/>
    <n v="8622"/>
    <n v="102.6"/>
    <n v="2.78"/>
    <n v="-2.62"/>
    <n v="2.11"/>
    <n v="36.906474820143885"/>
    <n v="-39.160305343511446"/>
    <n v="-113.66"/>
    <n v="6.97"/>
    <n v="-14.06"/>
    <n v="48.625592417061611"/>
    <s v="NO"/>
    <n v="1.6206574585061118"/>
    <n v="-8.0925747482560784"/>
    <n v="-0.47067751746561537"/>
    <n v="-1.5458051258795426E-2"/>
    <n v="-4.3360648862372102"/>
    <n v="1.4566686930089026"/>
    <x v="0"/>
    <x v="1"/>
    <x v="0"/>
    <x v="1"/>
    <x v="1"/>
    <x v="0"/>
  </r>
  <r>
    <x v="4"/>
    <s v="GOFPY"/>
    <n v="7875"/>
    <n v="10.85"/>
    <n v="2.21"/>
    <n v="2.12"/>
    <n v="1.49"/>
    <n v="4.9095022624434392"/>
    <n v="5.1179245283018862"/>
    <n v="64.27"/>
    <n v="21.06"/>
    <n v="2.99"/>
    <n v="7.2818791946308723"/>
    <s v="YES"/>
    <n v="-0.97391117277447148"/>
    <n v="-7.3506905504945486E-2"/>
    <n v="0.39626136546039264"/>
    <n v="1.813866397971041"/>
    <n v="-0.34758536285292524"/>
    <n v="-0.7079113495448629"/>
    <x v="0"/>
    <x v="0"/>
    <x v="1"/>
    <x v="0"/>
    <x v="0"/>
    <x v="0"/>
  </r>
  <r>
    <x v="4"/>
    <s v="ATAT"/>
    <n v="4327"/>
    <n v="31.46"/>
    <n v="1.52"/>
    <n v="3.3"/>
    <n v="1.25"/>
    <n v="20.697368421052634"/>
    <n v="9.533333333333335"/>
    <n v="44.87"/>
    <n v="14.08"/>
    <n v="2.4"/>
    <n v="25.167999999999999"/>
    <s v="NO"/>
    <n v="0.30629439092738392"/>
    <n v="0.72615159176410637"/>
    <n v="0.30173759583883047"/>
    <n v="0.90764321446328688"/>
    <n v="-0.48560312935126715"/>
    <n v="0.22852945647840051"/>
    <x v="0"/>
    <x v="0"/>
    <x v="0"/>
    <x v="0"/>
    <x v="0"/>
    <x v="0"/>
  </r>
  <r>
    <x v="4"/>
    <s v="CAVA"/>
    <n v="9400"/>
    <n v="78.22"/>
    <n v="0.44"/>
    <n v="6.28"/>
    <n v="1.2"/>
    <n v="177.77272727272728"/>
    <n v="12.455414012738853"/>
    <n v="21.73"/>
    <n v="3.1"/>
    <n v="1.69"/>
    <n v="65.183333333333337"/>
    <s v="NO"/>
    <n v="13.043211863002909"/>
    <n v="1.2553589082711685"/>
    <n v="0.18899120258919394"/>
    <n v="-0.51790557563916928"/>
    <n v="-0.65169230598486494"/>
    <n v="2.3235612080646773"/>
    <x v="1"/>
    <x v="0"/>
    <x v="0"/>
    <x v="0"/>
    <x v="0"/>
    <x v="0"/>
  </r>
  <r>
    <x v="4"/>
    <s v="LTH"/>
    <n v="6275"/>
    <n v="28.04"/>
    <n v="0.77"/>
    <n v="12.55"/>
    <n v="0.96"/>
    <n v="36.415584415584412"/>
    <n v="2.2342629482071712"/>
    <n v="8.24"/>
    <n v="3.44"/>
    <n v="2.67"/>
    <n v="29.208333333333332"/>
    <s v="NO"/>
    <n v="1.5808521662157284"/>
    <n v="-0.59575627981958845"/>
    <n v="0.12326307618739636"/>
    <n v="-0.47376289907861963"/>
    <n v="-0.42244245654694124"/>
    <n v="0.44006403373193043"/>
    <x v="0"/>
    <x v="0"/>
    <x v="0"/>
    <x v="0"/>
    <x v="0"/>
    <x v="0"/>
  </r>
  <r>
    <x v="4"/>
    <s v="WEN"/>
    <n v="2189"/>
    <n v="11.46"/>
    <n v="1.21"/>
    <n v="0.67"/>
    <n v="0.94"/>
    <n v="9.471074380165291"/>
    <n v="17.1044776119403"/>
    <n v="90.4"/>
    <n v="4.5999999999999996"/>
    <n v="37.770000000000003"/>
    <n v="12.191489361702128"/>
    <s v="NO"/>
    <n v="-0.60402268083597555"/>
    <n v="2.0973337684946038"/>
    <n v="0.52357611289397099"/>
    <n v="-0.3231584731661562"/>
    <n v="7.7884450080154286"/>
    <n v="-0.45086515422160961"/>
    <x v="0"/>
    <x v="0"/>
    <x v="0"/>
    <x v="0"/>
    <x v="1"/>
    <x v="0"/>
  </r>
  <r>
    <x v="4"/>
    <s v="BROS"/>
    <n v="9164"/>
    <n v="73.38"/>
    <n v="0.28999999999999998"/>
    <n v="4.79"/>
    <n v="0.38"/>
    <n v="253.0344827586207"/>
    <n v="15.319415448851773"/>
    <n v="9.75"/>
    <n v="3.31"/>
    <n v="4.62"/>
    <n v="193.10526315789471"/>
    <s v="NO"/>
    <n v="19.146032671023825"/>
    <n v="1.7740477060034887"/>
    <n v="0.1306203386682499"/>
    <n v="-0.49064098129294742"/>
    <n v="3.3717958150968223E-2"/>
    <n v="9.0210064717131342"/>
    <x v="1"/>
    <x v="0"/>
    <x v="0"/>
    <x v="0"/>
    <x v="0"/>
    <x v="1"/>
  </r>
  <r>
    <x v="4"/>
    <s v="HGV"/>
    <n v="3499"/>
    <n v="40"/>
    <n v="2.09"/>
    <n v="16.940000000000001"/>
    <n v="0.34"/>
    <n v="19.138755980861244"/>
    <n v="2.3612750885478158"/>
    <n v="2.57"/>
    <n v="3.25"/>
    <n v="7.45"/>
    <n v="117.64705882352941"/>
    <s v="NO"/>
    <n v="0.17990971692887328"/>
    <n v="-0.57275357683906514"/>
    <n v="9.5636799189754221E-2"/>
    <n v="-0.49843086539186798"/>
    <n v="0.69573538050742134"/>
    <n v="5.070337544847253"/>
    <x v="0"/>
    <x v="0"/>
    <x v="0"/>
    <x v="0"/>
    <x v="0"/>
    <x v="1"/>
  </r>
  <r>
    <x v="4"/>
    <s v="SHAK"/>
    <n v="5220"/>
    <n v="124.5"/>
    <n v="1"/>
    <n v="11.77"/>
    <n v="0.28999999999999998"/>
    <n v="124.5"/>
    <n v="10.577740016992355"/>
    <n v="2.71"/>
    <n v="1.48"/>
    <n v="3.65"/>
    <n v="429.31034482758622"/>
    <s v="NO"/>
    <n v="8.723436083112146"/>
    <n v="0.91530025637718448"/>
    <n v="9.63189294859923E-2"/>
    <n v="-0.72823244631002348"/>
    <n v="-0.19319260710901753"/>
    <n v="21.387694557547729"/>
    <x v="1"/>
    <x v="0"/>
    <x v="0"/>
    <x v="0"/>
    <x v="0"/>
    <x v="1"/>
  </r>
  <r>
    <x v="4"/>
    <s v="SGHC"/>
    <n v="4419"/>
    <n v="9.23"/>
    <n v="0.4"/>
    <n v="1.28"/>
    <n v="0.27"/>
    <n v="23.074999999999999"/>
    <n v="7.2109375"/>
    <n v="21.38"/>
    <n v="16.32"/>
    <n v="1.68"/>
    <n v="34.185185185185183"/>
    <s v="NO"/>
    <n v="0.49909164074076773"/>
    <n v="0.30555099867043595"/>
    <n v="0.18728587684859879"/>
    <n v="1.1984655541563198"/>
    <n v="-0.65403159016280299"/>
    <n v="0.70063071615126771"/>
    <x v="0"/>
    <x v="0"/>
    <x v="0"/>
    <x v="0"/>
    <x v="0"/>
    <x v="0"/>
  </r>
  <r>
    <x v="4"/>
    <s v="SRAD"/>
    <n v="7076"/>
    <n v="24.12"/>
    <n v="0.56999999999999995"/>
    <n v="3.5"/>
    <n v="0.2"/>
    <n v="42.315789473684212"/>
    <n v="6.8914285714285715"/>
    <n v="6.33"/>
    <n v="3.16"/>
    <n v="2.61"/>
    <n v="120.6"/>
    <s v="NO"/>
    <n v="2.059287647393294"/>
    <n v="0.24768590826378362"/>
    <n v="0.11395687000300543"/>
    <n v="-0.51011569154024872"/>
    <n v="-0.4364781616145692"/>
    <n v="5.2249409183525533"/>
    <x v="0"/>
    <x v="0"/>
    <x v="0"/>
    <x v="0"/>
    <x v="0"/>
    <x v="1"/>
  </r>
  <r>
    <x v="4"/>
    <s v="MLCO"/>
    <n v="2582"/>
    <n v="6.15"/>
    <n v="0.75"/>
    <n v="-3.22"/>
    <n v="0.14000000000000001"/>
    <n v="8.2000000000000011"/>
    <n v="-1.9099378881987576"/>
    <n v="0.08"/>
    <n v="3.97"/>
    <n v="-5.96"/>
    <n v="43.928571428571423"/>
    <s v="NO"/>
    <n v="-0.70709148551286038"/>
    <n v="-1.3462972964170106"/>
    <n v="8.3504624635234115E-2"/>
    <n v="-0.40495225620482161"/>
    <n v="-2.4412447021074324"/>
    <n v="1.2107527580651116"/>
    <x v="0"/>
    <x v="0"/>
    <x v="0"/>
    <x v="0"/>
    <x v="0"/>
    <x v="0"/>
  </r>
  <r>
    <x v="4"/>
    <s v="GBTG"/>
    <n v="2992"/>
    <n v="6.57"/>
    <n v="0.36"/>
    <n v="2.34"/>
    <n v="-0.09"/>
    <n v="18.25"/>
    <n v="2.8076923076923079"/>
    <n v="-3.48"/>
    <n v="3.79"/>
    <n v="3.38"/>
    <n v="-73"/>
    <s v="NO"/>
    <n v="0.10784232415765811"/>
    <n v="-0.49190459130247649"/>
    <n v="6.6159025673751592E-2"/>
    <n v="-0.42832190850158325"/>
    <n v="-0.25635327991334345"/>
    <n v="-4.9111272665208228"/>
    <x v="0"/>
    <x v="0"/>
    <x v="0"/>
    <x v="0"/>
    <x v="0"/>
    <x v="1"/>
  </r>
  <r>
    <x v="4"/>
    <s v="IGT"/>
    <n v="2986"/>
    <n v="14.73"/>
    <n v="5.0199999999999996"/>
    <n v="8.1300000000000008"/>
    <n v="-0.15"/>
    <n v="2.9342629482071718"/>
    <n v="1.8118081180811807"/>
    <n v="1.87"/>
    <n v="3.98"/>
    <n v="6.3"/>
    <n v="-98.2"/>
    <s v="NO"/>
    <n v="-1.1340792622631823"/>
    <n v="-0.67226552495169267"/>
    <n v="9.2226147708563841E-2"/>
    <n v="-0.40365394218833489"/>
    <n v="0.42671770004455162"/>
    <n v="-6.2304915137254158"/>
    <x v="0"/>
    <x v="0"/>
    <x v="0"/>
    <x v="0"/>
    <x v="0"/>
    <x v="1"/>
  </r>
  <r>
    <x v="4"/>
    <s v="GENI"/>
    <n v="2272"/>
    <n v="9.32"/>
    <n v="-0.01"/>
    <n v="3.02"/>
    <n v="-0.2"/>
    <n v="-932"/>
    <n v="3.0860927152317883"/>
    <n v="-7.25"/>
    <n v="-3.95"/>
    <n v="1.28"/>
    <n v="-46.6"/>
    <s v="NO"/>
    <n v="-76.945973858868243"/>
    <n v="-0.44148451439398584"/>
    <n v="4.7790231267911931E-2"/>
    <n v="-1.433216957262331"/>
    <n v="-0.74760295728032278"/>
    <n v="-3.528936150401726"/>
    <x v="1"/>
    <x v="0"/>
    <x v="0"/>
    <x v="0"/>
    <x v="0"/>
    <x v="1"/>
  </r>
  <r>
    <x v="4"/>
    <s v="PENN"/>
    <n v="2239"/>
    <n v="16.48"/>
    <n v="-1.02"/>
    <n v="20.350000000000001"/>
    <n v="-0.56000000000000005"/>
    <n v="-16.156862745098039"/>
    <n v="0.80982800982800984"/>
    <n v="-2.88"/>
    <n v="0.92"/>
    <n v="5.07"/>
    <n v="-29.428571428571427"/>
    <s v="NO"/>
    <n v="-2.6821393410834746"/>
    <n v="-0.85373046807228903"/>
    <n v="6.9082441229057642E-2"/>
    <n v="-0.80093803123328167"/>
    <n v="0.13898574615817813"/>
    <n v="-2.6299135737917938"/>
    <x v="0"/>
    <x v="0"/>
    <x v="0"/>
    <x v="0"/>
    <x v="0"/>
    <x v="1"/>
  </r>
  <r>
    <x v="4"/>
    <s v="CZR"/>
    <n v="5590"/>
    <n v="26.74"/>
    <n v="-0.27"/>
    <n v="19.12"/>
    <n v="-1.1000000000000001"/>
    <n v="-99.037037037037024"/>
    <n v="1.3985355648535562"/>
    <n v="-3.77"/>
    <n v="4.34"/>
    <n v="7.99"/>
    <n v="-24.309090909090905"/>
    <s v="NO"/>
    <n v="-9.4027220457487903"/>
    <n v="-0.74711180158636381"/>
    <n v="6.4746041488686998E-2"/>
    <n v="-0.35691463759481179"/>
    <n v="0.82205672611607317"/>
    <n v="-2.3618794642019925"/>
    <x v="1"/>
    <x v="0"/>
    <x v="0"/>
    <x v="0"/>
    <x v="0"/>
    <x v="0"/>
  </r>
  <r>
    <x v="4"/>
    <s v="DELHY"/>
    <n v="8000"/>
    <n v="2.68"/>
    <n v="1.31"/>
    <n v="9.35"/>
    <n v="-3.22"/>
    <n v="2.0458015267175571"/>
    <n v="0.2866310160427808"/>
    <n v="-40.42"/>
    <n v="-1.44"/>
    <n v="4.79"/>
    <n v="-0.83229813664596275"/>
    <s v="NO"/>
    <n v="-1.206122769821373"/>
    <n v="-0.94848475704078272"/>
    <n v="-0.113825925347924"/>
    <n v="-1.1073401391241557"/>
    <n v="7.3485789175914154E-2"/>
    <n v="-1.132734979162507"/>
    <x v="0"/>
    <x v="0"/>
    <x v="0"/>
    <x v="0"/>
    <x v="0"/>
    <x v="0"/>
  </r>
  <r>
    <x v="4"/>
    <s v="FUN"/>
    <n v="3393"/>
    <n v="31.82"/>
    <n v="-1.1100000000000001"/>
    <n v="18.14"/>
    <n v="-3.76"/>
    <n v="-28.666666666666664"/>
    <n v="1.7541345093715546"/>
    <n v="-43.57"/>
    <n v="3.22"/>
    <n v="5"/>
    <n v="-8.462765957446809"/>
    <s v="NO"/>
    <n v="-3.6965335866591076"/>
    <n v="-0.68271058073458391"/>
    <n v="-0.12917385701328074"/>
    <n v="-0.50232580744132815"/>
    <n v="0.12261075691261208"/>
    <n v="-1.5322336471073392"/>
    <x v="1"/>
    <x v="0"/>
    <x v="0"/>
    <x v="0"/>
    <x v="0"/>
    <x v="0"/>
  </r>
  <r>
    <x v="5"/>
    <s v="CVCO"/>
    <n v="3478"/>
    <n v="425.23"/>
    <n v="19.25"/>
    <n v="132.94"/>
    <n v="20.71"/>
    <n v="22.089870129870132"/>
    <n v="3.1986610500977886"/>
    <n v="16.3"/>
    <n v="9.07"/>
    <n v="1.32"/>
    <n v="20.532592950265574"/>
    <s v="NO"/>
    <n v="0.72343188689999272"/>
    <n v="1.4437620676272109"/>
    <n v="2.4006611720473199E-2"/>
    <n v="0.18940797840143847"/>
    <n v="-1.0545613515240082"/>
    <n v="1.5699533297499781"/>
    <x v="0"/>
    <x v="0"/>
    <x v="0"/>
    <x v="0"/>
    <x v="0"/>
    <x v="0"/>
  </r>
  <r>
    <x v="5"/>
    <s v="BLD"/>
    <n v="8087"/>
    <n v="300.8"/>
    <n v="23.01"/>
    <n v="74.14"/>
    <n v="19.77"/>
    <n v="13.072577140373751"/>
    <n v="4.0571891016994872"/>
    <n v="24.59"/>
    <n v="11.26"/>
    <n v="2.17"/>
    <n v="15.214972180070815"/>
    <s v="NO"/>
    <n v="-0.55051911215993588"/>
    <n v="2.2615873853688861"/>
    <n v="0.96761131981958981"/>
    <n v="1.0173590217131134"/>
    <n v="2.5309472436576161"/>
    <n v="0.6418496161140782"/>
    <x v="0"/>
    <x v="0"/>
    <x v="0"/>
    <x v="0"/>
    <x v="0"/>
    <x v="0"/>
  </r>
  <r>
    <x v="5"/>
    <s v="MHO"/>
    <n v="2855"/>
    <n v="108.87"/>
    <n v="4.5999999999999996"/>
    <n v="112.29"/>
    <n v="18.93"/>
    <n v="23.667391304347827"/>
    <n v="0.96954314720812185"/>
    <n v="19.02"/>
    <n v="9.3800000000000008"/>
    <n v="1.53"/>
    <n v="5.751188589540412"/>
    <s v="NO"/>
    <n v="0.94630195207420786"/>
    <n v="-0.67967356597066109"/>
    <n v="0.33360912149485156"/>
    <n v="0.30660652791131049"/>
    <n v="-0.16872981624384226"/>
    <n v="-1.009898990076217"/>
    <x v="0"/>
    <x v="0"/>
    <x v="0"/>
    <x v="0"/>
    <x v="0"/>
    <x v="0"/>
  </r>
  <r>
    <x v="5"/>
    <s v="MTH"/>
    <n v="4569"/>
    <n v="65.28"/>
    <n v="-5.26"/>
    <n v="72.319999999999993"/>
    <n v="9.89"/>
    <n v="-12.410646387832701"/>
    <n v="0.90265486725663724"/>
    <n v="14.58"/>
    <n v="7.79"/>
    <n v="1.48"/>
    <n v="6.6006066734074818"/>
    <s v="NO"/>
    <n v="-4.1507545831423682"/>
    <n v="-0.74339067888556409"/>
    <n v="-0.17177144593097207"/>
    <n v="-0.29450861312319365"/>
    <n v="-0.37964208654864395"/>
    <n v="-0.86164695930237822"/>
    <x v="1"/>
    <x v="0"/>
    <x v="0"/>
    <x v="0"/>
    <x v="0"/>
    <x v="0"/>
  </r>
  <r>
    <x v="5"/>
    <s v="IBP"/>
    <n v="4404"/>
    <n v="168.48"/>
    <n v="9.34"/>
    <n v="24.08"/>
    <n v="8.7799999999999994"/>
    <n v="18.038543897216272"/>
    <n v="6.9966777408637872"/>
    <n v="36.729999999999997"/>
    <n v="11.6"/>
    <n v="3.03"/>
    <n v="19.189066059225514"/>
    <s v="NO"/>
    <n v="0.15106597757232695"/>
    <n v="5.061715145711287"/>
    <n v="2.3494401685919994"/>
    <n v="1.1458993663368437"/>
    <n v="6.1586382929002008"/>
    <n v="1.3354626898884399"/>
    <x v="0"/>
    <x v="1"/>
    <x v="0"/>
    <x v="1"/>
    <x v="1"/>
    <x v="0"/>
  </r>
  <r>
    <x v="5"/>
    <s v="TMHC"/>
    <n v="5649"/>
    <n v="57.95"/>
    <n v="3.69"/>
    <n v="59.15"/>
    <n v="8.6"/>
    <n v="15.704607046070462"/>
    <n v="0.97971259509721054"/>
    <n v="15.97"/>
    <n v="8.77"/>
    <n v="1.58"/>
    <n v="6.7383720930232567"/>
    <s v="NO"/>
    <n v="-0.17866947482157922"/>
    <n v="-0.66998625064574513"/>
    <n v="-1.3555457480094783E-2"/>
    <n v="7.5990027262852575E-2"/>
    <n v="4.2182454060959398E-2"/>
    <n v="-0.83760225903479479"/>
    <x v="0"/>
    <x v="0"/>
    <x v="0"/>
    <x v="0"/>
    <x v="0"/>
    <x v="0"/>
  </r>
  <r>
    <x v="5"/>
    <s v="GRBK"/>
    <n v="2567"/>
    <n v="59.6"/>
    <n v="1.95"/>
    <n v="37.090000000000003"/>
    <n v="8.31"/>
    <n v="30.564102564102566"/>
    <n v="1.6069021299541655"/>
    <n v="25.68"/>
    <n v="14.12"/>
    <n v="1.38"/>
    <n v="7.1720818291215398"/>
    <s v="NO"/>
    <n v="1.9206600227087869"/>
    <n v="-7.2531712414058008E-2"/>
    <n v="1.0916799726335871"/>
    <n v="2.0986101559009631"/>
    <n v="-0.80146662715824724"/>
    <n v="-0.76190531972520203"/>
    <x v="0"/>
    <x v="0"/>
    <x v="1"/>
    <x v="0"/>
    <x v="0"/>
    <x v="0"/>
  </r>
  <r>
    <x v="5"/>
    <s v="KBH"/>
    <n v="3700"/>
    <n v="52.95"/>
    <n v="-0.56000000000000005"/>
    <n v="57.05"/>
    <n v="8.2200000000000006"/>
    <n v="-94.553571428571431"/>
    <n v="0.92813321647677482"/>
    <n v="15.7"/>
    <n v="7.17"/>
    <n v="1.71"/>
    <n v="6.4416058394160585"/>
    <s v="NO"/>
    <n v="-15.755796311657663"/>
    <n v="-0.71912025579616301"/>
    <n v="-4.4288059553286914E-2"/>
    <n v="-0.52890571214293736"/>
    <n v="0.59055435685344282"/>
    <n v="-0.88939795375571906"/>
    <x v="1"/>
    <x v="0"/>
    <x v="0"/>
    <x v="0"/>
    <x v="0"/>
    <x v="0"/>
  </r>
  <r>
    <x v="5"/>
    <s v="MHK"/>
    <n v="6291"/>
    <n v="103.1"/>
    <n v="7.89"/>
    <n v="125.7"/>
    <n v="7.66"/>
    <n v="13.067173637515843"/>
    <n v="0.82020684168655522"/>
    <n v="6.26"/>
    <n v="3.59"/>
    <n v="1.71"/>
    <n v="13.459530026109659"/>
    <s v="NO"/>
    <n v="-0.55128251176026755"/>
    <n v="-0.82192985134851393"/>
    <n v="-1.1187908875937769"/>
    <n v="-1.8823599290633926"/>
    <n v="0.59055435685344282"/>
    <n v="0.33546590569678192"/>
    <x v="0"/>
    <x v="0"/>
    <x v="0"/>
    <x v="0"/>
    <x v="0"/>
    <x v="0"/>
  </r>
  <r>
    <x v="5"/>
    <s v="TPH"/>
    <n v="2673"/>
    <n v="30.63"/>
    <n v="5.32"/>
    <n v="36.64"/>
    <n v="4.51"/>
    <n v="5.757518796992481"/>
    <n v="0.83597161572052403"/>
    <n v="13.28"/>
    <n v="6.93"/>
    <n v="1.45"/>
    <n v="6.7915742793791578"/>
    <s v="YES"/>
    <n v="-1.5839806948752053"/>
    <n v="-0.80691248376290858"/>
    <n v="-0.31974323369078539"/>
    <n v="-0.61964007305380597"/>
    <n v="-0.50618944873152494"/>
    <n v="-0.82831668774937717"/>
    <x v="0"/>
    <x v="0"/>
    <x v="0"/>
    <x v="0"/>
    <x v="0"/>
    <x v="0"/>
  </r>
  <r>
    <x v="5"/>
    <s v="SKY"/>
    <n v="3746"/>
    <n v="65.05"/>
    <n v="3.31"/>
    <n v="27.04"/>
    <n v="3.42"/>
    <n v="19.652567975830813"/>
    <n v="2.4056952662721893"/>
    <n v="13.59"/>
    <n v="7.61"/>
    <n v="1.37"/>
    <n v="19.020467836257311"/>
    <s v="NO"/>
    <n v="0.37909312384037941"/>
    <n v="0.6883907167370793"/>
    <n v="-0.28445765353267605"/>
    <n v="-0.36255938380634495"/>
    <n v="-0.84364908121920668"/>
    <n v="1.3060366281944107"/>
    <x v="0"/>
    <x v="0"/>
    <x v="0"/>
    <x v="0"/>
    <x v="0"/>
    <x v="0"/>
  </r>
  <r>
    <x v="5"/>
    <s v="WHR"/>
    <n v="4343"/>
    <n v="84.58"/>
    <n v="10.47"/>
    <n v="46.76"/>
    <n v="0.13"/>
    <n v="8.0783190066857689"/>
    <n v="1.8088109495295124"/>
    <n v="0.96"/>
    <n v="3.42"/>
    <n v="6.42"/>
    <n v="650.61538461538453"/>
    <s v="NO"/>
    <n v="-1.2561011694787061"/>
    <n v="0.11980462909043901"/>
    <n v="-1.7220604838453231"/>
    <n v="-1.9466301013752578"/>
    <n v="20.458490219565743"/>
    <n v="111.54059699057166"/>
    <x v="0"/>
    <x v="0"/>
    <x v="0"/>
    <x v="1"/>
    <x v="1"/>
    <x v="1"/>
  </r>
  <r>
    <x v="6"/>
    <s v="GOLF"/>
    <n v="4010"/>
    <n v="72.400000000000006"/>
    <n v="2.4900000000000002"/>
    <n v="13.13"/>
    <n v="3.61"/>
    <n v="29.076305220883533"/>
    <n v="5.5140898705255141"/>
    <n v="25.25"/>
    <n v="7.73"/>
    <n v="3.08"/>
    <n v="20.055401662049864"/>
    <s v="NO"/>
    <n v="8.0788167387210024"/>
    <n v="0.33336716541773875"/>
    <n v="0.24806962111443842"/>
    <n v="0.44798061118548299"/>
    <n v="-8.7993657080910934E-2"/>
    <n v="-0.12686852923996356"/>
    <x v="1"/>
    <x v="0"/>
    <x v="0"/>
    <x v="0"/>
    <x v="0"/>
    <x v="0"/>
  </r>
  <r>
    <x v="6"/>
    <s v="HAS"/>
    <n v="9348"/>
    <n v="67.569999999999993"/>
    <n v="4.3899999999999997"/>
    <n v="8.35"/>
    <n v="3.03"/>
    <n v="15.391799544419134"/>
    <n v="8.0922155688622741"/>
    <n v="39.04"/>
    <n v="8.7100000000000009"/>
    <n v="5.16"/>
    <n v="22.300330033003299"/>
    <s v="NO"/>
    <n v="1.5769320579207586"/>
    <n v="1.2088600738592219"/>
    <n v="1.4335883225589123"/>
    <n v="0.70826974100471607"/>
    <n v="1.6914336305552897"/>
    <n v="0.14072463575988037"/>
    <x v="0"/>
    <x v="0"/>
    <x v="0"/>
    <x v="0"/>
    <x v="0"/>
    <x v="0"/>
  </r>
  <r>
    <x v="6"/>
    <s v="YETI"/>
    <n v="2531"/>
    <n v="32.25"/>
    <n v="2.33"/>
    <n v="9.23"/>
    <n v="2.08"/>
    <n v="13.841201716738198"/>
    <n v="3.4940411700975078"/>
    <n v="25.01"/>
    <n v="12.68"/>
    <n v="1.62"/>
    <n v="15.504807692307692"/>
    <s v="NO"/>
    <n v="0.84020042140865281"/>
    <n v="-0.35261114552035877"/>
    <n v="0.22743695335905975"/>
    <n v="1.7627063179254858"/>
    <n v="-1.3370147339793979"/>
    <n v="-0.66929467465650694"/>
    <x v="0"/>
    <x v="0"/>
    <x v="0"/>
    <x v="0"/>
    <x v="0"/>
    <x v="0"/>
  </r>
  <r>
    <x v="6"/>
    <s v="DOOO"/>
    <n v="3213"/>
    <n v="47.18"/>
    <n v="4.04"/>
    <n v="4.6100000000000003"/>
    <n v="1.79"/>
    <n v="11.678217821782178"/>
    <n v="10.234273318872017"/>
    <n v="32.25"/>
    <n v="5.13"/>
    <n v="13.67"/>
    <n v="26.35754189944134"/>
    <s v="NO"/>
    <n v="-0.18749266330536485"/>
    <n v="1.9362708323088615"/>
    <n v="0.84985576397965368"/>
    <n v="-0.24258238629411474"/>
    <n v="8.9716866198745517"/>
    <n v="0.62434013924874388"/>
    <x v="0"/>
    <x v="0"/>
    <x v="0"/>
    <x v="0"/>
    <x v="1"/>
    <x v="0"/>
  </r>
  <r>
    <x v="6"/>
    <s v="MAT"/>
    <n v="6116"/>
    <n v="19.059999999999999"/>
    <n v="1.73"/>
    <n v="6.19"/>
    <n v="1.57"/>
    <n v="11.017341040462426"/>
    <n v="3.0791599353796442"/>
    <n v="25.5"/>
    <n v="7.52"/>
    <n v="2.91"/>
    <n v="12.140127388535031"/>
    <s v="YES"/>
    <n v="-0.5014933822169485"/>
    <n v="-0.49349860460556388"/>
    <n v="0.26956198335962467"/>
    <n v="0.39220436908136141"/>
    <n v="-0.2334276180896388"/>
    <n v="-1.0703611244144438"/>
    <x v="0"/>
    <x v="0"/>
    <x v="0"/>
    <x v="0"/>
    <x v="0"/>
    <x v="0"/>
  </r>
  <r>
    <x v="6"/>
    <s v="BC"/>
    <n v="3325"/>
    <n v="57.22"/>
    <n v="6.09"/>
    <n v="28.47"/>
    <n v="1.5"/>
    <n v="9.3957307060755344"/>
    <n v="2.0098349139445029"/>
    <n v="5.16"/>
    <n v="3.69"/>
    <n v="3.13"/>
    <n v="38.146666666666668"/>
    <s v="NO"/>
    <n v="-1.2719650120041321"/>
    <n v="-0.85662538065433069"/>
    <n v="-1.4790566089087294"/>
    <n v="-0.62504804643666112"/>
    <n v="-4.5218962666579342E-2"/>
    <n v="2.0295917498825649"/>
    <x v="0"/>
    <x v="0"/>
    <x v="0"/>
    <x v="0"/>
    <x v="0"/>
    <x v="0"/>
  </r>
  <r>
    <x v="6"/>
    <s v="THUPY"/>
    <n v="2765"/>
    <n v="13.6"/>
    <n v="1.51"/>
    <n v="7.05"/>
    <n v="1.02"/>
    <n v="9.0066225165562912"/>
    <n v="1.9290780141843971"/>
    <n v="14.34"/>
    <n v="7.51"/>
    <n v="1.94"/>
    <n v="13.333333333333332"/>
    <s v="YES"/>
    <n v="-1.4568410050741816"/>
    <n v="-0.88404921537786829"/>
    <n v="-0.6898570672654899"/>
    <n v="0.38954835755259376"/>
    <n v="-1.0632566897276747"/>
    <n v="-0.92813219658027835"/>
    <x v="0"/>
    <x v="0"/>
    <x v="0"/>
    <x v="0"/>
    <x v="0"/>
    <x v="0"/>
  </r>
  <r>
    <x v="6"/>
    <s v="PII"/>
    <n v="2204"/>
    <n v="41.6"/>
    <n v="2.99"/>
    <n v="21.82"/>
    <n v="0.71"/>
    <n v="13.913043478260869"/>
    <n v="1.9065077910174153"/>
    <n v="3.11"/>
    <n v="2.44"/>
    <n v="4.4400000000000004"/>
    <n v="58.591549295774655"/>
    <s v="NO"/>
    <n v="0.87433441643408716"/>
    <n v="-0.891713725427701"/>
    <n v="-1.6552939793192567"/>
    <n v="-0.95704948753262153"/>
    <n v="1.0754780309889129"/>
    <n v="4.466600841825132"/>
    <x v="0"/>
    <x v="0"/>
    <x v="0"/>
    <x v="0"/>
    <x v="0"/>
    <x v="1"/>
  </r>
  <r>
    <x v="6"/>
    <s v="PTON"/>
    <n v="2830"/>
    <n v="7.65"/>
    <n v="0.62"/>
    <n v="-1.23"/>
    <n v="-0.45"/>
    <n v="12.338709677419356"/>
    <n v="-6.2195121951219514"/>
    <n v="31.62"/>
    <n v="-1.02"/>
    <n v="-4.2"/>
    <n v="-17"/>
    <s v="NO"/>
    <n v="0.12632516683712847"/>
    <n v="-3.6511885160899427"/>
    <n v="0.79569501112178442"/>
    <n v="-1.87602947648624"/>
    <n v="-6.3159891638076129"/>
    <n v="-4.5438344954534466"/>
    <x v="0"/>
    <x v="1"/>
    <x v="0"/>
    <x v="0"/>
    <x v="1"/>
    <x v="1"/>
  </r>
  <r>
    <x v="7"/>
    <s v="GPI"/>
    <n v="5483"/>
    <n v="430.89"/>
    <n v="24.6"/>
    <n v="234.33"/>
    <n v="35.53"/>
    <n v="17.515853658536585"/>
    <n v="1.8388170528741516"/>
    <n v="16.559999999999999"/>
    <n v="6.63"/>
    <n v="3.3"/>
    <n v="12.127497889107795"/>
    <s v="NO"/>
    <n v="-0.24907586262341949"/>
    <n v="-0.49146640408897357"/>
    <n v="-0.17117941339253223"/>
    <n v="0.31664460971550618"/>
    <n v="0.37131128908246547"/>
    <n v="3.1934480836179953E-2"/>
    <x v="0"/>
    <x v="0"/>
    <x v="0"/>
    <x v="0"/>
    <x v="0"/>
    <x v="0"/>
  </r>
  <r>
    <x v="7"/>
    <s v="LAD"/>
    <n v="8249"/>
    <n v="323.56"/>
    <n v="4.28"/>
    <n v="258.92"/>
    <n v="31.74"/>
    <n v="75.598130841121488"/>
    <n v="1.2496524022864204"/>
    <n v="13.14"/>
    <n v="4.5"/>
    <n v="3.47"/>
    <n v="10.194076874606175"/>
    <s v="NO"/>
    <n v="1.8932877036306637"/>
    <n v="-1.003977316427445"/>
    <n v="-0.25891110735363809"/>
    <n v="-0.20416853213316424"/>
    <n v="0.5464095391352235"/>
    <n v="-0.20029680386042953"/>
    <x v="0"/>
    <x v="0"/>
    <x v="0"/>
    <x v="0"/>
    <x v="0"/>
    <x v="0"/>
  </r>
  <r>
    <x v="7"/>
    <s v="MUSA"/>
    <n v="8434"/>
    <n v="413.97"/>
    <n v="18.239999999999998"/>
    <n v="36.409999999999997"/>
    <n v="23.76"/>
    <n v="22.695723684210531"/>
    <n v="11.369678659708873"/>
    <n v="65.239999999999995"/>
    <n v="10.49"/>
    <n v="6.26"/>
    <n v="17.422979797979799"/>
    <s v="NO"/>
    <n v="-5.8016466208039602E-2"/>
    <n v="7.7993748278447255"/>
    <n v="1.0775863357380628"/>
    <n v="1.2604656085586368"/>
    <n v="3.4200808194128332"/>
    <n v="0.66799696156906885"/>
    <x v="0"/>
    <x v="1"/>
    <x v="0"/>
    <x v="1"/>
    <x v="1"/>
    <x v="0"/>
  </r>
  <r>
    <x v="7"/>
    <s v="ABG"/>
    <n v="4481"/>
    <n v="237.48"/>
    <n v="28.43"/>
    <n v="184.32"/>
    <n v="20.94"/>
    <n v="8.3531480830109039"/>
    <n v="1.2884114583333333"/>
    <n v="11.92"/>
    <n v="6.05"/>
    <n v="2.82"/>
    <n v="11.340974212034382"/>
    <s v="YES"/>
    <n v="-0.58704206411396787"/>
    <n v="-0.97026103837823563"/>
    <n v="-0.29020720870818467"/>
    <n v="0.17482694667690107"/>
    <n v="-0.12308376989002662"/>
    <n v="-6.2538167697715905E-2"/>
    <x v="0"/>
    <x v="0"/>
    <x v="0"/>
    <x v="0"/>
    <x v="0"/>
    <x v="0"/>
  </r>
  <r>
    <x v="7"/>
    <s v="AN"/>
    <n v="6931"/>
    <n v="189.25"/>
    <n v="-8.61"/>
    <n v="63.43"/>
    <n v="16.86"/>
    <n v="-21.980255516840884"/>
    <n v="2.9836039728834938"/>
    <n v="28.45"/>
    <n v="6.48"/>
    <n v="5.54"/>
    <n v="11.224792408066429"/>
    <s v="NO"/>
    <n v="-1.7058890147684393"/>
    <n v="0.50437709776037931"/>
    <n v="0.13382931210382723"/>
    <n v="0.27996762789517743"/>
    <n v="2.6784882309540956"/>
    <n v="-7.6493250109397587E-2"/>
    <x v="0"/>
    <x v="0"/>
    <x v="0"/>
    <x v="0"/>
    <x v="1"/>
    <x v="0"/>
  </r>
  <r>
    <x v="7"/>
    <s v="ANF"/>
    <n v="3739"/>
    <n v="81.98"/>
    <n v="8.26"/>
    <n v="24.16"/>
    <n v="10.18"/>
    <n v="9.924939467312349"/>
    <n v="3.3932119205298013"/>
    <n v="47.14"/>
    <n v="14.87"/>
    <n v="2.6"/>
    <n v="8.0530451866404729"/>
    <s v="NO"/>
    <n v="-0.52906657212535257"/>
    <n v="0.86069267565508178"/>
    <n v="0.61327532383864292"/>
    <n v="2.331433477712241"/>
    <n v="-0.34968150525241859"/>
    <n v="-0.4574650748904166"/>
    <x v="0"/>
    <x v="0"/>
    <x v="1"/>
    <x v="1"/>
    <x v="0"/>
    <x v="0"/>
  </r>
  <r>
    <x v="7"/>
    <s v="SAH"/>
    <n v="2375"/>
    <n v="74.36"/>
    <n v="2.36"/>
    <n v="32.15"/>
    <n v="7.02"/>
    <n v="31.508474576271187"/>
    <n v="2.3129082426127527"/>
    <n v="24.52"/>
    <n v="5.3"/>
    <n v="5.39"/>
    <n v="10.592592592592593"/>
    <s v="NO"/>
    <n v="0.26704166417953473"/>
    <n v="-7.905722790677043E-2"/>
    <n v="3.301482167483711E-2"/>
    <n v="-8.5579624247434458E-3"/>
    <n v="2.5239897750251914"/>
    <n v="-0.15242941415812311"/>
    <x v="0"/>
    <x v="0"/>
    <x v="0"/>
    <x v="0"/>
    <x v="0"/>
    <x v="0"/>
  </r>
  <r>
    <x v="7"/>
    <s v="BOOT"/>
    <n v="4905"/>
    <n v="167.48"/>
    <n v="-0.02"/>
    <n v="36.97"/>
    <n v="5.88"/>
    <n v="-8374"/>
    <n v="4.5301595888558293"/>
    <n v="17.440000000000001"/>
    <n v="8.0299999999999994"/>
    <n v="1.78"/>
    <n v="28.482993197278912"/>
    <s v="NO"/>
    <n v="-309.76996076194882"/>
    <n v="1.8497168579334822"/>
    <n v="-0.14860517634990841"/>
    <n v="0.6589631067052425"/>
    <n v="-1.194273064330426"/>
    <n v="1.9964614301023371"/>
    <x v="1"/>
    <x v="0"/>
    <x v="0"/>
    <x v="0"/>
    <x v="0"/>
    <x v="0"/>
  </r>
  <r>
    <x v="7"/>
    <s v="ASO"/>
    <n v="2722"/>
    <n v="44.37"/>
    <n v="4.59"/>
    <n v="29.33"/>
    <n v="5.73"/>
    <n v="9.6666666666666661"/>
    <n v="1.5127855438117968"/>
    <n v="21.14"/>
    <n v="6.94"/>
    <n v="2.4500000000000002"/>
    <n v="7.7434554973821976"/>
    <s v="YES"/>
    <n v="-0.53859295891832104"/>
    <n v="-0.77507932281033265"/>
    <n v="-5.3690770602513149E-2"/>
    <n v="0.39244370547751939"/>
    <n v="-0.50417996118132224"/>
    <n v="-0.49465118734394559"/>
    <x v="0"/>
    <x v="0"/>
    <x v="0"/>
    <x v="0"/>
    <x v="0"/>
    <x v="0"/>
  </r>
  <r>
    <x v="7"/>
    <s v="URBN"/>
    <n v="6264"/>
    <n v="69.709999999999994"/>
    <n v="3.14"/>
    <n v="27.14"/>
    <n v="4.7699999999999996"/>
    <n v="22.200636942675157"/>
    <n v="2.5685335298452467"/>
    <n v="19.55"/>
    <n v="7.62"/>
    <n v="1.83"/>
    <n v="14.614255765199161"/>
    <s v="NO"/>
    <n v="-7.6277730205430869E-2"/>
    <n v="0.14330972680719165"/>
    <n v="-9.4478312531799225E-2"/>
    <n v="0.55871268972967703"/>
    <n v="-1.1427735790207914"/>
    <n v="0.33062937034164719"/>
    <x v="0"/>
    <x v="0"/>
    <x v="0"/>
    <x v="0"/>
    <x v="0"/>
    <x v="0"/>
  </r>
  <r>
    <x v="7"/>
    <s v="FIVE"/>
    <n v="6418"/>
    <n v="126.22"/>
    <n v="1.94"/>
    <n v="32.86"/>
    <n v="4.5999999999999996"/>
    <n v="65.0618556701031"/>
    <n v="3.8411442483262324"/>
    <n v="14.95"/>
    <n v="4.93"/>
    <n v="2.4"/>
    <n v="27.439130434782612"/>
    <s v="NO"/>
    <n v="1.5046574166420994"/>
    <n v="1.2503464095575358"/>
    <n v="-0.21248000616369611"/>
    <n v="-9.902785091488811E-2"/>
    <n v="-0.55567944649095713"/>
    <n v="1.8710787076827426"/>
    <x v="0"/>
    <x v="0"/>
    <x v="0"/>
    <x v="0"/>
    <x v="0"/>
    <x v="0"/>
  </r>
  <r>
    <x v="7"/>
    <s v="BKE"/>
    <n v="2180"/>
    <n v="43.87"/>
    <n v="4"/>
    <n v="8.82"/>
    <n v="3.9"/>
    <n v="10.967499999999999"/>
    <n v="4.9739229024943308"/>
    <n v="44.55"/>
    <n v="16.100000000000001"/>
    <n v="2.19"/>
    <n v="11.248717948717948"/>
    <s v="NO"/>
    <n v="-0.49061174891270193"/>
    <n v="2.2357439906006094"/>
    <n v="0.54683523981546611"/>
    <n v="2.6321847286389377"/>
    <n v="-0.77197728479142236"/>
    <n v="-7.3619453351791056E-2"/>
    <x v="0"/>
    <x v="0"/>
    <x v="1"/>
    <x v="0"/>
    <x v="0"/>
    <x v="0"/>
  </r>
  <r>
    <x v="7"/>
    <s v="BBWI"/>
    <n v="5951"/>
    <n v="26.83"/>
    <n v="3.59"/>
    <n v="-6.84"/>
    <n v="3.75"/>
    <n v="7.4735376044568245"/>
    <n v="-3.922514619883041"/>
    <n v="-52.21"/>
    <n v="15.94"/>
    <n v="-3.36"/>
    <n v="7.1546666666666665"/>
    <s v="NO"/>
    <n v="-0.61948647802400991"/>
    <n v="-5.5032154099802115"/>
    <n v="-1.9353047331893902"/>
    <n v="2.5930626146972537"/>
    <n v="-6.4884201541608624"/>
    <n v="-0.56537307644440549"/>
    <x v="0"/>
    <x v="1"/>
    <x v="1"/>
    <x v="1"/>
    <x v="1"/>
    <x v="0"/>
  </r>
  <r>
    <x v="7"/>
    <s v="RH"/>
    <n v="3392"/>
    <n v="184.85"/>
    <n v="-11.56"/>
    <n v="-8.74"/>
    <n v="3.62"/>
    <n v="-15.990484429065743"/>
    <n v="-21.149885583524025"/>
    <n v="-31.42"/>
    <n v="5.08"/>
    <n v="-27.84"/>
    <n v="51.063535911602209"/>
    <s v="NO"/>
    <n v="-1.4849564347955055"/>
    <n v="-20.489205490955367"/>
    <n v="-1.401988383057404"/>
    <n v="-6.2350869094559114E-2"/>
    <n v="-31.702568161757956"/>
    <n v="4.7087048599409709"/>
    <x v="0"/>
    <x v="1"/>
    <x v="0"/>
    <x v="1"/>
    <x v="1"/>
    <x v="1"/>
  </r>
  <r>
    <x v="7"/>
    <s v="KMX"/>
    <n v="9819"/>
    <n v="67.2"/>
    <n v="1.01"/>
    <n v="40.72"/>
    <n v="3.21"/>
    <n v="66.534653465346537"/>
    <n v="1.650294695481336"/>
    <n v="8.1300000000000008"/>
    <n v="1.81"/>
    <n v="4.3899999999999997"/>
    <n v="20.934579439252339"/>
    <s v="NO"/>
    <n v="1.5589815321906362"/>
    <n v="-0.65546090933840873"/>
    <n v="-0.38743034324403008"/>
    <n v="-0.86190907277772921"/>
    <n v="1.4940000688324995"/>
    <n v="1.0897898819501932"/>
    <x v="0"/>
    <x v="0"/>
    <x v="0"/>
    <x v="0"/>
    <x v="0"/>
    <x v="0"/>
  </r>
  <r>
    <x v="7"/>
    <s v="GAP"/>
    <n v="8402"/>
    <n v="22.25"/>
    <n v="2.34"/>
    <n v="8.86"/>
    <n v="2.2999999999999998"/>
    <n v="9.5085470085470085"/>
    <n v="2.5112866817155757"/>
    <n v="29.16"/>
    <n v="6.51"/>
    <n v="3.48"/>
    <n v="9.6739130434782616"/>
    <s v="NO"/>
    <n v="-0.54442519916605148"/>
    <n v="9.3511025656042496E-2"/>
    <n v="0.1520426169904896"/>
    <n v="0.28730302425924303"/>
    <n v="0.55670943619715019"/>
    <n v="-0.26277585723240493"/>
    <x v="0"/>
    <x v="0"/>
    <x v="0"/>
    <x v="0"/>
    <x v="0"/>
    <x v="0"/>
  </r>
  <r>
    <x v="7"/>
    <s v="VVV"/>
    <n v="4397"/>
    <n v="36.76"/>
    <n v="0.18"/>
    <n v="1.96"/>
    <n v="2.06"/>
    <n v="204.22222222222223"/>
    <n v="18.755102040816325"/>
    <n v="174.55"/>
    <n v="7.72"/>
    <n v="9.86"/>
    <n v="17.844660194174757"/>
    <s v="NO"/>
    <n v="6.6375845956269783"/>
    <n v="14.223911790952336"/>
    <n v="3.8816657120212468"/>
    <n v="0.58316401094322956"/>
    <n v="7.1280437617065235"/>
    <n v="0.71864675765860453"/>
    <x v="1"/>
    <x v="1"/>
    <x v="0"/>
    <x v="1"/>
    <x v="1"/>
    <x v="0"/>
  </r>
  <r>
    <x v="7"/>
    <s v="FND"/>
    <n v="7714"/>
    <n v="74.61"/>
    <n v="1.17"/>
    <n v="20.65"/>
    <n v="1.89"/>
    <n v="63.769230769230774"/>
    <n v="3.613075060532688"/>
    <n v="9.74"/>
    <n v="3.15"/>
    <n v="2.42"/>
    <n v="39.476190476190474"/>
    <s v="NO"/>
    <n v="1.4569789744943114"/>
    <n v="1.0519503459176687"/>
    <n v="-0.3461297504728662"/>
    <n v="-0.53426136851612438"/>
    <n v="-0.53507965236710331"/>
    <n v="3.3169003349535826"/>
    <x v="0"/>
    <x v="0"/>
    <x v="0"/>
    <x v="0"/>
    <x v="0"/>
    <x v="1"/>
  </r>
  <r>
    <x v="7"/>
    <s v="ATZAF"/>
    <n v="5493"/>
    <n v="50.427999999999997"/>
    <n v="1.1000000000000001"/>
    <n v="6.62"/>
    <n v="1.23"/>
    <n v="45.843636363636357"/>
    <n v="7.6175226586102713"/>
    <n v="21.85"/>
    <n v="8.3699999999999992"/>
    <n v="2.2400000000000002"/>
    <n v="40.998373983739839"/>
    <s v="NO"/>
    <n v="0.7957938037188772"/>
    <n v="4.5353960853302642"/>
    <n v="-3.5477465715850795E-2"/>
    <n v="0.74209759883132131"/>
    <n v="-0.72047779948178747"/>
    <n v="3.4997361626655836"/>
    <x v="0"/>
    <x v="1"/>
    <x v="0"/>
    <x v="0"/>
    <x v="0"/>
    <x v="1"/>
  </r>
  <r>
    <x v="7"/>
    <s v="FHNGY"/>
    <n v="2495"/>
    <n v="7.49"/>
    <n v="1.02"/>
    <n v="4.32"/>
    <n v="0.53"/>
    <n v="7.3431372549019605"/>
    <n v="1.7337962962962963"/>
    <n v="12.66"/>
    <n v="6.84"/>
    <n v="2.2599999999999998"/>
    <n v="14.132075471698112"/>
    <s v="YES"/>
    <n v="-0.62429629216120253"/>
    <n v="-0.58282335110624606"/>
    <n v="-0.27122432755870562"/>
    <n v="0.36799238426396663"/>
    <n v="-0.6998780053579341"/>
    <n v="0.27271267854236964"/>
    <x v="0"/>
    <x v="0"/>
    <x v="0"/>
    <x v="0"/>
    <x v="0"/>
    <x v="0"/>
  </r>
  <r>
    <x v="7"/>
    <s v="JDSPY"/>
    <n v="5881"/>
    <n v="1.06"/>
    <n v="0.17"/>
    <n v="0.7"/>
    <n v="0.12"/>
    <n v="6.2352941176470589"/>
    <n v="1.5142857142857145"/>
    <n v="17.309999999999999"/>
    <n v="7.36"/>
    <n v="3.41"/>
    <n v="8.8333333333333339"/>
    <s v="NO"/>
    <n v="-0.66515906286350479"/>
    <n v="-0.77377433321619493"/>
    <n v="-0.15194000682211425"/>
    <n v="0.4951392545744403"/>
    <n v="0.48461015676366187"/>
    <n v="-0.36374140199099403"/>
    <x v="0"/>
    <x v="0"/>
    <x v="0"/>
    <x v="0"/>
    <x v="0"/>
    <x v="0"/>
  </r>
  <r>
    <x v="7"/>
    <s v="WRBY"/>
    <n v="2570"/>
    <n v="22.48"/>
    <n v="0.35"/>
    <n v="2.92"/>
    <n v="-0.12"/>
    <n v="64.228571428571428"/>
    <n v="7.6986301369863019"/>
    <n v="-4.25"/>
    <n v="-2.0699999999999998"/>
    <n v="1.93"/>
    <n v="-187.33333333333334"/>
    <s v="NO"/>
    <n v="1.4739217450054787"/>
    <n v="4.6059510103389263"/>
    <n v="-0.70500881436639595"/>
    <n v="-1.8106203358635702"/>
    <n v="-1.0397746084015222"/>
    <n v="-23.926140213713115"/>
    <x v="0"/>
    <x v="1"/>
    <x v="1"/>
    <x v="0"/>
    <x v="0"/>
    <x v="1"/>
  </r>
  <r>
    <x v="7"/>
    <s v="SIG"/>
    <n v="2755"/>
    <n v="79.709999999999994"/>
    <n v="9.51"/>
    <n v="42.87"/>
    <n v="-0.81"/>
    <n v="8.381703470031546"/>
    <n v="1.8593421973407978"/>
    <n v="2.62"/>
    <n v="5.0599999999999996"/>
    <n v="3.09"/>
    <n v="-98.407407407407391"/>
    <s v="NO"/>
    <n v="-0.58598879926725744"/>
    <n v="-0.47361169996511626"/>
    <n v="-0.52877585018136741"/>
    <n v="-6.7241133337269748E-2"/>
    <n v="0.15501345078200021"/>
    <n v="-13.244875312939998"/>
    <x v="0"/>
    <x v="0"/>
    <x v="0"/>
    <x v="0"/>
    <x v="0"/>
    <x v="1"/>
  </r>
  <r>
    <x v="7"/>
    <s v="W"/>
    <n v="5292"/>
    <n v="47.28"/>
    <n v="1.1000000000000001"/>
    <n v="-22.13"/>
    <n v="-2.88"/>
    <n v="42.981818181818177"/>
    <n v="-2.1364663352914599"/>
    <n v="12.67"/>
    <n v="-4.45"/>
    <n v="-1.22"/>
    <n v="-16.416666666666668"/>
    <s v="NO"/>
    <n v="0.6902357005698313"/>
    <n v="-3.9495423664541773"/>
    <n v="-0.27096780213776672"/>
    <n v="-2.3925617807461221"/>
    <n v="-4.2842421829085016"/>
    <n v="-3.3966245115711993"/>
    <x v="0"/>
    <x v="1"/>
    <x v="1"/>
    <x v="0"/>
    <x v="1"/>
    <x v="1"/>
  </r>
  <r>
    <x v="7"/>
    <s v="FL"/>
    <n v="2263"/>
    <n v="24.05"/>
    <n v="0.65"/>
    <n v="27.37"/>
    <n v="-3.72"/>
    <n v="37"/>
    <n v="0.87869930580928024"/>
    <n v="-12.85"/>
    <n v="1.54"/>
    <n v="2.5099999999999998"/>
    <n v="-6.46505376344086"/>
    <s v="NO"/>
    <n v="0.46959646336502769"/>
    <n v="-1.3266672634916914"/>
    <n v="-0.92562067637385526"/>
    <n v="-0.92792764005432127"/>
    <n v="-0.44238057880976112"/>
    <n v="-2.2012946625702496"/>
    <x v="0"/>
    <x v="0"/>
    <x v="0"/>
    <x v="0"/>
    <x v="0"/>
    <x v="0"/>
  </r>
  <r>
    <x v="7"/>
    <s v="AAP"/>
    <n v="2872"/>
    <n v="52.1"/>
    <n v="-4.21"/>
    <n v="36.74"/>
    <n v="-9.7200000000000006"/>
    <n v="-12.375296912114015"/>
    <n v="1.4180729450190528"/>
    <n v="-24.36"/>
    <n v="-0.21"/>
    <n v="4.83"/>
    <n v="-5.3600823045267489"/>
    <s v="NO"/>
    <n v="-1.3516103196432543"/>
    <n v="-0.85746926315857608"/>
    <n v="-1.2208814358745363"/>
    <n v="-1.3558257612914919"/>
    <n v="1.9471955395572842"/>
    <n v="-2.0685719190332672"/>
    <x v="0"/>
    <x v="0"/>
    <x v="1"/>
    <x v="1"/>
    <x v="0"/>
    <x v="0"/>
  </r>
  <r>
    <x v="8"/>
    <s v="CROX"/>
    <n v="5720"/>
    <n v="102.24"/>
    <n v="15.17"/>
    <n v="35.11"/>
    <n v="16.309999999999999"/>
    <n v="6.7396176664469341"/>
    <n v="2.911990885787525"/>
    <n v="53.7"/>
    <n v="12.92"/>
    <n v="2.57"/>
    <n v="6.2685469037400372"/>
    <s v="NO"/>
    <n v="-1.4667051937725506"/>
    <n v="9.8585328133578495E-2"/>
    <n v="1.1330380001204303"/>
    <n v="2.7674141335134421"/>
    <n v="9.3187027206257361E-3"/>
    <n v="-0.19262015188632498"/>
    <x v="0"/>
    <x v="0"/>
    <x v="0"/>
    <x v="1"/>
    <x v="0"/>
    <x v="0"/>
  </r>
  <r>
    <x v="8"/>
    <s v="PVH"/>
    <n v="4020"/>
    <n v="65.319999999999993"/>
    <n v="10.4"/>
    <n v="96.54"/>
    <n v="10.56"/>
    <n v="6.2807692307692298"/>
    <n v="0.67661073130308669"/>
    <n v="11.67"/>
    <n v="4.21"/>
    <n v="2.15"/>
    <n v="6.1856060606060597"/>
    <s v="NO"/>
    <n v="-1.6028041345260042"/>
    <n v="-1.4310120700657101"/>
    <n v="0.14532856869339422"/>
    <n v="-0.43367180312694076"/>
    <n v="-0.64299048772319933"/>
    <n v="-0.19895631361786539"/>
    <x v="0"/>
    <x v="0"/>
    <x v="0"/>
    <x v="0"/>
    <x v="0"/>
    <x v="0"/>
  </r>
  <r>
    <x v="8"/>
    <s v="SKX"/>
    <n v="9281"/>
    <n v="62.11"/>
    <n v="0.75"/>
    <n v="30.16"/>
    <n v="4.16"/>
    <n v="82.813333333333333"/>
    <n v="2.0593501326259949"/>
    <n v="14.83"/>
    <n v="6.71"/>
    <n v="1.92"/>
    <n v="14.930288461538462"/>
    <s v="NO"/>
    <n v="21.097504066635636"/>
    <n v="-0.4848488027538162"/>
    <n v="0.21958890186754207"/>
    <n v="0.48512438993861118"/>
    <n v="-1.0002074253471986"/>
    <n v="0.46908273553624857"/>
    <x v="1"/>
    <x v="0"/>
    <x v="0"/>
    <x v="0"/>
    <x v="0"/>
    <x v="0"/>
  </r>
  <r>
    <x v="8"/>
    <s v="KTB"/>
    <n v="3812"/>
    <n v="68.27"/>
    <n v="6.65"/>
    <n v="7.7"/>
    <n v="4.07"/>
    <n v="10.266165413533834"/>
    <n v="8.8662337662337656"/>
    <n v="56.32"/>
    <n v="14.24"/>
    <n v="3.93"/>
    <n v="16.773955773955773"/>
    <s v="NO"/>
    <n v="-0.42069658706100832"/>
    <n v="4.1728786423630577"/>
    <n v="1.1946082763597554"/>
    <n v="3.2525385234520536"/>
    <n v="2.1215579860625362"/>
    <n v="0.60992738853501938"/>
    <x v="0"/>
    <x v="1"/>
    <x v="0"/>
    <x v="1"/>
    <x v="0"/>
    <x v="0"/>
  </r>
  <r>
    <x v="8"/>
    <s v="COLM"/>
    <n v="3492"/>
    <n v="62.25"/>
    <n v="5.09"/>
    <n v="30.99"/>
    <n v="3.88"/>
    <n v="12.229862475442044"/>
    <n v="2.0087124878993223"/>
    <n v="12.34"/>
    <n v="6.23"/>
    <n v="1.58"/>
    <n v="16.043814432989691"/>
    <s v="NO"/>
    <n v="0.16175519724473261"/>
    <n v="-0.51949848391407605"/>
    <n v="0.16107363933474836"/>
    <n v="0.30871552087002541"/>
    <n v="-1.5282672461826761"/>
    <n v="0.55414915614145832"/>
    <x v="0"/>
    <x v="0"/>
    <x v="0"/>
    <x v="0"/>
    <x v="0"/>
    <x v="0"/>
  </r>
  <r>
    <x v="8"/>
    <s v="GIL"/>
    <n v="7046"/>
    <n v="47.87"/>
    <n v="1.62"/>
    <n v="9.2799999999999994"/>
    <n v="2.56"/>
    <n v="29.549382716049379"/>
    <n v="5.1584051724137936"/>
    <n v="24.4"/>
    <n v="11.46"/>
    <n v="2.79"/>
    <n v="18.69921875"/>
    <s v="NO"/>
    <n v="5.2988945570492421"/>
    <n v="1.6357330214277181"/>
    <n v="0.44448491087912273"/>
    <n v="2.2308371567631604"/>
    <n v="0.35100446914358208"/>
    <n v="0.75700543996328729"/>
    <x v="1"/>
    <x v="0"/>
    <x v="0"/>
    <x v="0"/>
    <x v="0"/>
    <x v="0"/>
  </r>
  <r>
    <x v="8"/>
    <s v="LEVI"/>
    <n v="6859"/>
    <n v="17.52"/>
    <n v="1.1100000000000001"/>
    <n v="5.15"/>
    <n v="0.9"/>
    <n v="15.783783783783782"/>
    <n v="3.4019417475728151"/>
    <n v="17.98"/>
    <n v="7.41"/>
    <n v="3.05"/>
    <n v="19.466666666666665"/>
    <s v="NO"/>
    <n v="1.2158830703670469"/>
    <n v="0.43384264977027565"/>
    <n v="0.29361423398734138"/>
    <n v="0.74238732399696583"/>
    <n v="0.75481492037071163"/>
    <n v="0.81563366143770455"/>
    <x v="0"/>
    <x v="0"/>
    <x v="0"/>
    <x v="0"/>
    <x v="0"/>
    <x v="0"/>
  </r>
  <r>
    <x v="8"/>
    <s v="ZGN"/>
    <n v="2172"/>
    <n v="8.64"/>
    <n v="0.63"/>
    <n v="3.76"/>
    <n v="0.31"/>
    <n v="13.714285714285715"/>
    <n v="2.2978723404255321"/>
    <n v="9.65"/>
    <n v="4.1100000000000003"/>
    <n v="3.09"/>
    <n v="27.870967741935488"/>
    <s v="NO"/>
    <n v="0.60204967081757044"/>
    <n v="-0.32163587106029468"/>
    <n v="9.7858355714983275E-2"/>
    <n v="-0.47042365084956267"/>
    <n v="0.81693960517488551"/>
    <n v="1.4576697059404582"/>
    <x v="0"/>
    <x v="0"/>
    <x v="0"/>
    <x v="0"/>
    <x v="0"/>
    <x v="0"/>
  </r>
  <r>
    <x v="8"/>
    <s v="VFC"/>
    <n v="4856"/>
    <n v="13.02"/>
    <n v="0.87"/>
    <n v="3.82"/>
    <n v="0.18"/>
    <n v="14.96551724137931"/>
    <n v="3.4083769633507854"/>
    <n v="4.41"/>
    <n v="2.8"/>
    <n v="6.3"/>
    <n v="72.333333333333329"/>
    <s v="NO"/>
    <n v="0.97317719841445538"/>
    <n v="0.43824605707935799"/>
    <n v="-2.528219676366697E-2"/>
    <n v="-0.95187285601591209"/>
    <n v="5.8024455607098346"/>
    <n v="4.8543163845726029"/>
    <x v="0"/>
    <x v="0"/>
    <x v="0"/>
    <x v="0"/>
    <x v="1"/>
    <x v="1"/>
  </r>
  <r>
    <x v="8"/>
    <s v="UA"/>
    <n v="2685"/>
    <n v="6.32"/>
    <n v="-0.53"/>
    <n v="4.4400000000000004"/>
    <n v="-0.47"/>
    <n v="-11.924528301886792"/>
    <n v="1.4234234234234233"/>
    <n v="-9.9499999999999993"/>
    <n v="2.79"/>
    <n v="2.2799999999999998"/>
    <n v="-13.446808510638299"/>
    <s v="NO"/>
    <n v="-7.0026737159411327"/>
    <n v="-0.91999261392629783"/>
    <n v="-0.36274371080821222"/>
    <n v="-0.95554804078817424"/>
    <n v="-0.44108526210963456"/>
    <n v="-1.6987500124004584"/>
    <x v="1"/>
    <x v="0"/>
    <x v="0"/>
    <x v="0"/>
    <x v="0"/>
    <x v="0"/>
  </r>
  <r>
    <x v="8"/>
    <s v="UAA"/>
    <n v="2859"/>
    <n v="6.75"/>
    <n v="-0.53"/>
    <n v="4.4400000000000004"/>
    <n v="-0.47"/>
    <n v="-12.735849056603772"/>
    <n v="1.5202702702702702"/>
    <n v="-9.9499999999999993"/>
    <n v="2.79"/>
    <n v="2.2799999999999998"/>
    <n v="-14.361702127659575"/>
    <s v="NO"/>
    <n v="-7.243319399226916"/>
    <n v="-0.85372348978490187"/>
    <n v="-0.36274371080821222"/>
    <n v="-0.95554804078817424"/>
    <n v="-0.44108526210963456"/>
    <n v="-1.7686421633065788"/>
    <x v="1"/>
    <x v="0"/>
    <x v="0"/>
    <x v="0"/>
    <x v="0"/>
    <x v="0"/>
  </r>
  <r>
    <x v="8"/>
    <s v="CPRI"/>
    <n v="2137"/>
    <n v="17.41"/>
    <n v="1.29"/>
    <n v="3.12"/>
    <n v="-10"/>
    <n v="13.496124031007751"/>
    <n v="5.5801282051282053"/>
    <n v="-119.57"/>
    <n v="0.55000000000000004"/>
    <n v="14.17"/>
    <n v="-1.7410000000000001"/>
    <s v="NO"/>
    <n v="0.5373407785157629"/>
    <n v="1.9243042750941683"/>
    <n v="-2.9388252685772271"/>
    <n v="-1.7787894297749087"/>
    <n v="18.025477295931033"/>
    <n v="-0.80449944634294868"/>
    <x v="0"/>
    <x v="0"/>
    <x v="0"/>
    <x v="1"/>
    <x v="1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s v="SMP"/>
    <n v="666"/>
    <n v="30.22"/>
    <n v="0.88"/>
    <n v="29.02"/>
    <n v="2.58"/>
    <n v="34.340909090909086"/>
    <n v="1.0413507925568573"/>
    <n v="8.94"/>
    <n v="5.58"/>
    <n v="3.02"/>
    <n v="11.713178294573643"/>
    <s v="NO"/>
    <n v="1.7426309034554355"/>
    <n v="0.24347003436058845"/>
    <n v="0.21871490013404152"/>
    <n v="1.2499945283312055"/>
    <n v="1.3971087876904527"/>
    <n v="0.37254986193818596"/>
    <x v="0"/>
    <x v="0"/>
    <x v="0"/>
    <x v="0"/>
    <x v="0"/>
    <x v="0"/>
  </r>
  <r>
    <x v="0"/>
    <s v="PHIN"/>
    <n v="1728"/>
    <n v="43.38"/>
    <n v="5.16"/>
    <n v="38.61"/>
    <n v="1.75"/>
    <n v="8.4069767441860463"/>
    <n v="1.1235431235431237"/>
    <n v="4.49"/>
    <n v="4.97"/>
    <n v="2.44"/>
    <n v="24.78857142857143"/>
    <s v="NO"/>
    <n v="-0.36963948263276575"/>
    <n v="0.54088309332534201"/>
    <n v="-5.3743319162019576E-2"/>
    <n v="0.78004281043780899"/>
    <n v="0.34927719692261316"/>
    <n v="1.3114078817246551"/>
    <x v="0"/>
    <x v="0"/>
    <x v="0"/>
    <x v="0"/>
    <x v="0"/>
    <x v="0"/>
  </r>
  <r>
    <x v="0"/>
    <s v="XPEL"/>
    <n v="995"/>
    <n v="37.564999999999998"/>
    <n v="1.75"/>
    <n v="8.51"/>
    <n v="1.71"/>
    <n v="21.465714285714284"/>
    <n v="4.4142185663924796"/>
    <n v="22.48"/>
    <n v="13.79"/>
    <n v="1.25"/>
    <n v="21.967836257309941"/>
    <s v="NO"/>
    <n v="0.69397031706480095"/>
    <n v="12.448196558879104"/>
    <n v="1.0477226055876747"/>
    <n v="7.5750824035849469"/>
    <n v="-1.8005841703424363"/>
    <n v="1.1088694333512177"/>
    <x v="0"/>
    <x v="1"/>
    <x v="0"/>
    <x v="1"/>
    <x v="0"/>
    <x v="0"/>
  </r>
  <r>
    <x v="0"/>
    <s v="THRM"/>
    <n v="844"/>
    <n v="27.78"/>
    <n v="0.93"/>
    <n v="20.95"/>
    <n v="1.59"/>
    <n v="29.870967741935484"/>
    <n v="1.3260143198090693"/>
    <n v="7.74"/>
    <n v="5.83"/>
    <n v="2.08"/>
    <n v="17.471698113207548"/>
    <s v="NO"/>
    <n v="1.3785625233595367"/>
    <n v="1.2735253862391378"/>
    <n v="0.14524302077330598"/>
    <n v="1.4425976914022693"/>
    <n v="-0.30110103182983861"/>
    <n v="0.78603131204971732"/>
    <x v="0"/>
    <x v="0"/>
    <x v="0"/>
    <x v="0"/>
    <x v="0"/>
    <x v="0"/>
  </r>
  <r>
    <x v="0"/>
    <s v="AXL"/>
    <n v="519"/>
    <n v="4.26"/>
    <n v="1.88"/>
    <n v="5.04"/>
    <n v="0.18"/>
    <n v="2.2659574468085109"/>
    <n v="0.84523809523809523"/>
    <n v="3.55"/>
    <n v="3.01"/>
    <n v="8.6199999999999992"/>
    <n v="23.666666666666668"/>
    <s v="NO"/>
    <n v="-0.86981404269657314"/>
    <n v="-0.46616402165794263"/>
    <n v="-0.11129629132792915"/>
    <n v="-0.72996598803933277"/>
    <n v="11.514103457173038"/>
    <n v="1.2308512764771868"/>
    <x v="0"/>
    <x v="0"/>
    <x v="0"/>
    <x v="0"/>
    <x v="1"/>
    <x v="0"/>
  </r>
  <r>
    <x v="0"/>
    <s v="ECX"/>
    <n v="578"/>
    <n v="1.72"/>
    <n v="-0.22"/>
    <n v="-0.68"/>
    <n v="-0.34"/>
    <n v="-7.8181818181818183"/>
    <n v="-2.5294117647058822"/>
    <n v="62.85"/>
    <n v="-12.4"/>
    <n v="-2.54"/>
    <n v="-5.0588235294117645"/>
    <s v="NO"/>
    <n v="-1.6911483646132337"/>
    <n v="-12.677339027129177"/>
    <n v="3.5194390804150877"/>
    <n v="-12.602024959739719"/>
    <n v="-8.6476216341529728"/>
    <n v="-0.83173732537237288"/>
    <x v="0"/>
    <x v="1"/>
    <x v="1"/>
    <x v="1"/>
    <x v="1"/>
    <x v="0"/>
  </r>
  <r>
    <x v="0"/>
    <s v="MRETF"/>
    <n v="445"/>
    <n v="6.1311999999999998"/>
    <n v="1.27"/>
    <n v="14.15"/>
    <n v="-0.56999999999999995"/>
    <n v="4.8277165354330709"/>
    <n v="0.43330035335689043"/>
    <n v="-4.05"/>
    <n v="3.89"/>
    <n v="2.63"/>
    <n v="-10.756491228070177"/>
    <s v="NO"/>
    <n v="-0.6611635462408092"/>
    <n v="-1.9567612884077252"/>
    <n v="-0.57661819394592129"/>
    <n v="-5.2002854029187202E-2"/>
    <n v="0.69253237320862937"/>
    <n v="-1.2408493848067357"/>
    <x v="0"/>
    <x v="0"/>
    <x v="0"/>
    <x v="0"/>
    <x v="0"/>
    <x v="0"/>
  </r>
  <r>
    <x v="0"/>
    <s v="CPS"/>
    <n v="404"/>
    <n v="22.43"/>
    <n v="1.39"/>
    <n v="-6.54"/>
    <n v="-2.58"/>
    <n v="16.136690647482016"/>
    <n v="-3.429663608562691"/>
    <n v="36.75"/>
    <n v="3.63"/>
    <n v="-15.69"/>
    <n v="-8.6937984496124034"/>
    <s v="NO"/>
    <n v="0.25993128791524156"/>
    <n v="-15.934901521187793"/>
    <n v="1.9214257043190888"/>
    <n v="-0.25231014362309395"/>
    <n v="-32.404493045527261"/>
    <n v="-1.0927409770851082"/>
    <x v="0"/>
    <x v="1"/>
    <x v="0"/>
    <x v="0"/>
    <x v="1"/>
    <x v="0"/>
  </r>
  <r>
    <x v="0"/>
    <s v="ADNT"/>
    <n v="1310"/>
    <n v="16.47"/>
    <n v="2.73"/>
    <n v="19.66"/>
    <n v="-3.11"/>
    <n v="6.0329670329670328"/>
    <n v="0.83774160732451675"/>
    <n v="-8.17"/>
    <n v="2.76"/>
    <n v="5.2"/>
    <n v="-5.295819935691318"/>
    <s v="NO"/>
    <n v="-0.56299814271762372"/>
    <n v="-0.49329007314128864"/>
    <n v="-0.82887164641778011"/>
    <n v="-0.92256915111039672"/>
    <n v="5.3355102840247453"/>
    <n v="-0.84875447922892389"/>
    <x v="0"/>
    <x v="0"/>
    <x v="0"/>
    <x v="0"/>
    <x v="1"/>
    <x v="0"/>
  </r>
  <r>
    <x v="0"/>
    <s v="FOXF"/>
    <n v="1070"/>
    <n v="27.29"/>
    <n v="1.96"/>
    <n v="22.53"/>
    <n v="-5.99"/>
    <n v="13.923469387755102"/>
    <n v="1.2112738570794495"/>
    <n v="-23.42"/>
    <n v="1.99"/>
    <n v="2.06"/>
    <n v="-4.5559265442404007"/>
    <s v="NO"/>
    <n v="7.9668547105990584E-2"/>
    <n v="0.85833686928188613"/>
    <n v="-1.7625767799604617"/>
    <n v="-1.5157868933692737"/>
    <n v="-0.3372331556494193"/>
    <n v="-0.79562759904782188"/>
    <x v="0"/>
    <x v="0"/>
    <x v="0"/>
    <x v="0"/>
    <x v="0"/>
    <x v="0"/>
  </r>
  <r>
    <x v="1"/>
    <s v="BCCMY"/>
    <n v="1984"/>
    <n v="2.4750000000000001"/>
    <n v="0.27"/>
    <n v="1.01"/>
    <n v="0.01"/>
    <n v="9.1666666666666661"/>
    <n v="2.4504950495049505"/>
    <n v="11.2"/>
    <n v="5.82"/>
    <n v="2.91"/>
    <n v="247.5"/>
    <s v="NO"/>
    <n v="0.94126840808285683"/>
    <n v="-0.43668090065440879"/>
    <n v="1.0173143537542049"/>
    <n v="1.1686355208146821"/>
    <n v="0.27301086046198358"/>
    <n v="47.037976104459709"/>
    <x v="0"/>
    <x v="0"/>
    <x v="0"/>
    <x v="0"/>
    <x v="0"/>
    <x v="1"/>
  </r>
  <r>
    <x v="1"/>
    <s v="WGO"/>
    <n v="951"/>
    <n v="33.5"/>
    <n v="2.52"/>
    <n v="43.44"/>
    <n v="-0.2"/>
    <n v="13.293650793650794"/>
    <n v="0.77117863720073665"/>
    <n v="-0.45"/>
    <n v="1.7"/>
    <n v="1.8"/>
    <n v="-167.5"/>
    <s v="NO"/>
    <n v="1.2354530909059922"/>
    <n v="-0.7114174560754537"/>
    <n v="0.60877549745511883"/>
    <n v="0.9663339096484429"/>
    <n v="-0.80160635625007948"/>
    <n v="-29.647420017131743"/>
    <x v="0"/>
    <x v="0"/>
    <x v="0"/>
    <x v="0"/>
    <x v="0"/>
    <x v="1"/>
  </r>
  <r>
    <x v="1"/>
    <s v="NIU"/>
    <n v="279"/>
    <n v="3.47"/>
    <n v="-0.12"/>
    <n v="1.55"/>
    <n v="-0.31"/>
    <n v="-28.916666666666668"/>
    <n v="2.2387096774193549"/>
    <n v="-18.25"/>
    <n v="-5.84"/>
    <n v="2.8"/>
    <n v="-11.193548387096774"/>
    <s v="NO"/>
    <n v="-1.7734339006225568"/>
    <n v="-0.47132903675850613"/>
    <n v="-1.5429793714300165E-2"/>
    <n v="0.59610232028110255"/>
    <n v="0.16651726240943651"/>
    <n v="-0.76447505738270882"/>
    <x v="0"/>
    <x v="0"/>
    <x v="0"/>
    <x v="0"/>
    <x v="0"/>
    <x v="0"/>
  </r>
  <r>
    <x v="1"/>
    <s v="LVWR"/>
    <n v="916"/>
    <n v="5.98"/>
    <n v="-0.46"/>
    <n v="0.48"/>
    <n v="-0.44"/>
    <n v="-13"/>
    <n v="12.458333333333334"/>
    <n v="-63.74"/>
    <n v="-32.840000000000003"/>
    <n v="1.32"/>
    <n v="-13.590909090909092"/>
    <s v="NO"/>
    <n v="-0.63884278254217597"/>
    <n v="1.2006037689673321"/>
    <n v="-1.6106600574950232"/>
    <n v="-0.72966066551706632"/>
    <n v="-1.2663056932066472"/>
    <n v="-1.2074691663421904"/>
    <x v="0"/>
    <x v="0"/>
    <x v="0"/>
    <x v="0"/>
    <x v="0"/>
    <x v="0"/>
  </r>
  <r>
    <x v="1"/>
    <s v="NWTN"/>
    <n v="447"/>
    <n v="1.6"/>
    <n v="-0.5"/>
    <n v="0.11"/>
    <n v="-0.74"/>
    <n v="-3.2"/>
    <n v="14.545454545454547"/>
    <n v="-173.26"/>
    <n v="-51.32"/>
    <n v="4.3099999999999996"/>
    <n v="-2.1621621621621623"/>
    <s v="NO"/>
    <n v="5.9732691207838529E-2"/>
    <n v="1.5420572844353289"/>
    <n v="-5.4512759838363021"/>
    <n v="-1.6370717757967017"/>
    <n v="1.6283839265853057"/>
    <n v="0.90438140089727947"/>
    <x v="0"/>
    <x v="0"/>
    <x v="1"/>
    <x v="0"/>
    <x v="0"/>
    <x v="0"/>
  </r>
  <r>
    <x v="1"/>
    <s v="LOT"/>
    <n v="1451"/>
    <n v="2.2000000000000002"/>
    <n v="-1.4"/>
    <n v="-1.26"/>
    <n v="-1.72"/>
    <n v="-1.5714285714285716"/>
    <n v="-1.7460317460317463"/>
    <n v="131.24"/>
    <n v="-25.4"/>
    <n v="-2.68"/>
    <n v="-1.2790697674418605"/>
    <s v="NO"/>
    <n v="0.17582249296804503"/>
    <n v="-1.1232336599142931"/>
    <n v="5.226842620719208"/>
    <n v="-0.36433930943045961"/>
    <n v="-5.1388001678447113"/>
    <n v="1.0675628228276197"/>
    <x v="0"/>
    <x v="0"/>
    <x v="1"/>
    <x v="0"/>
    <x v="1"/>
    <x v="0"/>
  </r>
  <r>
    <x v="2"/>
    <s v="KSS"/>
    <n v="905"/>
    <n v="9.01"/>
    <n v="1.02"/>
    <n v="34.049999999999997"/>
    <n v="1.0900000000000001"/>
    <n v="8.8333333333333321"/>
    <n v="0.26461086637298092"/>
    <n v="3.19"/>
    <n v="2.31"/>
    <n v="3.61"/>
    <n v="8.2660550458715587"/>
    <s v="NO"/>
    <n v="-0.33500953414678769"/>
    <n v="-0.93992519149190301"/>
    <n v="0.64994503418332139"/>
    <n v="-3.8600874189611598E-2"/>
    <n v="7.9430494128717319E-2"/>
    <n v="1.2043366362455274"/>
    <x v="0"/>
    <x v="0"/>
    <x v="0"/>
    <x v="0"/>
    <x v="0"/>
    <x v="0"/>
  </r>
  <r>
    <x v="2"/>
    <s v="SVV"/>
    <n v="1555"/>
    <n v="10.61"/>
    <n v="0.23"/>
    <n v="2.62"/>
    <n v="0.14000000000000001"/>
    <n v="46.130434782608688"/>
    <n v="4.0496183206106871"/>
    <n v="6.13"/>
    <n v="4.38"/>
    <n v="4.49"/>
    <n v="75.785714285714278"/>
    <s v="NO"/>
    <n v="1.6743352313133264"/>
    <n v="7.4787875558683214E-2"/>
    <n v="0.76276761244541336"/>
    <n v="0.92993015093155718"/>
    <n v="1.1830963072856375"/>
    <n v="7.9532228205286222"/>
    <x v="0"/>
    <x v="0"/>
    <x v="0"/>
    <x v="0"/>
    <x v="0"/>
    <x v="1"/>
  </r>
  <r>
    <x v="2"/>
    <s v="HEPS"/>
    <n v="867"/>
    <n v="2.71"/>
    <n v="0.11"/>
    <n v="0.27"/>
    <n v="-0.14000000000000001"/>
    <n v="24.636363636363637"/>
    <n v="10.037037037037036"/>
    <n v="-50.56"/>
    <n v="-1.06"/>
    <n v="7.89"/>
    <n v="-19.357142857142854"/>
    <s v="NO"/>
    <n v="0.51636322630718701"/>
    <n v="1.6799398027124601"/>
    <n v="-1.4127126466287345"/>
    <n v="-1.6153880986622391"/>
    <n v="5.4472596763010088"/>
    <n v="-1.5567231912508115"/>
    <x v="0"/>
    <x v="0"/>
    <x v="0"/>
    <x v="0"/>
    <x v="1"/>
    <x v="0"/>
  </r>
  <r>
    <x v="2"/>
    <s v="JMIA"/>
    <n v="409"/>
    <n v="3.43"/>
    <n v="-0.55000000000000004"/>
    <n v="0.71"/>
    <n v="-0.9"/>
    <n v="-6.2363636363636363"/>
    <n v="4.830985915492958"/>
    <n v="-135.63999999999999"/>
    <n v="-28.58"/>
    <n v="2.54"/>
    <n v="-3.8111111111111113"/>
    <s v="NO"/>
    <n v="-1.146874680405199"/>
    <n v="0.28426273611919178"/>
    <n v="-4.6776599114378445"/>
    <n v="-14.491703949548501"/>
    <n v="-1.2625268014143554"/>
    <n v="-2.8291098466112132E-3"/>
    <x v="0"/>
    <x v="0"/>
    <x v="1"/>
    <x v="1"/>
    <x v="0"/>
    <x v="0"/>
  </r>
  <r>
    <x v="2"/>
    <s v="QVCGB"/>
    <n v="424"/>
    <n v="40"/>
    <n v="21.11"/>
    <n v="-121.58"/>
    <n v="-174.65"/>
    <n v="1.8948365703458077"/>
    <n v="-0.32900148050666228"/>
    <n v="497.79"/>
    <n v="3.94"/>
    <n v="-9.15"/>
    <n v="-0.22902948754652161"/>
    <s v="NO"/>
    <n v="-0.70881424306852625"/>
    <n v="-1.099065222898433"/>
    <n v="19.630233200316212"/>
    <n v="0.72405882192029425"/>
    <n v="-15.92372379664662"/>
    <n v="0.35521566485189526"/>
    <x v="0"/>
    <x v="0"/>
    <x v="1"/>
    <x v="0"/>
    <x v="1"/>
    <x v="0"/>
  </r>
  <r>
    <x v="3"/>
    <s v="WEYS"/>
    <n v="300"/>
    <n v="31.67"/>
    <n v="2.73"/>
    <n v="26.08"/>
    <n v="3.04"/>
    <n v="11.600732600732602"/>
    <n v="1.2143404907975461"/>
    <n v="11.76"/>
    <n v="7.31"/>
    <n v="1.2"/>
    <n v="10.417763157894738"/>
    <s v="NO"/>
    <n v="0.99999999999999978"/>
    <n v="0.99999999999999911"/>
    <n v="1.0000000000000002"/>
    <n v="1"/>
    <n v="-0.99999999999999956"/>
    <n v="-1.0000000000000071"/>
    <x v="0"/>
    <x v="0"/>
    <x v="0"/>
    <x v="0"/>
    <x v="0"/>
    <x v="0"/>
  </r>
  <r>
    <x v="3"/>
    <s v="AMRK"/>
    <n v="486"/>
    <n v="21.29"/>
    <n v="6.83"/>
    <n v="26.13"/>
    <n v="1.57"/>
    <n v="3.1171303074670571"/>
    <n v="0.81477229238423265"/>
    <n v="5.7"/>
    <n v="1.7"/>
    <n v="3.39"/>
    <n v="13.560509554140125"/>
    <s v="NO"/>
    <n v="-0.99999999999999978"/>
    <n v="-0.999999999999998"/>
    <n v="-1.0000000000000004"/>
    <n v="-1"/>
    <n v="0.99999999999999978"/>
    <n v="1.000000000000006"/>
    <x v="0"/>
    <x v="0"/>
    <x v="0"/>
    <x v="0"/>
    <x v="0"/>
    <x v="0"/>
  </r>
  <r>
    <x v="4"/>
    <s v="RYET"/>
    <n v="425"/>
    <n v="8.91"/>
    <m/>
    <m/>
    <m/>
    <s v=""/>
    <s v=""/>
    <n v="-192.79"/>
    <n v="-20.010000000000002"/>
    <n v="-18.48"/>
    <s v=""/>
    <s v="NO"/>
    <e v="#VALUE!"/>
    <e v="#VALUE!"/>
    <n v="-10.285568089740355"/>
    <n v="-2.0126685372006476"/>
    <n v="-13.726501462786469"/>
    <e v="#VALUE!"/>
    <x v="1"/>
    <x v="1"/>
    <x v="1"/>
    <x v="0"/>
    <x v="1"/>
    <x v="1"/>
  </r>
  <r>
    <x v="4"/>
    <s v="CSV"/>
    <n v="683"/>
    <n v="45.15"/>
    <n v="2.02"/>
    <n v="14.21"/>
    <n v="2.99"/>
    <n v="22.35148514851485"/>
    <n v="3.1773399014778323"/>
    <n v="23.3"/>
    <n v="4.3899999999999997"/>
    <n v="5.72"/>
    <n v="15.100334448160533"/>
    <s v="NO"/>
    <n v="-5.097406727287794E-2"/>
    <n v="-8.7718247619090417E-2"/>
    <n v="1.3335342736727673"/>
    <n v="0.36380881420573685"/>
    <n v="2.0442872312191667"/>
    <n v="0.15065799402246766"/>
    <x v="0"/>
    <x v="0"/>
    <x v="0"/>
    <x v="0"/>
    <x v="0"/>
    <x v="0"/>
  </r>
  <r>
    <x v="4"/>
    <s v="AFYA"/>
    <n v="1648"/>
    <n v="17.55"/>
    <n v="2.1800000000000002"/>
    <n v="8.5399999999999991"/>
    <n v="1.32"/>
    <n v="8.0504587155963296"/>
    <n v="2.055035128805621"/>
    <n v="16.809999999999999"/>
    <n v="8.16"/>
    <n v="2.0699999999999998"/>
    <n v="13.295454545454545"/>
    <s v="YES"/>
    <n v="-0.76803232022277002"/>
    <n v="-0.87629771811626811"/>
    <n v="0.98456868369381789"/>
    <n v="0.7309940443205758"/>
    <n v="-0.33436478254614627"/>
    <n v="7.7230770045339972E-2"/>
    <x v="0"/>
    <x v="0"/>
    <x v="0"/>
    <x v="0"/>
    <x v="0"/>
    <x v="0"/>
  </r>
  <r>
    <x v="4"/>
    <s v="UTI"/>
    <n v="1933"/>
    <n v="33.24"/>
    <n v="1.31"/>
    <n v="5.4"/>
    <n v="1.04"/>
    <n v="25.374045801526719"/>
    <n v="6.1555555555555559"/>
    <n v="21.81"/>
    <n v="6.85"/>
    <n v="2.4500000000000002"/>
    <n v="31.961538461538463"/>
    <s v="NO"/>
    <n v="0.10057813574206798"/>
    <n v="2.0049038107609061"/>
    <n v="1.253417366266198"/>
    <n v="0.60340448160162641"/>
    <n v="-8.6724298921264167E-2"/>
    <n v="0.83661576980475227"/>
    <x v="0"/>
    <x v="0"/>
    <x v="0"/>
    <x v="0"/>
    <x v="0"/>
    <x v="0"/>
  </r>
  <r>
    <x v="4"/>
    <s v="QSG"/>
    <n v="317"/>
    <n v="6.95"/>
    <n v="0.7"/>
    <n v="1.68"/>
    <n v="1.04"/>
    <n v="9.9285714285714288"/>
    <n v="4.1369047619047619"/>
    <n v="81.72"/>
    <n v="21.21"/>
    <n v="2.2400000000000002"/>
    <n v="6.6826923076923075"/>
    <s v="NO"/>
    <n v="-0.67386312005200488"/>
    <n v="0.58651318039264078"/>
    <n v="4.4747622808484566"/>
    <n v="2.0020198408719412"/>
    <n v="-0.22357825039817256"/>
    <n v="-0.19179365269419138"/>
    <x v="0"/>
    <x v="0"/>
    <x v="1"/>
    <x v="0"/>
    <x v="0"/>
    <x v="0"/>
  </r>
  <r>
    <x v="4"/>
    <s v="APEI"/>
    <n v="531"/>
    <n v="27.07"/>
    <n v="2.2799999999999998"/>
    <n v="14.99"/>
    <n v="1.02"/>
    <n v="11.872807017543861"/>
    <n v="1.8058705803869246"/>
    <n v="8.18"/>
    <n v="5.23"/>
    <n v="2.14"/>
    <n v="26.53921568627451"/>
    <s v="NO"/>
    <n v="-0.57637849674255293"/>
    <n v="-1.0513714168503918"/>
    <n v="0.52053585757388998"/>
    <n v="0.44562196892628458"/>
    <n v="-0.28874679872050996"/>
    <n v="0.61602153065417953"/>
    <x v="0"/>
    <x v="0"/>
    <x v="0"/>
    <x v="0"/>
    <x v="0"/>
    <x v="0"/>
  </r>
  <r>
    <x v="4"/>
    <s v="OSW"/>
    <n v="1937"/>
    <n v="19.600000000000001"/>
    <n v="0.64"/>
    <n v="5.17"/>
    <n v="0.63"/>
    <n v="30.625"/>
    <n v="3.79110251450677"/>
    <n v="12.8"/>
    <n v="6.88"/>
    <n v="1.34"/>
    <n v="31.111111111111114"/>
    <s v="NO"/>
    <n v="0.36386273713335077"/>
    <n v="0.34353768942991358"/>
    <n v="0.76895204027076924"/>
    <n v="0.60632637998450312"/>
    <n v="-0.81009518529920865"/>
    <n v="0.80201816614010746"/>
    <x v="0"/>
    <x v="0"/>
    <x v="0"/>
    <x v="0"/>
    <x v="0"/>
    <x v="0"/>
  </r>
  <r>
    <x v="4"/>
    <s v="LINC"/>
    <n v="752"/>
    <n v="22.01"/>
    <n v="-1.28"/>
    <n v="5.63"/>
    <n v="0.39"/>
    <n v="-17.1953125"/>
    <n v="3.9094138543516879"/>
    <n v="7.04"/>
    <n v="2.85"/>
    <n v="2.4"/>
    <n v="56.435897435897438"/>
    <s v="NO"/>
    <n v="-2.0338637405856383"/>
    <n v="0.42666831134340183"/>
    <n v="0.45923835794738727"/>
    <n v="0.2138180305513995"/>
    <n v="-0.11930857308243301"/>
    <n v="1.8322965546661611"/>
    <x v="0"/>
    <x v="0"/>
    <x v="0"/>
    <x v="0"/>
    <x v="0"/>
    <x v="0"/>
  </r>
  <r>
    <x v="4"/>
    <s v="DAO"/>
    <n v="1108"/>
    <n v="9.02"/>
    <n v="-0.09"/>
    <n v="-2.41"/>
    <n v="0.17"/>
    <n v="-100.22222222222221"/>
    <n v="-3.7427385892116178"/>
    <n v="-6.67"/>
    <n v="9.19"/>
    <n v="-0.75"/>
    <n v="53.058823529411761"/>
    <s v="NO"/>
    <n v="-6.1968607892593868"/>
    <n v="-4.9500622069997355"/>
    <n v="-0.27794472966607892"/>
    <n v="0.83131255546600902"/>
    <n v="-2.172117845236059"/>
    <n v="1.6949083762355261"/>
    <x v="1"/>
    <x v="1"/>
    <x v="0"/>
    <x v="0"/>
    <x v="0"/>
    <x v="0"/>
  </r>
  <r>
    <x v="4"/>
    <s v="COUR"/>
    <n v="1428"/>
    <n v="8.85"/>
    <n v="0.42"/>
    <n v="3.78"/>
    <n v="-0.42"/>
    <n v="21.071428571428573"/>
    <n v="2.3412698412698414"/>
    <n v="-10.83"/>
    <n v="-6"/>
    <n v="1.56"/>
    <n v="-21.071428571428573"/>
    <s v="NO"/>
    <n v="-0.11515653257688668"/>
    <n v="-0.67517693213269825"/>
    <n v="-0.50162683356629911"/>
    <n v="-0.64814199239722747"/>
    <n v="-0.66672437899006654"/>
    <n v="-1.3209037098365677"/>
    <x v="0"/>
    <x v="0"/>
    <x v="0"/>
    <x v="0"/>
    <x v="0"/>
    <x v="0"/>
  </r>
  <r>
    <x v="4"/>
    <s v="UDMY"/>
    <n v="1089"/>
    <n v="7.51"/>
    <n v="0.19"/>
    <n v="1.41"/>
    <n v="-0.46"/>
    <n v="39.526315789473685"/>
    <n v="5.3262411347517729"/>
    <n v="-27.17"/>
    <n v="-4.91"/>
    <n v="3.05"/>
    <n v="-16.326086956521738"/>
    <s v="NO"/>
    <n v="0.81017769074138413"/>
    <n v="1.4221919282514952"/>
    <n v="-1.3802243282128375"/>
    <n v="-0.54197968448604061"/>
    <n v="0.30428699101275963"/>
    <n v="-1.127850830759489"/>
    <x v="0"/>
    <x v="0"/>
    <x v="0"/>
    <x v="0"/>
    <x v="0"/>
    <x v="0"/>
  </r>
  <r>
    <x v="4"/>
    <s v="GOTU"/>
    <n v="944"/>
    <n v="4.03"/>
    <n v="0.04"/>
    <n v="1.08"/>
    <n v="-0.49"/>
    <n v="100.75"/>
    <n v="3.7314814814814814"/>
    <n v="-36.06"/>
    <n v="-12.71"/>
    <n v="2.68"/>
    <n v="-8.2244897959183678"/>
    <s v="NO"/>
    <n v="3.8799537131185895"/>
    <n v="0.30164539439704852"/>
    <n v="-1.8582372858265293"/>
    <n v="-1.3016732640339832"/>
    <n v="6.3163362220111693E-2"/>
    <n v="-0.79825671849074042"/>
    <x v="1"/>
    <x v="0"/>
    <x v="0"/>
    <x v="0"/>
    <x v="0"/>
    <x v="0"/>
  </r>
  <r>
    <x v="4"/>
    <s v="SDA"/>
    <n v="273"/>
    <n v="2.67"/>
    <n v="0.06"/>
    <n v="0.34"/>
    <n v="-0.68"/>
    <n v="44.5"/>
    <n v="7.8529411764705879"/>
    <n v="-80.09"/>
    <n v="-14.46"/>
    <n v="7.95"/>
    <n v="-3.9264705882352939"/>
    <s v="NO"/>
    <n v="1.0595598821143872"/>
    <n v="3.1975597512534968"/>
    <n v="-4.2257187845589081"/>
    <n v="-1.4721173363684574"/>
    <n v="3.4975458588072899"/>
    <n v="-0.62340208215322701"/>
    <x v="0"/>
    <x v="1"/>
    <x v="1"/>
    <x v="0"/>
    <x v="1"/>
    <x v="0"/>
  </r>
  <r>
    <x v="4"/>
    <s v="KLC"/>
    <n v="1448"/>
    <n v="10.97"/>
    <n v="0.18"/>
    <n v="7.5"/>
    <n v="-0.68"/>
    <n v="60.94444444444445"/>
    <n v="1.4626666666666668"/>
    <n v="-10.050000000000001"/>
    <n v="0.66"/>
    <n v="4.2"/>
    <n v="-16.132352941176471"/>
    <s v="NO"/>
    <n v="1.884089831721542"/>
    <n v="-1.2925212071249861"/>
    <n v="-0.45968643908500789"/>
    <n v="5.1944860140028856E-4"/>
    <n v="1.0537252967196393"/>
    <n v="-1.119969225498431"/>
    <x v="0"/>
    <x v="0"/>
    <x v="0"/>
    <x v="0"/>
    <x v="0"/>
    <x v="0"/>
  </r>
  <r>
    <x v="4"/>
    <s v="MATW"/>
    <n v="665"/>
    <n v="22.81"/>
    <n v="-0.28000000000000003"/>
    <n v="13.16"/>
    <n v="-2.5499999999999998"/>
    <n v="-81.464285714285708"/>
    <n v="1.7332826747720365"/>
    <n v="-17.170000000000002"/>
    <n v="2.4900000000000002"/>
    <n v="4.4800000000000004"/>
    <n v="-8.9450980392156865"/>
    <s v="NO"/>
    <n v="-5.2563315730931182"/>
    <n v="-1.102374792731968"/>
    <n v="-0.84252696306807717"/>
    <n v="0.17875524995687911"/>
    <n v="1.2361972320221839"/>
    <n v="-0.82757294213588573"/>
    <x v="1"/>
    <x v="0"/>
    <x v="0"/>
    <x v="0"/>
    <x v="0"/>
    <x v="0"/>
  </r>
  <r>
    <x v="5"/>
    <s v="NATH"/>
    <n v="437"/>
    <n v="109.89"/>
    <n v="6.03"/>
    <n v="-4.6399999999999997"/>
    <n v="5.8"/>
    <n v="18.223880597014926"/>
    <n v="-23.683189655172416"/>
    <n v="-87.83"/>
    <n v="50.38"/>
    <n v="-2.57"/>
    <n v="18.946551724137933"/>
    <s v="NO"/>
    <n v="0.3924777661627204"/>
    <n v="-10.611592906969788"/>
    <n v="-5.2184565477047782"/>
    <n v="16.338072706587145"/>
    <n v="-2.2237898678350971"/>
    <n v="0.37471623154516925"/>
    <x v="0"/>
    <x v="1"/>
    <x v="1"/>
    <x v="1"/>
    <x v="0"/>
    <x v="0"/>
  </r>
  <r>
    <x v="5"/>
    <s v="MCRI"/>
    <n v="1546"/>
    <n v="84.82"/>
    <n v="4.8499999999999996"/>
    <n v="29.01"/>
    <n v="3.96"/>
    <n v="17.488659793814431"/>
    <n v="2.9238193726301271"/>
    <n v="14.24"/>
    <n v="11.02"/>
    <n v="1.33"/>
    <n v="21.419191919191917"/>
    <s v="NO"/>
    <n v="0.36225925894766231"/>
    <n v="0.52217327024373561"/>
    <n v="0.61066568524643017"/>
    <n v="2.5812866405728574"/>
    <n v="-0.44823458530902865"/>
    <n v="0.49390273719717381"/>
    <x v="0"/>
    <x v="0"/>
    <x v="0"/>
    <x v="0"/>
    <x v="0"/>
    <x v="0"/>
  </r>
  <r>
    <x v="5"/>
    <s v="DIN"/>
    <n v="376"/>
    <n v="26.05"/>
    <n v="5.34"/>
    <n v="-13.8"/>
    <n v="3.61"/>
    <n v="4.8782771535580531"/>
    <n v="-1.8876811594202898"/>
    <n v="-24.15"/>
    <n v="5.82"/>
    <n v="-8.19"/>
    <n v="7.21606648199446"/>
    <s v="NO"/>
    <n v="-0.1560434565636579"/>
    <n v="-1.491210565173865"/>
    <n v="-1.5817513082188082"/>
    <n v="0.76382506681080764"/>
    <n v="-4.7824105570136881"/>
    <n v="-0.19071805542069681"/>
    <x v="0"/>
    <x v="0"/>
    <x v="0"/>
    <x v="0"/>
    <x v="1"/>
    <x v="0"/>
  </r>
  <r>
    <x v="5"/>
    <s v="PZZA"/>
    <n v="1481"/>
    <n v="50.53"/>
    <n v="1.66"/>
    <n v="-13.2"/>
    <n v="2.37"/>
    <n v="30.439759036144579"/>
    <n v="-3.8280303030303031"/>
    <n v="-18.260000000000002"/>
    <n v="12.8"/>
    <n v="-2.08"/>
    <n v="21.320675105485233"/>
    <s v="NO"/>
    <n v="0.89456585880670081"/>
    <n v="-2.3031542768678888"/>
    <n v="-1.2453789171922325"/>
    <n v="3.2034177177452516"/>
    <n v="-2.0007072810561808"/>
    <n v="0.48915401767172229"/>
    <x v="0"/>
    <x v="0"/>
    <x v="0"/>
    <x v="1"/>
    <x v="0"/>
    <x v="0"/>
  </r>
  <r>
    <x v="5"/>
    <s v="CBRL"/>
    <n v="1279"/>
    <n v="60.74"/>
    <n v="2.11"/>
    <n v="20.7"/>
    <n v="1.6"/>
    <n v="28.786729857819907"/>
    <n v="2.9342995169082129"/>
    <n v="7.8"/>
    <n v="2.02"/>
    <n v="4.66"/>
    <n v="37.962499999999999"/>
    <s v="NO"/>
    <n v="0.82662426366350172"/>
    <n v="0.52655871153004263"/>
    <n v="0.24288330864012286"/>
    <n v="-0.56431992939992126"/>
    <n v="1.0678164636170762"/>
    <n v="1.2913253003424912"/>
    <x v="0"/>
    <x v="0"/>
    <x v="0"/>
    <x v="0"/>
    <x v="0"/>
    <x v="0"/>
  </r>
  <r>
    <x v="5"/>
    <s v="PLAY"/>
    <n v="759"/>
    <n v="25.57"/>
    <n v="-5.58"/>
    <n v="4.0999999999999996"/>
    <n v="1.46"/>
    <n v="-4.5824372759856633"/>
    <n v="6.2365853658536592"/>
    <n v="29.37"/>
    <n v="3.86"/>
    <n v="27.54"/>
    <n v="17.513698630136986"/>
    <s v="NO"/>
    <n v="-0.54489081507727288"/>
    <n v="1.9084080751342243"/>
    <n v="1.4747258340124905"/>
    <n v="7.8781858238957933E-2"/>
    <n v="11.484407454436678"/>
    <n v="0.30564967114214725"/>
    <x v="0"/>
    <x v="0"/>
    <x v="0"/>
    <x v="0"/>
    <x v="1"/>
    <x v="0"/>
  </r>
  <r>
    <x v="5"/>
    <s v="PBPB"/>
    <n v="322"/>
    <n v="11.28"/>
    <n v="0.24"/>
    <n v="1.97"/>
    <n v="1.39"/>
    <n v="47"/>
    <n v="5.7258883248730958"/>
    <n v="122.46"/>
    <n v="2.96"/>
    <n v="4.51"/>
    <n v="8.115107913669064"/>
    <s v="NO"/>
    <n v="1.5752127595349696"/>
    <n v="1.6947056843194221"/>
    <n v="6.7910086660437239"/>
    <n v="-0.23577879875831992"/>
    <n v="0.99952587582761188"/>
    <n v="-0.14738235017251286"/>
    <x v="0"/>
    <x v="0"/>
    <x v="1"/>
    <x v="0"/>
    <x v="0"/>
    <x v="0"/>
  </r>
  <r>
    <x v="5"/>
    <s v="CLKXF"/>
    <n v="327"/>
    <n v="14.78"/>
    <n v="1.22"/>
    <n v="16.149999999999999"/>
    <n v="1.2"/>
    <n v="12.114754098360656"/>
    <n v="0.9151702786377709"/>
    <n v="7.63"/>
    <n v="3.23"/>
    <n v="1.33"/>
    <n v="12.316666666666666"/>
    <s v="NO"/>
    <n v="0.14138492116477536"/>
    <n v="-0.31835071804874698"/>
    <n v="0.23317476764275141"/>
    <n v="-0.14141060165913655"/>
    <n v="-0.44823458530902865"/>
    <n v="5.5141699652069484E-2"/>
    <x v="0"/>
    <x v="0"/>
    <x v="0"/>
    <x v="0"/>
    <x v="0"/>
    <x v="0"/>
  </r>
  <r>
    <x v="5"/>
    <s v="AGS"/>
    <n v="507"/>
    <n v="12.36"/>
    <n v="0.61"/>
    <n v="2.83"/>
    <n v="1.1599999999999999"/>
    <n v="20.262295081967213"/>
    <n v="4.3674911660777385"/>
    <n v="53.08"/>
    <n v="6.38"/>
    <n v="6.05"/>
    <n v="10.655172413793103"/>
    <s v="NO"/>
    <n v="0.47625918604728784"/>
    <n v="1.1262811640730821"/>
    <n v="2.828781757822358"/>
    <n v="0.95955169783133598"/>
    <n v="1.7006425771327773"/>
    <n v="-2.4945849906092027E-2"/>
    <x v="0"/>
    <x v="0"/>
    <x v="1"/>
    <x v="0"/>
    <x v="0"/>
    <x v="0"/>
  </r>
  <r>
    <x v="5"/>
    <s v="BJRI"/>
    <n v="987"/>
    <n v="44.26"/>
    <n v="0.53"/>
    <n v="16.559999999999999"/>
    <n v="0.95"/>
    <n v="83.50943396226414"/>
    <n v="2.6727053140096619"/>
    <n v="6.01"/>
    <n v="2.5299999999999998"/>
    <n v="2.75"/>
    <n v="46.589473684210525"/>
    <s v="NO"/>
    <n v="3.0757967865425759"/>
    <n v="0.41709399547181825"/>
    <n v="0.14065808284427039"/>
    <n v="-0.38606889043479714"/>
    <n v="0.19824964576456555"/>
    <n v="1.7071637429228537"/>
    <x v="1"/>
    <x v="0"/>
    <x v="0"/>
    <x v="0"/>
    <x v="0"/>
    <x v="0"/>
  </r>
  <r>
    <x v="5"/>
    <s v="BPZZF"/>
    <n v="291"/>
    <n v="14.05"/>
    <n v="1.25"/>
    <n v="9.1999999999999993"/>
    <n v="0.91"/>
    <n v="11.24"/>
    <n v="1.5271739130434785"/>
    <n v="10.55"/>
    <n v="7.22"/>
    <n v="1.49"/>
    <n v="15.43956043956044"/>
    <s v="NO"/>
    <n v="0.10543141860113175"/>
    <n v="-6.2256342391643141E-2"/>
    <n v="0.39993323653877899"/>
    <n v="1.2531416443621286"/>
    <n v="-0.37539129166693358"/>
    <n v="0.20567180793799719"/>
    <x v="0"/>
    <x v="0"/>
    <x v="0"/>
    <x v="0"/>
    <x v="0"/>
    <x v="0"/>
  </r>
  <r>
    <x v="5"/>
    <s v="BLMN"/>
    <n v="649"/>
    <n v="8.33"/>
    <n v="0.18"/>
    <n v="4.4800000000000004"/>
    <n v="0.9"/>
    <n v="46.277777777777779"/>
    <n v="1.8593749999999998"/>
    <n v="23.87"/>
    <n v="3.42"/>
    <n v="8.68"/>
    <n v="9.2555555555555546"/>
    <s v="NO"/>
    <n v="1.545528510479321"/>
    <n v="7.6753992145592698E-2"/>
    <n v="1.1606259782151784"/>
    <n v="-7.5003351848600117E-2"/>
    <n v="2.8980042163747162"/>
    <n v="-9.2410353200445564E-2"/>
    <x v="0"/>
    <x v="0"/>
    <x v="0"/>
    <x v="0"/>
    <x v="1"/>
    <x v="0"/>
  </r>
  <r>
    <x v="5"/>
    <s v="PBKOF"/>
    <n v="405"/>
    <n v="16.14"/>
    <n v="0.51"/>
    <n v="8.6"/>
    <n v="0.89"/>
    <n v="31.647058823529413"/>
    <n v="1.8767441860465117"/>
    <n v="12.46"/>
    <n v="1.97"/>
    <n v="1.98"/>
    <n v="18.134831460674157"/>
    <s v="NO"/>
    <n v="0.94418741083163416"/>
    <n v="8.4022169336358851E-2"/>
    <n v="0.50901155009748189"/>
    <n v="-0.58179552145532554"/>
    <n v="-0.15230870488801726"/>
    <n v="0.33558959194645488"/>
    <x v="0"/>
    <x v="0"/>
    <x v="0"/>
    <x v="0"/>
    <x v="0"/>
    <x v="0"/>
  </r>
  <r>
    <x v="5"/>
    <s v="LOCO"/>
    <n v="316"/>
    <n v="10.88"/>
    <n v="0.75"/>
    <n v="8.84"/>
    <n v="0.86"/>
    <n v="14.506666666666668"/>
    <n v="1.2307692307692308"/>
    <n v="9.68"/>
    <n v="4.16"/>
    <n v="2.2200000000000002"/>
    <n v="12.651162790697676"/>
    <s v="NO"/>
    <n v="0.23969556048360394"/>
    <n v="-0.18628758629524597"/>
    <n v="0.35024835025811318"/>
    <n v="0.18363541057138397"/>
    <n v="-4.3043764424874467E-2"/>
    <n v="7.1265122808071804E-2"/>
    <x v="0"/>
    <x v="0"/>
    <x v="0"/>
    <x v="0"/>
    <x v="0"/>
    <x v="0"/>
  </r>
  <r>
    <x v="5"/>
    <s v="RICK"/>
    <n v="354"/>
    <n v="42.46"/>
    <n v="3.65"/>
    <n v="30.43"/>
    <n v="0.81"/>
    <n v="11.632876712328768"/>
    <n v="1.3953335524153796"/>
    <n v="2.63"/>
    <n v="5.36"/>
    <n v="2.19"/>
    <n v="52.419753086419753"/>
    <s v="NO"/>
    <n v="0.12157914961534468"/>
    <n v="-0.11742525470414414"/>
    <n v="-5.2370555809350516E-2"/>
    <n v="0.60304961990108785"/>
    <n v="-5.6701881982767419E-2"/>
    <n v="1.9881955850461694"/>
    <x v="0"/>
    <x v="0"/>
    <x v="0"/>
    <x v="0"/>
    <x v="0"/>
    <x v="0"/>
  </r>
  <r>
    <x v="5"/>
    <s v="ARCO"/>
    <n v="1561"/>
    <n v="7.44"/>
    <n v="-0.25"/>
    <n v="2.4500000000000002"/>
    <n v="0.64"/>
    <n v="-29.76"/>
    <n v="3.036734693877551"/>
    <n v="26.84"/>
    <n v="5.88"/>
    <n v="6.73"/>
    <n v="11.625"/>
    <s v="NO"/>
    <n v="-1.5797205662503044"/>
    <n v="0.56942295483925354"/>
    <n v="1.3302399003457268"/>
    <n v="0.78479577727729266"/>
    <n v="2.0102265751116821"/>
    <n v="2.1801898236210836E-2"/>
    <x v="0"/>
    <x v="0"/>
    <x v="0"/>
    <x v="0"/>
    <x v="0"/>
    <x v="0"/>
  </r>
  <r>
    <x v="5"/>
    <s v="ACEL"/>
    <n v="950"/>
    <n v="11.44"/>
    <n v="0.77"/>
    <n v="3.05"/>
    <n v="0.49"/>
    <n v="14.857142857142856"/>
    <n v="3.7508196721311475"/>
    <n v="18.260000000000002"/>
    <n v="6.46"/>
    <n v="4.04"/>
    <n v="23.346938775510203"/>
    <s v="NO"/>
    <n v="0.25410057628907023"/>
    <n v="0.86823351149477446"/>
    <n v="0.84024412530192016"/>
    <n v="0.98751264511998293"/>
    <n v="0.78554870075395755"/>
    <n v="0.58682422737023043"/>
    <x v="0"/>
    <x v="0"/>
    <x v="0"/>
    <x v="0"/>
    <x v="0"/>
    <x v="0"/>
  </r>
  <r>
    <x v="5"/>
    <s v="PLYA"/>
    <n v="1656"/>
    <n v="13.48"/>
    <n v="0.19"/>
    <n v="4.3099999999999996"/>
    <n v="0.49"/>
    <n v="70.94736842105263"/>
    <n v="3.1276102088167059"/>
    <n v="11.21"/>
    <n v="4.26"/>
    <n v="3.52"/>
    <n v="27.510204081632654"/>
    <s v="NO"/>
    <n v="2.5594799650643707"/>
    <n v="0.60745003009258902"/>
    <n v="0.43762521923445646"/>
    <n v="0.21858659468219249"/>
    <n v="0.54880799641714839"/>
    <n v="0.78750245177648082"/>
    <x v="0"/>
    <x v="0"/>
    <x v="0"/>
    <x v="0"/>
    <x v="0"/>
    <x v="0"/>
  </r>
  <r>
    <x v="5"/>
    <s v="TH"/>
    <n v="726"/>
    <n v="6.94"/>
    <n v="0.67"/>
    <n v="4.18"/>
    <n v="0.43"/>
    <n v="10.35820895522388"/>
    <n v="1.660287081339713"/>
    <n v="11.27"/>
    <n v="8.19"/>
    <n v="1.35"/>
    <n v="16.13953488372093"/>
    <s v="NO"/>
    <n v="6.9188688617504907E-2"/>
    <n v="-6.5548206847235949E-3"/>
    <n v="0.44105176311588162"/>
    <n v="1.5921681302369726"/>
    <n v="-0.43912917360376674"/>
    <n v="0.23941206186255642"/>
    <x v="0"/>
    <x v="0"/>
    <x v="0"/>
    <x v="0"/>
    <x v="0"/>
    <x v="0"/>
  </r>
  <r>
    <x v="5"/>
    <s v="PTLO"/>
    <n v="769"/>
    <n v="11.8"/>
    <n v="0.13"/>
    <n v="6.37"/>
    <n v="0.43"/>
    <n v="90.769230769230774"/>
    <n v="1.8524332810047097"/>
    <n v="7.12"/>
    <n v="2.4700000000000002"/>
    <n v="3.68"/>
    <n v="27.441860465116282"/>
    <s v="NO"/>
    <n v="3.3741836401737451"/>
    <n v="7.3849213330329358E-2"/>
    <n v="0.20404914465063703"/>
    <n v="-0.40703960090128222"/>
    <n v="0.62165129005924358"/>
    <n v="0.78420814439908693"/>
    <x v="1"/>
    <x v="0"/>
    <x v="0"/>
    <x v="0"/>
    <x v="0"/>
    <x v="0"/>
  </r>
  <r>
    <x v="5"/>
    <s v="GDEN"/>
    <n v="754"/>
    <n v="27.45"/>
    <n v="1.79"/>
    <n v="17.48"/>
    <n v="0.39"/>
    <n v="15.335195530726256"/>
    <n v="1.570366132723112"/>
    <n v="2.1800000000000002"/>
    <n v="2.23"/>
    <n v="2.29"/>
    <n v="70.384615384615387"/>
    <s v="NO"/>
    <n v="0.27374914730742639"/>
    <n v="-4.4182455391214806E-2"/>
    <n v="-7.8069634920039668E-2"/>
    <n v="-0.49092244276722308"/>
    <n v="-1.1174823456457922E-2"/>
    <n v="2.854140078759551"/>
    <x v="0"/>
    <x v="0"/>
    <x v="0"/>
    <x v="0"/>
    <x v="0"/>
    <x v="0"/>
  </r>
  <r>
    <x v="5"/>
    <s v="MTYFF"/>
    <n v="715"/>
    <n v="30.04"/>
    <n v="5.38"/>
    <n v="24.56"/>
    <n v="0.25"/>
    <n v="5.5836431226765795"/>
    <n v="1.223127035830619"/>
    <n v="1.1100000000000001"/>
    <n v="4.01"/>
    <n v="3.21"/>
    <n v="120.16"/>
    <s v="NO"/>
    <n v="-0.12705202088300566"/>
    <n v="-0.18948548093414655"/>
    <n v="-0.13917633413878946"/>
    <n v="0.13120863440517089"/>
    <n v="0.40767411498558903"/>
    <n v="5.2534192669160458"/>
    <x v="0"/>
    <x v="0"/>
    <x v="0"/>
    <x v="0"/>
    <x v="0"/>
    <x v="1"/>
  </r>
  <r>
    <x v="5"/>
    <s v="FWRG"/>
    <n v="942"/>
    <n v="15.97"/>
    <n v="-0.42"/>
    <n v="9.7799999999999994"/>
    <n v="0.17"/>
    <n v="-38.023809523809526"/>
    <n v="1.6329243353783234"/>
    <n v="1.86"/>
    <n v="1.5"/>
    <n v="2.59"/>
    <n v="93.941176470588232"/>
    <s v="NO"/>
    <n v="-1.9193736155547392"/>
    <n v="-1.8004826778315958E-2"/>
    <n v="-9.6344535620974198E-2"/>
    <n v="-0.74606608677612618"/>
    <n v="0.12540635212247037"/>
    <n v="3.9896163225863632"/>
    <x v="0"/>
    <x v="0"/>
    <x v="0"/>
    <x v="0"/>
    <x v="0"/>
    <x v="1"/>
  </r>
  <r>
    <x v="5"/>
    <s v="EVRI"/>
    <n v="1226"/>
    <n v="14.17"/>
    <n v="5.38"/>
    <n v="3.05"/>
    <n v="0.16"/>
    <n v="2.6338289962825279"/>
    <n v="4.6459016393442623"/>
    <n v="5.81"/>
    <n v="3.63"/>
    <n v="8.34"/>
    <n v="88.5625"/>
    <s v="NO"/>
    <n v="-0.2482931216155847"/>
    <n v="1.2427826884420106"/>
    <n v="0.12923626990618631"/>
    <n v="-1.605865215901964E-3"/>
    <n v="2.7432122173852642"/>
    <n v="3.7303527003074763"/>
    <x v="0"/>
    <x v="0"/>
    <x v="0"/>
    <x v="0"/>
    <x v="1"/>
    <x v="1"/>
  </r>
  <r>
    <x v="5"/>
    <s v="RSI"/>
    <n v="1213"/>
    <n v="13.55"/>
    <n v="0.84"/>
    <n v="0.86"/>
    <n v="0.1"/>
    <n v="16.130952380952383"/>
    <n v="15.755813953488373"/>
    <n v="11.23"/>
    <n v="6.41"/>
    <n v="4.76"/>
    <n v="135.5"/>
    <s v="NO"/>
    <n v="0.30645576281029674"/>
    <n v="5.8917519065067907"/>
    <n v="0.43876740052826485"/>
    <n v="0.97003705306457866"/>
    <n v="1.1133435221433854"/>
    <n v="5.9928398265101741"/>
    <x v="0"/>
    <x v="1"/>
    <x v="0"/>
    <x v="0"/>
    <x v="0"/>
    <x v="1"/>
  </r>
  <r>
    <x v="5"/>
    <s v="HDL"/>
    <n v="1203"/>
    <n v="20.41"/>
    <n v="0.13"/>
    <n v="0.61"/>
    <n v="0.06"/>
    <n v="157"/>
    <n v="33.459016393442624"/>
    <n v="11.79"/>
    <n v="5.05"/>
    <n v="1.87"/>
    <n v="340.16666666666669"/>
    <s v="NO"/>
    <n v="6.0963522310876037"/>
    <n v="13.299699051124467"/>
    <n v="0.47074847675490017"/>
    <n v="0.49470094915758089"/>
    <n v="-0.20238846926695758"/>
    <n v="15.858207570769073"/>
    <x v="1"/>
    <x v="1"/>
    <x v="0"/>
    <x v="0"/>
    <x v="0"/>
    <x v="1"/>
  </r>
  <r>
    <x v="5"/>
    <s v="DLVEY"/>
    <n v="1739"/>
    <n v="6"/>
    <n v="0.01"/>
    <n v="0.41"/>
    <n v="0.04"/>
    <n v="600"/>
    <n v="14.634146341463415"/>
    <n v="-0.02"/>
    <n v="0.1"/>
    <n v="2.15"/>
    <n v="150"/>
    <s v="NO"/>
    <n v="24.304213921067756"/>
    <n v="5.4223874278541997"/>
    <n v="-0.20370957723896452"/>
    <n v="-1.2353826643274473"/>
    <n v="-7.4912705393291215E-2"/>
    <n v="6.6917706031799815"/>
    <x v="1"/>
    <x v="1"/>
    <x v="0"/>
    <x v="0"/>
    <x v="0"/>
    <x v="1"/>
  </r>
  <r>
    <x v="5"/>
    <s v="CDRO"/>
    <n v="330"/>
    <n v="7.47"/>
    <n v="-0.16"/>
    <n v="0.44"/>
    <n v="-0.06"/>
    <n v="-46.6875"/>
    <n v="16.977272727272727"/>
    <n v="-11.54"/>
    <n v="-1.66"/>
    <n v="3.82"/>
    <n v="-124.5"/>
    <s v="NO"/>
    <n v="-2.27546227902037"/>
    <n v="6.4028742340187037"/>
    <n v="-0.86160600247260732"/>
    <n v="-1.8505235046776796"/>
    <n v="0.68538917199607663"/>
    <n v="-6.5397120310174168"/>
    <x v="0"/>
    <x v="1"/>
    <x v="0"/>
    <x v="0"/>
    <x v="0"/>
    <x v="1"/>
  </r>
  <r>
    <x v="5"/>
    <s v="LUCK"/>
    <n v="1210"/>
    <n v="8.81"/>
    <n v="-0.05"/>
    <n v="-1.52"/>
    <n v="-7.0000000000000007E-2"/>
    <n v="-176.2"/>
    <n v="-5.7960526315789478"/>
    <n v="-17.579999999999998"/>
    <n v="2.97"/>
    <n v="-14.95"/>
    <n v="-125.85714285714285"/>
    <s v="NO"/>
    <n v="-7.5985902409245547"/>
    <n v="-3.1266778985834995"/>
    <n v="-1.2065447532027462"/>
    <n v="-0.23228368034723895"/>
    <n v="-7.860039713392208"/>
    <n v="-6.6051291973067094"/>
    <x v="1"/>
    <x v="1"/>
    <x v="0"/>
    <x v="0"/>
    <x v="1"/>
    <x v="1"/>
  </r>
  <r>
    <x v="5"/>
    <s v="DNUT"/>
    <n v="494"/>
    <n v="2.99"/>
    <n v="-0.44"/>
    <n v="6.47"/>
    <n v="-0.13"/>
    <n v="-6.7954545454545459"/>
    <n v="0.46213292117465227"/>
    <n v="-1.93"/>
    <n v="-0.86"/>
    <n v="2.8"/>
    <n v="-23"/>
    <s v="NO"/>
    <n v="-0.6358486307883946"/>
    <n v="-0.50792527722848824"/>
    <n v="-0.31278789079766744"/>
    <n v="-1.5709140317912103"/>
    <n v="0.22101317502772019"/>
    <n v="-1.6471965943287614"/>
    <x v="0"/>
    <x v="0"/>
    <x v="0"/>
    <x v="0"/>
    <x v="0"/>
    <x v="0"/>
  </r>
  <r>
    <x v="5"/>
    <s v="SABR"/>
    <n v="977"/>
    <n v="2.97"/>
    <n v="-0.04"/>
    <n v="-4.0599999999999996"/>
    <n v="-0.45"/>
    <n v="-74.25"/>
    <n v="-0.73152709359605927"/>
    <n v="11.61"/>
    <n v="4.37"/>
    <n v="-2.97"/>
    <n v="-6.6000000000000005"/>
    <s v="NO"/>
    <n v="-3.4083159761537285"/>
    <n v="-1.0074151479486151"/>
    <n v="0.46046884511062453"/>
    <n v="0.25703289720408212"/>
    <n v="-2.4058981019403354"/>
    <n v="-0.85668178485394442"/>
    <x v="1"/>
    <x v="0"/>
    <x v="0"/>
    <x v="0"/>
    <x v="1"/>
    <x v="0"/>
  </r>
  <r>
    <x v="5"/>
    <s v="MSC"/>
    <n v="550"/>
    <n v="2.78"/>
    <n v="0.54"/>
    <n v="2.95"/>
    <n v="-0.51"/>
    <n v="5.148148148148147"/>
    <n v="0.94237288135593211"/>
    <n v="-16.03"/>
    <n v="0.78"/>
    <n v="5.14"/>
    <n v="-5.450980392156862"/>
    <s v="NO"/>
    <n v="-0.14495141651030843"/>
    <n v="-0.30696772427597219"/>
    <n v="-1.1180257029325948"/>
    <n v="-0.99771461237394854"/>
    <n v="1.2863463445433614"/>
    <n v="-0.80129660092852062"/>
    <x v="0"/>
    <x v="0"/>
    <x v="0"/>
    <x v="0"/>
    <x v="0"/>
    <x v="0"/>
  </r>
  <r>
    <x v="5"/>
    <s v="LIND"/>
    <n v="574"/>
    <n v="11.42"/>
    <n v="1.04"/>
    <n v="-4.62"/>
    <n v="-0.56999999999999995"/>
    <n v="10.98076923076923"/>
    <n v="-2.4718614718614718"/>
    <n v="17.84"/>
    <n v="2.13"/>
    <n v="-3.6"/>
    <n v="-20.035087719298247"/>
    <s v="NO"/>
    <n v="9.4776705301039141E-2"/>
    <n v="-1.7356622056139943"/>
    <n v="0.81625831813194349"/>
    <n v="-0.52587362687803174"/>
    <n v="-2.6927185706560848"/>
    <n v="-1.5042815292867804"/>
    <x v="0"/>
    <x v="0"/>
    <x v="0"/>
    <x v="0"/>
    <x v="1"/>
    <x v="0"/>
  </r>
  <r>
    <x v="5"/>
    <s v="SHCO"/>
    <n v="1227"/>
    <n v="6.42"/>
    <n v="0.15"/>
    <n v="-1.75"/>
    <n v="-0.59"/>
    <n v="42.800000000000004"/>
    <n v="-3.6685714285714286"/>
    <n v="43.7"/>
    <n v="0.32"/>
    <n v="-7.29"/>
    <n v="-10.881355932203391"/>
    <s v="NO"/>
    <n v="1.4025874342575055"/>
    <n v="-2.2364283317888454"/>
    <n v="2.2930987310262148"/>
    <n v="-1.1584900592836684"/>
    <n v="-4.3726670302769035"/>
    <n v="-1.0630522280880688"/>
    <x v="0"/>
    <x v="0"/>
    <x v="0"/>
    <x v="0"/>
    <x v="1"/>
    <x v="0"/>
  </r>
  <r>
    <x v="5"/>
    <s v="SG"/>
    <n v="1579"/>
    <n v="14.01"/>
    <n v="-0.6"/>
    <n v="3.68"/>
    <n v="-0.77"/>
    <n v="-23.35"/>
    <n v="3.8070652173913042"/>
    <n v="-19.79"/>
    <n v="-6.88"/>
    <n v="1.93"/>
    <n v="-18.194805194805195"/>
    <s v="NO"/>
    <n v="-1.3162614388625555"/>
    <n v="0.89176959361441821"/>
    <n v="-1.3327557861685755"/>
    <n v="-3.6749753152618911"/>
    <n v="-0.17507223415117198"/>
    <n v="-1.4155760055532767"/>
    <x v="0"/>
    <x v="0"/>
    <x v="0"/>
    <x v="1"/>
    <x v="0"/>
    <x v="0"/>
  </r>
  <r>
    <x v="5"/>
    <s v="VENU"/>
    <n v="355"/>
    <n v="10.43"/>
    <n v="-2.41"/>
    <n v="2.0699999999999998"/>
    <n v="-0.9"/>
    <n v="-4.3278008298755184"/>
    <n v="5.0386473429951693"/>
    <n v="-31.67"/>
    <n v="-12.48"/>
    <n v="2.72"/>
    <n v="-11.588888888888889"/>
    <s v="NO"/>
    <n v="-0.53442493428268689"/>
    <n v="1.4071280617601905"/>
    <n v="-2.0112114746907697"/>
    <n v="-5.6322416254671763"/>
    <n v="0.18459152820667279"/>
    <n v="-1.0971568183594951"/>
    <x v="0"/>
    <x v="0"/>
    <x v="0"/>
    <x v="1"/>
    <x v="0"/>
    <x v="0"/>
  </r>
  <r>
    <x v="5"/>
    <s v="KRUS"/>
    <n v="798"/>
    <n v="81.260000000000005"/>
    <n v="-2.4"/>
    <n v="18.62"/>
    <n v="-0.91"/>
    <n v="-33.858333333333334"/>
    <n v="4.3641245972073044"/>
    <n v="-5.38"/>
    <n v="-0.68"/>
    <n v="1.82"/>
    <n v="-89.296703296703299"/>
    <s v="NO"/>
    <n v="-1.7481672626222429"/>
    <n v="1.1248724153263241"/>
    <n v="-0.50981416397961787"/>
    <n v="-1.5080019003917549"/>
    <n v="-0.22515199853011233"/>
    <n v="-4.8428384099020478"/>
    <x v="0"/>
    <x v="0"/>
    <x v="0"/>
    <x v="0"/>
    <x v="0"/>
    <x v="1"/>
  </r>
  <r>
    <x v="5"/>
    <s v="SERV"/>
    <n v="668"/>
    <n v="12.57"/>
    <n v="-0.91"/>
    <n v="4.08"/>
    <n v="-0.97"/>
    <n v="-13.813186813186814"/>
    <n v="3.0808823529411766"/>
    <n v="-43.08"/>
    <n v="-25.8"/>
    <n v="1.03"/>
    <n v="-12.958762886597938"/>
    <s v="NO"/>
    <n v="-0.92428632493778484"/>
    <n v="0.58789664772116046"/>
    <n v="-2.662825902808466"/>
    <n v="-10.287739349026889"/>
    <n v="-0.58481576088795706"/>
    <n v="-1.1631876526462923"/>
    <x v="0"/>
    <x v="0"/>
    <x v="0"/>
    <x v="1"/>
    <x v="0"/>
    <x v="0"/>
  </r>
  <r>
    <x v="5"/>
    <s v="XPOF"/>
    <n v="315"/>
    <n v="9.35"/>
    <n v="0.09"/>
    <n v="-6.48"/>
    <n v="-2.0499999999999998"/>
    <n v="103.88888888888889"/>
    <n v="-1.4429012345679011"/>
    <n v="67.69"/>
    <n v="9.86"/>
    <n v="-1.83"/>
    <n v="-4.5609756097560981"/>
    <s v="NO"/>
    <n v="3.9134182236106754"/>
    <n v="-1.3050913482994499"/>
    <n v="3.6631451929493997"/>
    <n v="2.1758529048874768"/>
    <n v="-1.8868896347404072"/>
    <n v="-0.75839648135588567"/>
    <x v="1"/>
    <x v="0"/>
    <x v="1"/>
    <x v="0"/>
    <x v="0"/>
    <x v="0"/>
  </r>
  <r>
    <x v="5"/>
    <s v="BALY"/>
    <n v="492"/>
    <n v="9.98"/>
    <n v="-3.61"/>
    <n v="16.25"/>
    <n v="-8.16"/>
    <n v="-2.7645429362880889"/>
    <n v="0.61415384615384616"/>
    <n v="-65.2"/>
    <n v="0.2"/>
    <n v="9.41"/>
    <n v="-1.2230392156862746"/>
    <s v="NO"/>
    <n v="-0.47017305276528371"/>
    <n v="-0.44431175979052878"/>
    <n v="-3.9260784137605653"/>
    <n v="-1.2004314802166387"/>
    <n v="3.2303517436167755"/>
    <n v="-0.59750086229508281"/>
    <x v="0"/>
    <x v="0"/>
    <x v="1"/>
    <x v="0"/>
    <x v="1"/>
    <x v="0"/>
  </r>
  <r>
    <x v="5"/>
    <s v="JACK"/>
    <n v="358"/>
    <n v="21.57"/>
    <n v="1.7"/>
    <n v="-51.71"/>
    <n v="-10.88"/>
    <n v="12.688235294117648"/>
    <n v="-0.41713401663121252"/>
    <n v="24.89"/>
    <n v="5.5"/>
    <n v="-2.64"/>
    <n v="-1.9825367647058822"/>
    <s v="NO"/>
    <n v="0.16495572544050388"/>
    <n v="-0.87585661752516042"/>
    <n v="1.2188772241994075"/>
    <n v="0.65198127765621983"/>
    <n v="-2.2556588088035139"/>
    <n v="-0.63411025621336492"/>
    <x v="0"/>
    <x v="0"/>
    <x v="0"/>
    <x v="0"/>
    <x v="0"/>
    <x v="0"/>
  </r>
  <r>
    <x v="5"/>
    <s v="BH"/>
    <n v="767"/>
    <n v="267.07"/>
    <n v="47.52"/>
    <n v="869.87"/>
    <n v="-217.37"/>
    <n v="5.6201599326599325"/>
    <n v="0.30702288847758857"/>
    <n v="-10.29"/>
    <n v="1.41"/>
    <n v="1.54"/>
    <n v="-1.2286424069558817"/>
    <s v="NO"/>
    <n v="-0.12555113369217907"/>
    <n v="-0.57283143913434154"/>
    <n v="-0.79021967160958184"/>
    <n v="-0.7775221524758541"/>
    <n v="-0.3526277624037788"/>
    <n v="-0.59777094800721353"/>
    <x v="0"/>
    <x v="0"/>
    <x v="0"/>
    <x v="0"/>
    <x v="0"/>
    <x v="0"/>
  </r>
  <r>
    <x v="6"/>
    <s v="HOV"/>
    <n v="523"/>
    <n v="97.94"/>
    <n v="4.62"/>
    <n v="118.15"/>
    <n v="28.18"/>
    <n v="21.1991341991342"/>
    <n v="0.82894625476089712"/>
    <n v="29.33"/>
    <n v="6.06"/>
    <n v="3.73"/>
    <n v="3.4755145493257631"/>
    <s v="NO"/>
    <n v="1.1187340329446207"/>
    <n v="-0.66046183552483206"/>
    <n v="2.7539384239252827"/>
    <n v="0.51799731445023989"/>
    <n v="2.5318554583119872"/>
    <n v="-0.7986250579776496"/>
    <x v="0"/>
    <x v="0"/>
    <x v="1"/>
    <x v="0"/>
    <x v="0"/>
    <x v="0"/>
  </r>
  <r>
    <x v="6"/>
    <s v="CCS"/>
    <n v="1584"/>
    <n v="53.75"/>
    <n v="-2.2200000000000002"/>
    <n v="84.41"/>
    <n v="9.6999999999999993"/>
    <n v="-24.211711711711711"/>
    <n v="0.63677289420684757"/>
    <n v="12.36"/>
    <n v="5.91"/>
    <n v="1.77"/>
    <n v="5.5412371134020626"/>
    <s v="NO"/>
    <n v="-1.863979242802499"/>
    <n v="-0.94536007577082615"/>
    <n v="9.3413633147045455E-2"/>
    <n v="0.44605324299881793"/>
    <n v="-0.55177142921934619"/>
    <n v="-0.53166712192816601"/>
    <x v="0"/>
    <x v="0"/>
    <x v="0"/>
    <x v="0"/>
    <x v="0"/>
    <x v="0"/>
  </r>
  <r>
    <x v="6"/>
    <s v="LGIH"/>
    <n v="1173"/>
    <n v="51.31"/>
    <n v="-7.37"/>
    <n v="87.27"/>
    <n v="7.76"/>
    <n v="-6.9620081411126193"/>
    <n v="0.587945456628853"/>
    <n v="9.36"/>
    <n v="3.33"/>
    <n v="1.9"/>
    <n v="6.6121134020618557"/>
    <s v="NO"/>
    <n v="-0.73096974230253409"/>
    <n v="-1.0177470653181069"/>
    <n v="-0.3769207435373807"/>
    <n v="-0.79138478596564399"/>
    <n v="-0.34724515606675788"/>
    <n v="-0.39327538977763782"/>
    <x v="0"/>
    <x v="0"/>
    <x v="0"/>
    <x v="0"/>
    <x v="0"/>
    <x v="0"/>
  </r>
  <r>
    <x v="6"/>
    <s v="HELE"/>
    <n v="617"/>
    <n v="28.95"/>
    <n v="3.61"/>
    <n v="73.650000000000006"/>
    <n v="5.37"/>
    <n v="8.0193905817174524"/>
    <n v="0.39307535641547858"/>
    <n v="7.45"/>
    <n v="4.47"/>
    <n v="1.86"/>
    <n v="5.3910614525139664"/>
    <s v="NO"/>
    <n v="0.25305105633168828"/>
    <n v="-1.3066432394147045"/>
    <n v="-0.67636696335979862"/>
    <n v="-0.24460984293483537"/>
    <n v="-0.41017631703678481"/>
    <n v="-0.55107465766057451"/>
    <x v="0"/>
    <x v="0"/>
    <x v="0"/>
    <x v="0"/>
    <x v="0"/>
    <x v="0"/>
  </r>
  <r>
    <x v="6"/>
    <s v="DFH"/>
    <n v="1952"/>
    <n v="23.22"/>
    <n v="-1"/>
    <n v="13.78"/>
    <n v="3.34"/>
    <n v="-23.22"/>
    <n v="1.6850507982583454"/>
    <n v="25.92"/>
    <n v="8.9499999999999993"/>
    <n v="2.7"/>
    <n v="6.9520958083832332"/>
    <s v="NO"/>
    <n v="-1.7988408022184199"/>
    <n v="0.60871864404754117"/>
    <n v="2.2193250157606519"/>
    <n v="1.9041197577476408"/>
    <n v="0.91137806333378679"/>
    <n v="-0.3493387048311401"/>
    <x v="0"/>
    <x v="0"/>
    <x v="0"/>
    <x v="0"/>
    <x v="0"/>
    <x v="0"/>
  </r>
  <r>
    <x v="6"/>
    <s v="BZH"/>
    <n v="622"/>
    <n v="21.98"/>
    <n v="-2.56"/>
    <n v="41.44"/>
    <n v="3.1"/>
    <n v="-8.5859375"/>
    <n v="0.53040540540540548"/>
    <n v="7.97"/>
    <n v="2.5299999999999998"/>
    <n v="2.16"/>
    <n v="7.0903225806451609"/>
    <s v="NO"/>
    <n v="-0.83763403274844339"/>
    <n v="-1.1030505605057968"/>
    <n v="-0.59484233806783149"/>
    <n v="-1.1750865003732291"/>
    <n v="6.1807390238419364E-2"/>
    <n v="-0.33147535063656236"/>
    <x v="0"/>
    <x v="0"/>
    <x v="0"/>
    <x v="0"/>
    <x v="0"/>
    <x v="0"/>
  </r>
  <r>
    <x v="6"/>
    <s v="LZB"/>
    <n v="1730"/>
    <n v="40.74"/>
    <n v="2.65"/>
    <n v="24.66"/>
    <n v="2.91"/>
    <n v="15.373584905660378"/>
    <n v="1.6520681265206814"/>
    <n v="12.47"/>
    <n v="5.05"/>
    <n v="1.92"/>
    <n v="14"/>
    <s v="NO"/>
    <n v="0.73609541726506655"/>
    <n v="0.55982162153838388"/>
    <n v="0.11065922695880794"/>
    <n v="3.3573900010663828E-2"/>
    <n v="-0.31577957558174424"/>
    <n v="0.56147767931860559"/>
    <x v="0"/>
    <x v="0"/>
    <x v="0"/>
    <x v="0"/>
    <x v="0"/>
    <x v="0"/>
  </r>
  <r>
    <x v="6"/>
    <s v="HBB"/>
    <n v="250"/>
    <n v="18.260000000000002"/>
    <n v="3.58"/>
    <n v="11.94"/>
    <n v="2.4300000000000002"/>
    <n v="5.1005586592178771"/>
    <n v="1.529313232830821"/>
    <n v="21.86"/>
    <n v="6.34"/>
    <n v="2.56"/>
    <n v="7.5144032921810702"/>
    <s v="NO"/>
    <n v="6.13338894238896E-2"/>
    <n v="0.37783670389424917"/>
    <n v="1.5828058259810616"/>
    <n v="0.65229291449289473"/>
    <n v="0.6911189999386913"/>
    <n v="-0.27667045406486512"/>
    <x v="0"/>
    <x v="0"/>
    <x v="0"/>
    <x v="0"/>
    <x v="0"/>
    <x v="0"/>
  </r>
  <r>
    <x v="6"/>
    <s v="LEGH"/>
    <n v="538"/>
    <n v="22.18"/>
    <n v="0.85"/>
    <n v="20.88"/>
    <n v="2.29"/>
    <n v="26.094117647058823"/>
    <n v="1.0622605363984674"/>
    <n v="11.9"/>
    <n v="6.93"/>
    <n v="1.08"/>
    <n v="9.6855895196506552"/>
    <s v="NO"/>
    <n v="1.4402504421159381"/>
    <n v="-0.31457191576091731"/>
    <n v="2.1295695388766921E-2"/>
    <n v="0.93527292886848867"/>
    <n v="-1.6373339559523155"/>
    <n v="3.916786518201076E-3"/>
    <x v="0"/>
    <x v="0"/>
    <x v="0"/>
    <x v="0"/>
    <x v="0"/>
    <x v="0"/>
  </r>
  <r>
    <x v="6"/>
    <s v="ETD"/>
    <n v="664"/>
    <n v="26.64"/>
    <n v="2.02"/>
    <n v="18.850000000000001"/>
    <n v="2.25"/>
    <n v="13.188118811881187"/>
    <n v="1.4132625994694958"/>
    <n v="12.09"/>
    <n v="5.83"/>
    <n v="1.54"/>
    <n v="11.84"/>
    <s v="NO"/>
    <n v="0.59254779993135187"/>
    <n v="0.20579089521008659"/>
    <n v="5.1083539245447167E-2"/>
    <n v="0.40768307155805938"/>
    <n v="-0.91362560479700261"/>
    <n v="0.28233605987043542"/>
    <x v="0"/>
    <x v="0"/>
    <x v="0"/>
    <x v="0"/>
    <x v="0"/>
    <x v="0"/>
  </r>
  <r>
    <x v="6"/>
    <s v="LOVE"/>
    <n v="284"/>
    <n v="20.25"/>
    <n v="1.1299999999999999"/>
    <n v="14.63"/>
    <n v="0.69"/>
    <n v="17.920353982300888"/>
    <n v="1.3841421736158577"/>
    <n v="5.33"/>
    <n v="1.68"/>
    <n v="2.46"/>
    <n v="29.347826086956523"/>
    <s v="NO"/>
    <n v="0.90337444021195235"/>
    <n v="0.16261967700899735"/>
    <n v="-1.0087365895501264"/>
    <n v="-1.5827695719312882"/>
    <n v="0.53379109751362319"/>
    <n v="2.5449114890046776"/>
    <x v="0"/>
    <x v="0"/>
    <x v="0"/>
    <x v="0"/>
    <x v="0"/>
    <x v="0"/>
  </r>
  <r>
    <x v="6"/>
    <s v="CRCT"/>
    <n v="1283"/>
    <n v="6.37"/>
    <n v="1.17"/>
    <n v="2.31"/>
    <n v="0.31"/>
    <n v="5.4444444444444446"/>
    <n v="2.7575757575757573"/>
    <n v="12.87"/>
    <n v="7.26"/>
    <n v="1.39"/>
    <n v="20.548387096774196"/>
    <s v="NO"/>
    <n v="8.392128405093012E-2"/>
    <n v="2.1987437788970565"/>
    <n v="0.17337047718339788"/>
    <n v="1.0935498860616175"/>
    <n v="-1.1496174584346048"/>
    <n v="1.4077403547663139"/>
    <x v="0"/>
    <x v="0"/>
    <x v="0"/>
    <x v="0"/>
    <x v="0"/>
    <x v="0"/>
  </r>
  <r>
    <x v="6"/>
    <s v="LSEA"/>
    <n v="410"/>
    <n v="11.28"/>
    <n v="1.29"/>
    <n v="18.14"/>
    <n v="0.26"/>
    <n v="8.7441860465116275"/>
    <n v="0.62183020948180812"/>
    <n v="1.59"/>
    <n v="1.94"/>
    <n v="2.5499999999999998"/>
    <n v="43.38461538461538"/>
    <s v="NO"/>
    <n v="0.3006576800727922"/>
    <n v="-0.96751270176664994"/>
    <n v="-1.5950867791500445"/>
    <n v="-1.458066514748823"/>
    <n v="0.67538620969618424"/>
    <n v="4.3589170891904345"/>
    <x v="0"/>
    <x v="0"/>
    <x v="0"/>
    <x v="0"/>
    <x v="0"/>
    <x v="1"/>
  </r>
  <r>
    <x v="6"/>
    <s v="SDHC"/>
    <n v="966"/>
    <n v="20.190000000000001"/>
    <n v="-1.24"/>
    <n v="8.5500000000000007"/>
    <n v="0.24"/>
    <n v="-16.282258064516132"/>
    <n v="2.3614035087719296"/>
    <n v="29.73"/>
    <n v="16.09"/>
    <n v="6.69"/>
    <n v="84.125000000000014"/>
    <s v="NO"/>
    <n v="-1.3431502164208784"/>
    <n v="1.6114158777087757"/>
    <n v="2.8166496741498732"/>
    <n v="5.3286575588353369"/>
    <n v="7.1887613700940012"/>
    <n v="9.6238878940421859"/>
    <x v="0"/>
    <x v="0"/>
    <x v="1"/>
    <x v="1"/>
    <x v="1"/>
    <x v="1"/>
  </r>
  <r>
    <x v="6"/>
    <s v="SONO"/>
    <n v="1234"/>
    <n v="10.46"/>
    <n v="0.53"/>
    <n v="3.19"/>
    <n v="-0.56999999999999995"/>
    <n v="19.735849056603776"/>
    <n v="3.2789968652037622"/>
    <n v="-15.8"/>
    <n v="-2.5499999999999998"/>
    <n v="2.0699999999999998"/>
    <n v="-18.350877192982459"/>
    <s v="NO"/>
    <n v="1.0226213106800355"/>
    <n v="2.9717539170454961"/>
    <n v="-4.3214583826641011"/>
    <n v="-3.6115923868613939"/>
    <n v="-7.978772194414234E-2"/>
    <n v="-3.6192983624489852"/>
    <x v="0"/>
    <x v="1"/>
    <x v="1"/>
    <x v="1"/>
    <x v="0"/>
    <x v="1"/>
  </r>
  <r>
    <x v="6"/>
    <s v="LEG"/>
    <n v="1224"/>
    <n v="9.25"/>
    <n v="1.81"/>
    <n v="5.53"/>
    <n v="-3.73"/>
    <n v="5.1104972375690609"/>
    <n v="1.6726943942133814"/>
    <n v="-50.31"/>
    <n v="3.44"/>
    <n v="5.0199999999999996"/>
    <n v="-2.479892761394102"/>
    <s v="NO"/>
    <n v="6.1986683464509945E-2"/>
    <n v="0.59040019575674063"/>
    <n v="-9.7318714957906174"/>
    <n v="-0.738625800234601"/>
    <n v="4.5613853995953644"/>
    <n v="-1.5682556326016379"/>
    <x v="0"/>
    <x v="0"/>
    <x v="1"/>
    <x v="0"/>
    <x v="1"/>
    <x v="0"/>
  </r>
  <r>
    <x v="7"/>
    <s v="RGR"/>
    <n v="599"/>
    <n v="37.26"/>
    <n v="2.3199999999999998"/>
    <n v="19.39"/>
    <n v="1.83"/>
    <n v="16.060344827586206"/>
    <n v="1.9216090768437337"/>
    <n v="9.56"/>
    <n v="5.59"/>
    <n v="1.18"/>
    <n v="20.360655737704917"/>
    <s v="NO"/>
    <n v="-0.39457754532582662"/>
    <n v="0.76036154922597532"/>
    <n v="1.2391933764918168"/>
    <n v="1.3664529443650208"/>
    <n v="-1.1304593180330826"/>
    <n v="1.1713628550964463"/>
    <x v="0"/>
    <x v="0"/>
    <x v="0"/>
    <x v="0"/>
    <x v="0"/>
    <x v="0"/>
  </r>
  <r>
    <x v="7"/>
    <s v="MPX"/>
    <n v="290"/>
    <n v="8.42"/>
    <n v="0.59"/>
    <n v="3.62"/>
    <n v="0.43"/>
    <n v="14.271186440677967"/>
    <n v="2.325966850828729"/>
    <n v="11.13"/>
    <n v="5.01"/>
    <n v="1.45"/>
    <n v="19.581395348837209"/>
    <s v="NO"/>
    <n v="-0.62041640592420433"/>
    <n v="1.4185675851703932"/>
    <n v="1.4443102558900407"/>
    <n v="1.1837792876603128"/>
    <n v="-0.23712073500206093"/>
    <n v="1.1464367800079893"/>
    <x v="0"/>
    <x v="0"/>
    <x v="0"/>
    <x v="0"/>
    <x v="0"/>
    <x v="0"/>
  </r>
  <r>
    <x v="7"/>
    <s v="SWIM"/>
    <n v="657"/>
    <n v="5.94"/>
    <n v="0.27"/>
    <n v="3.28"/>
    <n v="-0.14000000000000001"/>
    <n v="22"/>
    <n v="1.8109756097560978"/>
    <n v="-4.13"/>
    <n v="1.18"/>
    <n v="2.16"/>
    <n v="-42.428571428571431"/>
    <s v="NO"/>
    <n v="0.355163207812978"/>
    <n v="0.58027445680558276"/>
    <n v="-0.54937355278314071"/>
    <n v="-2.2496755751811259E-2"/>
    <n v="2.1120288722276634"/>
    <n v="-0.83706592359062193"/>
    <x v="0"/>
    <x v="0"/>
    <x v="0"/>
    <x v="0"/>
    <x v="0"/>
    <x v="0"/>
  </r>
  <r>
    <x v="7"/>
    <s v="MBUU"/>
    <n v="578"/>
    <n v="32.19"/>
    <n v="0.95"/>
    <n v="26.5"/>
    <n v="-0.46"/>
    <n v="33.88421052631579"/>
    <n v="1.2147169811320755"/>
    <n v="-1.69"/>
    <n v="0.62"/>
    <n v="1.48"/>
    <n v="-69.978260869565204"/>
    <s v="NO"/>
    <n v="1.8552632459165668"/>
    <n v="-0.39030420791630749"/>
    <n v="-0.23059317970564652"/>
    <n v="-0.19887132084601214"/>
    <n v="-0.13786089244305841"/>
    <n v="-1.7182933508793168"/>
    <x v="0"/>
    <x v="0"/>
    <x v="0"/>
    <x v="0"/>
    <x v="0"/>
    <x v="0"/>
  </r>
  <r>
    <x v="7"/>
    <s v="MCFT"/>
    <n v="282"/>
    <n v="18.350000000000001"/>
    <n v="-0.59"/>
    <n v="10.89"/>
    <n v="-0.54"/>
    <n v="-31.101694915254242"/>
    <n v="1.6850321395775942"/>
    <n v="-4.72"/>
    <n v="-0.75"/>
    <n v="1.44"/>
    <n v="-33.981481481481481"/>
    <s v="NO"/>
    <n v="-6.3476677786751647"/>
    <n v="0.37526602716091623"/>
    <n v="-0.62645569217482988"/>
    <n v="-0.63035909616575359"/>
    <n v="-0.27020734918839512"/>
    <n v="-0.56687023379551549"/>
    <x v="1"/>
    <x v="0"/>
    <x v="0"/>
    <x v="0"/>
    <x v="0"/>
    <x v="0"/>
  </r>
  <r>
    <x v="7"/>
    <s v="JOUT"/>
    <n v="282"/>
    <n v="28.64"/>
    <n v="3.42"/>
    <n v="43.15"/>
    <n v="-4.45"/>
    <n v="8.3742690058479532"/>
    <n v="0.66373117033603712"/>
    <n v="-9.6999999999999993"/>
    <n v="-4.5"/>
    <n v="1.42"/>
    <n v="-6.4359550561797754"/>
    <s v="NO"/>
    <n v="-1.3647625321640724"/>
    <n v="-1.2871886249304811"/>
    <n v="-1.2770812077182405"/>
    <n v="-1.811438773135849"/>
    <n v="-0.33638057756106343"/>
    <n v="0.31422403178854613"/>
    <x v="0"/>
    <x v="0"/>
    <x v="0"/>
    <x v="0"/>
    <x v="0"/>
    <x v="0"/>
  </r>
  <r>
    <x v="7"/>
    <s v="MODG"/>
    <n v="1165"/>
    <n v="7.39"/>
    <n v="0.36"/>
    <n v="13.21"/>
    <n v="-7.91"/>
    <n v="20.527777777777779"/>
    <n v="0.55942467827403475"/>
    <n v="-46"/>
    <n v="1.61"/>
    <n v="3.17"/>
    <n v="-0.93426042983565105"/>
    <s v="NO"/>
    <n v="0.16933002968455646"/>
    <n v="-1.4569767855160771"/>
    <n v="-6.019592495715389"/>
    <n v="0.11293371387409305"/>
    <n v="5.4537769050474108"/>
    <n v="0.49020584137247242"/>
    <x v="0"/>
    <x v="0"/>
    <x v="1"/>
    <x v="0"/>
    <x v="1"/>
    <x v="0"/>
  </r>
  <r>
    <x v="8"/>
    <s v="GRGDF"/>
    <n v="1295"/>
    <n v="11.56"/>
    <m/>
    <m/>
    <m/>
    <s v=""/>
    <s v=""/>
    <n v="185.68"/>
    <n v="23.31"/>
    <n v="4.38"/>
    <s v=""/>
    <s v="NO"/>
    <e v="#VALUE!"/>
    <e v="#VALUE!"/>
    <n v="10.726783089008942"/>
    <n v="6.6222892233930164"/>
    <n v="1.1644621016462735"/>
    <e v="#VALUE!"/>
    <x v="1"/>
    <x v="1"/>
    <x v="1"/>
    <x v="1"/>
    <x v="0"/>
    <x v="1"/>
  </r>
  <r>
    <x v="8"/>
    <s v="PHH"/>
    <n v="370"/>
    <n v="18.5"/>
    <m/>
    <m/>
    <m/>
    <s v=""/>
    <s v=""/>
    <n v="38"/>
    <n v="18.55"/>
    <n v="2.0499999999999998"/>
    <s v=""/>
    <s v="NO"/>
    <e v="#VALUE!"/>
    <e v="#VALUE!"/>
    <n v="1.9581910824948137"/>
    <n v="5.0639401234251133"/>
    <n v="-0.42246778453777684"/>
    <e v="#VALUE!"/>
    <x v="1"/>
    <x v="1"/>
    <x v="0"/>
    <x v="1"/>
    <x v="0"/>
    <x v="1"/>
  </r>
  <r>
    <x v="8"/>
    <s v="WINA"/>
    <n v="1500"/>
    <n v="416.72"/>
    <n v="12.4"/>
    <n v="-13.01"/>
    <n v="11.19"/>
    <n v="33.606451612903228"/>
    <n v="-32.030745580322829"/>
    <n v="-83.42"/>
    <n v="90.04"/>
    <n v="-0.81"/>
    <n v="37.240393208221633"/>
    <s v="NO"/>
    <n v="1.3068101407568371"/>
    <n v="-33.685797288428212"/>
    <n v="-5.251197063706063"/>
    <n v="28.468641206766595"/>
    <n v="-2.3703731383945938"/>
    <n v="1.4493425884479194"/>
    <x v="0"/>
    <x v="1"/>
    <x v="1"/>
    <x v="1"/>
    <x v="0"/>
    <x v="0"/>
  </r>
  <r>
    <x v="8"/>
    <s v="BBW"/>
    <n v="674"/>
    <n v="48.61"/>
    <n v="2.0499999999999998"/>
    <n v="11.37"/>
    <n v="4.1500000000000004"/>
    <n v="23.712195121951222"/>
    <n v="4.2752858399296398"/>
    <n v="40.17"/>
    <n v="15.54"/>
    <n v="2.0699999999999998"/>
    <n v="11.713253012048192"/>
    <s v="NO"/>
    <n v="0.72365113652158197"/>
    <n v="2.544137379356223"/>
    <n v="2.0870361844323519"/>
    <n v="4.0785134866807029"/>
    <n v="-0.40884606877654034"/>
    <n v="9.2361892683977834E-2"/>
    <x v="0"/>
    <x v="0"/>
    <x v="0"/>
    <x v="1"/>
    <x v="0"/>
    <x v="0"/>
  </r>
  <r>
    <x v="8"/>
    <s v="SCVL"/>
    <n v="525"/>
    <n v="20.079999999999998"/>
    <n v="2.56"/>
    <n v="23.88"/>
    <n v="2.68"/>
    <n v="7.8437499999999991"/>
    <n v="0.8408710217755444"/>
    <n v="11.97"/>
    <n v="5.26"/>
    <n v="1.73"/>
    <n v="7.4925373134328348"/>
    <s v="YES"/>
    <n v="-0.21162142938988449"/>
    <n v="-0.88307897055262541"/>
    <n v="0.41264361547448081"/>
    <n v="0.71300324557354999"/>
    <n v="-0.6404152367175604"/>
    <n v="-0.13200439673638614"/>
    <x v="0"/>
    <x v="0"/>
    <x v="0"/>
    <x v="0"/>
    <x v="0"/>
    <x v="0"/>
  </r>
  <r>
    <x v="8"/>
    <s v="HZO"/>
    <n v="455"/>
    <n v="24.91"/>
    <n v="-1.99"/>
    <n v="44.81"/>
    <n v="2.44"/>
    <n v="-12.517587939698492"/>
    <n v="0.55590270029011379"/>
    <n v="5.94"/>
    <n v="2.82"/>
    <n v="2.69"/>
    <n v="10.209016393442623"/>
    <s v="NO"/>
    <n v="-1.4117012503112851"/>
    <n v="-1.1674500038472786"/>
    <n v="5.4608608707957328E-2"/>
    <n v="-8.5814360292350206E-2"/>
    <n v="1.3427119821790756E-2"/>
    <n v="1.2399153512162342E-2"/>
    <x v="0"/>
    <x v="0"/>
    <x v="0"/>
    <x v="0"/>
    <x v="0"/>
    <x v="0"/>
  </r>
  <r>
    <x v="8"/>
    <s v="CAL"/>
    <n v="459"/>
    <n v="14.3"/>
    <n v="0.01"/>
    <n v="18.61"/>
    <n v="2.4300000000000002"/>
    <n v="1430"/>
    <n v="0.76840408382590009"/>
    <n v="13.66"/>
    <n v="4.3600000000000003"/>
    <n v="3.15"/>
    <n v="5.8847736625514404"/>
    <s v="NO"/>
    <n v="83.609050025342796"/>
    <n v="-0.95539401917634925"/>
    <n v="0.51298841836592768"/>
    <n v="0.41835740734432469"/>
    <n v="0.32672658233022989"/>
    <n v="-0.21747046229762163"/>
    <x v="1"/>
    <x v="0"/>
    <x v="0"/>
    <x v="0"/>
    <x v="0"/>
    <x v="0"/>
  </r>
  <r>
    <x v="8"/>
    <s v="UPBD"/>
    <n v="1327"/>
    <n v="25.97"/>
    <n v="2.58"/>
    <n v="11.75"/>
    <n v="2.13"/>
    <n v="10.065891472868216"/>
    <n v="2.2102127659574466"/>
    <n v="19.18"/>
    <n v="7.39"/>
    <n v="4.4800000000000004"/>
    <n v="12.192488262910798"/>
    <s v="NO"/>
    <n v="-8.0650313998574558E-2"/>
    <n v="0.48339265933490555"/>
    <n v="0.84074185739597906"/>
    <n v="1.4103317293827169"/>
    <n v="1.2325706804524563"/>
    <n v="0.11783724868361423"/>
    <x v="0"/>
    <x v="0"/>
    <x v="0"/>
    <x v="0"/>
    <x v="0"/>
    <x v="0"/>
  </r>
  <r>
    <x v="8"/>
    <s v="VSCO"/>
    <n v="1693"/>
    <n v="22.72"/>
    <n v="3.13"/>
    <n v="8.1"/>
    <n v="2.0499999999999998"/>
    <n v="7.2587859424920129"/>
    <n v="2.8049382716049385"/>
    <n v="30.67"/>
    <n v="4.4800000000000004"/>
    <n v="7.08"/>
    <n v="11.082926829268294"/>
    <s v="NO"/>
    <n v="-0.24609870998208683"/>
    <n v="1.0768716316153701"/>
    <n v="1.5229677658117926"/>
    <n v="0.45764351910822143"/>
    <n v="3.0033937294131992"/>
    <n v="5.8854791790822855E-2"/>
    <x v="0"/>
    <x v="0"/>
    <x v="0"/>
    <x v="0"/>
    <x v="1"/>
    <x v="0"/>
  </r>
  <r>
    <x v="8"/>
    <s v="SBH"/>
    <n v="879"/>
    <n v="8.92"/>
    <n v="1.44"/>
    <n v="6.94"/>
    <n v="1.76"/>
    <n v="6.1944444444444446"/>
    <n v="1.2853025936599423"/>
    <n v="29.74"/>
    <n v="7.43"/>
    <n v="3.87"/>
    <n v="5.0681818181818183"/>
    <s v="NO"/>
    <n v="-0.30883008638568754"/>
    <n v="-0.43957891880390954"/>
    <n v="1.4677484364099902"/>
    <n v="1.4234270999706826"/>
    <n v="0.81710834973474344"/>
    <n v="-0.26087913873423851"/>
    <x v="0"/>
    <x v="0"/>
    <x v="0"/>
    <x v="0"/>
    <x v="0"/>
    <x v="0"/>
  </r>
  <r>
    <x v="8"/>
    <s v="LEFUF"/>
    <n v="1378"/>
    <n v="20.62"/>
    <n v="2.9"/>
    <n v="11.74"/>
    <n v="1.61"/>
    <n v="7.1103448275862071"/>
    <n v="1.7563884156729133"/>
    <n v="14.48"/>
    <n v="5.59"/>
    <n v="1.98"/>
    <n v="12.807453416149068"/>
    <s v="NO"/>
    <n v="-0.25484770217116154"/>
    <n v="3.0519516271228172E-2"/>
    <n v="0.56167642923633387"/>
    <n v="0.82104005292426607"/>
    <n v="-0.47014378970210441"/>
    <n v="0.15052778256633009"/>
    <x v="0"/>
    <x v="0"/>
    <x v="0"/>
    <x v="0"/>
    <x v="0"/>
    <x v="0"/>
  </r>
  <r>
    <x v="8"/>
    <s v="ODP"/>
    <n v="495"/>
    <n v="18.02"/>
    <n v="1.89"/>
    <n v="26.07"/>
    <n v="1.43"/>
    <n v="9.5343915343915349"/>
    <n v="0.69121595703874184"/>
    <n v="4.96"/>
    <n v="3.7"/>
    <n v="4.42"/>
    <n v="12.601398601398602"/>
    <s v="NO"/>
    <n v="-0.11197646520120405"/>
    <n v="-1.0324203611154306"/>
    <n v="-3.579501844479352E-3"/>
    <n v="0.20228379264289262"/>
    <n v="1.1917055331687465"/>
    <n v="0.13957424825983103"/>
    <x v="0"/>
    <x v="0"/>
    <x v="0"/>
    <x v="0"/>
    <x v="0"/>
    <x v="0"/>
  </r>
  <r>
    <x v="8"/>
    <s v="HVT"/>
    <n v="339"/>
    <n v="20.32"/>
    <n v="1.85"/>
    <n v="18.899999999999999"/>
    <n v="1.28"/>
    <n v="10.983783783783784"/>
    <n v="1.0751322751322752"/>
    <n v="6.97"/>
    <n v="2.15"/>
    <n v="2.1"/>
    <n v="15.875"/>
    <s v="NO"/>
    <n v="-2.655052726692738E-2"/>
    <n v="-0.64930872433471387"/>
    <n v="0.11576550041102847"/>
    <n v="-0.3051618176407736"/>
    <n v="-0.38841349513468543"/>
    <n v="0.31359350264516289"/>
    <x v="0"/>
    <x v="0"/>
    <x v="0"/>
    <x v="0"/>
    <x v="0"/>
    <x v="0"/>
  </r>
  <r>
    <x v="8"/>
    <s v="AOCIF"/>
    <n v="374"/>
    <n v="16.5"/>
    <n v="0.55000000000000004"/>
    <n v="13.99"/>
    <n v="1.08"/>
    <n v="29.999999999999996"/>
    <n v="1.1794138670478913"/>
    <n v="7.31"/>
    <n v="2.99"/>
    <n v="6.3"/>
    <n v="15.277777777777777"/>
    <s v="NO"/>
    <n v="1.0942489712211039"/>
    <n v="-0.54524570465562561"/>
    <n v="0.13595321223534321"/>
    <n v="-3.0159035293496384E-2"/>
    <n v="2.4721468147249759"/>
    <n v="0.28184615372911465"/>
    <x v="0"/>
    <x v="0"/>
    <x v="0"/>
    <x v="0"/>
    <x v="0"/>
    <x v="0"/>
  </r>
  <r>
    <x v="8"/>
    <s v="CRMT"/>
    <n v="411"/>
    <n v="54.75"/>
    <n v="-11.38"/>
    <n v="67.56"/>
    <n v="1.04"/>
    <n v="-4.8110720562390155"/>
    <n v="0.81039076376554176"/>
    <n v="1.5"/>
    <n v="3.34"/>
    <n v="2.88"/>
    <n v="52.644230769230766"/>
    <s v="NO"/>
    <n v="-0.95748580392265137"/>
    <n v="-0.91349534252060649"/>
    <n v="-0.20901915746838834"/>
    <n v="8.4425457351202299E-2"/>
    <n v="0.14283341955353732"/>
    <n v="2.2681852026357108"/>
    <x v="0"/>
    <x v="0"/>
    <x v="0"/>
    <x v="0"/>
    <x v="0"/>
    <x v="0"/>
  </r>
  <r>
    <x v="8"/>
    <s v="AEO"/>
    <n v="1899"/>
    <n v="10.36"/>
    <n v="1.32"/>
    <n v="8.2100000000000009"/>
    <n v="1.03"/>
    <n v="7.8484848484848477"/>
    <n v="1.2618757612667477"/>
    <n v="12.19"/>
    <n v="5.19"/>
    <n v="2.56"/>
    <n v="10.058252427184465"/>
    <s v="YES"/>
    <n v="-0.21134236147506399"/>
    <n v="-0.462956649001243"/>
    <n v="0.42570625253727268"/>
    <n v="0.69008634704461047"/>
    <n v="-7.5114032626246316E-2"/>
    <n v="4.3847895741371441E-3"/>
    <x v="0"/>
    <x v="0"/>
    <x v="0"/>
    <x v="0"/>
    <x v="0"/>
    <x v="0"/>
  </r>
  <r>
    <x v="8"/>
    <s v="GES"/>
    <n v="545"/>
    <n v="12.04"/>
    <n v="0.69"/>
    <n v="9.77"/>
    <n v="0.77"/>
    <n v="17.44927536231884"/>
    <n v="1.232343909928352"/>
    <n v="11.01"/>
    <n v="4.18"/>
    <n v="5.48"/>
    <n v="15.636363636363635"/>
    <s v="NO"/>
    <n v="0.35452000939015793"/>
    <n v="-0.49242660213999229"/>
    <n v="0.35564301738229792"/>
    <n v="0.35942823969847937"/>
    <n v="1.9136564685142805"/>
    <n v="0.30090798690492371"/>
    <x v="0"/>
    <x v="0"/>
    <x v="0"/>
    <x v="0"/>
    <x v="0"/>
    <x v="0"/>
  </r>
  <r>
    <x v="8"/>
    <s v="BWMX"/>
    <n v="296"/>
    <n v="7.99"/>
    <n v="1.55"/>
    <n v="1.38"/>
    <n v="0.74"/>
    <n v="5.1548387096774198"/>
    <n v="5.7898550724637685"/>
    <n v="44.29"/>
    <n v="8.4600000000000009"/>
    <n v="10.130000000000001"/>
    <n v="10.797297297297298"/>
    <s v="NO"/>
    <n v="-0.37010355808499112"/>
    <n v="4.0555321035380132"/>
    <n v="2.3316637512446365"/>
    <n v="1.7606328926107966"/>
    <n v="5.0807053830017637"/>
    <n v="4.3671196682004865E-2"/>
    <x v="0"/>
    <x v="1"/>
    <x v="1"/>
    <x v="0"/>
    <x v="1"/>
    <x v="0"/>
  </r>
  <r>
    <x v="8"/>
    <s v="RVLV"/>
    <n v="1469"/>
    <n v="22.53"/>
    <n v="0.39"/>
    <n v="6.37"/>
    <n v="0.71"/>
    <n v="57.769230769230774"/>
    <n v="3.5368916797488228"/>
    <n v="11.69"/>
    <n v="5.47"/>
    <n v="1.57"/>
    <n v="31.732394366197187"/>
    <s v="NO"/>
    <n v="2.7309436514704415"/>
    <n v="1.8072908793143154"/>
    <n v="0.39601844103092743"/>
    <n v="0.78175394116036923"/>
    <n v="-0.74938896280745226"/>
    <n v="1.1565464489869968"/>
    <x v="0"/>
    <x v="0"/>
    <x v="0"/>
    <x v="0"/>
    <x v="0"/>
    <x v="0"/>
  </r>
  <r>
    <x v="8"/>
    <s v="ARHS"/>
    <n v="1266"/>
    <n v="8.83"/>
    <n v="0.34"/>
    <n v="2.48"/>
    <n v="0.41"/>
    <n v="25.970588235294116"/>
    <n v="3.560483870967742"/>
    <n v="18.39"/>
    <n v="3.74"/>
    <n v="3.63"/>
    <n v="21.536585365853661"/>
    <s v="NO"/>
    <n v="0.85675889255693016"/>
    <n v="1.8308336217484147"/>
    <n v="0.79383511521595362"/>
    <n v="0.21537916323085821"/>
    <n v="0.65364776059990548"/>
    <n v="0.61455404855209117"/>
    <x v="0"/>
    <x v="0"/>
    <x v="0"/>
    <x v="0"/>
    <x v="0"/>
    <x v="0"/>
  </r>
  <r>
    <x v="8"/>
    <s v="LE"/>
    <n v="260"/>
    <n v="9.0399999999999991"/>
    <n v="0.49"/>
    <n v="7.76"/>
    <n v="0.2"/>
    <n v="18.448979591836732"/>
    <n v="1.1649484536082473"/>
    <n v="2.59"/>
    <n v="4.78"/>
    <n v="3.2"/>
    <n v="45.199999999999996"/>
    <s v="NO"/>
    <n v="0.41344172054132428"/>
    <n v="-0.5596807988633733"/>
    <n v="-0.14429972838455576"/>
    <n v="0.55585879851796327"/>
    <n v="0.36078087173332124"/>
    <n v="1.8724621654671221"/>
    <x v="0"/>
    <x v="0"/>
    <x v="0"/>
    <x v="0"/>
    <x v="0"/>
    <x v="0"/>
  </r>
  <r>
    <x v="8"/>
    <s v="CURV"/>
    <n v="542"/>
    <n v="4.91"/>
    <n v="0.6"/>
    <n v="-1.82"/>
    <n v="0.15"/>
    <n v="8.1833333333333336"/>
    <n v="-2.697802197802198"/>
    <n v="-8.1"/>
    <n v="7.41"/>
    <n v="-2.56"/>
    <n v="32.733333333333334"/>
    <s v="NO"/>
    <n v="-0.19160667853895907"/>
    <n v="-4.4143351982554231"/>
    <n v="-0.77902513839021681"/>
    <n v="1.4168794146766999"/>
    <n v="-3.5622732675027864"/>
    <n v="1.2097547146056131"/>
    <x v="0"/>
    <x v="1"/>
    <x v="0"/>
    <x v="0"/>
    <x v="1"/>
    <x v="0"/>
  </r>
  <r>
    <x v="8"/>
    <s v="BEVFF"/>
    <n v="363"/>
    <n v="2.17"/>
    <n v="0.19"/>
    <n v="1.19"/>
    <n v="0.11"/>
    <n v="11.421052631578947"/>
    <n v="1.8235294117647058"/>
    <n v="9.3699999999999992"/>
    <n v="6.44"/>
    <n v="2"/>
    <n v="19.727272727272727"/>
    <s v="NO"/>
    <n v="-7.7827585051100444E-4"/>
    <n v="9.7519786110103882E-2"/>
    <n v="0.25826699564148553"/>
    <n v="1.0993166779185348"/>
    <n v="-0.45652207394086791"/>
    <n v="0.51837397102330918"/>
    <x v="0"/>
    <x v="0"/>
    <x v="0"/>
    <x v="0"/>
    <x v="0"/>
    <x v="0"/>
  </r>
  <r>
    <x v="8"/>
    <s v="KTYCF"/>
    <n v="317"/>
    <n v="10.41"/>
    <n v="0.14000000000000001"/>
    <n v="1.32"/>
    <n v="0.1"/>
    <n v="74.357142857142847"/>
    <n v="7.8863636363636358"/>
    <n v="8.2100000000000009"/>
    <n v="3.7"/>
    <n v="1.66"/>
    <n v="104.1"/>
    <s v="NO"/>
    <n v="3.7086209842113882"/>
    <n v="6.1476464252970224"/>
    <n v="0.18939127294676469"/>
    <n v="0.20228379264289262"/>
    <n v="-0.68809124188188819"/>
    <n v="5.0034890790293867"/>
    <x v="1"/>
    <x v="1"/>
    <x v="0"/>
    <x v="0"/>
    <x v="0"/>
    <x v="1"/>
  </r>
  <r>
    <x v="8"/>
    <s v="RERE"/>
    <n v="573"/>
    <n v="2.69"/>
    <n v="0.33"/>
    <n v="2.13"/>
    <n v="7.0000000000000007E-2"/>
    <n v="8.1515151515151505"/>
    <n v="1.2629107981220657"/>
    <n v="3.44"/>
    <n v="1.72"/>
    <n v="1.43"/>
    <n v="38.428571428571423"/>
    <s v="NO"/>
    <n v="-0.19348201492655281"/>
    <n v="-0.46192378156352015"/>
    <n v="-9.3830448823768856E-2"/>
    <n v="-0.44593705146140356"/>
    <n v="-0.84474097313610774"/>
    <n v="1.5125041841359279"/>
    <x v="0"/>
    <x v="0"/>
    <x v="0"/>
    <x v="0"/>
    <x v="0"/>
    <x v="0"/>
  </r>
  <r>
    <x v="8"/>
    <s v="EM"/>
    <n v="275"/>
    <n v="1.08"/>
    <n v="0.13"/>
    <n v="1.49"/>
    <n v="0.05"/>
    <n v="8.3076923076923084"/>
    <n v="0.72483221476510074"/>
    <n v="3.25"/>
    <n v="-0.02"/>
    <n v="1.61"/>
    <n v="21.6"/>
    <s v="NO"/>
    <n v="-0.18427706709001235"/>
    <n v="-0.99887456242695161"/>
    <n v="-0.10511181719618004"/>
    <n v="-1.0155856720379062"/>
    <n v="-0.72214553128497927"/>
    <n v="0.61792506597528118"/>
    <x v="0"/>
    <x v="0"/>
    <x v="0"/>
    <x v="0"/>
    <x v="0"/>
    <x v="0"/>
  </r>
  <r>
    <x v="8"/>
    <s v="ARKO"/>
    <n v="488"/>
    <n v="4.58"/>
    <n v="1.1599999999999999"/>
    <n v="2.21"/>
    <n v="0.03"/>
    <n v="3.9482758620689657"/>
    <n v="2.0723981900452491"/>
    <n v="2.4500000000000002"/>
    <n v="1.61"/>
    <n v="14.12"/>
    <n v="152.66666666666669"/>
    <s v="NO"/>
    <n v="-0.44121733903478122"/>
    <n v="0.34586694015695918"/>
    <n v="-0.1526123156063324"/>
    <n v="-0.48194932057830886"/>
    <n v="7.7982376773684408"/>
    <n v="7.5852130253000274"/>
    <x v="0"/>
    <x v="0"/>
    <x v="0"/>
    <x v="0"/>
    <x v="1"/>
    <x v="1"/>
  </r>
  <r>
    <x v="8"/>
    <s v="TTSH"/>
    <n v="285"/>
    <n v="6.28"/>
    <n v="7.0000000000000007E-2"/>
    <n v="2.75"/>
    <n v="0.01"/>
    <n v="89.714285714285708"/>
    <n v="2.2836363636363637"/>
    <n v="0.66"/>
    <n v="0.45"/>
    <n v="2.64"/>
    <n v="628"/>
    <s v="NO"/>
    <n v="4.6137578325091519"/>
    <n v="0.55666236254727486"/>
    <n v="-0.25889468079904832"/>
    <n v="-0.8617150676293106"/>
    <n v="-2.0627169581300332E-2"/>
    <n v="32.853149520714794"/>
    <x v="1"/>
    <x v="0"/>
    <x v="0"/>
    <x v="0"/>
    <x v="0"/>
    <x v="1"/>
  </r>
  <r>
    <x v="8"/>
    <s v="CANG"/>
    <n v="472"/>
    <n v="5.16"/>
    <n v="-1.63"/>
    <n v="5.13"/>
    <n v="0"/>
    <n v="-3.1656441717791415"/>
    <n v="1.0058479532163742"/>
    <n v="0.06"/>
    <n v="1.63"/>
    <n v="1.82"/>
    <s v=""/>
    <s v="NO"/>
    <n v="-0.86050569354042938"/>
    <n v="-0.71844782762746862"/>
    <n v="-0.29452005460666264"/>
    <n v="-0.47540163528432611"/>
    <n v="-0.57911751579199622"/>
    <e v="#VALUE!"/>
    <x v="0"/>
    <x v="0"/>
    <x v="0"/>
    <x v="0"/>
    <x v="0"/>
    <x v="1"/>
  </r>
  <r>
    <x v="8"/>
    <s v="MNRO"/>
    <n v="459"/>
    <n v="17.260000000000002"/>
    <n v="3.48"/>
    <n v="20.72"/>
    <n v="-0.22"/>
    <n v="4.9597701149425291"/>
    <n v="0.83301158301158318"/>
    <n v="-0.81"/>
    <n v="1.51"/>
    <n v="2.64"/>
    <n v="-78.454545454545467"/>
    <s v="NO"/>
    <n v="-0.38160073400388872"/>
    <n v="-0.89092193608217451"/>
    <n v="-0.34617684662770337"/>
    <n v="-0.51468774704822284"/>
    <n v="-2.0627169581300332E-2"/>
    <n v="-4.700809647817942"/>
    <x v="0"/>
    <x v="0"/>
    <x v="0"/>
    <x v="0"/>
    <x v="0"/>
    <x v="1"/>
  </r>
  <r>
    <x v="8"/>
    <s v="TDUP"/>
    <n v="851"/>
    <n v="7.66"/>
    <n v="-0.02"/>
    <n v="0.48"/>
    <n v="-0.28999999999999998"/>
    <n v="-383"/>
    <n v="15.958333333333334"/>
    <n v="-44.15"/>
    <n v="-10.1"/>
    <n v="3.08"/>
    <n v="-26.413793103448278"/>
    <s v="NO"/>
    <n v="-23.247617339744796"/>
    <n v="14.20269742705463"/>
    <n v="-2.9195163479977078"/>
    <n v="-4.3156190602052318"/>
    <n v="0.27905057716590226"/>
    <n v="-1.9344090329908785"/>
    <x v="1"/>
    <x v="1"/>
    <x v="1"/>
    <x v="1"/>
    <x v="0"/>
    <x v="0"/>
  </r>
  <r>
    <x v="8"/>
    <s v="EYE"/>
    <n v="1566"/>
    <n v="21.01"/>
    <n v="0.59"/>
    <n v="10.58"/>
    <n v="-0.32"/>
    <n v="35.610169491525426"/>
    <n v="1.9858223062381855"/>
    <n v="-2.95"/>
    <n v="1.03"/>
    <n v="2.4"/>
    <n v="-65.65625"/>
    <s v="NO"/>
    <n v="1.4249075565590494"/>
    <n v="0.25947251775842872"/>
    <n v="-0.4732406798748609"/>
    <n v="-0.67183219410380968"/>
    <n v="-0.18408775871613828"/>
    <n v="-4.0204733572253533"/>
    <x v="0"/>
    <x v="0"/>
    <x v="0"/>
    <x v="0"/>
    <x v="0"/>
    <x v="1"/>
  </r>
  <r>
    <x v="8"/>
    <s v="WOOF"/>
    <n v="1018"/>
    <n v="2.64"/>
    <n v="0.18"/>
    <n v="4.0199999999999996"/>
    <n v="-0.37"/>
    <n v="14.666666666666668"/>
    <n v="0.65671641791044788"/>
    <n v="-8.86"/>
    <n v="0.19"/>
    <n v="4.66"/>
    <n v="-7.135135135135136"/>
    <s v="NO"/>
    <n v="0.19051543586643788"/>
    <n v="-1.0668475898647984"/>
    <n v="-0.82415061187986149"/>
    <n v="-0.94683497645108694"/>
    <n v="1.3551661223035845"/>
    <n v="-0.90958735292041915"/>
    <x v="0"/>
    <x v="0"/>
    <x v="0"/>
    <x v="0"/>
    <x v="0"/>
    <x v="0"/>
  </r>
  <r>
    <x v="8"/>
    <s v="EVGO"/>
    <n v="530"/>
    <n v="4.1900000000000004"/>
    <n v="-0.81"/>
    <n v="-0.27"/>
    <n v="-0.4"/>
    <n v="-5.1728395061728394"/>
    <n v="-15.518518518518519"/>
    <n v="-26.54"/>
    <n v="-9.74"/>
    <n v="-23.28"/>
    <n v="-10.475"/>
    <s v="NO"/>
    <n v="-0.97880806760775585"/>
    <n v="-17.208179541006778"/>
    <n v="-1.8739116267442288"/>
    <n v="-4.1977607249135414"/>
    <n v="-17.674370796143783"/>
    <n v="-1.0871290639484816"/>
    <x v="0"/>
    <x v="1"/>
    <x v="0"/>
    <x v="1"/>
    <x v="1"/>
    <x v="0"/>
  </r>
  <r>
    <x v="8"/>
    <s v="LUXE"/>
    <n v="1275"/>
    <n v="9.2799999999999994"/>
    <n v="0.22"/>
    <n v="5.15"/>
    <n v="-0.46"/>
    <n v="42.18181818181818"/>
    <n v="1.8019417475728152"/>
    <n v="-8.7100000000000009"/>
    <n v="0.49"/>
    <n v="1.67"/>
    <n v="-20.173913043478258"/>
    <s v="NO"/>
    <n v="1.8122349024712539"/>
    <n v="7.5977369252447011E-2"/>
    <n v="-0.81524426842795805"/>
    <n v="-0.84861969704134499"/>
    <n v="-0.68128038400126989"/>
    <n v="-1.6027072943632612"/>
    <x v="0"/>
    <x v="0"/>
    <x v="0"/>
    <x v="0"/>
    <x v="0"/>
    <x v="0"/>
  </r>
  <r>
    <x v="8"/>
    <s v="CWH"/>
    <n v="1017"/>
    <n v="17.88"/>
    <n v="-0.15"/>
    <n v="4.96"/>
    <n v="-0.55000000000000004"/>
    <n v="-119.2"/>
    <n v="3.604838709677419"/>
    <n v="-17.260000000000002"/>
    <n v="2.2400000000000002"/>
    <n v="16.579999999999998"/>
    <n v="-32.509090909090908"/>
    <s v="NO"/>
    <n v="-7.6994712554038651"/>
    <n v="1.8750954935583781"/>
    <n v="-1.3229058451864617"/>
    <n v="-0.27569723381785094"/>
    <n v="9.4737087160005284"/>
    <n v="-2.2584250172972298"/>
    <x v="1"/>
    <x v="0"/>
    <x v="0"/>
    <x v="0"/>
    <x v="1"/>
    <x v="0"/>
  </r>
  <r>
    <x v="8"/>
    <s v="SFIX"/>
    <n v="569"/>
    <n v="4.7300000000000004"/>
    <n v="0.1"/>
    <n v="1.54"/>
    <n v="-0.56999999999999995"/>
    <n v="47.300000000000004"/>
    <n v="3.0714285714285716"/>
    <n v="-34.369999999999997"/>
    <n v="-6.55"/>
    <n v="2.39"/>
    <n v="-8.2982456140350891"/>
    <s v="NO"/>
    <n v="2.113896155675608"/>
    <n v="1.3428033728307633"/>
    <n v="-2.3388227549335951"/>
    <n v="-3.153404920523287"/>
    <n v="-0.19089861659675639"/>
    <n v="-0.97141638879277981"/>
    <x v="0"/>
    <x v="0"/>
    <x v="0"/>
    <x v="0"/>
    <x v="0"/>
    <x v="0"/>
  </r>
  <r>
    <x v="8"/>
    <s v="REAL"/>
    <n v="639"/>
    <n v="6.12"/>
    <n v="-0.24"/>
    <n v="-2.97"/>
    <n v="-1.0900000000000001"/>
    <n v="-25.5"/>
    <n v="-2.0606060606060606"/>
    <n v="12.28"/>
    <n v="-7.71"/>
    <n v="-1.19"/>
    <n v="-5.6146788990825689"/>
    <s v="NO"/>
    <n v="-2.1768734991387202"/>
    <n v="-3.7784746120635955"/>
    <n v="0.43105005860841478"/>
    <n v="-3.5331706675742889"/>
    <n v="-2.6291857378580872"/>
    <n v="-0.82876240562034842"/>
    <x v="0"/>
    <x v="1"/>
    <x v="0"/>
    <x v="1"/>
    <x v="0"/>
    <x v="0"/>
  </r>
  <r>
    <x v="8"/>
    <s v="FLWS"/>
    <n v="313"/>
    <n v="5.15"/>
    <n v="-0.76"/>
    <n v="5"/>
    <n v="-2.64"/>
    <n v="-6.776315789473685"/>
    <n v="1.03"/>
    <n v="-42.08"/>
    <n v="-3.32"/>
    <n v="2.54"/>
    <n v="-1.9507575757575757"/>
    <s v="NO"/>
    <n v="-1.0733155865445929"/>
    <n v="-0.69434640307529572"/>
    <n v="-2.7966088083614387"/>
    <n v="-2.0959537455450663"/>
    <n v="-8.8735748387482813E-2"/>
    <n v="-0.63399438741143133"/>
    <x v="0"/>
    <x v="0"/>
    <x v="1"/>
    <x v="0"/>
    <x v="0"/>
    <x v="0"/>
  </r>
  <r>
    <x v="8"/>
    <s v="UXIN"/>
    <n v="845"/>
    <n v="3.84"/>
    <n v="-5.23"/>
    <n v="-0.25"/>
    <n v="-3.05"/>
    <n v="-0.73422562141491388"/>
    <n v="-15.36"/>
    <n v="179.99"/>
    <n v="-8.4"/>
    <n v="-5.7"/>
    <n v="-1.2590163934426231"/>
    <s v="NO"/>
    <n v="-0.71719996642428274"/>
    <n v="-17.04999327429308"/>
    <n v="10.388935794066734"/>
    <n v="-3.7590658102166947"/>
    <n v="-5.7008826420169143"/>
    <n v="-0.59722256637497118"/>
    <x v="0"/>
    <x v="1"/>
    <x v="1"/>
    <x v="1"/>
    <x v="1"/>
    <x v="0"/>
  </r>
  <r>
    <x v="8"/>
    <s v="BNED"/>
    <n v="410"/>
    <n v="11.88"/>
    <n v="-3.75"/>
    <n v="8.32"/>
    <n v="-3.83"/>
    <n v="-3.1680000000000001"/>
    <n v="1.4278846153846154"/>
    <n v="-36.83"/>
    <n v="1.85"/>
    <n v="3.84"/>
    <n v="-3.1018276762402088"/>
    <s v="NO"/>
    <n v="-0.86064454403825907"/>
    <n v="-0.29729574628938504"/>
    <n v="-2.4848867875448137"/>
    <n v="-0.40337709705051539"/>
    <n v="0.79667577609288853"/>
    <n v="-0.69518337661360352"/>
    <x v="0"/>
    <x v="0"/>
    <x v="0"/>
    <x v="0"/>
    <x v="0"/>
    <x v="0"/>
  </r>
  <r>
    <x v="8"/>
    <s v="BYON"/>
    <n v="370"/>
    <n v="6.63"/>
    <n v="-4.05"/>
    <n v="2.52"/>
    <n v="-4.63"/>
    <n v="-1.6370370370370371"/>
    <n v="2.6309523809523809"/>
    <n v="-104.28"/>
    <n v="-20.86"/>
    <n v="2.54"/>
    <n v="-1.4319654427645789"/>
    <s v="NO"/>
    <n v="-0.77041089810246088"/>
    <n v="0.90325041208592882"/>
    <n v="-6.4897725597507856"/>
    <n v="-7.8382737483679721"/>
    <n v="-8.8735748387482813E-2"/>
    <n v="-0.60641625276040501"/>
    <x v="0"/>
    <x v="0"/>
    <x v="1"/>
    <x v="1"/>
    <x v="0"/>
    <x v="0"/>
  </r>
  <r>
    <x v="9"/>
    <s v="OXM"/>
    <n v="798"/>
    <n v="55.03"/>
    <n v="3.82"/>
    <n v="39.64"/>
    <n v="5.87"/>
    <n v="14.405759162303665"/>
    <n v="1.3882441977800202"/>
    <n v="15.71"/>
    <n v="6.39"/>
    <n v="2.0699999999999998"/>
    <n v="9.3747870528109036"/>
    <s v="NO"/>
    <n v="0.84280431142963375"/>
    <n v="-0.63274119626436842"/>
    <n v="0.4670548169911814"/>
    <n v="0.42720841784941277"/>
    <n v="0.29752683208941361"/>
    <n v="-0.25727052979963949"/>
    <x v="0"/>
    <x v="0"/>
    <x v="0"/>
    <x v="0"/>
    <x v="0"/>
    <x v="0"/>
  </r>
  <r>
    <x v="9"/>
    <s v="CRI"/>
    <n v="1143"/>
    <n v="31.88"/>
    <n v="6.25"/>
    <n v="23.38"/>
    <n v="4.51"/>
    <n v="5.1007999999999996"/>
    <n v="1.3635585970915312"/>
    <n v="19.309999999999999"/>
    <n v="6.95"/>
    <n v="2.75"/>
    <n v="7.0687361419068742"/>
    <s v="NO"/>
    <n v="-0.64021331012872118"/>
    <n v="-0.64967147613993892"/>
    <n v="0.70205095132636686"/>
    <n v="0.56876860364566806"/>
    <n v="1.4137654297214213"/>
    <n v="-0.57158360645156625"/>
    <x v="0"/>
    <x v="0"/>
    <x v="0"/>
    <x v="0"/>
    <x v="0"/>
    <x v="0"/>
  </r>
  <r>
    <x v="9"/>
    <s v="GIII"/>
    <n v="1258"/>
    <n v="22.16"/>
    <n v="6.18"/>
    <n v="38.270000000000003"/>
    <n v="4.2"/>
    <n v="3.5857605177993528"/>
    <n v="0.5790436373138228"/>
    <n v="11.98"/>
    <n v="7.29"/>
    <n v="1.48"/>
    <n v="5.2761904761904761"/>
    <s v="YES"/>
    <n v="-0.8816792005500983"/>
    <n v="-1.1877202764594708"/>
    <n v="0.22357271113833624"/>
    <n v="0.65471585930768006"/>
    <n v="-0.67097430409129843"/>
    <n v="-0.81590628838642532"/>
    <x v="0"/>
    <x v="0"/>
    <x v="0"/>
    <x v="0"/>
    <x v="0"/>
    <x v="0"/>
  </r>
  <r>
    <x v="9"/>
    <s v="SHOO"/>
    <n v="1790"/>
    <n v="26.1"/>
    <n v="2.2999999999999998"/>
    <n v="12.06"/>
    <n v="2.3199999999999998"/>
    <n v="11.347826086956523"/>
    <n v="2.1641791044776117"/>
    <n v="19.760000000000002"/>
    <n v="11.38"/>
    <n v="1.63"/>
    <n v="11.250000000000002"/>
    <s v="NO"/>
    <n v="0.35543316264930919"/>
    <n v="-0.10057690739856688"/>
    <n v="0.73142546811826525"/>
    <n v="1.6886107877124723"/>
    <n v="-0.42474520167247343"/>
    <n v="-1.680356997482507E-3"/>
    <x v="0"/>
    <x v="0"/>
    <x v="0"/>
    <x v="0"/>
    <x v="0"/>
    <x v="0"/>
  </r>
  <r>
    <x v="9"/>
    <s v="WWW"/>
    <n v="1383"/>
    <n v="18.63"/>
    <n v="1.38"/>
    <n v="3.83"/>
    <n v="0.9"/>
    <n v="13.5"/>
    <n v="4.8642297650130546"/>
    <n v="26.65"/>
    <n v="4.22"/>
    <n v="5.42"/>
    <n v="20.7"/>
    <s v="NO"/>
    <n v="0.69844507511765896"/>
    <n v="1.7512157201310505"/>
    <n v="1.1811819585542176"/>
    <n v="-0.12133730211107596"/>
    <n v="5.7966434527765092"/>
    <n v="1.2863478302016853"/>
    <x v="0"/>
    <x v="0"/>
    <x v="0"/>
    <x v="0"/>
    <x v="1"/>
    <x v="0"/>
  </r>
  <r>
    <x v="9"/>
    <s v="MOV"/>
    <n v="360"/>
    <n v="16.07"/>
    <n v="0.06"/>
    <n v="22.18"/>
    <n v="0.78"/>
    <n v="267.83333333333337"/>
    <n v="0.72452660054102802"/>
    <n v="3.67"/>
    <n v="1.61"/>
    <n v="1.51"/>
    <n v="20.602564102564102"/>
    <s v="NO"/>
    <n v="41.233906704121537"/>
    <n v="-1.087942786106058"/>
    <n v="-0.31887669895205062"/>
    <n v="-0.78110888234005071"/>
    <n v="-0.62172848360753341"/>
    <n v="1.2730673876257612"/>
    <x v="1"/>
    <x v="0"/>
    <x v="0"/>
    <x v="0"/>
    <x v="0"/>
    <x v="0"/>
  </r>
  <r>
    <x v="9"/>
    <s v="GOOS"/>
    <n v="1169"/>
    <n v="11.74"/>
    <n v="1.98"/>
    <n v="3.9"/>
    <n v="0.68"/>
    <n v="5.9292929292929291"/>
    <n v="3.0102564102564102"/>
    <n v="21.14"/>
    <n v="6.5"/>
    <n v="2.99"/>
    <n v="17.264705882352942"/>
    <s v="NO"/>
    <n v="-0.50816870981972551"/>
    <n v="0.47969358161907216"/>
    <n v="0.82150731961341972"/>
    <n v="0.45501488291653441"/>
    <n v="1.8077319935915419"/>
    <n v="0.81811971857746257"/>
    <x v="0"/>
    <x v="0"/>
    <x v="0"/>
    <x v="0"/>
    <x v="0"/>
    <x v="0"/>
  </r>
  <r>
    <x v="9"/>
    <s v="FIGS"/>
    <n v="707"/>
    <n v="5.16"/>
    <n v="0.36"/>
    <n v="2.35"/>
    <n v="0.01"/>
    <n v="14.333333333333334"/>
    <n v="2.1957446808510639"/>
    <n v="0.31"/>
    <n v="0.19"/>
    <n v="1.37"/>
    <n v="516"/>
    <s v="NO"/>
    <n v="0.83126113550102698"/>
    <n v="-7.8928090779514973E-2"/>
    <n v="-0.53820642433155719"/>
    <n v="-1.1400650677519835"/>
    <n v="-0.85154231253177004"/>
    <n v="68.795380752926349"/>
    <x v="0"/>
    <x v="0"/>
    <x v="0"/>
    <x v="0"/>
    <x v="0"/>
    <x v="1"/>
  </r>
  <r>
    <x v="9"/>
    <s v="HBI"/>
    <n v="1751"/>
    <n v="4.97"/>
    <n v="0.28999999999999998"/>
    <n v="0.12"/>
    <n v="-0.15"/>
    <n v="17.137931034482758"/>
    <n v="41.416666666666664"/>
    <n v="-26.75"/>
    <n v="5.7"/>
    <n v="87.95"/>
    <n v="-33.133333333333333"/>
    <s v="NO"/>
    <n v="1.278255876653327"/>
    <n v="26.820202077335431"/>
    <n v="-2.3045940340843689"/>
    <n v="0.25278604606474137"/>
    <n v="141.2718956036141"/>
    <n v="-6.0510966929963983"/>
    <x v="0"/>
    <x v="1"/>
    <x v="0"/>
    <x v="0"/>
    <x v="1"/>
    <x v="1"/>
  </r>
  <r>
    <x v="9"/>
    <s v="DOGZ"/>
    <n v="329"/>
    <n v="26.46"/>
    <n v="-7.0000000000000007E-2"/>
    <n v="5.87"/>
    <n v="-0.39"/>
    <n v="-378"/>
    <n v="4.5076660988074959"/>
    <n v="-6.23"/>
    <n v="-3.23"/>
    <n v="1.31"/>
    <n v="-67.84615384615384"/>
    <s v="NO"/>
    <n v="-61.698540092988566"/>
    <n v="1.5066714313977994"/>
    <n v="-0.96511606837381103"/>
    <n v="-2.0045933452933991"/>
    <n v="-0.9500339534993002"/>
    <n v="-10.782429103334842"/>
    <x v="1"/>
    <x v="0"/>
    <x v="0"/>
    <x v="0"/>
    <x v="0"/>
    <x v="1"/>
  </r>
  <r>
    <x v="9"/>
    <s v="LANV"/>
    <n v="316"/>
    <n v="2.1"/>
    <n v="-0.64"/>
    <n v="-0.04"/>
    <n v="-1.46"/>
    <n v="-3.28125"/>
    <n v="-52.5"/>
    <n v="-285.26"/>
    <n v="-12.32"/>
    <n v="-139.37"/>
    <n v="-1.4383561643835618"/>
    <s v="NO"/>
    <n v="-1.9761383408524116"/>
    <n v="-37.591252669591888"/>
    <n v="-19.179274780470156"/>
    <n v="-4.3024185040218974"/>
    <n v="-231.88010147536809"/>
    <n v="-1.7310941547697949"/>
    <x v="0"/>
    <x v="1"/>
    <x v="1"/>
    <x v="1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3" firstHeaderRow="0" firstDataRow="1" firstDataCol="1" rowPageCount="1" colPageCount="1"/>
  <pivotFields count="26">
    <pivotField axis="axisRow" showAll="0">
      <items count="59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53"/>
        <item m="1" x="54"/>
        <item m="1" x="55"/>
        <item m="1" x="56"/>
        <item m="1" x="57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48"/>
        <item m="1" x="49"/>
        <item m="1" x="50"/>
        <item m="1" x="51"/>
        <item m="1" x="52"/>
        <item x="0"/>
        <item x="1"/>
        <item x="2"/>
        <item x="3"/>
        <item x="4"/>
        <item x="5"/>
        <item x="6"/>
        <item x="7"/>
        <item x="8"/>
        <item m="1" x="40"/>
        <item m="1" x="41"/>
        <item m="1" x="33"/>
        <item m="1" x="27"/>
        <item m="1" x="28"/>
        <item m="1" x="29"/>
        <item m="1" x="30"/>
        <item m="1" x="31"/>
        <item m="1" x="32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9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3" firstHeaderRow="0" firstDataRow="1" firstDataCol="1" rowPageCount="1" colPageCount="1"/>
  <pivotFields count="26">
    <pivotField axis="axisRow" showAll="0">
      <items count="59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53"/>
        <item m="1" x="54"/>
        <item m="1" x="55"/>
        <item m="1" x="56"/>
        <item m="1" x="57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48"/>
        <item m="1" x="49"/>
        <item m="1" x="50"/>
        <item m="1" x="51"/>
        <item m="1" x="52"/>
        <item x="0"/>
        <item x="1"/>
        <item x="2"/>
        <item x="3"/>
        <item x="4"/>
        <item x="5"/>
        <item x="6"/>
        <item x="7"/>
        <item x="8"/>
        <item m="1" x="40"/>
        <item m="1" x="41"/>
        <item m="1" x="33"/>
        <item m="1" x="27"/>
        <item m="1" x="28"/>
        <item m="1" x="29"/>
        <item m="1" x="30"/>
        <item m="1" x="31"/>
        <item m="1" x="32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9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3" firstHeaderRow="0" firstDataRow="1" firstDataCol="1" rowPageCount="1" colPageCount="1"/>
  <pivotFields count="26">
    <pivotField axis="axisRow" showAll="0">
      <items count="59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53"/>
        <item m="1" x="54"/>
        <item m="1" x="55"/>
        <item m="1" x="56"/>
        <item m="1" x="57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48"/>
        <item m="1" x="49"/>
        <item m="1" x="50"/>
        <item m="1" x="51"/>
        <item m="1" x="52"/>
        <item x="0"/>
        <item x="1"/>
        <item x="2"/>
        <item x="3"/>
        <item x="4"/>
        <item x="5"/>
        <item x="6"/>
        <item x="7"/>
        <item x="8"/>
        <item m="1" x="40"/>
        <item m="1" x="41"/>
        <item m="1" x="33"/>
        <item m="1" x="27"/>
        <item m="1" x="28"/>
        <item m="1" x="29"/>
        <item m="1" x="30"/>
        <item m="1" x="31"/>
        <item m="1" x="32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9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3" firstHeaderRow="0" firstDataRow="1" firstDataCol="1" rowPageCount="1" colPageCount="1"/>
  <pivotFields count="26">
    <pivotField axis="axisRow" showAll="0">
      <items count="59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53"/>
        <item m="1" x="54"/>
        <item m="1" x="55"/>
        <item m="1" x="56"/>
        <item m="1" x="57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48"/>
        <item m="1" x="49"/>
        <item m="1" x="50"/>
        <item m="1" x="51"/>
        <item m="1" x="52"/>
        <item x="0"/>
        <item x="1"/>
        <item x="2"/>
        <item x="3"/>
        <item x="4"/>
        <item x="5"/>
        <item x="6"/>
        <item x="7"/>
        <item x="8"/>
        <item m="1" x="40"/>
        <item m="1" x="41"/>
        <item m="1" x="33"/>
        <item m="1" x="27"/>
        <item m="1" x="28"/>
        <item m="1" x="29"/>
        <item m="1" x="30"/>
        <item m="1" x="31"/>
        <item m="1" x="32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9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3" firstHeaderRow="0" firstDataRow="1" firstDataCol="1" rowPageCount="1" colPageCount="1"/>
  <pivotFields count="26">
    <pivotField axis="axisRow" showAll="0">
      <items count="59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53"/>
        <item m="1" x="54"/>
        <item m="1" x="55"/>
        <item m="1" x="56"/>
        <item m="1" x="57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48"/>
        <item m="1" x="49"/>
        <item m="1" x="50"/>
        <item m="1" x="51"/>
        <item m="1" x="52"/>
        <item x="0"/>
        <item x="1"/>
        <item x="2"/>
        <item x="3"/>
        <item x="4"/>
        <item x="5"/>
        <item x="6"/>
        <item x="7"/>
        <item x="8"/>
        <item m="1" x="40"/>
        <item m="1" x="41"/>
        <item m="1" x="33"/>
        <item m="1" x="27"/>
        <item m="1" x="28"/>
        <item m="1" x="29"/>
        <item m="1" x="30"/>
        <item m="1" x="31"/>
        <item m="1" x="32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9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3" firstHeaderRow="0" firstDataRow="1" firstDataCol="1" rowPageCount="1" colPageCount="1"/>
  <pivotFields count="26">
    <pivotField axis="axisRow" showAll="0">
      <items count="59">
        <item m="1" x="34"/>
        <item m="1" x="35"/>
        <item m="1" x="36"/>
        <item m="1" x="37"/>
        <item m="1" x="38"/>
        <item m="1" x="39"/>
        <item m="1" x="21"/>
        <item m="1" x="22"/>
        <item m="1" x="23"/>
        <item m="1" x="24"/>
        <item m="1" x="25"/>
        <item m="1" x="26"/>
        <item m="1" x="53"/>
        <item m="1" x="54"/>
        <item m="1" x="55"/>
        <item m="1" x="56"/>
        <item m="1" x="57"/>
        <item m="1" x="42"/>
        <item m="1" x="43"/>
        <item m="1" x="44"/>
        <item m="1" x="45"/>
        <item m="1" x="46"/>
        <item m="1" x="4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48"/>
        <item m="1" x="49"/>
        <item m="1" x="50"/>
        <item m="1" x="51"/>
        <item m="1" x="52"/>
        <item x="0"/>
        <item x="1"/>
        <item x="2"/>
        <item x="3"/>
        <item x="4"/>
        <item x="5"/>
        <item x="6"/>
        <item x="7"/>
        <item x="8"/>
        <item m="1" x="40"/>
        <item m="1" x="41"/>
        <item m="1" x="33"/>
        <item m="1" x="27"/>
        <item m="1" x="28"/>
        <item m="1" x="29"/>
        <item m="1" x="30"/>
        <item m="1" x="31"/>
        <item m="1" x="32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9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3" firstHeaderRow="0" firstDataRow="1" firstDataCol="1" rowPageCount="1" colPageCount="1"/>
  <pivotFields count="26">
    <pivotField axis="axisRow" showAll="0">
      <items count="6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54"/>
        <item m="1" x="55"/>
        <item m="1" x="56"/>
        <item m="1" x="57"/>
        <item m="1" x="5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49"/>
        <item m="1" x="50"/>
        <item m="1" x="51"/>
        <item m="1" x="52"/>
        <item m="1" x="53"/>
        <item x="0"/>
        <item x="1"/>
        <item x="2"/>
        <item x="3"/>
        <item x="4"/>
        <item x="5"/>
        <item x="6"/>
        <item x="7"/>
        <item x="8"/>
        <item m="1" x="41"/>
        <item m="1" x="42"/>
        <item m="1" x="29"/>
        <item m="1" x="30"/>
        <item m="1" x="31"/>
        <item m="1" x="32"/>
        <item m="1" x="33"/>
        <item m="1"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9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3" firstHeaderRow="0" firstDataRow="1" firstDataCol="1" rowPageCount="1" colPageCount="1"/>
  <pivotFields count="26">
    <pivotField axis="axisRow" showAll="0">
      <items count="6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54"/>
        <item m="1" x="55"/>
        <item m="1" x="56"/>
        <item m="1" x="57"/>
        <item m="1" x="5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49"/>
        <item m="1" x="50"/>
        <item m="1" x="51"/>
        <item m="1" x="52"/>
        <item m="1" x="53"/>
        <item x="0"/>
        <item x="1"/>
        <item x="2"/>
        <item x="3"/>
        <item x="4"/>
        <item x="5"/>
        <item x="6"/>
        <item x="7"/>
        <item x="8"/>
        <item m="1" x="41"/>
        <item m="1" x="42"/>
        <item m="1" x="29"/>
        <item m="1" x="30"/>
        <item m="1" x="31"/>
        <item m="1" x="32"/>
        <item m="1" x="33"/>
        <item m="1"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9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3" firstHeaderRow="0" firstDataRow="1" firstDataCol="1" rowPageCount="1" colPageCount="1"/>
  <pivotFields count="26">
    <pivotField axis="axisRow" showAll="0">
      <items count="6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54"/>
        <item m="1" x="55"/>
        <item m="1" x="56"/>
        <item m="1" x="57"/>
        <item m="1" x="5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49"/>
        <item m="1" x="50"/>
        <item m="1" x="51"/>
        <item m="1" x="52"/>
        <item m="1" x="53"/>
        <item x="0"/>
        <item x="1"/>
        <item x="2"/>
        <item x="3"/>
        <item x="4"/>
        <item x="5"/>
        <item x="6"/>
        <item x="7"/>
        <item x="8"/>
        <item m="1" x="41"/>
        <item m="1" x="42"/>
        <item m="1" x="29"/>
        <item m="1" x="30"/>
        <item m="1" x="31"/>
        <item m="1" x="32"/>
        <item m="1" x="33"/>
        <item m="1"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9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3" firstHeaderRow="0" firstDataRow="1" firstDataCol="1" rowPageCount="1" colPageCount="1"/>
  <pivotFields count="26">
    <pivotField axis="axisRow" showAll="0">
      <items count="6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54"/>
        <item m="1" x="55"/>
        <item m="1" x="56"/>
        <item m="1" x="57"/>
        <item m="1" x="5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49"/>
        <item m="1" x="50"/>
        <item m="1" x="51"/>
        <item m="1" x="52"/>
        <item m="1" x="53"/>
        <item x="0"/>
        <item x="1"/>
        <item x="2"/>
        <item x="3"/>
        <item x="4"/>
        <item x="5"/>
        <item x="6"/>
        <item x="7"/>
        <item x="8"/>
        <item m="1" x="41"/>
        <item m="1" x="42"/>
        <item m="1" x="29"/>
        <item m="1" x="30"/>
        <item m="1" x="31"/>
        <item m="1" x="32"/>
        <item m="1" x="33"/>
        <item m="1" x="3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9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3" firstHeaderRow="0" firstDataRow="1" firstDataCol="1" rowPageCount="1" colPageCount="1"/>
  <pivotFields count="26">
    <pivotField axis="axisRow" showAll="0">
      <items count="6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54"/>
        <item m="1" x="55"/>
        <item m="1" x="56"/>
        <item m="1" x="57"/>
        <item m="1" x="5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49"/>
        <item m="1" x="50"/>
        <item m="1" x="51"/>
        <item m="1" x="52"/>
        <item m="1" x="53"/>
        <item x="0"/>
        <item x="1"/>
        <item x="2"/>
        <item x="3"/>
        <item x="4"/>
        <item x="5"/>
        <item x="6"/>
        <item x="7"/>
        <item x="8"/>
        <item m="1" x="41"/>
        <item m="1" x="42"/>
        <item m="1" x="29"/>
        <item m="1" x="30"/>
        <item m="1" x="31"/>
        <item m="1" x="32"/>
        <item m="1" x="33"/>
        <item m="1"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9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3" firstHeaderRow="0" firstDataRow="1" firstDataCol="1" rowPageCount="1" colPageCount="1"/>
  <pivotFields count="26">
    <pivotField axis="axisRow" showAll="0">
      <items count="60">
        <item m="1" x="35"/>
        <item m="1" x="36"/>
        <item m="1" x="37"/>
        <item m="1" x="38"/>
        <item m="1" x="39"/>
        <item m="1" x="40"/>
        <item m="1" x="23"/>
        <item m="1" x="24"/>
        <item m="1" x="25"/>
        <item m="1" x="26"/>
        <item m="1" x="27"/>
        <item m="1" x="28"/>
        <item m="1" x="54"/>
        <item m="1" x="55"/>
        <item m="1" x="56"/>
        <item m="1" x="57"/>
        <item m="1" x="58"/>
        <item m="1" x="43"/>
        <item m="1" x="44"/>
        <item m="1" x="45"/>
        <item m="1" x="46"/>
        <item m="1" x="47"/>
        <item m="1" x="4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49"/>
        <item m="1" x="50"/>
        <item m="1" x="51"/>
        <item m="1" x="52"/>
        <item m="1" x="53"/>
        <item x="0"/>
        <item x="1"/>
        <item x="2"/>
        <item x="3"/>
        <item x="4"/>
        <item x="5"/>
        <item x="6"/>
        <item x="7"/>
        <item x="8"/>
        <item m="1" x="41"/>
        <item m="1" x="42"/>
        <item m="1" x="29"/>
        <item m="1" x="30"/>
        <item m="1" x="31"/>
        <item m="1" x="32"/>
        <item m="1" x="33"/>
        <item m="1" x="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9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4" firstHeaderRow="0" firstDataRow="1" firstDataCol="1" rowPageCount="1" colPageCount="1"/>
  <pivotFields count="26">
    <pivotField axis="axisRow" showAll="0">
      <items count="61">
        <item m="1" x="36"/>
        <item m="1" x="37"/>
        <item m="1" x="38"/>
        <item m="1" x="39"/>
        <item m="1" x="40"/>
        <item m="1" x="41"/>
        <item m="1" x="24"/>
        <item m="1" x="25"/>
        <item m="1" x="26"/>
        <item m="1" x="27"/>
        <item m="1" x="28"/>
        <item m="1" x="29"/>
        <item m="1" x="55"/>
        <item m="1" x="56"/>
        <item m="1" x="57"/>
        <item m="1" x="58"/>
        <item m="1" x="59"/>
        <item m="1" x="44"/>
        <item m="1" x="45"/>
        <item m="1" x="46"/>
        <item m="1" x="47"/>
        <item m="1" x="48"/>
        <item m="1" x="4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50"/>
        <item m="1" x="51"/>
        <item m="1" x="52"/>
        <item m="1" x="53"/>
        <item m="1" x="54"/>
        <item x="0"/>
        <item x="1"/>
        <item x="2"/>
        <item x="3"/>
        <item x="4"/>
        <item x="5"/>
        <item x="6"/>
        <item x="7"/>
        <item x="8"/>
        <item x="9"/>
        <item m="1" x="42"/>
        <item m="1" x="43"/>
        <item m="1" x="30"/>
        <item m="1" x="31"/>
        <item m="1" x="32"/>
        <item m="1" x="33"/>
        <item m="1" x="34"/>
        <item m="1"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10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4" firstHeaderRow="0" firstDataRow="1" firstDataCol="1" rowPageCount="1" colPageCount="1"/>
  <pivotFields count="26">
    <pivotField axis="axisRow" showAll="0">
      <items count="61">
        <item m="1" x="36"/>
        <item m="1" x="37"/>
        <item m="1" x="38"/>
        <item m="1" x="39"/>
        <item m="1" x="40"/>
        <item m="1" x="41"/>
        <item m="1" x="24"/>
        <item m="1" x="25"/>
        <item m="1" x="26"/>
        <item m="1" x="27"/>
        <item m="1" x="28"/>
        <item m="1" x="29"/>
        <item m="1" x="55"/>
        <item m="1" x="56"/>
        <item m="1" x="57"/>
        <item m="1" x="58"/>
        <item m="1" x="59"/>
        <item m="1" x="44"/>
        <item m="1" x="45"/>
        <item m="1" x="46"/>
        <item m="1" x="47"/>
        <item m="1" x="48"/>
        <item m="1" x="4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50"/>
        <item m="1" x="51"/>
        <item m="1" x="52"/>
        <item m="1" x="53"/>
        <item m="1" x="54"/>
        <item x="0"/>
        <item x="1"/>
        <item x="2"/>
        <item x="3"/>
        <item x="4"/>
        <item x="5"/>
        <item x="6"/>
        <item x="7"/>
        <item x="8"/>
        <item x="9"/>
        <item m="1" x="42"/>
        <item m="1" x="43"/>
        <item m="1" x="30"/>
        <item m="1" x="31"/>
        <item m="1" x="32"/>
        <item m="1" x="33"/>
        <item m="1" x="34"/>
        <item m="1"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10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4" firstHeaderRow="0" firstDataRow="1" firstDataCol="1" rowPageCount="1" colPageCount="1"/>
  <pivotFields count="26">
    <pivotField axis="axisRow" showAll="0">
      <items count="61">
        <item m="1" x="36"/>
        <item m="1" x="37"/>
        <item m="1" x="38"/>
        <item m="1" x="39"/>
        <item m="1" x="40"/>
        <item m="1" x="41"/>
        <item m="1" x="24"/>
        <item m="1" x="25"/>
        <item m="1" x="26"/>
        <item m="1" x="27"/>
        <item m="1" x="28"/>
        <item m="1" x="29"/>
        <item m="1" x="55"/>
        <item m="1" x="56"/>
        <item m="1" x="57"/>
        <item m="1" x="58"/>
        <item m="1" x="59"/>
        <item m="1" x="44"/>
        <item m="1" x="45"/>
        <item m="1" x="46"/>
        <item m="1" x="47"/>
        <item m="1" x="48"/>
        <item m="1" x="4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50"/>
        <item m="1" x="51"/>
        <item m="1" x="52"/>
        <item m="1" x="53"/>
        <item m="1" x="54"/>
        <item x="0"/>
        <item x="1"/>
        <item x="2"/>
        <item x="3"/>
        <item x="4"/>
        <item x="5"/>
        <item x="6"/>
        <item x="7"/>
        <item x="8"/>
        <item x="9"/>
        <item m="1" x="42"/>
        <item m="1" x="43"/>
        <item m="1" x="30"/>
        <item m="1" x="31"/>
        <item m="1" x="32"/>
        <item m="1" x="33"/>
        <item m="1" x="34"/>
        <item m="1"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10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4" firstHeaderRow="0" firstDataRow="1" firstDataCol="1" rowPageCount="1" colPageCount="1"/>
  <pivotFields count="26">
    <pivotField axis="axisRow" showAll="0">
      <items count="61">
        <item m="1" x="36"/>
        <item m="1" x="37"/>
        <item m="1" x="38"/>
        <item m="1" x="39"/>
        <item m="1" x="40"/>
        <item m="1" x="41"/>
        <item m="1" x="24"/>
        <item m="1" x="25"/>
        <item m="1" x="26"/>
        <item m="1" x="27"/>
        <item m="1" x="28"/>
        <item m="1" x="29"/>
        <item m="1" x="55"/>
        <item m="1" x="56"/>
        <item m="1" x="57"/>
        <item m="1" x="58"/>
        <item m="1" x="59"/>
        <item m="1" x="44"/>
        <item m="1" x="45"/>
        <item m="1" x="46"/>
        <item m="1" x="47"/>
        <item m="1" x="48"/>
        <item m="1" x="4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50"/>
        <item m="1" x="51"/>
        <item m="1" x="52"/>
        <item m="1" x="53"/>
        <item m="1" x="54"/>
        <item x="0"/>
        <item x="1"/>
        <item x="2"/>
        <item x="3"/>
        <item x="4"/>
        <item x="5"/>
        <item x="6"/>
        <item x="7"/>
        <item x="8"/>
        <item x="9"/>
        <item m="1" x="42"/>
        <item m="1" x="43"/>
        <item m="1" x="30"/>
        <item m="1" x="31"/>
        <item m="1" x="32"/>
        <item m="1" x="33"/>
        <item m="1" x="34"/>
        <item m="1"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10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4" firstHeaderRow="0" firstDataRow="1" firstDataCol="1" rowPageCount="1" colPageCount="1"/>
  <pivotFields count="26">
    <pivotField axis="axisRow" showAll="0">
      <items count="61">
        <item m="1" x="36"/>
        <item m="1" x="37"/>
        <item m="1" x="38"/>
        <item m="1" x="39"/>
        <item m="1" x="40"/>
        <item m="1" x="41"/>
        <item m="1" x="24"/>
        <item m="1" x="25"/>
        <item m="1" x="26"/>
        <item m="1" x="27"/>
        <item m="1" x="28"/>
        <item m="1" x="29"/>
        <item m="1" x="55"/>
        <item m="1" x="56"/>
        <item m="1" x="57"/>
        <item m="1" x="58"/>
        <item m="1" x="59"/>
        <item m="1" x="44"/>
        <item m="1" x="45"/>
        <item m="1" x="46"/>
        <item m="1" x="47"/>
        <item m="1" x="48"/>
        <item m="1" x="4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50"/>
        <item m="1" x="51"/>
        <item m="1" x="52"/>
        <item m="1" x="53"/>
        <item m="1" x="54"/>
        <item x="0"/>
        <item x="1"/>
        <item x="2"/>
        <item x="3"/>
        <item x="4"/>
        <item x="5"/>
        <item x="6"/>
        <item x="7"/>
        <item x="8"/>
        <item x="9"/>
        <item m="1" x="42"/>
        <item m="1" x="43"/>
        <item m="1" x="30"/>
        <item m="1" x="31"/>
        <item m="1" x="32"/>
        <item m="1" x="33"/>
        <item m="1" x="34"/>
        <item m="1" x="3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0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4" firstHeaderRow="0" firstDataRow="1" firstDataCol="1" rowPageCount="1" colPageCount="1"/>
  <pivotFields count="26">
    <pivotField axis="axisRow" showAll="0">
      <items count="61">
        <item m="1" x="36"/>
        <item m="1" x="37"/>
        <item m="1" x="38"/>
        <item m="1" x="39"/>
        <item m="1" x="40"/>
        <item m="1" x="41"/>
        <item m="1" x="24"/>
        <item m="1" x="25"/>
        <item m="1" x="26"/>
        <item m="1" x="27"/>
        <item m="1" x="28"/>
        <item m="1" x="29"/>
        <item m="1" x="55"/>
        <item m="1" x="56"/>
        <item m="1" x="57"/>
        <item m="1" x="58"/>
        <item m="1" x="59"/>
        <item m="1" x="44"/>
        <item m="1" x="45"/>
        <item m="1" x="46"/>
        <item m="1" x="47"/>
        <item m="1" x="48"/>
        <item m="1" x="4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50"/>
        <item m="1" x="51"/>
        <item m="1" x="52"/>
        <item m="1" x="53"/>
        <item m="1" x="54"/>
        <item x="0"/>
        <item x="1"/>
        <item x="2"/>
        <item x="3"/>
        <item x="4"/>
        <item x="5"/>
        <item x="6"/>
        <item x="7"/>
        <item x="8"/>
        <item x="9"/>
        <item m="1" x="42"/>
        <item m="1" x="43"/>
        <item m="1" x="30"/>
        <item m="1" x="31"/>
        <item m="1" x="32"/>
        <item m="1" x="33"/>
        <item m="1" x="34"/>
        <item m="1"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10"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91" tableType="queryTable" totalsRowShown="0">
  <autoFilter ref="A1:Z91" xr:uid="{1B3BB95A-07C7-4768-8185-A2A759A39458}"/>
  <sortState xmlns:xlrd2="http://schemas.microsoft.com/office/spreadsheetml/2017/richdata2" ref="A2:Z91">
    <sortCondition ref="A1:A91"/>
  </sortState>
  <tableColumns count="26">
    <tableColumn id="1" xr3:uid="{FDA9EBBF-F574-44F1-B885-6A5ED1C1C8A3}" uniqueName="1" name="Industry" queryTableFieldId="1" dataDxfId="146"/>
    <tableColumn id="2" xr3:uid="{8F96E341-8F97-4BC1-90E1-73E9D5DAC8C9}" uniqueName="2" name="Symbol" queryTableFieldId="2" dataDxfId="145"/>
    <tableColumn id="3" xr3:uid="{F543FE77-4EA4-4170-A3F2-7D6D401D6817}" uniqueName="3" name="Market Cap (M)" queryTableFieldId="44" dataDxfId="101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00"/>
    <tableColumn id="9" xr3:uid="{92CA53A2-ADA4-45CE-B0FD-3AD68E123166}" uniqueName="9" name="P/B" queryTableFieldId="46" dataDxfId="99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98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97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96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95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94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93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92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141" tableType="queryTable" totalsRowShown="0">
  <autoFilter ref="A1:Z141" xr:uid="{8A05384F-F989-4428-B033-1A9B3ACA4EBB}"/>
  <sortState xmlns:xlrd2="http://schemas.microsoft.com/office/spreadsheetml/2017/richdata2" ref="A2:Z141">
    <sortCondition ref="A1:A141"/>
  </sortState>
  <tableColumns count="26">
    <tableColumn id="1" xr3:uid="{3547F496-7B67-42E8-9760-1F3941836443}" uniqueName="1" name="Industry" queryTableFieldId="1" dataDxfId="144"/>
    <tableColumn id="2" xr3:uid="{0A09E186-076D-4A57-B743-EBD7817F4082}" uniqueName="2" name="Symbol" queryTableFieldId="2" dataDxfId="143"/>
    <tableColumn id="3" xr3:uid="{C567BD69-49B3-415C-87A5-73BCB80F1796}" uniqueName="3" name="Market Cap (M)" queryTableFieldId="43" dataDxfId="91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90"/>
    <tableColumn id="9" xr3:uid="{F1DC44A8-3710-4CCA-B495-699F6ACADE85}" uniqueName="9" name="P/B" queryTableFieldId="45" dataDxfId="89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88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87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86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85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84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83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82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157" tableType="queryTable" totalsRowShown="0">
  <autoFilter ref="A1:Z157" xr:uid="{DE7CBD96-9DC7-4F09-9B11-F8C87451A82B}"/>
  <sortState xmlns:xlrd2="http://schemas.microsoft.com/office/spreadsheetml/2017/richdata2" ref="A2:Z157">
    <sortCondition ref="A1:A157"/>
  </sortState>
  <tableColumns count="26">
    <tableColumn id="1" xr3:uid="{261FC5A1-AB9E-4068-9D87-D85D75FE0DD5}" uniqueName="1" name="Industry" queryTableFieldId="1" dataDxfId="142"/>
    <tableColumn id="2" xr3:uid="{4D1C6415-A4DE-450C-A6A0-32BD8F91DEB2}" uniqueName="2" name="Symbol" queryTableFieldId="2" dataDxfId="141"/>
    <tableColumn id="3" xr3:uid="{1913483F-1018-45E5-BBAD-415B97CDE58A}" uniqueName="3" name="Market Cap (M)" queryTableFieldId="43" dataDxfId="81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80"/>
    <tableColumn id="9" xr3:uid="{A85952D4-A3AB-4C1A-90DC-2E32ECE72481}" uniqueName="9" name="P/B" queryTableFieldId="45" dataDxfId="79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78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77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76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75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74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73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72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12" tableType="queryTable" totalsRowShown="0">
  <autoFilter ref="A2:Y12" xr:uid="{CF08F30B-5B6A-425F-B235-3500A3319B88}"/>
  <tableColumns count="25">
    <tableColumn id="1" xr3:uid="{FD842081-B64F-4301-AA21-FB7B05A836D4}" uniqueName="1" name="Industry" queryTableFieldId="1" dataDxfId="140"/>
    <tableColumn id="2" xr3:uid="{E59C1D9B-F213-4C25-84A0-0FA886F9704F}" uniqueName="2" name="P/FCF Q1" queryTableFieldId="2" dataDxfId="23"/>
    <tableColumn id="3" xr3:uid="{04B713EC-FD8B-48E2-A2D2-C366A9A339B7}" uniqueName="3" name="P/FCF Q3" queryTableFieldId="3" dataDxfId="22"/>
    <tableColumn id="4" xr3:uid="{9DCEA951-E29F-4D9E-B9F0-5DC32A557DF0}" uniqueName="4" name="P/FCF LB" queryTableFieldId="4" dataDxfId="21"/>
    <tableColumn id="5" xr3:uid="{C2B6F391-AB27-4C2B-B68A-D2B47E1AA772}" uniqueName="5" name="P/FCF UB" queryTableFieldId="5" dataDxfId="20"/>
    <tableColumn id="6" xr3:uid="{1FD6B89C-F582-4857-A32F-326E69C5DFFD}" uniqueName="6" name="P/B Q1" queryTableFieldId="6" dataDxfId="19"/>
    <tableColumn id="7" xr3:uid="{A3697E12-D8D4-4284-AE2B-01C3BA154C99}" uniqueName="7" name="P/B Q3" queryTableFieldId="7" dataDxfId="18"/>
    <tableColumn id="8" xr3:uid="{A270BB2A-00C0-4246-AFBA-EDE9D5F40C76}" uniqueName="8" name="P/B LB" queryTableFieldId="8" dataDxfId="17"/>
    <tableColumn id="9" xr3:uid="{F99BB669-75E9-428A-88A3-E037E705383F}" uniqueName="9" name="P/B UB" queryTableFieldId="9" dataDxfId="16"/>
    <tableColumn id="10" xr3:uid="{D3A49932-F6DE-43A8-B449-B1C4E41499CF}" uniqueName="10" name="ROE Q1" queryTableFieldId="10" dataDxfId="15"/>
    <tableColumn id="11" xr3:uid="{BD8F2597-7442-49AD-BA3A-A3F29A6E60DD}" uniqueName="11" name="ROE Q3" queryTableFieldId="11" dataDxfId="14"/>
    <tableColumn id="12" xr3:uid="{3B29ED46-D0C8-4AF8-BFC0-41462C6C29EB}" uniqueName="12" name="ROE LB" queryTableFieldId="12" dataDxfId="13"/>
    <tableColumn id="13" xr3:uid="{F62F045D-EA3F-4608-85C5-21D743180D21}" uniqueName="13" name="ROE UB" queryTableFieldId="13" dataDxfId="12"/>
    <tableColumn id="14" xr3:uid="{9D898AB4-6F4D-4D03-BA61-39B91E78C9C6}" uniqueName="14" name="ROA Q1" queryTableFieldId="14" dataDxfId="11"/>
    <tableColumn id="15" xr3:uid="{2D1DFB04-09CE-4BEC-AD50-26246811DCDA}" uniqueName="15" name="ROA Q3" queryTableFieldId="15" dataDxfId="10"/>
    <tableColumn id="16" xr3:uid="{753F114C-61F5-4444-9EB0-76DCEA7F1F1B}" uniqueName="16" name="ROA LB" queryTableFieldId="16" dataDxfId="9"/>
    <tableColumn id="17" xr3:uid="{AA60DB6D-6DE2-4BF0-A375-18A578568BBF}" uniqueName="17" name="ROA UB" queryTableFieldId="17" dataDxfId="8"/>
    <tableColumn id="18" xr3:uid="{5357CEC7-DB8C-48BE-BDAD-FCBB1FB43389}" uniqueName="18" name="P/E Q1" queryTableFieldId="18" dataDxfId="7"/>
    <tableColumn id="19" xr3:uid="{C18FE8DB-95D8-42EC-BC42-C15678D7CE64}" uniqueName="19" name="P/E Q3" queryTableFieldId="19" dataDxfId="6"/>
    <tableColumn id="20" xr3:uid="{B7040099-49E4-464B-9BD8-1326A00D0599}" uniqueName="20" name="P/E LB" queryTableFieldId="20" dataDxfId="5"/>
    <tableColumn id="21" xr3:uid="{E8713F96-91B8-41CB-AA45-CCA61FACA752}" uniqueName="21" name="P/E UB" queryTableFieldId="21" dataDxfId="4"/>
    <tableColumn id="22" xr3:uid="{91693169-B783-4EDC-94CF-D23F08159B62}" uniqueName="22" name="A/E Q1" queryTableFieldId="22" dataDxfId="3"/>
    <tableColumn id="23" xr3:uid="{F98A9AC1-1CAF-483B-A342-F3A466AEB043}" uniqueName="23" name="A/E Q3" queryTableFieldId="23" dataDxfId="2"/>
    <tableColumn id="24" xr3:uid="{04D140EC-A8E6-4894-B430-208F20D411DB}" uniqueName="24" name="A/E LB" queryTableFieldId="24" dataDxfId="1"/>
    <tableColumn id="25" xr3:uid="{3E6CFD0C-10B0-4D91-A289-A353306CC102}" uniqueName="25" name="A/E UB" queryTableFieldId="25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6:Y26" tableType="queryTable" totalsRowShown="0">
  <autoFilter ref="A16:Y26" xr:uid="{89F54F15-11E6-4F5B-BF51-37096268E20C}"/>
  <tableColumns count="25">
    <tableColumn id="1" xr3:uid="{1DD86F6C-5649-4964-82C3-51A7F8B44C8D}" uniqueName="1" name="Industry" queryTableFieldId="1" dataDxfId="139"/>
    <tableColumn id="2" xr3:uid="{E9710093-0C0E-47F6-BA82-6DF1689DE3FF}" uniqueName="2" name="P/FCF Q1" queryTableFieldId="2" dataDxfId="47"/>
    <tableColumn id="3" xr3:uid="{BB549C0D-7552-41A2-B049-C1E0C569FC5B}" uniqueName="3" name="P/FCF Q3" queryTableFieldId="3" dataDxfId="46"/>
    <tableColumn id="4" xr3:uid="{F8874757-4F98-4408-A256-B3DBB97E40A5}" uniqueName="4" name="P/FCF LB" queryTableFieldId="4" dataDxfId="45"/>
    <tableColumn id="5" xr3:uid="{7F92E8F9-91DF-48EA-A8F2-F3E13D8104D3}" uniqueName="5" name="P/FCF UB" queryTableFieldId="5" dataDxfId="44"/>
    <tableColumn id="6" xr3:uid="{837AC52A-2B15-4BFB-A555-2456F010C7C9}" uniqueName="6" name="P/B Q1" queryTableFieldId="6" dataDxfId="43"/>
    <tableColumn id="7" xr3:uid="{C672A3A3-8D6C-4E08-B6E3-1D85CD510A41}" uniqueName="7" name="P/B Q3" queryTableFieldId="7" dataDxfId="42"/>
    <tableColumn id="8" xr3:uid="{47FBFC34-1D36-49FE-8583-28072989EA1C}" uniqueName="8" name="P/B LB" queryTableFieldId="8" dataDxfId="41"/>
    <tableColumn id="9" xr3:uid="{98DADD72-A76B-4DE4-AB34-515EBE2E4A04}" uniqueName="9" name="P/B UB" queryTableFieldId="9" dataDxfId="40"/>
    <tableColumn id="10" xr3:uid="{C06AFB5F-1921-4B19-AFA7-04514BD3BC35}" uniqueName="10" name="ROE Q1" queryTableFieldId="10" dataDxfId="39"/>
    <tableColumn id="11" xr3:uid="{38FF7E38-2AC1-4486-B824-BCBE4156ADA7}" uniqueName="11" name="ROE Q3" queryTableFieldId="11" dataDxfId="38"/>
    <tableColumn id="12" xr3:uid="{1BBD6DC1-3C0C-48AF-9986-81D1F4A26368}" uniqueName="12" name="ROE LB" queryTableFieldId="12" dataDxfId="37"/>
    <tableColumn id="13" xr3:uid="{5775303C-3550-4762-86D0-7A82C106A3F0}" uniqueName="13" name="ROE UB" queryTableFieldId="13" dataDxfId="36"/>
    <tableColumn id="14" xr3:uid="{9FE06177-2E94-4066-A65B-77414C97B4DC}" uniqueName="14" name="ROA Q1" queryTableFieldId="14" dataDxfId="35"/>
    <tableColumn id="15" xr3:uid="{386179E5-15F0-4AED-9E0C-1EB211C80CEE}" uniqueName="15" name="ROA Q3" queryTableFieldId="15" dataDxfId="34"/>
    <tableColumn id="16" xr3:uid="{C7DC1506-2223-42A0-AC4B-68B0E14D2B9D}" uniqueName="16" name="ROA LB" queryTableFieldId="16" dataDxfId="33"/>
    <tableColumn id="17" xr3:uid="{C45AE1E6-1326-44B3-972F-838B081A78FC}" uniqueName="17" name="ROA UB" queryTableFieldId="17" dataDxfId="32"/>
    <tableColumn id="18" xr3:uid="{17D85B47-F40C-47C3-996F-C47242CFB7D2}" uniqueName="18" name="P/E Q1" queryTableFieldId="18" dataDxfId="31"/>
    <tableColumn id="19" xr3:uid="{44248722-1EBA-4DF8-B99D-B6B2F31E253B}" uniqueName="19" name="P/E Q3" queryTableFieldId="19" dataDxfId="30"/>
    <tableColumn id="20" xr3:uid="{93299C7A-5544-43AE-ACC5-72F0CB129F08}" uniqueName="20" name="P/E LB" queryTableFieldId="20" dataDxfId="29"/>
    <tableColumn id="21" xr3:uid="{3E027012-2DA9-4754-8880-25FEEDEFA94A}" uniqueName="21" name="P/E UB" queryTableFieldId="21" dataDxfId="28"/>
    <tableColumn id="22" xr3:uid="{FF2638EF-6EA0-401C-B7D8-A2BC49ECD2B0}" uniqueName="22" name="A/E Q1" queryTableFieldId="22" dataDxfId="27"/>
    <tableColumn id="23" xr3:uid="{546FB46A-BFEC-4020-A8E1-97073EBE991F}" uniqueName="23" name="A/E Q3" queryTableFieldId="23" dataDxfId="26"/>
    <tableColumn id="24" xr3:uid="{41F03CE5-975A-469D-B609-D8C5D8D172FA}" uniqueName="24" name="A/E LB" queryTableFieldId="24" dataDxfId="25"/>
    <tableColumn id="25" xr3:uid="{1863137D-3C8C-4A15-9A63-5E253392AFAD}" uniqueName="25" name="A/E UB" queryTableFieldId="25" dataDxfId="2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30:Y40" tableType="queryTable" totalsRowShown="0">
  <autoFilter ref="A30:Y40" xr:uid="{CF689D08-98E7-4B08-8D8B-630159DED978}"/>
  <tableColumns count="25">
    <tableColumn id="1" xr3:uid="{1B5FE8EC-4B8C-444E-96DC-3618818E7D45}" uniqueName="1" name="Industry" queryTableFieldId="1" dataDxfId="138"/>
    <tableColumn id="2" xr3:uid="{0E20A80F-BE74-42F8-83EF-419A13269CF8}" uniqueName="2" name="P/FCF Q1" queryTableFieldId="2" dataDxfId="71"/>
    <tableColumn id="3" xr3:uid="{6D66145B-6613-41BC-8233-7356853CCFEF}" uniqueName="3" name="P/FCF Q3" queryTableFieldId="3" dataDxfId="70"/>
    <tableColumn id="4" xr3:uid="{90A69125-3CA2-4D0A-8F1A-65993DFA9D46}" uniqueName="4" name="P/FCF LB" queryTableFieldId="4" dataDxfId="69"/>
    <tableColumn id="5" xr3:uid="{BED6E3D4-DC60-428F-B5E8-4C3C64096FD7}" uniqueName="5" name="P/FCF UB" queryTableFieldId="5" dataDxfId="68"/>
    <tableColumn id="6" xr3:uid="{FC33B186-B76E-4D86-8EBD-E25B773D256E}" uniqueName="6" name="P/B Q1" queryTableFieldId="6" dataDxfId="67"/>
    <tableColumn id="7" xr3:uid="{D82D1432-7C03-4449-BD2D-F895D50A5F32}" uniqueName="7" name="P/B Q3" queryTableFieldId="7" dataDxfId="66"/>
    <tableColumn id="8" xr3:uid="{D3389429-24FB-4947-AACF-CAA92D678F94}" uniqueName="8" name="P/B LB" queryTableFieldId="8" dataDxfId="65"/>
    <tableColumn id="9" xr3:uid="{452E932D-DD5B-4C62-A8B3-25C90C8C7751}" uniqueName="9" name="P/B UB" queryTableFieldId="9" dataDxfId="64"/>
    <tableColumn id="10" xr3:uid="{99E11285-9679-47B1-9540-1BD10239596C}" uniqueName="10" name="ROE Q1" queryTableFieldId="10" dataDxfId="63"/>
    <tableColumn id="11" xr3:uid="{B4F1825A-C678-4C01-BB96-B04FAB1938BD}" uniqueName="11" name="ROE Q3" queryTableFieldId="11" dataDxfId="62"/>
    <tableColumn id="12" xr3:uid="{9F07026D-928C-42B1-8DD2-9BD3176C8B6A}" uniqueName="12" name="ROE LB" queryTableFieldId="12" dataDxfId="61"/>
    <tableColumn id="13" xr3:uid="{47360B1B-7AC4-49FA-9F18-2F1F1B72CA28}" uniqueName="13" name="ROE UB" queryTableFieldId="13" dataDxfId="60"/>
    <tableColumn id="14" xr3:uid="{58B0248D-BCFF-4737-ADF5-EE087C03D561}" uniqueName="14" name="ROA Q1" queryTableFieldId="14" dataDxfId="59"/>
    <tableColumn id="15" xr3:uid="{CCD6E6AE-6BBB-4675-8C50-0F87AF280A3C}" uniqueName="15" name="ROA Q3" queryTableFieldId="15" dataDxfId="58"/>
    <tableColumn id="16" xr3:uid="{BB86731C-A605-4988-A848-B35835CAF73E}" uniqueName="16" name="ROA LB" queryTableFieldId="16" dataDxfId="57"/>
    <tableColumn id="17" xr3:uid="{9760AC7A-70E9-4457-8DC8-4BDA6646C74E}" uniqueName="17" name="ROA UB" queryTableFieldId="17" dataDxfId="56"/>
    <tableColumn id="18" xr3:uid="{931D5CA9-41B9-424B-87E6-FA364034B249}" uniqueName="18" name="P/E Q1" queryTableFieldId="18" dataDxfId="55"/>
    <tableColumn id="19" xr3:uid="{23E1DD3D-5F02-4A6D-9773-5EA3466661AF}" uniqueName="19" name="P/E Q3" queryTableFieldId="19" dataDxfId="54"/>
    <tableColumn id="20" xr3:uid="{478DC28A-5ACD-47E8-8720-6EEE2D43205B}" uniqueName="20" name="P/E LB" queryTableFieldId="20" dataDxfId="53"/>
    <tableColumn id="21" xr3:uid="{AC7D613F-0AC5-4542-BBED-886B4C332840}" uniqueName="21" name="P/E UB" queryTableFieldId="21" dataDxfId="52"/>
    <tableColumn id="22" xr3:uid="{1E3F527B-4B19-4D38-9A78-D4BBA95224B9}" uniqueName="22" name="A/E Q1" queryTableFieldId="22" dataDxfId="51"/>
    <tableColumn id="23" xr3:uid="{1256121C-1427-4F44-988A-E08E26F80A67}" uniqueName="23" name="A/E Q3" queryTableFieldId="23" dataDxfId="50"/>
    <tableColumn id="24" xr3:uid="{3F6A6F05-B80E-47C0-9039-80E1A481FF30}" uniqueName="24" name="A/E LB" queryTableFieldId="24" dataDxfId="49"/>
    <tableColumn id="25" xr3:uid="{08969B40-89DA-4EAE-925B-3C841EB86C63}" uniqueName="25" name="A/E UB" queryTableFieldId="25" dataDxfId="4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91"/>
  <sheetViews>
    <sheetView workbookViewId="0">
      <selection activeCell="B24" sqref="B24"/>
    </sheetView>
  </sheetViews>
  <sheetFormatPr defaultRowHeight="15" x14ac:dyDescent="0.25"/>
  <cols>
    <col min="1" max="1" width="30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8" bestFit="1" customWidth="1"/>
    <col min="7" max="7" width="7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106</v>
      </c>
      <c r="B2" t="s">
        <v>116</v>
      </c>
      <c r="C2" s="2">
        <v>14547</v>
      </c>
      <c r="D2">
        <f>RTD("tos.rtd", , "LAST", Main_L[[#This Row],[Symbol]])</f>
        <v>67.19</v>
      </c>
      <c r="E2">
        <v>6.99</v>
      </c>
      <c r="F2">
        <v>40.04</v>
      </c>
      <c r="G2">
        <v>6.35</v>
      </c>
      <c r="H2" s="1">
        <f>IF(ISNUMBER(Main_L[[#This Row],[Free CF]]),IF(Main_L[[#This Row],[Free CF]]&lt;&gt;0,Main_L[[#This Row],[Current Price]]/Main_L[[#This Row],[Free CF]],""),"")</f>
        <v>9.6123032904148786</v>
      </c>
      <c r="I2" s="1">
        <f>IF(ISNUMBER(Main_L[[#This Row],[BVPS]]),IF(Main_L[[#This Row],[BVPS]]&lt;&gt;0,Main_L[[#This Row],[Current Price]]/Main_L[[#This Row],[BVPS]],""),"")</f>
        <v>1.6780719280719281</v>
      </c>
      <c r="J2">
        <v>15.24</v>
      </c>
      <c r="K2">
        <v>5.73</v>
      </c>
      <c r="L2">
        <v>2.58</v>
      </c>
      <c r="M2" s="1">
        <f>IF(ISNUMBER(Main_L[[#This Row],[EPS]]),IF(Main_L[[#This Row],[EPS]]&lt;&gt;0,Main_L[[#This Row],[Current Price]]/Main_L[[#This Row],[EPS]],""),"")</f>
        <v>10.581102362204724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-0.5968443497906889</v>
      </c>
      <c r="P2" s="1">
        <f>(Main_L[[#This Row],[P/B]]-VLOOKUP(Main_L[[#This Row],[Industry]], Mean_PB_L, 2, FALSE))/(VLOOKUP(Main_L[[#This Row],[Industry]], Mean_PB_L, 3, FALSE))</f>
        <v>1.3735888609128613</v>
      </c>
      <c r="Q2" s="1">
        <f>(Main_L[[#This Row],[ROE]]-VLOOKUP(Main_L[[#This Row],[Industry]], Mean_ROE_L, 2, FALSE))/(VLOOKUP(Main_L[[#This Row],[Industry]], Mean_ROE_L, 3, FALSE))</f>
        <v>0.85510641338796389</v>
      </c>
      <c r="R2" s="1">
        <f>(Main_L[[#This Row],[ROA]]-VLOOKUP(Main_L[[#This Row],[Industry]], Mean_ROA_L, 2, FALSE))/(VLOOKUP(Main_L[[#This Row],[Industry]], Mean_ROA_L, 3, FALSE))</f>
        <v>0.97373847640227784</v>
      </c>
      <c r="S2" s="1">
        <f>(Main_L[[#This Row],[A/E]]-VLOOKUP(Main_L[[#This Row],[Industry]], Mean_AE_L, 2, FALSE))/(VLOOKUP(Main_L[[#This Row],[Industry]], Mean_AE_L, 3, FALSE))</f>
        <v>0.60663418002934133</v>
      </c>
      <c r="T2" s="1">
        <f>(Main_L[[#This Row],[P/E]]-VLOOKUP(Main_L[[#This Row],[Industry]], Mean_PE_L, 2, FALSE))/(VLOOKUP(Main_L[[#This Row],[Industry]], Mean_PE_L, 3, FALSE))</f>
        <v>0.80025213979899767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t="s">
        <v>106</v>
      </c>
      <c r="B3" t="s">
        <v>205</v>
      </c>
      <c r="C3" s="2">
        <v>10221</v>
      </c>
      <c r="D3">
        <f>RTD("tos.rtd", , "LAST", Main_L[[#This Row],[Symbol]])</f>
        <v>37.25</v>
      </c>
      <c r="E3">
        <v>5.24</v>
      </c>
      <c r="F3">
        <v>41.67</v>
      </c>
      <c r="G3">
        <v>4.01</v>
      </c>
      <c r="H3" s="1">
        <f>IF(ISNUMBER(Main_L[[#This Row],[Free CF]]),IF(Main_L[[#This Row],[Free CF]]&lt;&gt;0,Main_L[[#This Row],[Current Price]]/Main_L[[#This Row],[Free CF]],""),"")</f>
        <v>7.1087786259541978</v>
      </c>
      <c r="I3" s="1">
        <f>IF(ISNUMBER(Main_L[[#This Row],[BVPS]]),IF(Main_L[[#This Row],[BVPS]]&lt;&gt;0,Main_L[[#This Row],[Current Price]]/Main_L[[#This Row],[BVPS]],""),"")</f>
        <v>0.89392848572114225</v>
      </c>
      <c r="J3">
        <v>10.15</v>
      </c>
      <c r="K3">
        <v>3.89</v>
      </c>
      <c r="L3">
        <v>2.73</v>
      </c>
      <c r="M3" s="1">
        <f>IF(ISNUMBER(Main_L[[#This Row],[EPS]]),IF(Main_L[[#This Row],[EPS]]&lt;&gt;0,Main_L[[#This Row],[Current Price]]/Main_L[[#This Row],[EPS]],""),"")</f>
        <v>9.2892768079800501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-0.81190778353692161</v>
      </c>
      <c r="P3" s="1">
        <f>(Main_L[[#This Row],[P/B]]-VLOOKUP(Main_L[[#This Row],[Industry]], Mean_PB_L, 2, FALSE))/(VLOOKUP(Main_L[[#This Row],[Industry]], Mean_PB_L, 3, FALSE))</f>
        <v>-0.97823950398158099</v>
      </c>
      <c r="Q3" s="1">
        <f>(Main_L[[#This Row],[ROE]]-VLOOKUP(Main_L[[#This Row],[Industry]], Mean_ROE_L, 2, FALSE))/(VLOOKUP(Main_L[[#This Row],[Industry]], Mean_ROE_L, 3, FALSE))</f>
        <v>0.54794398260851884</v>
      </c>
      <c r="R3" s="1">
        <f>(Main_L[[#This Row],[ROA]]-VLOOKUP(Main_L[[#This Row],[Industry]], Mean_ROA_L, 2, FALSE))/(VLOOKUP(Main_L[[#This Row],[Industry]], Mean_ROA_L, 3, FALSE))</f>
        <v>0.4013171356418333</v>
      </c>
      <c r="S3" s="1">
        <f>(Main_L[[#This Row],[A/E]]-VLOOKUP(Main_L[[#This Row],[Industry]], Mean_AE_L, 2, FALSE))/(VLOOKUP(Main_L[[#This Row],[Industry]], Mean_AE_L, 3, FALSE))</f>
        <v>0.80302654047049493</v>
      </c>
      <c r="T3" s="1">
        <f>(Main_L[[#This Row],[P/E]]-VLOOKUP(Main_L[[#This Row],[Industry]], Mean_PE_L, 2, FALSE))/(VLOOKUP(Main_L[[#This Row],[Industry]], Mean_PE_L, 3, FALSE))</f>
        <v>0.60967459585604722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t="s">
        <v>106</v>
      </c>
      <c r="B4" t="s">
        <v>117</v>
      </c>
      <c r="C4" s="2">
        <v>13195</v>
      </c>
      <c r="D4">
        <f>RTD("tos.rtd", , "LAST", Main_L[[#This Row],[Symbol]])</f>
        <v>16.149999999999999</v>
      </c>
      <c r="E4">
        <v>0.49</v>
      </c>
      <c r="F4">
        <v>14.84</v>
      </c>
      <c r="G4">
        <v>-3.67</v>
      </c>
      <c r="H4" s="1">
        <f>IF(ISNUMBER(Main_L[[#This Row],[Free CF]]),IF(Main_L[[#This Row],[Free CF]]&lt;&gt;0,Main_L[[#This Row],[Current Price]]/Main_L[[#This Row],[Free CF]],""),"")</f>
        <v>32.959183673469383</v>
      </c>
      <c r="I4" s="1">
        <f>IF(ISNUMBER(Main_L[[#This Row],[BVPS]]),IF(Main_L[[#This Row],[BVPS]]&lt;&gt;0,Main_L[[#This Row],[Current Price]]/Main_L[[#This Row],[BVPS]],""),"")</f>
        <v>1.0882749326145551</v>
      </c>
      <c r="J4">
        <v>-22.18</v>
      </c>
      <c r="K4">
        <v>-1.82</v>
      </c>
      <c r="L4">
        <v>1.04</v>
      </c>
      <c r="M4" s="1">
        <f>IF(ISNUMBER(Main_L[[#This Row],[EPS]]),IF(Main_L[[#This Row],[EPS]]&lt;&gt;0,Main_L[[#This Row],[Current Price]]/Main_L[[#This Row],[EPS]],""),"")</f>
        <v>-4.400544959128065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1.4087521333276105</v>
      </c>
      <c r="P4" s="1">
        <f>(Main_L[[#This Row],[P/B]]-VLOOKUP(Main_L[[#This Row],[Industry]], Mean_PB_L, 2, FALSE))/(VLOOKUP(Main_L[[#This Row],[Industry]], Mean_PB_L, 3, FALSE))</f>
        <v>-0.39534935693127887</v>
      </c>
      <c r="Q4" s="1">
        <f>(Main_L[[#This Row],[ROE]]-VLOOKUP(Main_L[[#This Row],[Industry]], Mean_ROE_L, 2, FALSE))/(VLOOKUP(Main_L[[#This Row],[Industry]], Mean_ROE_L, 3, FALSE))</f>
        <v>-1.4030503959964828</v>
      </c>
      <c r="R4" s="1">
        <f>(Main_L[[#This Row],[ROA]]-VLOOKUP(Main_L[[#This Row],[Industry]], Mean_ROA_L, 2, FALSE))/(VLOOKUP(Main_L[[#This Row],[Industry]], Mean_ROA_L, 3, FALSE))</f>
        <v>-1.3750556120441111</v>
      </c>
      <c r="S4" s="1">
        <f>(Main_L[[#This Row],[A/E]]-VLOOKUP(Main_L[[#This Row],[Industry]], Mean_AE_L, 2, FALSE))/(VLOOKUP(Main_L[[#This Row],[Industry]], Mean_AE_L, 3, FALSE))</f>
        <v>-1.4096607204998364</v>
      </c>
      <c r="T4" s="1">
        <f>(Main_L[[#This Row],[P/E]]-VLOOKUP(Main_L[[#This Row],[Industry]], Mean_PE_L, 2, FALSE))/(VLOOKUP(Main_L[[#This Row],[Industry]], Mean_PE_L, 3, FALSE))</f>
        <v>-1.4099267356550451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t="s">
        <v>107</v>
      </c>
      <c r="B5" t="s">
        <v>119</v>
      </c>
      <c r="C5" s="2">
        <v>47697</v>
      </c>
      <c r="D5">
        <f>RTD("tos.rtd", , "LAST", Main_L[[#This Row],[Symbol]])</f>
        <v>47.93</v>
      </c>
      <c r="E5">
        <v>12.28</v>
      </c>
      <c r="F5">
        <v>66.64</v>
      </c>
      <c r="G5">
        <v>6.95</v>
      </c>
      <c r="H5" s="1">
        <f>IF(ISNUMBER(Main_L[[#This Row],[Free CF]]),IF(Main_L[[#This Row],[Free CF]]&lt;&gt;0,Main_L[[#This Row],[Current Price]]/Main_L[[#This Row],[Free CF]],""),"")</f>
        <v>3.9030944625407167</v>
      </c>
      <c r="I5" s="1">
        <f>IF(ISNUMBER(Main_L[[#This Row],[BVPS]]),IF(Main_L[[#This Row],[BVPS]]&lt;&gt;0,Main_L[[#This Row],[Current Price]]/Main_L[[#This Row],[BVPS]],""),"")</f>
        <v>0.71923769507803115</v>
      </c>
      <c r="J5">
        <v>8.56</v>
      </c>
      <c r="K5">
        <v>2.76</v>
      </c>
      <c r="L5">
        <v>4.38</v>
      </c>
      <c r="M5" s="1">
        <f>IF(ISNUMBER(Main_L[[#This Row],[EPS]]),IF(Main_L[[#This Row],[EPS]]&lt;&gt;0,Main_L[[#This Row],[Current Price]]/Main_L[[#This Row],[EPS]],""),"")</f>
        <v>6.8964028776978417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0.83698014595645365</v>
      </c>
      <c r="P5" s="1">
        <f>(Main_L[[#This Row],[P/B]]-VLOOKUP(Main_L[[#This Row],[Industry]], Mean_PB_L, 2, FALSE))/(VLOOKUP(Main_L[[#This Row],[Industry]], Mean_PB_L, 3, FALSE))</f>
        <v>-0.68495244560296609</v>
      </c>
      <c r="Q5" s="1">
        <f>(Main_L[[#This Row],[ROE]]-VLOOKUP(Main_L[[#This Row],[Industry]], Mean_ROE_L, 2, FALSE))/(VLOOKUP(Main_L[[#This Row],[Industry]], Mean_ROE_L, 3, FALSE))</f>
        <v>-0.51721312170030886</v>
      </c>
      <c r="R5" s="1">
        <f>(Main_L[[#This Row],[ROA]]-VLOOKUP(Main_L[[#This Row],[Industry]], Mean_ROA_L, 2, FALSE))/(VLOOKUP(Main_L[[#This Row],[Industry]], Mean_ROA_L, 3, FALSE))</f>
        <v>0.26337662691588548</v>
      </c>
      <c r="S5" s="1">
        <f>(Main_L[[#This Row],[A/E]]-VLOOKUP(Main_L[[#This Row],[Industry]], Mean_AE_L, 2, FALSE))/(VLOOKUP(Main_L[[#This Row],[Industry]], Mean_AE_L, 3, FALSE))</f>
        <v>2.1855229511184686</v>
      </c>
      <c r="T5" s="1">
        <f>(Main_L[[#This Row],[P/E]]-VLOOKUP(Main_L[[#This Row],[Industry]], Mean_PE_L, 2, FALSE))/(VLOOKUP(Main_L[[#This Row],[Industry]], Mean_PE_L, 3, FALSE))</f>
        <v>-0.22910085638279767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t="s">
        <v>107</v>
      </c>
      <c r="B6" t="s">
        <v>463</v>
      </c>
      <c r="C6" s="2">
        <v>43455</v>
      </c>
      <c r="D6">
        <f>RTD("tos.rtd", , "LAST", Main_L[[#This Row],[Symbol]])</f>
        <v>4.67</v>
      </c>
      <c r="E6">
        <v>2.95</v>
      </c>
      <c r="F6">
        <v>26.2</v>
      </c>
      <c r="G6">
        <v>4.08</v>
      </c>
      <c r="H6" s="1">
        <f>IF(ISNUMBER(Main_L[[#This Row],[Free CF]]),IF(Main_L[[#This Row],[Free CF]]&lt;&gt;0,Main_L[[#This Row],[Current Price]]/Main_L[[#This Row],[Free CF]],""),"")</f>
        <v>1.583050847457627</v>
      </c>
      <c r="I6" s="1">
        <f>IF(ISNUMBER(Main_L[[#This Row],[BVPS]]),IF(Main_L[[#This Row],[BVPS]]&lt;&gt;0,Main_L[[#This Row],[Current Price]]/Main_L[[#This Row],[BVPS]],""),"")</f>
        <v>0.1782442748091603</v>
      </c>
      <c r="J6">
        <v>13.66</v>
      </c>
      <c r="K6">
        <v>6.08</v>
      </c>
      <c r="L6">
        <v>2.27</v>
      </c>
      <c r="M6" s="1">
        <f>IF(ISNUMBER(Main_L[[#This Row],[EPS]]),IF(Main_L[[#This Row],[EPS]]&lt;&gt;0,Main_L[[#This Row],[Current Price]]/Main_L[[#This Row],[EPS]],""),"")</f>
        <v>1.1446078431372548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0.70149064112422443</v>
      </c>
      <c r="P6" s="1">
        <f>(Main_L[[#This Row],[P/B]]-VLOOKUP(Main_L[[#This Row],[Industry]], Mean_PB_L, 2, FALSE))/(VLOOKUP(Main_L[[#This Row],[Industry]], Mean_PB_L, 3, FALSE))</f>
        <v>-0.79981083095766825</v>
      </c>
      <c r="Q6" s="1">
        <f>(Main_L[[#This Row],[ROE]]-VLOOKUP(Main_L[[#This Row],[Industry]], Mean_ROE_L, 2, FALSE))/(VLOOKUP(Main_L[[#This Row],[Industry]], Mean_ROE_L, 3, FALSE))</f>
        <v>1.4021744505139382</v>
      </c>
      <c r="R6" s="1">
        <f>(Main_L[[#This Row],[ROA]]-VLOOKUP(Main_L[[#This Row],[Industry]], Mean_ROA_L, 2, FALSE))/(VLOOKUP(Main_L[[#This Row],[Industry]], Mean_ROA_L, 3, FALSE))</f>
        <v>3.9842719518552063</v>
      </c>
      <c r="S6" s="1">
        <f>(Main_L[[#This Row],[A/E]]-VLOOKUP(Main_L[[#This Row],[Industry]], Mean_AE_L, 2, FALSE))/(VLOOKUP(Main_L[[#This Row],[Industry]], Mean_AE_L, 3, FALSE))</f>
        <v>-0.55240529214020673</v>
      </c>
      <c r="T6" s="1">
        <f>(Main_L[[#This Row],[P/E]]-VLOOKUP(Main_L[[#This Row],[Industry]], Mean_PE_L, 2, FALSE))/(VLOOKUP(Main_L[[#This Row],[Industry]], Mean_PE_L, 3, FALSE))</f>
        <v>-0.42457375931986641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t="s">
        <v>107</v>
      </c>
      <c r="B7" t="s">
        <v>122</v>
      </c>
      <c r="C7" s="2">
        <v>248364</v>
      </c>
      <c r="D7">
        <f>RTD("tos.rtd", , "LAST", Main_L[[#This Row],[Symbol]])</f>
        <v>183.94</v>
      </c>
      <c r="E7">
        <v>-0.79</v>
      </c>
      <c r="F7">
        <v>18.36</v>
      </c>
      <c r="G7">
        <v>2.4</v>
      </c>
      <c r="H7" s="1">
        <f>IF(ISNUMBER(Main_L[[#This Row],[Free CF]]),IF(Main_L[[#This Row],[Free CF]]&lt;&gt;0,Main_L[[#This Row],[Current Price]]/Main_L[[#This Row],[Free CF]],""),"")</f>
        <v>-232.83544303797467</v>
      </c>
      <c r="I7" s="1">
        <f>IF(ISNUMBER(Main_L[[#This Row],[BVPS]]),IF(Main_L[[#This Row],[BVPS]]&lt;&gt;0,Main_L[[#This Row],[Current Price]]/Main_L[[#This Row],[BVPS]],""),"")</f>
        <v>10.018518518518519</v>
      </c>
      <c r="J7">
        <v>13.28</v>
      </c>
      <c r="K7">
        <v>3.26</v>
      </c>
      <c r="L7">
        <v>2.61</v>
      </c>
      <c r="M7" s="1">
        <f>IF(ISNUMBER(Main_L[[#This Row],[EPS]]),IF(Main_L[[#This Row],[EPS]]&lt;&gt;0,Main_L[[#This Row],[Current Price]]/Main_L[[#This Row],[EPS]],""),"")</f>
        <v>76.641666666666666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-12.988444088364348</v>
      </c>
      <c r="P7" s="1">
        <f>(Main_L[[#This Row],[P/B]]-VLOOKUP(Main_L[[#This Row],[Industry]], Mean_PB_L, 2, FALSE))/(VLOOKUP(Main_L[[#This Row],[Industry]], Mean_PB_L, 3, FALSE))</f>
        <v>1.2893791087613711</v>
      </c>
      <c r="Q7" s="1">
        <f>(Main_L[[#This Row],[ROE]]-VLOOKUP(Main_L[[#This Row],[Industry]], Mean_ROE_L, 2, FALSE))/(VLOOKUP(Main_L[[#This Row],[Industry]], Mean_ROE_L, 3, FALSE))</f>
        <v>1.2591612588587586</v>
      </c>
      <c r="R7" s="1">
        <f>(Main_L[[#This Row],[ROA]]-VLOOKUP(Main_L[[#This Row],[Industry]], Mean_ROA_L, 2, FALSE))/(VLOOKUP(Main_L[[#This Row],[Industry]], Mean_ROA_L, 3, FALSE))</f>
        <v>0.82375242886457833</v>
      </c>
      <c r="S7" s="1">
        <f>(Main_L[[#This Row],[A/E]]-VLOOKUP(Main_L[[#This Row],[Industry]], Mean_AE_L, 2, FALSE))/(VLOOKUP(Main_L[[#This Row],[Industry]], Mean_AE_L, 3, FALSE))</f>
        <v>-0.11122254204165254</v>
      </c>
      <c r="T7" s="1">
        <f>(Main_L[[#This Row],[P/E]]-VLOOKUP(Main_L[[#This Row],[Industry]], Mean_PE_L, 2, FALSE))/(VLOOKUP(Main_L[[#This Row],[Industry]], Mean_PE_L, 3, FALSE))</f>
        <v>2.1411694847930307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t="s">
        <v>107</v>
      </c>
      <c r="B8" t="s">
        <v>121</v>
      </c>
      <c r="C8" s="2">
        <v>29208</v>
      </c>
      <c r="D8">
        <f>RTD("tos.rtd", , "LAST", Main_L[[#This Row],[Symbol]])</f>
        <v>9.9600000000000009</v>
      </c>
      <c r="E8">
        <v>-2.48</v>
      </c>
      <c r="F8">
        <v>29.38</v>
      </c>
      <c r="G8">
        <v>1.91</v>
      </c>
      <c r="H8" s="1">
        <f>IF(ISNUMBER(Main_L[[#This Row],[Free CF]]),IF(Main_L[[#This Row],[Free CF]]&lt;&gt;0,Main_L[[#This Row],[Current Price]]/Main_L[[#This Row],[Free CF]],""),"")</f>
        <v>-4.0161290322580649</v>
      </c>
      <c r="I8" s="1">
        <f>IF(ISNUMBER(Main_L[[#This Row],[BVPS]]),IF(Main_L[[#This Row],[BVPS]]&lt;&gt;0,Main_L[[#This Row],[Current Price]]/Main_L[[#This Row],[BVPS]],""),"")</f>
        <v>0.33900612661674612</v>
      </c>
      <c r="J8">
        <v>6.72</v>
      </c>
      <c r="K8">
        <v>1.92</v>
      </c>
      <c r="L8">
        <v>2.54</v>
      </c>
      <c r="M8" s="1">
        <f>IF(ISNUMBER(Main_L[[#This Row],[EPS]]),IF(Main_L[[#This Row],[EPS]]&lt;&gt;0,Main_L[[#This Row],[Current Price]]/Main_L[[#This Row],[EPS]],""),"")</f>
        <v>5.2146596858638752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0.37450105160217939</v>
      </c>
      <c r="P8" s="1">
        <f>(Main_L[[#This Row],[P/B]]-VLOOKUP(Main_L[[#This Row],[Industry]], Mean_PB_L, 2, FALSE))/(VLOOKUP(Main_L[[#This Row],[Industry]], Mean_PB_L, 3, FALSE))</f>
        <v>-0.76567946071646598</v>
      </c>
      <c r="Q8" s="1">
        <f>(Main_L[[#This Row],[ROE]]-VLOOKUP(Main_L[[#This Row],[Industry]], Mean_ROE_L, 2, FALSE))/(VLOOKUP(Main_L[[#This Row],[Industry]], Mean_ROE_L, 3, FALSE))</f>
        <v>-1.2096980497148611</v>
      </c>
      <c r="R8" s="1">
        <f>(Main_L[[#This Row],[ROA]]-VLOOKUP(Main_L[[#This Row],[Industry]], Mean_ROA_L, 2, FALSE))/(VLOOKUP(Main_L[[#This Row],[Industry]], Mean_ROA_L, 3, FALSE))</f>
        <v>-0.67805472035791836</v>
      </c>
      <c r="S8" s="1">
        <f>(Main_L[[#This Row],[A/E]]-VLOOKUP(Main_L[[#This Row],[Industry]], Mean_AE_L, 2, FALSE))/(VLOOKUP(Main_L[[#This Row],[Industry]], Mean_AE_L, 3, FALSE))</f>
        <v>-0.20205428470900175</v>
      </c>
      <c r="T8" s="1">
        <f>(Main_L[[#This Row],[P/E]]-VLOOKUP(Main_L[[#This Row],[Industry]], Mean_PE_L, 2, FALSE))/(VLOOKUP(Main_L[[#This Row],[Industry]], Mean_PE_L, 3, FALSE))</f>
        <v>-0.28625435745979683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t="s">
        <v>107</v>
      </c>
      <c r="B9" t="s">
        <v>123</v>
      </c>
      <c r="C9" s="2">
        <v>1115932</v>
      </c>
      <c r="D9">
        <f>RTD("tos.rtd", , "LAST", Main_L[[#This Row],[Symbol]])</f>
        <v>308.58</v>
      </c>
      <c r="E9">
        <v>2.12</v>
      </c>
      <c r="F9">
        <v>23.18</v>
      </c>
      <c r="G9">
        <v>1.75</v>
      </c>
      <c r="H9" s="1">
        <f>IF(ISNUMBER(Main_L[[#This Row],[Free CF]]),IF(Main_L[[#This Row],[Free CF]]&lt;&gt;0,Main_L[[#This Row],[Current Price]]/Main_L[[#This Row],[Free CF]],""),"")</f>
        <v>145.5566037735849</v>
      </c>
      <c r="I9" s="1">
        <f>IF(ISNUMBER(Main_L[[#This Row],[BVPS]]),IF(Main_L[[#This Row],[BVPS]]&lt;&gt;0,Main_L[[#This Row],[Current Price]]/Main_L[[#This Row],[BVPS]],""),"")</f>
        <v>13.312338222605694</v>
      </c>
      <c r="J9">
        <v>8.77</v>
      </c>
      <c r="K9">
        <v>3.72</v>
      </c>
      <c r="L9">
        <v>1.68</v>
      </c>
      <c r="M9" s="1">
        <f>IF(ISNUMBER(Main_L[[#This Row],[EPS]]),IF(Main_L[[#This Row],[EPS]]&lt;&gt;0,Main_L[[#This Row],[Current Price]]/Main_L[[#This Row],[EPS]],""),"")</f>
        <v>176.33142857142857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9.1094814513310993</v>
      </c>
      <c r="P9" s="1">
        <f>(Main_L[[#This Row],[P/B]]-VLOOKUP(Main_L[[#This Row],[Industry]], Mean_PB_L, 2, FALSE))/(VLOOKUP(Main_L[[#This Row],[Industry]], Mean_PB_L, 3, FALSE))</f>
        <v>1.9886904103164458</v>
      </c>
      <c r="Q9" s="1">
        <f>(Main_L[[#This Row],[ROE]]-VLOOKUP(Main_L[[#This Row],[Industry]], Mean_ROE_L, 2, FALSE))/(VLOOKUP(Main_L[[#This Row],[Industry]], Mean_ROE_L, 3, FALSE))</f>
        <v>-0.43817951578560488</v>
      </c>
      <c r="R9" s="1">
        <f>(Main_L[[#This Row],[ROA]]-VLOOKUP(Main_L[[#This Row],[Industry]], Mean_ROA_L, 2, FALSE))/(VLOOKUP(Main_L[[#This Row],[Industry]], Mean_ROA_L, 3, FALSE))</f>
        <v>1.3392981666573762</v>
      </c>
      <c r="S9" s="1">
        <f>(Main_L[[#This Row],[A/E]]-VLOOKUP(Main_L[[#This Row],[Industry]], Mean_AE_L, 2, FALSE))/(VLOOKUP(Main_L[[#This Row],[Industry]], Mean_AE_L, 3, FALSE))</f>
        <v>-1.3179871231935805</v>
      </c>
      <c r="T9" s="1">
        <f>(Main_L[[#This Row],[P/E]]-VLOOKUP(Main_L[[#This Row],[Industry]], Mean_PE_L, 2, FALSE))/(VLOOKUP(Main_L[[#This Row],[Industry]], Mean_PE_L, 3, FALSE))</f>
        <v>5.5290939562911205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" spans="1:26" x14ac:dyDescent="0.25">
      <c r="A10" t="s">
        <v>107</v>
      </c>
      <c r="B10" t="s">
        <v>118</v>
      </c>
      <c r="C10" s="2">
        <v>41277</v>
      </c>
      <c r="D10">
        <f>RTD("tos.rtd", , "LAST", Main_L[[#This Row],[Symbol]])</f>
        <v>10.34</v>
      </c>
      <c r="E10">
        <v>2.34</v>
      </c>
      <c r="F10">
        <v>11.22</v>
      </c>
      <c r="G10">
        <v>1.25</v>
      </c>
      <c r="H10" s="1">
        <f>IF(ISNUMBER(Main_L[[#This Row],[Free CF]]),IF(Main_L[[#This Row],[Free CF]]&lt;&gt;0,Main_L[[#This Row],[Current Price]]/Main_L[[#This Row],[Free CF]],""),"")</f>
        <v>4.4188034188034191</v>
      </c>
      <c r="I10" s="1">
        <f>IF(ISNUMBER(Main_L[[#This Row],[BVPS]]),IF(Main_L[[#This Row],[BVPS]]&lt;&gt;0,Main_L[[#This Row],[Current Price]]/Main_L[[#This Row],[BVPS]],""),"")</f>
        <v>0.92156862745098034</v>
      </c>
      <c r="J10">
        <v>11.5</v>
      </c>
      <c r="K10">
        <v>0.98</v>
      </c>
      <c r="L10">
        <v>6.37</v>
      </c>
      <c r="M10" s="1">
        <f>IF(ISNUMBER(Main_L[[#This Row],[EPS]]),IF(Main_L[[#This Row],[EPS]]&lt;&gt;0,Main_L[[#This Row],[Current Price]]/Main_L[[#This Row],[EPS]],""),"")</f>
        <v>8.2720000000000002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0.86709731731793993</v>
      </c>
      <c r="P10" s="1">
        <f>(Main_L[[#This Row],[P/B]]-VLOOKUP(Main_L[[#This Row],[Industry]], Mean_PB_L, 2, FALSE))/(VLOOKUP(Main_L[[#This Row],[Industry]], Mean_PB_L, 3, FALSE))</f>
        <v>-0.64199553831171197</v>
      </c>
      <c r="Q10" s="1">
        <f>(Main_L[[#This Row],[ROE]]-VLOOKUP(Main_L[[#This Row],[Industry]], Mean_ROE_L, 2, FALSE))/(VLOOKUP(Main_L[[#This Row],[Industry]], Mean_ROE_L, 3, FALSE))</f>
        <v>0.58925736110555105</v>
      </c>
      <c r="R10" s="1">
        <f>(Main_L[[#This Row],[ROA]]-VLOOKUP(Main_L[[#This Row],[Industry]], Mean_ROA_L, 2, FALSE))/(VLOOKUP(Main_L[[#This Row],[Industry]], Mean_ROA_L, 3, FALSE))</f>
        <v>-1.7315612280214607</v>
      </c>
      <c r="S10" s="1">
        <f>(Main_L[[#This Row],[A/E]]-VLOOKUP(Main_L[[#This Row],[Industry]], Mean_AE_L, 2, FALSE))/(VLOOKUP(Main_L[[#This Row],[Industry]], Mean_AE_L, 3, FALSE))</f>
        <v>4.7677396355188311</v>
      </c>
      <c r="T10" s="1">
        <f>(Main_L[[#This Row],[P/E]]-VLOOKUP(Main_L[[#This Row],[Industry]], Mean_PE_L, 2, FALSE))/(VLOOKUP(Main_L[[#This Row],[Industry]], Mean_PE_L, 3, FALSE))</f>
        <v>-0.18235163094054874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t="s">
        <v>107</v>
      </c>
      <c r="B11" t="s">
        <v>120</v>
      </c>
      <c r="C11" s="2">
        <v>43007</v>
      </c>
      <c r="D11">
        <f>RTD("tos.rtd", , "LAST", Main_L[[#This Row],[Symbol]])</f>
        <v>29.2</v>
      </c>
      <c r="E11">
        <v>-0.79</v>
      </c>
      <c r="F11">
        <v>18.91</v>
      </c>
      <c r="G11">
        <v>1.19</v>
      </c>
      <c r="H11" s="1">
        <f>IF(ISNUMBER(Main_L[[#This Row],[Free CF]]),IF(Main_L[[#This Row],[Free CF]]&lt;&gt;0,Main_L[[#This Row],[Current Price]]/Main_L[[#This Row],[Free CF]],""),"")</f>
        <v>-36.962025316455694</v>
      </c>
      <c r="I11" s="1">
        <f>IF(ISNUMBER(Main_L[[#This Row],[BVPS]]),IF(Main_L[[#This Row],[BVPS]]&lt;&gt;0,Main_L[[#This Row],[Current Price]]/Main_L[[#This Row],[BVPS]],""),"")</f>
        <v>1.5441565309360126</v>
      </c>
      <c r="J11">
        <v>7.05</v>
      </c>
      <c r="K11">
        <v>2.5099999999999998</v>
      </c>
      <c r="L11">
        <v>2.5</v>
      </c>
      <c r="M11" s="1">
        <f>IF(ISNUMBER(Main_L[[#This Row],[EPS]]),IF(Main_L[[#This Row],[EPS]]&lt;&gt;0,Main_L[[#This Row],[Current Price]]/Main_L[[#This Row],[EPS]],""),"")</f>
        <v>24.537815126050422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-1.54952449032284</v>
      </c>
      <c r="P11" s="1">
        <f>(Main_L[[#This Row],[P/B]]-VLOOKUP(Main_L[[#This Row],[Industry]], Mean_PB_L, 2, FALSE))/(VLOOKUP(Main_L[[#This Row],[Industry]], Mean_PB_L, 3, FALSE))</f>
        <v>-0.50981381732124209</v>
      </c>
      <c r="Q11" s="1">
        <f>(Main_L[[#This Row],[ROE]]-VLOOKUP(Main_L[[#This Row],[Industry]], Mean_ROE_L, 2, FALSE))/(VLOOKUP(Main_L[[#This Row],[Industry]], Mean_ROE_L, 3, FALSE))</f>
        <v>-1.0855023832774686</v>
      </c>
      <c r="R11" s="1">
        <f>(Main_L[[#This Row],[ROA]]-VLOOKUP(Main_L[[#This Row],[Industry]], Mean_ROA_L, 2, FALSE))/(VLOOKUP(Main_L[[#This Row],[Industry]], Mean_ROA_L, 3, FALSE))</f>
        <v>-1.6811274058460925E-2</v>
      </c>
      <c r="S11" s="1">
        <f>(Main_L[[#This Row],[A/E]]-VLOOKUP(Main_L[[#This Row],[Industry]], Mean_AE_L, 2, FALSE))/(VLOOKUP(Main_L[[#This Row],[Industry]], Mean_AE_L, 3, FALSE))</f>
        <v>-0.25395813766177289</v>
      </c>
      <c r="T11" s="1">
        <f>(Main_L[[#This Row],[P/E]]-VLOOKUP(Main_L[[#This Row],[Industry]], Mean_PE_L, 2, FALSE))/(VLOOKUP(Main_L[[#This Row],[Industry]], Mean_PE_L, 3, FALSE))</f>
        <v>0.37043686069068349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t="s">
        <v>107</v>
      </c>
      <c r="B12" t="s">
        <v>124</v>
      </c>
      <c r="C12" s="2">
        <v>18357</v>
      </c>
      <c r="D12">
        <f>RTD("tos.rtd", , "LAST", Main_L[[#This Row],[Symbol]])</f>
        <v>20.16</v>
      </c>
      <c r="E12">
        <v>-0.64</v>
      </c>
      <c r="F12">
        <v>4.45</v>
      </c>
      <c r="G12">
        <v>-0.74</v>
      </c>
      <c r="H12" s="1">
        <f>IF(ISNUMBER(Main_L[[#This Row],[Free CF]]),IF(Main_L[[#This Row],[Free CF]]&lt;&gt;0,Main_L[[#This Row],[Current Price]]/Main_L[[#This Row],[Free CF]],""),"")</f>
        <v>-31.5</v>
      </c>
      <c r="I12" s="1">
        <f>IF(ISNUMBER(Main_L[[#This Row],[BVPS]]),IF(Main_L[[#This Row],[BVPS]]&lt;&gt;0,Main_L[[#This Row],[Current Price]]/Main_L[[#This Row],[BVPS]],""),"")</f>
        <v>4.5303370786516854</v>
      </c>
      <c r="J12">
        <v>-15.45</v>
      </c>
      <c r="K12">
        <v>-4.34</v>
      </c>
      <c r="L12">
        <v>2.89</v>
      </c>
      <c r="M12" s="1">
        <f>IF(ISNUMBER(Main_L[[#This Row],[EPS]]),IF(Main_L[[#This Row],[EPS]]&lt;&gt;0,Main_L[[#This Row],[Current Price]]/Main_L[[#This Row],[EPS]],""),"")</f>
        <v>-27.243243243243242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-1.2305446656779575</v>
      </c>
      <c r="P12" s="1">
        <f>(Main_L[[#This Row],[P/B]]-VLOOKUP(Main_L[[#This Row],[Industry]], Mean_PB_L, 2, FALSE))/(VLOOKUP(Main_L[[#This Row],[Industry]], Mean_PB_L, 3, FALSE))</f>
        <v>0.12418257383223801</v>
      </c>
      <c r="Q12" s="1">
        <f>(Main_L[[#This Row],[ROE]]-VLOOKUP(Main_L[[#This Row],[Industry]], Mean_ROE_L, 2, FALSE))/(VLOOKUP(Main_L[[#This Row],[Industry]], Mean_ROE_L, 3, FALSE))</f>
        <v>-9.5533887312814993</v>
      </c>
      <c r="R12" s="1">
        <f>(Main_L[[#This Row],[ROA]]-VLOOKUP(Main_L[[#This Row],[Industry]], Mean_ROA_L, 2, FALSE))/(VLOOKUP(Main_L[[#This Row],[Industry]], Mean_ROA_L, 3, FALSE))</f>
        <v>-7.6939597607555532</v>
      </c>
      <c r="S12" s="1">
        <f>(Main_L[[#This Row],[A/E]]-VLOOKUP(Main_L[[#This Row],[Industry]], Mean_AE_L, 2, FALSE))/(VLOOKUP(Main_L[[#This Row],[Industry]], Mean_AE_L, 3, FALSE))</f>
        <v>0.25210442862774546</v>
      </c>
      <c r="T12" s="1">
        <f>(Main_L[[#This Row],[P/E]]-VLOOKUP(Main_L[[#This Row],[Industry]], Mean_PE_L, 2, FALSE))/(VLOOKUP(Main_L[[#This Row],[Industry]], Mean_PE_L, 3, FALSE))</f>
        <v>-1.389325741380705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t="s">
        <v>114</v>
      </c>
      <c r="B13" t="s">
        <v>177</v>
      </c>
      <c r="C13" s="2">
        <v>129952</v>
      </c>
      <c r="D13">
        <f>RTD("tos.rtd", , "LAST", Main_L[[#This Row],[Symbol]])</f>
        <v>2448.6</v>
      </c>
      <c r="E13">
        <v>127.28</v>
      </c>
      <c r="F13">
        <v>98.7</v>
      </c>
      <c r="G13">
        <v>40.65</v>
      </c>
      <c r="H13" s="1">
        <f>IF(ISNUMBER(Main_L[[#This Row],[Free CF]]),IF(Main_L[[#This Row],[Free CF]]&lt;&gt;0,Main_L[[#This Row],[Current Price]]/Main_L[[#This Row],[Free CF]],""),"")</f>
        <v>19.237900691389061</v>
      </c>
      <c r="I13" s="1">
        <f>IF(ISNUMBER(Main_L[[#This Row],[BVPS]]),IF(Main_L[[#This Row],[BVPS]]&lt;&gt;0,Main_L[[#This Row],[Current Price]]/Main_L[[#This Row],[BVPS]],""),"")</f>
        <v>24.808510638297872</v>
      </c>
      <c r="J13">
        <v>49.11</v>
      </c>
      <c r="K13">
        <v>7.74</v>
      </c>
      <c r="L13">
        <v>5.53</v>
      </c>
      <c r="M13" s="1">
        <f>IF(ISNUMBER(Main_L[[#This Row],[EPS]]),IF(Main_L[[#This Row],[EPS]]&lt;&gt;0,Main_L[[#This Row],[Current Price]]/Main_L[[#This Row],[EPS]],""),"")</f>
        <v>60.236162361623613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-0.44947833031114071</v>
      </c>
      <c r="P13" s="1">
        <f>(Main_L[[#This Row],[P/B]]-VLOOKUP(Main_L[[#This Row],[Industry]], Mean_PB_L, 2, FALSE))/(VLOOKUP(Main_L[[#This Row],[Industry]], Mean_PB_L, 3, FALSE))</f>
        <v>2.3311472781510338</v>
      </c>
      <c r="Q13" s="1">
        <f>(Main_L[[#This Row],[ROE]]-VLOOKUP(Main_L[[#This Row],[Industry]], Mean_ROE_L, 2, FALSE))/(VLOOKUP(Main_L[[#This Row],[Industry]], Mean_ROE_L, 3, FALSE))</f>
        <v>1.7512665397175722</v>
      </c>
      <c r="R13" s="1">
        <f>(Main_L[[#This Row],[ROA]]-VLOOKUP(Main_L[[#This Row],[Industry]], Mean_ROA_L, 2, FALSE))/(VLOOKUP(Main_L[[#This Row],[Industry]], Mean_ROA_L, 3, FALSE))</f>
        <v>1.0889078615351355</v>
      </c>
      <c r="S13" s="1">
        <f>(Main_L[[#This Row],[A/E]]-VLOOKUP(Main_L[[#This Row],[Industry]], Mean_AE_L, 2, FALSE))/(VLOOKUP(Main_L[[#This Row],[Industry]], Mean_AE_L, 3, FALSE))</f>
        <v>1.5980077036290905</v>
      </c>
      <c r="T13" s="1">
        <f>(Main_L[[#This Row],[P/E]]-VLOOKUP(Main_L[[#This Row],[Industry]], Mean_PE_L, 2, FALSE))/(VLOOKUP(Main_L[[#This Row],[Industry]], Mean_PE_L, 3, FALSE))</f>
        <v>1.9022839957124327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t="s">
        <v>114</v>
      </c>
      <c r="B14" t="s">
        <v>178</v>
      </c>
      <c r="C14" s="2">
        <v>137010</v>
      </c>
      <c r="D14">
        <f>RTD("tos.rtd", , "LAST", Main_L[[#This Row],[Symbol]])</f>
        <v>101.62</v>
      </c>
      <c r="E14">
        <v>11.46</v>
      </c>
      <c r="F14">
        <v>32.630000000000003</v>
      </c>
      <c r="G14">
        <v>9.23</v>
      </c>
      <c r="H14" s="1">
        <f>IF(ISNUMBER(Main_L[[#This Row],[Free CF]]),IF(Main_L[[#This Row],[Free CF]]&lt;&gt;0,Main_L[[#This Row],[Current Price]]/Main_L[[#This Row],[Free CF]],""),"")</f>
        <v>8.8673647469458992</v>
      </c>
      <c r="I14" s="1">
        <f>IF(ISNUMBER(Main_L[[#This Row],[BVPS]]),IF(Main_L[[#This Row],[BVPS]]&lt;&gt;0,Main_L[[#This Row],[Current Price]]/Main_L[[#This Row],[BVPS]],""),"")</f>
        <v>3.1143119828378794</v>
      </c>
      <c r="J14">
        <v>36.17</v>
      </c>
      <c r="K14">
        <v>13.56</v>
      </c>
      <c r="L14">
        <v>1.61</v>
      </c>
      <c r="M14" s="1">
        <f>IF(ISNUMBER(Main_L[[#This Row],[EPS]]),IF(Main_L[[#This Row],[EPS]]&lt;&gt;0,Main_L[[#This Row],[Current Price]]/Main_L[[#This Row],[EPS]],""),"")</f>
        <v>11.009750812567715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4" s="1">
        <f>(Main_L[[#This Row],[P/FCF]]-VLOOKUP(Main_L[[#This Row],[Industry]], Mean_PFCF_L, 2, FALSE))/(VLOOKUP(Main_L[[#This Row],[Industry]], Mean_PFCF_L, 3, FALSE))</f>
        <v>-1.2484181409346622</v>
      </c>
      <c r="P14" s="1">
        <f>(Main_L[[#This Row],[P/B]]-VLOOKUP(Main_L[[#This Row],[Industry]], Mean_PB_L, 2, FALSE))/(VLOOKUP(Main_L[[#This Row],[Industry]], Mean_PB_L, 3, FALSE))</f>
        <v>-0.5693158652000776</v>
      </c>
      <c r="Q14" s="1">
        <f>(Main_L[[#This Row],[ROE]]-VLOOKUP(Main_L[[#This Row],[Industry]], Mean_ROE_L, 2, FALSE))/(VLOOKUP(Main_L[[#This Row],[Industry]], Mean_ROE_L, 3, FALSE))</f>
        <v>0.8230916872111057</v>
      </c>
      <c r="R14" s="1">
        <f>(Main_L[[#This Row],[ROA]]-VLOOKUP(Main_L[[#This Row],[Industry]], Mean_ROA_L, 2, FALSE))/(VLOOKUP(Main_L[[#This Row],[Industry]], Mean_ROA_L, 3, FALSE))</f>
        <v>3.2807115314433082</v>
      </c>
      <c r="S14" s="1">
        <f>(Main_L[[#This Row],[A/E]]-VLOOKUP(Main_L[[#This Row],[Industry]], Mean_AE_L, 2, FALSE))/(VLOOKUP(Main_L[[#This Row],[Industry]], Mean_AE_L, 3, FALSE))</f>
        <v>-1.02909908966235</v>
      </c>
      <c r="T14" s="1">
        <f>(Main_L[[#This Row],[P/E]]-VLOOKUP(Main_L[[#This Row],[Industry]], Mean_PE_L, 2, FALSE))/(VLOOKUP(Main_L[[#This Row],[Industry]], Mean_PE_L, 3, FALSE))</f>
        <v>-0.76012822720299389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t="s">
        <v>114</v>
      </c>
      <c r="B15" t="s">
        <v>173</v>
      </c>
      <c r="C15" s="2">
        <v>271556</v>
      </c>
      <c r="D15">
        <f>RTD("tos.rtd", , "LAST", Main_L[[#This Row],[Symbol]])</f>
        <v>121.48</v>
      </c>
      <c r="E15">
        <v>4.55</v>
      </c>
      <c r="F15">
        <v>60.19</v>
      </c>
      <c r="G15">
        <v>7.38</v>
      </c>
      <c r="H15" s="1">
        <f>IF(ISNUMBER(Main_L[[#This Row],[Free CF]]),IF(Main_L[[#This Row],[Free CF]]&lt;&gt;0,Main_L[[#This Row],[Current Price]]/Main_L[[#This Row],[Free CF]],""),"")</f>
        <v>26.6989010989011</v>
      </c>
      <c r="I15" s="1">
        <f>IF(ISNUMBER(Main_L[[#This Row],[BVPS]]),IF(Main_L[[#This Row],[BVPS]]&lt;&gt;0,Main_L[[#This Row],[Current Price]]/Main_L[[#This Row],[BVPS]],""),"")</f>
        <v>2.01827546104004</v>
      </c>
      <c r="J15">
        <v>11.44</v>
      </c>
      <c r="K15">
        <v>5.17</v>
      </c>
      <c r="L15">
        <v>1.79</v>
      </c>
      <c r="M15" s="1">
        <f>IF(ISNUMBER(Main_L[[#This Row],[EPS]]),IF(Main_L[[#This Row],[EPS]]&lt;&gt;0,Main_L[[#This Row],[Current Price]]/Main_L[[#This Row],[EPS]],""),"")</f>
        <v>16.460704607046072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0.12531262404003782</v>
      </c>
      <c r="P15" s="1">
        <f>(Main_L[[#This Row],[P/B]]-VLOOKUP(Main_L[[#This Row],[Industry]], Mean_PB_L, 2, FALSE))/(VLOOKUP(Main_L[[#This Row],[Industry]], Mean_PB_L, 3, FALSE))</f>
        <v>-0.71585336057980609</v>
      </c>
      <c r="Q15" s="1">
        <f>(Main_L[[#This Row],[ROE]]-VLOOKUP(Main_L[[#This Row],[Industry]], Mean_ROE_L, 2, FALSE))/(VLOOKUP(Main_L[[#This Row],[Industry]], Mean_ROE_L, 3, FALSE))</f>
        <v>-0.95076952627304623</v>
      </c>
      <c r="R15" s="1">
        <f>(Main_L[[#This Row],[ROA]]-VLOOKUP(Main_L[[#This Row],[Industry]], Mean_ROA_L, 2, FALSE))/(VLOOKUP(Main_L[[#This Row],[Industry]], Mean_ROA_L, 3, FALSE))</f>
        <v>0.12104953994338236</v>
      </c>
      <c r="S15" s="1">
        <f>(Main_L[[#This Row],[A/E]]-VLOOKUP(Main_L[[#This Row],[Industry]], Mean_AE_L, 2, FALSE))/(VLOOKUP(Main_L[[#This Row],[Industry]], Mean_AE_L, 3, FALSE))</f>
        <v>-0.90846663486835533</v>
      </c>
      <c r="T15" s="1">
        <f>(Main_L[[#This Row],[P/E]]-VLOOKUP(Main_L[[#This Row],[Industry]], Mean_PE_L, 2, FALSE))/(VLOOKUP(Main_L[[#This Row],[Industry]], Mean_PE_L, 3, FALSE))</f>
        <v>-0.46531319697264723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t="s">
        <v>114</v>
      </c>
      <c r="B16" t="s">
        <v>172</v>
      </c>
      <c r="C16" s="2">
        <v>2176458</v>
      </c>
      <c r="D16">
        <f>RTD("tos.rtd", , "LAST", Main_L[[#This Row],[Symbol]])</f>
        <v>216.98</v>
      </c>
      <c r="E16">
        <v>1.98</v>
      </c>
      <c r="F16">
        <v>28.82</v>
      </c>
      <c r="G16">
        <v>6.14</v>
      </c>
      <c r="H16" s="1">
        <f>IF(ISNUMBER(Main_L[[#This Row],[Free CF]]),IF(Main_L[[#This Row],[Free CF]]&lt;&gt;0,Main_L[[#This Row],[Current Price]]/Main_L[[#This Row],[Free CF]],""),"")</f>
        <v>109.58585858585859</v>
      </c>
      <c r="I16" s="1">
        <f>IF(ISNUMBER(Main_L[[#This Row],[BVPS]]),IF(Main_L[[#This Row],[BVPS]]&lt;&gt;0,Main_L[[#This Row],[Current Price]]/Main_L[[#This Row],[BVPS]],""),"")</f>
        <v>7.5287994448299784</v>
      </c>
      <c r="J16">
        <v>25.24</v>
      </c>
      <c r="K16">
        <v>7.63</v>
      </c>
      <c r="L16">
        <v>2.1</v>
      </c>
      <c r="M16" s="1">
        <f>IF(ISNUMBER(Main_L[[#This Row],[EPS]]),IF(Main_L[[#This Row],[EPS]]&lt;&gt;0,Main_L[[#This Row],[Current Price]]/Main_L[[#This Row],[EPS]],""),"")</f>
        <v>35.338762214983717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6.5108736473614242</v>
      </c>
      <c r="P16" s="1">
        <f>(Main_L[[#This Row],[P/B]]-VLOOKUP(Main_L[[#This Row],[Industry]], Mean_PB_L, 2, FALSE))/(VLOOKUP(Main_L[[#This Row],[Industry]], Mean_PB_L, 3, FALSE))</f>
        <v>2.0890686498071864E-2</v>
      </c>
      <c r="Q16" s="1">
        <f>(Main_L[[#This Row],[ROE]]-VLOOKUP(Main_L[[#This Row],[Industry]], Mean_ROE_L, 2, FALSE))/(VLOOKUP(Main_L[[#This Row],[Industry]], Mean_ROE_L, 3, FALSE))</f>
        <v>3.9092372072335603E-2</v>
      </c>
      <c r="R16" s="1">
        <f>(Main_L[[#This Row],[ROA]]-VLOOKUP(Main_L[[#This Row],[Industry]], Mean_ROA_L, 2, FALSE))/(VLOOKUP(Main_L[[#This Row],[Industry]], Mean_ROA_L, 3, FALSE))</f>
        <v>1.0474820189767335</v>
      </c>
      <c r="S16" s="1">
        <f>(Main_L[[#This Row],[A/E]]-VLOOKUP(Main_L[[#This Row],[Industry]], Mean_AE_L, 2, FALSE))/(VLOOKUP(Main_L[[#This Row],[Industry]], Mean_AE_L, 3, FALSE))</f>
        <v>-0.70071074050091986</v>
      </c>
      <c r="T16" s="1">
        <f>(Main_L[[#This Row],[P/E]]-VLOOKUP(Main_L[[#This Row],[Industry]], Mean_PE_L, 2, FALSE))/(VLOOKUP(Main_L[[#This Row],[Industry]], Mean_PE_L, 3, FALSE))</f>
        <v>0.55570722151119178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t="s">
        <v>114</v>
      </c>
      <c r="B17" t="s">
        <v>175</v>
      </c>
      <c r="C17" s="2">
        <v>33720</v>
      </c>
      <c r="D17">
        <f>RTD("tos.rtd", , "LAST", Main_L[[#This Row],[Symbol]])</f>
        <v>79.364999999999995</v>
      </c>
      <c r="E17">
        <v>4.4000000000000004</v>
      </c>
      <c r="F17">
        <v>10.69</v>
      </c>
      <c r="G17">
        <v>4.17</v>
      </c>
      <c r="H17" s="1">
        <f>IF(ISNUMBER(Main_L[[#This Row],[Free CF]]),IF(Main_L[[#This Row],[Free CF]]&lt;&gt;0,Main_L[[#This Row],[Current Price]]/Main_L[[#This Row],[Free CF]],""),"")</f>
        <v>18.037499999999998</v>
      </c>
      <c r="I17" s="1">
        <f>IF(ISNUMBER(Main_L[[#This Row],[BVPS]]),IF(Main_L[[#This Row],[BVPS]]&lt;&gt;0,Main_L[[#This Row],[Current Price]]/Main_L[[#This Row],[BVPS]],""),"")</f>
        <v>7.4242282507015904</v>
      </c>
      <c r="J17">
        <v>36.479999999999997</v>
      </c>
      <c r="K17">
        <v>6.78</v>
      </c>
      <c r="L17">
        <v>3.83</v>
      </c>
      <c r="M17" s="1">
        <f>IF(ISNUMBER(Main_L[[#This Row],[EPS]]),IF(Main_L[[#This Row],[EPS]]&lt;&gt;0,Main_L[[#This Row],[Current Price]]/Main_L[[#This Row],[EPS]],""),"")</f>
        <v>19.032374100719423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-0.54195647282841419</v>
      </c>
      <c r="P17" s="1">
        <f>(Main_L[[#This Row],[P/B]]-VLOOKUP(Main_L[[#This Row],[Industry]], Mean_PB_L, 2, FALSE))/(VLOOKUP(Main_L[[#This Row],[Industry]], Mean_PB_L, 3, FALSE))</f>
        <v>6.9097647206607478E-3</v>
      </c>
      <c r="Q17" s="1">
        <f>(Main_L[[#This Row],[ROE]]-VLOOKUP(Main_L[[#This Row],[Industry]], Mean_ROE_L, 2, FALSE))/(VLOOKUP(Main_L[[#This Row],[Industry]], Mean_ROE_L, 3, FALSE))</f>
        <v>0.84532771536234219</v>
      </c>
      <c r="R17" s="1">
        <f>(Main_L[[#This Row],[ROA]]-VLOOKUP(Main_L[[#This Row],[Industry]], Mean_ROA_L, 2, FALSE))/(VLOOKUP(Main_L[[#This Row],[Industry]], Mean_ROA_L, 3, FALSE))</f>
        <v>0.72737323557090094</v>
      </c>
      <c r="S17" s="1">
        <f>(Main_L[[#This Row],[A/E]]-VLOOKUP(Main_L[[#This Row],[Industry]], Mean_AE_L, 2, FALSE))/(VLOOKUP(Main_L[[#This Row],[Industry]], Mean_AE_L, 3, FALSE))</f>
        <v>0.45870118613025146</v>
      </c>
      <c r="T17" s="1">
        <f>(Main_L[[#This Row],[P/E]]-VLOOKUP(Main_L[[#This Row],[Industry]], Mean_PE_L, 2, FALSE))/(VLOOKUP(Main_L[[#This Row],[Industry]], Mean_PE_L, 3, FALSE))</f>
        <v>-0.32622436076057587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t="s">
        <v>114</v>
      </c>
      <c r="B18" t="s">
        <v>176</v>
      </c>
      <c r="C18" s="2">
        <v>46719</v>
      </c>
      <c r="D18">
        <f>RTD("tos.rtd", , "LAST", Main_L[[#This Row],[Symbol]])</f>
        <v>33.94</v>
      </c>
      <c r="E18">
        <v>3.15</v>
      </c>
      <c r="F18">
        <v>22.39</v>
      </c>
      <c r="G18">
        <v>4.07</v>
      </c>
      <c r="H18" s="1">
        <f>IF(ISNUMBER(Main_L[[#This Row],[Free CF]]),IF(Main_L[[#This Row],[Free CF]]&lt;&gt;0,Main_L[[#This Row],[Current Price]]/Main_L[[#This Row],[Free CF]],""),"")</f>
        <v>10.774603174603174</v>
      </c>
      <c r="I18" s="1">
        <f>IF(ISNUMBER(Main_L[[#This Row],[BVPS]]),IF(Main_L[[#This Row],[BVPS]]&lt;&gt;0,Main_L[[#This Row],[Current Price]]/Main_L[[#This Row],[BVPS]],""),"")</f>
        <v>1.5158552925413129</v>
      </c>
      <c r="J18">
        <v>16.28</v>
      </c>
      <c r="K18">
        <v>4.1399999999999997</v>
      </c>
      <c r="L18">
        <v>2.89</v>
      </c>
      <c r="M18" s="1">
        <f>IF(ISNUMBER(Main_L[[#This Row],[EPS]]),IF(Main_L[[#This Row],[EPS]]&lt;&gt;0,Main_L[[#This Row],[Current Price]]/Main_L[[#This Row],[EPS]],""),"")</f>
        <v>8.3390663390663384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-1.1014856471494316</v>
      </c>
      <c r="P18" s="1">
        <f>(Main_L[[#This Row],[P/B]]-VLOOKUP(Main_L[[#This Row],[Industry]], Mean_PB_L, 2, FALSE))/(VLOOKUP(Main_L[[#This Row],[Industry]], Mean_PB_L, 3, FALSE))</f>
        <v>-0.78302575096630467</v>
      </c>
      <c r="Q18" s="1">
        <f>(Main_L[[#This Row],[ROE]]-VLOOKUP(Main_L[[#This Row],[Industry]], Mean_ROE_L, 2, FALSE))/(VLOOKUP(Main_L[[#This Row],[Industry]], Mean_ROE_L, 3, FALSE))</f>
        <v>-0.60360057062147732</v>
      </c>
      <c r="R18" s="1">
        <f>(Main_L[[#This Row],[ROA]]-VLOOKUP(Main_L[[#This Row],[Industry]], Mean_ROA_L, 2, FALSE))/(VLOOKUP(Main_L[[#This Row],[Industry]], Mean_ROA_L, 3, FALSE))</f>
        <v>-0.26684698583074445</v>
      </c>
      <c r="S18" s="1">
        <f>(Main_L[[#This Row],[A/E]]-VLOOKUP(Main_L[[#This Row],[Industry]], Mean_AE_L, 2, FALSE))/(VLOOKUP(Main_L[[#This Row],[Industry]], Mean_AE_L, 3, FALSE))</f>
        <v>-0.1712683000161653</v>
      </c>
      <c r="T18" s="1">
        <f>(Main_L[[#This Row],[P/E]]-VLOOKUP(Main_L[[#This Row],[Industry]], Mean_PE_L, 2, FALSE))/(VLOOKUP(Main_L[[#This Row],[Industry]], Mean_PE_L, 3, FALSE))</f>
        <v>-0.9045722921276671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t="s">
        <v>114</v>
      </c>
      <c r="B19" t="s">
        <v>464</v>
      </c>
      <c r="C19" s="2">
        <v>35635</v>
      </c>
      <c r="D19">
        <f>RTD("tos.rtd", , "LAST", Main_L[[#This Row],[Symbol]])</f>
        <v>129</v>
      </c>
      <c r="E19">
        <v>3.43</v>
      </c>
      <c r="F19">
        <v>2.95</v>
      </c>
      <c r="G19">
        <v>2.86</v>
      </c>
      <c r="H19" s="1">
        <f>IF(ISNUMBER(Main_L[[#This Row],[Free CF]]),IF(Main_L[[#This Row],[Free CF]]&lt;&gt;0,Main_L[[#This Row],[Current Price]]/Main_L[[#This Row],[Free CF]],""),"")</f>
        <v>37.609329446064137</v>
      </c>
      <c r="I19" s="1">
        <f>IF(ISNUMBER(Main_L[[#This Row],[BVPS]]),IF(Main_L[[#This Row],[BVPS]]&lt;&gt;0,Main_L[[#This Row],[Current Price]]/Main_L[[#This Row],[BVPS]],""),"")</f>
        <v>43.728813559322035</v>
      </c>
      <c r="J19">
        <v>148.94</v>
      </c>
      <c r="K19">
        <v>16.82</v>
      </c>
      <c r="L19">
        <v>5.46</v>
      </c>
      <c r="M19" s="1">
        <f>IF(ISNUMBER(Main_L[[#This Row],[EPS]]),IF(Main_L[[#This Row],[EPS]]&lt;&gt;0,Main_L[[#This Row],[Current Price]]/Main_L[[#This Row],[EPS]],""),"")</f>
        <v>45.104895104895107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0.96584541850710126</v>
      </c>
      <c r="P19" s="1">
        <f>(Main_L[[#This Row],[P/B]]-VLOOKUP(Main_L[[#This Row],[Industry]], Mean_PB_L, 2, FALSE))/(VLOOKUP(Main_L[[#This Row],[Industry]], Mean_PB_L, 3, FALSE))</f>
        <v>4.8607471105770799</v>
      </c>
      <c r="Q19" s="1">
        <f>(Main_L[[#This Row],[ROE]]-VLOOKUP(Main_L[[#This Row],[Industry]], Mean_ROE_L, 2, FALSE))/(VLOOKUP(Main_L[[#This Row],[Industry]], Mean_ROE_L, 3, FALSE))</f>
        <v>8.9119848956465191</v>
      </c>
      <c r="R19" s="1">
        <f>(Main_L[[#This Row],[ROA]]-VLOOKUP(Main_L[[#This Row],[Industry]], Mean_ROA_L, 2, FALSE))/(VLOOKUP(Main_L[[#This Row],[Industry]], Mean_ROA_L, 3, FALSE))</f>
        <v>4.5084228654468541</v>
      </c>
      <c r="S19" s="1">
        <f>(Main_L[[#This Row],[A/E]]-VLOOKUP(Main_L[[#This Row],[Industry]], Mean_AE_L, 2, FALSE))/(VLOOKUP(Main_L[[#This Row],[Industry]], Mean_AE_L, 3, FALSE))</f>
        <v>1.5510950823203147</v>
      </c>
      <c r="T19" s="1">
        <f>(Main_L[[#This Row],[P/E]]-VLOOKUP(Main_L[[#This Row],[Industry]], Mean_PE_L, 2, FALSE))/(VLOOKUP(Main_L[[#This Row],[Industry]], Mean_PE_L, 3, FALSE))</f>
        <v>1.0839088668983441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t="s">
        <v>114</v>
      </c>
      <c r="B20" t="s">
        <v>466</v>
      </c>
      <c r="C20" s="2">
        <v>114308</v>
      </c>
      <c r="D20">
        <f>RTD("tos.rtd", , "LAST", Main_L[[#This Row],[Symbol]])</f>
        <v>10.88</v>
      </c>
      <c r="E20">
        <v>0.37</v>
      </c>
      <c r="F20">
        <v>13.5</v>
      </c>
      <c r="G20">
        <v>2.1800000000000002</v>
      </c>
      <c r="H20" s="1">
        <f>IF(ISNUMBER(Main_L[[#This Row],[Free CF]]),IF(Main_L[[#This Row],[Free CF]]&lt;&gt;0,Main_L[[#This Row],[Current Price]]/Main_L[[#This Row],[Free CF]],""),"")</f>
        <v>29.405405405405407</v>
      </c>
      <c r="I20" s="1">
        <f>IF(ISNUMBER(Main_L[[#This Row],[BVPS]]),IF(Main_L[[#This Row],[BVPS]]&lt;&gt;0,Main_L[[#This Row],[Current Price]]/Main_L[[#This Row],[BVPS]],""),"")</f>
        <v>0.80592592592592593</v>
      </c>
      <c r="J20">
        <v>18.09</v>
      </c>
      <c r="K20">
        <v>0.04</v>
      </c>
      <c r="L20">
        <v>1.44</v>
      </c>
      <c r="M20" s="1">
        <f>IF(ISNUMBER(Main_L[[#This Row],[EPS]]),IF(Main_L[[#This Row],[EPS]]&lt;&gt;0,Main_L[[#This Row],[Current Price]]/Main_L[[#This Row],[EPS]],""),"")</f>
        <v>4.9908256880733948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0.33382007723959389</v>
      </c>
      <c r="P20" s="1">
        <f>(Main_L[[#This Row],[P/B]]-VLOOKUP(Main_L[[#This Row],[Industry]], Mean_PB_L, 2, FALSE))/(VLOOKUP(Main_L[[#This Row],[Industry]], Mean_PB_L, 3, FALSE))</f>
        <v>-0.87794163124161928</v>
      </c>
      <c r="Q20" s="1">
        <f>(Main_L[[#This Row],[ROE]]-VLOOKUP(Main_L[[#This Row],[Industry]], Mean_ROE_L, 2, FALSE))/(VLOOKUP(Main_L[[#This Row],[Industry]], Mean_ROE_L, 3, FALSE))</f>
        <v>-0.47377085786748169</v>
      </c>
      <c r="R20" s="1">
        <f>(Main_L[[#This Row],[ROA]]-VLOOKUP(Main_L[[#This Row],[Industry]], Mean_ROA_L, 2, FALSE))/(VLOOKUP(Main_L[[#This Row],[Industry]], Mean_ROA_L, 3, FALSE))</f>
        <v>-1.8109011175529961</v>
      </c>
      <c r="S20" s="1">
        <f>(Main_L[[#This Row],[A/E]]-VLOOKUP(Main_L[[#This Row],[Industry]], Mean_AE_L, 2, FALSE))/(VLOOKUP(Main_L[[#This Row],[Industry]], Mean_AE_L, 3, FALSE))</f>
        <v>-1.1430297414122339</v>
      </c>
      <c r="T20" s="1">
        <f>(Main_L[[#This Row],[P/E]]-VLOOKUP(Main_L[[#This Row],[Industry]], Mean_PE_L, 2, FALSE))/(VLOOKUP(Main_L[[#This Row],[Industry]], Mean_PE_L, 3, FALSE))</f>
        <v>-1.085662007058084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t="s">
        <v>114</v>
      </c>
      <c r="B21" t="s">
        <v>174</v>
      </c>
      <c r="C21" s="2">
        <v>50928</v>
      </c>
      <c r="D21">
        <f>RTD("tos.rtd", , "LAST", Main_L[[#This Row],[Symbol]])</f>
        <v>28.47</v>
      </c>
      <c r="E21">
        <v>0.56999999999999995</v>
      </c>
      <c r="F21">
        <v>2.42</v>
      </c>
      <c r="G21">
        <v>0.14000000000000001</v>
      </c>
      <c r="H21" s="1">
        <f>IF(ISNUMBER(Main_L[[#This Row],[Free CF]]),IF(Main_L[[#This Row],[Free CF]]&lt;&gt;0,Main_L[[#This Row],[Current Price]]/Main_L[[#This Row],[Free CF]],""),"")</f>
        <v>49.947368421052637</v>
      </c>
      <c r="I21" s="1">
        <f>IF(ISNUMBER(Main_L[[#This Row],[BVPS]]),IF(Main_L[[#This Row],[BVPS]]&lt;&gt;0,Main_L[[#This Row],[Current Price]]/Main_L[[#This Row],[BVPS]],""),"")</f>
        <v>11.764462809917354</v>
      </c>
      <c r="J21">
        <v>4.75</v>
      </c>
      <c r="K21">
        <v>2.44</v>
      </c>
      <c r="L21">
        <v>3.66</v>
      </c>
      <c r="M21" s="1">
        <f>IF(ISNUMBER(Main_L[[#This Row],[EPS]]),IF(Main_L[[#This Row],[EPS]]&lt;&gt;0,Main_L[[#This Row],[Current Price]]/Main_L[[#This Row],[EPS]],""),"")</f>
        <v>203.35714285714283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1.9163604714369162</v>
      </c>
      <c r="P21" s="1">
        <f>(Main_L[[#This Row],[P/B]]-VLOOKUP(Main_L[[#This Row],[Industry]], Mean_PB_L, 2, FALSE))/(VLOOKUP(Main_L[[#This Row],[Industry]], Mean_PB_L, 3, FALSE))</f>
        <v>0.58718887861804181</v>
      </c>
      <c r="Q21" s="1">
        <f>(Main_L[[#This Row],[ROE]]-VLOOKUP(Main_L[[#This Row],[Industry]], Mean_ROE_L, 2, FALSE))/(VLOOKUP(Main_L[[#This Row],[Industry]], Mean_ROE_L, 3, FALSE))</f>
        <v>-1.4306373596013509</v>
      </c>
      <c r="R21" s="1">
        <f>(Main_L[[#This Row],[ROA]]-VLOOKUP(Main_L[[#This Row],[Industry]], Mean_ROA_L, 2, FALSE))/(VLOOKUP(Main_L[[#This Row],[Industry]], Mean_ROA_L, 3, FALSE))</f>
        <v>-0.9070645526424097</v>
      </c>
      <c r="S21" s="1">
        <f>(Main_L[[#This Row],[A/E]]-VLOOKUP(Main_L[[#This Row],[Industry]], Mean_AE_L, 2, FALSE))/(VLOOKUP(Main_L[[#This Row],[Industry]], Mean_AE_L, 3, FALSE))</f>
        <v>0.34477053438036764</v>
      </c>
      <c r="T21" s="1">
        <f>(Main_L[[#This Row],[P/E]]-VLOOKUP(Main_L[[#This Row],[Industry]], Mean_PE_L, 2, FALSE))/(VLOOKUP(Main_L[[#This Row],[Industry]], Mean_PE_L, 3, FALSE))</f>
        <v>9.6429873262240129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2" spans="1:26" x14ac:dyDescent="0.25">
      <c r="A22" t="s">
        <v>113</v>
      </c>
      <c r="B22" t="s">
        <v>171</v>
      </c>
      <c r="C22" s="2">
        <v>11301</v>
      </c>
      <c r="D22">
        <f>RTD("tos.rtd", , "LAST", Main_L[[#This Row],[Symbol]])</f>
        <v>298.25</v>
      </c>
      <c r="E22">
        <v>12.83</v>
      </c>
      <c r="F22">
        <v>32.89</v>
      </c>
      <c r="G22">
        <v>10.7</v>
      </c>
      <c r="H22" s="1">
        <f>IF(ISNUMBER(Main_L[[#This Row],[Free CF]]),IF(Main_L[[#This Row],[Free CF]]&lt;&gt;0,Main_L[[#This Row],[Current Price]]/Main_L[[#This Row],[Free CF]],""),"")</f>
        <v>23.246297739672642</v>
      </c>
      <c r="I22" s="1">
        <f>IF(ISNUMBER(Main_L[[#This Row],[BVPS]]),IF(Main_L[[#This Row],[BVPS]]&lt;&gt;0,Main_L[[#This Row],[Current Price]]/Main_L[[#This Row],[BVPS]],""),"")</f>
        <v>9.0681058072362415</v>
      </c>
      <c r="J22">
        <v>31.65</v>
      </c>
      <c r="K22">
        <v>9.8000000000000007</v>
      </c>
      <c r="L22">
        <v>3</v>
      </c>
      <c r="M22" s="1">
        <f>IF(ISNUMBER(Main_L[[#This Row],[EPS]]),IF(Main_L[[#This Row],[EPS]]&lt;&gt;0,Main_L[[#This Row],[Current Price]]/Main_L[[#This Row],[EPS]],""),"")</f>
        <v>27.873831775700936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-0.542268163854839</v>
      </c>
      <c r="P22" s="1">
        <f>(Main_L[[#This Row],[P/B]]-VLOOKUP(Main_L[[#This Row],[Industry]], Mean_PB_L, 2, FALSE))/(VLOOKUP(Main_L[[#This Row],[Industry]], Mean_PB_L, 3, FALSE))</f>
        <v>1.3502378992379662</v>
      </c>
      <c r="Q22" s="1">
        <f>(Main_L[[#This Row],[ROE]]-VLOOKUP(Main_L[[#This Row],[Industry]], Mean_ROE_L, 2, FALSE))/(VLOOKUP(Main_L[[#This Row],[Industry]], Mean_ROE_L, 3, FALSE))</f>
        <v>1.3089760018156322</v>
      </c>
      <c r="R22" s="1">
        <f>(Main_L[[#This Row],[ROA]]-VLOOKUP(Main_L[[#This Row],[Industry]], Mean_ROA_L, 2, FALSE))/(VLOOKUP(Main_L[[#This Row],[Industry]], Mean_ROA_L, 3, FALSE))</f>
        <v>1.4072937343812981</v>
      </c>
      <c r="S22" s="1">
        <f>(Main_L[[#This Row],[A/E]]-VLOOKUP(Main_L[[#This Row],[Industry]], Mean_AE_L, 2, FALSE))/(VLOOKUP(Main_L[[#This Row],[Industry]], Mean_AE_L, 3, FALSE))</f>
        <v>-0.38849525661189771</v>
      </c>
      <c r="T22" s="1">
        <f>(Main_L[[#This Row],[P/E]]-VLOOKUP(Main_L[[#This Row],[Industry]], Mean_PE_L, 2, FALSE))/(VLOOKUP(Main_L[[#This Row],[Industry]], Mean_PE_L, 3, FALSE))</f>
        <v>1.2655559367877014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t="s">
        <v>113</v>
      </c>
      <c r="B23" t="s">
        <v>169</v>
      </c>
      <c r="C23" s="2">
        <v>17560</v>
      </c>
      <c r="D23">
        <f>RTD("tos.rtd", , "LAST", Main_L[[#This Row],[Symbol]])</f>
        <v>125.25</v>
      </c>
      <c r="E23">
        <v>2.31</v>
      </c>
      <c r="F23">
        <v>32.06</v>
      </c>
      <c r="G23">
        <v>6.09</v>
      </c>
      <c r="H23" s="1">
        <f>IF(ISNUMBER(Main_L[[#This Row],[Free CF]]),IF(Main_L[[#This Row],[Free CF]]&lt;&gt;0,Main_L[[#This Row],[Current Price]]/Main_L[[#This Row],[Free CF]],""),"")</f>
        <v>54.220779220779221</v>
      </c>
      <c r="I23" s="1">
        <f>IF(ISNUMBER(Main_L[[#This Row],[BVPS]]),IF(Main_L[[#This Row],[BVPS]]&lt;&gt;0,Main_L[[#This Row],[Current Price]]/Main_L[[#This Row],[BVPS]],""),"")</f>
        <v>3.9067373674360573</v>
      </c>
      <c r="J23">
        <v>19.13</v>
      </c>
      <c r="K23">
        <v>4.82</v>
      </c>
      <c r="L23">
        <v>4.45</v>
      </c>
      <c r="M23" s="1">
        <f>IF(ISNUMBER(Main_L[[#This Row],[EPS]]),IF(Main_L[[#This Row],[EPS]]&lt;&gt;0,Main_L[[#This Row],[Current Price]]/Main_L[[#This Row],[EPS]],""),"")</f>
        <v>20.566502463054189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1.402265784627033</v>
      </c>
      <c r="P23" s="1">
        <f>(Main_L[[#This Row],[P/B]]-VLOOKUP(Main_L[[#This Row],[Industry]], Mean_PB_L, 2, FALSE))/(VLOOKUP(Main_L[[#This Row],[Industry]], Mean_PB_L, 3, FALSE))</f>
        <v>-0.31091679202504108</v>
      </c>
      <c r="Q23" s="1">
        <f>(Main_L[[#This Row],[ROE]]-VLOOKUP(Main_L[[#This Row],[Industry]], Mean_ROE_L, 2, FALSE))/(VLOOKUP(Main_L[[#This Row],[Industry]], Mean_ROE_L, 3, FALSE))</f>
        <v>-0.19087569520069322</v>
      </c>
      <c r="R23" s="1">
        <f>(Main_L[[#This Row],[ROA]]-VLOOKUP(Main_L[[#This Row],[Industry]], Mean_ROA_L, 2, FALSE))/(VLOOKUP(Main_L[[#This Row],[Industry]], Mean_ROA_L, 3, FALSE))</f>
        <v>-0.82465620103872228</v>
      </c>
      <c r="S23" s="1">
        <f>(Main_L[[#This Row],[A/E]]-VLOOKUP(Main_L[[#This Row],[Industry]], Mean_AE_L, 2, FALSE))/(VLOOKUP(Main_L[[#This Row],[Industry]], Mean_AE_L, 3, FALSE))</f>
        <v>1.3718738749107624</v>
      </c>
      <c r="T23" s="1">
        <f>(Main_L[[#This Row],[P/E]]-VLOOKUP(Main_L[[#This Row],[Industry]], Mean_PE_L, 2, FALSE))/(VLOOKUP(Main_L[[#This Row],[Industry]], Mean_PE_L, 3, FALSE))</f>
        <v>-8.6173789717860133E-2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t="s">
        <v>113</v>
      </c>
      <c r="B24" t="s">
        <v>170</v>
      </c>
      <c r="C24" s="2">
        <v>10447</v>
      </c>
      <c r="D24">
        <f>RTD("tos.rtd", , "LAST", Main_L[[#This Row],[Symbol]])</f>
        <v>39.28</v>
      </c>
      <c r="E24">
        <v>2.16</v>
      </c>
      <c r="F24">
        <v>23.9</v>
      </c>
      <c r="G24">
        <v>2.68</v>
      </c>
      <c r="H24" s="1">
        <f>IF(ISNUMBER(Main_L[[#This Row],[Free CF]]),IF(Main_L[[#This Row],[Free CF]]&lt;&gt;0,Main_L[[#This Row],[Current Price]]/Main_L[[#This Row],[Free CF]],""),"")</f>
        <v>18.185185185185183</v>
      </c>
      <c r="I24" s="1">
        <f>IF(ISNUMBER(Main_L[[#This Row],[BVPS]]),IF(Main_L[[#This Row],[BVPS]]&lt;&gt;0,Main_L[[#This Row],[Current Price]]/Main_L[[#This Row],[BVPS]],""),"")</f>
        <v>1.6435146443514645</v>
      </c>
      <c r="J24">
        <v>11.39</v>
      </c>
      <c r="K24">
        <v>5.36</v>
      </c>
      <c r="L24">
        <v>2.5099999999999998</v>
      </c>
      <c r="M24" s="1">
        <f>IF(ISNUMBER(Main_L[[#This Row],[EPS]]),IF(Main_L[[#This Row],[EPS]]&lt;&gt;0,Main_L[[#This Row],[Current Price]]/Main_L[[#This Row],[EPS]],""),"")</f>
        <v>14.656716417910447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4" s="1">
        <f>(Main_L[[#This Row],[P/FCF]]-VLOOKUP(Main_L[[#This Row],[Industry]], Mean_PFCF_L, 2, FALSE))/(VLOOKUP(Main_L[[#This Row],[Industry]], Mean_PFCF_L, 3, FALSE))</f>
        <v>-0.85999762077219433</v>
      </c>
      <c r="P24" s="1">
        <f>(Main_L[[#This Row],[P/B]]-VLOOKUP(Main_L[[#This Row],[Industry]], Mean_PB_L, 2, FALSE))/(VLOOKUP(Main_L[[#This Row],[Industry]], Mean_PB_L, 3, FALSE))</f>
        <v>-1.0393211072129249</v>
      </c>
      <c r="Q24" s="1">
        <f>(Main_L[[#This Row],[ROE]]-VLOOKUP(Main_L[[#This Row],[Industry]], Mean_ROE_L, 2, FALSE))/(VLOOKUP(Main_L[[#This Row],[Industry]], Mean_ROE_L, 3, FALSE))</f>
        <v>-1.1181003066149389</v>
      </c>
      <c r="R24" s="1">
        <f>(Main_L[[#This Row],[ROA]]-VLOOKUP(Main_L[[#This Row],[Industry]], Mean_ROA_L, 2, FALSE))/(VLOOKUP(Main_L[[#This Row],[Industry]], Mean_ROA_L, 3, FALSE))</f>
        <v>-0.58263753334257551</v>
      </c>
      <c r="S24" s="1">
        <f>(Main_L[[#This Row],[A/E]]-VLOOKUP(Main_L[[#This Row],[Industry]], Mean_AE_L, 2, FALSE))/(VLOOKUP(Main_L[[#This Row],[Industry]], Mean_AE_L, 3, FALSE))</f>
        <v>-0.98337861829886575</v>
      </c>
      <c r="T24" s="1">
        <f>(Main_L[[#This Row],[P/E]]-VLOOKUP(Main_L[[#This Row],[Industry]], Mean_PE_L, 2, FALSE))/(VLOOKUP(Main_L[[#This Row],[Industry]], Mean_PE_L, 3, FALSE))</f>
        <v>-1.1793821470698416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t="s">
        <v>112</v>
      </c>
      <c r="B25" t="s">
        <v>168</v>
      </c>
      <c r="C25" s="2">
        <v>11104</v>
      </c>
      <c r="D25">
        <f>RTD("tos.rtd", , "LAST", Main_L[[#This Row],[Symbol]])</f>
        <v>79.83</v>
      </c>
      <c r="E25">
        <v>4.4800000000000004</v>
      </c>
      <c r="F25">
        <v>11.52</v>
      </c>
      <c r="G25">
        <v>3.62</v>
      </c>
      <c r="H25" s="1">
        <f>IF(ISNUMBER(Main_L[[#This Row],[Free CF]]),IF(Main_L[[#This Row],[Free CF]]&lt;&gt;0,Main_L[[#This Row],[Current Price]]/Main_L[[#This Row],[Free CF]],""),"")</f>
        <v>17.819196428571427</v>
      </c>
      <c r="I25" s="1">
        <f>IF(ISNUMBER(Main_L[[#This Row],[BVPS]]),IF(Main_L[[#This Row],[BVPS]]&lt;&gt;0,Main_L[[#This Row],[Current Price]]/Main_L[[#This Row],[BVPS]],""),"")</f>
        <v>6.9296875</v>
      </c>
      <c r="J25">
        <v>32.72</v>
      </c>
      <c r="K25">
        <v>3.48</v>
      </c>
      <c r="L25">
        <v>10.49</v>
      </c>
      <c r="M25" s="1">
        <f>IF(ISNUMBER(Main_L[[#This Row],[EPS]]),IF(Main_L[[#This Row],[EPS]]&lt;&gt;0,Main_L[[#This Row],[Current Price]]/Main_L[[#This Row],[EPS]],""),"")</f>
        <v>22.052486187845304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-0.67231869396118904</v>
      </c>
      <c r="P25" s="1">
        <f>(Main_L[[#This Row],[P/B]]-VLOOKUP(Main_L[[#This Row],[Industry]], Mean_PB_L, 2, FALSE))/(VLOOKUP(Main_L[[#This Row],[Industry]], Mean_PB_L, 3, FALSE))</f>
        <v>-0.4452691567939252</v>
      </c>
      <c r="Q25" s="1">
        <f>(Main_L[[#This Row],[ROE]]-VLOOKUP(Main_L[[#This Row],[Industry]], Mean_ROE_L, 2, FALSE))/(VLOOKUP(Main_L[[#This Row],[Industry]], Mean_ROE_L, 3, FALSE))</f>
        <v>1.4124162735512351</v>
      </c>
      <c r="R25" s="1">
        <f>(Main_L[[#This Row],[ROA]]-VLOOKUP(Main_L[[#This Row],[Industry]], Mean_ROA_L, 2, FALSE))/(VLOOKUP(Main_L[[#This Row],[Industry]], Mean_ROA_L, 3, FALSE))</f>
        <v>-0.77631883674380342</v>
      </c>
      <c r="S25" s="1">
        <f>(Main_L[[#This Row],[A/E]]-VLOOKUP(Main_L[[#This Row],[Industry]], Mean_AE_L, 2, FALSE))/(VLOOKUP(Main_L[[#This Row],[Industry]], Mean_AE_L, 3, FALSE))</f>
        <v>1.4140808673398213</v>
      </c>
      <c r="T25" s="1">
        <f>(Main_L[[#This Row],[P/E]]-VLOOKUP(Main_L[[#This Row],[Industry]], Mean_PE_L, 2, FALSE))/(VLOOKUP(Main_L[[#This Row],[Industry]], Mean_PE_L, 3, FALSE))</f>
        <v>-0.691034974924429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t="s">
        <v>112</v>
      </c>
      <c r="B26" t="s">
        <v>166</v>
      </c>
      <c r="C26" s="2">
        <v>23618</v>
      </c>
      <c r="D26">
        <f>RTD("tos.rtd", , "LAST", Main_L[[#This Row],[Symbol]])</f>
        <v>497.93</v>
      </c>
      <c r="E26">
        <v>6.55</v>
      </c>
      <c r="F26">
        <v>19.68</v>
      </c>
      <c r="G26">
        <v>2.04</v>
      </c>
      <c r="H26" s="1">
        <f>IF(ISNUMBER(Main_L[[#This Row],[Free CF]]),IF(Main_L[[#This Row],[Free CF]]&lt;&gt;0,Main_L[[#This Row],[Current Price]]/Main_L[[#This Row],[Free CF]],""),"")</f>
        <v>76.019847328244282</v>
      </c>
      <c r="I26" s="1">
        <f>IF(ISNUMBER(Main_L[[#This Row],[BVPS]]),IF(Main_L[[#This Row],[BVPS]]&lt;&gt;0,Main_L[[#This Row],[Current Price]]/Main_L[[#This Row],[BVPS]],""),"")</f>
        <v>25.301321138211382</v>
      </c>
      <c r="J26">
        <v>12.06</v>
      </c>
      <c r="K26">
        <v>3.59</v>
      </c>
      <c r="L26">
        <v>1.57</v>
      </c>
      <c r="M26" s="1">
        <f>IF(ISNUMBER(Main_L[[#This Row],[EPS]]),IF(Main_L[[#This Row],[EPS]]&lt;&gt;0,Main_L[[#This Row],[Current Price]]/Main_L[[#This Row],[EPS]],""),"")</f>
        <v>244.08333333333334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1.4136521220434906</v>
      </c>
      <c r="P26" s="1">
        <f>(Main_L[[#This Row],[P/B]]-VLOOKUP(Main_L[[#This Row],[Industry]], Mean_PB_L, 2, FALSE))/(VLOOKUP(Main_L[[#This Row],[Industry]], Mean_PB_L, 3, FALSE))</f>
        <v>1.3850895381721875</v>
      </c>
      <c r="Q26" s="1">
        <f>(Main_L[[#This Row],[ROE]]-VLOOKUP(Main_L[[#This Row],[Industry]], Mean_ROE_L, 2, FALSE))/(VLOOKUP(Main_L[[#This Row],[Industry]], Mean_ROE_L, 3, FALSE))</f>
        <v>-0.64448129775293694</v>
      </c>
      <c r="R26" s="1">
        <f>(Main_L[[#This Row],[ROA]]-VLOOKUP(Main_L[[#This Row],[Industry]], Mean_ROA_L, 2, FALSE))/(VLOOKUP(Main_L[[#This Row],[Industry]], Mean_ROA_L, 3, FALSE))</f>
        <v>-0.63555772898256457</v>
      </c>
      <c r="S26" s="1">
        <f>(Main_L[[#This Row],[A/E]]-VLOOKUP(Main_L[[#This Row],[Industry]], Mean_AE_L, 2, FALSE))/(VLOOKUP(Main_L[[#This Row],[Industry]], Mean_AE_L, 3, FALSE))</f>
        <v>-0.723817664299366</v>
      </c>
      <c r="T26" s="1">
        <f>(Main_L[[#This Row],[P/E]]-VLOOKUP(Main_L[[#This Row],[Industry]], Mean_PE_L, 2, FALSE))/(VLOOKUP(Main_L[[#This Row],[Industry]], Mean_PE_L, 3, FALSE))</f>
        <v>1.4140927059533583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7" spans="1:26" x14ac:dyDescent="0.25">
      <c r="A27" t="s">
        <v>112</v>
      </c>
      <c r="B27" t="s">
        <v>167</v>
      </c>
      <c r="C27" s="2">
        <v>10510</v>
      </c>
      <c r="D27">
        <f>RTD("tos.rtd", , "LAST", Main_L[[#This Row],[Symbol]])</f>
        <v>14.94</v>
      </c>
      <c r="E27">
        <v>0.94</v>
      </c>
      <c r="F27">
        <v>7.6</v>
      </c>
      <c r="G27">
        <v>0.8</v>
      </c>
      <c r="H27" s="1">
        <f>IF(ISNUMBER(Main_L[[#This Row],[Free CF]]),IF(Main_L[[#This Row],[Free CF]]&lt;&gt;0,Main_L[[#This Row],[Current Price]]/Main_L[[#This Row],[Free CF]],""),"")</f>
        <v>15.893617021276595</v>
      </c>
      <c r="I27" s="1">
        <f>IF(ISNUMBER(Main_L[[#This Row],[BVPS]]),IF(Main_L[[#This Row],[BVPS]]&lt;&gt;0,Main_L[[#This Row],[Current Price]]/Main_L[[#This Row],[BVPS]],""),"")</f>
        <v>1.9657894736842105</v>
      </c>
      <c r="J27">
        <v>10.82</v>
      </c>
      <c r="K27">
        <v>5.19</v>
      </c>
      <c r="L27">
        <v>1.71</v>
      </c>
      <c r="M27" s="1">
        <f>IF(ISNUMBER(Main_L[[#This Row],[EPS]]),IF(Main_L[[#This Row],[EPS]]&lt;&gt;0,Main_L[[#This Row],[Current Price]]/Main_L[[#This Row],[EPS]],""),"")</f>
        <v>18.674999999999997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7" s="1">
        <f>(Main_L[[#This Row],[P/FCF]]-VLOOKUP(Main_L[[#This Row],[Industry]], Mean_PFCF_L, 2, FALSE))/(VLOOKUP(Main_L[[#This Row],[Industry]], Mean_PFCF_L, 3, FALSE))</f>
        <v>-0.7413334280823014</v>
      </c>
      <c r="P27" s="1">
        <f>(Main_L[[#This Row],[P/B]]-VLOOKUP(Main_L[[#This Row],[Industry]], Mean_PB_L, 2, FALSE))/(VLOOKUP(Main_L[[#This Row],[Industry]], Mean_PB_L, 3, FALSE))</f>
        <v>-0.93982038137826185</v>
      </c>
      <c r="Q27" s="1">
        <f>(Main_L[[#This Row],[ROE]]-VLOOKUP(Main_L[[#This Row],[Industry]], Mean_ROE_L, 2, FALSE))/(VLOOKUP(Main_L[[#This Row],[Industry]], Mean_ROE_L, 3, FALSE))</f>
        <v>-0.76793497579829872</v>
      </c>
      <c r="R27" s="1">
        <f>(Main_L[[#This Row],[ROA]]-VLOOKUP(Main_L[[#This Row],[Industry]], Mean_ROA_L, 2, FALSE))/(VLOOKUP(Main_L[[#This Row],[Industry]], Mean_ROA_L, 3, FALSE))</f>
        <v>1.4118765657263674</v>
      </c>
      <c r="S27" s="1">
        <f>(Main_L[[#This Row],[A/E]]-VLOOKUP(Main_L[[#This Row],[Industry]], Mean_AE_L, 2, FALSE))/(VLOOKUP(Main_L[[#This Row],[Industry]], Mean_AE_L, 3, FALSE))</f>
        <v>-0.69026320304045508</v>
      </c>
      <c r="T27" s="1">
        <f>(Main_L[[#This Row],[P/E]]-VLOOKUP(Main_L[[#This Row],[Industry]], Mean_PE_L, 2, FALSE))/(VLOOKUP(Main_L[[#This Row],[Industry]], Mean_PE_L, 3, FALSE))</f>
        <v>-0.72305773102892923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t="s">
        <v>111</v>
      </c>
      <c r="B28" t="s">
        <v>143</v>
      </c>
      <c r="C28" s="2">
        <v>179588</v>
      </c>
      <c r="D28">
        <f>RTD("tos.rtd", , "LAST", Main_L[[#This Row],[Symbol]])</f>
        <v>5539.41</v>
      </c>
      <c r="E28">
        <v>254.85</v>
      </c>
      <c r="F28">
        <v>-186.92</v>
      </c>
      <c r="G28">
        <v>161.59</v>
      </c>
      <c r="H28" s="1">
        <f>IF(ISNUMBER(Main_L[[#This Row],[Free CF]]),IF(Main_L[[#This Row],[Free CF]]&lt;&gt;0,Main_L[[#This Row],[Current Price]]/Main_L[[#This Row],[Free CF]],""),"")</f>
        <v>21.735962330782812</v>
      </c>
      <c r="I28" s="1">
        <f>IF(ISNUMBER(Main_L[[#This Row],[BVPS]]),IF(Main_L[[#This Row],[BVPS]]&lt;&gt;0,Main_L[[#This Row],[Current Price]]/Main_L[[#This Row],[BVPS]],""),"")</f>
        <v>-29.635191525786436</v>
      </c>
      <c r="J28">
        <v>-107.02</v>
      </c>
      <c r="K28">
        <v>17.96</v>
      </c>
      <c r="L28">
        <v>-4.45</v>
      </c>
      <c r="M28" s="1">
        <f>IF(ISNUMBER(Main_L[[#This Row],[EPS]]),IF(Main_L[[#This Row],[EPS]]&lt;&gt;0,Main_L[[#This Row],[Current Price]]/Main_L[[#This Row],[EPS]],""),"")</f>
        <v>34.280648554984836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-0.57180545247107339</v>
      </c>
      <c r="P28" s="1">
        <f>(Main_L[[#This Row],[P/B]]-VLOOKUP(Main_L[[#This Row],[Industry]], Mean_PB_L, 2, FALSE))/(VLOOKUP(Main_L[[#This Row],[Industry]], Mean_PB_L, 3, FALSE))</f>
        <v>-3.3731777267032887</v>
      </c>
      <c r="Q28" s="1">
        <f>(Main_L[[#This Row],[ROE]]-VLOOKUP(Main_L[[#This Row],[Industry]], Mean_ROE_L, 2, FALSE))/(VLOOKUP(Main_L[[#This Row],[Industry]], Mean_ROE_L, 3, FALSE))</f>
        <v>-4.2375022715998583</v>
      </c>
      <c r="R28" s="1">
        <f>(Main_L[[#This Row],[ROA]]-VLOOKUP(Main_L[[#This Row],[Industry]], Mean_ROA_L, 2, FALSE))/(VLOOKUP(Main_L[[#This Row],[Industry]], Mean_ROA_L, 3, FALSE))</f>
        <v>2.5569651888929488</v>
      </c>
      <c r="S28" s="1">
        <f>(Main_L[[#This Row],[A/E]]-VLOOKUP(Main_L[[#This Row],[Industry]], Mean_AE_L, 2, FALSE))/(VLOOKUP(Main_L[[#This Row],[Industry]], Mean_AE_L, 3, FALSE))</f>
        <v>-1.678972645793642</v>
      </c>
      <c r="T28" s="1">
        <f>(Main_L[[#This Row],[P/E]]-VLOOKUP(Main_L[[#This Row],[Industry]], Mean_PE_L, 2, FALSE))/(VLOOKUP(Main_L[[#This Row],[Industry]], Mean_PE_L, 3, FALSE))</f>
        <v>1.1960998233279658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t="s">
        <v>111</v>
      </c>
      <c r="B29" t="s">
        <v>158</v>
      </c>
      <c r="C29" s="2">
        <v>16224</v>
      </c>
      <c r="D29">
        <f>RTD("tos.rtd", , "LAST", Main_L[[#This Row],[Symbol]])</f>
        <v>467.95</v>
      </c>
      <c r="E29">
        <v>16.57</v>
      </c>
      <c r="F29">
        <v>-114.3</v>
      </c>
      <c r="G29">
        <v>17.440000000000001</v>
      </c>
      <c r="H29" s="1">
        <f>IF(ISNUMBER(Main_L[[#This Row],[Free CF]]),IF(Main_L[[#This Row],[Free CF]]&lt;&gt;0,Main_L[[#This Row],[Current Price]]/Main_L[[#This Row],[Free CF]],""),"")</f>
        <v>28.24079662039831</v>
      </c>
      <c r="I29" s="1">
        <f>IF(ISNUMBER(Main_L[[#This Row],[BVPS]]),IF(Main_L[[#This Row],[BVPS]]&lt;&gt;0,Main_L[[#This Row],[Current Price]]/Main_L[[#This Row],[BVPS]],""),"")</f>
        <v>-4.0940507436570428</v>
      </c>
      <c r="J29">
        <v>-15.35</v>
      </c>
      <c r="K29">
        <v>30.32</v>
      </c>
      <c r="L29">
        <v>-0.48</v>
      </c>
      <c r="M29" s="1">
        <f>IF(ISNUMBER(Main_L[[#This Row],[EPS]]),IF(Main_L[[#This Row],[EPS]]&lt;&gt;0,Main_L[[#This Row],[Current Price]]/Main_L[[#This Row],[EPS]],""),"")</f>
        <v>26.831995412844034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-1.3519452097461387E-2</v>
      </c>
      <c r="P29" s="1">
        <f>(Main_L[[#This Row],[P/B]]-VLOOKUP(Main_L[[#This Row],[Industry]], Mean_PB_L, 2, FALSE))/(VLOOKUP(Main_L[[#This Row],[Industry]], Mean_PB_L, 3, FALSE))</f>
        <v>-0.87109684030697299</v>
      </c>
      <c r="Q29" s="1">
        <f>(Main_L[[#This Row],[ROE]]-VLOOKUP(Main_L[[#This Row],[Industry]], Mean_ROE_L, 2, FALSE))/(VLOOKUP(Main_L[[#This Row],[Industry]], Mean_ROE_L, 3, FALSE))</f>
        <v>-1.0132655620737803</v>
      </c>
      <c r="R29" s="1">
        <f>(Main_L[[#This Row],[ROA]]-VLOOKUP(Main_L[[#This Row],[Industry]], Mean_ROA_L, 2, FALSE))/(VLOOKUP(Main_L[[#This Row],[Industry]], Mean_ROA_L, 3, FALSE))</f>
        <v>5.5412984971759371</v>
      </c>
      <c r="S29" s="1">
        <f>(Main_L[[#This Row],[A/E]]-VLOOKUP(Main_L[[#This Row],[Industry]], Mean_AE_L, 2, FALSE))/(VLOOKUP(Main_L[[#This Row],[Industry]], Mean_AE_L, 3, FALSE))</f>
        <v>-0.69604649148565045</v>
      </c>
      <c r="T29" s="1">
        <f>(Main_L[[#This Row],[P/E]]-VLOOKUP(Main_L[[#This Row],[Industry]], Mean_PE_L, 2, FALSE))/(VLOOKUP(Main_L[[#This Row],[Industry]], Mean_PE_L, 3, FALSE))</f>
        <v>0.19022384067437684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t="s">
        <v>111</v>
      </c>
      <c r="B30" t="s">
        <v>152</v>
      </c>
      <c r="C30" s="2">
        <v>69783</v>
      </c>
      <c r="D30">
        <f>RTD("tos.rtd", , "LAST", Main_L[[#This Row],[Symbol]])</f>
        <v>273.99</v>
      </c>
      <c r="E30">
        <v>7.99</v>
      </c>
      <c r="F30">
        <v>29.31</v>
      </c>
      <c r="G30">
        <v>12.3</v>
      </c>
      <c r="H30" s="1">
        <f>IF(ISNUMBER(Main_L[[#This Row],[Free CF]]),IF(Main_L[[#This Row],[Free CF]]&lt;&gt;0,Main_L[[#This Row],[Current Price]]/Main_L[[#This Row],[Free CF]],""),"")</f>
        <v>34.291614518147682</v>
      </c>
      <c r="I30" s="1">
        <f>IF(ISNUMBER(Main_L[[#This Row],[BVPS]]),IF(Main_L[[#This Row],[BVPS]]&lt;&gt;0,Main_L[[#This Row],[Current Price]]/Main_L[[#This Row],[BVPS]],""),"")</f>
        <v>9.3480040941658142</v>
      </c>
      <c r="J30">
        <v>48.52</v>
      </c>
      <c r="K30">
        <v>7.43</v>
      </c>
      <c r="L30">
        <v>4.7</v>
      </c>
      <c r="M30" s="1">
        <f>IF(ISNUMBER(Main_L[[#This Row],[EPS]]),IF(Main_L[[#This Row],[EPS]]&lt;&gt;0,Main_L[[#This Row],[Current Price]]/Main_L[[#This Row],[EPS]],""),"")</f>
        <v>22.275609756097559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0.50579999136882914</v>
      </c>
      <c r="P30" s="1">
        <f>(Main_L[[#This Row],[P/B]]-VLOOKUP(Main_L[[#This Row],[Industry]], Mean_PB_L, 2, FALSE))/(VLOOKUP(Main_L[[#This Row],[Industry]], Mean_PB_L, 3, FALSE))</f>
        <v>0.44572407895048238</v>
      </c>
      <c r="Q30" s="1">
        <f>(Main_L[[#This Row],[ROE]]-VLOOKUP(Main_L[[#This Row],[Industry]], Mean_ROE_L, 2, FALSE))/(VLOOKUP(Main_L[[#This Row],[Industry]], Mean_ROE_L, 3, FALSE))</f>
        <v>1.2331836430907297</v>
      </c>
      <c r="R30" s="1">
        <f>(Main_L[[#This Row],[ROA]]-VLOOKUP(Main_L[[#This Row],[Industry]], Mean_ROA_L, 2, FALSE))/(VLOOKUP(Main_L[[#This Row],[Industry]], Mean_ROA_L, 3, FALSE))</f>
        <v>1.4487054894577304E-2</v>
      </c>
      <c r="S30" s="1">
        <f>(Main_L[[#This Row],[A/E]]-VLOOKUP(Main_L[[#This Row],[Industry]], Mean_AE_L, 2, FALSE))/(VLOOKUP(Main_L[[#This Row],[Industry]], Mean_AE_L, 3, FALSE))</f>
        <v>0.58646168970210688</v>
      </c>
      <c r="T30" s="1">
        <f>(Main_L[[#This Row],[P/E]]-VLOOKUP(Main_L[[#This Row],[Industry]], Mean_PE_L, 2, FALSE))/(VLOOKUP(Main_L[[#This Row],[Industry]], Mean_PE_L, 3, FALSE))</f>
        <v>-0.42507651126432844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t="s">
        <v>111</v>
      </c>
      <c r="B31" t="s">
        <v>160</v>
      </c>
      <c r="C31" s="2">
        <v>224413</v>
      </c>
      <c r="D31">
        <f>RTD("tos.rtd", , "LAST", Main_L[[#This Row],[Symbol]])</f>
        <v>304.77999999999997</v>
      </c>
      <c r="E31">
        <v>9.36</v>
      </c>
      <c r="F31">
        <v>-4.83</v>
      </c>
      <c r="G31">
        <v>11.33</v>
      </c>
      <c r="H31" s="1">
        <f>IF(ISNUMBER(Main_L[[#This Row],[Free CF]]),IF(Main_L[[#This Row],[Free CF]]&lt;&gt;0,Main_L[[#This Row],[Current Price]]/Main_L[[#This Row],[Free CF]],""),"")</f>
        <v>32.561965811965813</v>
      </c>
      <c r="I31" s="1">
        <f>IF(ISNUMBER(Main_L[[#This Row],[BVPS]]),IF(Main_L[[#This Row],[BVPS]]&lt;&gt;0,Main_L[[#This Row],[Current Price]]/Main_L[[#This Row],[BVPS]],""),"")</f>
        <v>-63.101449275362313</v>
      </c>
      <c r="J31">
        <v>-196.98</v>
      </c>
      <c r="K31">
        <v>13.42</v>
      </c>
      <c r="L31">
        <v>-16.309999999999999</v>
      </c>
      <c r="M31" s="1">
        <f>IF(ISNUMBER(Main_L[[#This Row],[EPS]]),IF(Main_L[[#This Row],[EPS]]&lt;&gt;0,Main_L[[#This Row],[Current Price]]/Main_L[[#This Row],[EPS]],""),"")</f>
        <v>26.900264783759926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0.35735060507666155</v>
      </c>
      <c r="P31" s="1">
        <f>(Main_L[[#This Row],[P/B]]-VLOOKUP(Main_L[[#This Row],[Industry]], Mean_PB_L, 2, FALSE))/(VLOOKUP(Main_L[[#This Row],[Industry]], Mean_PB_L, 3, FALSE))</f>
        <v>-6.6516250195906226</v>
      </c>
      <c r="Q31" s="1">
        <f>(Main_L[[#This Row],[ROE]]-VLOOKUP(Main_L[[#This Row],[Industry]], Mean_ROE_L, 2, FALSE))/(VLOOKUP(Main_L[[#This Row],[Industry]], Mean_ROE_L, 3, FALSE))</f>
        <v>-7.4015944979439841</v>
      </c>
      <c r="R31" s="1">
        <f>(Main_L[[#This Row],[ROA]]-VLOOKUP(Main_L[[#This Row],[Industry]], Mean_ROA_L, 2, FALSE))/(VLOOKUP(Main_L[[#This Row],[Industry]], Mean_ROA_L, 3, FALSE))</f>
        <v>1.4607780352032425</v>
      </c>
      <c r="S31" s="1">
        <f>(Main_L[[#This Row],[A/E]]-VLOOKUP(Main_L[[#This Row],[Industry]], Mean_AE_L, 2, FALSE))/(VLOOKUP(Main_L[[#This Row],[Industry]], Mean_AE_L, 3, FALSE))</f>
        <v>-4.6153716861192793</v>
      </c>
      <c r="T31" s="1">
        <f>(Main_L[[#This Row],[P/E]]-VLOOKUP(Main_L[[#This Row],[Industry]], Mean_PE_L, 2, FALSE))/(VLOOKUP(Main_L[[#This Row],[Industry]], Mean_PE_L, 3, FALSE))</f>
        <v>0.19944302691445853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t="s">
        <v>111</v>
      </c>
      <c r="B32" t="s">
        <v>159</v>
      </c>
      <c r="C32" s="2">
        <v>25068</v>
      </c>
      <c r="D32">
        <f>RTD("tos.rtd", , "LAST", Main_L[[#This Row],[Symbol]])</f>
        <v>219.7</v>
      </c>
      <c r="E32">
        <v>8.7100000000000009</v>
      </c>
      <c r="F32">
        <v>18.809999999999999</v>
      </c>
      <c r="G32">
        <v>8.89</v>
      </c>
      <c r="H32" s="1">
        <f>IF(ISNUMBER(Main_L[[#This Row],[Free CF]]),IF(Main_L[[#This Row],[Free CF]]&lt;&gt;0,Main_L[[#This Row],[Current Price]]/Main_L[[#This Row],[Free CF]],""),"")</f>
        <v>25.223880597014922</v>
      </c>
      <c r="I32" s="1">
        <f>IF(ISNUMBER(Main_L[[#This Row],[BVPS]]),IF(Main_L[[#This Row],[BVPS]]&lt;&gt;0,Main_L[[#This Row],[Current Price]]/Main_L[[#This Row],[BVPS]],""),"")</f>
        <v>11.679957469431153</v>
      </c>
      <c r="J32">
        <v>48.22</v>
      </c>
      <c r="K32">
        <v>7.2</v>
      </c>
      <c r="L32">
        <v>5.7</v>
      </c>
      <c r="M32" s="1">
        <f>IF(ISNUMBER(Main_L[[#This Row],[EPS]]),IF(Main_L[[#This Row],[EPS]]&lt;&gt;0,Main_L[[#This Row],[Current Price]]/Main_L[[#This Row],[EPS]],""),"")</f>
        <v>24.713160854893136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-0.27245025727517996</v>
      </c>
      <c r="P32" s="1">
        <f>(Main_L[[#This Row],[P/B]]-VLOOKUP(Main_L[[#This Row],[Industry]], Mean_PB_L, 2, FALSE))/(VLOOKUP(Main_L[[#This Row],[Industry]], Mean_PB_L, 3, FALSE))</f>
        <v>0.6741686898623499</v>
      </c>
      <c r="Q32" s="1">
        <f>(Main_L[[#This Row],[ROE]]-VLOOKUP(Main_L[[#This Row],[Industry]], Mean_ROE_L, 2, FALSE))/(VLOOKUP(Main_L[[#This Row],[Industry]], Mean_ROE_L, 3, FALSE))</f>
        <v>1.2226319793745972</v>
      </c>
      <c r="R32" s="1">
        <f>(Main_L[[#This Row],[ROA]]-VLOOKUP(Main_L[[#This Row],[Industry]], Mean_ROA_L, 2, FALSE))/(VLOOKUP(Main_L[[#This Row],[Industry]], Mean_ROA_L, 3, FALSE))</f>
        <v>-4.1046655534636767E-2</v>
      </c>
      <c r="S32" s="1">
        <f>(Main_L[[#This Row],[A/E]]-VLOOKUP(Main_L[[#This Row],[Industry]], Mean_AE_L, 2, FALSE))/(VLOOKUP(Main_L[[#This Row],[Industry]], Mean_AE_L, 3, FALSE))</f>
        <v>0.83405014166885538</v>
      </c>
      <c r="T32" s="1">
        <f>(Main_L[[#This Row],[P/E]]-VLOOKUP(Main_L[[#This Row],[Industry]], Mean_PE_L, 2, FALSE))/(VLOOKUP(Main_L[[#This Row],[Industry]], Mean_PE_L, 3, FALSE))</f>
        <v>-9.5906383459901171E-2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t="s">
        <v>111</v>
      </c>
      <c r="B33" t="s">
        <v>150</v>
      </c>
      <c r="C33" s="2">
        <v>72262</v>
      </c>
      <c r="D33">
        <f>RTD("tos.rtd", , "LAST", Main_L[[#This Row],[Symbol]])</f>
        <v>265.93</v>
      </c>
      <c r="E33">
        <v>6.46</v>
      </c>
      <c r="F33">
        <v>-11.52</v>
      </c>
      <c r="G33">
        <v>8.7899999999999991</v>
      </c>
      <c r="H33" s="1">
        <f>IF(ISNUMBER(Main_L[[#This Row],[Free CF]]),IF(Main_L[[#This Row],[Free CF]]&lt;&gt;0,Main_L[[#This Row],[Current Price]]/Main_L[[#This Row],[Free CF]],""),"")</f>
        <v>41.1656346749226</v>
      </c>
      <c r="I33" s="1">
        <f>IF(ISNUMBER(Main_L[[#This Row],[BVPS]]),IF(Main_L[[#This Row],[BVPS]]&lt;&gt;0,Main_L[[#This Row],[Current Price]]/Main_L[[#This Row],[BVPS]],""),"")</f>
        <v>-23.084201388888889</v>
      </c>
      <c r="J33">
        <v>-103.51</v>
      </c>
      <c r="K33">
        <v>9.4</v>
      </c>
      <c r="L33">
        <v>-8.41</v>
      </c>
      <c r="M33" s="1">
        <f>IF(ISNUMBER(Main_L[[#This Row],[EPS]]),IF(Main_L[[#This Row],[EPS]]&lt;&gt;0,Main_L[[#This Row],[Current Price]]/Main_L[[#This Row],[EPS]],""),"")</f>
        <v>30.253697383390222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1.0957718567459414</v>
      </c>
      <c r="P33" s="1">
        <f>(Main_L[[#This Row],[P/B]]-VLOOKUP(Main_L[[#This Row],[Industry]], Mean_PB_L, 2, FALSE))/(VLOOKUP(Main_L[[#This Row],[Industry]], Mean_PB_L, 3, FALSE))</f>
        <v>-2.7314245901334986</v>
      </c>
      <c r="Q33" s="1">
        <f>(Main_L[[#This Row],[ROE]]-VLOOKUP(Main_L[[#This Row],[Industry]], Mean_ROE_L, 2, FALSE))/(VLOOKUP(Main_L[[#This Row],[Industry]], Mean_ROE_L, 3, FALSE))</f>
        <v>-4.1140478061211141</v>
      </c>
      <c r="R33" s="1">
        <f>(Main_L[[#This Row],[ROA]]-VLOOKUP(Main_L[[#This Row],[Industry]], Mean_ROA_L, 2, FALSE))/(VLOOKUP(Main_L[[#This Row],[Industry]], Mean_ROA_L, 3, FALSE))</f>
        <v>0.4901453572665424</v>
      </c>
      <c r="S33" s="1">
        <f>(Main_L[[#This Row],[A/E]]-VLOOKUP(Main_L[[#This Row],[Industry]], Mean_AE_L, 2, FALSE))/(VLOOKUP(Main_L[[#This Row],[Industry]], Mean_AE_L, 3, FALSE))</f>
        <v>-2.6594229155819664</v>
      </c>
      <c r="T33" s="1">
        <f>(Main_L[[#This Row],[P/E]]-VLOOKUP(Main_L[[#This Row],[Industry]], Mean_PE_L, 2, FALSE))/(VLOOKUP(Main_L[[#This Row],[Industry]], Mean_PE_L, 3, FALSE))</f>
        <v>0.65229500525832274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t="s">
        <v>111</v>
      </c>
      <c r="B34" t="s">
        <v>146</v>
      </c>
      <c r="C34" s="2">
        <v>21197</v>
      </c>
      <c r="D34">
        <f>RTD("tos.rtd", , "LAST", Main_L[[#This Row],[Symbol]])</f>
        <v>176.62</v>
      </c>
      <c r="E34">
        <v>18.37</v>
      </c>
      <c r="F34">
        <v>8.39</v>
      </c>
      <c r="G34">
        <v>8.57</v>
      </c>
      <c r="H34" s="1">
        <f>IF(ISNUMBER(Main_L[[#This Row],[Free CF]]),IF(Main_L[[#This Row],[Free CF]]&lt;&gt;0,Main_L[[#This Row],[Current Price]]/Main_L[[#This Row],[Free CF]],""),"")</f>
        <v>9.6145890038105613</v>
      </c>
      <c r="I34" s="1">
        <f>IF(ISNUMBER(Main_L[[#This Row],[BVPS]]),IF(Main_L[[#This Row],[BVPS]]&lt;&gt;0,Main_L[[#This Row],[Current Price]]/Main_L[[#This Row],[BVPS]],""),"")</f>
        <v>21.051251489868889</v>
      </c>
      <c r="J34">
        <v>52.19</v>
      </c>
      <c r="K34">
        <v>4.08</v>
      </c>
      <c r="L34">
        <v>24.36</v>
      </c>
      <c r="M34" s="1">
        <f>IF(ISNUMBER(Main_L[[#This Row],[EPS]]),IF(Main_L[[#This Row],[EPS]]&lt;&gt;0,Main_L[[#This Row],[Current Price]]/Main_L[[#This Row],[EPS]],""),"")</f>
        <v>20.609101516919488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-1.6121383391295481</v>
      </c>
      <c r="P34" s="1">
        <f>(Main_L[[#This Row],[P/B]]-VLOOKUP(Main_L[[#This Row],[Industry]], Mean_PB_L, 2, FALSE))/(VLOOKUP(Main_L[[#This Row],[Industry]], Mean_PB_L, 3, FALSE))</f>
        <v>1.5922066056058488</v>
      </c>
      <c r="Q34" s="1">
        <f>(Main_L[[#This Row],[ROE]]-VLOOKUP(Main_L[[#This Row],[Industry]], Mean_ROE_L, 2, FALSE))/(VLOOKUP(Main_L[[#This Row],[Industry]], Mean_ROE_L, 3, FALSE))</f>
        <v>1.3622656625514111</v>
      </c>
      <c r="R34" s="1">
        <f>(Main_L[[#This Row],[ROA]]-VLOOKUP(Main_L[[#This Row],[Industry]], Mean_ROA_L, 2, FALSE))/(VLOOKUP(Main_L[[#This Row],[Industry]], Mean_ROA_L, 3, FALSE))</f>
        <v>-0.79437351005267265</v>
      </c>
      <c r="S34" s="1">
        <f>(Main_L[[#This Row],[A/E]]-VLOOKUP(Main_L[[#This Row],[Industry]], Mean_AE_L, 2, FALSE))/(VLOOKUP(Main_L[[#This Row],[Industry]], Mean_AE_L, 3, FALSE))</f>
        <v>5.4540506553683823</v>
      </c>
      <c r="T34" s="1">
        <f>(Main_L[[#This Row],[P/E]]-VLOOKUP(Main_L[[#This Row],[Industry]], Mean_PE_L, 2, FALSE))/(VLOOKUP(Main_L[[#This Row],[Industry]], Mean_PE_L, 3, FALSE))</f>
        <v>-0.65012399041191604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t="s">
        <v>111</v>
      </c>
      <c r="B35" t="s">
        <v>147</v>
      </c>
      <c r="C35" s="2">
        <v>12603</v>
      </c>
      <c r="D35">
        <f>RTD("tos.rtd", , "LAST", Main_L[[#This Row],[Symbol]])</f>
        <v>133.97</v>
      </c>
      <c r="E35">
        <v>3.85</v>
      </c>
      <c r="F35">
        <v>36.270000000000003</v>
      </c>
      <c r="G35">
        <v>7.89</v>
      </c>
      <c r="H35" s="1">
        <f>IF(ISNUMBER(Main_L[[#This Row],[Free CF]]),IF(Main_L[[#This Row],[Free CF]]&lt;&gt;0,Main_L[[#This Row],[Current Price]]/Main_L[[#This Row],[Free CF]],""),"")</f>
        <v>34.797402597402595</v>
      </c>
      <c r="I35" s="1">
        <f>IF(ISNUMBER(Main_L[[#This Row],[BVPS]]),IF(Main_L[[#This Row],[BVPS]]&lt;&gt;0,Main_L[[#This Row],[Current Price]]/Main_L[[#This Row],[BVPS]],""),"")</f>
        <v>3.6936862420733383</v>
      </c>
      <c r="J35">
        <v>21.5</v>
      </c>
      <c r="K35">
        <v>2.4</v>
      </c>
      <c r="L35">
        <v>4.05</v>
      </c>
      <c r="M35" s="1">
        <f>IF(ISNUMBER(Main_L[[#This Row],[EPS]]),IF(Main_L[[#This Row],[EPS]]&lt;&gt;0,Main_L[[#This Row],[Current Price]]/Main_L[[#This Row],[EPS]],""),"")</f>
        <v>16.979721166032952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0.54920992177315431</v>
      </c>
      <c r="P35" s="1">
        <f>(Main_L[[#This Row],[P/B]]-VLOOKUP(Main_L[[#This Row],[Industry]], Mean_PB_L, 2, FALSE))/(VLOOKUP(Main_L[[#This Row],[Industry]], Mean_PB_L, 3, FALSE))</f>
        <v>-0.10818855729436434</v>
      </c>
      <c r="Q35" s="1">
        <f>(Main_L[[#This Row],[ROE]]-VLOOKUP(Main_L[[#This Row],[Industry]], Mean_ROE_L, 2, FALSE))/(VLOOKUP(Main_L[[#This Row],[Industry]], Mean_ROE_L, 3, FALSE))</f>
        <v>0.28283046439110432</v>
      </c>
      <c r="R35" s="1">
        <f>(Main_L[[#This Row],[ROA]]-VLOOKUP(Main_L[[#This Row],[Industry]], Mean_ROA_L, 2, FALSE))/(VLOOKUP(Main_L[[#This Row],[Industry]], Mean_ROA_L, 3, FALSE))</f>
        <v>-1.2000110471008458</v>
      </c>
      <c r="S35" s="1">
        <f>(Main_L[[#This Row],[A/E]]-VLOOKUP(Main_L[[#This Row],[Industry]], Mean_AE_L, 2, FALSE))/(VLOOKUP(Main_L[[#This Row],[Industry]], Mean_AE_L, 3, FALSE))</f>
        <v>0.42552919592372024</v>
      </c>
      <c r="T35" s="1">
        <f>(Main_L[[#This Row],[P/E]]-VLOOKUP(Main_L[[#This Row],[Industry]], Mean_PE_L, 2, FALSE))/(VLOOKUP(Main_L[[#This Row],[Industry]], Mean_PE_L, 3, FALSE))</f>
        <v>-1.1402403184521797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t="s">
        <v>111</v>
      </c>
      <c r="B36" t="s">
        <v>163</v>
      </c>
      <c r="C36" s="2">
        <v>12951</v>
      </c>
      <c r="D36">
        <f>RTD("tos.rtd", , "LAST", Main_L[[#This Row],[Symbol]])</f>
        <v>194.78</v>
      </c>
      <c r="E36">
        <v>5.91</v>
      </c>
      <c r="F36">
        <v>20.78</v>
      </c>
      <c r="G36">
        <v>6.48</v>
      </c>
      <c r="H36" s="1">
        <f>IF(ISNUMBER(Main_L[[#This Row],[Free CF]]),IF(Main_L[[#This Row],[Free CF]]&lt;&gt;0,Main_L[[#This Row],[Current Price]]/Main_L[[#This Row],[Free CF]],""),"")</f>
        <v>32.957698815566836</v>
      </c>
      <c r="I36" s="1">
        <f>IF(ISNUMBER(Main_L[[#This Row],[BVPS]]),IF(Main_L[[#This Row],[BVPS]]&lt;&gt;0,Main_L[[#This Row],[Current Price]]/Main_L[[#This Row],[BVPS]],""),"")</f>
        <v>9.3734359961501443</v>
      </c>
      <c r="J36">
        <v>33.94</v>
      </c>
      <c r="K36">
        <v>10.78</v>
      </c>
      <c r="L36">
        <v>2.31</v>
      </c>
      <c r="M36" s="1">
        <f>IF(ISNUMBER(Main_L[[#This Row],[EPS]]),IF(Main_L[[#This Row],[EPS]]&lt;&gt;0,Main_L[[#This Row],[Current Price]]/Main_L[[#This Row],[EPS]],""),"")</f>
        <v>30.058641975308639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0.39131491315272643</v>
      </c>
      <c r="P36" s="1">
        <f>(Main_L[[#This Row],[P/B]]-VLOOKUP(Main_L[[#This Row],[Industry]], Mean_PB_L, 2, FALSE))/(VLOOKUP(Main_L[[#This Row],[Industry]], Mean_PB_L, 3, FALSE))</f>
        <v>0.44821545850171285</v>
      </c>
      <c r="Q36" s="1">
        <f>(Main_L[[#This Row],[ROE]]-VLOOKUP(Main_L[[#This Row],[Industry]], Mean_ROE_L, 2, FALSE))/(VLOOKUP(Main_L[[#This Row],[Industry]], Mean_ROE_L, 3, FALSE))</f>
        <v>0.72037278648671255</v>
      </c>
      <c r="R36" s="1">
        <f>(Main_L[[#This Row],[ROA]]-VLOOKUP(Main_L[[#This Row],[Industry]], Mean_ROA_L, 2, FALSE))/(VLOOKUP(Main_L[[#This Row],[Industry]], Mean_ROA_L, 3, FALSE))</f>
        <v>0.82334761984182725</v>
      </c>
      <c r="S36" s="1">
        <f>(Main_L[[#This Row],[A/E]]-VLOOKUP(Main_L[[#This Row],[Industry]], Mean_AE_L, 2, FALSE))/(VLOOKUP(Main_L[[#This Row],[Industry]], Mean_AE_L, 3, FALSE))</f>
        <v>-5.2747104984221076E-3</v>
      </c>
      <c r="T36" s="1">
        <f>(Main_L[[#This Row],[P/E]]-VLOOKUP(Main_L[[#This Row],[Industry]], Mean_PE_L, 2, FALSE))/(VLOOKUP(Main_L[[#This Row],[Industry]], Mean_PE_L, 3, FALSE))</f>
        <v>0.62595446468918992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t="s">
        <v>111</v>
      </c>
      <c r="B37" t="s">
        <v>461</v>
      </c>
      <c r="C37" s="2">
        <v>23851</v>
      </c>
      <c r="D37">
        <f>RTD("tos.rtd", , "LAST", Main_L[[#This Row],[Symbol]])</f>
        <v>71.069999999999993</v>
      </c>
      <c r="E37">
        <v>3.49</v>
      </c>
      <c r="F37">
        <v>14.75</v>
      </c>
      <c r="G37">
        <v>5.39</v>
      </c>
      <c r="H37" s="1">
        <f>IF(ISNUMBER(Main_L[[#This Row],[Free CF]]),IF(Main_L[[#This Row],[Free CF]]&lt;&gt;0,Main_L[[#This Row],[Current Price]]/Main_L[[#This Row],[Free CF]],""),"")</f>
        <v>20.363896848137532</v>
      </c>
      <c r="I37" s="1">
        <f>IF(ISNUMBER(Main_L[[#This Row],[BVPS]]),IF(Main_L[[#This Row],[BVPS]]&lt;&gt;0,Main_L[[#This Row],[Current Price]]/Main_L[[#This Row],[BVPS]],""),"")</f>
        <v>4.818305084745762</v>
      </c>
      <c r="J37">
        <v>27.75</v>
      </c>
      <c r="K37">
        <v>6.03</v>
      </c>
      <c r="L37">
        <v>5.16</v>
      </c>
      <c r="M37" s="1">
        <f>IF(ISNUMBER(Main_L[[#This Row],[EPS]]),IF(Main_L[[#This Row],[EPS]]&lt;&gt;0,Main_L[[#This Row],[Current Price]]/Main_L[[#This Row],[EPS]],""),"")</f>
        <v>13.185528756957329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-0.68956478598393389</v>
      </c>
      <c r="P37" s="1">
        <f>(Main_L[[#This Row],[P/B]]-VLOOKUP(Main_L[[#This Row],[Industry]], Mean_PB_L, 2, FALSE))/(VLOOKUP(Main_L[[#This Row],[Industry]], Mean_PB_L, 3, FALSE))</f>
        <v>1.9822191300245071E-3</v>
      </c>
      <c r="Q37" s="1">
        <f>(Main_L[[#This Row],[ROE]]-VLOOKUP(Main_L[[#This Row],[Industry]], Mean_ROE_L, 2, FALSE))/(VLOOKUP(Main_L[[#This Row],[Industry]], Mean_ROE_L, 3, FALSE))</f>
        <v>0.5026567918105217</v>
      </c>
      <c r="R37" s="1">
        <f>(Main_L[[#This Row],[ROA]]-VLOOKUP(Main_L[[#This Row],[Industry]], Mean_ROA_L, 2, FALSE))/(VLOOKUP(Main_L[[#This Row],[Industry]], Mean_ROA_L, 3, FALSE))</f>
        <v>-0.3235442259789002</v>
      </c>
      <c r="S37" s="1">
        <f>(Main_L[[#This Row],[A/E]]-VLOOKUP(Main_L[[#This Row],[Industry]], Mean_AE_L, 2, FALSE))/(VLOOKUP(Main_L[[#This Row],[Industry]], Mean_AE_L, 3, FALSE))</f>
        <v>0.70035237760681113</v>
      </c>
      <c r="T37" s="1">
        <f>(Main_L[[#This Row],[P/E]]-VLOOKUP(Main_L[[#This Row],[Industry]], Mean_PE_L, 2, FALSE))/(VLOOKUP(Main_L[[#This Row],[Industry]], Mean_PE_L, 3, FALSE))</f>
        <v>-1.6526130850485903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t="s">
        <v>111</v>
      </c>
      <c r="B38" t="s">
        <v>164</v>
      </c>
      <c r="C38" s="2">
        <v>40010</v>
      </c>
      <c r="D38">
        <f>RTD("tos.rtd", , "LAST", Main_L[[#This Row],[Symbol]])</f>
        <v>143.13999999999999</v>
      </c>
      <c r="E38">
        <v>5.15</v>
      </c>
      <c r="F38">
        <v>-28.07</v>
      </c>
      <c r="G38">
        <v>5.0199999999999996</v>
      </c>
      <c r="H38" s="1">
        <f>IF(ISNUMBER(Main_L[[#This Row],[Free CF]]),IF(Main_L[[#This Row],[Free CF]]&lt;&gt;0,Main_L[[#This Row],[Current Price]]/Main_L[[#This Row],[Free CF]],""),"")</f>
        <v>27.794174757281549</v>
      </c>
      <c r="I38" s="1">
        <f>IF(ISNUMBER(Main_L[[#This Row],[BVPS]]),IF(Main_L[[#This Row],[BVPS]]&lt;&gt;0,Main_L[[#This Row],[Current Price]]/Main_L[[#This Row],[BVPS]],""),"")</f>
        <v>-5.09939437121482</v>
      </c>
      <c r="J38">
        <v>-18.32</v>
      </c>
      <c r="K38">
        <v>24.86</v>
      </c>
      <c r="L38">
        <v>-0.85</v>
      </c>
      <c r="M38" s="1">
        <f>IF(ISNUMBER(Main_L[[#This Row],[EPS]]),IF(Main_L[[#This Row],[EPS]]&lt;&gt;0,Main_L[[#This Row],[Current Price]]/Main_L[[#This Row],[EPS]],""),"")</f>
        <v>28.513944223107568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-5.1851363801488179E-2</v>
      </c>
      <c r="P38" s="1">
        <f>(Main_L[[#This Row],[P/B]]-VLOOKUP(Main_L[[#This Row],[Industry]], Mean_PB_L, 2, FALSE))/(VLOOKUP(Main_L[[#This Row],[Industry]], Mean_PB_L, 3, FALSE))</f>
        <v>-0.9695830863298075</v>
      </c>
      <c r="Q38" s="1">
        <f>(Main_L[[#This Row],[ROE]]-VLOOKUP(Main_L[[#This Row],[Industry]], Mean_ROE_L, 2, FALSE))/(VLOOKUP(Main_L[[#This Row],[Industry]], Mean_ROE_L, 3, FALSE))</f>
        <v>-1.1177270328634876</v>
      </c>
      <c r="R38" s="1">
        <f>(Main_L[[#This Row],[ROA]]-VLOOKUP(Main_L[[#This Row],[Industry]], Mean_ROA_L, 2, FALSE))/(VLOOKUP(Main_L[[#This Row],[Industry]], Mean_ROA_L, 3, FALSE))</f>
        <v>4.2229765017693737</v>
      </c>
      <c r="S38" s="1">
        <f>(Main_L[[#This Row],[A/E]]-VLOOKUP(Main_L[[#This Row],[Industry]], Mean_AE_L, 2, FALSE))/(VLOOKUP(Main_L[[#This Row],[Industry]], Mean_AE_L, 3, FALSE))</f>
        <v>-0.7876542187133474</v>
      </c>
      <c r="T38" s="1">
        <f>(Main_L[[#This Row],[P/E]]-VLOOKUP(Main_L[[#This Row],[Industry]], Mean_PE_L, 2, FALSE))/(VLOOKUP(Main_L[[#This Row],[Industry]], Mean_PE_L, 3, FALSE))</f>
        <v>0.41735643498532926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t="s">
        <v>111</v>
      </c>
      <c r="B39" t="s">
        <v>149</v>
      </c>
      <c r="C39" s="2">
        <v>17885</v>
      </c>
      <c r="D39">
        <f>RTD("tos.rtd", , "LAST", Main_L[[#This Row],[Symbol]])</f>
        <v>115.08</v>
      </c>
      <c r="E39">
        <v>4.01</v>
      </c>
      <c r="F39">
        <v>-14.67</v>
      </c>
      <c r="G39">
        <v>3.85</v>
      </c>
      <c r="H39" s="1">
        <f>IF(ISNUMBER(Main_L[[#This Row],[Free CF]]),IF(Main_L[[#This Row],[Free CF]]&lt;&gt;0,Main_L[[#This Row],[Current Price]]/Main_L[[#This Row],[Free CF]],""),"")</f>
        <v>28.698254364089777</v>
      </c>
      <c r="I39" s="1">
        <f>IF(ISNUMBER(Main_L[[#This Row],[BVPS]]),IF(Main_L[[#This Row],[BVPS]]&lt;&gt;0,Main_L[[#This Row],[Current Price]]/Main_L[[#This Row],[BVPS]],""),"")</f>
        <v>-7.8445807770961142</v>
      </c>
      <c r="J39">
        <v>-29.52</v>
      </c>
      <c r="K39">
        <v>13.61</v>
      </c>
      <c r="L39">
        <v>-2.0499999999999998</v>
      </c>
      <c r="M39" s="1">
        <f>IF(ISNUMBER(Main_L[[#This Row],[EPS]]),IF(Main_L[[#This Row],[EPS]]&lt;&gt;0,Main_L[[#This Row],[Current Price]]/Main_L[[#This Row],[EPS]],""),"")</f>
        <v>29.890909090909091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2.57424633787194E-2</v>
      </c>
      <c r="P39" s="1">
        <f>(Main_L[[#This Row],[P/B]]-VLOOKUP(Main_L[[#This Row],[Industry]], Mean_PB_L, 2, FALSE))/(VLOOKUP(Main_L[[#This Row],[Industry]], Mean_PB_L, 3, FALSE))</f>
        <v>-1.2385091493565794</v>
      </c>
      <c r="Q39" s="1">
        <f>(Main_L[[#This Row],[ROE]]-VLOOKUP(Main_L[[#This Row],[Industry]], Mean_ROE_L, 2, FALSE))/(VLOOKUP(Main_L[[#This Row],[Industry]], Mean_ROE_L, 3, FALSE))</f>
        <v>-1.5116558115990835</v>
      </c>
      <c r="R39" s="1">
        <f>(Main_L[[#This Row],[ROA]]-VLOOKUP(Main_L[[#This Row],[Industry]], Mean_ROA_L, 2, FALSE))/(VLOOKUP(Main_L[[#This Row],[Industry]], Mean_ROA_L, 3, FALSE))</f>
        <v>1.5066537090360714</v>
      </c>
      <c r="S39" s="1">
        <f>(Main_L[[#This Row],[A/E]]-VLOOKUP(Main_L[[#This Row],[Industry]], Mean_AE_L, 2, FALSE))/(VLOOKUP(Main_L[[#This Row],[Industry]], Mean_AE_L, 3, FALSE))</f>
        <v>-1.0847603610734455</v>
      </c>
      <c r="T39" s="1">
        <f>(Main_L[[#This Row],[P/E]]-VLOOKUP(Main_L[[#This Row],[Industry]], Mean_PE_L, 2, FALSE))/(VLOOKUP(Main_L[[#This Row],[Industry]], Mean_PE_L, 3, FALSE))</f>
        <v>0.6033035938942819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t="s">
        <v>111</v>
      </c>
      <c r="B40" t="s">
        <v>161</v>
      </c>
      <c r="C40" s="2">
        <v>23397</v>
      </c>
      <c r="D40">
        <f>RTD("tos.rtd", , "LAST", Main_L[[#This Row],[Symbol]])</f>
        <v>69.75</v>
      </c>
      <c r="E40">
        <v>3.5</v>
      </c>
      <c r="F40">
        <v>9.51</v>
      </c>
      <c r="G40">
        <v>2.94</v>
      </c>
      <c r="H40" s="1">
        <f>IF(ISNUMBER(Main_L[[#This Row],[Free CF]]),IF(Main_L[[#This Row],[Free CF]]&lt;&gt;0,Main_L[[#This Row],[Current Price]]/Main_L[[#This Row],[Free CF]],""),"")</f>
        <v>19.928571428571427</v>
      </c>
      <c r="I40" s="1">
        <f>IF(ISNUMBER(Main_L[[#This Row],[BVPS]]),IF(Main_L[[#This Row],[BVPS]]&lt;&gt;0,Main_L[[#This Row],[Current Price]]/Main_L[[#This Row],[BVPS]],""),"")</f>
        <v>7.3343848580441646</v>
      </c>
      <c r="J40">
        <v>27.75</v>
      </c>
      <c r="K40">
        <v>6.03</v>
      </c>
      <c r="L40">
        <v>7.98</v>
      </c>
      <c r="M40" s="1">
        <f>IF(ISNUMBER(Main_L[[#This Row],[EPS]]),IF(Main_L[[#This Row],[EPS]]&lt;&gt;0,Main_L[[#This Row],[Current Price]]/Main_L[[#This Row],[EPS]],""),"")</f>
        <v>23.724489795918366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-0.72692716548966774</v>
      </c>
      <c r="P40" s="1">
        <f>(Main_L[[#This Row],[P/B]]-VLOOKUP(Main_L[[#This Row],[Industry]], Mean_PB_L, 2, FALSE))/(VLOOKUP(Main_L[[#This Row],[Industry]], Mean_PB_L, 3, FALSE))</f>
        <v>0.24846436192542759</v>
      </c>
      <c r="Q40" s="1">
        <f>(Main_L[[#This Row],[ROE]]-VLOOKUP(Main_L[[#This Row],[Industry]], Mean_ROE_L, 2, FALSE))/(VLOOKUP(Main_L[[#This Row],[Industry]], Mean_ROE_L, 3, FALSE))</f>
        <v>0.5026567918105217</v>
      </c>
      <c r="R40" s="1">
        <f>(Main_L[[#This Row],[ROA]]-VLOOKUP(Main_L[[#This Row],[Industry]], Mean_ROA_L, 2, FALSE))/(VLOOKUP(Main_L[[#This Row],[Industry]], Mean_ROA_L, 3, FALSE))</f>
        <v>-0.3235442259789002</v>
      </c>
      <c r="S40" s="1">
        <f>(Main_L[[#This Row],[A/E]]-VLOOKUP(Main_L[[#This Row],[Industry]], Mean_AE_L, 2, FALSE))/(VLOOKUP(Main_L[[#This Row],[Industry]], Mean_AE_L, 3, FALSE))</f>
        <v>1.398551812153042</v>
      </c>
      <c r="T40" s="1">
        <f>(Main_L[[#This Row],[P/E]]-VLOOKUP(Main_L[[#This Row],[Industry]], Mean_PE_L, 2, FALSE))/(VLOOKUP(Main_L[[#This Row],[Industry]], Mean_PE_L, 3, FALSE))</f>
        <v>-0.22941783230709364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t="s">
        <v>111</v>
      </c>
      <c r="B41" t="s">
        <v>141</v>
      </c>
      <c r="C41" s="2">
        <v>44648</v>
      </c>
      <c r="D41">
        <f>RTD("tos.rtd", , "LAST", Main_L[[#This Row],[Symbol]])</f>
        <v>263.52</v>
      </c>
      <c r="E41">
        <v>4.74</v>
      </c>
      <c r="F41">
        <v>55.66</v>
      </c>
      <c r="G41">
        <v>2.89</v>
      </c>
      <c r="H41" s="1">
        <f>IF(ISNUMBER(Main_L[[#This Row],[Free CF]]),IF(Main_L[[#This Row],[Free CF]]&lt;&gt;0,Main_L[[#This Row],[Current Price]]/Main_L[[#This Row],[Free CF]],""),"")</f>
        <v>55.59493670886075</v>
      </c>
      <c r="I41" s="1">
        <f>IF(ISNUMBER(Main_L[[#This Row],[BVPS]]),IF(Main_L[[#This Row],[BVPS]]&lt;&gt;0,Main_L[[#This Row],[Current Price]]/Main_L[[#This Row],[BVPS]],""),"")</f>
        <v>4.7344592166726551</v>
      </c>
      <c r="J41">
        <v>5.88</v>
      </c>
      <c r="K41">
        <v>2.46</v>
      </c>
      <c r="L41">
        <v>2.52</v>
      </c>
      <c r="M41" s="1">
        <f>IF(ISNUMBER(Main_L[[#This Row],[EPS]]),IF(Main_L[[#This Row],[EPS]]&lt;&gt;0,Main_L[[#This Row],[Current Price]]/Main_L[[#This Row],[EPS]],""),"")</f>
        <v>91.183391003460201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2.3341857750790287</v>
      </c>
      <c r="P41" s="1">
        <f>(Main_L[[#This Row],[P/B]]-VLOOKUP(Main_L[[#This Row],[Industry]], Mean_PB_L, 2, FALSE))/(VLOOKUP(Main_L[[#This Row],[Industry]], Mean_PB_L, 3, FALSE))</f>
        <v>-6.2315543148880647E-3</v>
      </c>
      <c r="Q41" s="1">
        <f>(Main_L[[#This Row],[ROE]]-VLOOKUP(Main_L[[#This Row],[Industry]], Mean_ROE_L, 2, FALSE))/(VLOOKUP(Main_L[[#This Row],[Industry]], Mean_ROE_L, 3, FALSE))</f>
        <v>-0.26655949309550353</v>
      </c>
      <c r="R41" s="1">
        <f>(Main_L[[#This Row],[ROA]]-VLOOKUP(Main_L[[#This Row],[Industry]], Mean_ROA_L, 2, FALSE))/(VLOOKUP(Main_L[[#This Row],[Industry]], Mean_ROA_L, 3, FALSE))</f>
        <v>-1.1855239922062684</v>
      </c>
      <c r="S41" s="1">
        <f>(Main_L[[#This Row],[A/E]]-VLOOKUP(Main_L[[#This Row],[Industry]], Mean_AE_L, 2, FALSE))/(VLOOKUP(Main_L[[#This Row],[Industry]], Mean_AE_L, 3, FALSE))</f>
        <v>4.6718864414595072E-2</v>
      </c>
      <c r="T41" s="1">
        <f>(Main_L[[#This Row],[P/E]]-VLOOKUP(Main_L[[#This Row],[Industry]], Mean_PE_L, 2, FALSE))/(VLOOKUP(Main_L[[#This Row],[Industry]], Mean_PE_L, 3, FALSE))</f>
        <v>8.8803215052619766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2" spans="1:26" x14ac:dyDescent="0.25">
      <c r="A42" t="s">
        <v>111</v>
      </c>
      <c r="B42" t="s">
        <v>162</v>
      </c>
      <c r="C42" s="2">
        <v>95401</v>
      </c>
      <c r="D42">
        <f>RTD("tos.rtd", , "LAST", Main_L[[#This Row],[Symbol]])</f>
        <v>90.67</v>
      </c>
      <c r="E42">
        <v>2.44</v>
      </c>
      <c r="F42">
        <v>-6.71</v>
      </c>
      <c r="G42">
        <v>2.75</v>
      </c>
      <c r="H42" s="1">
        <f>IF(ISNUMBER(Main_L[[#This Row],[Free CF]]),IF(Main_L[[#This Row],[Free CF]]&lt;&gt;0,Main_L[[#This Row],[Current Price]]/Main_L[[#This Row],[Free CF]],""),"")</f>
        <v>37.159836065573771</v>
      </c>
      <c r="I42" s="1">
        <f>IF(ISNUMBER(Main_L[[#This Row],[BVPS]]),IF(Main_L[[#This Row],[BVPS]]&lt;&gt;0,Main_L[[#This Row],[Current Price]]/Main_L[[#This Row],[BVPS]],""),"")</f>
        <v>-13.512667660208644</v>
      </c>
      <c r="J42">
        <v>-38.99</v>
      </c>
      <c r="K42">
        <v>8.98</v>
      </c>
      <c r="L42">
        <v>-4.1500000000000004</v>
      </c>
      <c r="M42" s="1">
        <f>IF(ISNUMBER(Main_L[[#This Row],[EPS]]),IF(Main_L[[#This Row],[EPS]]&lt;&gt;0,Main_L[[#This Row],[Current Price]]/Main_L[[#This Row],[EPS]],""),"")</f>
        <v>32.970909090909089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0.75196889661738631</v>
      </c>
      <c r="P42" s="1">
        <f>(Main_L[[#This Row],[P/B]]-VLOOKUP(Main_L[[#This Row],[Industry]], Mean_PB_L, 2, FALSE))/(VLOOKUP(Main_L[[#This Row],[Industry]], Mean_PB_L, 3, FALSE))</f>
        <v>-1.7937706380130451</v>
      </c>
      <c r="Q42" s="1">
        <f>(Main_L[[#This Row],[ROE]]-VLOOKUP(Main_L[[#This Row],[Industry]], Mean_ROE_L, 2, FALSE))/(VLOOKUP(Main_L[[#This Row],[Industry]], Mean_ROE_L, 3, FALSE))</f>
        <v>-1.8447366629049846</v>
      </c>
      <c r="R42" s="1">
        <f>(Main_L[[#This Row],[ROA]]-VLOOKUP(Main_L[[#This Row],[Industry]], Mean_ROA_L, 2, FALSE))/(VLOOKUP(Main_L[[#This Row],[Industry]], Mean_ROA_L, 3, FALSE))</f>
        <v>0.38873597300449914</v>
      </c>
      <c r="S42" s="1">
        <f>(Main_L[[#This Row],[A/E]]-VLOOKUP(Main_L[[#This Row],[Industry]], Mean_AE_L, 2, FALSE))/(VLOOKUP(Main_L[[#This Row],[Industry]], Mean_AE_L, 3, FALSE))</f>
        <v>-1.6046961102036177</v>
      </c>
      <c r="T42" s="1">
        <f>(Main_L[[#This Row],[P/E]]-VLOOKUP(Main_L[[#This Row],[Industry]], Mean_PE_L, 2, FALSE))/(VLOOKUP(Main_L[[#This Row],[Industry]], Mean_PE_L, 3, FALSE))</f>
        <v>1.0192308719474836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3" spans="1:26" x14ac:dyDescent="0.25">
      <c r="A43" t="s">
        <v>111</v>
      </c>
      <c r="B43" t="s">
        <v>165</v>
      </c>
      <c r="C43" s="2">
        <v>16245</v>
      </c>
      <c r="D43">
        <f>RTD("tos.rtd", , "LAST", Main_L[[#This Row],[Symbol]])</f>
        <v>44.24</v>
      </c>
      <c r="E43">
        <v>2.0299999999999998</v>
      </c>
      <c r="F43">
        <v>15.38</v>
      </c>
      <c r="G43">
        <v>2.38</v>
      </c>
      <c r="H43" s="1">
        <f>IF(ISNUMBER(Main_L[[#This Row],[Free CF]]),IF(Main_L[[#This Row],[Free CF]]&lt;&gt;0,Main_L[[#This Row],[Current Price]]/Main_L[[#This Row],[Free CF]],""),"")</f>
        <v>21.793103448275865</v>
      </c>
      <c r="I43" s="1">
        <f>IF(ISNUMBER(Main_L[[#This Row],[BVPS]]),IF(Main_L[[#This Row],[BVPS]]&lt;&gt;0,Main_L[[#This Row],[Current Price]]/Main_L[[#This Row],[BVPS]],""),"")</f>
        <v>2.8764629388816645</v>
      </c>
      <c r="J43">
        <v>15.14</v>
      </c>
      <c r="K43">
        <v>6.9</v>
      </c>
      <c r="L43">
        <v>1.9</v>
      </c>
      <c r="M43" s="1">
        <f>IF(ISNUMBER(Main_L[[#This Row],[EPS]]),IF(Main_L[[#This Row],[EPS]]&lt;&gt;0,Main_L[[#This Row],[Current Price]]/Main_L[[#This Row],[EPS]],""),"")</f>
        <v>18.588235294117649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43" s="1">
        <f>(Main_L[[#This Row],[P/FCF]]-VLOOKUP(Main_L[[#This Row],[Industry]], Mean_PFCF_L, 2, FALSE))/(VLOOKUP(Main_L[[#This Row],[Industry]], Mean_PFCF_L, 3, FALSE))</f>
        <v>-0.56690124053857216</v>
      </c>
      <c r="P43" s="1">
        <f>(Main_L[[#This Row],[P/B]]-VLOOKUP(Main_L[[#This Row],[Industry]], Mean_PB_L, 2, FALSE))/(VLOOKUP(Main_L[[#This Row],[Industry]], Mean_PB_L, 3, FALSE))</f>
        <v>-0.18824601534902666</v>
      </c>
      <c r="Q43" s="1">
        <f>(Main_L[[#This Row],[ROE]]-VLOOKUP(Main_L[[#This Row],[Industry]], Mean_ROE_L, 2, FALSE))/(VLOOKUP(Main_L[[#This Row],[Industry]], Mean_ROE_L, 3, FALSE))</f>
        <v>5.9135193609105241E-2</v>
      </c>
      <c r="R43" s="1">
        <f>(Main_L[[#This Row],[ROA]]-VLOOKUP(Main_L[[#This Row],[Industry]], Mean_ROA_L, 2, FALSE))/(VLOOKUP(Main_L[[#This Row],[Industry]], Mean_ROA_L, 3, FALSE))</f>
        <v>-0.11348193000752479</v>
      </c>
      <c r="S43" s="1">
        <f>(Main_L[[#This Row],[A/E]]-VLOOKUP(Main_L[[#This Row],[Industry]], Mean_AE_L, 2, FALSE))/(VLOOKUP(Main_L[[#This Row],[Industry]], Mean_AE_L, 3, FALSE))</f>
        <v>-0.10678597580478903</v>
      </c>
      <c r="T43" s="1">
        <f>(Main_L[[#This Row],[P/E]]-VLOOKUP(Main_L[[#This Row],[Industry]], Mean_PE_L, 2, FALSE))/(VLOOKUP(Main_L[[#This Row],[Industry]], Mean_PE_L, 3, FALSE))</f>
        <v>-0.92302444085335256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4" spans="1:26" x14ac:dyDescent="0.25">
      <c r="A44" t="s">
        <v>111</v>
      </c>
      <c r="B44" t="s">
        <v>142</v>
      </c>
      <c r="C44" s="2">
        <v>29085</v>
      </c>
      <c r="D44">
        <f>RTD("tos.rtd", , "LAST", Main_L[[#This Row],[Symbol]])</f>
        <v>41.9</v>
      </c>
      <c r="E44">
        <v>1.63</v>
      </c>
      <c r="F44">
        <v>3.82</v>
      </c>
      <c r="G44">
        <v>1.78</v>
      </c>
      <c r="H44" s="1">
        <f>IF(ISNUMBER(Main_L[[#This Row],[Free CF]]),IF(Main_L[[#This Row],[Free CF]]&lt;&gt;0,Main_L[[#This Row],[Current Price]]/Main_L[[#This Row],[Free CF]],""),"")</f>
        <v>25.70552147239264</v>
      </c>
      <c r="I44" s="1">
        <f>IF(ISNUMBER(Main_L[[#This Row],[BVPS]]),IF(Main_L[[#This Row],[BVPS]]&lt;&gt;0,Main_L[[#This Row],[Current Price]]/Main_L[[#This Row],[BVPS]],""),"")</f>
        <v>10.968586387434556</v>
      </c>
      <c r="J44">
        <v>44.69</v>
      </c>
      <c r="K44">
        <v>6.87</v>
      </c>
      <c r="L44">
        <v>7.87</v>
      </c>
      <c r="M44" s="1">
        <f>IF(ISNUMBER(Main_L[[#This Row],[EPS]]),IF(Main_L[[#This Row],[EPS]]&lt;&gt;0,Main_L[[#This Row],[Current Price]]/Main_L[[#This Row],[EPS]],""),"")</f>
        <v>23.539325842696627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-0.23111279255907793</v>
      </c>
      <c r="P44" s="1">
        <f>(Main_L[[#This Row],[P/B]]-VLOOKUP(Main_L[[#This Row],[Industry]], Mean_PB_L, 2, FALSE))/(VLOOKUP(Main_L[[#This Row],[Industry]], Mean_PB_L, 3, FALSE))</f>
        <v>0.60448080855032493</v>
      </c>
      <c r="Q44" s="1">
        <f>(Main_L[[#This Row],[ROE]]-VLOOKUP(Main_L[[#This Row],[Industry]], Mean_ROE_L, 2, FALSE))/(VLOOKUP(Main_L[[#This Row],[Industry]], Mean_ROE_L, 3, FALSE))</f>
        <v>1.0984740696481103</v>
      </c>
      <c r="R44" s="1">
        <f>(Main_L[[#This Row],[ROA]]-VLOOKUP(Main_L[[#This Row],[Industry]], Mean_ROA_L, 2, FALSE))/(VLOOKUP(Main_L[[#This Row],[Industry]], Mean_ROA_L, 3, FALSE))</f>
        <v>-0.12072545745481365</v>
      </c>
      <c r="S44" s="1">
        <f>(Main_L[[#This Row],[A/E]]-VLOOKUP(Main_L[[#This Row],[Industry]], Mean_AE_L, 2, FALSE))/(VLOOKUP(Main_L[[#This Row],[Industry]], Mean_AE_L, 3, FALSE))</f>
        <v>1.3713170824366996</v>
      </c>
      <c r="T44" s="1">
        <f>(Main_L[[#This Row],[P/E]]-VLOOKUP(Main_L[[#This Row],[Industry]], Mean_PE_L, 2, FALSE))/(VLOOKUP(Main_L[[#This Row],[Industry]], Mean_PE_L, 3, FALSE))</f>
        <v>-0.25442261771523922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t="s">
        <v>111</v>
      </c>
      <c r="B45" t="s">
        <v>144</v>
      </c>
      <c r="C45" s="2">
        <v>31460</v>
      </c>
      <c r="D45">
        <f>RTD("tos.rtd", , "LAST", Main_L[[#This Row],[Symbol]])</f>
        <v>24.21</v>
      </c>
      <c r="E45">
        <v>1.54</v>
      </c>
      <c r="F45">
        <v>7</v>
      </c>
      <c r="G45">
        <v>1.52</v>
      </c>
      <c r="H45" s="1">
        <f>IF(ISNUMBER(Main_L[[#This Row],[Free CF]]),IF(Main_L[[#This Row],[Free CF]]&lt;&gt;0,Main_L[[#This Row],[Current Price]]/Main_L[[#This Row],[Free CF]],""),"")</f>
        <v>15.720779220779221</v>
      </c>
      <c r="I45" s="1">
        <f>IF(ISNUMBER(Main_L[[#This Row],[BVPS]]),IF(Main_L[[#This Row],[BVPS]]&lt;&gt;0,Main_L[[#This Row],[Current Price]]/Main_L[[#This Row],[BVPS]],""),"")</f>
        <v>3.4585714285714286</v>
      </c>
      <c r="J45">
        <v>25.87</v>
      </c>
      <c r="K45">
        <v>4.8099999999999996</v>
      </c>
      <c r="L45">
        <v>5.29</v>
      </c>
      <c r="M45" s="1">
        <f>IF(ISNUMBER(Main_L[[#This Row],[EPS]]),IF(Main_L[[#This Row],[EPS]]&lt;&gt;0,Main_L[[#This Row],[Current Price]]/Main_L[[#This Row],[EPS]],""),"")</f>
        <v>15.927631578947368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-1.0880664931804305</v>
      </c>
      <c r="P45" s="1">
        <f>(Main_L[[#This Row],[P/B]]-VLOOKUP(Main_L[[#This Row],[Industry]], Mean_PB_L, 2, FALSE))/(VLOOKUP(Main_L[[#This Row],[Industry]], Mean_PB_L, 3, FALSE))</f>
        <v>-0.13122105556802671</v>
      </c>
      <c r="Q45" s="1">
        <f>(Main_L[[#This Row],[ROE]]-VLOOKUP(Main_L[[#This Row],[Industry]], Mean_ROE_L, 2, FALSE))/(VLOOKUP(Main_L[[#This Row],[Industry]], Mean_ROE_L, 3, FALSE))</f>
        <v>0.43653303252276099</v>
      </c>
      <c r="R45" s="1">
        <f>(Main_L[[#This Row],[ROA]]-VLOOKUP(Main_L[[#This Row],[Industry]], Mean_ROA_L, 2, FALSE))/(VLOOKUP(Main_L[[#This Row],[Industry]], Mean_ROA_L, 3, FALSE))</f>
        <v>-0.61811434216864514</v>
      </c>
      <c r="S45" s="1">
        <f>(Main_L[[#This Row],[A/E]]-VLOOKUP(Main_L[[#This Row],[Industry]], Mean_AE_L, 2, FALSE))/(VLOOKUP(Main_L[[#This Row],[Industry]], Mean_AE_L, 3, FALSE))</f>
        <v>0.73253887636248849</v>
      </c>
      <c r="T45" s="1">
        <f>(Main_L[[#This Row],[P/E]]-VLOOKUP(Main_L[[#This Row],[Industry]], Mean_PE_L, 2, FALSE))/(VLOOKUP(Main_L[[#This Row],[Industry]], Mean_PE_L, 3, FALSE))</f>
        <v>-1.2823158893043303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6" spans="1:26" x14ac:dyDescent="0.25">
      <c r="A46" t="s">
        <v>111</v>
      </c>
      <c r="B46" t="s">
        <v>145</v>
      </c>
      <c r="C46" s="2">
        <v>27426</v>
      </c>
      <c r="D46">
        <f>RTD("tos.rtd", , "LAST", Main_L[[#This Row],[Symbol]])</f>
        <v>21.91</v>
      </c>
      <c r="E46">
        <v>1.54</v>
      </c>
      <c r="F46">
        <v>7</v>
      </c>
      <c r="G46">
        <v>1.52</v>
      </c>
      <c r="H46" s="1">
        <f>IF(ISNUMBER(Main_L[[#This Row],[Free CF]]),IF(Main_L[[#This Row],[Free CF]]&lt;&gt;0,Main_L[[#This Row],[Current Price]]/Main_L[[#This Row],[Free CF]],""),"")</f>
        <v>14.227272727272727</v>
      </c>
      <c r="I46" s="1">
        <f>IF(ISNUMBER(Main_L[[#This Row],[BVPS]]),IF(Main_L[[#This Row],[BVPS]]&lt;&gt;0,Main_L[[#This Row],[Current Price]]/Main_L[[#This Row],[BVPS]],""),"")</f>
        <v>3.13</v>
      </c>
      <c r="J46">
        <v>25.87</v>
      </c>
      <c r="K46">
        <v>4.8099999999999996</v>
      </c>
      <c r="L46">
        <v>5.29</v>
      </c>
      <c r="M46" s="1">
        <f>IF(ISNUMBER(Main_L[[#This Row],[EPS]]),IF(Main_L[[#This Row],[EPS]]&lt;&gt;0,Main_L[[#This Row],[Current Price]]/Main_L[[#This Row],[EPS]],""),"")</f>
        <v>14.414473684210526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6" s="1">
        <f>(Main_L[[#This Row],[P/FCF]]-VLOOKUP(Main_L[[#This Row],[Industry]], Mean_PFCF_L, 2, FALSE))/(VLOOKUP(Main_L[[#This Row],[Industry]], Mean_PFCF_L, 3, FALSE))</f>
        <v>-1.2162486619595594</v>
      </c>
      <c r="P46" s="1">
        <f>(Main_L[[#This Row],[P/B]]-VLOOKUP(Main_L[[#This Row],[Industry]], Mean_PB_L, 2, FALSE))/(VLOOKUP(Main_L[[#This Row],[Industry]], Mean_PB_L, 3, FALSE))</f>
        <v>-0.16340882267902901</v>
      </c>
      <c r="Q46" s="1">
        <f>(Main_L[[#This Row],[ROE]]-VLOOKUP(Main_L[[#This Row],[Industry]], Mean_ROE_L, 2, FALSE))/(VLOOKUP(Main_L[[#This Row],[Industry]], Mean_ROE_L, 3, FALSE))</f>
        <v>0.43653303252276099</v>
      </c>
      <c r="R46" s="1">
        <f>(Main_L[[#This Row],[ROA]]-VLOOKUP(Main_L[[#This Row],[Industry]], Mean_ROA_L, 2, FALSE))/(VLOOKUP(Main_L[[#This Row],[Industry]], Mean_ROA_L, 3, FALSE))</f>
        <v>-0.61811434216864514</v>
      </c>
      <c r="S46" s="1">
        <f>(Main_L[[#This Row],[A/E]]-VLOOKUP(Main_L[[#This Row],[Industry]], Mean_AE_L, 2, FALSE))/(VLOOKUP(Main_L[[#This Row],[Industry]], Mean_AE_L, 3, FALSE))</f>
        <v>0.73253887636248849</v>
      </c>
      <c r="T46" s="1">
        <f>(Main_L[[#This Row],[P/E]]-VLOOKUP(Main_L[[#This Row],[Industry]], Mean_PE_L, 2, FALSE))/(VLOOKUP(Main_L[[#This Row],[Industry]], Mean_PE_L, 3, FALSE))</f>
        <v>-1.4866547348960863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7" spans="1:26" x14ac:dyDescent="0.25">
      <c r="A47" t="s">
        <v>111</v>
      </c>
      <c r="B47" t="s">
        <v>148</v>
      </c>
      <c r="C47" s="2">
        <v>10826</v>
      </c>
      <c r="D47">
        <f>RTD("tos.rtd", , "LAST", Main_L[[#This Row],[Symbol]])</f>
        <v>34.909999999999997</v>
      </c>
      <c r="E47">
        <v>2.83</v>
      </c>
      <c r="F47">
        <v>4.71</v>
      </c>
      <c r="G47">
        <v>1.42</v>
      </c>
      <c r="H47" s="1">
        <f>IF(ISNUMBER(Main_L[[#This Row],[Free CF]]),IF(Main_L[[#This Row],[Free CF]]&lt;&gt;0,Main_L[[#This Row],[Current Price]]/Main_L[[#This Row],[Free CF]],""),"")</f>
        <v>12.335689045936395</v>
      </c>
      <c r="I47" s="1">
        <f>IF(ISNUMBER(Main_L[[#This Row],[BVPS]]),IF(Main_L[[#This Row],[BVPS]]&lt;&gt;0,Main_L[[#This Row],[Current Price]]/Main_L[[#This Row],[BVPS]],""),"")</f>
        <v>7.4118895966029719</v>
      </c>
      <c r="J47">
        <v>28.97</v>
      </c>
      <c r="K47">
        <v>5.36</v>
      </c>
      <c r="L47">
        <v>5.87</v>
      </c>
      <c r="M47" s="1">
        <f>IF(ISNUMBER(Main_L[[#This Row],[EPS]]),IF(Main_L[[#This Row],[EPS]]&lt;&gt;0,Main_L[[#This Row],[Current Price]]/Main_L[[#This Row],[EPS]],""),"")</f>
        <v>24.58450704225352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-1.3785963315245093</v>
      </c>
      <c r="P47" s="1">
        <f>(Main_L[[#This Row],[P/B]]-VLOOKUP(Main_L[[#This Row],[Industry]], Mean_PB_L, 2, FALSE))/(VLOOKUP(Main_L[[#This Row],[Industry]], Mean_PB_L, 3, FALSE))</f>
        <v>0.25605694076156238</v>
      </c>
      <c r="Q47" s="1">
        <f>(Main_L[[#This Row],[ROE]]-VLOOKUP(Main_L[[#This Row],[Industry]], Mean_ROE_L, 2, FALSE))/(VLOOKUP(Main_L[[#This Row],[Industry]], Mean_ROE_L, 3, FALSE))</f>
        <v>0.54556689092279187</v>
      </c>
      <c r="R47" s="1">
        <f>(Main_L[[#This Row],[ROA]]-VLOOKUP(Main_L[[#This Row],[Industry]], Mean_ROA_L, 2, FALSE))/(VLOOKUP(Main_L[[#This Row],[Industry]], Mean_ROA_L, 3, FALSE))</f>
        <v>-0.48531633896835019</v>
      </c>
      <c r="S47" s="1">
        <f>(Main_L[[#This Row],[A/E]]-VLOOKUP(Main_L[[#This Row],[Industry]], Mean_AE_L, 2, FALSE))/(VLOOKUP(Main_L[[#This Row],[Industry]], Mean_AE_L, 3, FALSE))</f>
        <v>0.87614017850320258</v>
      </c>
      <c r="T47" s="1">
        <f>(Main_L[[#This Row],[P/E]]-VLOOKUP(Main_L[[#This Row],[Industry]], Mean_PE_L, 2, FALSE))/(VLOOKUP(Main_L[[#This Row],[Industry]], Mean_PE_L, 3, FALSE))</f>
        <v>-0.11327996466196678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t="s">
        <v>111</v>
      </c>
      <c r="B48" t="s">
        <v>154</v>
      </c>
      <c r="C48" s="2">
        <v>10614</v>
      </c>
      <c r="D48">
        <f>RTD("tos.rtd", , "LAST", Main_L[[#This Row],[Symbol]])</f>
        <v>39.520000000000003</v>
      </c>
      <c r="E48">
        <v>1.4</v>
      </c>
      <c r="F48">
        <v>11.49</v>
      </c>
      <c r="G48">
        <v>1.3</v>
      </c>
      <c r="H48" s="1">
        <f>IF(ISNUMBER(Main_L[[#This Row],[Free CF]]),IF(Main_L[[#This Row],[Free CF]]&lt;&gt;0,Main_L[[#This Row],[Current Price]]/Main_L[[#This Row],[Free CF]],""),"")</f>
        <v>28.228571428571431</v>
      </c>
      <c r="I48" s="1">
        <f>IF(ISNUMBER(Main_L[[#This Row],[BVPS]]),IF(Main_L[[#This Row],[BVPS]]&lt;&gt;0,Main_L[[#This Row],[Current Price]]/Main_L[[#This Row],[BVPS]],""),"")</f>
        <v>3.4395126196692778</v>
      </c>
      <c r="J48">
        <v>11.73</v>
      </c>
      <c r="K48">
        <v>3.62</v>
      </c>
      <c r="L48">
        <v>4.47</v>
      </c>
      <c r="M48" s="1">
        <f>IF(ISNUMBER(Main_L[[#This Row],[EPS]]),IF(Main_L[[#This Row],[EPS]]&lt;&gt;0,Main_L[[#This Row],[Current Price]]/Main_L[[#This Row],[EPS]],""),"")</f>
        <v>30.400000000000002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-1.4568695344091694E-2</v>
      </c>
      <c r="P48" s="1">
        <f>(Main_L[[#This Row],[P/B]]-VLOOKUP(Main_L[[#This Row],[Industry]], Mean_PB_L, 2, FALSE))/(VLOOKUP(Main_L[[#This Row],[Industry]], Mean_PB_L, 3, FALSE))</f>
        <v>-0.13308810927084788</v>
      </c>
      <c r="Q48" s="1">
        <f>(Main_L[[#This Row],[ROE]]-VLOOKUP(Main_L[[#This Row],[Industry]], Mean_ROE_L, 2, FALSE))/(VLOOKUP(Main_L[[#This Row],[Industry]], Mean_ROE_L, 3, FALSE))</f>
        <v>-6.0802050630928875E-2</v>
      </c>
      <c r="R48" s="1">
        <f>(Main_L[[#This Row],[ROA]]-VLOOKUP(Main_L[[#This Row],[Industry]], Mean_ROA_L, 2, FALSE))/(VLOOKUP(Main_L[[#This Row],[Industry]], Mean_ROA_L, 3, FALSE))</f>
        <v>-0.90544093091110101</v>
      </c>
      <c r="S48" s="1">
        <f>(Main_L[[#This Row],[A/E]]-VLOOKUP(Main_L[[#This Row],[Industry]], Mean_AE_L, 2, FALSE))/(VLOOKUP(Main_L[[#This Row],[Industry]], Mean_AE_L, 3, FALSE))</f>
        <v>0.52951634574975459</v>
      </c>
      <c r="T48" s="1">
        <f>(Main_L[[#This Row],[P/E]]-VLOOKUP(Main_L[[#This Row],[Industry]], Mean_PE_L, 2, FALSE))/(VLOOKUP(Main_L[[#This Row],[Industry]], Mean_PE_L, 3, FALSE))</f>
        <v>0.67205190431629913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9" spans="1:26" x14ac:dyDescent="0.25">
      <c r="A49" t="s">
        <v>111</v>
      </c>
      <c r="B49" t="s">
        <v>156</v>
      </c>
      <c r="C49" s="2">
        <v>67476</v>
      </c>
      <c r="D49">
        <f>RTD("tos.rtd", , "LAST", Main_L[[#This Row],[Symbol]])</f>
        <v>51.13</v>
      </c>
      <c r="E49">
        <v>1.0900000000000001</v>
      </c>
      <c r="F49">
        <v>2.59</v>
      </c>
      <c r="G49">
        <v>1.1299999999999999</v>
      </c>
      <c r="H49" s="1">
        <f>IF(ISNUMBER(Main_L[[#This Row],[Free CF]]),IF(Main_L[[#This Row],[Free CF]]&lt;&gt;0,Main_L[[#This Row],[Current Price]]/Main_L[[#This Row],[Free CF]],""),"")</f>
        <v>46.908256880733944</v>
      </c>
      <c r="I49" s="1">
        <f>IF(ISNUMBER(Main_L[[#This Row],[BVPS]]),IF(Main_L[[#This Row],[BVPS]]&lt;&gt;0,Main_L[[#This Row],[Current Price]]/Main_L[[#This Row],[BVPS]],""),"")</f>
        <v>19.741312741312743</v>
      </c>
      <c r="J49">
        <v>45.57</v>
      </c>
      <c r="K49">
        <v>14.35</v>
      </c>
      <c r="L49">
        <v>2.59</v>
      </c>
      <c r="M49" s="1">
        <f>IF(ISNUMBER(Main_L[[#This Row],[EPS]]),IF(Main_L[[#This Row],[EPS]]&lt;&gt;0,Main_L[[#This Row],[Current Price]]/Main_L[[#This Row],[EPS]],""),"")</f>
        <v>45.247787610619476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1.5886399976080836</v>
      </c>
      <c r="P49" s="1">
        <f>(Main_L[[#This Row],[P/B]]-VLOOKUP(Main_L[[#This Row],[Industry]], Mean_PB_L, 2, FALSE))/(VLOOKUP(Main_L[[#This Row],[Industry]], Mean_PB_L, 3, FALSE))</f>
        <v>1.4638813779634918</v>
      </c>
      <c r="Q49" s="1">
        <f>(Main_L[[#This Row],[ROE]]-VLOOKUP(Main_L[[#This Row],[Industry]], Mean_ROE_L, 2, FALSE))/(VLOOKUP(Main_L[[#This Row],[Industry]], Mean_ROE_L, 3, FALSE))</f>
        <v>1.1294256165487646</v>
      </c>
      <c r="R49" s="1">
        <f>(Main_L[[#This Row],[ROA]]-VLOOKUP(Main_L[[#This Row],[Industry]], Mean_ROA_L, 2, FALSE))/(VLOOKUP(Main_L[[#This Row],[Industry]], Mean_ROA_L, 3, FALSE))</f>
        <v>1.6853273860691953</v>
      </c>
      <c r="S49" s="1">
        <f>(Main_L[[#This Row],[A/E]]-VLOOKUP(Main_L[[#This Row],[Industry]], Mean_AE_L, 2, FALSE))/(VLOOKUP(Main_L[[#This Row],[Industry]], Mean_AE_L, 3, FALSE))</f>
        <v>6.4050056052267434E-2</v>
      </c>
      <c r="T49" s="1">
        <f>(Main_L[[#This Row],[P/E]]-VLOOKUP(Main_L[[#This Row],[Industry]], Mean_PE_L, 2, FALSE))/(VLOOKUP(Main_L[[#This Row],[Industry]], Mean_PE_L, 3, FALSE))</f>
        <v>2.6771168023672773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0" spans="1:26" x14ac:dyDescent="0.25">
      <c r="A50" t="s">
        <v>111</v>
      </c>
      <c r="B50" t="s">
        <v>151</v>
      </c>
      <c r="C50" s="2">
        <v>11157</v>
      </c>
      <c r="D50">
        <f>RTD("tos.rtd", , "LAST", Main_L[[#This Row],[Symbol]])</f>
        <v>99.69</v>
      </c>
      <c r="E50">
        <v>1.65</v>
      </c>
      <c r="F50">
        <v>10.63</v>
      </c>
      <c r="G50">
        <v>0.83</v>
      </c>
      <c r="H50" s="1">
        <f>IF(ISNUMBER(Main_L[[#This Row],[Free CF]]),IF(Main_L[[#This Row],[Free CF]]&lt;&gt;0,Main_L[[#This Row],[Current Price]]/Main_L[[#This Row],[Free CF]],""),"")</f>
        <v>60.418181818181822</v>
      </c>
      <c r="I50" s="1">
        <f>IF(ISNUMBER(Main_L[[#This Row],[BVPS]]),IF(Main_L[[#This Row],[BVPS]]&lt;&gt;0,Main_L[[#This Row],[Current Price]]/Main_L[[#This Row],[BVPS]],""),"")</f>
        <v>9.3781749764816542</v>
      </c>
      <c r="J50">
        <v>8.1999999999999993</v>
      </c>
      <c r="K50">
        <v>4.3</v>
      </c>
      <c r="L50">
        <v>1.52</v>
      </c>
      <c r="M50" s="1">
        <f>IF(ISNUMBER(Main_L[[#This Row],[EPS]]),IF(Main_L[[#This Row],[EPS]]&lt;&gt;0,Main_L[[#This Row],[Current Price]]/Main_L[[#This Row],[EPS]],""),"")</f>
        <v>120.10843373493977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2.7481471614902437</v>
      </c>
      <c r="P50" s="1">
        <f>(Main_L[[#This Row],[P/B]]-VLOOKUP(Main_L[[#This Row],[Industry]], Mean_PB_L, 2, FALSE))/(VLOOKUP(Main_L[[#This Row],[Industry]], Mean_PB_L, 3, FALSE))</f>
        <v>0.44867970213944325</v>
      </c>
      <c r="Q50" s="1">
        <f>(Main_L[[#This Row],[ROE]]-VLOOKUP(Main_L[[#This Row],[Industry]], Mean_ROE_L, 2, FALSE))/(VLOOKUP(Main_L[[#This Row],[Industry]], Mean_ROE_L, 3, FALSE))</f>
        <v>-0.18495996035741585</v>
      </c>
      <c r="R50" s="1">
        <f>(Main_L[[#This Row],[ROA]]-VLOOKUP(Main_L[[#This Row],[Industry]], Mean_ROA_L, 2, FALSE))/(VLOOKUP(Main_L[[#This Row],[Industry]], Mean_ROA_L, 3, FALSE))</f>
        <v>-0.74125430877255483</v>
      </c>
      <c r="S50" s="1">
        <f>(Main_L[[#This Row],[A/E]]-VLOOKUP(Main_L[[#This Row],[Industry]], Mean_AE_L, 2, FALSE))/(VLOOKUP(Main_L[[#This Row],[Industry]], Mean_AE_L, 3, FALSE))</f>
        <v>-0.20086958755215345</v>
      </c>
      <c r="T50" s="1">
        <f>(Main_L[[#This Row],[P/E]]-VLOOKUP(Main_L[[#This Row],[Industry]], Mean_PE_L, 2, FALSE))/(VLOOKUP(Main_L[[#This Row],[Industry]], Mean_PE_L, 3, FALSE))</f>
        <v>12.786397573728486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1" spans="1:26" x14ac:dyDescent="0.25">
      <c r="A51" t="s">
        <v>111</v>
      </c>
      <c r="B51" t="s">
        <v>157</v>
      </c>
      <c r="C51" s="2">
        <v>88414</v>
      </c>
      <c r="D51">
        <f>RTD("tos.rtd", , "LAST", Main_L[[#This Row],[Symbol]])</f>
        <v>217.49</v>
      </c>
      <c r="E51">
        <v>4.3499999999999996</v>
      </c>
      <c r="F51">
        <v>19.8</v>
      </c>
      <c r="G51">
        <v>0.77</v>
      </c>
      <c r="H51" s="1">
        <f>IF(ISNUMBER(Main_L[[#This Row],[Free CF]]),IF(Main_L[[#This Row],[Free CF]]&lt;&gt;0,Main_L[[#This Row],[Current Price]]/Main_L[[#This Row],[Free CF]],""),"")</f>
        <v>49.997701149425296</v>
      </c>
      <c r="I51" s="1">
        <f>IF(ISNUMBER(Main_L[[#This Row],[BVPS]]),IF(Main_L[[#This Row],[BVPS]]&lt;&gt;0,Main_L[[#This Row],[Current Price]]/Main_L[[#This Row],[BVPS]],""),"")</f>
        <v>10.984343434343435</v>
      </c>
      <c r="J51">
        <v>4.34</v>
      </c>
      <c r="K51">
        <v>1.42</v>
      </c>
      <c r="L51">
        <v>1.62</v>
      </c>
      <c r="M51" s="1">
        <f>IF(ISNUMBER(Main_L[[#This Row],[EPS]]),IF(Main_L[[#This Row],[EPS]]&lt;&gt;0,Main_L[[#This Row],[Current Price]]/Main_L[[#This Row],[EPS]],""),"")</f>
        <v>282.45454545454544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1" s="1">
        <f>(Main_L[[#This Row],[P/FCF]]-VLOOKUP(Main_L[[#This Row],[Industry]], Mean_PFCF_L, 2, FALSE))/(VLOOKUP(Main_L[[#This Row],[Industry]], Mean_PFCF_L, 3, FALSE))</f>
        <v>1.8537956353002509</v>
      </c>
      <c r="P51" s="1">
        <f>(Main_L[[#This Row],[P/B]]-VLOOKUP(Main_L[[#This Row],[Industry]], Mean_PB_L, 2, FALSE))/(VLOOKUP(Main_L[[#This Row],[Industry]], Mean_PB_L, 3, FALSE))</f>
        <v>0.60602441250416017</v>
      </c>
      <c r="Q51" s="1">
        <f>(Main_L[[#This Row],[ROE]]-VLOOKUP(Main_L[[#This Row],[Industry]], Mean_ROE_L, 2, FALSE))/(VLOOKUP(Main_L[[#This Row],[Industry]], Mean_ROE_L, 3, FALSE))</f>
        <v>-0.320724700171648</v>
      </c>
      <c r="R51" s="1">
        <f>(Main_L[[#This Row],[ROA]]-VLOOKUP(Main_L[[#This Row],[Industry]], Mean_ROA_L, 2, FALSE))/(VLOOKUP(Main_L[[#This Row],[Industry]], Mean_ROA_L, 3, FALSE))</f>
        <v>-1.4366329437122802</v>
      </c>
      <c r="S51" s="1">
        <f>(Main_L[[#This Row],[A/E]]-VLOOKUP(Main_L[[#This Row],[Industry]], Mean_AE_L, 2, FALSE))/(VLOOKUP(Main_L[[#This Row],[Industry]], Mean_AE_L, 3, FALSE))</f>
        <v>-0.17611074235547858</v>
      </c>
      <c r="T51" s="1">
        <f>(Main_L[[#This Row],[P/E]]-VLOOKUP(Main_L[[#This Row],[Industry]], Mean_PE_L, 2, FALSE))/(VLOOKUP(Main_L[[#This Row],[Industry]], Mean_PE_L, 3, FALSE))</f>
        <v>34.709831453616999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2" spans="1:26" x14ac:dyDescent="0.25">
      <c r="A52" t="s">
        <v>111</v>
      </c>
      <c r="B52" t="s">
        <v>153</v>
      </c>
      <c r="C52" s="2">
        <v>19783</v>
      </c>
      <c r="D52">
        <f>RTD("tos.rtd", , "LAST", Main_L[[#This Row],[Symbol]])</f>
        <v>48.88</v>
      </c>
      <c r="E52">
        <v>2.96</v>
      </c>
      <c r="F52">
        <v>-0.6</v>
      </c>
      <c r="G52">
        <v>0.69</v>
      </c>
      <c r="H52" s="1">
        <f>IF(ISNUMBER(Main_L[[#This Row],[Free CF]]),IF(Main_L[[#This Row],[Free CF]]&lt;&gt;0,Main_L[[#This Row],[Current Price]]/Main_L[[#This Row],[Free CF]],""),"")</f>
        <v>16.513513513513516</v>
      </c>
      <c r="I52" s="1">
        <f>IF(ISNUMBER(Main_L[[#This Row],[BVPS]]),IF(Main_L[[#This Row],[BVPS]]&lt;&gt;0,Main_L[[#This Row],[Current Price]]/Main_L[[#This Row],[BVPS]],""),"")</f>
        <v>-81.466666666666669</v>
      </c>
      <c r="J52">
        <v>-17.62</v>
      </c>
      <c r="K52">
        <v>7.29</v>
      </c>
      <c r="L52">
        <v>-40.020000000000003</v>
      </c>
      <c r="M52" s="1">
        <f>IF(ISNUMBER(Main_L[[#This Row],[EPS]]),IF(Main_L[[#This Row],[EPS]]&lt;&gt;0,Main_L[[#This Row],[Current Price]]/Main_L[[#This Row],[EPS]],""),"")</f>
        <v>70.840579710144937</v>
      </c>
      <c r="N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2" s="1">
        <f>(Main_L[[#This Row],[P/FCF]]-VLOOKUP(Main_L[[#This Row],[Industry]], Mean_PFCF_L, 2, FALSE))/(VLOOKUP(Main_L[[#This Row],[Industry]], Mean_PFCF_L, 3, FALSE))</f>
        <v>-1.0200290247461972</v>
      </c>
      <c r="P52" s="1">
        <f>(Main_L[[#This Row],[P/B]]-VLOOKUP(Main_L[[#This Row],[Industry]], Mean_PB_L, 2, FALSE))/(VLOOKUP(Main_L[[#This Row],[Industry]], Mean_PB_L, 3, FALSE))</f>
        <v>-8.450732577129596</v>
      </c>
      <c r="Q52" s="1">
        <f>(Main_L[[#This Row],[ROE]]-VLOOKUP(Main_L[[#This Row],[Industry]], Mean_ROE_L, 2, FALSE))/(VLOOKUP(Main_L[[#This Row],[Industry]], Mean_ROE_L, 3, FALSE))</f>
        <v>-1.0931064841925129</v>
      </c>
      <c r="R52" s="1">
        <f>(Main_L[[#This Row],[ROA]]-VLOOKUP(Main_L[[#This Row],[Industry]], Mean_ROA_L, 2, FALSE))/(VLOOKUP(Main_L[[#This Row],[Industry]], Mean_ROA_L, 3, FALSE))</f>
        <v>-1.9316073192770383E-2</v>
      </c>
      <c r="S52" s="1">
        <f>(Main_L[[#This Row],[A/E]]-VLOOKUP(Main_L[[#This Row],[Industry]], Mean_AE_L, 2, FALSE))/(VLOOKUP(Main_L[[#This Row],[Industry]], Mean_AE_L, 3, FALSE))</f>
        <v>-10.485693882250887</v>
      </c>
      <c r="T52" s="1">
        <f>(Main_L[[#This Row],[P/E]]-VLOOKUP(Main_L[[#This Row],[Industry]], Mean_PE_L, 2, FALSE))/(VLOOKUP(Main_L[[#This Row],[Industry]], Mean_PE_L, 3, FALSE))</f>
        <v>6.1332013334507565</v>
      </c>
      <c r="U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3" spans="1:26" x14ac:dyDescent="0.25">
      <c r="A53" t="s">
        <v>111</v>
      </c>
      <c r="B53" t="s">
        <v>140</v>
      </c>
      <c r="C53" s="2">
        <v>17807</v>
      </c>
      <c r="D53">
        <f>RTD("tos.rtd", , "LAST", Main_L[[#This Row],[Symbol]])</f>
        <v>36.200000000000003</v>
      </c>
      <c r="E53">
        <v>0.51</v>
      </c>
      <c r="F53">
        <v>1.76</v>
      </c>
      <c r="G53">
        <v>-0.82</v>
      </c>
      <c r="H53" s="1">
        <f>IF(ISNUMBER(Main_L[[#This Row],[Free CF]]),IF(Main_L[[#This Row],[Free CF]]&lt;&gt;0,Main_L[[#This Row],[Current Price]]/Main_L[[#This Row],[Free CF]],""),"")</f>
        <v>70.980392156862749</v>
      </c>
      <c r="I53" s="1">
        <f>IF(ISNUMBER(Main_L[[#This Row],[BVPS]]),IF(Main_L[[#This Row],[BVPS]]&lt;&gt;0,Main_L[[#This Row],[Current Price]]/Main_L[[#This Row],[BVPS]],""),"")</f>
        <v>20.56818181818182</v>
      </c>
      <c r="J53">
        <v>-46.78</v>
      </c>
      <c r="K53">
        <v>-7.58</v>
      </c>
      <c r="L53">
        <v>5.17</v>
      </c>
      <c r="M53" s="1">
        <f>IF(ISNUMBER(Main_L[[#This Row],[EPS]]),IF(Main_L[[#This Row],[EPS]]&lt;&gt;0,Main_L[[#This Row],[Current Price]]/Main_L[[#This Row],[EPS]],""),"")</f>
        <v>-44.146341463414643</v>
      </c>
      <c r="N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3" s="1">
        <f>(Main_L[[#This Row],[P/FCF]]-VLOOKUP(Main_L[[#This Row],[Industry]], Mean_PFCF_L, 2, FALSE))/(VLOOKUP(Main_L[[#This Row],[Industry]], Mean_PFCF_L, 3, FALSE))</f>
        <v>3.6546628239262113</v>
      </c>
      <c r="P53" s="1">
        <f>(Main_L[[#This Row],[P/B]]-VLOOKUP(Main_L[[#This Row],[Industry]], Mean_PB_L, 2, FALSE))/(VLOOKUP(Main_L[[#This Row],[Industry]], Mean_PB_L, 3, FALSE))</f>
        <v>1.5448837627212566</v>
      </c>
      <c r="Q53" s="1">
        <f>(Main_L[[#This Row],[ROE]]-VLOOKUP(Main_L[[#This Row],[Industry]], Mean_ROE_L, 2, FALSE))/(VLOOKUP(Main_L[[#This Row],[Industry]], Mean_ROE_L, 3, FALSE))</f>
        <v>-2.1187281974005465</v>
      </c>
      <c r="R53" s="1">
        <f>(Main_L[[#This Row],[ROA]]-VLOOKUP(Main_L[[#This Row],[Industry]], Mean_ROA_L, 2, FALSE))/(VLOOKUP(Main_L[[#This Row],[Industry]], Mean_ROA_L, 3, FALSE))</f>
        <v>-3.609691177898922</v>
      </c>
      <c r="S53" s="1">
        <f>(Main_L[[#This Row],[A/E]]-VLOOKUP(Main_L[[#This Row],[Industry]], Mean_AE_L, 2, FALSE))/(VLOOKUP(Main_L[[#This Row],[Industry]], Mean_AE_L, 3, FALSE))</f>
        <v>0.70282826212647864</v>
      </c>
      <c r="T53" s="1">
        <f>(Main_L[[#This Row],[P/E]]-VLOOKUP(Main_L[[#This Row],[Industry]], Mean_PE_L, 2, FALSE))/(VLOOKUP(Main_L[[#This Row],[Industry]], Mean_PE_L, 3, FALSE))</f>
        <v>-9.3947847494832484</v>
      </c>
      <c r="U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4" spans="1:26" x14ac:dyDescent="0.25">
      <c r="A54" t="s">
        <v>108</v>
      </c>
      <c r="B54" t="s">
        <v>460</v>
      </c>
      <c r="C54" s="2">
        <v>84458</v>
      </c>
      <c r="D54">
        <f>RTD("tos.rtd", , "LAST", Main_L[[#This Row],[Symbol]])</f>
        <v>11</v>
      </c>
      <c r="H54" s="1" t="str">
        <f>IF(ISNUMBER(Main_L[[#This Row],[Free CF]]),IF(Main_L[[#This Row],[Free CF]]&lt;&gt;0,Main_L[[#This Row],[Current Price]]/Main_L[[#This Row],[Free CF]],""),"")</f>
        <v/>
      </c>
      <c r="I54" s="1" t="str">
        <f>IF(ISNUMBER(Main_L[[#This Row],[BVPS]]),IF(Main_L[[#This Row],[BVPS]]&lt;&gt;0,Main_L[[#This Row],[Current Price]]/Main_L[[#This Row],[BVPS]],""),"")</f>
        <v/>
      </c>
      <c r="J54">
        <v>19.96</v>
      </c>
      <c r="K54">
        <v>4.3899999999999997</v>
      </c>
      <c r="L54">
        <v>2.76</v>
      </c>
      <c r="M54" s="1" t="str">
        <f>IF(ISNUMBER(Main_L[[#This Row],[EPS]]),IF(Main_L[[#This Row],[EPS]]&lt;&gt;0,Main_L[[#This Row],[Current Price]]/Main_L[[#This Row],[EPS]],""),"")</f>
        <v/>
      </c>
      <c r="N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4" s="1" t="e">
        <f>(Main_L[[#This Row],[P/FCF]]-VLOOKUP(Main_L[[#This Row],[Industry]], Mean_PFCF_L, 2, FALSE))/(VLOOKUP(Main_L[[#This Row],[Industry]], Mean_PFCF_L, 3, FALSE))</f>
        <v>#VALUE!</v>
      </c>
      <c r="P54" s="1" t="e">
        <f>(Main_L[[#This Row],[P/B]]-VLOOKUP(Main_L[[#This Row],[Industry]], Mean_PB_L, 2, FALSE))/(VLOOKUP(Main_L[[#This Row],[Industry]], Mean_PB_L, 3, FALSE))</f>
        <v>#VALUE!</v>
      </c>
      <c r="Q54" s="1">
        <f>(Main_L[[#This Row],[ROE]]-VLOOKUP(Main_L[[#This Row],[Industry]], Mean_ROE_L, 2, FALSE))/(VLOOKUP(Main_L[[#This Row],[Industry]], Mean_ROE_L, 3, FALSE))</f>
        <v>1.4435373531507498</v>
      </c>
      <c r="R54" s="1">
        <f>(Main_L[[#This Row],[ROA]]-VLOOKUP(Main_L[[#This Row],[Industry]], Mean_ROA_L, 2, FALSE))/(VLOOKUP(Main_L[[#This Row],[Industry]], Mean_ROA_L, 3, FALSE))</f>
        <v>-0.73806614933739967</v>
      </c>
      <c r="S54" s="1">
        <f>(Main_L[[#This Row],[A/E]]-VLOOKUP(Main_L[[#This Row],[Industry]], Mean_AE_L, 2, FALSE))/(VLOOKUP(Main_L[[#This Row],[Industry]], Mean_AE_L, 3, FALSE))</f>
        <v>0.8633369230612753</v>
      </c>
      <c r="T54" s="1" t="e">
        <f>(Main_L[[#This Row],[P/E]]-VLOOKUP(Main_L[[#This Row],[Industry]], Mean_PE_L, 2, FALSE))/(VLOOKUP(Main_L[[#This Row],[Industry]], Mean_PE_L, 3, FALSE))</f>
        <v>#VALUE!</v>
      </c>
      <c r="U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5" spans="1:26" x14ac:dyDescent="0.25">
      <c r="A55" t="s">
        <v>108</v>
      </c>
      <c r="B55" t="s">
        <v>130</v>
      </c>
      <c r="C55" s="2">
        <v>20806</v>
      </c>
      <c r="D55">
        <f>RTD("tos.rtd", , "LAST", Main_L[[#This Row],[Symbol]])</f>
        <v>7138.62</v>
      </c>
      <c r="E55">
        <v>460.43</v>
      </c>
      <c r="F55">
        <v>1343.02</v>
      </c>
      <c r="G55">
        <v>486.51</v>
      </c>
      <c r="H55" s="1">
        <f>IF(ISNUMBER(Main_L[[#This Row],[Free CF]]),IF(Main_L[[#This Row],[Free CF]]&lt;&gt;0,Main_L[[#This Row],[Current Price]]/Main_L[[#This Row],[Free CF]],""),"")</f>
        <v>15.504246030884174</v>
      </c>
      <c r="I55" s="1">
        <f>IF(ISNUMBER(Main_L[[#This Row],[BVPS]]),IF(Main_L[[#This Row],[BVPS]]&lt;&gt;0,Main_L[[#This Row],[Current Price]]/Main_L[[#This Row],[BVPS]],""),"")</f>
        <v>5.3153489895906239</v>
      </c>
      <c r="J55">
        <v>38.25</v>
      </c>
      <c r="K55">
        <v>20.36</v>
      </c>
      <c r="L55">
        <v>1.57</v>
      </c>
      <c r="M55" s="1">
        <f>IF(ISNUMBER(Main_L[[#This Row],[EPS]]),IF(Main_L[[#This Row],[EPS]]&lt;&gt;0,Main_L[[#This Row],[Current Price]]/Main_L[[#This Row],[EPS]],""),"")</f>
        <v>14.673120799161374</v>
      </c>
      <c r="N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5" s="1">
        <f>(Main_L[[#This Row],[P/FCF]]-VLOOKUP(Main_L[[#This Row],[Industry]], Mean_PFCF_L, 2, FALSE))/(VLOOKUP(Main_L[[#This Row],[Industry]], Mean_PFCF_L, 3, FALSE))</f>
        <v>-0.5452839861573463</v>
      </c>
      <c r="P55" s="1">
        <f>(Main_L[[#This Row],[P/B]]-VLOOKUP(Main_L[[#This Row],[Industry]], Mean_PB_L, 2, FALSE))/(VLOOKUP(Main_L[[#This Row],[Industry]], Mean_PB_L, 3, FALSE))</f>
        <v>1.0572924221948408</v>
      </c>
      <c r="Q55" s="1">
        <f>(Main_L[[#This Row],[ROE]]-VLOOKUP(Main_L[[#This Row],[Industry]], Mean_ROE_L, 2, FALSE))/(VLOOKUP(Main_L[[#This Row],[Industry]], Mean_ROE_L, 3, FALSE))</f>
        <v>11.792306854033541</v>
      </c>
      <c r="R55" s="1">
        <f>(Main_L[[#This Row],[ROA]]-VLOOKUP(Main_L[[#This Row],[Industry]], Mean_ROA_L, 2, FALSE))/(VLOOKUP(Main_L[[#This Row],[Industry]], Mean_ROA_L, 3, FALSE))</f>
        <v>3.6798185601522073</v>
      </c>
      <c r="S55" s="1">
        <f>(Main_L[[#This Row],[A/E]]-VLOOKUP(Main_L[[#This Row],[Industry]], Mean_AE_L, 2, FALSE))/(VLOOKUP(Main_L[[#This Row],[Industry]], Mean_AE_L, 3, FALSE))</f>
        <v>-0.55372644030826668</v>
      </c>
      <c r="T55" s="1">
        <f>(Main_L[[#This Row],[P/E]]-VLOOKUP(Main_L[[#This Row],[Industry]], Mean_PE_L, 2, FALSE))/(VLOOKUP(Main_L[[#This Row],[Industry]], Mean_PE_L, 3, FALSE))</f>
        <v>-0.33328074019413867</v>
      </c>
      <c r="U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6" spans="1:26" x14ac:dyDescent="0.25">
      <c r="A56" t="s">
        <v>108</v>
      </c>
      <c r="B56" t="s">
        <v>131</v>
      </c>
      <c r="C56" s="2">
        <v>19648</v>
      </c>
      <c r="D56">
        <f>RTD("tos.rtd", , "LAST", Main_L[[#This Row],[Symbol]])</f>
        <v>101.47</v>
      </c>
      <c r="E56">
        <v>7.06</v>
      </c>
      <c r="F56">
        <v>61.33</v>
      </c>
      <c r="G56">
        <v>14.2</v>
      </c>
      <c r="H56" s="1">
        <f>IF(ISNUMBER(Main_L[[#This Row],[Free CF]]),IF(Main_L[[#This Row],[Free CF]]&lt;&gt;0,Main_L[[#This Row],[Current Price]]/Main_L[[#This Row],[Free CF]],""),"")</f>
        <v>14.372521246458923</v>
      </c>
      <c r="I56" s="1">
        <f>IF(ISNUMBER(Main_L[[#This Row],[BVPS]]),IF(Main_L[[#This Row],[BVPS]]&lt;&gt;0,Main_L[[#This Row],[Current Price]]/Main_L[[#This Row],[BVPS]],""),"")</f>
        <v>1.6544920919615196</v>
      </c>
      <c r="J56">
        <v>25.52</v>
      </c>
      <c r="K56">
        <v>13.89</v>
      </c>
      <c r="L56">
        <v>1.41</v>
      </c>
      <c r="M56" s="1">
        <f>IF(ISNUMBER(Main_L[[#This Row],[EPS]]),IF(Main_L[[#This Row],[EPS]]&lt;&gt;0,Main_L[[#This Row],[Current Price]]/Main_L[[#This Row],[EPS]],""),"")</f>
        <v>7.1457746478873245</v>
      </c>
      <c r="N5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6" s="1">
        <f>(Main_L[[#This Row],[P/FCF]]-VLOOKUP(Main_L[[#This Row],[Industry]], Mean_PFCF_L, 2, FALSE))/(VLOOKUP(Main_L[[#This Row],[Industry]], Mean_PFCF_L, 3, FALSE))</f>
        <v>-0.65014259931232254</v>
      </c>
      <c r="P56" s="1">
        <f>(Main_L[[#This Row],[P/B]]-VLOOKUP(Main_L[[#This Row],[Industry]], Mean_PB_L, 2, FALSE))/(VLOOKUP(Main_L[[#This Row],[Industry]], Mean_PB_L, 3, FALSE))</f>
        <v>-0.73858883120481011</v>
      </c>
      <c r="Q56" s="1">
        <f>(Main_L[[#This Row],[ROE]]-VLOOKUP(Main_L[[#This Row],[Industry]], Mean_ROE_L, 2, FALSE))/(VLOOKUP(Main_L[[#This Row],[Industry]], Mean_ROE_L, 3, FALSE))</f>
        <v>4.5894727509040738</v>
      </c>
      <c r="R56" s="1">
        <f>(Main_L[[#This Row],[ROA]]-VLOOKUP(Main_L[[#This Row],[Industry]], Mean_ROA_L, 2, FALSE))/(VLOOKUP(Main_L[[#This Row],[Industry]], Mean_ROA_L, 3, FALSE))</f>
        <v>1.8899804843602379</v>
      </c>
      <c r="S56" s="1">
        <f>(Main_L[[#This Row],[A/E]]-VLOOKUP(Main_L[[#This Row],[Industry]], Mean_AE_L, 2, FALSE))/(VLOOKUP(Main_L[[#This Row],[Industry]], Mean_AE_L, 3, FALSE))</f>
        <v>-0.74425596815627248</v>
      </c>
      <c r="T56" s="1">
        <f>(Main_L[[#This Row],[P/E]]-VLOOKUP(Main_L[[#This Row],[Industry]], Mean_PE_L, 2, FALSE))/(VLOOKUP(Main_L[[#This Row],[Industry]], Mean_PE_L, 3, FALSE))</f>
        <v>-0.90398700634179363</v>
      </c>
      <c r="U5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5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7" spans="1:26" x14ac:dyDescent="0.25">
      <c r="A57" t="s">
        <v>108</v>
      </c>
      <c r="B57" t="s">
        <v>129</v>
      </c>
      <c r="C57" s="2">
        <v>27983</v>
      </c>
      <c r="D57">
        <f>RTD("tos.rtd", , "LAST", Main_L[[#This Row],[Symbol]])</f>
        <v>110.37</v>
      </c>
      <c r="E57">
        <v>5.93</v>
      </c>
      <c r="F57">
        <v>86.16</v>
      </c>
      <c r="G57">
        <v>13.77</v>
      </c>
      <c r="H57" s="1">
        <f>IF(ISNUMBER(Main_L[[#This Row],[Free CF]]),IF(Main_L[[#This Row],[Free CF]]&lt;&gt;0,Main_L[[#This Row],[Current Price]]/Main_L[[#This Row],[Free CF]],""),"")</f>
        <v>18.612141652613829</v>
      </c>
      <c r="I57" s="1">
        <f>IF(ISNUMBER(Main_L[[#This Row],[BVPS]]),IF(Main_L[[#This Row],[BVPS]]&lt;&gt;0,Main_L[[#This Row],[Current Price]]/Main_L[[#This Row],[BVPS]],""),"")</f>
        <v>1.2809888579387188</v>
      </c>
      <c r="J57">
        <v>15.21</v>
      </c>
      <c r="K57">
        <v>8.2200000000000006</v>
      </c>
      <c r="L57">
        <v>1.54</v>
      </c>
      <c r="M57" s="1">
        <f>IF(ISNUMBER(Main_L[[#This Row],[EPS]]),IF(Main_L[[#This Row],[EPS]]&lt;&gt;0,Main_L[[#This Row],[Current Price]]/Main_L[[#This Row],[EPS]],""),"")</f>
        <v>8.0152505446623099</v>
      </c>
      <c r="N5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7" s="1">
        <f>(Main_L[[#This Row],[P/FCF]]-VLOOKUP(Main_L[[#This Row],[Industry]], Mean_PFCF_L, 2, FALSE))/(VLOOKUP(Main_L[[#This Row],[Industry]], Mean_PFCF_L, 3, FALSE))</f>
        <v>-0.2573256157037927</v>
      </c>
      <c r="P57" s="1">
        <f>(Main_L[[#This Row],[P/B]]-VLOOKUP(Main_L[[#This Row],[Industry]], Mean_PB_L, 2, FALSE))/(VLOOKUP(Main_L[[#This Row],[Industry]], Mean_PB_L, 3, FALSE))</f>
        <v>-0.92181572993994032</v>
      </c>
      <c r="Q57" s="1">
        <f>(Main_L[[#This Row],[ROE]]-VLOOKUP(Main_L[[#This Row],[Industry]], Mean_ROE_L, 2, FALSE))/(VLOOKUP(Main_L[[#This Row],[Industry]], Mean_ROE_L, 3, FALSE))</f>
        <v>-1.2440873121960656</v>
      </c>
      <c r="R57" s="1">
        <f>(Main_L[[#This Row],[ROA]]-VLOOKUP(Main_L[[#This Row],[Industry]], Mean_ROA_L, 2, FALSE))/(VLOOKUP(Main_L[[#This Row],[Industry]], Mean_ROA_L, 3, FALSE))</f>
        <v>0.32145159877438489</v>
      </c>
      <c r="S57" s="1">
        <f>(Main_L[[#This Row],[A/E]]-VLOOKUP(Main_L[[#This Row],[Industry]], Mean_AE_L, 2, FALSE))/(VLOOKUP(Main_L[[#This Row],[Industry]], Mean_AE_L, 3, FALSE))</f>
        <v>-0.58945072677976773</v>
      </c>
      <c r="T57" s="1">
        <f>(Main_L[[#This Row],[P/E]]-VLOOKUP(Main_L[[#This Row],[Industry]], Mean_PE_L, 2, FALSE))/(VLOOKUP(Main_L[[#This Row],[Industry]], Mean_PE_L, 3, FALSE))</f>
        <v>-0.8380653212509801</v>
      </c>
      <c r="U5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8" spans="1:26" x14ac:dyDescent="0.25">
      <c r="A58" t="s">
        <v>108</v>
      </c>
      <c r="B58" t="s">
        <v>132</v>
      </c>
      <c r="C58" s="2">
        <v>10235</v>
      </c>
      <c r="D58">
        <f>RTD("tos.rtd", , "LAST", Main_L[[#This Row],[Symbol]])</f>
        <v>109.54</v>
      </c>
      <c r="E58">
        <v>7.98</v>
      </c>
      <c r="F58">
        <v>80.84</v>
      </c>
      <c r="G58">
        <v>13.5</v>
      </c>
      <c r="H58" s="1">
        <f>IF(ISNUMBER(Main_L[[#This Row],[Free CF]]),IF(Main_L[[#This Row],[Free CF]]&lt;&gt;0,Main_L[[#This Row],[Current Price]]/Main_L[[#This Row],[Free CF]],""),"")</f>
        <v>13.726817042606516</v>
      </c>
      <c r="I58" s="1">
        <f>IF(ISNUMBER(Main_L[[#This Row],[BVPS]]),IF(Main_L[[#This Row],[BVPS]]&lt;&gt;0,Main_L[[#This Row],[Current Price]]/Main_L[[#This Row],[BVPS]],""),"")</f>
        <v>1.355022266204849</v>
      </c>
      <c r="J58">
        <v>18.059999999999999</v>
      </c>
      <c r="K58">
        <v>8.3699999999999992</v>
      </c>
      <c r="L58">
        <v>1.79</v>
      </c>
      <c r="M58" s="1">
        <f>IF(ISNUMBER(Main_L[[#This Row],[EPS]]),IF(Main_L[[#This Row],[EPS]]&lt;&gt;0,Main_L[[#This Row],[Current Price]]/Main_L[[#This Row],[EPS]],""),"")</f>
        <v>8.1140740740740753</v>
      </c>
      <c r="N5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8" s="1">
        <f>(Main_L[[#This Row],[P/FCF]]-VLOOKUP(Main_L[[#This Row],[Industry]], Mean_PFCF_L, 2, FALSE))/(VLOOKUP(Main_L[[#This Row],[Industry]], Mean_PFCF_L, 3, FALSE))</f>
        <v>-0.70996955393600081</v>
      </c>
      <c r="P58" s="1">
        <f>(Main_L[[#This Row],[P/B]]-VLOOKUP(Main_L[[#This Row],[Industry]], Mean_PB_L, 2, FALSE))/(VLOOKUP(Main_L[[#This Row],[Industry]], Mean_PB_L, 3, FALSE))</f>
        <v>-0.88549767278874925</v>
      </c>
      <c r="Q58" s="1">
        <f>(Main_L[[#This Row],[ROE]]-VLOOKUP(Main_L[[#This Row],[Industry]], Mean_ROE_L, 2, FALSE))/(VLOOKUP(Main_L[[#This Row],[Industry]], Mean_ROE_L, 3, FALSE))</f>
        <v>0.36848748701202244</v>
      </c>
      <c r="R58" s="1">
        <f>(Main_L[[#This Row],[ROA]]-VLOOKUP(Main_L[[#This Row],[Industry]], Mean_ROA_L, 2, FALSE))/(VLOOKUP(Main_L[[#This Row],[Industry]], Mean_ROA_L, 3, FALSE))</f>
        <v>0.36294707193803138</v>
      </c>
      <c r="S58" s="1">
        <f>(Main_L[[#This Row],[A/E]]-VLOOKUP(Main_L[[#This Row],[Industry]], Mean_AE_L, 2, FALSE))/(VLOOKUP(Main_L[[#This Row],[Industry]], Mean_AE_L, 3, FALSE))</f>
        <v>-0.29174833951725881</v>
      </c>
      <c r="T58" s="1">
        <f>(Main_L[[#This Row],[P/E]]-VLOOKUP(Main_L[[#This Row],[Industry]], Mean_PE_L, 2, FALSE))/(VLOOKUP(Main_L[[#This Row],[Industry]], Mean_PE_L, 3, FALSE))</f>
        <v>-0.83057274600006303</v>
      </c>
      <c r="U5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9" spans="1:26" x14ac:dyDescent="0.25">
      <c r="A59" t="s">
        <v>108</v>
      </c>
      <c r="B59" t="s">
        <v>128</v>
      </c>
      <c r="C59" s="2">
        <v>36266</v>
      </c>
      <c r="D59">
        <f>RTD("tos.rtd", , "LAST", Main_L[[#This Row],[Symbol]])</f>
        <v>122.65</v>
      </c>
      <c r="E59">
        <v>8.48</v>
      </c>
      <c r="F59">
        <v>78.819999999999993</v>
      </c>
      <c r="G59">
        <v>13.25</v>
      </c>
      <c r="H59" s="1">
        <f>IF(ISNUMBER(Main_L[[#This Row],[Free CF]]),IF(Main_L[[#This Row],[Free CF]]&lt;&gt;0,Main_L[[#This Row],[Current Price]]/Main_L[[#This Row],[Free CF]],""),"")</f>
        <v>14.463443396226415</v>
      </c>
      <c r="I59" s="1">
        <f>IF(ISNUMBER(Main_L[[#This Row],[BVPS]]),IF(Main_L[[#This Row],[BVPS]]&lt;&gt;0,Main_L[[#This Row],[Current Price]]/Main_L[[#This Row],[BVPS]],""),"")</f>
        <v>1.5560771377822891</v>
      </c>
      <c r="J59">
        <v>17.649999999999999</v>
      </c>
      <c r="K59">
        <v>9.89</v>
      </c>
      <c r="L59">
        <v>1.47</v>
      </c>
      <c r="M59" s="1">
        <f>IF(ISNUMBER(Main_L[[#This Row],[EPS]]),IF(Main_L[[#This Row],[EPS]]&lt;&gt;0,Main_L[[#This Row],[Current Price]]/Main_L[[#This Row],[EPS]],""),"")</f>
        <v>9.2566037735849065</v>
      </c>
      <c r="N5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9" s="1">
        <f>(Main_L[[#This Row],[P/FCF]]-VLOOKUP(Main_L[[#This Row],[Industry]], Mean_PFCF_L, 2, FALSE))/(VLOOKUP(Main_L[[#This Row],[Industry]], Mean_PFCF_L, 3, FALSE))</f>
        <v>-0.64171831572244775</v>
      </c>
      <c r="P59" s="1">
        <f>(Main_L[[#This Row],[P/B]]-VLOOKUP(Main_L[[#This Row],[Industry]], Mean_PB_L, 2, FALSE))/(VLOOKUP(Main_L[[#This Row],[Industry]], Mean_PB_L, 3, FALSE))</f>
        <v>-0.78686757473590241</v>
      </c>
      <c r="Q59" s="1">
        <f>(Main_L[[#This Row],[ROE]]-VLOOKUP(Main_L[[#This Row],[Industry]], Mean_ROE_L, 2, FALSE))/(VLOOKUP(Main_L[[#This Row],[Industry]], Mean_ROE_L, 3, FALSE))</f>
        <v>0.13650304221366569</v>
      </c>
      <c r="R59" s="1">
        <f>(Main_L[[#This Row],[ROA]]-VLOOKUP(Main_L[[#This Row],[Industry]], Mean_ROA_L, 2, FALSE))/(VLOOKUP(Main_L[[#This Row],[Industry]], Mean_ROA_L, 3, FALSE))</f>
        <v>0.78343453332965374</v>
      </c>
      <c r="S59" s="1">
        <f>(Main_L[[#This Row],[A/E]]-VLOOKUP(Main_L[[#This Row],[Industry]], Mean_AE_L, 2, FALSE))/(VLOOKUP(Main_L[[#This Row],[Industry]], Mean_AE_L, 3, FALSE))</f>
        <v>-0.67280739521327027</v>
      </c>
      <c r="T59" s="1">
        <f>(Main_L[[#This Row],[P/E]]-VLOOKUP(Main_L[[#This Row],[Industry]], Mean_PE_L, 2, FALSE))/(VLOOKUP(Main_L[[#This Row],[Industry]], Mean_PE_L, 3, FALSE))</f>
        <v>-0.74394874257752008</v>
      </c>
      <c r="U5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0" spans="1:26" x14ac:dyDescent="0.25">
      <c r="A60" t="s">
        <v>108</v>
      </c>
      <c r="B60" t="s">
        <v>125</v>
      </c>
      <c r="C60" s="2">
        <v>39080</v>
      </c>
      <c r="D60">
        <f>RTD("tos.rtd", , "LAST", Main_L[[#This Row],[Symbol]])</f>
        <v>208.29</v>
      </c>
      <c r="E60">
        <v>6.33</v>
      </c>
      <c r="F60">
        <v>42.44</v>
      </c>
      <c r="G60">
        <v>7.59</v>
      </c>
      <c r="H60" s="1">
        <f>IF(ISNUMBER(Main_L[[#This Row],[Free CF]]),IF(Main_L[[#This Row],[Free CF]]&lt;&gt;0,Main_L[[#This Row],[Current Price]]/Main_L[[#This Row],[Free CF]],""),"")</f>
        <v>32.905213270142177</v>
      </c>
      <c r="I60" s="1">
        <f>IF(ISNUMBER(Main_L[[#This Row],[BVPS]]),IF(Main_L[[#This Row],[BVPS]]&lt;&gt;0,Main_L[[#This Row],[Current Price]]/Main_L[[#This Row],[BVPS]],""),"")</f>
        <v>4.9078699340245056</v>
      </c>
      <c r="J60">
        <v>19.04</v>
      </c>
      <c r="K60">
        <v>11.05</v>
      </c>
      <c r="L60">
        <v>1.2</v>
      </c>
      <c r="M60" s="1">
        <f>IF(ISNUMBER(Main_L[[#This Row],[EPS]]),IF(Main_L[[#This Row],[EPS]]&lt;&gt;0,Main_L[[#This Row],[Current Price]]/Main_L[[#This Row],[EPS]],""),"")</f>
        <v>27.442687747035574</v>
      </c>
      <c r="N6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0" s="1">
        <f>(Main_L[[#This Row],[P/FCF]]-VLOOKUP(Main_L[[#This Row],[Industry]], Mean_PFCF_L, 2, FALSE))/(VLOOKUP(Main_L[[#This Row],[Industry]], Mean_PFCF_L, 3, FALSE))</f>
        <v>1.0669819263457709</v>
      </c>
      <c r="P60" s="1">
        <f>(Main_L[[#This Row],[P/B]]-VLOOKUP(Main_L[[#This Row],[Industry]], Mean_PB_L, 2, FALSE))/(VLOOKUP(Main_L[[#This Row],[Industry]], Mean_PB_L, 3, FALSE))</f>
        <v>0.85739823962842732</v>
      </c>
      <c r="Q60" s="1">
        <f>(Main_L[[#This Row],[ROE]]-VLOOKUP(Main_L[[#This Row],[Industry]], Mean_ROE_L, 2, FALSE))/(VLOOKUP(Main_L[[#This Row],[Industry]], Mean_ROE_L, 3, FALSE))</f>
        <v>0.92298689165199732</v>
      </c>
      <c r="R60" s="1">
        <f>(Main_L[[#This Row],[ROA]]-VLOOKUP(Main_L[[#This Row],[Industry]], Mean_ROA_L, 2, FALSE))/(VLOOKUP(Main_L[[#This Row],[Industry]], Mean_ROA_L, 3, FALSE))</f>
        <v>1.1043328591285231</v>
      </c>
      <c r="S60" s="1">
        <f>(Main_L[[#This Row],[A/E]]-VLOOKUP(Main_L[[#This Row],[Industry]], Mean_AE_L, 2, FALSE))/(VLOOKUP(Main_L[[#This Row],[Industry]], Mean_AE_L, 3, FALSE))</f>
        <v>-0.99432597345677987</v>
      </c>
      <c r="T60" s="1">
        <f>(Main_L[[#This Row],[P/E]]-VLOOKUP(Main_L[[#This Row],[Industry]], Mean_PE_L, 2, FALSE))/(VLOOKUP(Main_L[[#This Row],[Industry]], Mean_PE_L, 3, FALSE))</f>
        <v>0.63487878464853231</v>
      </c>
      <c r="U6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1" spans="1:26" x14ac:dyDescent="0.25">
      <c r="A61" t="s">
        <v>108</v>
      </c>
      <c r="B61" t="s">
        <v>127</v>
      </c>
      <c r="C61" s="2">
        <v>13571</v>
      </c>
      <c r="D61">
        <f>RTD("tos.rtd", , "LAST", Main_L[[#This Row],[Symbol]])</f>
        <v>65.84</v>
      </c>
      <c r="E61">
        <v>3.09</v>
      </c>
      <c r="F61">
        <v>13.14</v>
      </c>
      <c r="G61">
        <v>1.5</v>
      </c>
      <c r="H61" s="1">
        <f>IF(ISNUMBER(Main_L[[#This Row],[Free CF]]),IF(Main_L[[#This Row],[Free CF]]&lt;&gt;0,Main_L[[#This Row],[Current Price]]/Main_L[[#This Row],[Free CF]],""),"")</f>
        <v>21.307443365695796</v>
      </c>
      <c r="I61" s="1">
        <f>IF(ISNUMBER(Main_L[[#This Row],[BVPS]]),IF(Main_L[[#This Row],[BVPS]]&lt;&gt;0,Main_L[[#This Row],[Current Price]]/Main_L[[#This Row],[BVPS]],""),"")</f>
        <v>5.0106544901065453</v>
      </c>
      <c r="J61">
        <v>17.899999999999999</v>
      </c>
      <c r="K61">
        <v>4.67</v>
      </c>
      <c r="L61">
        <v>4.13</v>
      </c>
      <c r="M61" s="1">
        <f>IF(ISNUMBER(Main_L[[#This Row],[EPS]]),IF(Main_L[[#This Row],[EPS]]&lt;&gt;0,Main_L[[#This Row],[Current Price]]/Main_L[[#This Row],[EPS]],""),"")</f>
        <v>43.893333333333338</v>
      </c>
      <c r="N6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1" s="1">
        <f>(Main_L[[#This Row],[P/FCF]]-VLOOKUP(Main_L[[#This Row],[Industry]], Mean_PFCF_L, 2, FALSE))/(VLOOKUP(Main_L[[#This Row],[Industry]], Mean_PFCF_L, 3, FALSE))</f>
        <v>-7.595642871626603E-3</v>
      </c>
      <c r="P61" s="1">
        <f>(Main_L[[#This Row],[P/B]]-VLOOKUP(Main_L[[#This Row],[Industry]], Mean_PB_L, 2, FALSE))/(VLOOKUP(Main_L[[#This Row],[Industry]], Mean_PB_L, 3, FALSE))</f>
        <v>0.90782054854913008</v>
      </c>
      <c r="Q61" s="1">
        <f>(Main_L[[#This Row],[ROE]]-VLOOKUP(Main_L[[#This Row],[Industry]], Mean_ROE_L, 2, FALSE))/(VLOOKUP(Main_L[[#This Row],[Industry]], Mean_ROE_L, 3, FALSE))</f>
        <v>0.27795697196876124</v>
      </c>
      <c r="R61" s="1">
        <f>(Main_L[[#This Row],[ROA]]-VLOOKUP(Main_L[[#This Row],[Industry]], Mean_ROA_L, 2, FALSE))/(VLOOKUP(Main_L[[#This Row],[Industry]], Mean_ROA_L, 3, FALSE))</f>
        <v>-0.66060793276525864</v>
      </c>
      <c r="S61" s="1">
        <f>(Main_L[[#This Row],[A/E]]-VLOOKUP(Main_L[[#This Row],[Industry]], Mean_AE_L, 2, FALSE))/(VLOOKUP(Main_L[[#This Row],[Industry]], Mean_AE_L, 3, FALSE))</f>
        <v>2.4947460052598243</v>
      </c>
      <c r="T61" s="1">
        <f>(Main_L[[#This Row],[P/E]]-VLOOKUP(Main_L[[#This Row],[Industry]], Mean_PE_L, 2, FALSE))/(VLOOKUP(Main_L[[#This Row],[Industry]], Mean_PE_L, 3, FALSE))</f>
        <v>1.8821293201756302</v>
      </c>
      <c r="U6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2" spans="1:26" x14ac:dyDescent="0.25">
      <c r="A62" t="s">
        <v>108</v>
      </c>
      <c r="B62" t="s">
        <v>126</v>
      </c>
      <c r="C62" s="2">
        <v>158786</v>
      </c>
      <c r="D62">
        <f>RTD("tos.rtd", , "LAST", Main_L[[#This Row],[Symbol]])</f>
        <v>26.59</v>
      </c>
      <c r="E62">
        <v>1.85</v>
      </c>
      <c r="F62">
        <v>9.0500000000000007</v>
      </c>
      <c r="G62">
        <v>1.25</v>
      </c>
      <c r="H62" s="1">
        <f>IF(ISNUMBER(Main_L[[#This Row],[Free CF]]),IF(Main_L[[#This Row],[Free CF]]&lt;&gt;0,Main_L[[#This Row],[Current Price]]/Main_L[[#This Row],[Free CF]],""),"")</f>
        <v>14.372972972972972</v>
      </c>
      <c r="I62" s="1">
        <f>IF(ISNUMBER(Main_L[[#This Row],[BVPS]]),IF(Main_L[[#This Row],[BVPS]]&lt;&gt;0,Main_L[[#This Row],[Current Price]]/Main_L[[#This Row],[BVPS]],""),"")</f>
        <v>2.9381215469613258</v>
      </c>
      <c r="J62">
        <v>14.21</v>
      </c>
      <c r="K62">
        <v>2.5499999999999998</v>
      </c>
      <c r="L62">
        <v>4.3099999999999996</v>
      </c>
      <c r="M62" s="1">
        <f>IF(ISNUMBER(Main_L[[#This Row],[EPS]]),IF(Main_L[[#This Row],[EPS]]&lt;&gt;0,Main_L[[#This Row],[Current Price]]/Main_L[[#This Row],[EPS]],""),"")</f>
        <v>21.271999999999998</v>
      </c>
      <c r="N6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2" s="1">
        <f>(Main_L[[#This Row],[P/FCF]]-VLOOKUP(Main_L[[#This Row],[Industry]], Mean_PFCF_L, 2, FALSE))/(VLOOKUP(Main_L[[#This Row],[Industry]], Mean_PFCF_L, 3, FALSE))</f>
        <v>-0.65010074512971527</v>
      </c>
      <c r="P62" s="1">
        <f>(Main_L[[#This Row],[P/B]]-VLOOKUP(Main_L[[#This Row],[Industry]], Mean_PB_L, 2, FALSE))/(VLOOKUP(Main_L[[#This Row],[Industry]], Mean_PB_L, 3, FALSE))</f>
        <v>-0.10888760577894914</v>
      </c>
      <c r="Q62" s="1">
        <f>(Main_L[[#This Row],[ROE]]-VLOOKUP(Main_L[[#This Row],[Industry]], Mean_ROE_L, 2, FALSE))/(VLOOKUP(Main_L[[#This Row],[Industry]], Mean_ROE_L, 3, FALSE))</f>
        <v>-1.8099030312164479</v>
      </c>
      <c r="R62" s="1">
        <f>(Main_L[[#This Row],[ROA]]-VLOOKUP(Main_L[[#This Row],[Industry]], Mean_ROA_L, 2, FALSE))/(VLOOKUP(Main_L[[#This Row],[Industry]], Mean_ROA_L, 3, FALSE))</f>
        <v>-1.2470772868114683</v>
      </c>
      <c r="S62" s="1">
        <f>(Main_L[[#This Row],[A/E]]-VLOOKUP(Main_L[[#This Row],[Industry]], Mean_AE_L, 2, FALSE))/(VLOOKUP(Main_L[[#This Row],[Industry]], Mean_AE_L, 3, FALSE))</f>
        <v>2.7090917240888301</v>
      </c>
      <c r="T62" s="1">
        <f>(Main_L[[#This Row],[P/E]]-VLOOKUP(Main_L[[#This Row],[Industry]], Mean_PE_L, 2, FALSE))/(VLOOKUP(Main_L[[#This Row],[Industry]], Mean_PE_L, 3, FALSE))</f>
        <v>0.1670312733343757</v>
      </c>
      <c r="U6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6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3" spans="1:26" x14ac:dyDescent="0.25">
      <c r="A63" t="s">
        <v>108</v>
      </c>
      <c r="B63" t="s">
        <v>467</v>
      </c>
      <c r="C63" s="2">
        <v>26771</v>
      </c>
      <c r="D63">
        <f>RTD("tos.rtd", , "LAST", Main_L[[#This Row],[Symbol]])</f>
        <v>10.66</v>
      </c>
      <c r="E63">
        <v>7.0000000000000007E-2</v>
      </c>
      <c r="F63">
        <v>13.41</v>
      </c>
      <c r="G63">
        <v>1.05</v>
      </c>
      <c r="H63" s="1">
        <f>IF(ISNUMBER(Main_L[[#This Row],[Free CF]]),IF(Main_L[[#This Row],[Free CF]]&lt;&gt;0,Main_L[[#This Row],[Current Price]]/Main_L[[#This Row],[Free CF]],""),"")</f>
        <v>152.28571428571428</v>
      </c>
      <c r="I63" s="1">
        <f>IF(ISNUMBER(Main_L[[#This Row],[BVPS]]),IF(Main_L[[#This Row],[BVPS]]&lt;&gt;0,Main_L[[#This Row],[Current Price]]/Main_L[[#This Row],[BVPS]],""),"")</f>
        <v>0.7949291573452647</v>
      </c>
      <c r="J63">
        <v>8.01</v>
      </c>
      <c r="K63">
        <v>2.71</v>
      </c>
      <c r="L63">
        <v>1.99</v>
      </c>
      <c r="M63" s="1">
        <f>IF(ISNUMBER(Main_L[[#This Row],[EPS]]),IF(Main_L[[#This Row],[EPS]]&lt;&gt;0,Main_L[[#This Row],[Current Price]]/Main_L[[#This Row],[EPS]],""),"")</f>
        <v>10.152380952380952</v>
      </c>
      <c r="N6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3" s="1">
        <f>(Main_L[[#This Row],[P/FCF]]-VLOOKUP(Main_L[[#This Row],[Industry]], Mean_PFCF_L, 2, FALSE))/(VLOOKUP(Main_L[[#This Row],[Industry]], Mean_PFCF_L, 3, FALSE))</f>
        <v>12.128040185838129</v>
      </c>
      <c r="P63" s="1">
        <f>(Main_L[[#This Row],[P/B]]-VLOOKUP(Main_L[[#This Row],[Industry]], Mean_PB_L, 2, FALSE))/(VLOOKUP(Main_L[[#This Row],[Industry]], Mean_PB_L, 3, FALSE))</f>
        <v>-1.1602586761512919</v>
      </c>
      <c r="Q63" s="1">
        <f>(Main_L[[#This Row],[ROE]]-VLOOKUP(Main_L[[#This Row],[Industry]], Mean_ROE_L, 2, FALSE))/(VLOOKUP(Main_L[[#This Row],[Industry]], Mean_ROE_L, 3, FALSE))</f>
        <v>-5.317960489142818</v>
      </c>
      <c r="R63" s="1">
        <f>(Main_L[[#This Row],[ROA]]-VLOOKUP(Main_L[[#This Row],[Industry]], Mean_ROA_L, 2, FALSE))/(VLOOKUP(Main_L[[#This Row],[Industry]], Mean_ROA_L, 3, FALSE))</f>
        <v>-1.2028154487702449</v>
      </c>
      <c r="S63" s="1">
        <f>(Main_L[[#This Row],[A/E]]-VLOOKUP(Main_L[[#This Row],[Industry]], Mean_AE_L, 2, FALSE))/(VLOOKUP(Main_L[[#This Row],[Industry]], Mean_AE_L, 3, FALSE))</f>
        <v>-5.3586429707251783E-2</v>
      </c>
      <c r="T63" s="1">
        <f>(Main_L[[#This Row],[P/E]]-VLOOKUP(Main_L[[#This Row],[Industry]], Mean_PE_L, 2, FALSE))/(VLOOKUP(Main_L[[#This Row],[Industry]], Mean_PE_L, 3, FALSE))</f>
        <v>-0.67603295409947284</v>
      </c>
      <c r="U6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6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4" spans="1:26" x14ac:dyDescent="0.25">
      <c r="A64" t="s">
        <v>108</v>
      </c>
      <c r="B64" t="s">
        <v>469</v>
      </c>
      <c r="C64" s="2">
        <v>26311</v>
      </c>
      <c r="D64">
        <f>RTD("tos.rtd", , "LAST", Main_L[[#This Row],[Symbol]])</f>
        <v>11.81</v>
      </c>
      <c r="E64">
        <v>0.25</v>
      </c>
      <c r="F64">
        <v>1.74</v>
      </c>
      <c r="G64">
        <v>0.28999999999999998</v>
      </c>
      <c r="H64" s="1">
        <f>IF(ISNUMBER(Main_L[[#This Row],[Free CF]]),IF(Main_L[[#This Row],[Free CF]]&lt;&gt;0,Main_L[[#This Row],[Current Price]]/Main_L[[#This Row],[Free CF]],""),"")</f>
        <v>47.24</v>
      </c>
      <c r="I64" s="1">
        <f>IF(ISNUMBER(Main_L[[#This Row],[BVPS]]),IF(Main_L[[#This Row],[BVPS]]&lt;&gt;0,Main_L[[#This Row],[Current Price]]/Main_L[[#This Row],[BVPS]],""),"")</f>
        <v>6.7873563218390807</v>
      </c>
      <c r="J64">
        <v>17.239999999999998</v>
      </c>
      <c r="K64">
        <v>4.84</v>
      </c>
      <c r="L64">
        <v>2.4900000000000002</v>
      </c>
      <c r="M64" s="1">
        <f>IF(ISNUMBER(Main_L[[#This Row],[EPS]]),IF(Main_L[[#This Row],[EPS]]&lt;&gt;0,Main_L[[#This Row],[Current Price]]/Main_L[[#This Row],[EPS]],""),"")</f>
        <v>40.724137931034484</v>
      </c>
      <c r="N6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4" s="1">
        <f>(Main_L[[#This Row],[P/FCF]]-VLOOKUP(Main_L[[#This Row],[Industry]], Mean_PFCF_L, 2, FALSE))/(VLOOKUP(Main_L[[#This Row],[Industry]], Mean_PFCF_L, 3, FALSE))</f>
        <v>2.3951545324874801</v>
      </c>
      <c r="P64" s="1">
        <f>(Main_L[[#This Row],[P/B]]-VLOOKUP(Main_L[[#This Row],[Industry]], Mean_PB_L, 2, FALSE))/(VLOOKUP(Main_L[[#This Row],[Industry]], Mean_PB_L, 3, FALSE))</f>
        <v>1.7794048802272453</v>
      </c>
      <c r="Q64" s="1">
        <f>(Main_L[[#This Row],[ROE]]-VLOOKUP(Main_L[[#This Row],[Industry]], Mean_ROE_L, 2, FALSE))/(VLOOKUP(Main_L[[#This Row],[Industry]], Mean_ROE_L, 3, FALSE))</f>
        <v>-9.5481402584691108E-2</v>
      </c>
      <c r="R64" s="1">
        <f>(Main_L[[#This Row],[ROA]]-VLOOKUP(Main_L[[#This Row],[Industry]], Mean_ROA_L, 2, FALSE))/(VLOOKUP(Main_L[[#This Row],[Industry]], Mean_ROA_L, 3, FALSE))</f>
        <v>-0.61357972984645881</v>
      </c>
      <c r="S64" s="1">
        <f>(Main_L[[#This Row],[A/E]]-VLOOKUP(Main_L[[#This Row],[Industry]], Mean_AE_L, 2, FALSE))/(VLOOKUP(Main_L[[#This Row],[Industry]], Mean_AE_L, 3, FALSE))</f>
        <v>0.54181834481776625</v>
      </c>
      <c r="T64" s="1">
        <f>(Main_L[[#This Row],[P/E]]-VLOOKUP(Main_L[[#This Row],[Industry]], Mean_PE_L, 2, FALSE))/(VLOOKUP(Main_L[[#This Row],[Industry]], Mean_PE_L, 3, FALSE))</f>
        <v>1.6418481323054319</v>
      </c>
      <c r="U6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5" spans="1:26" x14ac:dyDescent="0.25">
      <c r="A65" t="s">
        <v>115</v>
      </c>
      <c r="B65" t="s">
        <v>190</v>
      </c>
      <c r="C65" s="2">
        <v>62431</v>
      </c>
      <c r="D65">
        <f>RTD("tos.rtd", , "LAST", Main_L[[#This Row],[Symbol]])</f>
        <v>3697.48</v>
      </c>
      <c r="E65">
        <v>118.61</v>
      </c>
      <c r="F65">
        <v>-266.18</v>
      </c>
      <c r="G65">
        <v>149.46</v>
      </c>
      <c r="H65" s="1">
        <f>IF(ISNUMBER(Main_L[[#This Row],[Free CF]]),IF(Main_L[[#This Row],[Free CF]]&lt;&gt;0,Main_L[[#This Row],[Current Price]]/Main_L[[#This Row],[Free CF]],""),"")</f>
        <v>31.173425512182785</v>
      </c>
      <c r="I65" s="1">
        <f>IF(ISNUMBER(Main_L[[#This Row],[BVPS]]),IF(Main_L[[#This Row],[BVPS]]&lt;&gt;0,Main_L[[#This Row],[Current Price]]/Main_L[[#This Row],[BVPS]],""),"")</f>
        <v>-13.890900894131791</v>
      </c>
      <c r="J65">
        <v>-56.09</v>
      </c>
      <c r="K65">
        <v>13.44</v>
      </c>
      <c r="L65">
        <v>-4.0599999999999996</v>
      </c>
      <c r="M65" s="1">
        <f>IF(ISNUMBER(Main_L[[#This Row],[EPS]]),IF(Main_L[[#This Row],[EPS]]&lt;&gt;0,Main_L[[#This Row],[Current Price]]/Main_L[[#This Row],[EPS]],""),"")</f>
        <v>24.738926803158034</v>
      </c>
      <c r="N6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5" s="1">
        <f>(Main_L[[#This Row],[P/FCF]]-VLOOKUP(Main_L[[#This Row],[Industry]], Mean_PFCF_L, 2, FALSE))/(VLOOKUP(Main_L[[#This Row],[Industry]], Mean_PFCF_L, 3, FALSE))</f>
        <v>0.10425906969682358</v>
      </c>
      <c r="P65" s="1">
        <f>(Main_L[[#This Row],[P/B]]-VLOOKUP(Main_L[[#This Row],[Industry]], Mean_PB_L, 2, FALSE))/(VLOOKUP(Main_L[[#This Row],[Industry]], Mean_PB_L, 3, FALSE))</f>
        <v>-1.8896872688931479</v>
      </c>
      <c r="Q65" s="1">
        <f>(Main_L[[#This Row],[ROE]]-VLOOKUP(Main_L[[#This Row],[Industry]], Mean_ROE_L, 2, FALSE))/(VLOOKUP(Main_L[[#This Row],[Industry]], Mean_ROE_L, 3, FALSE))</f>
        <v>-3.681387051724581</v>
      </c>
      <c r="R65" s="1">
        <f>(Main_L[[#This Row],[ROA]]-VLOOKUP(Main_L[[#This Row],[Industry]], Mean_ROA_L, 2, FALSE))/(VLOOKUP(Main_L[[#This Row],[Industry]], Mean_ROA_L, 3, FALSE))</f>
        <v>0.5312420669196174</v>
      </c>
      <c r="S65" s="1">
        <f>(Main_L[[#This Row],[A/E]]-VLOOKUP(Main_L[[#This Row],[Industry]], Mean_AE_L, 2, FALSE))/(VLOOKUP(Main_L[[#This Row],[Industry]], Mean_AE_L, 3, FALSE))</f>
        <v>-2.9457619585396002</v>
      </c>
      <c r="T65" s="1">
        <f>(Main_L[[#This Row],[P/E]]-VLOOKUP(Main_L[[#This Row],[Industry]], Mean_PE_L, 2, FALSE))/(VLOOKUP(Main_L[[#This Row],[Industry]], Mean_PE_L, 3, FALSE))</f>
        <v>0.18649352695055244</v>
      </c>
      <c r="U6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6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6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6" spans="1:26" x14ac:dyDescent="0.25">
      <c r="A66" t="s">
        <v>115</v>
      </c>
      <c r="B66" t="s">
        <v>194</v>
      </c>
      <c r="C66" s="2">
        <v>77933</v>
      </c>
      <c r="D66">
        <f>RTD("tos.rtd", , "LAST", Main_L[[#This Row],[Symbol]])</f>
        <v>1348.1</v>
      </c>
      <c r="E66">
        <v>35.22</v>
      </c>
      <c r="F66">
        <v>-23.77</v>
      </c>
      <c r="G66">
        <v>40.840000000000003</v>
      </c>
      <c r="H66" s="1">
        <f>IF(ISNUMBER(Main_L[[#This Row],[Free CF]]),IF(Main_L[[#This Row],[Free CF]]&lt;&gt;0,Main_L[[#This Row],[Current Price]]/Main_L[[#This Row],[Free CF]],""),"")</f>
        <v>38.276547416240774</v>
      </c>
      <c r="I66" s="1">
        <f>IF(ISNUMBER(Main_L[[#This Row],[BVPS]]),IF(Main_L[[#This Row],[BVPS]]&lt;&gt;0,Main_L[[#This Row],[Current Price]]/Main_L[[#This Row],[BVPS]],""),"")</f>
        <v>-56.71434581405132</v>
      </c>
      <c r="J66">
        <v>-173.02</v>
      </c>
      <c r="K66">
        <v>13.73</v>
      </c>
      <c r="L66">
        <v>-11.27</v>
      </c>
      <c r="M66" s="1">
        <f>IF(ISNUMBER(Main_L[[#This Row],[EPS]]),IF(Main_L[[#This Row],[EPS]]&lt;&gt;0,Main_L[[#This Row],[Current Price]]/Main_L[[#This Row],[EPS]],""),"")</f>
        <v>33.009304603330065</v>
      </c>
      <c r="N6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6" s="1">
        <f>(Main_L[[#This Row],[P/FCF]]-VLOOKUP(Main_L[[#This Row],[Industry]], Mean_PFCF_L, 2, FALSE))/(VLOOKUP(Main_L[[#This Row],[Industry]], Mean_PFCF_L, 3, FALSE))</f>
        <v>0.51155334780869732</v>
      </c>
      <c r="P66" s="1">
        <f>(Main_L[[#This Row],[P/B]]-VLOOKUP(Main_L[[#This Row],[Industry]], Mean_PB_L, 2, FALSE))/(VLOOKUP(Main_L[[#This Row],[Industry]], Mean_PB_L, 3, FALSE))</f>
        <v>-5.6077785896134893</v>
      </c>
      <c r="Q66" s="1">
        <f>(Main_L[[#This Row],[ROE]]-VLOOKUP(Main_L[[#This Row],[Industry]], Mean_ROE_L, 2, FALSE))/(VLOOKUP(Main_L[[#This Row],[Industry]], Mean_ROE_L, 3, FALSE))</f>
        <v>-7.9319895566012724</v>
      </c>
      <c r="R66" s="1">
        <f>(Main_L[[#This Row],[ROA]]-VLOOKUP(Main_L[[#This Row],[Industry]], Mean_ROA_L, 2, FALSE))/(VLOOKUP(Main_L[[#This Row],[Industry]], Mean_ROA_L, 3, FALSE))</f>
        <v>0.58472487481393587</v>
      </c>
      <c r="S66" s="1">
        <f>(Main_L[[#This Row],[A/E]]-VLOOKUP(Main_L[[#This Row],[Industry]], Mean_AE_L, 2, FALSE))/(VLOOKUP(Main_L[[#This Row],[Industry]], Mean_AE_L, 3, FALSE))</f>
        <v>-6.0080195496311264</v>
      </c>
      <c r="T66" s="1">
        <f>(Main_L[[#This Row],[P/E]]-VLOOKUP(Main_L[[#This Row],[Industry]], Mean_PE_L, 2, FALSE))/(VLOOKUP(Main_L[[#This Row],[Industry]], Mean_PE_L, 3, FALSE))</f>
        <v>0.95177028324242186</v>
      </c>
      <c r="U6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6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6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6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7" spans="1:26" x14ac:dyDescent="0.25">
      <c r="A67" t="s">
        <v>115</v>
      </c>
      <c r="B67" t="s">
        <v>189</v>
      </c>
      <c r="C67" s="2">
        <v>21190</v>
      </c>
      <c r="D67">
        <f>RTD("tos.rtd", , "LAST", Main_L[[#This Row],[Symbol]])</f>
        <v>468.32</v>
      </c>
      <c r="E67">
        <v>22.29</v>
      </c>
      <c r="F67">
        <v>53.96</v>
      </c>
      <c r="G67">
        <v>25.56</v>
      </c>
      <c r="H67" s="1">
        <f>IF(ISNUMBER(Main_L[[#This Row],[Free CF]]),IF(Main_L[[#This Row],[Free CF]]&lt;&gt;0,Main_L[[#This Row],[Current Price]]/Main_L[[#This Row],[Free CF]],""),"")</f>
        <v>21.01031852848811</v>
      </c>
      <c r="I67" s="1">
        <f>IF(ISNUMBER(Main_L[[#This Row],[BVPS]]),IF(Main_L[[#This Row],[BVPS]]&lt;&gt;0,Main_L[[#This Row],[Current Price]]/Main_L[[#This Row],[BVPS]],""),"")</f>
        <v>8.6790214974054845</v>
      </c>
      <c r="J67">
        <v>50.44</v>
      </c>
      <c r="K67">
        <v>16.850000000000001</v>
      </c>
      <c r="L67">
        <v>2.46</v>
      </c>
      <c r="M67" s="1">
        <f>IF(ISNUMBER(Main_L[[#This Row],[EPS]]),IF(Main_L[[#This Row],[EPS]]&lt;&gt;0,Main_L[[#This Row],[Current Price]]/Main_L[[#This Row],[EPS]],""),"")</f>
        <v>18.322378716744915</v>
      </c>
      <c r="N6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7" s="1">
        <f>(Main_L[[#This Row],[P/FCF]]-VLOOKUP(Main_L[[#This Row],[Industry]], Mean_PFCF_L, 2, FALSE))/(VLOOKUP(Main_L[[#This Row],[Industry]], Mean_PFCF_L, 3, FALSE))</f>
        <v>-0.4784952991860833</v>
      </c>
      <c r="P67" s="1">
        <f>(Main_L[[#This Row],[P/B]]-VLOOKUP(Main_L[[#This Row],[Industry]], Mean_PB_L, 2, FALSE))/(VLOOKUP(Main_L[[#This Row],[Industry]], Mean_PB_L, 3, FALSE))</f>
        <v>6.9917632352712311E-2</v>
      </c>
      <c r="Q67" s="1">
        <f>(Main_L[[#This Row],[ROE]]-VLOOKUP(Main_L[[#This Row],[Industry]], Mean_ROE_L, 2, FALSE))/(VLOOKUP(Main_L[[#This Row],[Industry]], Mean_ROE_L, 3, FALSE))</f>
        <v>0.19115793112425142</v>
      </c>
      <c r="R67" s="1">
        <f>(Main_L[[#This Row],[ROA]]-VLOOKUP(Main_L[[#This Row],[Industry]], Mean_ROA_L, 2, FALSE))/(VLOOKUP(Main_L[[#This Row],[Industry]], Mean_ROA_L, 3, FALSE))</f>
        <v>1.1601261183666018</v>
      </c>
      <c r="S67" s="1">
        <f>(Main_L[[#This Row],[A/E]]-VLOOKUP(Main_L[[#This Row],[Industry]], Mean_AE_L, 2, FALSE))/(VLOOKUP(Main_L[[#This Row],[Industry]], Mean_AE_L, 3, FALSE))</f>
        <v>-0.17656369308651354</v>
      </c>
      <c r="T67" s="1">
        <f>(Main_L[[#This Row],[P/E]]-VLOOKUP(Main_L[[#This Row],[Industry]], Mean_PE_L, 2, FALSE))/(VLOOKUP(Main_L[[#This Row],[Industry]], Mean_PE_L, 3, FALSE))</f>
        <v>-0.40724417461598206</v>
      </c>
      <c r="U6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8" spans="1:26" x14ac:dyDescent="0.25">
      <c r="A68" t="s">
        <v>115</v>
      </c>
      <c r="B68" t="s">
        <v>184</v>
      </c>
      <c r="C68" s="2">
        <v>366422</v>
      </c>
      <c r="D68">
        <f>RTD("tos.rtd", , "LAST", Main_L[[#This Row],[Symbol]])</f>
        <v>365.2</v>
      </c>
      <c r="E68">
        <v>15.34</v>
      </c>
      <c r="F68">
        <v>7.99</v>
      </c>
      <c r="G68">
        <v>14.73</v>
      </c>
      <c r="H68" s="1">
        <f>IF(ISNUMBER(Main_L[[#This Row],[Free CF]]),IF(Main_L[[#This Row],[Free CF]]&lt;&gt;0,Main_L[[#This Row],[Current Price]]/Main_L[[#This Row],[Free CF]],""),"")</f>
        <v>23.807040417209908</v>
      </c>
      <c r="I68" s="1">
        <f>IF(ISNUMBER(Main_L[[#This Row],[BVPS]]),IF(Main_L[[#This Row],[BVPS]]&lt;&gt;0,Main_L[[#This Row],[Current Price]]/Main_L[[#This Row],[BVPS]],""),"")</f>
        <v>45.707133917396746</v>
      </c>
      <c r="J68">
        <v>299.52</v>
      </c>
      <c r="K68">
        <v>15.12</v>
      </c>
      <c r="L68">
        <v>12.46</v>
      </c>
      <c r="M68" s="1">
        <f>IF(ISNUMBER(Main_L[[#This Row],[EPS]]),IF(Main_L[[#This Row],[EPS]]&lt;&gt;0,Main_L[[#This Row],[Current Price]]/Main_L[[#This Row],[EPS]],""),"")</f>
        <v>24.792939579090291</v>
      </c>
      <c r="N6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8" s="1">
        <f>(Main_L[[#This Row],[P/FCF]]-VLOOKUP(Main_L[[#This Row],[Industry]], Mean_PFCF_L, 2, FALSE))/(VLOOKUP(Main_L[[#This Row],[Industry]], Mean_PFCF_L, 3, FALSE))</f>
        <v>-0.31813076678296304</v>
      </c>
      <c r="P68" s="1">
        <f>(Main_L[[#This Row],[P/B]]-VLOOKUP(Main_L[[#This Row],[Industry]], Mean_PB_L, 2, FALSE))/(VLOOKUP(Main_L[[#This Row],[Industry]], Mean_PB_L, 3, FALSE))</f>
        <v>3.2848365551268803</v>
      </c>
      <c r="Q68" s="1">
        <f>(Main_L[[#This Row],[ROE]]-VLOOKUP(Main_L[[#This Row],[Industry]], Mean_ROE_L, 2, FALSE))/(VLOOKUP(Main_L[[#This Row],[Industry]], Mean_ROE_L, 3, FALSE))</f>
        <v>9.2456355836914828</v>
      </c>
      <c r="R68" s="1">
        <f>(Main_L[[#This Row],[ROA]]-VLOOKUP(Main_L[[#This Row],[Industry]], Mean_ROA_L, 2, FALSE))/(VLOOKUP(Main_L[[#This Row],[Industry]], Mean_ROA_L, 3, FALSE))</f>
        <v>0.84107350575566808</v>
      </c>
      <c r="S68" s="1">
        <f>(Main_L[[#This Row],[A/E]]-VLOOKUP(Main_L[[#This Row],[Industry]], Mean_AE_L, 2, FALSE))/(VLOOKUP(Main_L[[#This Row],[Industry]], Mean_AE_L, 3, FALSE))</f>
        <v>4.0706729103691419</v>
      </c>
      <c r="T68" s="1">
        <f>(Main_L[[#This Row],[P/E]]-VLOOKUP(Main_L[[#This Row],[Industry]], Mean_PE_L, 2, FALSE))/(VLOOKUP(Main_L[[#This Row],[Industry]], Mean_PE_L, 3, FALSE))</f>
        <v>0.19149145122468869</v>
      </c>
      <c r="U6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6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6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6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9" spans="1:26" x14ac:dyDescent="0.25">
      <c r="A69" t="s">
        <v>115</v>
      </c>
      <c r="B69" t="s">
        <v>195</v>
      </c>
      <c r="C69" s="2">
        <v>10864</v>
      </c>
      <c r="D69">
        <f>RTD("tos.rtd", , "LAST", Main_L[[#This Row],[Symbol]])</f>
        <v>167.08</v>
      </c>
      <c r="E69">
        <v>9.93</v>
      </c>
      <c r="F69">
        <v>80.92</v>
      </c>
      <c r="G69">
        <v>14.19</v>
      </c>
      <c r="H69" s="1">
        <f>IF(ISNUMBER(Main_L[[#This Row],[Free CF]]),IF(Main_L[[#This Row],[Free CF]]&lt;&gt;0,Main_L[[#This Row],[Current Price]]/Main_L[[#This Row],[Free CF]],""),"")</f>
        <v>16.825780463242701</v>
      </c>
      <c r="I69" s="1">
        <f>IF(ISNUMBER(Main_L[[#This Row],[BVPS]]),IF(Main_L[[#This Row],[BVPS]]&lt;&gt;0,Main_L[[#This Row],[Current Price]]/Main_L[[#This Row],[BVPS]],""),"")</f>
        <v>2.0647553138902621</v>
      </c>
      <c r="J69">
        <v>18.559999999999999</v>
      </c>
      <c r="K69">
        <v>4.93</v>
      </c>
      <c r="L69">
        <v>3.14</v>
      </c>
      <c r="M69" s="1">
        <f>IF(ISNUMBER(Main_L[[#This Row],[EPS]]),IF(Main_L[[#This Row],[EPS]]&lt;&gt;0,Main_L[[#This Row],[Current Price]]/Main_L[[#This Row],[EPS]],""),"")</f>
        <v>11.774489076814659</v>
      </c>
      <c r="N6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9" s="1">
        <f>(Main_L[[#This Row],[P/FCF]]-VLOOKUP(Main_L[[#This Row],[Industry]], Mean_PFCF_L, 2, FALSE))/(VLOOKUP(Main_L[[#This Row],[Industry]], Mean_PFCF_L, 3, FALSE))</f>
        <v>-0.71843745892039723</v>
      </c>
      <c r="P69" s="1">
        <f>(Main_L[[#This Row],[P/B]]-VLOOKUP(Main_L[[#This Row],[Industry]], Mean_PB_L, 2, FALSE))/(VLOOKUP(Main_L[[#This Row],[Industry]], Mean_PB_L, 3, FALSE))</f>
        <v>-0.50435764456277743</v>
      </c>
      <c r="Q69" s="1">
        <f>(Main_L[[#This Row],[ROE]]-VLOOKUP(Main_L[[#This Row],[Industry]], Mean_ROE_L, 2, FALSE))/(VLOOKUP(Main_L[[#This Row],[Industry]], Mean_ROE_L, 3, FALSE))</f>
        <v>-0.96773378063037885</v>
      </c>
      <c r="R69" s="1">
        <f>(Main_L[[#This Row],[ROA]]-VLOOKUP(Main_L[[#This Row],[Industry]], Mean_ROA_L, 2, FALSE))/(VLOOKUP(Main_L[[#This Row],[Industry]], Mean_ROA_L, 3, FALSE))</f>
        <v>-1.0382017095653779</v>
      </c>
      <c r="S69" s="1">
        <f>(Main_L[[#This Row],[A/E]]-VLOOKUP(Main_L[[#This Row],[Industry]], Mean_AE_L, 2, FALSE))/(VLOOKUP(Main_L[[#This Row],[Industry]], Mean_AE_L, 3, FALSE))</f>
        <v>0.11224839594847104</v>
      </c>
      <c r="T69" s="1">
        <f>(Main_L[[#This Row],[P/E]]-VLOOKUP(Main_L[[#This Row],[Industry]], Mean_PE_L, 2, FALSE))/(VLOOKUP(Main_L[[#This Row],[Industry]], Mean_PE_L, 3, FALSE))</f>
        <v>-1.0131352070786985</v>
      </c>
      <c r="U6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0" spans="1:26" x14ac:dyDescent="0.25">
      <c r="A70" t="s">
        <v>115</v>
      </c>
      <c r="B70" t="s">
        <v>187</v>
      </c>
      <c r="C70" s="2">
        <v>14355</v>
      </c>
      <c r="D70">
        <f>RTD("tos.rtd", , "LAST", Main_L[[#This Row],[Symbol]])</f>
        <v>182.36</v>
      </c>
      <c r="E70">
        <v>6.33</v>
      </c>
      <c r="F70">
        <v>38.47</v>
      </c>
      <c r="G70">
        <v>14</v>
      </c>
      <c r="H70" s="1">
        <f>IF(ISNUMBER(Main_L[[#This Row],[Free CF]]),IF(Main_L[[#This Row],[Free CF]]&lt;&gt;0,Main_L[[#This Row],[Current Price]]/Main_L[[#This Row],[Free CF]],""),"")</f>
        <v>28.808846761453399</v>
      </c>
      <c r="I70" s="1">
        <f>IF(ISNUMBER(Main_L[[#This Row],[BVPS]]),IF(Main_L[[#This Row],[BVPS]]&lt;&gt;0,Main_L[[#This Row],[Current Price]]/Main_L[[#This Row],[BVPS]],""),"")</f>
        <v>4.7403171302313494</v>
      </c>
      <c r="J70">
        <v>40.22</v>
      </c>
      <c r="K70">
        <v>9.3699999999999992</v>
      </c>
      <c r="L70">
        <v>3.42</v>
      </c>
      <c r="M70" s="1">
        <f>IF(ISNUMBER(Main_L[[#This Row],[EPS]]),IF(Main_L[[#This Row],[EPS]]&lt;&gt;0,Main_L[[#This Row],[Current Price]]/Main_L[[#This Row],[EPS]],""),"")</f>
        <v>13.025714285714287</v>
      </c>
      <c r="N7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0" s="1">
        <f>(Main_L[[#This Row],[P/FCF]]-VLOOKUP(Main_L[[#This Row],[Industry]], Mean_PFCF_L, 2, FALSE))/(VLOOKUP(Main_L[[#This Row],[Industry]], Mean_PFCF_L, 3, FALSE))</f>
        <v>-3.1326298022516512E-2</v>
      </c>
      <c r="P70" s="1">
        <f>(Main_L[[#This Row],[P/B]]-VLOOKUP(Main_L[[#This Row],[Industry]], Mean_PB_L, 2, FALSE))/(VLOOKUP(Main_L[[#This Row],[Industry]], Mean_PB_L, 3, FALSE))</f>
        <v>-0.2720553814918959</v>
      </c>
      <c r="Q70" s="1">
        <f>(Main_L[[#This Row],[ROE]]-VLOOKUP(Main_L[[#This Row],[Industry]], Mean_ROE_L, 2, FALSE))/(VLOOKUP(Main_L[[#This Row],[Industry]], Mean_ROE_L, 3, FALSE))</f>
        <v>-0.18035628763774109</v>
      </c>
      <c r="R70" s="1">
        <f>(Main_L[[#This Row],[ROA]]-VLOOKUP(Main_L[[#This Row],[Industry]], Mean_ROA_L, 2, FALSE))/(VLOOKUP(Main_L[[#This Row],[Industry]], Mean_ROA_L, 3, FALSE))</f>
        <v>-0.21936147835581529</v>
      </c>
      <c r="S70" s="1">
        <f>(Main_L[[#This Row],[A/E]]-VLOOKUP(Main_L[[#This Row],[Industry]], Mean_AE_L, 2, FALSE))/(VLOOKUP(Main_L[[#This Row],[Industry]], Mean_AE_L, 3, FALSE))</f>
        <v>0.23117102084522928</v>
      </c>
      <c r="T70" s="1">
        <f>(Main_L[[#This Row],[P/E]]-VLOOKUP(Main_L[[#This Row],[Industry]], Mean_PE_L, 2, FALSE))/(VLOOKUP(Main_L[[#This Row],[Industry]], Mean_PE_L, 3, FALSE))</f>
        <v>-0.89735650961249502</v>
      </c>
      <c r="U7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1" spans="1:26" x14ac:dyDescent="0.25">
      <c r="A71" t="s">
        <v>115</v>
      </c>
      <c r="B71" t="s">
        <v>185</v>
      </c>
      <c r="C71" s="2">
        <v>126508</v>
      </c>
      <c r="D71">
        <f>RTD("tos.rtd", , "LAST", Main_L[[#This Row],[Symbol]])</f>
        <v>223.61</v>
      </c>
      <c r="E71">
        <v>11.84</v>
      </c>
      <c r="F71">
        <v>-23.67</v>
      </c>
      <c r="G71">
        <v>12.09</v>
      </c>
      <c r="H71" s="1">
        <f>IF(ISNUMBER(Main_L[[#This Row],[Free CF]]),IF(Main_L[[#This Row],[Free CF]]&lt;&gt;0,Main_L[[#This Row],[Current Price]]/Main_L[[#This Row],[Free CF]],""),"")</f>
        <v>18.88597972972973</v>
      </c>
      <c r="I71" s="1">
        <f>IF(ISNUMBER(Main_L[[#This Row],[BVPS]]),IF(Main_L[[#This Row],[BVPS]]&lt;&gt;0,Main_L[[#This Row],[Current Price]]/Main_L[[#This Row],[BVPS]],""),"")</f>
        <v>-9.4469792986903247</v>
      </c>
      <c r="J71">
        <v>-49.12</v>
      </c>
      <c r="K71">
        <v>14.44</v>
      </c>
      <c r="L71">
        <v>-3.42</v>
      </c>
      <c r="M71" s="1">
        <f>IF(ISNUMBER(Main_L[[#This Row],[EPS]]),IF(Main_L[[#This Row],[EPS]]&lt;&gt;0,Main_L[[#This Row],[Current Price]]/Main_L[[#This Row],[EPS]],""),"")</f>
        <v>18.495450785773368</v>
      </c>
      <c r="N7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1" s="1">
        <f>(Main_L[[#This Row],[P/FCF]]-VLOOKUP(Main_L[[#This Row],[Industry]], Mean_PFCF_L, 2, FALSE))/(VLOOKUP(Main_L[[#This Row],[Industry]], Mean_PFCF_L, 3, FALSE))</f>
        <v>-0.60030526516893323</v>
      </c>
      <c r="P71" s="1">
        <f>(Main_L[[#This Row],[P/B]]-VLOOKUP(Main_L[[#This Row],[Industry]], Mean_PB_L, 2, FALSE))/(VLOOKUP(Main_L[[#This Row],[Industry]], Mean_PB_L, 3, FALSE))</f>
        <v>-1.5038494096347279</v>
      </c>
      <c r="Q71" s="1">
        <f>(Main_L[[#This Row],[ROE]]-VLOOKUP(Main_L[[#This Row],[Industry]], Mean_ROE_L, 2, FALSE))/(VLOOKUP(Main_L[[#This Row],[Industry]], Mean_ROE_L, 3, FALSE))</f>
        <v>-3.4280158085962942</v>
      </c>
      <c r="R71" s="1">
        <f>(Main_L[[#This Row],[ROA]]-VLOOKUP(Main_L[[#This Row],[Industry]], Mean_ROA_L, 2, FALSE))/(VLOOKUP(Main_L[[#This Row],[Industry]], Mean_ROA_L, 3, FALSE))</f>
        <v>0.71566554241726665</v>
      </c>
      <c r="S71" s="1">
        <f>(Main_L[[#This Row],[A/E]]-VLOOKUP(Main_L[[#This Row],[Industry]], Mean_AE_L, 2, FALSE))/(VLOOKUP(Main_L[[#This Row],[Industry]], Mean_AE_L, 3, FALSE))</f>
        <v>-2.6739388159184383</v>
      </c>
      <c r="T71" s="1">
        <f>(Main_L[[#This Row],[P/E]]-VLOOKUP(Main_L[[#This Row],[Industry]], Mean_PE_L, 2, FALSE))/(VLOOKUP(Main_L[[#This Row],[Industry]], Mean_PE_L, 3, FALSE))</f>
        <v>-0.39122942477129385</v>
      </c>
      <c r="U7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7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2" spans="1:26" x14ac:dyDescent="0.25">
      <c r="A72" t="s">
        <v>115</v>
      </c>
      <c r="B72" t="s">
        <v>196</v>
      </c>
      <c r="C72" s="2">
        <v>19979</v>
      </c>
      <c r="D72">
        <f>RTD("tos.rtd", , "LAST", Main_L[[#This Row],[Symbol]])</f>
        <v>156.74</v>
      </c>
      <c r="E72">
        <v>8.1</v>
      </c>
      <c r="F72">
        <v>17.57</v>
      </c>
      <c r="G72">
        <v>8.66</v>
      </c>
      <c r="H72" s="1">
        <f>IF(ISNUMBER(Main_L[[#This Row],[Free CF]]),IF(Main_L[[#This Row],[Free CF]]&lt;&gt;0,Main_L[[#This Row],[Current Price]]/Main_L[[#This Row],[Free CF]],""),"")</f>
        <v>19.350617283950619</v>
      </c>
      <c r="I72" s="1">
        <f>IF(ISNUMBER(Main_L[[#This Row],[BVPS]]),IF(Main_L[[#This Row],[BVPS]]&lt;&gt;0,Main_L[[#This Row],[Current Price]]/Main_L[[#This Row],[BVPS]],""),"")</f>
        <v>8.9208878770631763</v>
      </c>
      <c r="J72">
        <v>50.16</v>
      </c>
      <c r="K72">
        <v>17.059999999999999</v>
      </c>
      <c r="L72">
        <v>2.39</v>
      </c>
      <c r="M72" s="1">
        <f>IF(ISNUMBER(Main_L[[#This Row],[EPS]]),IF(Main_L[[#This Row],[EPS]]&lt;&gt;0,Main_L[[#This Row],[Current Price]]/Main_L[[#This Row],[EPS]],""),"")</f>
        <v>18.099307159353348</v>
      </c>
      <c r="N7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2" s="1">
        <f>(Main_L[[#This Row],[P/FCF]]-VLOOKUP(Main_L[[#This Row],[Industry]], Mean_PFCF_L, 2, FALSE))/(VLOOKUP(Main_L[[#This Row],[Industry]], Mean_PFCF_L, 3, FALSE))</f>
        <v>-0.57366286485732521</v>
      </c>
      <c r="P72" s="1">
        <f>(Main_L[[#This Row],[P/B]]-VLOOKUP(Main_L[[#This Row],[Industry]], Mean_PB_L, 2, FALSE))/(VLOOKUP(Main_L[[#This Row],[Industry]], Mean_PB_L, 3, FALSE))</f>
        <v>9.0917374168462642E-2</v>
      </c>
      <c r="Q72" s="1">
        <f>(Main_L[[#This Row],[ROE]]-VLOOKUP(Main_L[[#This Row],[Industry]], Mean_ROE_L, 2, FALSE))/(VLOOKUP(Main_L[[#This Row],[Industry]], Mean_ROE_L, 3, FALSE))</f>
        <v>0.18097945937734747</v>
      </c>
      <c r="R72" s="1">
        <f>(Main_L[[#This Row],[ROA]]-VLOOKUP(Main_L[[#This Row],[Industry]], Mean_ROA_L, 2, FALSE))/(VLOOKUP(Main_L[[#This Row],[Industry]], Mean_ROA_L, 3, FALSE))</f>
        <v>1.1988550482211076</v>
      </c>
      <c r="S72" s="1">
        <f>(Main_L[[#This Row],[A/E]]-VLOOKUP(Main_L[[#This Row],[Industry]], Mean_AE_L, 2, FALSE))/(VLOOKUP(Main_L[[#This Row],[Industry]], Mean_AE_L, 3, FALSE))</f>
        <v>-0.20629434931070306</v>
      </c>
      <c r="T72" s="1">
        <f>(Main_L[[#This Row],[P/E]]-VLOOKUP(Main_L[[#This Row],[Industry]], Mean_PE_L, 2, FALSE))/(VLOOKUP(Main_L[[#This Row],[Industry]], Mean_PE_L, 3, FALSE))</f>
        <v>-0.4278854901624185</v>
      </c>
      <c r="U7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3" spans="1:26" x14ac:dyDescent="0.25">
      <c r="A73" t="s">
        <v>115</v>
      </c>
      <c r="B73" t="s">
        <v>179</v>
      </c>
      <c r="C73" s="2">
        <v>14401</v>
      </c>
      <c r="D73">
        <f>RTD("tos.rtd", , "LAST", Main_L[[#This Row],[Symbol]])</f>
        <v>246.94</v>
      </c>
      <c r="E73">
        <v>-5.35</v>
      </c>
      <c r="F73">
        <v>21.13</v>
      </c>
      <c r="G73">
        <v>8.16</v>
      </c>
      <c r="H73" s="1">
        <f>IF(ISNUMBER(Main_L[[#This Row],[Free CF]]),IF(Main_L[[#This Row],[Free CF]]&lt;&gt;0,Main_L[[#This Row],[Current Price]]/Main_L[[#This Row],[Free CF]],""),"")</f>
        <v>-46.157009345794393</v>
      </c>
      <c r="I73" s="1">
        <f>IF(ISNUMBER(Main_L[[#This Row],[BVPS]]),IF(Main_L[[#This Row],[BVPS]]&lt;&gt;0,Main_L[[#This Row],[Current Price]]/Main_L[[#This Row],[BVPS]],""),"")</f>
        <v>11.686701372456223</v>
      </c>
      <c r="J73">
        <v>44.13</v>
      </c>
      <c r="K73">
        <v>5.7</v>
      </c>
      <c r="L73">
        <v>6.32</v>
      </c>
      <c r="M73" s="1">
        <f>IF(ISNUMBER(Main_L[[#This Row],[EPS]]),IF(Main_L[[#This Row],[EPS]]&lt;&gt;0,Main_L[[#This Row],[Current Price]]/Main_L[[#This Row],[EPS]],""),"")</f>
        <v>30.262254901960784</v>
      </c>
      <c r="N7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3" s="1">
        <f>(Main_L[[#This Row],[P/FCF]]-VLOOKUP(Main_L[[#This Row],[Industry]], Mean_PFCF_L, 2, FALSE))/(VLOOKUP(Main_L[[#This Row],[Industry]], Mean_PFCF_L, 3, FALSE))</f>
        <v>-4.3298818710018567</v>
      </c>
      <c r="P73" s="1">
        <f>(Main_L[[#This Row],[P/B]]-VLOOKUP(Main_L[[#This Row],[Industry]], Mean_PB_L, 2, FALSE))/(VLOOKUP(Main_L[[#This Row],[Industry]], Mean_PB_L, 3, FALSE))</f>
        <v>0.33105562486694018</v>
      </c>
      <c r="Q73" s="1">
        <f>(Main_L[[#This Row],[ROE]]-VLOOKUP(Main_L[[#This Row],[Industry]], Mean_ROE_L, 2, FALSE))/(VLOOKUP(Main_L[[#This Row],[Industry]], Mean_ROE_L, 3, FALSE))</f>
        <v>-3.8221200029189988E-2</v>
      </c>
      <c r="R73" s="1">
        <f>(Main_L[[#This Row],[ROA]]-VLOOKUP(Main_L[[#This Row],[Industry]], Mean_ROA_L, 2, FALSE))/(VLOOKUP(Main_L[[#This Row],[Industry]], Mean_ROA_L, 3, FALSE))</f>
        <v>-0.896195633432188</v>
      </c>
      <c r="S73" s="1">
        <f>(Main_L[[#This Row],[A/E]]-VLOOKUP(Main_L[[#This Row],[Industry]], Mean_AE_L, 2, FALSE))/(VLOOKUP(Main_L[[#This Row],[Industry]], Mean_AE_L, 3, FALSE))</f>
        <v>1.4628696358473692</v>
      </c>
      <c r="T73" s="1">
        <f>(Main_L[[#This Row],[P/E]]-VLOOKUP(Main_L[[#This Row],[Industry]], Mean_PE_L, 2, FALSE))/(VLOOKUP(Main_L[[#This Row],[Industry]], Mean_PE_L, 3, FALSE))</f>
        <v>0.69757956358839301</v>
      </c>
      <c r="U7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7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4" spans="1:26" x14ac:dyDescent="0.25">
      <c r="A74" t="s">
        <v>115</v>
      </c>
      <c r="B74" t="s">
        <v>180</v>
      </c>
      <c r="C74" s="2">
        <v>46066</v>
      </c>
      <c r="D74">
        <f>RTD("tos.rtd", , "LAST", Main_L[[#This Row],[Symbol]])</f>
        <v>142.16</v>
      </c>
      <c r="E74">
        <v>4.91</v>
      </c>
      <c r="F74">
        <v>17.16</v>
      </c>
      <c r="G74">
        <v>6.33</v>
      </c>
      <c r="H74" s="1">
        <f>IF(ISNUMBER(Main_L[[#This Row],[Free CF]]),IF(Main_L[[#This Row],[Free CF]]&lt;&gt;0,Main_L[[#This Row],[Current Price]]/Main_L[[#This Row],[Free CF]],""),"")</f>
        <v>28.953156822810588</v>
      </c>
      <c r="I74" s="1">
        <f>IF(ISNUMBER(Main_L[[#This Row],[BVPS]]),IF(Main_L[[#This Row],[BVPS]]&lt;&gt;0,Main_L[[#This Row],[Current Price]]/Main_L[[#This Row],[BVPS]],""),"")</f>
        <v>8.2843822843822839</v>
      </c>
      <c r="J74">
        <v>39.57</v>
      </c>
      <c r="K74">
        <v>11.29</v>
      </c>
      <c r="L74">
        <v>2.57</v>
      </c>
      <c r="M74" s="1">
        <f>IF(ISNUMBER(Main_L[[#This Row],[EPS]]),IF(Main_L[[#This Row],[EPS]]&lt;&gt;0,Main_L[[#This Row],[Current Price]]/Main_L[[#This Row],[EPS]],""),"")</f>
        <v>22.458135860979461</v>
      </c>
      <c r="N7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4" s="1">
        <f>(Main_L[[#This Row],[P/FCF]]-VLOOKUP(Main_L[[#This Row],[Industry]], Mean_PFCF_L, 2, FALSE))/(VLOOKUP(Main_L[[#This Row],[Industry]], Mean_PFCF_L, 3, FALSE))</f>
        <v>-2.3051533340359299E-2</v>
      </c>
      <c r="P74" s="1">
        <f>(Main_L[[#This Row],[P/B]]-VLOOKUP(Main_L[[#This Row],[Industry]], Mean_PB_L, 2, FALSE))/(VLOOKUP(Main_L[[#This Row],[Industry]], Mean_PB_L, 3, FALSE))</f>
        <v>3.5653582940028447E-2</v>
      </c>
      <c r="Q74" s="1">
        <f>(Main_L[[#This Row],[ROE]]-VLOOKUP(Main_L[[#This Row],[Industry]], Mean_ROE_L, 2, FALSE))/(VLOOKUP(Main_L[[#This Row],[Industry]], Mean_ROE_L, 3, FALSE))</f>
        <v>-0.20398488276448223</v>
      </c>
      <c r="R74" s="1">
        <f>(Main_L[[#This Row],[ROA]]-VLOOKUP(Main_L[[#This Row],[Industry]], Mean_ROA_L, 2, FALSE))/(VLOOKUP(Main_L[[#This Row],[Industry]], Mean_ROA_L, 3, FALSE))</f>
        <v>0.13473159459967132</v>
      </c>
      <c r="S74" s="1">
        <f>(Main_L[[#This Row],[A/E]]-VLOOKUP(Main_L[[#This Row],[Industry]], Mean_AE_L, 2, FALSE))/(VLOOKUP(Main_L[[#This Row],[Industry]], Mean_AE_L, 3, FALSE))</f>
        <v>-0.1298440904485014</v>
      </c>
      <c r="T74" s="1">
        <f>(Main_L[[#This Row],[P/E]]-VLOOKUP(Main_L[[#This Row],[Industry]], Mean_PE_L, 2, FALSE))/(VLOOKUP(Main_L[[#This Row],[Industry]], Mean_PE_L, 3, FALSE))</f>
        <v>-2.4553215554244431E-2</v>
      </c>
      <c r="U7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5" spans="1:26" x14ac:dyDescent="0.25">
      <c r="A75" t="s">
        <v>115</v>
      </c>
      <c r="B75" t="s">
        <v>462</v>
      </c>
      <c r="C75" s="2">
        <v>11233</v>
      </c>
      <c r="D75">
        <f>RTD("tos.rtd", , "LAST", Main_L[[#This Row],[Symbol]])</f>
        <v>9.81</v>
      </c>
      <c r="E75">
        <v>-0.91</v>
      </c>
      <c r="F75">
        <v>56.96</v>
      </c>
      <c r="G75">
        <v>4.54</v>
      </c>
      <c r="H75" s="1">
        <f>IF(ISNUMBER(Main_L[[#This Row],[Free CF]]),IF(Main_L[[#This Row],[Free CF]]&lt;&gt;0,Main_L[[#This Row],[Current Price]]/Main_L[[#This Row],[Free CF]],""),"")</f>
        <v>-10.780219780219781</v>
      </c>
      <c r="I75" s="1">
        <f>IF(ISNUMBER(Main_L[[#This Row],[BVPS]]),IF(Main_L[[#This Row],[BVPS]]&lt;&gt;0,Main_L[[#This Row],[Current Price]]/Main_L[[#This Row],[BVPS]],""),"")</f>
        <v>0.17222612359550563</v>
      </c>
      <c r="J75">
        <v>8.26</v>
      </c>
      <c r="K75">
        <v>5.81</v>
      </c>
      <c r="L75">
        <v>1.4</v>
      </c>
      <c r="M75" s="1">
        <f>IF(ISNUMBER(Main_L[[#This Row],[EPS]]),IF(Main_L[[#This Row],[EPS]]&lt;&gt;0,Main_L[[#This Row],[Current Price]]/Main_L[[#This Row],[EPS]],""),"")</f>
        <v>2.1607929515418505</v>
      </c>
      <c r="N7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5" s="1">
        <f>(Main_L[[#This Row],[P/FCF]]-VLOOKUP(Main_L[[#This Row],[Industry]], Mean_PFCF_L, 2, FALSE))/(VLOOKUP(Main_L[[#This Row],[Industry]], Mean_PFCF_L, 3, FALSE))</f>
        <v>-2.3013704414296425</v>
      </c>
      <c r="P75" s="1">
        <f>(Main_L[[#This Row],[P/B]]-VLOOKUP(Main_L[[#This Row],[Industry]], Mean_PB_L, 2, FALSE))/(VLOOKUP(Main_L[[#This Row],[Industry]], Mean_PB_L, 3, FALSE))</f>
        <v>-0.66867409247590937</v>
      </c>
      <c r="Q75" s="1">
        <f>(Main_L[[#This Row],[ROE]]-VLOOKUP(Main_L[[#This Row],[Industry]], Mean_ROE_L, 2, FALSE))/(VLOOKUP(Main_L[[#This Row],[Industry]], Mean_ROE_L, 3, FALSE))</f>
        <v>-1.3421561341772013</v>
      </c>
      <c r="R75" s="1">
        <f>(Main_L[[#This Row],[ROA]]-VLOOKUP(Main_L[[#This Row],[Industry]], Mean_ROA_L, 2, FALSE))/(VLOOKUP(Main_L[[#This Row],[Industry]], Mean_ROA_L, 3, FALSE))</f>
        <v>-0.87590905112744666</v>
      </c>
      <c r="S75" s="1">
        <f>(Main_L[[#This Row],[A/E]]-VLOOKUP(Main_L[[#This Row],[Industry]], Mean_AE_L, 2, FALSE))/(VLOOKUP(Main_L[[#This Row],[Industry]], Mean_AE_L, 3, FALSE))</f>
        <v>-0.62677077305281292</v>
      </c>
      <c r="T75" s="1">
        <f>(Main_L[[#This Row],[P/E]]-VLOOKUP(Main_L[[#This Row],[Industry]], Mean_PE_L, 2, FALSE))/(VLOOKUP(Main_L[[#This Row],[Industry]], Mean_PE_L, 3, FALSE))</f>
        <v>-1.9027122450915754</v>
      </c>
      <c r="U7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6" spans="1:26" x14ac:dyDescent="0.25">
      <c r="A76" t="s">
        <v>115</v>
      </c>
      <c r="B76" t="s">
        <v>181</v>
      </c>
      <c r="C76" s="2">
        <v>141683</v>
      </c>
      <c r="D76">
        <f>RTD("tos.rtd", , "LAST", Main_L[[#This Row],[Symbol]])</f>
        <v>126.35</v>
      </c>
      <c r="E76">
        <v>3.36</v>
      </c>
      <c r="F76">
        <v>7.51</v>
      </c>
      <c r="G76">
        <v>4.25</v>
      </c>
      <c r="H76" s="1">
        <f>IF(ISNUMBER(Main_L[[#This Row],[Free CF]]),IF(Main_L[[#This Row],[Free CF]]&lt;&gt;0,Main_L[[#This Row],[Current Price]]/Main_L[[#This Row],[Free CF]],""),"")</f>
        <v>37.604166666666664</v>
      </c>
      <c r="I76" s="1">
        <f>IF(ISNUMBER(Main_L[[#This Row],[BVPS]]),IF(Main_L[[#This Row],[BVPS]]&lt;&gt;0,Main_L[[#This Row],[Current Price]]/Main_L[[#This Row],[BVPS]],""),"")</f>
        <v>16.824234354194406</v>
      </c>
      <c r="J76">
        <v>60.36</v>
      </c>
      <c r="K76">
        <v>12.75</v>
      </c>
      <c r="L76">
        <v>3.75</v>
      </c>
      <c r="M76" s="1">
        <f>IF(ISNUMBER(Main_L[[#This Row],[EPS]]),IF(Main_L[[#This Row],[EPS]]&lt;&gt;0,Main_L[[#This Row],[Current Price]]/Main_L[[#This Row],[EPS]],""),"")</f>
        <v>29.72941176470588</v>
      </c>
      <c r="N7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6" s="1">
        <f>(Main_L[[#This Row],[P/FCF]]-VLOOKUP(Main_L[[#This Row],[Industry]], Mean_PFCF_L, 2, FALSE))/(VLOOKUP(Main_L[[#This Row],[Industry]], Mean_PFCF_L, 3, FALSE))</f>
        <v>0.47299891558676765</v>
      </c>
      <c r="P76" s="1">
        <f>(Main_L[[#This Row],[P/B]]-VLOOKUP(Main_L[[#This Row],[Industry]], Mean_PB_L, 2, FALSE))/(VLOOKUP(Main_L[[#This Row],[Industry]], Mean_PB_L, 3, FALSE))</f>
        <v>0.77711541349524671</v>
      </c>
      <c r="Q76" s="1">
        <f>(Main_L[[#This Row],[ROE]]-VLOOKUP(Main_L[[#This Row],[Industry]], Mean_ROE_L, 2, FALSE))/(VLOOKUP(Main_L[[#This Row],[Industry]], Mean_ROE_L, 3, FALSE))</f>
        <v>0.55176664444313273</v>
      </c>
      <c r="R76" s="1">
        <f>(Main_L[[#This Row],[ROA]]-VLOOKUP(Main_L[[#This Row],[Industry]], Mean_ROA_L, 2, FALSE))/(VLOOKUP(Main_L[[#This Row],[Industry]], Mean_ROA_L, 3, FALSE))</f>
        <v>0.40398986882623944</v>
      </c>
      <c r="S76" s="1">
        <f>(Main_L[[#This Row],[A/E]]-VLOOKUP(Main_L[[#This Row],[Industry]], Mean_AE_L, 2, FALSE))/(VLOOKUP(Main_L[[#This Row],[Industry]], Mean_AE_L, 3, FALSE))</f>
        <v>0.3713298287592659</v>
      </c>
      <c r="T76" s="1">
        <f>(Main_L[[#This Row],[P/E]]-VLOOKUP(Main_L[[#This Row],[Industry]], Mean_PE_L, 2, FALSE))/(VLOOKUP(Main_L[[#This Row],[Industry]], Mean_PE_L, 3, FALSE))</f>
        <v>0.64827438339670529</v>
      </c>
      <c r="U7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7" spans="1:26" x14ac:dyDescent="0.25">
      <c r="A77" t="s">
        <v>115</v>
      </c>
      <c r="B77" t="s">
        <v>182</v>
      </c>
      <c r="C77" s="2">
        <v>14031</v>
      </c>
      <c r="D77">
        <f>RTD("tos.rtd", , "LAST", Main_L[[#This Row],[Symbol]])</f>
        <v>72.75</v>
      </c>
      <c r="E77">
        <v>5.87</v>
      </c>
      <c r="F77">
        <v>13.03</v>
      </c>
      <c r="G77">
        <v>4.0999999999999996</v>
      </c>
      <c r="H77" s="1">
        <f>IF(ISNUMBER(Main_L[[#This Row],[Free CF]]),IF(Main_L[[#This Row],[Free CF]]&lt;&gt;0,Main_L[[#This Row],[Current Price]]/Main_L[[#This Row],[Free CF]],""),"")</f>
        <v>12.393526405451448</v>
      </c>
      <c r="I77" s="1">
        <f>IF(ISNUMBER(Main_L[[#This Row],[BVPS]]),IF(Main_L[[#This Row],[BVPS]]&lt;&gt;0,Main_L[[#This Row],[Current Price]]/Main_L[[#This Row],[BVPS]],""),"")</f>
        <v>5.5832693783576364</v>
      </c>
      <c r="J77">
        <v>30.21</v>
      </c>
      <c r="K77">
        <v>7.51</v>
      </c>
      <c r="L77">
        <v>5.1100000000000003</v>
      </c>
      <c r="M77" s="1">
        <f>IF(ISNUMBER(Main_L[[#This Row],[EPS]]),IF(Main_L[[#This Row],[EPS]]&lt;&gt;0,Main_L[[#This Row],[Current Price]]/Main_L[[#This Row],[EPS]],""),"")</f>
        <v>17.743902439024392</v>
      </c>
      <c r="N7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7" s="1">
        <f>(Main_L[[#This Row],[P/FCF]]-VLOOKUP(Main_L[[#This Row],[Industry]], Mean_PFCF_L, 2, FALSE))/(VLOOKUP(Main_L[[#This Row],[Industry]], Mean_PFCF_L, 3, FALSE))</f>
        <v>-0.97258369789247345</v>
      </c>
      <c r="P77" s="1">
        <f>(Main_L[[#This Row],[P/B]]-VLOOKUP(Main_L[[#This Row],[Industry]], Mean_PB_L, 2, FALSE))/(VLOOKUP(Main_L[[#This Row],[Industry]], Mean_PB_L, 3, FALSE))</f>
        <v>-0.19886712110319998</v>
      </c>
      <c r="Q77" s="1">
        <f>(Main_L[[#This Row],[ROE]]-VLOOKUP(Main_L[[#This Row],[Industry]], Mean_ROE_L, 2, FALSE))/(VLOOKUP(Main_L[[#This Row],[Industry]], Mean_ROE_L, 3, FALSE))</f>
        <v>-0.54423665258955567</v>
      </c>
      <c r="R77" s="1">
        <f>(Main_L[[#This Row],[ROA]]-VLOOKUP(Main_L[[#This Row],[Industry]], Mean_ROA_L, 2, FALSE))/(VLOOKUP(Main_L[[#This Row],[Industry]], Mean_ROA_L, 3, FALSE))</f>
        <v>-0.56238914278144281</v>
      </c>
      <c r="S77" s="1">
        <f>(Main_L[[#This Row],[A/E]]-VLOOKUP(Main_L[[#This Row],[Industry]], Mean_AE_L, 2, FALSE))/(VLOOKUP(Main_L[[#This Row],[Industry]], Mean_AE_L, 3, FALSE))</f>
        <v>0.94895400682923503</v>
      </c>
      <c r="T77" s="1">
        <f>(Main_L[[#This Row],[P/E]]-VLOOKUP(Main_L[[#This Row],[Industry]], Mean_PE_L, 2, FALSE))/(VLOOKUP(Main_L[[#This Row],[Industry]], Mean_PE_L, 3, FALSE))</f>
        <v>-0.4607718924666161</v>
      </c>
      <c r="U7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8" spans="1:26" x14ac:dyDescent="0.25">
      <c r="A78" t="s">
        <v>115</v>
      </c>
      <c r="B78" t="s">
        <v>191</v>
      </c>
      <c r="C78" s="2">
        <v>44174</v>
      </c>
      <c r="D78">
        <f>RTD("tos.rtd", , "LAST", Main_L[[#This Row],[Symbol]])</f>
        <v>339.91</v>
      </c>
      <c r="E78">
        <v>7.49</v>
      </c>
      <c r="F78">
        <v>11.19</v>
      </c>
      <c r="G78">
        <v>2.97</v>
      </c>
      <c r="H78" s="1">
        <f>IF(ISNUMBER(Main_L[[#This Row],[Free CF]]),IF(Main_L[[#This Row],[Free CF]]&lt;&gt;0,Main_L[[#This Row],[Current Price]]/Main_L[[#This Row],[Free CF]],""),"")</f>
        <v>45.381842456608815</v>
      </c>
      <c r="I78" s="1">
        <f>IF(ISNUMBER(Main_L[[#This Row],[BVPS]]),IF(Main_L[[#This Row],[BVPS]]&lt;&gt;0,Main_L[[#This Row],[Current Price]]/Main_L[[#This Row],[BVPS]],""),"")</f>
        <v>30.376228775692585</v>
      </c>
      <c r="J78">
        <v>99.59</v>
      </c>
      <c r="K78">
        <v>9.84</v>
      </c>
      <c r="L78">
        <v>5.9</v>
      </c>
      <c r="M78" s="1">
        <f>IF(ISNUMBER(Main_L[[#This Row],[EPS]]),IF(Main_L[[#This Row],[EPS]]&lt;&gt;0,Main_L[[#This Row],[Current Price]]/Main_L[[#This Row],[EPS]],""),"")</f>
        <v>114.44781144781145</v>
      </c>
      <c r="N7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8" s="1">
        <f>(Main_L[[#This Row],[P/FCF]]-VLOOKUP(Main_L[[#This Row],[Industry]], Mean_PFCF_L, 2, FALSE))/(VLOOKUP(Main_L[[#This Row],[Industry]], Mean_PFCF_L, 3, FALSE))</f>
        <v>0.9189722339445634</v>
      </c>
      <c r="P78" s="1">
        <f>(Main_L[[#This Row],[P/B]]-VLOOKUP(Main_L[[#This Row],[Industry]], Mean_PB_L, 2, FALSE))/(VLOOKUP(Main_L[[#This Row],[Industry]], Mean_PB_L, 3, FALSE))</f>
        <v>1.9537501501739127</v>
      </c>
      <c r="Q78" s="1">
        <f>(Main_L[[#This Row],[ROE]]-VLOOKUP(Main_L[[#This Row],[Industry]], Mean_ROE_L, 2, FALSE))/(VLOOKUP(Main_L[[#This Row],[Industry]], Mean_ROE_L, 3, FALSE))</f>
        <v>1.9778432395539907</v>
      </c>
      <c r="R78" s="1">
        <f>(Main_L[[#This Row],[ROA]]-VLOOKUP(Main_L[[#This Row],[Industry]], Mean_ROA_L, 2, FALSE))/(VLOOKUP(Main_L[[#This Row],[Industry]], Mean_ROA_L, 3, FALSE))</f>
        <v>-0.13268244487191999</v>
      </c>
      <c r="S78" s="1">
        <f>(Main_L[[#This Row],[A/E]]-VLOOKUP(Main_L[[#This Row],[Industry]], Mean_AE_L, 2, FALSE))/(VLOOKUP(Main_L[[#This Row],[Industry]], Mean_AE_L, 3, FALSE))</f>
        <v>1.2844856985022317</v>
      </c>
      <c r="T78" s="1">
        <f>(Main_L[[#This Row],[P/E]]-VLOOKUP(Main_L[[#This Row],[Industry]], Mean_PE_L, 2, FALSE))/(VLOOKUP(Main_L[[#This Row],[Industry]], Mean_PE_L, 3, FALSE))</f>
        <v>8.4874594453386845</v>
      </c>
      <c r="U7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79" spans="1:26" x14ac:dyDescent="0.25">
      <c r="A79" t="s">
        <v>115</v>
      </c>
      <c r="B79" t="s">
        <v>188</v>
      </c>
      <c r="C79" s="2">
        <v>25662</v>
      </c>
      <c r="D79">
        <f>RTD("tos.rtd", , "LAST", Main_L[[#This Row],[Symbol]])</f>
        <v>50.51</v>
      </c>
      <c r="E79">
        <v>1.1399999999999999</v>
      </c>
      <c r="F79">
        <v>4.21</v>
      </c>
      <c r="G79">
        <v>2.0099999999999998</v>
      </c>
      <c r="H79" s="1">
        <f>IF(ISNUMBER(Main_L[[#This Row],[Free CF]]),IF(Main_L[[#This Row],[Free CF]]&lt;&gt;0,Main_L[[#This Row],[Current Price]]/Main_L[[#This Row],[Free CF]],""),"")</f>
        <v>44.307017543859651</v>
      </c>
      <c r="I79" s="1">
        <f>IF(ISNUMBER(Main_L[[#This Row],[BVPS]]),IF(Main_L[[#This Row],[BVPS]]&lt;&gt;0,Main_L[[#This Row],[Current Price]]/Main_L[[#This Row],[BVPS]],""),"")</f>
        <v>11.997624703087885</v>
      </c>
      <c r="J79">
        <v>49.62</v>
      </c>
      <c r="K79">
        <v>9.11</v>
      </c>
      <c r="L79">
        <v>4.6399999999999997</v>
      </c>
      <c r="M79" s="1">
        <f>IF(ISNUMBER(Main_L[[#This Row],[EPS]]),IF(Main_L[[#This Row],[EPS]]&lt;&gt;0,Main_L[[#This Row],[Current Price]]/Main_L[[#This Row],[EPS]],""),"")</f>
        <v>25.129353233830848</v>
      </c>
      <c r="N7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9" s="1">
        <f>(Main_L[[#This Row],[P/FCF]]-VLOOKUP(Main_L[[#This Row],[Industry]], Mean_PFCF_L, 2, FALSE))/(VLOOKUP(Main_L[[#This Row],[Industry]], Mean_PFCF_L, 3, FALSE))</f>
        <v>0.8573415815570925</v>
      </c>
      <c r="P79" s="1">
        <f>(Main_L[[#This Row],[P/B]]-VLOOKUP(Main_L[[#This Row],[Industry]], Mean_PB_L, 2, FALSE))/(VLOOKUP(Main_L[[#This Row],[Industry]], Mean_PB_L, 3, FALSE))</f>
        <v>0.3580511489120714</v>
      </c>
      <c r="Q79" s="1">
        <f>(Main_L[[#This Row],[ROE]]-VLOOKUP(Main_L[[#This Row],[Industry]], Mean_ROE_L, 2, FALSE))/(VLOOKUP(Main_L[[#This Row],[Industry]], Mean_ROE_L, 3, FALSE))</f>
        <v>0.16134954957974712</v>
      </c>
      <c r="R79" s="1">
        <f>(Main_L[[#This Row],[ROA]]-VLOOKUP(Main_L[[#This Row],[Industry]], Mean_ROA_L, 2, FALSE))/(VLOOKUP(Main_L[[#This Row],[Industry]], Mean_ROA_L, 3, FALSE))</f>
        <v>-0.26731158198520405</v>
      </c>
      <c r="S79" s="1">
        <f>(Main_L[[#This Row],[A/E]]-VLOOKUP(Main_L[[#This Row],[Industry]], Mean_AE_L, 2, FALSE))/(VLOOKUP(Main_L[[#This Row],[Industry]], Mean_AE_L, 3, FALSE))</f>
        <v>0.74933388646681898</v>
      </c>
      <c r="T79" s="1">
        <f>(Main_L[[#This Row],[P/E]]-VLOOKUP(Main_L[[#This Row],[Industry]], Mean_PE_L, 2, FALSE))/(VLOOKUP(Main_L[[#This Row],[Industry]], Mean_PE_L, 3, FALSE))</f>
        <v>0.22262056729321839</v>
      </c>
      <c r="U7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0" spans="1:26" x14ac:dyDescent="0.25">
      <c r="A80" t="s">
        <v>115</v>
      </c>
      <c r="B80" t="s">
        <v>186</v>
      </c>
      <c r="C80" s="2">
        <v>18778</v>
      </c>
      <c r="D80">
        <f>RTD("tos.rtd", , "LAST", Main_L[[#This Row],[Symbol]])</f>
        <v>46.51</v>
      </c>
      <c r="E80">
        <v>1.07</v>
      </c>
      <c r="F80">
        <v>0.63</v>
      </c>
      <c r="G80">
        <v>0.91</v>
      </c>
      <c r="H80" s="1">
        <f>IF(ISNUMBER(Main_L[[#This Row],[Free CF]]),IF(Main_L[[#This Row],[Free CF]]&lt;&gt;0,Main_L[[#This Row],[Current Price]]/Main_L[[#This Row],[Free CF]],""),"")</f>
        <v>43.467289719626166</v>
      </c>
      <c r="I80" s="1">
        <f>IF(ISNUMBER(Main_L[[#This Row],[BVPS]]),IF(Main_L[[#This Row],[BVPS]]&lt;&gt;0,Main_L[[#This Row],[Current Price]]/Main_L[[#This Row],[BVPS]],""),"")</f>
        <v>73.825396825396822</v>
      </c>
      <c r="J80">
        <v>101.78</v>
      </c>
      <c r="K80">
        <v>2.27</v>
      </c>
      <c r="L80">
        <v>11.53</v>
      </c>
      <c r="M80" s="1">
        <f>IF(ISNUMBER(Main_L[[#This Row],[EPS]]),IF(Main_L[[#This Row],[EPS]]&lt;&gt;0,Main_L[[#This Row],[Current Price]]/Main_L[[#This Row],[EPS]],""),"")</f>
        <v>51.109890109890109</v>
      </c>
      <c r="N8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0" s="1">
        <f>(Main_L[[#This Row],[P/FCF]]-VLOOKUP(Main_L[[#This Row],[Industry]], Mean_PFCF_L, 2, FALSE))/(VLOOKUP(Main_L[[#This Row],[Industry]], Mean_PFCF_L, 3, FALSE))</f>
        <v>0.80919143819741868</v>
      </c>
      <c r="P80" s="1">
        <f>(Main_L[[#This Row],[P/B]]-VLOOKUP(Main_L[[#This Row],[Industry]], Mean_PB_L, 2, FALSE))/(VLOOKUP(Main_L[[#This Row],[Industry]], Mean_PB_L, 3, FALSE))</f>
        <v>5.726169088449943</v>
      </c>
      <c r="Q80" s="1">
        <f>(Main_L[[#This Row],[ROE]]-VLOOKUP(Main_L[[#This Row],[Industry]], Mean_ROE_L, 2, FALSE))/(VLOOKUP(Main_L[[#This Row],[Industry]], Mean_ROE_L, 3, FALSE))</f>
        <v>2.0574534292887035</v>
      </c>
      <c r="R80" s="1">
        <f>(Main_L[[#This Row],[ROA]]-VLOOKUP(Main_L[[#This Row],[Industry]], Mean_ROA_L, 2, FALSE))/(VLOOKUP(Main_L[[#This Row],[Industry]], Mean_ROA_L, 3, FALSE))</f>
        <v>-1.5287681543891252</v>
      </c>
      <c r="S80" s="1">
        <f>(Main_L[[#This Row],[A/E]]-VLOOKUP(Main_L[[#This Row],[Industry]], Mean_AE_L, 2, FALSE))/(VLOOKUP(Main_L[[#This Row],[Industry]], Mean_AE_L, 3, FALSE))</f>
        <v>3.6756799062477645</v>
      </c>
      <c r="T80" s="1">
        <f>(Main_L[[#This Row],[P/E]]-VLOOKUP(Main_L[[#This Row],[Industry]], Mean_PE_L, 2, FALSE))/(VLOOKUP(Main_L[[#This Row],[Industry]], Mean_PE_L, 3, FALSE))</f>
        <v>2.6266583836573463</v>
      </c>
      <c r="U8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8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8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1" spans="1:26" x14ac:dyDescent="0.25">
      <c r="A81" t="s">
        <v>115</v>
      </c>
      <c r="B81" t="s">
        <v>183</v>
      </c>
      <c r="C81" s="2">
        <v>13330</v>
      </c>
      <c r="D81">
        <f>RTD("tos.rtd", , "LAST", Main_L[[#This Row],[Symbol]])</f>
        <v>30.34</v>
      </c>
      <c r="E81">
        <v>0.33</v>
      </c>
      <c r="F81">
        <v>11.03</v>
      </c>
      <c r="G81">
        <v>0.33</v>
      </c>
      <c r="H81" s="1">
        <f>IF(ISNUMBER(Main_L[[#This Row],[Free CF]]),IF(Main_L[[#This Row],[Free CF]]&lt;&gt;0,Main_L[[#This Row],[Current Price]]/Main_L[[#This Row],[Free CF]],""),"")</f>
        <v>91.939393939393938</v>
      </c>
      <c r="I81" s="1">
        <f>IF(ISNUMBER(Main_L[[#This Row],[BVPS]]),IF(Main_L[[#This Row],[BVPS]]&lt;&gt;0,Main_L[[#This Row],[Current Price]]/Main_L[[#This Row],[BVPS]],""),"")</f>
        <v>2.7506799637352675</v>
      </c>
      <c r="J81">
        <v>4.1900000000000004</v>
      </c>
      <c r="K81">
        <v>-0.25</v>
      </c>
      <c r="L81">
        <v>1.19</v>
      </c>
      <c r="M81" s="1">
        <f>IF(ISNUMBER(Main_L[[#This Row],[EPS]]),IF(Main_L[[#This Row],[EPS]]&lt;&gt;0,Main_L[[#This Row],[Current Price]]/Main_L[[#This Row],[EPS]],""),"")</f>
        <v>91.939393939393938</v>
      </c>
      <c r="N8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1" s="1">
        <f>(Main_L[[#This Row],[P/FCF]]-VLOOKUP(Main_L[[#This Row],[Industry]], Mean_PFCF_L, 2, FALSE))/(VLOOKUP(Main_L[[#This Row],[Industry]], Mean_PFCF_L, 3, FALSE))</f>
        <v>3.5885905479712568</v>
      </c>
      <c r="P81" s="1">
        <f>(Main_L[[#This Row],[P/B]]-VLOOKUP(Main_L[[#This Row],[Industry]], Mean_PB_L, 2, FALSE))/(VLOOKUP(Main_L[[#This Row],[Industry]], Mean_PB_L, 3, FALSE))</f>
        <v>-0.44480310634134262</v>
      </c>
      <c r="Q81" s="1">
        <f>(Main_L[[#This Row],[ROE]]-VLOOKUP(Main_L[[#This Row],[Industry]], Mean_ROE_L, 2, FALSE))/(VLOOKUP(Main_L[[#This Row],[Industry]], Mean_ROE_L, 3, FALSE))</f>
        <v>-1.4901074913554115</v>
      </c>
      <c r="R81" s="1">
        <f>(Main_L[[#This Row],[ROA]]-VLOOKUP(Main_L[[#This Row],[Industry]], Mean_ROA_L, 2, FALSE))/(VLOOKUP(Main_L[[#This Row],[Industry]], Mean_ROA_L, 3, FALSE))</f>
        <v>-1.9935153126432013</v>
      </c>
      <c r="S81" s="1">
        <f>(Main_L[[#This Row],[A/E]]-VLOOKUP(Main_L[[#This Row],[Industry]], Mean_AE_L, 2, FALSE))/(VLOOKUP(Main_L[[#This Row],[Industry]], Mean_AE_L, 3, FALSE))</f>
        <v>-0.71596274172538166</v>
      </c>
      <c r="T81" s="1">
        <f>(Main_L[[#This Row],[P/E]]-VLOOKUP(Main_L[[#This Row],[Industry]], Mean_PE_L, 2, FALSE))/(VLOOKUP(Main_L[[#This Row],[Industry]], Mean_PE_L, 3, FALSE))</f>
        <v>6.4047046841539466</v>
      </c>
      <c r="U8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8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2" spans="1:26" x14ac:dyDescent="0.25">
      <c r="A82" t="s">
        <v>115</v>
      </c>
      <c r="B82" t="s">
        <v>468</v>
      </c>
      <c r="C82" s="2">
        <v>37853</v>
      </c>
      <c r="D82">
        <f>RTD("tos.rtd", , "LAST", Main_L[[#This Row],[Symbol]])</f>
        <v>32.299999999999997</v>
      </c>
      <c r="E82">
        <v>0.46</v>
      </c>
      <c r="F82">
        <v>1.1000000000000001</v>
      </c>
      <c r="G82">
        <v>0.32</v>
      </c>
      <c r="H82" s="1">
        <f>IF(ISNUMBER(Main_L[[#This Row],[Free CF]]),IF(Main_L[[#This Row],[Free CF]]&lt;&gt;0,Main_L[[#This Row],[Current Price]]/Main_L[[#This Row],[Free CF]],""),"")</f>
        <v>70.217391304347814</v>
      </c>
      <c r="I82" s="1">
        <f>IF(ISNUMBER(Main_L[[#This Row],[BVPS]]),IF(Main_L[[#This Row],[BVPS]]&lt;&gt;0,Main_L[[#This Row],[Current Price]]/Main_L[[#This Row],[BVPS]],""),"")</f>
        <v>29.36363636363636</v>
      </c>
      <c r="J82">
        <v>35.450000000000003</v>
      </c>
      <c r="K82">
        <v>21.1</v>
      </c>
      <c r="L82">
        <v>1.39</v>
      </c>
      <c r="M82" s="1">
        <f>IF(ISNUMBER(Main_L[[#This Row],[EPS]]),IF(Main_L[[#This Row],[EPS]]&lt;&gt;0,Main_L[[#This Row],[Current Price]]/Main_L[[#This Row],[EPS]],""),"")</f>
        <v>100.93749999999999</v>
      </c>
      <c r="N8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2" s="1">
        <f>(Main_L[[#This Row],[P/FCF]]-VLOOKUP(Main_L[[#This Row],[Industry]], Mean_PFCF_L, 2, FALSE))/(VLOOKUP(Main_L[[#This Row],[Industry]], Mean_PFCF_L, 3, FALSE))</f>
        <v>2.3430470388093307</v>
      </c>
      <c r="P82" s="1">
        <f>(Main_L[[#This Row],[P/B]]-VLOOKUP(Main_L[[#This Row],[Industry]], Mean_PB_L, 2, FALSE))/(VLOOKUP(Main_L[[#This Row],[Industry]], Mean_PB_L, 3, FALSE))</f>
        <v>1.865833097593627</v>
      </c>
      <c r="Q82" s="1">
        <f>(Main_L[[#This Row],[ROE]]-VLOOKUP(Main_L[[#This Row],[Industry]], Mean_ROE_L, 2, FALSE))/(VLOOKUP(Main_L[[#This Row],[Industry]], Mean_ROE_L, 3, FALSE))</f>
        <v>-0.35375382418321105</v>
      </c>
      <c r="R82" s="1">
        <f>(Main_L[[#This Row],[ROA]]-VLOOKUP(Main_L[[#This Row],[Industry]], Mean_ROA_L, 2, FALSE))/(VLOOKUP(Main_L[[#This Row],[Industry]], Mean_ROA_L, 3, FALSE))</f>
        <v>1.9439258892316111</v>
      </c>
      <c r="S82" s="1">
        <f>(Main_L[[#This Row],[A/E]]-VLOOKUP(Main_L[[#This Row],[Industry]], Mean_AE_L, 2, FALSE))/(VLOOKUP(Main_L[[#This Row],[Industry]], Mean_AE_L, 3, FALSE))</f>
        <v>-0.63101800965626864</v>
      </c>
      <c r="T82" s="1">
        <f>(Main_L[[#This Row],[P/E]]-VLOOKUP(Main_L[[#This Row],[Industry]], Mean_PE_L, 2, FALSE))/(VLOOKUP(Main_L[[#This Row],[Industry]], Mean_PE_L, 3, FALSE))</f>
        <v>7.2373197816997399</v>
      </c>
      <c r="U8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3" spans="1:26" x14ac:dyDescent="0.25">
      <c r="A83" t="s">
        <v>110</v>
      </c>
      <c r="B83" t="s">
        <v>134</v>
      </c>
      <c r="C83" s="2">
        <v>39668</v>
      </c>
      <c r="D83">
        <f>RTD("tos.rtd", , "LAST", Main_L[[#This Row],[Symbol]])</f>
        <v>259.04000000000002</v>
      </c>
      <c r="E83">
        <v>12.8</v>
      </c>
      <c r="F83">
        <v>35.65</v>
      </c>
      <c r="G83">
        <v>14.64</v>
      </c>
      <c r="H83" s="1">
        <f>IF(ISNUMBER(Main_L[[#This Row],[Free CF]]),IF(Main_L[[#This Row],[Free CF]]&lt;&gt;0,Main_L[[#This Row],[Current Price]]/Main_L[[#This Row],[Free CF]],""),"")</f>
        <v>20.237500000000001</v>
      </c>
      <c r="I83" s="1">
        <f>IF(ISNUMBER(Main_L[[#This Row],[BVPS]]),IF(Main_L[[#This Row],[BVPS]]&lt;&gt;0,Main_L[[#This Row],[Current Price]]/Main_L[[#This Row],[BVPS]],""),"")</f>
        <v>7.2661991584852741</v>
      </c>
      <c r="J83">
        <v>42.42</v>
      </c>
      <c r="K83">
        <v>21.31</v>
      </c>
      <c r="L83">
        <v>1.76</v>
      </c>
      <c r="M83" s="1">
        <f>IF(ISNUMBER(Main_L[[#This Row],[EPS]]),IF(Main_L[[#This Row],[EPS]]&lt;&gt;0,Main_L[[#This Row],[Current Price]]/Main_L[[#This Row],[EPS]],""),"")</f>
        <v>17.693989071038253</v>
      </c>
      <c r="N8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3" s="1">
        <f>(Main_L[[#This Row],[P/FCF]]-VLOOKUP(Main_L[[#This Row],[Industry]], Mean_PFCF_L, 2, FALSE))/(VLOOKUP(Main_L[[#This Row],[Industry]], Mean_PFCF_L, 3, FALSE))</f>
        <v>-0.35004466157367298</v>
      </c>
      <c r="P83" s="1">
        <f>(Main_L[[#This Row],[P/B]]-VLOOKUP(Main_L[[#This Row],[Industry]], Mean_PB_L, 2, FALSE))/(VLOOKUP(Main_L[[#This Row],[Industry]], Mean_PB_L, 3, FALSE))</f>
        <v>0.18418612432269152</v>
      </c>
      <c r="Q83" s="1">
        <f>(Main_L[[#This Row],[ROE]]-VLOOKUP(Main_L[[#This Row],[Industry]], Mean_ROE_L, 2, FALSE))/(VLOOKUP(Main_L[[#This Row],[Industry]], Mean_ROE_L, 3, FALSE))</f>
        <v>1.2042760189374169</v>
      </c>
      <c r="R83" s="1">
        <f>(Main_L[[#This Row],[ROA]]-VLOOKUP(Main_L[[#This Row],[Industry]], Mean_ROA_L, 2, FALSE))/(VLOOKUP(Main_L[[#This Row],[Industry]], Mean_ROA_L, 3, FALSE))</f>
        <v>7.2648160330904341</v>
      </c>
      <c r="S83" s="1">
        <f>(Main_L[[#This Row],[A/E]]-VLOOKUP(Main_L[[#This Row],[Industry]], Mean_AE_L, 2, FALSE))/(VLOOKUP(Main_L[[#This Row],[Industry]], Mean_AE_L, 3, FALSE))</f>
        <v>-0.29715322775700831</v>
      </c>
      <c r="T83" s="1">
        <f>(Main_L[[#This Row],[P/E]]-VLOOKUP(Main_L[[#This Row],[Industry]], Mean_PE_L, 2, FALSE))/(VLOOKUP(Main_L[[#This Row],[Industry]], Mean_PE_L, 3, FALSE))</f>
        <v>-0.84545966781131299</v>
      </c>
      <c r="U8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8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4" spans="1:26" x14ac:dyDescent="0.25">
      <c r="A84" t="s">
        <v>110</v>
      </c>
      <c r="B84" t="s">
        <v>135</v>
      </c>
      <c r="C84" s="2">
        <v>16698</v>
      </c>
      <c r="D84">
        <f>RTD("tos.rtd", , "LAST", Main_L[[#This Row],[Symbol]])</f>
        <v>270.32</v>
      </c>
      <c r="E84">
        <v>16.28</v>
      </c>
      <c r="F84">
        <v>42.09</v>
      </c>
      <c r="G84">
        <v>11.61</v>
      </c>
      <c r="H84" s="1">
        <f>IF(ISNUMBER(Main_L[[#This Row],[Free CF]]),IF(Main_L[[#This Row],[Free CF]]&lt;&gt;0,Main_L[[#This Row],[Current Price]]/Main_L[[#This Row],[Free CF]],""),"")</f>
        <v>16.604422604422602</v>
      </c>
      <c r="I84" s="1">
        <f>IF(ISNUMBER(Main_L[[#This Row],[BVPS]]),IF(Main_L[[#This Row],[BVPS]]&lt;&gt;0,Main_L[[#This Row],[Current Price]]/Main_L[[#This Row],[BVPS]],""),"")</f>
        <v>6.4224281301971962</v>
      </c>
      <c r="J84">
        <v>29.49</v>
      </c>
      <c r="K84">
        <v>8.4600000000000009</v>
      </c>
      <c r="L84">
        <v>2.72</v>
      </c>
      <c r="M84" s="1">
        <f>IF(ISNUMBER(Main_L[[#This Row],[EPS]]),IF(Main_L[[#This Row],[EPS]]&lt;&gt;0,Main_L[[#This Row],[Current Price]]/Main_L[[#This Row],[EPS]],""),"")</f>
        <v>23.28337639965547</v>
      </c>
      <c r="N8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4" s="1">
        <f>(Main_L[[#This Row],[P/FCF]]-VLOOKUP(Main_L[[#This Row],[Industry]], Mean_PFCF_L, 2, FALSE))/(VLOOKUP(Main_L[[#This Row],[Industry]], Mean_PFCF_L, 3, FALSE))</f>
        <v>-0.73132673131946202</v>
      </c>
      <c r="P84" s="1">
        <f>(Main_L[[#This Row],[P/B]]-VLOOKUP(Main_L[[#This Row],[Industry]], Mean_PB_L, 2, FALSE))/(VLOOKUP(Main_L[[#This Row],[Industry]], Mean_PB_L, 3, FALSE))</f>
        <v>-0.13678390149437106</v>
      </c>
      <c r="Q84" s="1">
        <f>(Main_L[[#This Row],[ROE]]-VLOOKUP(Main_L[[#This Row],[Industry]], Mean_ROE_L, 2, FALSE))/(VLOOKUP(Main_L[[#This Row],[Industry]], Mean_ROE_L, 3, FALSE))</f>
        <v>0.25313172462665789</v>
      </c>
      <c r="R84" s="1">
        <f>(Main_L[[#This Row],[ROA]]-VLOOKUP(Main_L[[#This Row],[Industry]], Mean_ROA_L, 2, FALSE))/(VLOOKUP(Main_L[[#This Row],[Industry]], Mean_ROA_L, 3, FALSE))</f>
        <v>0.40999381367907844</v>
      </c>
      <c r="S84" s="1">
        <f>(Main_L[[#This Row],[A/E]]-VLOOKUP(Main_L[[#This Row],[Industry]], Mean_AE_L, 2, FALSE))/(VLOOKUP(Main_L[[#This Row],[Industry]], Mean_AE_L, 3, FALSE))</f>
        <v>1.7047211487112577</v>
      </c>
      <c r="T84" s="1">
        <f>(Main_L[[#This Row],[P/E]]-VLOOKUP(Main_L[[#This Row],[Industry]], Mean_PE_L, 2, FALSE))/(VLOOKUP(Main_L[[#This Row],[Industry]], Mean_PE_L, 3, FALSE))</f>
        <v>-1.6057137022956535E-2</v>
      </c>
      <c r="U8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5" spans="1:26" x14ac:dyDescent="0.25">
      <c r="A85" t="s">
        <v>110</v>
      </c>
      <c r="B85" t="s">
        <v>137</v>
      </c>
      <c r="C85" s="2">
        <v>15768</v>
      </c>
      <c r="D85">
        <f>RTD("tos.rtd", , "LAST", Main_L[[#This Row],[Symbol]])</f>
        <v>110.91</v>
      </c>
      <c r="E85">
        <v>6.31</v>
      </c>
      <c r="F85">
        <v>16.73</v>
      </c>
      <c r="G85">
        <v>6.33</v>
      </c>
      <c r="H85" s="1">
        <f>IF(ISNUMBER(Main_L[[#This Row],[Free CF]]),IF(Main_L[[#This Row],[Free CF]]&lt;&gt;0,Main_L[[#This Row],[Current Price]]/Main_L[[#This Row],[Free CF]],""),"")</f>
        <v>17.576862123613314</v>
      </c>
      <c r="I85" s="1">
        <f>IF(ISNUMBER(Main_L[[#This Row],[BVPS]]),IF(Main_L[[#This Row],[BVPS]]&lt;&gt;0,Main_L[[#This Row],[Current Price]]/Main_L[[#This Row],[BVPS]],""),"")</f>
        <v>6.6294082486551105</v>
      </c>
      <c r="J85">
        <v>41.82</v>
      </c>
      <c r="K85">
        <v>22.06</v>
      </c>
      <c r="L85">
        <v>1.42</v>
      </c>
      <c r="M85" s="1">
        <f>IF(ISNUMBER(Main_L[[#This Row],[EPS]]),IF(Main_L[[#This Row],[EPS]]&lt;&gt;0,Main_L[[#This Row],[Current Price]]/Main_L[[#This Row],[EPS]],""),"")</f>
        <v>17.521327014218009</v>
      </c>
      <c r="N8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85" s="1">
        <f>(Main_L[[#This Row],[P/FCF]]-VLOOKUP(Main_L[[#This Row],[Industry]], Mean_PFCF_L, 2, FALSE))/(VLOOKUP(Main_L[[#This Row],[Industry]], Mean_PFCF_L, 3, FALSE))</f>
        <v>-0.62927172059192205</v>
      </c>
      <c r="P85" s="1">
        <f>(Main_L[[#This Row],[P/B]]-VLOOKUP(Main_L[[#This Row],[Industry]], Mean_PB_L, 2, FALSE))/(VLOOKUP(Main_L[[#This Row],[Industry]], Mean_PB_L, 3, FALSE))</f>
        <v>-5.8048780545926291E-2</v>
      </c>
      <c r="Q85" s="1">
        <f>(Main_L[[#This Row],[ROE]]-VLOOKUP(Main_L[[#This Row],[Industry]], Mean_ROE_L, 2, FALSE))/(VLOOKUP(Main_L[[#This Row],[Industry]], Mean_ROE_L, 3, FALSE))</f>
        <v>1.1601393927513026</v>
      </c>
      <c r="R85" s="1">
        <f>(Main_L[[#This Row],[ROA]]-VLOOKUP(Main_L[[#This Row],[Industry]], Mean_ROA_L, 2, FALSE))/(VLOOKUP(Main_L[[#This Row],[Industry]], Mean_ROA_L, 3, FALSE))</f>
        <v>7.6649029330560774</v>
      </c>
      <c r="S85" s="1">
        <f>(Main_L[[#This Row],[A/E]]-VLOOKUP(Main_L[[#This Row],[Industry]], Mean_AE_L, 2, FALSE))/(VLOOKUP(Main_L[[#This Row],[Industry]], Mean_AE_L, 3, FALSE))</f>
        <v>-1.0061504027561858</v>
      </c>
      <c r="T85" s="1">
        <f>(Main_L[[#This Row],[P/E]]-VLOOKUP(Main_L[[#This Row],[Industry]], Mean_PE_L, 2, FALSE))/(VLOOKUP(Main_L[[#This Row],[Industry]], Mean_PE_L, 3, FALSE))</f>
        <v>-0.87108078484584517</v>
      </c>
      <c r="U8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8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6" spans="1:26" x14ac:dyDescent="0.25">
      <c r="A86" t="s">
        <v>110</v>
      </c>
      <c r="B86" t="s">
        <v>136</v>
      </c>
      <c r="C86" s="2">
        <v>16314</v>
      </c>
      <c r="D86">
        <f>RTD("tos.rtd", , "LAST", Main_L[[#This Row],[Symbol]])</f>
        <v>79.260000000000005</v>
      </c>
      <c r="E86">
        <v>4.0199999999999996</v>
      </c>
      <c r="F86">
        <v>7.19</v>
      </c>
      <c r="G86">
        <v>3.79</v>
      </c>
      <c r="H86" s="1">
        <f>IF(ISNUMBER(Main_L[[#This Row],[Free CF]]),IF(Main_L[[#This Row],[Free CF]]&lt;&gt;0,Main_L[[#This Row],[Current Price]]/Main_L[[#This Row],[Free CF]],""),"")</f>
        <v>19.716417910447763</v>
      </c>
      <c r="I86" s="1">
        <f>IF(ISNUMBER(Main_L[[#This Row],[BVPS]]),IF(Main_L[[#This Row],[BVPS]]&lt;&gt;0,Main_L[[#This Row],[Current Price]]/Main_L[[#This Row],[BVPS]],""),"")</f>
        <v>11.023643949930459</v>
      </c>
      <c r="J86">
        <v>40.270000000000003</v>
      </c>
      <c r="K86">
        <v>8.17</v>
      </c>
      <c r="L86">
        <v>4.8899999999999997</v>
      </c>
      <c r="M86" s="1">
        <f>IF(ISNUMBER(Main_L[[#This Row],[EPS]]),IF(Main_L[[#This Row],[EPS]]&lt;&gt;0,Main_L[[#This Row],[Current Price]]/Main_L[[#This Row],[EPS]],""),"")</f>
        <v>20.912928759894459</v>
      </c>
      <c r="N8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6" s="1">
        <f>(Main_L[[#This Row],[P/FCF]]-VLOOKUP(Main_L[[#This Row],[Industry]], Mean_PFCF_L, 2, FALSE))/(VLOOKUP(Main_L[[#This Row],[Industry]], Mean_PFCF_L, 3, FALSE))</f>
        <v>-0.40473087823775866</v>
      </c>
      <c r="P86" s="1">
        <f>(Main_L[[#This Row],[P/B]]-VLOOKUP(Main_L[[#This Row],[Industry]], Mean_PB_L, 2, FALSE))/(VLOOKUP(Main_L[[#This Row],[Industry]], Mean_PB_L, 3, FALSE))</f>
        <v>1.6135160151145689</v>
      </c>
      <c r="Q86" s="1">
        <f>(Main_L[[#This Row],[ROE]]-VLOOKUP(Main_L[[#This Row],[Industry]], Mean_ROE_L, 2, FALSE))/(VLOOKUP(Main_L[[#This Row],[Industry]], Mean_ROE_L, 3, FALSE))</f>
        <v>1.0461197751038414</v>
      </c>
      <c r="R86" s="1">
        <f>(Main_L[[#This Row],[ROA]]-VLOOKUP(Main_L[[#This Row],[Industry]], Mean_ROA_L, 2, FALSE))/(VLOOKUP(Main_L[[#This Row],[Industry]], Mean_ROA_L, 3, FALSE))</f>
        <v>0.25529354569236251</v>
      </c>
      <c r="S86" s="1">
        <f>(Main_L[[#This Row],[A/E]]-VLOOKUP(Main_L[[#This Row],[Industry]], Mean_AE_L, 2, FALSE))/(VLOOKUP(Main_L[[#This Row],[Industry]], Mean_AE_L, 3, FALSE))</f>
        <v>6.2297913538530656</v>
      </c>
      <c r="T86" s="1">
        <f>(Main_L[[#This Row],[P/E]]-VLOOKUP(Main_L[[#This Row],[Industry]], Mean_PE_L, 2, FALSE))/(VLOOKUP(Main_L[[#This Row],[Industry]], Mean_PE_L, 3, FALSE))</f>
        <v>-0.36780503995554137</v>
      </c>
      <c r="U8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8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7" spans="1:26" x14ac:dyDescent="0.25">
      <c r="A87" t="s">
        <v>110</v>
      </c>
      <c r="B87" t="s">
        <v>138</v>
      </c>
      <c r="C87" s="2">
        <v>89430</v>
      </c>
      <c r="D87">
        <f>RTD("tos.rtd", , "LAST", Main_L[[#This Row],[Symbol]])</f>
        <v>61.91</v>
      </c>
      <c r="E87">
        <v>3.56</v>
      </c>
      <c r="F87">
        <v>9.48</v>
      </c>
      <c r="G87">
        <v>3.01</v>
      </c>
      <c r="H87" s="1">
        <f>IF(ISNUMBER(Main_L[[#This Row],[Free CF]]),IF(Main_L[[#This Row],[Free CF]]&lt;&gt;0,Main_L[[#This Row],[Current Price]]/Main_L[[#This Row],[Free CF]],""),"")</f>
        <v>17.390449438202246</v>
      </c>
      <c r="I87" s="1">
        <f>IF(ISNUMBER(Main_L[[#This Row],[BVPS]]),IF(Main_L[[#This Row],[BVPS]]&lt;&gt;0,Main_L[[#This Row],[Current Price]]/Main_L[[#This Row],[BVPS]],""),"")</f>
        <v>6.5305907172995772</v>
      </c>
      <c r="J87">
        <v>31.93</v>
      </c>
      <c r="K87">
        <v>8.26</v>
      </c>
      <c r="L87">
        <v>2.7</v>
      </c>
      <c r="M87" s="1">
        <f>IF(ISNUMBER(Main_L[[#This Row],[EPS]]),IF(Main_L[[#This Row],[EPS]]&lt;&gt;0,Main_L[[#This Row],[Current Price]]/Main_L[[#This Row],[EPS]],""),"")</f>
        <v>20.568106312292358</v>
      </c>
      <c r="N8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7" s="1">
        <f>(Main_L[[#This Row],[P/FCF]]-VLOOKUP(Main_L[[#This Row],[Industry]], Mean_PFCF_L, 2, FALSE))/(VLOOKUP(Main_L[[#This Row],[Industry]], Mean_PFCF_L, 3, FALSE))</f>
        <v>-0.64883524946332016</v>
      </c>
      <c r="P87" s="1">
        <f>(Main_L[[#This Row],[P/B]]-VLOOKUP(Main_L[[#This Row],[Industry]], Mean_PB_L, 2, FALSE))/(VLOOKUP(Main_L[[#This Row],[Industry]], Mean_PB_L, 3, FALSE))</f>
        <v>-9.5638914038320894E-2</v>
      </c>
      <c r="Q87" s="1">
        <f>(Main_L[[#This Row],[ROE]]-VLOOKUP(Main_L[[#This Row],[Industry]], Mean_ROE_L, 2, FALSE))/(VLOOKUP(Main_L[[#This Row],[Industry]], Mean_ROE_L, 3, FALSE))</f>
        <v>0.43262067111685526</v>
      </c>
      <c r="R87" s="1">
        <f>(Main_L[[#This Row],[ROA]]-VLOOKUP(Main_L[[#This Row],[Industry]], Mean_ROA_L, 2, FALSE))/(VLOOKUP(Main_L[[#This Row],[Industry]], Mean_ROA_L, 3, FALSE))</f>
        <v>0.30330397368823964</v>
      </c>
      <c r="S87" s="1">
        <f>(Main_L[[#This Row],[A/E]]-VLOOKUP(Main_L[[#This Row],[Industry]], Mean_AE_L, 2, FALSE))/(VLOOKUP(Main_L[[#This Row],[Industry]], Mean_AE_L, 3, FALSE))</f>
        <v>1.6630154325348354</v>
      </c>
      <c r="T87" s="1">
        <f>(Main_L[[#This Row],[P/E]]-VLOOKUP(Main_L[[#This Row],[Industry]], Mean_PE_L, 2, FALSE))/(VLOOKUP(Main_L[[#This Row],[Industry]], Mean_PE_L, 3, FALSE))</f>
        <v>-0.41897283239846961</v>
      </c>
      <c r="U8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8" spans="1:26" x14ac:dyDescent="0.25">
      <c r="A88" t="s">
        <v>110</v>
      </c>
      <c r="B88" t="s">
        <v>465</v>
      </c>
      <c r="C88" s="2">
        <v>16986</v>
      </c>
      <c r="D88">
        <f>RTD("tos.rtd", , "LAST", Main_L[[#This Row],[Symbol]])</f>
        <v>61.174999999999997</v>
      </c>
      <c r="E88">
        <v>3.04</v>
      </c>
      <c r="F88">
        <v>13.73</v>
      </c>
      <c r="G88">
        <v>2.44</v>
      </c>
      <c r="H88" s="1">
        <f>IF(ISNUMBER(Main_L[[#This Row],[Free CF]]),IF(Main_L[[#This Row],[Free CF]]&lt;&gt;0,Main_L[[#This Row],[Current Price]]/Main_L[[#This Row],[Free CF]],""),"")</f>
        <v>20.123355263157894</v>
      </c>
      <c r="I88" s="1">
        <f>IF(ISNUMBER(Main_L[[#This Row],[BVPS]]),IF(Main_L[[#This Row],[BVPS]]&lt;&gt;0,Main_L[[#This Row],[Current Price]]/Main_L[[#This Row],[BVPS]],""),"")</f>
        <v>4.4555717407137649</v>
      </c>
      <c r="J88">
        <v>18.809999999999999</v>
      </c>
      <c r="K88">
        <v>10.91</v>
      </c>
      <c r="L88">
        <v>1.53</v>
      </c>
      <c r="M88" s="1">
        <f>IF(ISNUMBER(Main_L[[#This Row],[EPS]]),IF(Main_L[[#This Row],[EPS]]&lt;&gt;0,Main_L[[#This Row],[Current Price]]/Main_L[[#This Row],[EPS]],""),"")</f>
        <v>25.071721311475411</v>
      </c>
      <c r="N8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88" s="1">
        <f>(Main_L[[#This Row],[P/FCF]]-VLOOKUP(Main_L[[#This Row],[Industry]], Mean_PFCF_L, 2, FALSE))/(VLOOKUP(Main_L[[#This Row],[Industry]], Mean_PFCF_L, 3, FALSE))</f>
        <v>-0.36202385628246897</v>
      </c>
      <c r="P88" s="1">
        <f>(Main_L[[#This Row],[P/B]]-VLOOKUP(Main_L[[#This Row],[Industry]], Mean_PB_L, 2, FALSE))/(VLOOKUP(Main_L[[#This Row],[Industry]], Mean_PB_L, 3, FALSE))</f>
        <v>-0.88497496867499736</v>
      </c>
      <c r="Q88" s="1">
        <f>(Main_L[[#This Row],[ROE]]-VLOOKUP(Main_L[[#This Row],[Industry]], Mean_ROE_L, 2, FALSE))/(VLOOKUP(Main_L[[#This Row],[Industry]], Mean_ROE_L, 3, FALSE))</f>
        <v>-0.53250022148617293</v>
      </c>
      <c r="R88" s="1">
        <f>(Main_L[[#This Row],[ROA]]-VLOOKUP(Main_L[[#This Row],[Industry]], Mean_ROA_L, 2, FALSE))/(VLOOKUP(Main_L[[#This Row],[Industry]], Mean_ROA_L, 3, FALSE))</f>
        <v>1.7169443535668465</v>
      </c>
      <c r="S88" s="1">
        <f>(Main_L[[#This Row],[A/E]]-VLOOKUP(Main_L[[#This Row],[Industry]], Mean_AE_L, 2, FALSE))/(VLOOKUP(Main_L[[#This Row],[Industry]], Mean_AE_L, 3, FALSE))</f>
        <v>-0.77676896378586358</v>
      </c>
      <c r="T88" s="1">
        <f>(Main_L[[#This Row],[P/E]]-VLOOKUP(Main_L[[#This Row],[Industry]], Mean_PE_L, 2, FALSE))/(VLOOKUP(Main_L[[#This Row],[Industry]], Mean_PE_L, 3, FALSE))</f>
        <v>0.24931323518076917</v>
      </c>
      <c r="U8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9" spans="1:26" x14ac:dyDescent="0.25">
      <c r="A89" t="s">
        <v>110</v>
      </c>
      <c r="B89" t="s">
        <v>247</v>
      </c>
      <c r="C89" s="2">
        <v>10102</v>
      </c>
      <c r="D89">
        <f>RTD("tos.rtd", , "LAST", Main_L[[#This Row],[Symbol]])</f>
        <v>56.1</v>
      </c>
      <c r="E89">
        <v>1.83</v>
      </c>
      <c r="F89">
        <v>16.09</v>
      </c>
      <c r="G89">
        <v>1.45</v>
      </c>
      <c r="H89" s="1">
        <f>IF(ISNUMBER(Main_L[[#This Row],[Free CF]]),IF(Main_L[[#This Row],[Free CF]]&lt;&gt;0,Main_L[[#This Row],[Current Price]]/Main_L[[#This Row],[Free CF]],""),"")</f>
        <v>30.655737704918032</v>
      </c>
      <c r="I89" s="1">
        <f>IF(ISNUMBER(Main_L[[#This Row],[BVPS]]),IF(Main_L[[#This Row],[BVPS]]&lt;&gt;0,Main_L[[#This Row],[Current Price]]/Main_L[[#This Row],[BVPS]],""),"")</f>
        <v>3.4866376631448106</v>
      </c>
      <c r="J89">
        <v>9.44</v>
      </c>
      <c r="K89">
        <v>6.48</v>
      </c>
      <c r="L89">
        <v>1.8</v>
      </c>
      <c r="M89" s="1">
        <f>IF(ISNUMBER(Main_L[[#This Row],[EPS]]),IF(Main_L[[#This Row],[EPS]]&lt;&gt;0,Main_L[[#This Row],[Current Price]]/Main_L[[#This Row],[EPS]],""),"")</f>
        <v>38.689655172413794</v>
      </c>
      <c r="N8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9" s="1">
        <f>(Main_L[[#This Row],[P/FCF]]-VLOOKUP(Main_L[[#This Row],[Industry]], Mean_PFCF_L, 2, FALSE))/(VLOOKUP(Main_L[[#This Row],[Industry]], Mean_PFCF_L, 3, FALSE))</f>
        <v>0.74332242167929929</v>
      </c>
      <c r="P89" s="1">
        <f>(Main_L[[#This Row],[P/B]]-VLOOKUP(Main_L[[#This Row],[Industry]], Mean_PB_L, 2, FALSE))/(VLOOKUP(Main_L[[#This Row],[Industry]], Mean_PB_L, 3, FALSE))</f>
        <v>-1.2535569482237887</v>
      </c>
      <c r="Q89" s="1">
        <f>(Main_L[[#This Row],[ROE]]-VLOOKUP(Main_L[[#This Row],[Industry]], Mean_ROE_L, 2, FALSE))/(VLOOKUP(Main_L[[#This Row],[Industry]], Mean_ROE_L, 3, FALSE))</f>
        <v>-1.2217672004259881</v>
      </c>
      <c r="R89" s="1">
        <f>(Main_L[[#This Row],[ROA]]-VLOOKUP(Main_L[[#This Row],[Industry]], Mean_ROA_L, 2, FALSE))/(VLOOKUP(Main_L[[#This Row],[Industry]], Mean_ROA_L, 3, FALSE))</f>
        <v>-0.64623560223022036</v>
      </c>
      <c r="S89" s="1">
        <f>(Main_L[[#This Row],[A/E]]-VLOOKUP(Main_L[[#This Row],[Industry]], Mean_AE_L, 2, FALSE))/(VLOOKUP(Main_L[[#This Row],[Industry]], Mean_AE_L, 3, FALSE))</f>
        <v>-0.21374179540416385</v>
      </c>
      <c r="T89" s="1">
        <f>(Main_L[[#This Row],[P/E]]-VLOOKUP(Main_L[[#This Row],[Industry]], Mean_PE_L, 2, FALSE))/(VLOOKUP(Main_L[[#This Row],[Industry]], Mean_PE_L, 3, FALSE))</f>
        <v>2.2700622268533515</v>
      </c>
      <c r="U8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0" spans="1:26" x14ac:dyDescent="0.25">
      <c r="A90" t="s">
        <v>110</v>
      </c>
      <c r="B90" t="s">
        <v>139</v>
      </c>
      <c r="C90" s="2">
        <v>19369</v>
      </c>
      <c r="D90">
        <f>RTD("tos.rtd", , "LAST", Main_L[[#This Row],[Symbol]])</f>
        <v>56.46</v>
      </c>
      <c r="E90">
        <v>1.22</v>
      </c>
      <c r="F90">
        <v>5.03</v>
      </c>
      <c r="G90">
        <v>0.71</v>
      </c>
      <c r="H90" s="1">
        <f>IF(ISNUMBER(Main_L[[#This Row],[Free CF]]),IF(Main_L[[#This Row],[Free CF]]&lt;&gt;0,Main_L[[#This Row],[Current Price]]/Main_L[[#This Row],[Free CF]],""),"")</f>
        <v>46.278688524590166</v>
      </c>
      <c r="I90" s="1">
        <f>IF(ISNUMBER(Main_L[[#This Row],[BVPS]]),IF(Main_L[[#This Row],[BVPS]]&lt;&gt;0,Main_L[[#This Row],[Current Price]]/Main_L[[#This Row],[BVPS]],""),"")</f>
        <v>11.224652087475148</v>
      </c>
      <c r="J90">
        <v>15.73</v>
      </c>
      <c r="K90">
        <v>7.25</v>
      </c>
      <c r="L90">
        <v>1.66</v>
      </c>
      <c r="M90" s="1">
        <f>IF(ISNUMBER(Main_L[[#This Row],[EPS]]),IF(Main_L[[#This Row],[EPS]]&lt;&gt;0,Main_L[[#This Row],[Current Price]]/Main_L[[#This Row],[EPS]],""),"")</f>
        <v>79.521126760563391</v>
      </c>
      <c r="N9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0" s="1">
        <f>(Main_L[[#This Row],[P/FCF]]-VLOOKUP(Main_L[[#This Row],[Industry]], Mean_PFCF_L, 2, FALSE))/(VLOOKUP(Main_L[[#This Row],[Industry]], Mean_PFCF_L, 3, FALSE))</f>
        <v>2.3829106757893017</v>
      </c>
      <c r="P90" s="1">
        <f>(Main_L[[#This Row],[P/B]]-VLOOKUP(Main_L[[#This Row],[Industry]], Mean_PB_L, 2, FALSE))/(VLOOKUP(Main_L[[#This Row],[Industry]], Mean_PB_L, 3, FALSE))</f>
        <v>1.68997939787382</v>
      </c>
      <c r="Q90" s="1">
        <f>(Main_L[[#This Row],[ROE]]-VLOOKUP(Main_L[[#This Row],[Industry]], Mean_ROE_L, 2, FALSE))/(VLOOKUP(Main_L[[#This Row],[Industry]], Mean_ROE_L, 3, FALSE))</f>
        <v>-0.75906823590822514</v>
      </c>
      <c r="R90" s="1">
        <f>(Main_L[[#This Row],[ROA]]-VLOOKUP(Main_L[[#This Row],[Industry]], Mean_ROA_L, 2, FALSE))/(VLOOKUP(Main_L[[#This Row],[Industry]], Mean_ROA_L, 3, FALSE))</f>
        <v>-0.23547971826549335</v>
      </c>
      <c r="S90" s="1">
        <f>(Main_L[[#This Row],[A/E]]-VLOOKUP(Main_L[[#This Row],[Industry]], Mean_AE_L, 2, FALSE))/(VLOOKUP(Main_L[[#This Row],[Industry]], Mean_AE_L, 3, FALSE))</f>
        <v>-0.50568180863911949</v>
      </c>
      <c r="T90" s="1">
        <f>(Main_L[[#This Row],[P/E]]-VLOOKUP(Main_L[[#This Row],[Industry]], Mean_PE_L, 2, FALSE))/(VLOOKUP(Main_L[[#This Row],[Industry]], Mean_PE_L, 3, FALSE))</f>
        <v>8.3289956805494896</v>
      </c>
      <c r="U9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1" spans="1:26" x14ac:dyDescent="0.25">
      <c r="A91" t="s">
        <v>110</v>
      </c>
      <c r="B91" t="s">
        <v>133</v>
      </c>
      <c r="C91" s="2">
        <v>20173</v>
      </c>
      <c r="D91">
        <f>RTD("tos.rtd", , "LAST", Main_L[[#This Row],[Symbol]])</f>
        <v>37.67</v>
      </c>
      <c r="E91">
        <v>0.37</v>
      </c>
      <c r="F91">
        <v>9.42</v>
      </c>
      <c r="G91">
        <v>0.38</v>
      </c>
      <c r="H91" s="1">
        <f>IF(ISNUMBER(Main_L[[#This Row],[Free CF]]),IF(Main_L[[#This Row],[Free CF]]&lt;&gt;0,Main_L[[#This Row],[Current Price]]/Main_L[[#This Row],[Free CF]],""),"")</f>
        <v>101.81081081081082</v>
      </c>
      <c r="I91" s="1">
        <f>IF(ISNUMBER(Main_L[[#This Row],[BVPS]]),IF(Main_L[[#This Row],[BVPS]]&lt;&gt;0,Main_L[[#This Row],[Current Price]]/Main_L[[#This Row],[BVPS]],""),"")</f>
        <v>3.9989384288747347</v>
      </c>
      <c r="J91">
        <v>4.53</v>
      </c>
      <c r="K91">
        <v>4.3099999999999996</v>
      </c>
      <c r="L91">
        <v>1.63</v>
      </c>
      <c r="M91" s="1">
        <f>IF(ISNUMBER(Main_L[[#This Row],[EPS]]),IF(Main_L[[#This Row],[EPS]]&lt;&gt;0,Main_L[[#This Row],[Current Price]]/Main_L[[#This Row],[EPS]],""),"")</f>
        <v>99.131578947368425</v>
      </c>
      <c r="N9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1" s="1">
        <f>(Main_L[[#This Row],[P/FCF]]-VLOOKUP(Main_L[[#This Row],[Industry]], Mean_PFCF_L, 2, FALSE))/(VLOOKUP(Main_L[[#This Row],[Industry]], Mean_PFCF_L, 3, FALSE))</f>
        <v>8.2108631847122275</v>
      </c>
      <c r="P91" s="1">
        <f>(Main_L[[#This Row],[P/B]]-VLOOKUP(Main_L[[#This Row],[Industry]], Mean_PB_L, 2, FALSE))/(VLOOKUP(Main_L[[#This Row],[Industry]], Mean_PB_L, 3, FALSE))</f>
        <v>-1.0586780243336757</v>
      </c>
      <c r="Q91" s="1">
        <f>(Main_L[[#This Row],[ROE]]-VLOOKUP(Main_L[[#This Row],[Industry]], Mean_ROE_L, 2, FALSE))/(VLOOKUP(Main_L[[#This Row],[Industry]], Mean_ROE_L, 3, FALSE))</f>
        <v>-1.582951924715688</v>
      </c>
      <c r="R91" s="1">
        <f>(Main_L[[#This Row],[ROA]]-VLOOKUP(Main_L[[#This Row],[Industry]], Mean_ROA_L, 2, FALSE))/(VLOOKUP(Main_L[[#This Row],[Industry]], Mean_ROA_L, 3, FALSE))</f>
        <v>-1.8038203661308156</v>
      </c>
      <c r="S91" s="1">
        <f>(Main_L[[#This Row],[A/E]]-VLOOKUP(Main_L[[#This Row],[Industry]], Mean_AE_L, 2, FALSE))/(VLOOKUP(Main_L[[#This Row],[Industry]], Mean_AE_L, 3, FALSE))</f>
        <v>-0.56824038290375289</v>
      </c>
      <c r="T91" s="1">
        <f>(Main_L[[#This Row],[P/E]]-VLOOKUP(Main_L[[#This Row],[Industry]], Mean_PE_L, 2, FALSE))/(VLOOKUP(Main_L[[#This Row],[Industry]], Mean_PE_L, 3, FALSE))</f>
        <v>11.238967331711482</v>
      </c>
      <c r="U9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9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141"/>
  <sheetViews>
    <sheetView topLeftCell="H1" workbookViewId="0">
      <selection activeCell="B24" sqref="B24"/>
    </sheetView>
  </sheetViews>
  <sheetFormatPr defaultRowHeight="15" x14ac:dyDescent="0.25"/>
  <cols>
    <col min="1" max="1" width="30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7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106</v>
      </c>
      <c r="B2" t="s">
        <v>197</v>
      </c>
      <c r="C2" s="2">
        <v>7949</v>
      </c>
      <c r="D2">
        <f>RTD("tos.rtd", , "LAST", Main_M[[#This Row],[Symbol]])</f>
        <v>105.22</v>
      </c>
      <c r="E2">
        <v>5.99</v>
      </c>
      <c r="F2">
        <v>30.41</v>
      </c>
      <c r="G2">
        <v>8.68</v>
      </c>
      <c r="H2" s="1">
        <f>IF(ISNUMBER(Main_M[[#This Row],[Free CF]]),IF(Main_M[[#This Row],[Free CF]]&lt;&gt;0,Main_M[[#This Row],[Current Price]]/Main_M[[#This Row],[Free CF]],""),"")</f>
        <v>17.565943238731219</v>
      </c>
      <c r="I2" s="1">
        <f>IF(ISNUMBER(Main_M[[#This Row],[BVPS]]),IF(Main_M[[#This Row],[BVPS]]&lt;&gt;0,Main_M[[#This Row],[Current Price]]/Main_M[[#This Row],[BVPS]],""),"")</f>
        <v>3.4600460374876683</v>
      </c>
      <c r="J2">
        <v>28.66</v>
      </c>
      <c r="K2">
        <v>7.91</v>
      </c>
      <c r="L2">
        <v>3.45</v>
      </c>
      <c r="M2" s="1">
        <f>IF(ISNUMBER(Main_M[[#This Row],[EPS]]),IF(Main_M[[#This Row],[EPS]]&lt;&gt;0,Main_M[[#This Row],[Current Price]]/Main_M[[#This Row],[EPS]],""),"")</f>
        <v>12.122119815668203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1.0534427804822912</v>
      </c>
      <c r="P2" s="1">
        <f>(Main_M[[#This Row],[P/B]]-VLOOKUP(Main_M[[#This Row],[Industry]], Mean_PB_M, 2, FALSE))/(VLOOKUP(Main_M[[#This Row],[Industry]], Mean_PB_M, 3, FALSE))</f>
        <v>1.8543793059679134</v>
      </c>
      <c r="Q2" s="1">
        <f>(Main_M[[#This Row],[ROE]]-VLOOKUP(Main_M[[#This Row],[Industry]], Mean_ROE_M, 2, FALSE))/(VLOOKUP(Main_M[[#This Row],[Industry]], Mean_ROE_M, 3, FALSE))</f>
        <v>1.3562844283222835</v>
      </c>
      <c r="R2" s="1">
        <f>(Main_M[[#This Row],[ROA]]-VLOOKUP(Main_M[[#This Row],[Industry]], Mean_ROA_M, 2, FALSE))/(VLOOKUP(Main_M[[#This Row],[Industry]], Mean_ROA_M, 3, FALSE))</f>
        <v>0.81643696732688698</v>
      </c>
      <c r="S2" s="1">
        <f>(Main_M[[#This Row],[A/E]]-VLOOKUP(Main_M[[#This Row],[Industry]], Mean_AE_M, 2, FALSE))/(VLOOKUP(Main_M[[#This Row],[Industry]], Mean_AE_M, 3, FALSE))</f>
        <v>0.7890916401565462</v>
      </c>
      <c r="T2" s="1">
        <f>(Main_M[[#This Row],[P/E]]-VLOOKUP(Main_M[[#This Row],[Industry]], Mean_PE_M, 2, FALSE))/(VLOOKUP(Main_M[[#This Row],[Industry]], Mean_PE_M, 3, FALSE))</f>
        <v>6.2800716856489094E-2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t="s">
        <v>106</v>
      </c>
      <c r="B3" t="s">
        <v>204</v>
      </c>
      <c r="C3" s="2">
        <v>4834</v>
      </c>
      <c r="D3">
        <f>RTD("tos.rtd", , "LAST", Main_M[[#This Row],[Symbol]])</f>
        <v>90.4</v>
      </c>
      <c r="E3">
        <v>8.64</v>
      </c>
      <c r="F3">
        <v>87.13</v>
      </c>
      <c r="G3">
        <v>8.59</v>
      </c>
      <c r="H3" s="1">
        <f>IF(ISNUMBER(Main_M[[#This Row],[Free CF]]),IF(Main_M[[#This Row],[Free CF]]&lt;&gt;0,Main_M[[#This Row],[Current Price]]/Main_M[[#This Row],[Free CF]],""),"")</f>
        <v>10.462962962962964</v>
      </c>
      <c r="I3" s="1">
        <f>IF(ISNUMBER(Main_M[[#This Row],[BVPS]]),IF(Main_M[[#This Row],[BVPS]]&lt;&gt;0,Main_M[[#This Row],[Current Price]]/Main_M[[#This Row],[BVPS]],""),"")</f>
        <v>1.0375301273958455</v>
      </c>
      <c r="J3">
        <v>11.57</v>
      </c>
      <c r="K3">
        <v>4.38</v>
      </c>
      <c r="L3">
        <v>3.14</v>
      </c>
      <c r="M3" s="1">
        <f>IF(ISNUMBER(Main_M[[#This Row],[EPS]]),IF(Main_M[[#This Row],[EPS]]&lt;&gt;0,Main_M[[#This Row],[Current Price]]/Main_M[[#This Row],[EPS]],""),"")</f>
        <v>10.523864959254949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0.28848532434487417</v>
      </c>
      <c r="P3" s="1">
        <f>(Main_M[[#This Row],[P/B]]-VLOOKUP(Main_M[[#This Row],[Industry]], Mean_PB_M, 2, FALSE))/(VLOOKUP(Main_M[[#This Row],[Industry]], Mean_PB_M, 3, FALSE))</f>
        <v>-1.0407387327674198</v>
      </c>
      <c r="Q3" s="1">
        <f>(Main_M[[#This Row],[ROE]]-VLOOKUP(Main_M[[#This Row],[Industry]], Mean_ROE_M, 2, FALSE))/(VLOOKUP(Main_M[[#This Row],[Industry]], Mean_ROE_M, 3, FALSE))</f>
        <v>0.31607218213562638</v>
      </c>
      <c r="R3" s="1">
        <f>(Main_M[[#This Row],[ROA]]-VLOOKUP(Main_M[[#This Row],[Industry]], Mean_ROA_M, 2, FALSE))/(VLOOKUP(Main_M[[#This Row],[Industry]], Mean_ROA_M, 3, FALSE))</f>
        <v>-0.46709480487697869</v>
      </c>
      <c r="S3" s="1">
        <f>(Main_M[[#This Row],[A/E]]-VLOOKUP(Main_M[[#This Row],[Industry]], Mean_AE_M, 2, FALSE))/(VLOOKUP(Main_M[[#This Row],[Industry]], Mean_AE_M, 3, FALSE))</f>
        <v>0.53294670984394998</v>
      </c>
      <c r="T3" s="1">
        <f>(Main_M[[#This Row],[P/E]]-VLOOKUP(Main_M[[#This Row],[Industry]], Mean_PE_M, 2, FALSE))/(VLOOKUP(Main_M[[#This Row],[Industry]], Mean_PE_M, 3, FALSE))</f>
        <v>-9.3782003632291805E-2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t="s">
        <v>106</v>
      </c>
      <c r="B4" t="s">
        <v>200</v>
      </c>
      <c r="C4" s="2">
        <v>3945</v>
      </c>
      <c r="D4">
        <f>RTD("tos.rtd", , "LAST", Main_M[[#This Row],[Symbol]])</f>
        <v>127.61</v>
      </c>
      <c r="E4">
        <v>6.22</v>
      </c>
      <c r="F4">
        <v>43.79</v>
      </c>
      <c r="G4">
        <v>6.97</v>
      </c>
      <c r="H4" s="1">
        <f>IF(ISNUMBER(Main_M[[#This Row],[Free CF]]),IF(Main_M[[#This Row],[Free CF]]&lt;&gt;0,Main_M[[#This Row],[Current Price]]/Main_M[[#This Row],[Free CF]],""),"")</f>
        <v>20.516077170418008</v>
      </c>
      <c r="I4" s="1">
        <f>IF(ISNUMBER(Main_M[[#This Row],[BVPS]]),IF(Main_M[[#This Row],[BVPS]]&lt;&gt;0,Main_M[[#This Row],[Current Price]]/Main_M[[#This Row],[BVPS]],""),"")</f>
        <v>2.914135647408084</v>
      </c>
      <c r="J4">
        <v>17.09</v>
      </c>
      <c r="K4">
        <v>8.59</v>
      </c>
      <c r="L4">
        <v>1.82</v>
      </c>
      <c r="M4" s="1">
        <f>IF(ISNUMBER(Main_M[[#This Row],[EPS]]),IF(Main_M[[#This Row],[EPS]]&lt;&gt;0,Main_M[[#This Row],[Current Price]]/Main_M[[#This Row],[EPS]],""),"")</f>
        <v>18.308464849354376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1.371158282994188</v>
      </c>
      <c r="P4" s="1">
        <f>(Main_M[[#This Row],[P/B]]-VLOOKUP(Main_M[[#This Row],[Industry]], Mean_PB_M, 2, FALSE))/(VLOOKUP(Main_M[[#This Row],[Industry]], Mean_PB_M, 3, FALSE))</f>
        <v>1.2019687227108811</v>
      </c>
      <c r="Q4" s="1">
        <f>(Main_M[[#This Row],[ROE]]-VLOOKUP(Main_M[[#This Row],[Industry]], Mean_ROE_M, 2, FALSE))/(VLOOKUP(Main_M[[#This Row],[Industry]], Mean_ROE_M, 3, FALSE))</f>
        <v>0.65205647698351099</v>
      </c>
      <c r="R4" s="1">
        <f>(Main_M[[#This Row],[ROA]]-VLOOKUP(Main_M[[#This Row],[Industry]], Mean_ROA_M, 2, FALSE))/(VLOOKUP(Main_M[[#This Row],[Industry]], Mean_ROA_M, 3, FALSE))</f>
        <v>1.0636895466749403</v>
      </c>
      <c r="S4" s="1">
        <f>(Main_M[[#This Row],[A/E]]-VLOOKUP(Main_M[[#This Row],[Industry]], Mean_AE_M, 2, FALSE))/(VLOOKUP(Main_M[[#This Row],[Industry]], Mean_AE_M, 3, FALSE))</f>
        <v>-0.55773492890645937</v>
      </c>
      <c r="T4" s="1">
        <f>(Main_M[[#This Row],[P/E]]-VLOOKUP(Main_M[[#This Row],[Industry]], Mean_PE_M, 2, FALSE))/(VLOOKUP(Main_M[[#This Row],[Industry]], Mean_PE_M, 3, FALSE))</f>
        <v>0.66888348980717161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t="s">
        <v>106</v>
      </c>
      <c r="B5" t="s">
        <v>203</v>
      </c>
      <c r="C5" s="2">
        <v>2199</v>
      </c>
      <c r="D5">
        <f>RTD("tos.rtd", , "LAST", Main_M[[#This Row],[Symbol]])</f>
        <v>90.77</v>
      </c>
      <c r="E5">
        <v>14.84</v>
      </c>
      <c r="F5">
        <v>54.16</v>
      </c>
      <c r="G5">
        <v>6.1</v>
      </c>
      <c r="H5" s="1">
        <f>IF(ISNUMBER(Main_M[[#This Row],[Free CF]]),IF(Main_M[[#This Row],[Free CF]]&lt;&gt;0,Main_M[[#This Row],[Current Price]]/Main_M[[#This Row],[Free CF]],""),"")</f>
        <v>6.1165768194070083</v>
      </c>
      <c r="I5" s="1">
        <f>IF(ISNUMBER(Main_M[[#This Row],[BVPS]]),IF(Main_M[[#This Row],[BVPS]]&lt;&gt;0,Main_M[[#This Row],[Current Price]]/Main_M[[#This Row],[BVPS]],""),"")</f>
        <v>1.6759601181683901</v>
      </c>
      <c r="J5">
        <v>11.44</v>
      </c>
      <c r="K5">
        <v>4.97</v>
      </c>
      <c r="L5">
        <v>2.27</v>
      </c>
      <c r="M5" s="1">
        <f>IF(ISNUMBER(Main_M[[#This Row],[EPS]]),IF(Main_M[[#This Row],[EPS]]&lt;&gt;0,Main_M[[#This Row],[Current Price]]/Main_M[[#This Row],[EPS]],""),"")</f>
        <v>14.88032786885246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-0.179599952353416</v>
      </c>
      <c r="P5" s="1">
        <f>(Main_M[[#This Row],[P/B]]-VLOOKUP(Main_M[[#This Row],[Industry]], Mean_PB_M, 2, FALSE))/(VLOOKUP(Main_M[[#This Row],[Industry]], Mean_PB_M, 3, FALSE))</f>
        <v>-0.27775914817300229</v>
      </c>
      <c r="Q5" s="1">
        <f>(Main_M[[#This Row],[ROE]]-VLOOKUP(Main_M[[#This Row],[Industry]], Mean_ROE_M, 2, FALSE))/(VLOOKUP(Main_M[[#This Row],[Industry]], Mean_ROE_M, 3, FALSE))</f>
        <v>0.30815950852507829</v>
      </c>
      <c r="R5" s="1">
        <f>(Main_M[[#This Row],[ROA]]-VLOOKUP(Main_M[[#This Row],[Industry]], Mean_ROA_M, 2, FALSE))/(VLOOKUP(Main_M[[#This Row],[Industry]], Mean_ROA_M, 3, FALSE))</f>
        <v>-0.25256683161910887</v>
      </c>
      <c r="S5" s="1">
        <f>(Main_M[[#This Row],[A/E]]-VLOOKUP(Main_M[[#This Row],[Industry]], Mean_AE_M, 2, FALSE))/(VLOOKUP(Main_M[[#This Row],[Industry]], Mean_AE_M, 3, FALSE))</f>
        <v>-0.18591164296881985</v>
      </c>
      <c r="T5" s="1">
        <f>(Main_M[[#This Row],[P/E]]-VLOOKUP(Main_M[[#This Row],[Industry]], Mean_PE_M, 2, FALSE))/(VLOOKUP(Main_M[[#This Row],[Industry]], Mean_PE_M, 3, FALSE))</f>
        <v>0.33302528017230587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t="s">
        <v>106</v>
      </c>
      <c r="B6" t="s">
        <v>207</v>
      </c>
      <c r="C6" s="2">
        <v>2870</v>
      </c>
      <c r="D6">
        <f>RTD("tos.rtd", , "LAST", Main_M[[#This Row],[Symbol]])</f>
        <v>91.07</v>
      </c>
      <c r="E6">
        <v>6.85</v>
      </c>
      <c r="F6">
        <v>34.03</v>
      </c>
      <c r="G6">
        <v>4.16</v>
      </c>
      <c r="H6" s="1">
        <f>IF(ISNUMBER(Main_M[[#This Row],[Free CF]]),IF(Main_M[[#This Row],[Free CF]]&lt;&gt;0,Main_M[[#This Row],[Current Price]]/Main_M[[#This Row],[Free CF]],""),"")</f>
        <v>13.294890510948905</v>
      </c>
      <c r="I6" s="1">
        <f>IF(ISNUMBER(Main_M[[#This Row],[BVPS]]),IF(Main_M[[#This Row],[BVPS]]&lt;&gt;0,Main_M[[#This Row],[Current Price]]/Main_M[[#This Row],[BVPS]],""),"")</f>
        <v>2.6761680869820745</v>
      </c>
      <c r="J6">
        <v>12.87</v>
      </c>
      <c r="K6">
        <v>5.31</v>
      </c>
      <c r="L6">
        <v>2.79</v>
      </c>
      <c r="M6" s="1">
        <f>IF(ISNUMBER(Main_M[[#This Row],[EPS]]),IF(Main_M[[#This Row],[EPS]]&lt;&gt;0,Main_M[[#This Row],[Current Price]]/Main_M[[#This Row],[EPS]],""),"")</f>
        <v>21.89182692307692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0.59347055715808117</v>
      </c>
      <c r="P6" s="1">
        <f>(Main_M[[#This Row],[P/B]]-VLOOKUP(Main_M[[#This Row],[Industry]], Mean_PB_M, 2, FALSE))/(VLOOKUP(Main_M[[#This Row],[Industry]], Mean_PB_M, 3, FALSE))</f>
        <v>0.91757670945179515</v>
      </c>
      <c r="Q6" s="1">
        <f>(Main_M[[#This Row],[ROE]]-VLOOKUP(Main_M[[#This Row],[Industry]], Mean_ROE_M, 2, FALSE))/(VLOOKUP(Main_M[[#This Row],[Industry]], Mean_ROE_M, 3, FALSE))</f>
        <v>0.39519891824110637</v>
      </c>
      <c r="R6" s="1">
        <f>(Main_M[[#This Row],[ROA]]-VLOOKUP(Main_M[[#This Row],[Industry]], Mean_ROA_M, 2, FALSE))/(VLOOKUP(Main_M[[#This Row],[Industry]], Mean_ROA_M, 3, FALSE))</f>
        <v>-0.12894054194508223</v>
      </c>
      <c r="S6" s="1">
        <f>(Main_M[[#This Row],[A/E]]-VLOOKUP(Main_M[[#This Row],[Industry]], Mean_AE_M, 2, FALSE))/(VLOOKUP(Main_M[[#This Row],[Industry]], Mean_AE_M, 3, FALSE))</f>
        <v>0.24375082078134142</v>
      </c>
      <c r="T6" s="1">
        <f>(Main_M[[#This Row],[P/E]]-VLOOKUP(Main_M[[#This Row],[Industry]], Mean_PE_M, 2, FALSE))/(VLOOKUP(Main_M[[#This Row],[Industry]], Mean_PE_M, 3, FALSE))</f>
        <v>1.0199492661746399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t="s">
        <v>106</v>
      </c>
      <c r="B7" t="s">
        <v>206</v>
      </c>
      <c r="C7" s="2">
        <v>4757</v>
      </c>
      <c r="D7">
        <f>RTD("tos.rtd", , "LAST", Main_M[[#This Row],[Symbol]])</f>
        <v>90.69</v>
      </c>
      <c r="E7">
        <v>2.46</v>
      </c>
      <c r="F7">
        <v>17.37</v>
      </c>
      <c r="G7">
        <v>3.42</v>
      </c>
      <c r="H7" s="1">
        <f>IF(ISNUMBER(Main_M[[#This Row],[Free CF]]),IF(Main_M[[#This Row],[Free CF]]&lt;&gt;0,Main_M[[#This Row],[Current Price]]/Main_M[[#This Row],[Free CF]],""),"")</f>
        <v>36.865853658536587</v>
      </c>
      <c r="I7" s="1">
        <f>IF(ISNUMBER(Main_M[[#This Row],[BVPS]]),IF(Main_M[[#This Row],[BVPS]]&lt;&gt;0,Main_M[[#This Row],[Current Price]]/Main_M[[#This Row],[BVPS]],""),"")</f>
        <v>5.2210708117443865</v>
      </c>
      <c r="J7">
        <v>22.17</v>
      </c>
      <c r="K7">
        <v>10.25</v>
      </c>
      <c r="L7">
        <v>2.11</v>
      </c>
      <c r="M7" s="1">
        <f>IF(ISNUMBER(Main_M[[#This Row],[EPS]]),IF(Main_M[[#This Row],[EPS]]&lt;&gt;0,Main_M[[#This Row],[Current Price]]/Main_M[[#This Row],[EPS]],""),"")</f>
        <v>26.517543859649123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3.1319520547907453</v>
      </c>
      <c r="P7" s="1">
        <f>(Main_M[[#This Row],[P/B]]-VLOOKUP(Main_M[[#This Row],[Industry]], Mean_PB_M, 2, FALSE))/(VLOOKUP(Main_M[[#This Row],[Industry]], Mean_PB_M, 3, FALSE))</f>
        <v>3.9589576781352172</v>
      </c>
      <c r="Q7" s="1">
        <f>(Main_M[[#This Row],[ROE]]-VLOOKUP(Main_M[[#This Row],[Industry]], Mean_ROE_M, 2, FALSE))/(VLOOKUP(Main_M[[#This Row],[Industry]], Mean_ROE_M, 3, FALSE))</f>
        <v>0.96125941499569478</v>
      </c>
      <c r="R7" s="1">
        <f>(Main_M[[#This Row],[ROA]]-VLOOKUP(Main_M[[#This Row],[Industry]], Mean_ROA_M, 2, FALSE))/(VLOOKUP(Main_M[[#This Row],[Industry]], Mean_ROA_M, 3, FALSE))</f>
        <v>1.667276725671659</v>
      </c>
      <c r="S7" s="1">
        <f>(Main_M[[#This Row],[A/E]]-VLOOKUP(Main_M[[#This Row],[Industry]], Mean_AE_M, 2, FALSE))/(VLOOKUP(Main_M[[#This Row],[Industry]], Mean_AE_M, 3, FALSE))</f>
        <v>-0.31811547796886958</v>
      </c>
      <c r="T7" s="1">
        <f>(Main_M[[#This Row],[P/E]]-VLOOKUP(Main_M[[#This Row],[Industry]], Mean_PE_M, 2, FALSE))/(VLOOKUP(Main_M[[#This Row],[Industry]], Mean_PE_M, 3, FALSE))</f>
        <v>1.4731356520836867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t="s">
        <v>106</v>
      </c>
      <c r="B8" t="s">
        <v>473</v>
      </c>
      <c r="C8" s="2">
        <v>2742</v>
      </c>
      <c r="D8">
        <f>RTD("tos.rtd", , "LAST", Main_M[[#This Row],[Symbol]])</f>
        <v>45.38</v>
      </c>
      <c r="E8">
        <v>9.16</v>
      </c>
      <c r="F8">
        <v>65.62</v>
      </c>
      <c r="G8">
        <v>2.92</v>
      </c>
      <c r="H8" s="1">
        <f>IF(ISNUMBER(Main_M[[#This Row],[Free CF]]),IF(Main_M[[#This Row],[Free CF]]&lt;&gt;0,Main_M[[#This Row],[Current Price]]/Main_M[[#This Row],[Free CF]],""),"")</f>
        <v>4.9541484716157207</v>
      </c>
      <c r="I8" s="1">
        <f>IF(ISNUMBER(Main_M[[#This Row],[BVPS]]),IF(Main_M[[#This Row],[BVPS]]&lt;&gt;0,Main_M[[#This Row],[Current Price]]/Main_M[[#This Row],[BVPS]],""),"")</f>
        <v>0.69155745199634255</v>
      </c>
      <c r="J8">
        <v>4.62</v>
      </c>
      <c r="K8">
        <v>5.38</v>
      </c>
      <c r="L8">
        <v>1.89</v>
      </c>
      <c r="M8" s="1">
        <f>IF(ISNUMBER(Main_M[[#This Row],[EPS]]),IF(Main_M[[#This Row],[EPS]]&lt;&gt;0,Main_M[[#This Row],[Current Price]]/Main_M[[#This Row],[EPS]],""),"")</f>
        <v>15.54109589041096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-0.3047879998131518</v>
      </c>
      <c r="P8" s="1">
        <f>(Main_M[[#This Row],[P/B]]-VLOOKUP(Main_M[[#This Row],[Industry]], Mean_PB_M, 2, FALSE))/(VLOOKUP(Main_M[[#This Row],[Industry]], Mean_PB_M, 3, FALSE))</f>
        <v>-1.4542062890736482</v>
      </c>
      <c r="Q8" s="1">
        <f>(Main_M[[#This Row],[ROE]]-VLOOKUP(Main_M[[#This Row],[Industry]], Mean_ROE_M, 2, FALSE))/(VLOOKUP(Main_M[[#This Row],[Industry]], Mean_ROE_M, 3, FALSE))</f>
        <v>-0.10695152242828636</v>
      </c>
      <c r="R8" s="1">
        <f>(Main_M[[#This Row],[ROA]]-VLOOKUP(Main_M[[#This Row],[Industry]], Mean_ROA_M, 2, FALSE))/(VLOOKUP(Main_M[[#This Row],[Industry]], Mean_ROA_M, 3, FALSE))</f>
        <v>-0.10348807054160603</v>
      </c>
      <c r="S8" s="1">
        <f>(Main_M[[#This Row],[A/E]]-VLOOKUP(Main_M[[#This Row],[Industry]], Mean_AE_M, 2, FALSE))/(VLOOKUP(Main_M[[#This Row],[Industry]], Mean_AE_M, 3, FALSE))</f>
        <v>-0.4998957510939378</v>
      </c>
      <c r="T8" s="1">
        <f>(Main_M[[#This Row],[P/E]]-VLOOKUP(Main_M[[#This Row],[Industry]], Mean_PE_M, 2, FALSE))/(VLOOKUP(Main_M[[#This Row],[Industry]], Mean_PE_M, 3, FALSE))</f>
        <v>0.39776142285471355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t="s">
        <v>106</v>
      </c>
      <c r="B9" t="s">
        <v>201</v>
      </c>
      <c r="C9" s="2">
        <v>4849</v>
      </c>
      <c r="D9">
        <f>RTD("tos.rtd", , "LAST", Main_M[[#This Row],[Symbol]])</f>
        <v>21.64</v>
      </c>
      <c r="E9">
        <v>1.64</v>
      </c>
      <c r="F9">
        <v>11.01</v>
      </c>
      <c r="G9">
        <v>1.72</v>
      </c>
      <c r="H9" s="1">
        <f>IF(ISNUMBER(Main_M[[#This Row],[Free CF]]),IF(Main_M[[#This Row],[Free CF]]&lt;&gt;0,Main_M[[#This Row],[Current Price]]/Main_M[[#This Row],[Free CF]],""),"")</f>
        <v>13.195121951219514</v>
      </c>
      <c r="I9" s="1">
        <f>IF(ISNUMBER(Main_M[[#This Row],[BVPS]]),IF(Main_M[[#This Row],[BVPS]]&lt;&gt;0,Main_M[[#This Row],[Current Price]]/Main_M[[#This Row],[BVPS]],""),"")</f>
        <v>1.9654859218891918</v>
      </c>
      <c r="J9">
        <v>16.11</v>
      </c>
      <c r="K9">
        <v>10.35</v>
      </c>
      <c r="L9">
        <v>1.1200000000000001</v>
      </c>
      <c r="M9" s="1">
        <f>IF(ISNUMBER(Main_M[[#This Row],[EPS]]),IF(Main_M[[#This Row],[EPS]]&lt;&gt;0,Main_M[[#This Row],[Current Price]]/Main_M[[#This Row],[EPS]],""),"")</f>
        <v>12.58139534883721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0.58272595409147132</v>
      </c>
      <c r="P9" s="1">
        <f>(Main_M[[#This Row],[P/B]]-VLOOKUP(Main_M[[#This Row],[Industry]], Mean_PB_M, 2, FALSE))/(VLOOKUP(Main_M[[#This Row],[Industry]], Mean_PB_M, 3, FALSE))</f>
        <v>6.8249467720739004E-2</v>
      </c>
      <c r="Q9" s="1">
        <f>(Main_M[[#This Row],[ROE]]-VLOOKUP(Main_M[[#This Row],[Industry]], Mean_ROE_M, 2, FALSE))/(VLOOKUP(Main_M[[#This Row],[Industry]], Mean_ROE_M, 3, FALSE))</f>
        <v>0.59240709130399516</v>
      </c>
      <c r="R9" s="1">
        <f>(Main_M[[#This Row],[ROA]]-VLOOKUP(Main_M[[#This Row],[Industry]], Mean_ROA_M, 2, FALSE))/(VLOOKUP(Main_M[[#This Row],[Industry]], Mean_ROA_M, 3, FALSE))</f>
        <v>1.7036373991051961</v>
      </c>
      <c r="S9" s="1">
        <f>(Main_M[[#This Row],[A/E]]-VLOOKUP(Main_M[[#This Row],[Industry]], Mean_AE_M, 2, FALSE))/(VLOOKUP(Main_M[[#This Row],[Industry]], Mean_AE_M, 3, FALSE))</f>
        <v>-1.1361267070316763</v>
      </c>
      <c r="T9" s="1">
        <f>(Main_M[[#This Row],[P/E]]-VLOOKUP(Main_M[[#This Row],[Industry]], Mean_PE_M, 2, FALSE))/(VLOOKUP(Main_M[[#This Row],[Industry]], Mean_PE_M, 3, FALSE))</f>
        <v>0.10779642711444302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t="s">
        <v>106</v>
      </c>
      <c r="B10" t="s">
        <v>198</v>
      </c>
      <c r="C10" s="2">
        <v>7271</v>
      </c>
      <c r="D10">
        <f>RTD("tos.rtd", , "LAST", Main_M[[#This Row],[Symbol]])</f>
        <v>32.64</v>
      </c>
      <c r="E10">
        <v>4.3600000000000003</v>
      </c>
      <c r="F10">
        <v>26.03</v>
      </c>
      <c r="G10">
        <v>1.4</v>
      </c>
      <c r="H10" s="1">
        <f>IF(ISNUMBER(Main_M[[#This Row],[Free CF]]),IF(Main_M[[#This Row],[Free CF]]&lt;&gt;0,Main_M[[#This Row],[Current Price]]/Main_M[[#This Row],[Free CF]],""),"")</f>
        <v>7.4862385321100913</v>
      </c>
      <c r="I10" s="1">
        <f>IF(ISNUMBER(Main_M[[#This Row],[BVPS]]),IF(Main_M[[#This Row],[BVPS]]&lt;&gt;0,Main_M[[#This Row],[Current Price]]/Main_M[[#This Row],[BVPS]],""),"")</f>
        <v>1.2539377641183249</v>
      </c>
      <c r="J10">
        <v>6.22</v>
      </c>
      <c r="K10">
        <v>5.87</v>
      </c>
      <c r="L10">
        <v>2.42</v>
      </c>
      <c r="M10" s="1">
        <f>IF(ISNUMBER(Main_M[[#This Row],[EPS]]),IF(Main_M[[#This Row],[EPS]]&lt;&gt;0,Main_M[[#This Row],[Current Price]]/Main_M[[#This Row],[EPS]],""),"")</f>
        <v>23.314285714285717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-3.2093849444402134E-2</v>
      </c>
      <c r="P10" s="1">
        <f>(Main_M[[#This Row],[P/B]]-VLOOKUP(Main_M[[#This Row],[Industry]], Mean_PB_M, 2, FALSE))/(VLOOKUP(Main_M[[#This Row],[Industry]], Mean_PB_M, 3, FALSE))</f>
        <v>-0.78211271087615986</v>
      </c>
      <c r="Q10" s="1">
        <f>(Main_M[[#This Row],[ROE]]-VLOOKUP(Main_M[[#This Row],[Industry]], Mean_ROE_M, 2, FALSE))/(VLOOKUP(Main_M[[#This Row],[Industry]], Mean_ROE_M, 3, FALSE))</f>
        <v>-9.5647702984647531E-3</v>
      </c>
      <c r="R10" s="1">
        <f>(Main_M[[#This Row],[ROA]]-VLOOKUP(Main_M[[#This Row],[Industry]], Mean_ROA_M, 2, FALSE))/(VLOOKUP(Main_M[[#This Row],[Industry]], Mean_ROA_M, 3, FALSE))</f>
        <v>7.4679229282726661E-2</v>
      </c>
      <c r="S10" s="1">
        <f>(Main_M[[#This Row],[A/E]]-VLOOKUP(Main_M[[#This Row],[Industry]], Mean_AE_M, 2, FALSE))/(VLOOKUP(Main_M[[#This Row],[Industry]], Mean_AE_M, 3, FALSE))</f>
        <v>-6.1970547656273405E-2</v>
      </c>
      <c r="T10" s="1">
        <f>(Main_M[[#This Row],[P/E]]-VLOOKUP(Main_M[[#This Row],[Industry]], Mean_PE_M, 2, FALSE))/(VLOOKUP(Main_M[[#This Row],[Industry]], Mean_PE_M, 3, FALSE))</f>
        <v>1.1593090600253555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t="s">
        <v>106</v>
      </c>
      <c r="B11" t="s">
        <v>202</v>
      </c>
      <c r="C11" s="2">
        <v>2146</v>
      </c>
      <c r="D11">
        <f>RTD("tos.rtd", , "LAST", Main_M[[#This Row],[Symbol]])</f>
        <v>10.23</v>
      </c>
      <c r="E11">
        <v>1.38</v>
      </c>
      <c r="F11">
        <v>-3.43</v>
      </c>
      <c r="G11">
        <v>1.28</v>
      </c>
      <c r="H11" s="1">
        <f>IF(ISNUMBER(Main_M[[#This Row],[Free CF]]),IF(Main_M[[#This Row],[Free CF]]&lt;&gt;0,Main_M[[#This Row],[Current Price]]/Main_M[[#This Row],[Free CF]],""),"")</f>
        <v>7.4130434782608701</v>
      </c>
      <c r="I11" s="1">
        <f>IF(ISNUMBER(Main_M[[#This Row],[BVPS]]),IF(Main_M[[#This Row],[BVPS]]&lt;&gt;0,Main_M[[#This Row],[Current Price]]/Main_M[[#This Row],[BVPS]],""),"")</f>
        <v>-2.9825072886297375</v>
      </c>
      <c r="J11">
        <v>-38.75</v>
      </c>
      <c r="K11">
        <v>12.97</v>
      </c>
      <c r="L11">
        <v>-3.25</v>
      </c>
      <c r="M11" s="1">
        <f>IF(ISNUMBER(Main_M[[#This Row],[EPS]]),IF(Main_M[[#This Row],[EPS]]&lt;&gt;0,Main_M[[#This Row],[Current Price]]/Main_M[[#This Row],[EPS]],""),"")</f>
        <v>7.9921875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-3.9976611330332548E-2</v>
      </c>
      <c r="P11" s="1">
        <f>(Main_M[[#This Row],[P/B]]-VLOOKUP(Main_M[[#This Row],[Industry]], Mean_PB_M, 2, FALSE))/(VLOOKUP(Main_M[[#This Row],[Industry]], Mean_PB_M, 3, FALSE))</f>
        <v>-5.8450344614528502</v>
      </c>
      <c r="Q11" s="1">
        <f>(Main_M[[#This Row],[ROE]]-VLOOKUP(Main_M[[#This Row],[Industry]], Mean_ROE_M, 2, FALSE))/(VLOOKUP(Main_M[[#This Row],[Industry]], Mean_ROE_M, 3, FALSE))</f>
        <v>-2.7467411723472637</v>
      </c>
      <c r="R11" s="1">
        <f>(Main_M[[#This Row],[ROA]]-VLOOKUP(Main_M[[#This Row],[Industry]], Mean_ROA_M, 2, FALSE))/(VLOOKUP(Main_M[[#This Row],[Industry]], Mean_ROA_M, 3, FALSE))</f>
        <v>2.6562870430638728</v>
      </c>
      <c r="S11" s="1">
        <f>(Main_M[[#This Row],[A/E]]-VLOOKUP(Main_M[[#This Row],[Industry]], Mean_AE_M, 2, FALSE))/(VLOOKUP(Main_M[[#This Row],[Industry]], Mean_AE_M, 3, FALSE))</f>
        <v>-4.7469439504705315</v>
      </c>
      <c r="T11" s="1">
        <f>(Main_M[[#This Row],[P/E]]-VLOOKUP(Main_M[[#This Row],[Industry]], Mean_PE_M, 2, FALSE))/(VLOOKUP(Main_M[[#This Row],[Industry]], Mean_PE_M, 3, FALSE))</f>
        <v>-0.34181312481398451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t="s">
        <v>106</v>
      </c>
      <c r="B12" t="s">
        <v>210</v>
      </c>
      <c r="C12" s="2">
        <v>3260</v>
      </c>
      <c r="D12">
        <f>RTD("tos.rtd", , "LAST", Main_M[[#This Row],[Symbol]])</f>
        <v>11.78</v>
      </c>
      <c r="E12">
        <v>-1.8</v>
      </c>
      <c r="F12">
        <v>17.260000000000002</v>
      </c>
      <c r="G12">
        <v>0.84</v>
      </c>
      <c r="H12" s="1">
        <f>IF(ISNUMBER(Main_M[[#This Row],[Free CF]]),IF(Main_M[[#This Row],[Free CF]]&lt;&gt;0,Main_M[[#This Row],[Current Price]]/Main_M[[#This Row],[Free CF]],""),"")</f>
        <v>-6.5444444444444443</v>
      </c>
      <c r="I12" s="1">
        <f>IF(ISNUMBER(Main_M[[#This Row],[BVPS]]),IF(Main_M[[#This Row],[BVPS]]&lt;&gt;0,Main_M[[#This Row],[Current Price]]/Main_M[[#This Row],[BVPS]],""),"")</f>
        <v>0.68250289687137877</v>
      </c>
      <c r="J12">
        <v>4.78</v>
      </c>
      <c r="K12">
        <v>1.9</v>
      </c>
      <c r="L12">
        <v>4.4000000000000004</v>
      </c>
      <c r="M12" s="1">
        <f>IF(ISNUMBER(Main_M[[#This Row],[EPS]]),IF(Main_M[[#This Row],[EPS]]&lt;&gt;0,Main_M[[#This Row],[Current Price]]/Main_M[[#This Row],[EPS]],""),"")</f>
        <v>14.023809523809524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-1.5431321940433322</v>
      </c>
      <c r="P12" s="1">
        <f>(Main_M[[#This Row],[P/B]]-VLOOKUP(Main_M[[#This Row],[Industry]], Mean_PB_M, 2, FALSE))/(VLOOKUP(Main_M[[#This Row],[Industry]], Mean_PB_M, 3, FALSE))</f>
        <v>-1.465027273062155</v>
      </c>
      <c r="Q12" s="1">
        <f>(Main_M[[#This Row],[ROE]]-VLOOKUP(Main_M[[#This Row],[Industry]], Mean_ROE_M, 2, FALSE))/(VLOOKUP(Main_M[[#This Row],[Industry]], Mean_ROE_M, 3, FALSE))</f>
        <v>-9.7212847215304196E-2</v>
      </c>
      <c r="R12" s="1">
        <f>(Main_M[[#This Row],[ROA]]-VLOOKUP(Main_M[[#This Row],[Industry]], Mean_ROA_M, 2, FALSE))/(VLOOKUP(Main_M[[#This Row],[Industry]], Mean_ROA_M, 3, FALSE))</f>
        <v>-1.3688395060287029</v>
      </c>
      <c r="S12" s="1">
        <f>(Main_M[[#This Row],[A/E]]-VLOOKUP(Main_M[[#This Row],[Industry]], Mean_AE_M, 2, FALSE))/(VLOOKUP(Main_M[[#This Row],[Industry]], Mean_AE_M, 3, FALSE))</f>
        <v>1.5740519104693409</v>
      </c>
      <c r="T12" s="1">
        <f>(Main_M[[#This Row],[P/E]]-VLOOKUP(Main_M[[#This Row],[Industry]], Mean_PE_M, 2, FALSE))/(VLOOKUP(Main_M[[#This Row],[Industry]], Mean_PE_M, 3, FALSE))</f>
        <v>0.24911127104090272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t="s">
        <v>106</v>
      </c>
      <c r="B13" t="s">
        <v>479</v>
      </c>
      <c r="C13" s="2">
        <v>3165</v>
      </c>
      <c r="D13">
        <f>RTD("tos.rtd", , "LAST", Main_M[[#This Row],[Symbol]])</f>
        <v>51.03</v>
      </c>
      <c r="E13">
        <v>0.16</v>
      </c>
      <c r="F13">
        <v>2.41</v>
      </c>
      <c r="G13">
        <v>0.28000000000000003</v>
      </c>
      <c r="H13" s="1">
        <f>IF(ISNUMBER(Main_M[[#This Row],[Free CF]]),IF(Main_M[[#This Row],[Free CF]]&lt;&gt;0,Main_M[[#This Row],[Current Price]]/Main_M[[#This Row],[Free CF]],""),"")</f>
        <v>318.9375</v>
      </c>
      <c r="I13" s="1">
        <f>IF(ISNUMBER(Main_M[[#This Row],[BVPS]]),IF(Main_M[[#This Row],[BVPS]]&lt;&gt;0,Main_M[[#This Row],[Current Price]]/Main_M[[#This Row],[BVPS]],""),"")</f>
        <v>21.174273858921161</v>
      </c>
      <c r="J13">
        <v>11.76</v>
      </c>
      <c r="K13">
        <v>4.17</v>
      </c>
      <c r="L13">
        <v>1.9</v>
      </c>
      <c r="M13" s="1">
        <f>IF(ISNUMBER(Main_M[[#This Row],[EPS]]),IF(Main_M[[#This Row],[EPS]]&lt;&gt;0,Main_M[[#This Row],[Current Price]]/Main_M[[#This Row],[EPS]],""),"")</f>
        <v>182.25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33.509737245883805</v>
      </c>
      <c r="P13" s="1">
        <f>(Main_M[[#This Row],[P/B]]-VLOOKUP(Main_M[[#This Row],[Industry]], Mean_PB_M, 2, FALSE))/(VLOOKUP(Main_M[[#This Row],[Industry]], Mean_PB_M, 3, FALSE))</f>
        <v>23.024428301087006</v>
      </c>
      <c r="Q13" s="1">
        <f>(Main_M[[#This Row],[ROE]]-VLOOKUP(Main_M[[#This Row],[Industry]], Mean_ROE_M, 2, FALSE))/(VLOOKUP(Main_M[[#This Row],[Industry]], Mean_ROE_M, 3, FALSE))</f>
        <v>0.32763685895104266</v>
      </c>
      <c r="R13" s="1">
        <f>(Main_M[[#This Row],[ROA]]-VLOOKUP(Main_M[[#This Row],[Industry]], Mean_ROA_M, 2, FALSE))/(VLOOKUP(Main_M[[#This Row],[Industry]], Mean_ROA_M, 3, FALSE))</f>
        <v>-0.54345221908740693</v>
      </c>
      <c r="S13" s="1">
        <f>(Main_M[[#This Row],[A/E]]-VLOOKUP(Main_M[[#This Row],[Industry]], Mean_AE_M, 2, FALSE))/(VLOOKUP(Main_M[[#This Row],[Industry]], Mean_AE_M, 3, FALSE))</f>
        <v>-0.49163301140643467</v>
      </c>
      <c r="T13" s="1">
        <f>(Main_M[[#This Row],[P/E]]-VLOOKUP(Main_M[[#This Row],[Industry]], Mean_PE_M, 2, FALSE))/(VLOOKUP(Main_M[[#This Row],[Industry]], Mean_PE_M, 3, FALSE))</f>
        <v>16.730409267118937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4" spans="1:26" x14ac:dyDescent="0.25">
      <c r="A14" t="s">
        <v>106</v>
      </c>
      <c r="B14" t="s">
        <v>199</v>
      </c>
      <c r="C14" s="2">
        <v>2424</v>
      </c>
      <c r="D14">
        <f>RTD("tos.rtd", , "LAST", Main_M[[#This Row],[Symbol]])</f>
        <v>17.329999999999998</v>
      </c>
      <c r="E14">
        <v>0.89</v>
      </c>
      <c r="F14">
        <v>9.4600000000000009</v>
      </c>
      <c r="G14">
        <v>-0.24</v>
      </c>
      <c r="H14" s="1">
        <f>IF(ISNUMBER(Main_M[[#This Row],[Free CF]]),IF(Main_M[[#This Row],[Free CF]]&lt;&gt;0,Main_M[[#This Row],[Current Price]]/Main_M[[#This Row],[Free CF]],""),"")</f>
        <v>19.471910112359549</v>
      </c>
      <c r="I14" s="1">
        <f>IF(ISNUMBER(Main_M[[#This Row],[BVPS]]),IF(Main_M[[#This Row],[BVPS]]&lt;&gt;0,Main_M[[#This Row],[Current Price]]/Main_M[[#This Row],[BVPS]],""),"")</f>
        <v>1.8319238900634247</v>
      </c>
      <c r="J14">
        <v>-1.1100000000000001</v>
      </c>
      <c r="K14">
        <v>2.44</v>
      </c>
      <c r="L14">
        <v>5.66</v>
      </c>
      <c r="M14" s="1">
        <f>IF(ISNUMBER(Main_M[[#This Row],[EPS]]),IF(Main_M[[#This Row],[EPS]]&lt;&gt;0,Main_M[[#This Row],[Current Price]]/Main_M[[#This Row],[EPS]],""),"")</f>
        <v>-72.208333333333329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1.25870641835368</v>
      </c>
      <c r="P14" s="1">
        <f>(Main_M[[#This Row],[P/B]]-VLOOKUP(Main_M[[#This Row],[Industry]], Mean_PB_M, 2, FALSE))/(VLOOKUP(Main_M[[#This Row],[Industry]], Mean_PB_M, 3, FALSE))</f>
        <v>-9.1368822511362885E-2</v>
      </c>
      <c r="Q14" s="1">
        <f>(Main_M[[#This Row],[ROE]]-VLOOKUP(Main_M[[#This Row],[Industry]], Mean_ROE_M, 2, FALSE))/(VLOOKUP(Main_M[[#This Row],[Industry]], Mean_ROE_M, 3, FALSE))</f>
        <v>-0.45571782849321013</v>
      </c>
      <c r="R14" s="1">
        <f>(Main_M[[#This Row],[ROA]]-VLOOKUP(Main_M[[#This Row],[Industry]], Mean_ROA_M, 2, FALSE))/(VLOOKUP(Main_M[[#This Row],[Industry]], Mean_ROA_M, 3, FALSE))</f>
        <v>-1.1724918694876016</v>
      </c>
      <c r="S14" s="1">
        <f>(Main_M[[#This Row],[A/E]]-VLOOKUP(Main_M[[#This Row],[Industry]], Mean_AE_M, 2, FALSE))/(VLOOKUP(Main_M[[#This Row],[Industry]], Mean_AE_M, 3, FALSE))</f>
        <v>2.6151571110947316</v>
      </c>
      <c r="T14" s="1">
        <f>(Main_M[[#This Row],[P/E]]-VLOOKUP(Main_M[[#This Row],[Industry]], Mean_PE_M, 2, FALSE))/(VLOOKUP(Main_M[[#This Row],[Industry]], Mean_PE_M, 3, FALSE))</f>
        <v>-8.1991430658490003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" spans="1:26" x14ac:dyDescent="0.25">
      <c r="A15" t="s">
        <v>106</v>
      </c>
      <c r="B15" t="s">
        <v>481</v>
      </c>
      <c r="C15" s="2">
        <v>5386</v>
      </c>
      <c r="D15">
        <f>RTD("tos.rtd", , "LAST", Main_M[[#This Row],[Symbol]])</f>
        <v>7</v>
      </c>
      <c r="E15">
        <v>0.61</v>
      </c>
      <c r="F15">
        <v>4.2</v>
      </c>
      <c r="G15">
        <v>-0.89</v>
      </c>
      <c r="H15" s="1">
        <f>IF(ISNUMBER(Main_M[[#This Row],[Free CF]]),IF(Main_M[[#This Row],[Free CF]]&lt;&gt;0,Main_M[[#This Row],[Current Price]]/Main_M[[#This Row],[Free CF]],""),"")</f>
        <v>11.475409836065573</v>
      </c>
      <c r="I15" s="1">
        <f>IF(ISNUMBER(Main_M[[#This Row],[BVPS]]),IF(Main_M[[#This Row],[BVPS]]&lt;&gt;0,Main_M[[#This Row],[Current Price]]/Main_M[[#This Row],[BVPS]],""),"")</f>
        <v>1.6666666666666665</v>
      </c>
      <c r="J15">
        <v>-18.149999999999999</v>
      </c>
      <c r="K15">
        <v>2.12</v>
      </c>
      <c r="L15">
        <v>5.39</v>
      </c>
      <c r="M15" s="1">
        <f>IF(ISNUMBER(Main_M[[#This Row],[EPS]]),IF(Main_M[[#This Row],[EPS]]&lt;&gt;0,Main_M[[#This Row],[Current Price]]/Main_M[[#This Row],[EPS]],""),"")</f>
        <v>-7.8651685393258424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0.39752107475586446</v>
      </c>
      <c r="P15" s="1">
        <f>(Main_M[[#This Row],[P/B]]-VLOOKUP(Main_M[[#This Row],[Industry]], Mean_PB_M, 2, FALSE))/(VLOOKUP(Main_M[[#This Row],[Industry]], Mean_PB_M, 3, FALSE))</f>
        <v>-0.288865634191388</v>
      </c>
      <c r="Q15" s="1">
        <f>(Main_M[[#This Row],[ROE]]-VLOOKUP(Main_M[[#This Row],[Industry]], Mean_ROE_M, 2, FALSE))/(VLOOKUP(Main_M[[#This Row],[Industry]], Mean_ROE_M, 3, FALSE))</f>
        <v>-1.4928867386758102</v>
      </c>
      <c r="R15" s="1">
        <f>(Main_M[[#This Row],[ROA]]-VLOOKUP(Main_M[[#This Row],[Industry]], Mean_ROA_M, 2, FALSE))/(VLOOKUP(Main_M[[#This Row],[Industry]], Mean_ROA_M, 3, FALSE))</f>
        <v>-1.2888460244749209</v>
      </c>
      <c r="S15" s="1">
        <f>(Main_M[[#This Row],[A/E]]-VLOOKUP(Main_M[[#This Row],[Industry]], Mean_AE_M, 2, FALSE))/(VLOOKUP(Main_M[[#This Row],[Industry]], Mean_AE_M, 3, FALSE))</f>
        <v>2.3920631395321474</v>
      </c>
      <c r="T15" s="1">
        <f>(Main_M[[#This Row],[P/E]]-VLOOKUP(Main_M[[#This Row],[Industry]], Mean_PE_M, 2, FALSE))/(VLOOKUP(Main_M[[#This Row],[Industry]], Mean_PE_M, 3, FALSE))</f>
        <v>-1.8953750854946936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t="s">
        <v>106</v>
      </c>
      <c r="B16" t="s">
        <v>208</v>
      </c>
      <c r="C16" s="2">
        <v>2236</v>
      </c>
      <c r="D16">
        <f>RTD("tos.rtd", , "LAST", Main_M[[#This Row],[Symbol]])</f>
        <v>4.3499999999999996</v>
      </c>
      <c r="E16">
        <v>-0.64</v>
      </c>
      <c r="F16">
        <v>1.98</v>
      </c>
      <c r="G16">
        <v>-0.91</v>
      </c>
      <c r="H16" s="1">
        <f>IF(ISNUMBER(Main_M[[#This Row],[Free CF]]),IF(Main_M[[#This Row],[Free CF]]&lt;&gt;0,Main_M[[#This Row],[Current Price]]/Main_M[[#This Row],[Free CF]],""),"")</f>
        <v>-6.7968749999999991</v>
      </c>
      <c r="I16" s="1">
        <f>IF(ISNUMBER(Main_M[[#This Row],[BVPS]]),IF(Main_M[[#This Row],[BVPS]]&lt;&gt;0,Main_M[[#This Row],[Current Price]]/Main_M[[#This Row],[BVPS]],""),"")</f>
        <v>2.1969696969696968</v>
      </c>
      <c r="J16">
        <v>-39.840000000000003</v>
      </c>
      <c r="K16">
        <v>-23.73</v>
      </c>
      <c r="L16">
        <v>1.1399999999999999</v>
      </c>
      <c r="M16" s="1">
        <f>IF(ISNUMBER(Main_M[[#This Row],[EPS]]),IF(Main_M[[#This Row],[EPS]]&lt;&gt;0,Main_M[[#This Row],[Current Price]]/Main_M[[#This Row],[EPS]],""),"")</f>
        <v>-4.7802197802197792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-1.5703177736355898</v>
      </c>
      <c r="P16" s="1">
        <f>(Main_M[[#This Row],[P/B]]-VLOOKUP(Main_M[[#This Row],[Industry]], Mean_PB_M, 2, FALSE))/(VLOOKUP(Main_M[[#This Row],[Industry]], Mean_PB_M, 3, FALSE))</f>
        <v>0.34489279134899142</v>
      </c>
      <c r="Q16" s="1">
        <f>(Main_M[[#This Row],[ROE]]-VLOOKUP(Main_M[[#This Row],[Industry]], Mean_ROE_M, 2, FALSE))/(VLOOKUP(Main_M[[#This Row],[Industry]], Mean_ROE_M, 3, FALSE))</f>
        <v>-2.8130858972357049</v>
      </c>
      <c r="R16" s="1">
        <f>(Main_M[[#This Row],[ROA]]-VLOOKUP(Main_M[[#This Row],[Industry]], Mean_ROA_M, 2, FALSE))/(VLOOKUP(Main_M[[#This Row],[Industry]], Mean_ROA_M, 3, FALSE))</f>
        <v>-10.688080107044305</v>
      </c>
      <c r="S16" s="1">
        <f>(Main_M[[#This Row],[A/E]]-VLOOKUP(Main_M[[#This Row],[Industry]], Mean_AE_M, 2, FALSE))/(VLOOKUP(Main_M[[#This Row],[Industry]], Mean_AE_M, 3, FALSE))</f>
        <v>-1.1196012276566703</v>
      </c>
      <c r="T16" s="1">
        <f>(Main_M[[#This Row],[P/E]]-VLOOKUP(Main_M[[#This Row],[Industry]], Mean_PE_M, 2, FALSE))/(VLOOKUP(Main_M[[#This Row],[Industry]], Mean_PE_M, 3, FALSE))</f>
        <v>-1.5931393892720283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t="s">
        <v>106</v>
      </c>
      <c r="B17" t="s">
        <v>209</v>
      </c>
      <c r="C17" s="2">
        <v>2817</v>
      </c>
      <c r="D17">
        <f>RTD("tos.rtd", , "LAST", Main_M[[#This Row],[Symbol]])</f>
        <v>9.15</v>
      </c>
      <c r="E17">
        <v>-0.95</v>
      </c>
      <c r="F17">
        <v>3.32</v>
      </c>
      <c r="G17">
        <v>-2.12</v>
      </c>
      <c r="H17" s="1">
        <f>IF(ISNUMBER(Main_M[[#This Row],[Free CF]]),IF(Main_M[[#This Row],[Free CF]]&lt;&gt;0,Main_M[[#This Row],[Current Price]]/Main_M[[#This Row],[Free CF]],""),"")</f>
        <v>-9.6315789473684212</v>
      </c>
      <c r="I17" s="1">
        <f>IF(ISNUMBER(Main_M[[#This Row],[BVPS]]),IF(Main_M[[#This Row],[BVPS]]&lt;&gt;0,Main_M[[#This Row],[Current Price]]/Main_M[[#This Row],[BVPS]],""),"")</f>
        <v>2.7560240963855422</v>
      </c>
      <c r="J17">
        <v>-132.19</v>
      </c>
      <c r="K17">
        <v>-22.36</v>
      </c>
      <c r="L17">
        <v>1.0900000000000001</v>
      </c>
      <c r="M17" s="1">
        <f>IF(ISNUMBER(Main_M[[#This Row],[EPS]]),IF(Main_M[[#This Row],[EPS]]&lt;&gt;0,Main_M[[#This Row],[Current Price]]/Main_M[[#This Row],[EPS]],""),"")</f>
        <v>-4.3160377358490569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-1.875602011560227</v>
      </c>
      <c r="P17" s="1">
        <f>(Main_M[[#This Row],[P/B]]-VLOOKUP(Main_M[[#This Row],[Industry]], Mean_PB_M, 2, FALSE))/(VLOOKUP(Main_M[[#This Row],[Industry]], Mean_PB_M, 3, FALSE))</f>
        <v>1.0130116134548135</v>
      </c>
      <c r="Q17" s="1">
        <f>(Main_M[[#This Row],[ROE]]-VLOOKUP(Main_M[[#This Row],[Industry]], Mean_ROE_M, 2, FALSE))/(VLOOKUP(Main_M[[#This Row],[Industry]], Mean_ROE_M, 3, FALSE))</f>
        <v>-8.4341274967288484</v>
      </c>
      <c r="R17" s="1">
        <f>(Main_M[[#This Row],[ROA]]-VLOOKUP(Main_M[[#This Row],[Industry]], Mean_ROA_M, 2, FALSE))/(VLOOKUP(Main_M[[#This Row],[Industry]], Mean_ROA_M, 3, FALSE))</f>
        <v>-10.189938881004844</v>
      </c>
      <c r="S17" s="1">
        <f>(Main_M[[#This Row],[A/E]]-VLOOKUP(Main_M[[#This Row],[Industry]], Mean_AE_M, 2, FALSE))/(VLOOKUP(Main_M[[#This Row],[Industry]], Mean_AE_M, 3, FALSE))</f>
        <v>-1.1609149260941858</v>
      </c>
      <c r="T17" s="1">
        <f>(Main_M[[#This Row],[P/E]]-VLOOKUP(Main_M[[#This Row],[Industry]], Mean_PE_M, 2, FALSE))/(VLOOKUP(Main_M[[#This Row],[Industry]], Mean_PE_M, 3, FALSE))</f>
        <v>-1.5476629829167088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t="s">
        <v>107</v>
      </c>
      <c r="B18" t="s">
        <v>214</v>
      </c>
      <c r="C18" s="2">
        <v>4320</v>
      </c>
      <c r="D18">
        <f>RTD("tos.rtd", , "LAST", Main_M[[#This Row],[Symbol]])</f>
        <v>87.7</v>
      </c>
      <c r="E18">
        <v>10.14</v>
      </c>
      <c r="F18">
        <v>74.28</v>
      </c>
      <c r="G18">
        <v>3.79</v>
      </c>
      <c r="H18" s="1">
        <f>IF(ISNUMBER(Main_M[[#This Row],[Free CF]]),IF(Main_M[[#This Row],[Free CF]]&lt;&gt;0,Main_M[[#This Row],[Current Price]]/Main_M[[#This Row],[Free CF]],""),"")</f>
        <v>8.6489151873767263</v>
      </c>
      <c r="I18" s="1">
        <f>IF(ISNUMBER(Main_M[[#This Row],[BVPS]]),IF(Main_M[[#This Row],[BVPS]]&lt;&gt;0,Main_M[[#This Row],[Current Price]]/Main_M[[#This Row],[BVPS]],""),"")</f>
        <v>1.1806677436725903</v>
      </c>
      <c r="J18">
        <v>5.09</v>
      </c>
      <c r="K18">
        <v>2.86</v>
      </c>
      <c r="L18">
        <v>1.7</v>
      </c>
      <c r="M18" s="1">
        <f>IF(ISNUMBER(Main_M[[#This Row],[EPS]]),IF(Main_M[[#This Row],[EPS]]&lt;&gt;0,Main_M[[#This Row],[Current Price]]/Main_M[[#This Row],[EPS]],""),"")</f>
        <v>23.139841688654354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0.37635636517534643</v>
      </c>
      <c r="P18" s="1">
        <f>(Main_M[[#This Row],[P/B]]-VLOOKUP(Main_M[[#This Row],[Industry]], Mean_PB_M, 2, FALSE))/(VLOOKUP(Main_M[[#This Row],[Industry]], Mean_PB_M, 3, FALSE))</f>
        <v>0.74033180030344858</v>
      </c>
      <c r="Q18" s="1">
        <f>(Main_M[[#This Row],[ROE]]-VLOOKUP(Main_M[[#This Row],[Industry]], Mean_ROE_M, 2, FALSE))/(VLOOKUP(Main_M[[#This Row],[Industry]], Mean_ROE_M, 3, FALSE))</f>
        <v>-8.5387122502131318E-2</v>
      </c>
      <c r="R18" s="1">
        <f>(Main_M[[#This Row],[ROA]]-VLOOKUP(Main_M[[#This Row],[Industry]], Mean_ROA_M, 2, FALSE))/(VLOOKUP(Main_M[[#This Row],[Industry]], Mean_ROA_M, 3, FALSE))</f>
        <v>1.0517122572378375</v>
      </c>
      <c r="S18" s="1">
        <f>(Main_M[[#This Row],[A/E]]-VLOOKUP(Main_M[[#This Row],[Industry]], Mean_AE_M, 2, FALSE))/(VLOOKUP(Main_M[[#This Row],[Industry]], Mean_AE_M, 3, FALSE))</f>
        <v>0.34785333210880393</v>
      </c>
      <c r="T18" s="1">
        <f>(Main_M[[#This Row],[P/E]]-VLOOKUP(Main_M[[#This Row],[Industry]], Mean_PE_M, 2, FALSE))/(VLOOKUP(Main_M[[#This Row],[Industry]], Mean_PE_M, 3, FALSE))</f>
        <v>2.1254833359732088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9" spans="1:26" x14ac:dyDescent="0.25">
      <c r="A19" t="s">
        <v>107</v>
      </c>
      <c r="B19" t="s">
        <v>217</v>
      </c>
      <c r="C19" s="2">
        <v>2941</v>
      </c>
      <c r="D19">
        <f>RTD("tos.rtd", , "LAST", Main_M[[#This Row],[Symbol]])</f>
        <v>24.99</v>
      </c>
      <c r="E19">
        <v>7.17</v>
      </c>
      <c r="F19">
        <v>26.19</v>
      </c>
      <c r="G19">
        <v>2.73</v>
      </c>
      <c r="H19" s="1">
        <f>IF(ISNUMBER(Main_M[[#This Row],[Free CF]]),IF(Main_M[[#This Row],[Free CF]]&lt;&gt;0,Main_M[[#This Row],[Current Price]]/Main_M[[#This Row],[Free CF]],""),"")</f>
        <v>3.4853556485355646</v>
      </c>
      <c r="I19" s="1">
        <f>IF(ISNUMBER(Main_M[[#This Row],[BVPS]]),IF(Main_M[[#This Row],[BVPS]]&lt;&gt;0,Main_M[[#This Row],[Current Price]]/Main_M[[#This Row],[BVPS]],""),"")</f>
        <v>0.9541809851088201</v>
      </c>
      <c r="J19">
        <v>10.56</v>
      </c>
      <c r="K19">
        <v>1.9</v>
      </c>
      <c r="L19">
        <v>3.89</v>
      </c>
      <c r="M19" s="1">
        <f>IF(ISNUMBER(Main_M[[#This Row],[EPS]]),IF(Main_M[[#This Row],[EPS]]&lt;&gt;0,Main_M[[#This Row],[Current Price]]/Main_M[[#This Row],[EPS]],""),"")</f>
        <v>9.1538461538461533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-8.0486638183141626E-2</v>
      </c>
      <c r="P19" s="1">
        <f>(Main_M[[#This Row],[P/B]]-VLOOKUP(Main_M[[#This Row],[Industry]], Mean_PB_M, 2, FALSE))/(VLOOKUP(Main_M[[#This Row],[Industry]], Mean_PB_M, 3, FALSE))</f>
        <v>0.578085611564497</v>
      </c>
      <c r="Q19" s="1">
        <f>(Main_M[[#This Row],[ROE]]-VLOOKUP(Main_M[[#This Row],[Industry]], Mean_ROE_M, 2, FALSE))/(VLOOKUP(Main_M[[#This Row],[Industry]], Mean_ROE_M, 3, FALSE))</f>
        <v>2.9471678215865524E-3</v>
      </c>
      <c r="R19" s="1">
        <f>(Main_M[[#This Row],[ROA]]-VLOOKUP(Main_M[[#This Row],[Industry]], Mean_ROA_M, 2, FALSE))/(VLOOKUP(Main_M[[#This Row],[Industry]], Mean_ROA_M, 3, FALSE))</f>
        <v>0.9727457056329406</v>
      </c>
      <c r="S19" s="1">
        <f>(Main_M[[#This Row],[A/E]]-VLOOKUP(Main_M[[#This Row],[Industry]], Mean_AE_M, 2, FALSE))/(VLOOKUP(Main_M[[#This Row],[Industry]], Mean_AE_M, 3, FALSE))</f>
        <v>1.3069525373656321</v>
      </c>
      <c r="T19" s="1">
        <f>(Main_M[[#This Row],[P/E]]-VLOOKUP(Main_M[[#This Row],[Industry]], Mean_PE_M, 2, FALSE))/(VLOOKUP(Main_M[[#This Row],[Industry]], Mean_PE_M, 3, FALSE))</f>
        <v>0.65487197181505152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t="s">
        <v>107</v>
      </c>
      <c r="B20" t="s">
        <v>478</v>
      </c>
      <c r="C20" s="2">
        <v>5625</v>
      </c>
      <c r="D20">
        <f>RTD("tos.rtd", , "LAST", Main_M[[#This Row],[Symbol]])</f>
        <v>3.6949999999999998</v>
      </c>
      <c r="E20">
        <v>7.0000000000000007E-2</v>
      </c>
      <c r="F20">
        <v>4.87</v>
      </c>
      <c r="G20">
        <v>0.44</v>
      </c>
      <c r="H20" s="1">
        <f>IF(ISNUMBER(Main_M[[#This Row],[Free CF]]),IF(Main_M[[#This Row],[Free CF]]&lt;&gt;0,Main_M[[#This Row],[Current Price]]/Main_M[[#This Row],[Free CF]],""),"")</f>
        <v>52.785714285714278</v>
      </c>
      <c r="I20" s="1">
        <f>IF(ISNUMBER(Main_M[[#This Row],[BVPS]]),IF(Main_M[[#This Row],[BVPS]]&lt;&gt;0,Main_M[[#This Row],[Current Price]]/Main_M[[#This Row],[BVPS]],""),"")</f>
        <v>0.75872689938398352</v>
      </c>
      <c r="J20">
        <v>9.3800000000000008</v>
      </c>
      <c r="K20">
        <v>3.63</v>
      </c>
      <c r="L20">
        <v>2.6</v>
      </c>
      <c r="M20" s="1">
        <f>IF(ISNUMBER(Main_M[[#This Row],[EPS]]),IF(Main_M[[#This Row],[EPS]]&lt;&gt;0,Main_M[[#This Row],[Current Price]]/Main_M[[#This Row],[EPS]],""),"")</f>
        <v>8.3977272727272716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4.2813346475096239</v>
      </c>
      <c r="P20" s="1">
        <f>(Main_M[[#This Row],[P/B]]-VLOOKUP(Main_M[[#This Row],[Industry]], Mean_PB_M, 2, FALSE))/(VLOOKUP(Main_M[[#This Row],[Industry]], Mean_PB_M, 3, FALSE))</f>
        <v>0.43807000675207608</v>
      </c>
      <c r="Q20" s="1">
        <f>(Main_M[[#This Row],[ROE]]-VLOOKUP(Main_M[[#This Row],[Industry]], Mean_ROE_M, 2, FALSE))/(VLOOKUP(Main_M[[#This Row],[Industry]], Mean_ROE_M, 3, FALSE))</f>
        <v>-1.610849261387726E-2</v>
      </c>
      <c r="R20" s="1">
        <f>(Main_M[[#This Row],[ROA]]-VLOOKUP(Main_M[[#This Row],[Industry]], Mean_ROA_M, 2, FALSE))/(VLOOKUP(Main_M[[#This Row],[Industry]], Mean_ROA_M, 3, FALSE))</f>
        <v>1.1150500121709319</v>
      </c>
      <c r="S20" s="1">
        <f>(Main_M[[#This Row],[A/E]]-VLOOKUP(Main_M[[#This Row],[Industry]], Mean_AE_M, 2, FALSE))/(VLOOKUP(Main_M[[#This Row],[Industry]], Mean_AE_M, 3, FALSE))</f>
        <v>0.74200369043352787</v>
      </c>
      <c r="T20" s="1">
        <f>(Main_M[[#This Row],[P/E]]-VLOOKUP(Main_M[[#This Row],[Industry]], Mean_PE_M, 2, FALSE))/(VLOOKUP(Main_M[[#This Row],[Industry]], Mean_PE_M, 3, FALSE))</f>
        <v>0.57536694005234645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t="s">
        <v>107</v>
      </c>
      <c r="B21" t="s">
        <v>213</v>
      </c>
      <c r="C21" s="2">
        <v>2321</v>
      </c>
      <c r="D21">
        <f>RTD("tos.rtd", , "LAST", Main_M[[#This Row],[Symbol]])</f>
        <v>1.05</v>
      </c>
      <c r="E21">
        <v>-0.64</v>
      </c>
      <c r="F21">
        <v>-1.58</v>
      </c>
      <c r="G21">
        <v>-0.97</v>
      </c>
      <c r="H21" s="1">
        <f>IF(ISNUMBER(Main_M[[#This Row],[Free CF]]),IF(Main_M[[#This Row],[Free CF]]&lt;&gt;0,Main_M[[#This Row],[Current Price]]/Main_M[[#This Row],[Free CF]],""),"")</f>
        <v>-1.640625</v>
      </c>
      <c r="I21" s="1">
        <f>IF(ISNUMBER(Main_M[[#This Row],[BVPS]]),IF(Main_M[[#This Row],[BVPS]]&lt;&gt;0,Main_M[[#This Row],[Current Price]]/Main_M[[#This Row],[BVPS]],""),"")</f>
        <v>-0.66455696202531644</v>
      </c>
      <c r="J21">
        <v>89.52</v>
      </c>
      <c r="K21">
        <v>-26.69</v>
      </c>
      <c r="L21">
        <v>-1.22</v>
      </c>
      <c r="M21" s="1">
        <f>IF(ISNUMBER(Main_M[[#This Row],[EPS]]),IF(Main_M[[#This Row],[EPS]]&lt;&gt;0,Main_M[[#This Row],[Current Price]]/Main_M[[#This Row],[EPS]],""),"")</f>
        <v>-1.0824742268041239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-0.53400487052253898</v>
      </c>
      <c r="P21" s="1">
        <f>(Main_M[[#This Row],[P/B]]-VLOOKUP(Main_M[[#This Row],[Industry]], Mean_PB_M, 2, FALSE))/(VLOOKUP(Main_M[[#This Row],[Industry]], Mean_PB_M, 3, FALSE))</f>
        <v>-0.58151446463898726</v>
      </c>
      <c r="Q21" s="1">
        <f>(Main_M[[#This Row],[ROE]]-VLOOKUP(Main_M[[#This Row],[Industry]], Mean_ROE_M, 2, FALSE))/(VLOOKUP(Main_M[[#This Row],[Industry]], Mean_ROE_M, 3, FALSE))</f>
        <v>1.2780615305200806</v>
      </c>
      <c r="R21" s="1">
        <f>(Main_M[[#This Row],[ROA]]-VLOOKUP(Main_M[[#This Row],[Industry]], Mean_ROA_M, 2, FALSE))/(VLOOKUP(Main_M[[#This Row],[Industry]], Mean_ROA_M, 3, FALSE))</f>
        <v>-1.3789769093503932</v>
      </c>
      <c r="S21" s="1">
        <f>(Main_M[[#This Row],[A/E]]-VLOOKUP(Main_M[[#This Row],[Industry]], Mean_AE_M, 2, FALSE))/(VLOOKUP(Main_M[[#This Row],[Industry]], Mean_AE_M, 3, FALSE))</f>
        <v>-0.93094560823363337</v>
      </c>
      <c r="T21" s="1">
        <f>(Main_M[[#This Row],[P/E]]-VLOOKUP(Main_M[[#This Row],[Industry]], Mean_PE_M, 2, FALSE))/(VLOOKUP(Main_M[[#This Row],[Industry]], Mean_PE_M, 3, FALSE))</f>
        <v>-0.42146535729982548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t="s">
        <v>107</v>
      </c>
      <c r="B22" t="s">
        <v>211</v>
      </c>
      <c r="C22" s="2">
        <v>6802</v>
      </c>
      <c r="D22">
        <f>RTD("tos.rtd", , "LAST", Main_M[[#This Row],[Symbol]])</f>
        <v>2.23</v>
      </c>
      <c r="E22">
        <v>-1.06</v>
      </c>
      <c r="F22">
        <v>1.04</v>
      </c>
      <c r="G22">
        <v>-1.18</v>
      </c>
      <c r="H22" s="1">
        <f>IF(ISNUMBER(Main_M[[#This Row],[Free CF]]),IF(Main_M[[#This Row],[Free CF]]&lt;&gt;0,Main_M[[#This Row],[Current Price]]/Main_M[[#This Row],[Free CF]],""),"")</f>
        <v>-2.1037735849056602</v>
      </c>
      <c r="I22" s="1">
        <f>IF(ISNUMBER(Main_M[[#This Row],[BVPS]]),IF(Main_M[[#This Row],[BVPS]]&lt;&gt;0,Main_M[[#This Row],[Current Price]]/Main_M[[#This Row],[BVPS]],""),"")</f>
        <v>2.1442307692307692</v>
      </c>
      <c r="J22">
        <v>-50.06</v>
      </c>
      <c r="K22">
        <v>-20.440000000000001</v>
      </c>
      <c r="L22">
        <v>2.9</v>
      </c>
      <c r="M22" s="1">
        <f>IF(ISNUMBER(Main_M[[#This Row],[EPS]]),IF(Main_M[[#This Row],[EPS]]&lt;&gt;0,Main_M[[#This Row],[Current Price]]/Main_M[[#This Row],[EPS]],""),"")</f>
        <v>-1.8898305084745763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-0.57498167904734609</v>
      </c>
      <c r="P22" s="1">
        <f>(Main_M[[#This Row],[P/B]]-VLOOKUP(Main_M[[#This Row],[Industry]], Mean_PB_M, 2, FALSE))/(VLOOKUP(Main_M[[#This Row],[Industry]], Mean_PB_M, 3, FALSE))</f>
        <v>1.4305903809726119</v>
      </c>
      <c r="Q22" s="1">
        <f>(Main_M[[#This Row],[ROE]]-VLOOKUP(Main_M[[#This Row],[Industry]], Mean_ROE_M, 2, FALSE))/(VLOOKUP(Main_M[[#This Row],[Industry]], Mean_ROE_M, 3, FALSE))</f>
        <v>-0.97599701488842749</v>
      </c>
      <c r="R22" s="1">
        <f>(Main_M[[#This Row],[ROA]]-VLOOKUP(Main_M[[#This Row],[Industry]], Mean_ROA_M, 2, FALSE))/(VLOOKUP(Main_M[[#This Row],[Industry]], Mean_ROA_M, 3, FALSE))</f>
        <v>-0.8648717556726796</v>
      </c>
      <c r="S22" s="1">
        <f>(Main_M[[#This Row],[A/E]]-VLOOKUP(Main_M[[#This Row],[Industry]], Mean_AE_M, 2, FALSE))/(VLOOKUP(Main_M[[#This Row],[Industry]], Mean_AE_M, 3, FALSE))</f>
        <v>0.87338714320843569</v>
      </c>
      <c r="T22" s="1">
        <f>(Main_M[[#This Row],[P/E]]-VLOOKUP(Main_M[[#This Row],[Industry]], Mean_PE_M, 2, FALSE))/(VLOOKUP(Main_M[[#This Row],[Industry]], Mean_PE_M, 3, FALSE))</f>
        <v>-0.5063579428718773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t="s">
        <v>107</v>
      </c>
      <c r="B23" t="s">
        <v>215</v>
      </c>
      <c r="C23" s="2">
        <v>7601</v>
      </c>
      <c r="D23">
        <f>RTD("tos.rtd", , "LAST", Main_M[[#This Row],[Symbol]])</f>
        <v>3.57</v>
      </c>
      <c r="E23">
        <v>-0.79</v>
      </c>
      <c r="F23">
        <v>-2.76</v>
      </c>
      <c r="G23">
        <v>-1.3</v>
      </c>
      <c r="H23" s="1">
        <f>IF(ISNUMBER(Main_M[[#This Row],[Free CF]]),IF(Main_M[[#This Row],[Free CF]]&lt;&gt;0,Main_M[[#This Row],[Current Price]]/Main_M[[#This Row],[Free CF]],""),"")</f>
        <v>-4.5189873417721511</v>
      </c>
      <c r="I23" s="1">
        <f>IF(ISNUMBER(Main_M[[#This Row],[BVPS]]),IF(Main_M[[#This Row],[BVPS]]&lt;&gt;0,Main_M[[#This Row],[Current Price]]/Main_M[[#This Row],[BVPS]],""),"")</f>
        <v>-1.2934782608695652</v>
      </c>
      <c r="J23">
        <v>96.5</v>
      </c>
      <c r="K23">
        <v>-22.32</v>
      </c>
      <c r="L23">
        <v>-0.95</v>
      </c>
      <c r="M23" s="1">
        <f>IF(ISNUMBER(Main_M[[#This Row],[EPS]]),IF(Main_M[[#This Row],[EPS]]&lt;&gt;0,Main_M[[#This Row],[Current Price]]/Main_M[[#This Row],[EPS]],""),"")</f>
        <v>-2.7461538461538457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-0.78866634717983564</v>
      </c>
      <c r="P23" s="1">
        <f>(Main_M[[#This Row],[P/B]]-VLOOKUP(Main_M[[#This Row],[Industry]], Mean_PB_M, 2, FALSE))/(VLOOKUP(Main_M[[#This Row],[Industry]], Mean_PB_M, 3, FALSE))</f>
        <v>-1.0320488994169916</v>
      </c>
      <c r="Q23" s="1">
        <f>(Main_M[[#This Row],[ROE]]-VLOOKUP(Main_M[[#This Row],[Industry]], Mean_ROE_M, 2, FALSE))/(VLOOKUP(Main_M[[#This Row],[Industry]], Mean_ROE_M, 3, FALSE))</f>
        <v>1.3907806066552819</v>
      </c>
      <c r="R23" s="1">
        <f>(Main_M[[#This Row],[ROA]]-VLOOKUP(Main_M[[#This Row],[Industry]], Mean_ROA_M, 2, FALSE))/(VLOOKUP(Main_M[[#This Row],[Industry]], Mean_ROA_M, 3, FALSE))</f>
        <v>-1.0195145858989358</v>
      </c>
      <c r="S23" s="1">
        <f>(Main_M[[#This Row],[A/E]]-VLOOKUP(Main_M[[#This Row],[Industry]], Mean_AE_M, 2, FALSE))/(VLOOKUP(Main_M[[#This Row],[Industry]], Mean_AE_M, 3, FALSE))</f>
        <v>-0.81270050073621636</v>
      </c>
      <c r="T23" s="1">
        <f>(Main_M[[#This Row],[P/E]]-VLOOKUP(Main_M[[#This Row],[Industry]], Mean_PE_M, 2, FALSE))/(VLOOKUP(Main_M[[#This Row],[Industry]], Mean_PE_M, 3, FALSE))</f>
        <v>-0.59639935813264999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t="s">
        <v>107</v>
      </c>
      <c r="B24" t="s">
        <v>212</v>
      </c>
      <c r="C24" s="2">
        <v>7951</v>
      </c>
      <c r="D24">
        <f>RTD("tos.rtd", , "LAST", Main_M[[#This Row],[Symbol]])</f>
        <v>3.6</v>
      </c>
      <c r="E24">
        <v>-1.1299999999999999</v>
      </c>
      <c r="F24">
        <v>0.39</v>
      </c>
      <c r="G24">
        <v>-1.51</v>
      </c>
      <c r="H24" s="1">
        <f>IF(ISNUMBER(Main_M[[#This Row],[Free CF]]),IF(Main_M[[#This Row],[Free CF]]&lt;&gt;0,Main_M[[#This Row],[Current Price]]/Main_M[[#This Row],[Free CF]],""),"")</f>
        <v>-3.1858407079646023</v>
      </c>
      <c r="I24" s="1">
        <f>IF(ISNUMBER(Main_M[[#This Row],[BVPS]]),IF(Main_M[[#This Row],[BVPS]]&lt;&gt;0,Main_M[[#This Row],[Current Price]]/Main_M[[#This Row],[BVPS]],""),"")</f>
        <v>9.2307692307692299</v>
      </c>
      <c r="J24">
        <v>-103.95</v>
      </c>
      <c r="K24">
        <v>-12.15</v>
      </c>
      <c r="L24">
        <v>18.03</v>
      </c>
      <c r="M24" s="1">
        <f>IF(ISNUMBER(Main_M[[#This Row],[EPS]]),IF(Main_M[[#This Row],[EPS]]&lt;&gt;0,Main_M[[#This Row],[Current Price]]/Main_M[[#This Row],[EPS]],""),"")</f>
        <v>-2.3841059602649008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-0.67071695441606349</v>
      </c>
      <c r="P24" s="1">
        <f>(Main_M[[#This Row],[P/B]]-VLOOKUP(Main_M[[#This Row],[Industry]], Mean_PB_M, 2, FALSE))/(VLOOKUP(Main_M[[#This Row],[Industry]], Mean_PB_M, 3, FALSE))</f>
        <v>6.5071072777115351</v>
      </c>
      <c r="Q24" s="1">
        <f>(Main_M[[#This Row],[ROE]]-VLOOKUP(Main_M[[#This Row],[Industry]], Mean_ROE_M, 2, FALSE))/(VLOOKUP(Main_M[[#This Row],[Industry]], Mean_ROE_M, 3, FALSE))</f>
        <v>-1.8462593376571945</v>
      </c>
      <c r="R24" s="1">
        <f>(Main_M[[#This Row],[ROA]]-VLOOKUP(Main_M[[#This Row],[Industry]], Mean_ROA_M, 2, FALSE))/(VLOOKUP(Main_M[[#This Row],[Industry]], Mean_ROA_M, 3, FALSE))</f>
        <v>-0.18296267983455999</v>
      </c>
      <c r="S24" s="1">
        <f>(Main_M[[#This Row],[A/E]]-VLOOKUP(Main_M[[#This Row],[Industry]], Mean_AE_M, 2, FALSE))/(VLOOKUP(Main_M[[#This Row],[Industry]], Mean_AE_M, 3, FALSE))</f>
        <v>7.4994926114896279</v>
      </c>
      <c r="T24" s="1">
        <f>(Main_M[[#This Row],[P/E]]-VLOOKUP(Main_M[[#This Row],[Industry]], Mean_PE_M, 2, FALSE))/(VLOOKUP(Main_M[[#This Row],[Industry]], Mean_PE_M, 3, FALSE))</f>
        <v>-0.55833043883172451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t="s">
        <v>107</v>
      </c>
      <c r="B25" t="s">
        <v>216</v>
      </c>
      <c r="C25" s="2">
        <v>6683</v>
      </c>
      <c r="D25">
        <f>RTD("tos.rtd", , "LAST", Main_M[[#This Row],[Symbol]])</f>
        <v>26.17</v>
      </c>
      <c r="E25">
        <v>0.87</v>
      </c>
      <c r="F25">
        <v>-12.77</v>
      </c>
      <c r="G25">
        <v>-2.85</v>
      </c>
      <c r="H25" s="1">
        <f>IF(ISNUMBER(Main_M[[#This Row],[Free CF]]),IF(Main_M[[#This Row],[Free CF]]&lt;&gt;0,Main_M[[#This Row],[Current Price]]/Main_M[[#This Row],[Free CF]],""),"")</f>
        <v>30.080459770114945</v>
      </c>
      <c r="I25" s="1">
        <f>IF(ISNUMBER(Main_M[[#This Row],[BVPS]]),IF(Main_M[[#This Row],[BVPS]]&lt;&gt;0,Main_M[[#This Row],[Current Price]]/Main_M[[#This Row],[BVPS]],""),"")</f>
        <v>-2.049334377447142</v>
      </c>
      <c r="J25">
        <v>25.98</v>
      </c>
      <c r="K25">
        <v>-8.42</v>
      </c>
      <c r="L25">
        <v>-2.58</v>
      </c>
      <c r="M25" s="1">
        <f>IF(ISNUMBER(Main_M[[#This Row],[EPS]]),IF(Main_M[[#This Row],[EPS]]&lt;&gt;0,Main_M[[#This Row],[Current Price]]/Main_M[[#This Row],[EPS]],""),"")</f>
        <v>-9.1824561403508778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2.2725001241735794</v>
      </c>
      <c r="P25" s="1">
        <f>(Main_M[[#This Row],[P/B]]-VLOOKUP(Main_M[[#This Row],[Industry]], Mean_PB_M, 2, FALSE))/(VLOOKUP(Main_M[[#This Row],[Industry]], Mean_PB_M, 3, FALSE))</f>
        <v>-1.5735144355366544</v>
      </c>
      <c r="Q25" s="1">
        <f>(Main_M[[#This Row],[ROE]]-VLOOKUP(Main_M[[#This Row],[Industry]], Mean_ROE_M, 2, FALSE))/(VLOOKUP(Main_M[[#This Row],[Industry]], Mean_ROE_M, 3, FALSE))</f>
        <v>0.25196266266468154</v>
      </c>
      <c r="R25" s="1">
        <f>(Main_M[[#This Row],[ROA]]-VLOOKUP(Main_M[[#This Row],[Industry]], Mean_ROA_M, 2, FALSE))/(VLOOKUP(Main_M[[#This Row],[Industry]], Mean_ROA_M, 3, FALSE))</f>
        <v>0.12385527588029961</v>
      </c>
      <c r="S25" s="1">
        <f>(Main_M[[#This Row],[A/E]]-VLOOKUP(Main_M[[#This Row],[Industry]], Mean_AE_M, 2, FALSE))/(VLOOKUP(Main_M[[#This Row],[Industry]], Mean_AE_M, 3, FALSE))</f>
        <v>-1.5265505941465496</v>
      </c>
      <c r="T25" s="1">
        <f>(Main_M[[#This Row],[P/E]]-VLOOKUP(Main_M[[#This Row],[Industry]], Mean_PE_M, 2, FALSE))/(VLOOKUP(Main_M[[#This Row],[Industry]], Mean_PE_M, 3, FALSE))</f>
        <v>-1.2731691507045293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t="s">
        <v>114</v>
      </c>
      <c r="B26" t="s">
        <v>295</v>
      </c>
      <c r="C26" s="2">
        <v>6178</v>
      </c>
      <c r="D26">
        <f>RTD("tos.rtd", , "LAST", Main_M[[#This Row],[Symbol]])</f>
        <v>402.95</v>
      </c>
      <c r="E26">
        <v>38.46</v>
      </c>
      <c r="F26">
        <v>119.1</v>
      </c>
      <c r="G26">
        <v>36.03</v>
      </c>
      <c r="H26" s="1">
        <f>IF(ISNUMBER(Main_M[[#This Row],[Free CF]]),IF(Main_M[[#This Row],[Free CF]]&lt;&gt;0,Main_M[[#This Row],[Current Price]]/Main_M[[#This Row],[Free CF]],""),"")</f>
        <v>10.477119084763389</v>
      </c>
      <c r="I26" s="1">
        <f>IF(ISNUMBER(Main_M[[#This Row],[BVPS]]),IF(Main_M[[#This Row],[BVPS]]&lt;&gt;0,Main_M[[#This Row],[Current Price]]/Main_M[[#This Row],[BVPS]],""),"")</f>
        <v>3.3832913518052057</v>
      </c>
      <c r="J26">
        <v>30.93</v>
      </c>
      <c r="K26">
        <v>11.1</v>
      </c>
      <c r="L26">
        <v>2.1</v>
      </c>
      <c r="M26" s="1">
        <f>IF(ISNUMBER(Main_M[[#This Row],[EPS]]),IF(Main_M[[#This Row],[EPS]]&lt;&gt;0,Main_M[[#This Row],[Current Price]]/Main_M[[#This Row],[EPS]],""),"")</f>
        <v>11.183735775742436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-0.60728637502066318</v>
      </c>
      <c r="P26" s="1">
        <f>(Main_M[[#This Row],[P/B]]-VLOOKUP(Main_M[[#This Row],[Industry]], Mean_PB_M, 2, FALSE))/(VLOOKUP(Main_M[[#This Row],[Industry]], Mean_PB_M, 3, FALSE))</f>
        <v>0.19848394721955723</v>
      </c>
      <c r="Q26" s="1">
        <f>(Main_M[[#This Row],[ROE]]-VLOOKUP(Main_M[[#This Row],[Industry]], Mean_ROE_M, 2, FALSE))/(VLOOKUP(Main_M[[#This Row],[Industry]], Mean_ROE_M, 3, FALSE))</f>
        <v>1.2679900301178948</v>
      </c>
      <c r="R26" s="1">
        <f>(Main_M[[#This Row],[ROA]]-VLOOKUP(Main_M[[#This Row],[Industry]], Mean_ROA_M, 2, FALSE))/(VLOOKUP(Main_M[[#This Row],[Industry]], Mean_ROA_M, 3, FALSE))</f>
        <v>2.3153485338349302</v>
      </c>
      <c r="S26" s="1">
        <f>(Main_M[[#This Row],[A/E]]-VLOOKUP(Main_M[[#This Row],[Industry]], Mean_AE_M, 2, FALSE))/(VLOOKUP(Main_M[[#This Row],[Industry]], Mean_AE_M, 3, FALSE))</f>
        <v>-0.47397550274105155</v>
      </c>
      <c r="T26" s="1">
        <f>(Main_M[[#This Row],[P/E]]-VLOOKUP(Main_M[[#This Row],[Industry]], Mean_PE_M, 2, FALSE))/(VLOOKUP(Main_M[[#This Row],[Industry]], Mean_PE_M, 3, FALSE))</f>
        <v>-0.50051563160919876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t="s">
        <v>114</v>
      </c>
      <c r="B27" t="s">
        <v>471</v>
      </c>
      <c r="C27" s="2">
        <v>6957</v>
      </c>
      <c r="D27">
        <f>RTD("tos.rtd", , "LAST", Main_M[[#This Row],[Symbol]])</f>
        <v>129.47999999999999</v>
      </c>
      <c r="E27">
        <v>12.46</v>
      </c>
      <c r="F27">
        <v>75.59</v>
      </c>
      <c r="G27">
        <v>10.71</v>
      </c>
      <c r="H27" s="1">
        <f>IF(ISNUMBER(Main_M[[#This Row],[Free CF]]),IF(Main_M[[#This Row],[Free CF]]&lt;&gt;0,Main_M[[#This Row],[Current Price]]/Main_M[[#This Row],[Free CF]],""),"")</f>
        <v>10.391653290529694</v>
      </c>
      <c r="I27" s="1">
        <f>IF(ISNUMBER(Main_M[[#This Row],[BVPS]]),IF(Main_M[[#This Row],[BVPS]]&lt;&gt;0,Main_M[[#This Row],[Current Price]]/Main_M[[#This Row],[BVPS]],""),"")</f>
        <v>1.7129249900780525</v>
      </c>
      <c r="J27">
        <v>14.08</v>
      </c>
      <c r="K27">
        <v>3.78</v>
      </c>
      <c r="L27">
        <v>3.8</v>
      </c>
      <c r="M27" s="1">
        <f>IF(ISNUMBER(Main_M[[#This Row],[EPS]]),IF(Main_M[[#This Row],[EPS]]&lt;&gt;0,Main_M[[#This Row],[Current Price]]/Main_M[[#This Row],[EPS]],""),"")</f>
        <v>12.089635854341735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-0.61555741295588973</v>
      </c>
      <c r="P27" s="1">
        <f>(Main_M[[#This Row],[P/B]]-VLOOKUP(Main_M[[#This Row],[Industry]], Mean_PB_M, 2, FALSE))/(VLOOKUP(Main_M[[#This Row],[Industry]], Mean_PB_M, 3, FALSE))</f>
        <v>-0.75120084864353565</v>
      </c>
      <c r="Q27" s="1">
        <f>(Main_M[[#This Row],[ROE]]-VLOOKUP(Main_M[[#This Row],[Industry]], Mean_ROE_M, 2, FALSE))/(VLOOKUP(Main_M[[#This Row],[Industry]], Mean_ROE_M, 3, FALSE))</f>
        <v>0.21463101578002167</v>
      </c>
      <c r="R27" s="1">
        <f>(Main_M[[#This Row],[ROA]]-VLOOKUP(Main_M[[#This Row],[Industry]], Mean_ROA_M, 2, FALSE))/(VLOOKUP(Main_M[[#This Row],[Industry]], Mean_ROA_M, 3, FALSE))</f>
        <v>-0.83295201124340179</v>
      </c>
      <c r="S27" s="1">
        <f>(Main_M[[#This Row],[A/E]]-VLOOKUP(Main_M[[#This Row],[Industry]], Mean_AE_M, 2, FALSE))/(VLOOKUP(Main_M[[#This Row],[Industry]], Mean_AE_M, 3, FALSE))</f>
        <v>1.2824459788061702</v>
      </c>
      <c r="T27" s="1">
        <f>(Main_M[[#This Row],[P/E]]-VLOOKUP(Main_M[[#This Row],[Industry]], Mean_PE_M, 2, FALSE))/(VLOOKUP(Main_M[[#This Row],[Industry]], Mean_PE_M, 3, FALSE))</f>
        <v>-0.4045534083681871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t="s">
        <v>114</v>
      </c>
      <c r="B28" t="s">
        <v>472</v>
      </c>
      <c r="C28" s="2">
        <v>9835</v>
      </c>
      <c r="D28">
        <f>RTD("tos.rtd", , "LAST", Main_M[[#This Row],[Symbol]])</f>
        <v>183.75</v>
      </c>
      <c r="E28">
        <v>17.34</v>
      </c>
      <c r="F28">
        <v>76.540000000000006</v>
      </c>
      <c r="G28">
        <v>8.66</v>
      </c>
      <c r="H28" s="1">
        <f>IF(ISNUMBER(Main_M[[#This Row],[Free CF]]),IF(Main_M[[#This Row],[Free CF]]&lt;&gt;0,Main_M[[#This Row],[Current Price]]/Main_M[[#This Row],[Free CF]],""),"")</f>
        <v>10.59688581314879</v>
      </c>
      <c r="I28" s="1">
        <f>IF(ISNUMBER(Main_M[[#This Row],[BVPS]]),IF(Main_M[[#This Row],[BVPS]]&lt;&gt;0,Main_M[[#This Row],[Current Price]]/Main_M[[#This Row],[BVPS]],""),"")</f>
        <v>2.4007055134570159</v>
      </c>
      <c r="J28">
        <v>14.08</v>
      </c>
      <c r="K28">
        <v>3.78</v>
      </c>
      <c r="L28">
        <v>3.8</v>
      </c>
      <c r="M28" s="1">
        <f>IF(ISNUMBER(Main_M[[#This Row],[EPS]]),IF(Main_M[[#This Row],[EPS]]&lt;&gt;0,Main_M[[#This Row],[Current Price]]/Main_M[[#This Row],[EPS]],""),"")</f>
        <v>21.21824480369515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-0.59569582978867286</v>
      </c>
      <c r="P28" s="1">
        <f>(Main_M[[#This Row],[P/B]]-VLOOKUP(Main_M[[#This Row],[Industry]], Mean_PB_M, 2, FALSE))/(VLOOKUP(Main_M[[#This Row],[Industry]], Mean_PB_M, 3, FALSE))</f>
        <v>-0.36016405521315215</v>
      </c>
      <c r="Q28" s="1">
        <f>(Main_M[[#This Row],[ROE]]-VLOOKUP(Main_M[[#This Row],[Industry]], Mean_ROE_M, 2, FALSE))/(VLOOKUP(Main_M[[#This Row],[Industry]], Mean_ROE_M, 3, FALSE))</f>
        <v>0.21463101578002167</v>
      </c>
      <c r="R28" s="1">
        <f>(Main_M[[#This Row],[ROA]]-VLOOKUP(Main_M[[#This Row],[Industry]], Mean_ROA_M, 2, FALSE))/(VLOOKUP(Main_M[[#This Row],[Industry]], Mean_ROA_M, 3, FALSE))</f>
        <v>-0.83295201124340179</v>
      </c>
      <c r="S28" s="1">
        <f>(Main_M[[#This Row],[A/E]]-VLOOKUP(Main_M[[#This Row],[Industry]], Mean_AE_M, 2, FALSE))/(VLOOKUP(Main_M[[#This Row],[Industry]], Mean_AE_M, 3, FALSE))</f>
        <v>1.2824459788061702</v>
      </c>
      <c r="T28" s="1">
        <f>(Main_M[[#This Row],[P/E]]-VLOOKUP(Main_M[[#This Row],[Industry]], Mean_PE_M, 2, FALSE))/(VLOOKUP(Main_M[[#This Row],[Industry]], Mean_PE_M, 3, FALSE))</f>
        <v>0.56244243429938678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t="s">
        <v>114</v>
      </c>
      <c r="B29" t="s">
        <v>300</v>
      </c>
      <c r="C29" s="2">
        <v>6844</v>
      </c>
      <c r="D29">
        <f>RTD("tos.rtd", , "LAST", Main_M[[#This Row],[Symbol]])</f>
        <v>115.88</v>
      </c>
      <c r="E29">
        <v>1.74</v>
      </c>
      <c r="F29">
        <v>27.63</v>
      </c>
      <c r="G29">
        <v>3.23</v>
      </c>
      <c r="H29" s="1">
        <f>IF(ISNUMBER(Main_M[[#This Row],[Free CF]]),IF(Main_M[[#This Row],[Free CF]]&lt;&gt;0,Main_M[[#This Row],[Current Price]]/Main_M[[#This Row],[Free CF]],""),"")</f>
        <v>66.597701149425291</v>
      </c>
      <c r="I29" s="1">
        <f>IF(ISNUMBER(Main_M[[#This Row],[BVPS]]),IF(Main_M[[#This Row],[BVPS]]&lt;&gt;0,Main_M[[#This Row],[Current Price]]/Main_M[[#This Row],[BVPS]],""),"")</f>
        <v>4.1939920376402462</v>
      </c>
      <c r="J29">
        <v>12.47</v>
      </c>
      <c r="K29">
        <v>6.42</v>
      </c>
      <c r="L29">
        <v>1.51</v>
      </c>
      <c r="M29" s="1">
        <f>IF(ISNUMBER(Main_M[[#This Row],[EPS]]),IF(Main_M[[#This Row],[EPS]]&lt;&gt;0,Main_M[[#This Row],[Current Price]]/Main_M[[#This Row],[EPS]],""),"")</f>
        <v>35.876160990712073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4.8238392275167277</v>
      </c>
      <c r="P29" s="1">
        <f>(Main_M[[#This Row],[P/B]]-VLOOKUP(Main_M[[#This Row],[Industry]], Mean_PB_M, 2, FALSE))/(VLOOKUP(Main_M[[#This Row],[Industry]], Mean_PB_M, 3, FALSE))</f>
        <v>0.65940685190331494</v>
      </c>
      <c r="Q29" s="1">
        <f>(Main_M[[#This Row],[ROE]]-VLOOKUP(Main_M[[#This Row],[Industry]], Mean_ROE_M, 2, FALSE))/(VLOOKUP(Main_M[[#This Row],[Industry]], Mean_ROE_M, 3, FALSE))</f>
        <v>0.11398365595307951</v>
      </c>
      <c r="R29" s="1">
        <f>(Main_M[[#This Row],[ROA]]-VLOOKUP(Main_M[[#This Row],[Industry]], Mean_ROA_M, 2, FALSE))/(VLOOKUP(Main_M[[#This Row],[Industry]], Mean_ROA_M, 3, FALSE))</f>
        <v>0.30250064435861962</v>
      </c>
      <c r="S29" s="1">
        <f>(Main_M[[#This Row],[A/E]]-VLOOKUP(Main_M[[#This Row],[Industry]], Mean_AE_M, 2, FALSE))/(VLOOKUP(Main_M[[#This Row],[Industry]], Mean_AE_M, 3, FALSE))</f>
        <v>-1.0835570757486168</v>
      </c>
      <c r="T29" s="1">
        <f>(Main_M[[#This Row],[P/E]]-VLOOKUP(Main_M[[#This Row],[Industry]], Mean_PE_M, 2, FALSE))/(VLOOKUP(Main_M[[#This Row],[Industry]], Mean_PE_M, 3, FALSE))</f>
        <v>2.1151591837685451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t="s">
        <v>114</v>
      </c>
      <c r="B30" t="s">
        <v>298</v>
      </c>
      <c r="C30" s="2">
        <v>3312</v>
      </c>
      <c r="D30">
        <f>RTD("tos.rtd", , "LAST", Main_M[[#This Row],[Symbol]])</f>
        <v>12.25</v>
      </c>
      <c r="E30">
        <v>0.92</v>
      </c>
      <c r="F30">
        <v>16.39</v>
      </c>
      <c r="G30">
        <v>1.98</v>
      </c>
      <c r="H30" s="1">
        <f>IF(ISNUMBER(Main_M[[#This Row],[Free CF]]),IF(Main_M[[#This Row],[Free CF]]&lt;&gt;0,Main_M[[#This Row],[Current Price]]/Main_M[[#This Row],[Free CF]],""),"")</f>
        <v>13.315217391304348</v>
      </c>
      <c r="I30" s="1">
        <f>IF(ISNUMBER(Main_M[[#This Row],[BVPS]]),IF(Main_M[[#This Row],[BVPS]]&lt;&gt;0,Main_M[[#This Row],[Current Price]]/Main_M[[#This Row],[BVPS]],""),"")</f>
        <v>0.74740695546064673</v>
      </c>
      <c r="J30">
        <v>12.92</v>
      </c>
      <c r="K30">
        <v>3.28</v>
      </c>
      <c r="L30">
        <v>3.61</v>
      </c>
      <c r="M30" s="1">
        <f>IF(ISNUMBER(Main_M[[#This Row],[EPS]]),IF(Main_M[[#This Row],[EPS]]&lt;&gt;0,Main_M[[#This Row],[Current Price]]/Main_M[[#This Row],[EPS]],""),"")</f>
        <v>6.1868686868686869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-0.33262656558724379</v>
      </c>
      <c r="P30" s="1">
        <f>(Main_M[[#This Row],[P/B]]-VLOOKUP(Main_M[[#This Row],[Industry]], Mean_PB_M, 2, FALSE))/(VLOOKUP(Main_M[[#This Row],[Industry]], Mean_PB_M, 3, FALSE))</f>
        <v>-1.3001449716918798</v>
      </c>
      <c r="Q30" s="1">
        <f>(Main_M[[#This Row],[ROE]]-VLOOKUP(Main_M[[#This Row],[Industry]], Mean_ROE_M, 2, FALSE))/(VLOOKUP(Main_M[[#This Row],[Industry]], Mean_ROE_M, 3, FALSE))</f>
        <v>0.14211490559415024</v>
      </c>
      <c r="R30" s="1">
        <f>(Main_M[[#This Row],[ROA]]-VLOOKUP(Main_M[[#This Row],[Industry]], Mean_ROA_M, 2, FALSE))/(VLOOKUP(Main_M[[#This Row],[Industry]], Mean_ROA_M, 3, FALSE))</f>
        <v>-1.0479998626831786</v>
      </c>
      <c r="S30" s="1">
        <f>(Main_M[[#This Row],[A/E]]-VLOOKUP(Main_M[[#This Row],[Industry]], Mean_AE_M, 2, FALSE))/(VLOOKUP(Main_M[[#This Row],[Industry]], Mean_AE_M, 3, FALSE))</f>
        <v>1.0861400485155983</v>
      </c>
      <c r="T30" s="1">
        <f>(Main_M[[#This Row],[P/E]]-VLOOKUP(Main_M[[#This Row],[Industry]], Mean_PE_M, 2, FALSE))/(VLOOKUP(Main_M[[#This Row],[Industry]], Mean_PE_M, 3, FALSE))</f>
        <v>-1.0298350194931094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t="s">
        <v>114</v>
      </c>
      <c r="B31" t="s">
        <v>302</v>
      </c>
      <c r="C31" s="2">
        <v>7100</v>
      </c>
      <c r="D31">
        <f>RTD("tos.rtd", , "LAST", Main_M[[#This Row],[Symbol]])</f>
        <v>15.05</v>
      </c>
      <c r="E31">
        <v>1.44</v>
      </c>
      <c r="F31">
        <v>10.76</v>
      </c>
      <c r="G31">
        <v>1.91</v>
      </c>
      <c r="H31" s="1">
        <f>IF(ISNUMBER(Main_M[[#This Row],[Free CF]]),IF(Main_M[[#This Row],[Free CF]]&lt;&gt;0,Main_M[[#This Row],[Current Price]]/Main_M[[#This Row],[Free CF]],""),"")</f>
        <v>10.451388888888889</v>
      </c>
      <c r="I31" s="1">
        <f>IF(ISNUMBER(Main_M[[#This Row],[BVPS]]),IF(Main_M[[#This Row],[BVPS]]&lt;&gt;0,Main_M[[#This Row],[Current Price]]/Main_M[[#This Row],[BVPS]],""),"")</f>
        <v>1.3986988847583643</v>
      </c>
      <c r="J31">
        <v>18.52</v>
      </c>
      <c r="K31">
        <v>7.34</v>
      </c>
      <c r="L31">
        <v>1.85</v>
      </c>
      <c r="M31" s="1">
        <f>IF(ISNUMBER(Main_M[[#This Row],[EPS]]),IF(Main_M[[#This Row],[EPS]]&lt;&gt;0,Main_M[[#This Row],[Current Price]]/Main_M[[#This Row],[EPS]],""),"")</f>
        <v>7.8795811518324612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31" s="1">
        <f>(Main_M[[#This Row],[P/FCF]]-VLOOKUP(Main_M[[#This Row],[Industry]], Mean_PFCF_M, 2, FALSE))/(VLOOKUP(Main_M[[#This Row],[Industry]], Mean_PFCF_M, 3, FALSE))</f>
        <v>-0.60977644052659974</v>
      </c>
      <c r="P31" s="1">
        <f>(Main_M[[#This Row],[P/B]]-VLOOKUP(Main_M[[#This Row],[Industry]], Mean_PB_M, 2, FALSE))/(VLOOKUP(Main_M[[#This Row],[Industry]], Mean_PB_M, 3, FALSE))</f>
        <v>-0.92985372475678651</v>
      </c>
      <c r="Q31" s="1">
        <f>(Main_M[[#This Row],[ROE]]-VLOOKUP(Main_M[[#This Row],[Industry]], Mean_ROE_M, 2, FALSE))/(VLOOKUP(Main_M[[#This Row],[Industry]], Mean_ROE_M, 3, FALSE))</f>
        <v>0.49219267890525348</v>
      </c>
      <c r="R31" s="1">
        <f>(Main_M[[#This Row],[ROA]]-VLOOKUP(Main_M[[#This Row],[Industry]], Mean_ROA_M, 2, FALSE))/(VLOOKUP(Main_M[[#This Row],[Industry]], Mean_ROA_M, 3, FALSE))</f>
        <v>0.69818869100780889</v>
      </c>
      <c r="S31" s="1">
        <f>(Main_M[[#This Row],[A/E]]-VLOOKUP(Main_M[[#This Row],[Industry]], Mean_AE_M, 2, FALSE))/(VLOOKUP(Main_M[[#This Row],[Industry]], Mean_AE_M, 3, FALSE))</f>
        <v>-0.73227277943917246</v>
      </c>
      <c r="T31" s="1">
        <f>(Main_M[[#This Row],[P/E]]-VLOOKUP(Main_M[[#This Row],[Industry]], Mean_PE_M, 2, FALSE))/(VLOOKUP(Main_M[[#This Row],[Industry]], Mean_PE_M, 3, FALSE))</f>
        <v>-0.85052556221073894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t="s">
        <v>114</v>
      </c>
      <c r="B32" t="s">
        <v>296</v>
      </c>
      <c r="C32" s="2">
        <v>5772</v>
      </c>
      <c r="D32">
        <f>RTD("tos.rtd", , "LAST", Main_M[[#This Row],[Symbol]])</f>
        <v>63.88</v>
      </c>
      <c r="E32">
        <v>6.11</v>
      </c>
      <c r="F32">
        <v>-8.66</v>
      </c>
      <c r="G32">
        <v>1.54</v>
      </c>
      <c r="H32" s="1">
        <f>IF(ISNUMBER(Main_M[[#This Row],[Free CF]]),IF(Main_M[[#This Row],[Free CF]]&lt;&gt;0,Main_M[[#This Row],[Current Price]]/Main_M[[#This Row],[Free CF]],""),"")</f>
        <v>10.454991816693944</v>
      </c>
      <c r="I32" s="1">
        <f>IF(ISNUMBER(Main_M[[#This Row],[BVPS]]),IF(Main_M[[#This Row],[BVPS]]&lt;&gt;0,Main_M[[#This Row],[Current Price]]/Main_M[[#This Row],[BVPS]],""),"")</f>
        <v>-7.3764434180138574</v>
      </c>
      <c r="J32">
        <v>-25.19</v>
      </c>
      <c r="K32">
        <v>10.6</v>
      </c>
      <c r="L32">
        <v>-2.33</v>
      </c>
      <c r="M32" s="1">
        <f>IF(ISNUMBER(Main_M[[#This Row],[EPS]]),IF(Main_M[[#This Row],[EPS]]&lt;&gt;0,Main_M[[#This Row],[Current Price]]/Main_M[[#This Row],[EPS]],""),"")</f>
        <v>41.480519480519483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-0.60942776357553785</v>
      </c>
      <c r="P32" s="1">
        <f>(Main_M[[#This Row],[P/B]]-VLOOKUP(Main_M[[#This Row],[Industry]], Mean_PB_M, 2, FALSE))/(VLOOKUP(Main_M[[#This Row],[Industry]], Mean_PB_M, 3, FALSE))</f>
        <v>-5.9189503788949205</v>
      </c>
      <c r="Q32" s="1">
        <f>(Main_M[[#This Row],[ROE]]-VLOOKUP(Main_M[[#This Row],[Industry]], Mean_ROE_M, 2, FALSE))/(VLOOKUP(Main_M[[#This Row],[Industry]], Mean_ROE_M, 3, FALSE))</f>
        <v>-2.2402893695640897</v>
      </c>
      <c r="R32" s="1">
        <f>(Main_M[[#This Row],[ROA]]-VLOOKUP(Main_M[[#This Row],[Industry]], Mean_ROA_M, 2, FALSE))/(VLOOKUP(Main_M[[#This Row],[Industry]], Mean_ROA_M, 3, FALSE))</f>
        <v>2.1003006823951536</v>
      </c>
      <c r="S32" s="1">
        <f>(Main_M[[#This Row],[A/E]]-VLOOKUP(Main_M[[#This Row],[Industry]], Mean_AE_M, 2, FALSE))/(VLOOKUP(Main_M[[#This Row],[Industry]], Mean_AE_M, 3, FALSE))</f>
        <v>-5.0510032458317538</v>
      </c>
      <c r="T32" s="1">
        <f>(Main_M[[#This Row],[P/E]]-VLOOKUP(Main_M[[#This Row],[Industry]], Mean_PE_M, 2, FALSE))/(VLOOKUP(Main_M[[#This Row],[Industry]], Mean_PE_M, 3, FALSE))</f>
        <v>2.7088302885918427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3" spans="1:26" x14ac:dyDescent="0.25">
      <c r="A33" t="s">
        <v>114</v>
      </c>
      <c r="B33" t="s">
        <v>299</v>
      </c>
      <c r="C33" s="2">
        <v>5218</v>
      </c>
      <c r="D33">
        <f>RTD("tos.rtd", , "LAST", Main_M[[#This Row],[Symbol]])</f>
        <v>18.45</v>
      </c>
      <c r="E33">
        <v>0.62</v>
      </c>
      <c r="F33">
        <v>4.78</v>
      </c>
      <c r="G33">
        <v>1.0900000000000001</v>
      </c>
      <c r="H33" s="1">
        <f>IF(ISNUMBER(Main_M[[#This Row],[Free CF]]),IF(Main_M[[#This Row],[Free CF]]&lt;&gt;0,Main_M[[#This Row],[Current Price]]/Main_M[[#This Row],[Free CF]],""),"")</f>
        <v>29.758064516129032</v>
      </c>
      <c r="I33" s="1">
        <f>IF(ISNUMBER(Main_M[[#This Row],[BVPS]]),IF(Main_M[[#This Row],[BVPS]]&lt;&gt;0,Main_M[[#This Row],[Current Price]]/Main_M[[#This Row],[BVPS]],""),"")</f>
        <v>3.8598326359832633</v>
      </c>
      <c r="J33">
        <v>24.94</v>
      </c>
      <c r="K33">
        <v>9.6999999999999993</v>
      </c>
      <c r="L33">
        <v>2.46</v>
      </c>
      <c r="M33" s="1">
        <f>IF(ISNUMBER(Main_M[[#This Row],[EPS]]),IF(Main_M[[#This Row],[EPS]]&lt;&gt;0,Main_M[[#This Row],[Current Price]]/Main_M[[#This Row],[EPS]],""),"")</f>
        <v>16.926605504587155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1.2586464524892422</v>
      </c>
      <c r="P33" s="1">
        <f>(Main_M[[#This Row],[P/B]]-VLOOKUP(Main_M[[#This Row],[Industry]], Mean_PB_M, 2, FALSE))/(VLOOKUP(Main_M[[#This Row],[Industry]], Mean_PB_M, 3, FALSE))</f>
        <v>0.46942092401369306</v>
      </c>
      <c r="Q33" s="1">
        <f>(Main_M[[#This Row],[ROE]]-VLOOKUP(Main_M[[#This Row],[Industry]], Mean_ROE_M, 2, FALSE))/(VLOOKUP(Main_M[[#This Row],[Industry]], Mean_ROE_M, 3, FALSE))</f>
        <v>0.89353184045119693</v>
      </c>
      <c r="R33" s="1">
        <f>(Main_M[[#This Row],[ROA]]-VLOOKUP(Main_M[[#This Row],[Industry]], Mean_ROA_M, 2, FALSE))/(VLOOKUP(Main_M[[#This Row],[Industry]], Mean_ROA_M, 3, FALSE))</f>
        <v>1.7132145498035551</v>
      </c>
      <c r="S33" s="1">
        <f>(Main_M[[#This Row],[A/E]]-VLOOKUP(Main_M[[#This Row],[Industry]], Mean_AE_M, 2, FALSE))/(VLOOKUP(Main_M[[#This Row],[Industry]], Mean_AE_M, 3, FALSE))</f>
        <v>-0.10202742429575763</v>
      </c>
      <c r="T33" s="1">
        <f>(Main_M[[#This Row],[P/E]]-VLOOKUP(Main_M[[#This Row],[Industry]], Mean_PE_M, 2, FALSE))/(VLOOKUP(Main_M[[#This Row],[Industry]], Mean_PE_M, 3, FALSE))</f>
        <v>0.10782800361330086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t="s">
        <v>114</v>
      </c>
      <c r="B34" t="s">
        <v>297</v>
      </c>
      <c r="C34" s="2">
        <v>5409</v>
      </c>
      <c r="D34">
        <f>RTD("tos.rtd", , "LAST", Main_M[[#This Row],[Symbol]])</f>
        <v>34.33</v>
      </c>
      <c r="E34">
        <v>0.89</v>
      </c>
      <c r="F34">
        <v>5.22</v>
      </c>
      <c r="G34">
        <v>-0.36</v>
      </c>
      <c r="H34" s="1">
        <f>IF(ISNUMBER(Main_M[[#This Row],[Free CF]]),IF(Main_M[[#This Row],[Free CF]]&lt;&gt;0,Main_M[[#This Row],[Current Price]]/Main_M[[#This Row],[Free CF]],""),"")</f>
        <v>38.573033707865164</v>
      </c>
      <c r="I34" s="1">
        <f>IF(ISNUMBER(Main_M[[#This Row],[BVPS]]),IF(Main_M[[#This Row],[BVPS]]&lt;&gt;0,Main_M[[#This Row],[Current Price]]/Main_M[[#This Row],[BVPS]],""),"")</f>
        <v>6.5766283524904212</v>
      </c>
      <c r="J34">
        <v>-6.93</v>
      </c>
      <c r="K34">
        <v>-3.16</v>
      </c>
      <c r="L34">
        <v>1.34</v>
      </c>
      <c r="M34" s="1">
        <f>IF(ISNUMBER(Main_M[[#This Row],[EPS]]),IF(Main_M[[#This Row],[EPS]]&lt;&gt;0,Main_M[[#This Row],[Current Price]]/Main_M[[#This Row],[EPS]],""),"")</f>
        <v>-95.361111111111114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2.1117239349653651</v>
      </c>
      <c r="P34" s="1">
        <f>(Main_M[[#This Row],[P/B]]-VLOOKUP(Main_M[[#This Row],[Industry]], Mean_PB_M, 2, FALSE))/(VLOOKUP(Main_M[[#This Row],[Industry]], Mean_PB_M, 3, FALSE))</f>
        <v>2.0140518771687907</v>
      </c>
      <c r="Q34" s="1">
        <f>(Main_M[[#This Row],[ROE]]-VLOOKUP(Main_M[[#This Row],[Industry]], Mean_ROE_M, 2, FALSE))/(VLOOKUP(Main_M[[#This Row],[Industry]], Mean_ROE_M, 3, FALSE))</f>
        <v>-1.0987857730175283</v>
      </c>
      <c r="R34" s="1">
        <f>(Main_M[[#This Row],[ROA]]-VLOOKUP(Main_M[[#This Row],[Industry]], Mean_ROA_M, 2, FALSE))/(VLOOKUP(Main_M[[#This Row],[Industry]], Mean_ROA_M, 3, FALSE))</f>
        <v>-3.8178161892275031</v>
      </c>
      <c r="S34" s="1">
        <f>(Main_M[[#This Row],[A/E]]-VLOOKUP(Main_M[[#This Row],[Industry]], Mean_AE_M, 2, FALSE))/(VLOOKUP(Main_M[[#This Row],[Industry]], Mean_AE_M, 3, FALSE))</f>
        <v>-1.2591992239033389</v>
      </c>
      <c r="T34" s="1">
        <f>(Main_M[[#This Row],[P/E]]-VLOOKUP(Main_M[[#This Row],[Industry]], Mean_PE_M, 2, FALSE))/(VLOOKUP(Main_M[[#This Row],[Industry]], Mean_PE_M, 3, FALSE))</f>
        <v>-11.786838067903082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5" spans="1:26" x14ac:dyDescent="0.25">
      <c r="A35" t="s">
        <v>112</v>
      </c>
      <c r="B35" t="s">
        <v>285</v>
      </c>
      <c r="C35" s="2">
        <v>4161</v>
      </c>
      <c r="D35">
        <f>RTD("tos.rtd", , "LAST", Main_M[[#This Row],[Symbol]])</f>
        <v>946</v>
      </c>
      <c r="E35">
        <v>86.28</v>
      </c>
      <c r="F35">
        <v>984.96</v>
      </c>
      <c r="G35">
        <v>141.53</v>
      </c>
      <c r="H35" s="1">
        <f>IF(ISNUMBER(Main_M[[#This Row],[Free CF]]),IF(Main_M[[#This Row],[Free CF]]&lt;&gt;0,Main_M[[#This Row],[Current Price]]/Main_M[[#This Row],[Free CF]],""),"")</f>
        <v>10.96430227167362</v>
      </c>
      <c r="I35" s="1">
        <f>IF(ISNUMBER(Main_M[[#This Row],[BVPS]]),IF(Main_M[[#This Row],[BVPS]]&lt;&gt;0,Main_M[[#This Row],[Current Price]]/Main_M[[#This Row],[BVPS]],""),"")</f>
        <v>0.96044509421702395</v>
      </c>
      <c r="J35">
        <v>14.86</v>
      </c>
      <c r="K35">
        <v>8.9499999999999993</v>
      </c>
      <c r="L35">
        <v>1.77</v>
      </c>
      <c r="M35" s="1">
        <f>IF(ISNUMBER(Main_M[[#This Row],[EPS]]),IF(Main_M[[#This Row],[EPS]]&lt;&gt;0,Main_M[[#This Row],[Current Price]]/Main_M[[#This Row],[EPS]],""),"")</f>
        <v>6.6840952448244186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35" s="1">
        <f>(Main_M[[#This Row],[P/FCF]]-VLOOKUP(Main_M[[#This Row],[Industry]], Mean_PFCF_M, 2, FALSE))/(VLOOKUP(Main_M[[#This Row],[Industry]], Mean_PFCF_M, 3, FALSE))</f>
        <v>-1.1334919792961566</v>
      </c>
      <c r="P35" s="1">
        <f>(Main_M[[#This Row],[P/B]]-VLOOKUP(Main_M[[#This Row],[Industry]], Mean_PB_M, 2, FALSE))/(VLOOKUP(Main_M[[#This Row],[Industry]], Mean_PB_M, 3, FALSE))</f>
        <v>-1.180770588144076</v>
      </c>
      <c r="Q35" s="1">
        <f>(Main_M[[#This Row],[ROE]]-VLOOKUP(Main_M[[#This Row],[Industry]], Mean_ROE_M, 2, FALSE))/(VLOOKUP(Main_M[[#This Row],[Industry]], Mean_ROE_M, 3, FALSE))</f>
        <v>0.17542515610159709</v>
      </c>
      <c r="R35" s="1">
        <f>(Main_M[[#This Row],[ROA]]-VLOOKUP(Main_M[[#This Row],[Industry]], Mean_ROA_M, 2, FALSE))/(VLOOKUP(Main_M[[#This Row],[Industry]], Mean_ROA_M, 3, FALSE))</f>
        <v>0.40451212891550242</v>
      </c>
      <c r="S35" s="1">
        <f>(Main_M[[#This Row],[A/E]]-VLOOKUP(Main_M[[#This Row],[Industry]], Mean_AE_M, 2, FALSE))/(VLOOKUP(Main_M[[#This Row],[Industry]], Mean_AE_M, 3, FALSE))</f>
        <v>-0.42624533104889334</v>
      </c>
      <c r="T35" s="1">
        <f>(Main_M[[#This Row],[P/E]]-VLOOKUP(Main_M[[#This Row],[Industry]], Mean_PE_M, 2, FALSE))/(VLOOKUP(Main_M[[#This Row],[Industry]], Mean_PE_M, 3, FALSE))</f>
        <v>-1.9305101509738543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t="s">
        <v>112</v>
      </c>
      <c r="B36" t="s">
        <v>287</v>
      </c>
      <c r="C36" s="2">
        <v>5614</v>
      </c>
      <c r="D36">
        <f>RTD("tos.rtd", , "LAST", Main_M[[#This Row],[Symbol]])</f>
        <v>185.54</v>
      </c>
      <c r="E36">
        <v>8.16</v>
      </c>
      <c r="F36">
        <v>27.79</v>
      </c>
      <c r="G36">
        <v>7.94</v>
      </c>
      <c r="H36" s="1">
        <f>IF(ISNUMBER(Main_M[[#This Row],[Free CF]]),IF(Main_M[[#This Row],[Free CF]]&lt;&gt;0,Main_M[[#This Row],[Current Price]]/Main_M[[#This Row],[Free CF]],""),"")</f>
        <v>22.737745098039213</v>
      </c>
      <c r="I36" s="1">
        <f>IF(ISNUMBER(Main_M[[#This Row],[BVPS]]),IF(Main_M[[#This Row],[BVPS]]&lt;&gt;0,Main_M[[#This Row],[Current Price]]/Main_M[[#This Row],[BVPS]],""),"")</f>
        <v>6.6765023389708524</v>
      </c>
      <c r="J36">
        <v>29.85</v>
      </c>
      <c r="K36">
        <v>16.98</v>
      </c>
      <c r="L36">
        <v>1.32</v>
      </c>
      <c r="M36" s="1">
        <f>IF(ISNUMBER(Main_M[[#This Row],[EPS]]),IF(Main_M[[#This Row],[EPS]]&lt;&gt;0,Main_M[[#This Row],[Current Price]]/Main_M[[#This Row],[EPS]],""),"")</f>
        <v>23.367758186397982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2.1548516459783134</v>
      </c>
      <c r="P36" s="1">
        <f>(Main_M[[#This Row],[P/B]]-VLOOKUP(Main_M[[#This Row],[Industry]], Mean_PB_M, 2, FALSE))/(VLOOKUP(Main_M[[#This Row],[Industry]], Mean_PB_M, 3, FALSE))</f>
        <v>2.1148348321402457</v>
      </c>
      <c r="Q36" s="1">
        <f>(Main_M[[#This Row],[ROE]]-VLOOKUP(Main_M[[#This Row],[Industry]], Mean_ROE_M, 2, FALSE))/(VLOOKUP(Main_M[[#This Row],[Industry]], Mean_ROE_M, 3, FALSE))</f>
        <v>0.31756694474824254</v>
      </c>
      <c r="R36" s="1">
        <f>(Main_M[[#This Row],[ROA]]-VLOOKUP(Main_M[[#This Row],[Industry]], Mean_ROA_M, 2, FALSE))/(VLOOKUP(Main_M[[#This Row],[Industry]], Mean_ROA_M, 3, FALSE))</f>
        <v>2.2009201906101405</v>
      </c>
      <c r="S36" s="1">
        <f>(Main_M[[#This Row],[A/E]]-VLOOKUP(Main_M[[#This Row],[Industry]], Mean_AE_M, 2, FALSE))/(VLOOKUP(Main_M[[#This Row],[Industry]], Mean_AE_M, 3, FALSE))</f>
        <v>-0.93100953886995141</v>
      </c>
      <c r="T36" s="1">
        <f>(Main_M[[#This Row],[P/E]]-VLOOKUP(Main_M[[#This Row],[Industry]], Mean_PE_M, 2, FALSE))/(VLOOKUP(Main_M[[#This Row],[Industry]], Mean_PE_M, 3, FALSE))</f>
        <v>0.95858017905411108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t="s">
        <v>112</v>
      </c>
      <c r="B37" t="s">
        <v>288</v>
      </c>
      <c r="C37" s="2">
        <v>6589</v>
      </c>
      <c r="D37">
        <f>RTD("tos.rtd", , "LAST", Main_M[[#This Row],[Symbol]])</f>
        <v>141.22</v>
      </c>
      <c r="E37">
        <v>5.7</v>
      </c>
      <c r="F37">
        <v>33.049999999999997</v>
      </c>
      <c r="G37">
        <v>6.39</v>
      </c>
      <c r="H37" s="1">
        <f>IF(ISNUMBER(Main_M[[#This Row],[Free CF]]),IF(Main_M[[#This Row],[Free CF]]&lt;&gt;0,Main_M[[#This Row],[Current Price]]/Main_M[[#This Row],[Free CF]],""),"")</f>
        <v>24.775438596491227</v>
      </c>
      <c r="I37" s="1">
        <f>IF(ISNUMBER(Main_M[[#This Row],[BVPS]]),IF(Main_M[[#This Row],[BVPS]]&lt;&gt;0,Main_M[[#This Row],[Current Price]]/Main_M[[#This Row],[BVPS]],""),"")</f>
        <v>4.2729198184568835</v>
      </c>
      <c r="J37">
        <v>23.76</v>
      </c>
      <c r="K37">
        <v>11.49</v>
      </c>
      <c r="L37">
        <v>1.56</v>
      </c>
      <c r="M37" s="1">
        <f>IF(ISNUMBER(Main_M[[#This Row],[EPS]]),IF(Main_M[[#This Row],[EPS]]&lt;&gt;0,Main_M[[#This Row],[Current Price]]/Main_M[[#This Row],[EPS]],""),"")</f>
        <v>22.100156494522693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2.723983082272583</v>
      </c>
      <c r="P37" s="1">
        <f>(Main_M[[#This Row],[P/B]]-VLOOKUP(Main_M[[#This Row],[Industry]], Mean_PB_M, 2, FALSE))/(VLOOKUP(Main_M[[#This Row],[Industry]], Mean_PB_M, 3, FALSE))</f>
        <v>0.72904402502812593</v>
      </c>
      <c r="Q37" s="1">
        <f>(Main_M[[#This Row],[ROE]]-VLOOKUP(Main_M[[#This Row],[Industry]], Mean_ROE_M, 2, FALSE))/(VLOOKUP(Main_M[[#This Row],[Industry]], Mean_ROE_M, 3, FALSE))</f>
        <v>0.25981887984777091</v>
      </c>
      <c r="R37" s="1">
        <f>(Main_M[[#This Row],[ROA]]-VLOOKUP(Main_M[[#This Row],[Industry]], Mean_ROA_M, 2, FALSE))/(VLOOKUP(Main_M[[#This Row],[Industry]], Mean_ROA_M, 3, FALSE))</f>
        <v>0.9727408308712161</v>
      </c>
      <c r="S37" s="1">
        <f>(Main_M[[#This Row],[A/E]]-VLOOKUP(Main_M[[#This Row],[Industry]], Mean_AE_M, 2, FALSE))/(VLOOKUP(Main_M[[#This Row],[Industry]], Mean_AE_M, 3, FALSE))</f>
        <v>-0.66180196136538705</v>
      </c>
      <c r="T37" s="1">
        <f>(Main_M[[#This Row],[P/E]]-VLOOKUP(Main_M[[#This Row],[Industry]], Mean_PE_M, 2, FALSE))/(VLOOKUP(Main_M[[#This Row],[Industry]], Mean_PE_M, 3, FALSE))</f>
        <v>0.73907108185230841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t="s">
        <v>112</v>
      </c>
      <c r="B38" t="s">
        <v>282</v>
      </c>
      <c r="C38" s="2">
        <v>4744</v>
      </c>
      <c r="D38">
        <f>RTD("tos.rtd", , "LAST", Main_M[[#This Row],[Symbol]])</f>
        <v>121.39</v>
      </c>
      <c r="E38">
        <v>7.75</v>
      </c>
      <c r="F38">
        <v>39.24</v>
      </c>
      <c r="G38">
        <v>5.94</v>
      </c>
      <c r="H38" s="1">
        <f>IF(ISNUMBER(Main_M[[#This Row],[Free CF]]),IF(Main_M[[#This Row],[Free CF]]&lt;&gt;0,Main_M[[#This Row],[Current Price]]/Main_M[[#This Row],[Free CF]],""),"")</f>
        <v>15.663225806451614</v>
      </c>
      <c r="I38" s="1">
        <f>IF(ISNUMBER(Main_M[[#This Row],[BVPS]]),IF(Main_M[[#This Row],[BVPS]]&lt;&gt;0,Main_M[[#This Row],[Current Price]]/Main_M[[#This Row],[BVPS]],""),"")</f>
        <v>3.0935270132517836</v>
      </c>
      <c r="J38">
        <v>16.62</v>
      </c>
      <c r="K38">
        <v>7.75</v>
      </c>
      <c r="L38">
        <v>1.95</v>
      </c>
      <c r="M38" s="1">
        <f>IF(ISNUMBER(Main_M[[#This Row],[EPS]]),IF(Main_M[[#This Row],[EPS]]&lt;&gt;0,Main_M[[#This Row],[Current Price]]/Main_M[[#This Row],[EPS]],""),"")</f>
        <v>20.436026936026934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0.17892576283078715</v>
      </c>
      <c r="P38" s="1">
        <f>(Main_M[[#This Row],[P/B]]-VLOOKUP(Main_M[[#This Row],[Industry]], Mean_PB_M, 2, FALSE))/(VLOOKUP(Main_M[[#This Row],[Industry]], Mean_PB_M, 3, FALSE))</f>
        <v>4.9062500167513602E-2</v>
      </c>
      <c r="Q38" s="1">
        <f>(Main_M[[#This Row],[ROE]]-VLOOKUP(Main_M[[#This Row],[Industry]], Mean_ROE_M, 2, FALSE))/(VLOOKUP(Main_M[[#This Row],[Industry]], Mean_ROE_M, 3, FALSE))</f>
        <v>0.19211425203342475</v>
      </c>
      <c r="R38" s="1">
        <f>(Main_M[[#This Row],[ROA]]-VLOOKUP(Main_M[[#This Row],[Industry]], Mean_ROA_M, 2, FALSE))/(VLOOKUP(Main_M[[#This Row],[Industry]], Mean_ROA_M, 3, FALSE))</f>
        <v>0.13605762405453559</v>
      </c>
      <c r="S38" s="1">
        <f>(Main_M[[#This Row],[A/E]]-VLOOKUP(Main_M[[#This Row],[Industry]], Mean_AE_M, 2, FALSE))/(VLOOKUP(Main_M[[#This Row],[Industry]], Mean_AE_M, 3, FALSE))</f>
        <v>-0.2243396479204702</v>
      </c>
      <c r="T38" s="1">
        <f>(Main_M[[#This Row],[P/E]]-VLOOKUP(Main_M[[#This Row],[Industry]], Mean_PE_M, 2, FALSE))/(VLOOKUP(Main_M[[#This Row],[Industry]], Mean_PE_M, 3, FALSE))</f>
        <v>0.4508957193913869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t="s">
        <v>112</v>
      </c>
      <c r="B39" t="s">
        <v>289</v>
      </c>
      <c r="C39" s="2">
        <v>2204</v>
      </c>
      <c r="D39">
        <f>RTD("tos.rtd", , "LAST", Main_M[[#This Row],[Symbol]])</f>
        <v>85.49</v>
      </c>
      <c r="E39">
        <v>5.03</v>
      </c>
      <c r="F39">
        <v>68.42</v>
      </c>
      <c r="G39">
        <v>4.68</v>
      </c>
      <c r="H39" s="1">
        <f>IF(ISNUMBER(Main_M[[#This Row],[Free CF]]),IF(Main_M[[#This Row],[Free CF]]&lt;&gt;0,Main_M[[#This Row],[Current Price]]/Main_M[[#This Row],[Free CF]],""),"")</f>
        <v>16.996023856858844</v>
      </c>
      <c r="I39" s="1">
        <f>IF(ISNUMBER(Main_M[[#This Row],[BVPS]]),IF(Main_M[[#This Row],[BVPS]]&lt;&gt;0,Main_M[[#This Row],[Current Price]]/Main_M[[#This Row],[BVPS]],""),"")</f>
        <v>1.2494884536685178</v>
      </c>
      <c r="J39">
        <v>6.86</v>
      </c>
      <c r="K39">
        <v>4.82</v>
      </c>
      <c r="L39">
        <v>1.26</v>
      </c>
      <c r="M39" s="1">
        <f>IF(ISNUMBER(Main_M[[#This Row],[EPS]]),IF(Main_M[[#This Row],[EPS]]&lt;&gt;0,Main_M[[#This Row],[Current Price]]/Main_M[[#This Row],[EPS]],""),"")</f>
        <v>18.267094017094017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0.55117864055489618</v>
      </c>
      <c r="P39" s="1">
        <f>(Main_M[[#This Row],[P/B]]-VLOOKUP(Main_M[[#This Row],[Industry]], Mean_PB_M, 2, FALSE))/(VLOOKUP(Main_M[[#This Row],[Industry]], Mean_PB_M, 3, FALSE))</f>
        <v>-1.0141220013091909</v>
      </c>
      <c r="Q39" s="1">
        <f>(Main_M[[#This Row],[ROE]]-VLOOKUP(Main_M[[#This Row],[Industry]], Mean_ROE_M, 2, FALSE))/(VLOOKUP(Main_M[[#This Row],[Industry]], Mean_ROE_M, 3, FALSE))</f>
        <v>9.9565629138744324E-2</v>
      </c>
      <c r="R39" s="1">
        <f>(Main_M[[#This Row],[ROA]]-VLOOKUP(Main_M[[#This Row],[Industry]], Mean_ROA_M, 2, FALSE))/(VLOOKUP(Main_M[[#This Row],[Industry]], Mean_ROA_M, 3, FALSE))</f>
        <v>-0.51941879198099206</v>
      </c>
      <c r="S39" s="1">
        <f>(Main_M[[#This Row],[A/E]]-VLOOKUP(Main_M[[#This Row],[Industry]], Mean_AE_M, 2, FALSE))/(VLOOKUP(Main_M[[#This Row],[Industry]], Mean_AE_M, 3, FALSE))</f>
        <v>-0.99831143324609251</v>
      </c>
      <c r="T39" s="1">
        <f>(Main_M[[#This Row],[P/E]]-VLOOKUP(Main_M[[#This Row],[Industry]], Mean_PE_M, 2, FALSE))/(VLOOKUP(Main_M[[#This Row],[Industry]], Mean_PE_M, 3, FALSE))</f>
        <v>7.53041514897278E-2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0" spans="1:26" x14ac:dyDescent="0.25">
      <c r="A40" t="s">
        <v>112</v>
      </c>
      <c r="B40" t="s">
        <v>293</v>
      </c>
      <c r="C40" s="2">
        <v>7624</v>
      </c>
      <c r="D40">
        <f>RTD("tos.rtd", , "LAST", Main_M[[#This Row],[Symbol]])</f>
        <v>56.21</v>
      </c>
      <c r="E40">
        <v>4.7300000000000004</v>
      </c>
      <c r="F40">
        <v>-1.44</v>
      </c>
      <c r="G40">
        <v>4.07</v>
      </c>
      <c r="H40" s="1">
        <f>IF(ISNUMBER(Main_M[[#This Row],[Free CF]]),IF(Main_M[[#This Row],[Free CF]]&lt;&gt;0,Main_M[[#This Row],[Current Price]]/Main_M[[#This Row],[Free CF]],""),"")</f>
        <v>11.883720930232558</v>
      </c>
      <c r="I40" s="1">
        <f>IF(ISNUMBER(Main_M[[#This Row],[BVPS]]),IF(Main_M[[#This Row],[BVPS]]&lt;&gt;0,Main_M[[#This Row],[Current Price]]/Main_M[[#This Row],[BVPS]],""),"")</f>
        <v>-39.034722222222221</v>
      </c>
      <c r="J40">
        <v>-351.72</v>
      </c>
      <c r="K40">
        <v>15.63</v>
      </c>
      <c r="L40">
        <v>-16.829999999999998</v>
      </c>
      <c r="M40" s="1">
        <f>IF(ISNUMBER(Main_M[[#This Row],[EPS]]),IF(Main_M[[#This Row],[EPS]]&lt;&gt;0,Main_M[[#This Row],[Current Price]]/Main_M[[#This Row],[EPS]],""),"")</f>
        <v>13.810810810810811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-0.87669670459026283</v>
      </c>
      <c r="P40" s="1">
        <f>(Main_M[[#This Row],[P/B]]-VLOOKUP(Main_M[[#This Row],[Industry]], Mean_PB_M, 2, FALSE))/(VLOOKUP(Main_M[[#This Row],[Industry]], Mean_PB_M, 3, FALSE))</f>
        <v>-24.240072577152073</v>
      </c>
      <c r="Q40" s="1">
        <f>(Main_M[[#This Row],[ROE]]-VLOOKUP(Main_M[[#This Row],[Industry]], Mean_ROE_M, 2, FALSE))/(VLOOKUP(Main_M[[#This Row],[Industry]], Mean_ROE_M, 3, FALSE))</f>
        <v>-3.3006480181537254</v>
      </c>
      <c r="R40" s="1">
        <f>(Main_M[[#This Row],[ROA]]-VLOOKUP(Main_M[[#This Row],[Industry]], Mean_ROA_M, 2, FALSE))/(VLOOKUP(Main_M[[#This Row],[Industry]], Mean_ROA_M, 3, FALSE))</f>
        <v>1.8989088726415522</v>
      </c>
      <c r="S40" s="1">
        <f>(Main_M[[#This Row],[A/E]]-VLOOKUP(Main_M[[#This Row],[Industry]], Mean_AE_M, 2, FALSE))/(VLOOKUP(Main_M[[#This Row],[Industry]], Mean_AE_M, 3, FALSE))</f>
        <v>-21.289832587652622</v>
      </c>
      <c r="T40" s="1">
        <f>(Main_M[[#This Row],[P/E]]-VLOOKUP(Main_M[[#This Row],[Industry]], Mean_PE_M, 2, FALSE))/(VLOOKUP(Main_M[[#This Row],[Industry]], Mean_PE_M, 3, FALSE))</f>
        <v>-0.69638518101632241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t="s">
        <v>112</v>
      </c>
      <c r="B41" t="s">
        <v>292</v>
      </c>
      <c r="C41" s="2">
        <v>4048</v>
      </c>
      <c r="D41">
        <f>RTD("tos.rtd", , "LAST", Main_M[[#This Row],[Symbol]])</f>
        <v>57.2</v>
      </c>
      <c r="E41">
        <v>3.6</v>
      </c>
      <c r="F41">
        <v>2.67</v>
      </c>
      <c r="G41">
        <v>3.08</v>
      </c>
      <c r="H41" s="1">
        <f>IF(ISNUMBER(Main_M[[#This Row],[Free CF]]),IF(Main_M[[#This Row],[Free CF]]&lt;&gt;0,Main_M[[#This Row],[Current Price]]/Main_M[[#This Row],[Free CF]],""),"")</f>
        <v>15.888888888888889</v>
      </c>
      <c r="I41" s="1">
        <f>IF(ISNUMBER(Main_M[[#This Row],[BVPS]]),IF(Main_M[[#This Row],[BVPS]]&lt;&gt;0,Main_M[[#This Row],[Current Price]]/Main_M[[#This Row],[BVPS]],""),"")</f>
        <v>21.423220973782772</v>
      </c>
      <c r="J41">
        <v>132.22</v>
      </c>
      <c r="K41">
        <v>13.51</v>
      </c>
      <c r="L41">
        <v>10.71</v>
      </c>
      <c r="M41" s="1">
        <f>IF(ISNUMBER(Main_M[[#This Row],[EPS]]),IF(Main_M[[#This Row],[EPS]]&lt;&gt;0,Main_M[[#This Row],[Current Price]]/Main_M[[#This Row],[EPS]],""),"")</f>
        <v>18.571428571428573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0.24195386510607314</v>
      </c>
      <c r="P41" s="1">
        <f>(Main_M[[#This Row],[P/B]]-VLOOKUP(Main_M[[#This Row],[Industry]], Mean_PB_M, 2, FALSE))/(VLOOKUP(Main_M[[#This Row],[Industry]], Mean_PB_M, 3, FALSE))</f>
        <v>10.617088008295585</v>
      </c>
      <c r="Q41" s="1">
        <f>(Main_M[[#This Row],[ROE]]-VLOOKUP(Main_M[[#This Row],[Industry]], Mean_ROE_M, 2, FALSE))/(VLOOKUP(Main_M[[#This Row],[Industry]], Mean_ROE_M, 3, FALSE))</f>
        <v>1.2882844166466478</v>
      </c>
      <c r="R41" s="1">
        <f>(Main_M[[#This Row],[ROA]]-VLOOKUP(Main_M[[#This Row],[Industry]], Mean_ROA_M, 2, FALSE))/(VLOOKUP(Main_M[[#This Row],[Industry]], Mean_ROA_M, 3, FALSE))</f>
        <v>1.4246392473871772</v>
      </c>
      <c r="S41" s="1">
        <f>(Main_M[[#This Row],[A/E]]-VLOOKUP(Main_M[[#This Row],[Industry]], Mean_AE_M, 2, FALSE))/(VLOOKUP(Main_M[[#This Row],[Industry]], Mean_AE_M, 3, FALSE))</f>
        <v>9.6017369309961271</v>
      </c>
      <c r="T41" s="1">
        <f>(Main_M[[#This Row],[P/E]]-VLOOKUP(Main_M[[#This Row],[Industry]], Mean_PE_M, 2, FALSE))/(VLOOKUP(Main_M[[#This Row],[Industry]], Mean_PE_M, 3, FALSE))</f>
        <v>0.12800540906730432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t="s">
        <v>112</v>
      </c>
      <c r="B42" t="s">
        <v>283</v>
      </c>
      <c r="C42" s="2">
        <v>7397</v>
      </c>
      <c r="D42">
        <f>RTD("tos.rtd", , "LAST", Main_M[[#This Row],[Symbol]])</f>
        <v>125.15</v>
      </c>
      <c r="E42">
        <v>3.7</v>
      </c>
      <c r="F42">
        <v>23.03</v>
      </c>
      <c r="G42">
        <v>2.77</v>
      </c>
      <c r="H42" s="1">
        <f>IF(ISNUMBER(Main_M[[#This Row],[Free CF]]),IF(Main_M[[#This Row],[Free CF]]&lt;&gt;0,Main_M[[#This Row],[Current Price]]/Main_M[[#This Row],[Free CF]],""),"")</f>
        <v>33.824324324324323</v>
      </c>
      <c r="I42" s="1">
        <f>IF(ISNUMBER(Main_M[[#This Row],[BVPS]]),IF(Main_M[[#This Row],[BVPS]]&lt;&gt;0,Main_M[[#This Row],[Current Price]]/Main_M[[#This Row],[BVPS]],""),"")</f>
        <v>5.4342162396873643</v>
      </c>
      <c r="J42">
        <v>12.63</v>
      </c>
      <c r="K42">
        <v>4.91</v>
      </c>
      <c r="L42">
        <v>2.89</v>
      </c>
      <c r="M42" s="1">
        <f>IF(ISNUMBER(Main_M[[#This Row],[EPS]]),IF(Main_M[[#This Row],[EPS]]&lt;&gt;0,Main_M[[#This Row],[Current Price]]/Main_M[[#This Row],[EPS]],""),"")</f>
        <v>45.180505415162457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5.2513530400492066</v>
      </c>
      <c r="P42" s="1">
        <f>(Main_M[[#This Row],[P/B]]-VLOOKUP(Main_M[[#This Row],[Industry]], Mean_PB_M, 2, FALSE))/(VLOOKUP(Main_M[[#This Row],[Industry]], Mean_PB_M, 3, FALSE))</f>
        <v>1.3985920397679226</v>
      </c>
      <c r="Q42" s="1">
        <f>(Main_M[[#This Row],[ROE]]-VLOOKUP(Main_M[[#This Row],[Industry]], Mean_ROE_M, 2, FALSE))/(VLOOKUP(Main_M[[#This Row],[Industry]], Mean_ROE_M, 3, FALSE))</f>
        <v>0.15427931296070191</v>
      </c>
      <c r="R42" s="1">
        <f>(Main_M[[#This Row],[ROA]]-VLOOKUP(Main_M[[#This Row],[Industry]], Mean_ROA_M, 2, FALSE))/(VLOOKUP(Main_M[[#This Row],[Industry]], Mean_ROA_M, 3, FALSE))</f>
        <v>-0.49928470411641962</v>
      </c>
      <c r="S42" s="1">
        <f>(Main_M[[#This Row],[A/E]]-VLOOKUP(Main_M[[#This Row],[Industry]], Mean_AE_M, 2, FALSE))/(VLOOKUP(Main_M[[#This Row],[Industry]], Mean_AE_M, 3, FALSE))</f>
        <v>0.83005669730574017</v>
      </c>
      <c r="T42" s="1">
        <f>(Main_M[[#This Row],[P/E]]-VLOOKUP(Main_M[[#This Row],[Industry]], Mean_PE_M, 2, FALSE))/(VLOOKUP(Main_M[[#This Row],[Industry]], Mean_PE_M, 3, FALSE))</f>
        <v>4.7358680151043373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3" spans="1:26" x14ac:dyDescent="0.25">
      <c r="A43" t="s">
        <v>112</v>
      </c>
      <c r="B43" t="s">
        <v>284</v>
      </c>
      <c r="C43" s="2">
        <v>7745</v>
      </c>
      <c r="D43">
        <f>RTD("tos.rtd", , "LAST", Main_M[[#This Row],[Symbol]])</f>
        <v>47.39</v>
      </c>
      <c r="E43">
        <v>3.61</v>
      </c>
      <c r="F43">
        <v>22.85</v>
      </c>
      <c r="G43">
        <v>2.29</v>
      </c>
      <c r="H43" s="1">
        <f>IF(ISNUMBER(Main_M[[#This Row],[Free CF]]),IF(Main_M[[#This Row],[Free CF]]&lt;&gt;0,Main_M[[#This Row],[Current Price]]/Main_M[[#This Row],[Free CF]],""),"")</f>
        <v>13.127423822714682</v>
      </c>
      <c r="I43" s="1">
        <f>IF(ISNUMBER(Main_M[[#This Row],[BVPS]]),IF(Main_M[[#This Row],[BVPS]]&lt;&gt;0,Main_M[[#This Row],[Current Price]]/Main_M[[#This Row],[BVPS]],""),"")</f>
        <v>2.073960612691466</v>
      </c>
      <c r="J43">
        <v>9.68</v>
      </c>
      <c r="K43">
        <v>3.82</v>
      </c>
      <c r="L43">
        <v>2.02</v>
      </c>
      <c r="M43" s="1">
        <f>IF(ISNUMBER(Main_M[[#This Row],[EPS]]),IF(Main_M[[#This Row],[EPS]]&lt;&gt;0,Main_M[[#This Row],[Current Price]]/Main_M[[#This Row],[EPS]],""),"")</f>
        <v>20.694323144104803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-0.52932826372346398</v>
      </c>
      <c r="P43" s="1">
        <f>(Main_M[[#This Row],[P/B]]-VLOOKUP(Main_M[[#This Row],[Industry]], Mean_PB_M, 2, FALSE))/(VLOOKUP(Main_M[[#This Row],[Industry]], Mean_PB_M, 3, FALSE))</f>
        <v>-0.53877075834476473</v>
      </c>
      <c r="Q43" s="1">
        <f>(Main_M[[#This Row],[ROE]]-VLOOKUP(Main_M[[#This Row],[Industry]], Mean_ROE_M, 2, FALSE))/(VLOOKUP(Main_M[[#This Row],[Industry]], Mean_ROE_M, 3, FALSE))</f>
        <v>0.12630611239314993</v>
      </c>
      <c r="R43" s="1">
        <f>(Main_M[[#This Row],[ROA]]-VLOOKUP(Main_M[[#This Row],[Industry]], Mean_ROA_M, 2, FALSE))/(VLOOKUP(Main_M[[#This Row],[Industry]], Mean_ROA_M, 3, FALSE))</f>
        <v>-0.74313087936513134</v>
      </c>
      <c r="S43" s="1">
        <f>(Main_M[[#This Row],[A/E]]-VLOOKUP(Main_M[[#This Row],[Industry]], Mean_AE_M, 2, FALSE))/(VLOOKUP(Main_M[[#This Row],[Industry]], Mean_AE_M, 3, FALSE))</f>
        <v>-0.14582077114830555</v>
      </c>
      <c r="T43" s="1">
        <f>(Main_M[[#This Row],[P/E]]-VLOOKUP(Main_M[[#This Row],[Industry]], Mean_PE_M, 2, FALSE))/(VLOOKUP(Main_M[[#This Row],[Industry]], Mean_PE_M, 3, FALSE))</f>
        <v>0.4956245705827596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4" spans="1:26" x14ac:dyDescent="0.25">
      <c r="A44" t="s">
        <v>112</v>
      </c>
      <c r="B44" t="s">
        <v>286</v>
      </c>
      <c r="C44" s="2">
        <v>3348</v>
      </c>
      <c r="D44">
        <f>RTD("tos.rtd", , "LAST", Main_M[[#This Row],[Symbol]])</f>
        <v>21.92</v>
      </c>
      <c r="E44">
        <v>1.3</v>
      </c>
      <c r="F44">
        <v>6.11</v>
      </c>
      <c r="G44">
        <v>1.89</v>
      </c>
      <c r="H44" s="1">
        <f>IF(ISNUMBER(Main_M[[#This Row],[Free CF]]),IF(Main_M[[#This Row],[Free CF]]&lt;&gt;0,Main_M[[#This Row],[Current Price]]/Main_M[[#This Row],[Free CF]],""),"")</f>
        <v>16.861538461538462</v>
      </c>
      <c r="I44" s="1">
        <f>IF(ISNUMBER(Main_M[[#This Row],[BVPS]]),IF(Main_M[[#This Row],[BVPS]]&lt;&gt;0,Main_M[[#This Row],[Current Price]]/Main_M[[#This Row],[BVPS]],""),"")</f>
        <v>3.5875613747954174</v>
      </c>
      <c r="J44">
        <v>31.17</v>
      </c>
      <c r="K44">
        <v>10.83</v>
      </c>
      <c r="L44">
        <v>2.0499999999999998</v>
      </c>
      <c r="M44" s="1">
        <f>IF(ISNUMBER(Main_M[[#This Row],[EPS]]),IF(Main_M[[#This Row],[EPS]]&lt;&gt;0,Main_M[[#This Row],[Current Price]]/Main_M[[#This Row],[EPS]],""),"")</f>
        <v>11.5978835978836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0.5136166292625024</v>
      </c>
      <c r="P44" s="1">
        <f>(Main_M[[#This Row],[P/B]]-VLOOKUP(Main_M[[#This Row],[Industry]], Mean_PB_M, 2, FALSE))/(VLOOKUP(Main_M[[#This Row],[Industry]], Mean_PB_M, 3, FALSE))</f>
        <v>0.33389910169109099</v>
      </c>
      <c r="Q44" s="1">
        <f>(Main_M[[#This Row],[ROE]]-VLOOKUP(Main_M[[#This Row],[Industry]], Mean_ROE_M, 2, FALSE))/(VLOOKUP(Main_M[[#This Row],[Industry]], Mean_ROE_M, 3, FALSE))</f>
        <v>0.33008376669711326</v>
      </c>
      <c r="R44" s="1">
        <f>(Main_M[[#This Row],[ROA]]-VLOOKUP(Main_M[[#This Row],[Industry]], Mean_ROA_M, 2, FALSE))/(VLOOKUP(Main_M[[#This Row],[Industry]], Mean_ROA_M, 3, FALSE))</f>
        <v>0.82509085319768427</v>
      </c>
      <c r="S44" s="1">
        <f>(Main_M[[#This Row],[A/E]]-VLOOKUP(Main_M[[#This Row],[Industry]], Mean_AE_M, 2, FALSE))/(VLOOKUP(Main_M[[#This Row],[Industry]], Mean_AE_M, 3, FALSE))</f>
        <v>-0.11216982396023523</v>
      </c>
      <c r="T44" s="1">
        <f>(Main_M[[#This Row],[P/E]]-VLOOKUP(Main_M[[#This Row],[Industry]], Mean_PE_M, 2, FALSE))/(VLOOKUP(Main_M[[#This Row],[Industry]], Mean_PE_M, 3, FALSE))</f>
        <v>-1.0795951891730047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t="s">
        <v>112</v>
      </c>
      <c r="B45" t="s">
        <v>291</v>
      </c>
      <c r="C45" s="2">
        <v>6960</v>
      </c>
      <c r="D45">
        <f>RTD("tos.rtd", , "LAST", Main_M[[#This Row],[Symbol]])</f>
        <v>8.24</v>
      </c>
      <c r="E45">
        <v>0.85</v>
      </c>
      <c r="F45">
        <v>4.33</v>
      </c>
      <c r="G45">
        <v>0.64</v>
      </c>
      <c r="H45" s="1">
        <f>IF(ISNUMBER(Main_M[[#This Row],[Free CF]]),IF(Main_M[[#This Row],[Free CF]]&lt;&gt;0,Main_M[[#This Row],[Current Price]]/Main_M[[#This Row],[Free CF]],""),"")</f>
        <v>9.6941176470588246</v>
      </c>
      <c r="I45" s="1">
        <f>IF(ISNUMBER(Main_M[[#This Row],[BVPS]]),IF(Main_M[[#This Row],[BVPS]]&lt;&gt;0,Main_M[[#This Row],[Current Price]]/Main_M[[#This Row],[BVPS]],""),"")</f>
        <v>1.9030023094688222</v>
      </c>
      <c r="J45">
        <v>16.260000000000002</v>
      </c>
      <c r="K45">
        <v>4.82</v>
      </c>
      <c r="L45">
        <v>4.38</v>
      </c>
      <c r="M45" s="1">
        <f>IF(ISNUMBER(Main_M[[#This Row],[EPS]]),IF(Main_M[[#This Row],[EPS]]&lt;&gt;0,Main_M[[#This Row],[Current Price]]/Main_M[[#This Row],[EPS]],""),"")</f>
        <v>12.875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-1.4882568152811009</v>
      </c>
      <c r="P45" s="1">
        <f>(Main_M[[#This Row],[P/B]]-VLOOKUP(Main_M[[#This Row],[Industry]], Mean_PB_M, 2, FALSE))/(VLOOKUP(Main_M[[#This Row],[Industry]], Mean_PB_M, 3, FALSE))</f>
        <v>-0.63733714538720587</v>
      </c>
      <c r="Q45" s="1">
        <f>(Main_M[[#This Row],[ROE]]-VLOOKUP(Main_M[[#This Row],[Industry]], Mean_ROE_M, 2, FALSE))/(VLOOKUP(Main_M[[#This Row],[Industry]], Mean_ROE_M, 3, FALSE))</f>
        <v>0.18870057332009638</v>
      </c>
      <c r="R45" s="1">
        <f>(Main_M[[#This Row],[ROA]]-VLOOKUP(Main_M[[#This Row],[Industry]], Mean_ROA_M, 2, FALSE))/(VLOOKUP(Main_M[[#This Row],[Industry]], Mean_ROA_M, 3, FALSE))</f>
        <v>-0.51941879198099206</v>
      </c>
      <c r="S45" s="1">
        <f>(Main_M[[#This Row],[A/E]]-VLOOKUP(Main_M[[#This Row],[Industry]], Mean_AE_M, 2, FALSE))/(VLOOKUP(Main_M[[#This Row],[Industry]], Mean_AE_M, 3, FALSE))</f>
        <v>2.5013870743132434</v>
      </c>
      <c r="T45" s="1">
        <f>(Main_M[[#This Row],[P/E]]-VLOOKUP(Main_M[[#This Row],[Industry]], Mean_PE_M, 2, FALSE))/(VLOOKUP(Main_M[[#This Row],[Industry]], Mean_PE_M, 3, FALSE))</f>
        <v>-0.85843844076613496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t="s">
        <v>112</v>
      </c>
      <c r="B46" t="s">
        <v>294</v>
      </c>
      <c r="C46" s="2">
        <v>2300</v>
      </c>
      <c r="D46">
        <f>RTD("tos.rtd", , "LAST", Main_M[[#This Row],[Symbol]])</f>
        <v>6.66</v>
      </c>
      <c r="E46">
        <v>-0.08</v>
      </c>
      <c r="F46">
        <v>3.18</v>
      </c>
      <c r="G46">
        <v>0.24</v>
      </c>
      <c r="H46" s="1">
        <f>IF(ISNUMBER(Main_M[[#This Row],[Free CF]]),IF(Main_M[[#This Row],[Free CF]]&lt;&gt;0,Main_M[[#This Row],[Current Price]]/Main_M[[#This Row],[Free CF]],""),"")</f>
        <v>-83.25</v>
      </c>
      <c r="I46" s="1">
        <f>IF(ISNUMBER(Main_M[[#This Row],[BVPS]]),IF(Main_M[[#This Row],[BVPS]]&lt;&gt;0,Main_M[[#This Row],[Current Price]]/Main_M[[#This Row],[BVPS]],""),"")</f>
        <v>2.0943396226415092</v>
      </c>
      <c r="J46">
        <v>8.2100000000000009</v>
      </c>
      <c r="K46">
        <v>4.2300000000000004</v>
      </c>
      <c r="L46">
        <v>2.99</v>
      </c>
      <c r="M46" s="1">
        <f>IF(ISNUMBER(Main_M[[#This Row],[EPS]]),IF(Main_M[[#This Row],[EPS]]&lt;&gt;0,Main_M[[#This Row],[Current Price]]/Main_M[[#This Row],[EPS]],""),"")</f>
        <v>27.75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-27.447715002569343</v>
      </c>
      <c r="P46" s="1">
        <f>(Main_M[[#This Row],[P/B]]-VLOOKUP(Main_M[[#This Row],[Industry]], Mean_PB_M, 2, FALSE))/(VLOOKUP(Main_M[[#This Row],[Industry]], Mean_PB_M, 3, FALSE))</f>
        <v>-0.52702119517986978</v>
      </c>
      <c r="Q46" s="1">
        <f>(Main_M[[#This Row],[ROE]]-VLOOKUP(Main_M[[#This Row],[Industry]], Mean_ROE_M, 2, FALSE))/(VLOOKUP(Main_M[[#This Row],[Industry]], Mean_ROE_M, 3, FALSE))</f>
        <v>0.11236692431372573</v>
      </c>
      <c r="R46" s="1">
        <f>(Main_M[[#This Row],[ROA]]-VLOOKUP(Main_M[[#This Row],[Industry]], Mean_ROA_M, 2, FALSE))/(VLOOKUP(Main_M[[#This Row],[Industry]], Mean_ROA_M, 3, FALSE))</f>
        <v>-0.65140892353763413</v>
      </c>
      <c r="S46" s="1">
        <f>(Main_M[[#This Row],[A/E]]-VLOOKUP(Main_M[[#This Row],[Industry]], Mean_AE_M, 2, FALSE))/(VLOOKUP(Main_M[[#This Row],[Industry]], Mean_AE_M, 3, FALSE))</f>
        <v>0.94222652126597539</v>
      </c>
      <c r="T46" s="1">
        <f>(Main_M[[#This Row],[P/E]]-VLOOKUP(Main_M[[#This Row],[Industry]], Mean_PE_M, 2, FALSE))/(VLOOKUP(Main_M[[#This Row],[Industry]], Mean_PE_M, 3, FALSE))</f>
        <v>1.7174478504917168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t="s">
        <v>112</v>
      </c>
      <c r="B47" t="s">
        <v>290</v>
      </c>
      <c r="C47" s="2">
        <v>5940</v>
      </c>
      <c r="D47">
        <f>RTD("tos.rtd", , "LAST", Main_M[[#This Row],[Symbol]])</f>
        <v>10.83</v>
      </c>
      <c r="E47">
        <v>0.66</v>
      </c>
      <c r="F47">
        <v>6.2</v>
      </c>
      <c r="G47">
        <v>0.14000000000000001</v>
      </c>
      <c r="H47" s="1">
        <f>IF(ISNUMBER(Main_M[[#This Row],[Free CF]]),IF(Main_M[[#This Row],[Free CF]]&lt;&gt;0,Main_M[[#This Row],[Current Price]]/Main_M[[#This Row],[Free CF]],""),"")</f>
        <v>16.40909090909091</v>
      </c>
      <c r="I47" s="1">
        <f>IF(ISNUMBER(Main_M[[#This Row],[BVPS]]),IF(Main_M[[#This Row],[BVPS]]&lt;&gt;0,Main_M[[#This Row],[Current Price]]/Main_M[[#This Row],[BVPS]],""),"")</f>
        <v>1.7467741935483871</v>
      </c>
      <c r="J47">
        <v>2.2799999999999998</v>
      </c>
      <c r="K47">
        <v>-0.04</v>
      </c>
      <c r="L47">
        <v>1.46</v>
      </c>
      <c r="M47" s="1">
        <f>IF(ISNUMBER(Main_M[[#This Row],[EPS]]),IF(Main_M[[#This Row],[EPS]]&lt;&gt;0,Main_M[[#This Row],[Current Price]]/Main_M[[#This Row],[EPS]],""),"")</f>
        <v>77.357142857142847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0.38724721915842142</v>
      </c>
      <c r="P47" s="1">
        <f>(Main_M[[#This Row],[P/B]]-VLOOKUP(Main_M[[#This Row],[Industry]], Mean_PB_M, 2, FALSE))/(VLOOKUP(Main_M[[#This Row],[Industry]], Mean_PB_M, 3, FALSE))</f>
        <v>-0.72741081042979006</v>
      </c>
      <c r="Q47" s="1">
        <f>(Main_M[[#This Row],[ROE]]-VLOOKUP(Main_M[[#This Row],[Industry]], Mean_ROE_M, 2, FALSE))/(VLOOKUP(Main_M[[#This Row],[Industry]], Mean_ROE_M, 3, FALSE))</f>
        <v>5.6136049952511084E-2</v>
      </c>
      <c r="R47" s="1">
        <f>(Main_M[[#This Row],[ROA]]-VLOOKUP(Main_M[[#This Row],[Industry]], Mean_ROA_M, 2, FALSE))/(VLOOKUP(Main_M[[#This Row],[Industry]], Mean_ROA_M, 3, FALSE))</f>
        <v>-1.6066595366679084</v>
      </c>
      <c r="S47" s="1">
        <f>(Main_M[[#This Row],[A/E]]-VLOOKUP(Main_M[[#This Row],[Industry]], Mean_AE_M, 2, FALSE))/(VLOOKUP(Main_M[[#This Row],[Industry]], Mean_AE_M, 3, FALSE))</f>
        <v>-0.77397178532562227</v>
      </c>
      <c r="T47" s="1">
        <f>(Main_M[[#This Row],[P/E]]-VLOOKUP(Main_M[[#This Row],[Industry]], Mean_PE_M, 2, FALSE))/(VLOOKUP(Main_M[[#This Row],[Industry]], Mean_PE_M, 3, FALSE))</f>
        <v>10.307858555310817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8" spans="1:26" x14ac:dyDescent="0.25">
      <c r="A48" t="s">
        <v>111</v>
      </c>
      <c r="B48" t="s">
        <v>470</v>
      </c>
      <c r="C48" s="2">
        <v>5203</v>
      </c>
      <c r="D48">
        <f>RTD("tos.rtd", , "LAST", Main_M[[#This Row],[Symbol]])</f>
        <v>32.75</v>
      </c>
      <c r="H48" s="1" t="str">
        <f>IF(ISNUMBER(Main_M[[#This Row],[Free CF]]),IF(Main_M[[#This Row],[Free CF]]&lt;&gt;0,Main_M[[#This Row],[Current Price]]/Main_M[[#This Row],[Free CF]],""),"")</f>
        <v/>
      </c>
      <c r="I48" s="1" t="str">
        <f>IF(ISNUMBER(Main_M[[#This Row],[BVPS]]),IF(Main_M[[#This Row],[BVPS]]&lt;&gt;0,Main_M[[#This Row],[Current Price]]/Main_M[[#This Row],[BVPS]],""),"")</f>
        <v/>
      </c>
      <c r="J48">
        <v>100.9</v>
      </c>
      <c r="K48">
        <v>37.82</v>
      </c>
      <c r="L48">
        <v>2.4900000000000002</v>
      </c>
      <c r="M48" s="1" t="str">
        <f>IF(ISNUMBER(Main_M[[#This Row],[EPS]]),IF(Main_M[[#This Row],[EPS]]&lt;&gt;0,Main_M[[#This Row],[Current Price]]/Main_M[[#This Row],[EPS]],""),"")</f>
        <v/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 t="e">
        <f>(Main_M[[#This Row],[P/FCF]]-VLOOKUP(Main_M[[#This Row],[Industry]], Mean_PFCF_M, 2, FALSE))/(VLOOKUP(Main_M[[#This Row],[Industry]], Mean_PFCF_M, 3, FALSE))</f>
        <v>#VALUE!</v>
      </c>
      <c r="P48" s="1" t="e">
        <f>(Main_M[[#This Row],[P/B]]-VLOOKUP(Main_M[[#This Row],[Industry]], Mean_PB_M, 2, FALSE))/(VLOOKUP(Main_M[[#This Row],[Industry]], Mean_PB_M, 3, FALSE))</f>
        <v>#VALUE!</v>
      </c>
      <c r="Q48" s="1">
        <f>(Main_M[[#This Row],[ROE]]-VLOOKUP(Main_M[[#This Row],[Industry]], Mean_ROE_M, 2, FALSE))/(VLOOKUP(Main_M[[#This Row],[Industry]], Mean_ROE_M, 3, FALSE))</f>
        <v>0.57473588511182672</v>
      </c>
      <c r="R48" s="1">
        <f>(Main_M[[#This Row],[ROA]]-VLOOKUP(Main_M[[#This Row],[Industry]], Mean_ROA_M, 2, FALSE))/(VLOOKUP(Main_M[[#This Row],[Industry]], Mean_ROA_M, 3, FALSE))</f>
        <v>3.9898406896028411</v>
      </c>
      <c r="S48" s="1">
        <f>(Main_M[[#This Row],[A/E]]-VLOOKUP(Main_M[[#This Row],[Industry]], Mean_AE_M, 2, FALSE))/(VLOOKUP(Main_M[[#This Row],[Industry]], Mean_AE_M, 3, FALSE))</f>
        <v>-0.46454957174982509</v>
      </c>
      <c r="T48" s="1" t="e">
        <f>(Main_M[[#This Row],[P/E]]-VLOOKUP(Main_M[[#This Row],[Industry]], Mean_PE_M, 2, FALSE))/(VLOOKUP(Main_M[[#This Row],[Industry]], Mean_PE_M, 3, FALSE))</f>
        <v>#VALUE!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9" spans="1:26" x14ac:dyDescent="0.25">
      <c r="A49" t="s">
        <v>111</v>
      </c>
      <c r="B49" t="s">
        <v>277</v>
      </c>
      <c r="C49" s="2">
        <v>7674</v>
      </c>
      <c r="D49">
        <f>RTD("tos.rtd", , "LAST", Main_M[[#This Row],[Symbol]])</f>
        <v>173.45</v>
      </c>
      <c r="E49">
        <v>8.7799999999999994</v>
      </c>
      <c r="F49">
        <v>5.83</v>
      </c>
      <c r="G49">
        <v>7.16</v>
      </c>
      <c r="H49" s="1">
        <f>IF(ISNUMBER(Main_M[[#This Row],[Free CF]]),IF(Main_M[[#This Row],[Free CF]]&lt;&gt;0,Main_M[[#This Row],[Current Price]]/Main_M[[#This Row],[Free CF]],""),"")</f>
        <v>19.755125284738043</v>
      </c>
      <c r="I49" s="1">
        <f>IF(ISNUMBER(Main_M[[#This Row],[BVPS]]),IF(Main_M[[#This Row],[BVPS]]&lt;&gt;0,Main_M[[#This Row],[Current Price]]/Main_M[[#This Row],[BVPS]],""),"")</f>
        <v>29.751286449399654</v>
      </c>
      <c r="J49">
        <v>314.08</v>
      </c>
      <c r="K49">
        <v>12.21</v>
      </c>
      <c r="L49">
        <v>9.93</v>
      </c>
      <c r="M49" s="1">
        <f>IF(ISNUMBER(Main_M[[#This Row],[EPS]]),IF(Main_M[[#This Row],[EPS]]&lt;&gt;0,Main_M[[#This Row],[Current Price]]/Main_M[[#This Row],[EPS]],""),"")</f>
        <v>24.22486033519553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0.22988983483656328</v>
      </c>
      <c r="P49" s="1">
        <f>(Main_M[[#This Row],[P/B]]-VLOOKUP(Main_M[[#This Row],[Industry]], Mean_PB_M, 2, FALSE))/(VLOOKUP(Main_M[[#This Row],[Industry]], Mean_PB_M, 3, FALSE))</f>
        <v>4.3877509408949473</v>
      </c>
      <c r="Q49" s="1">
        <f>(Main_M[[#This Row],[ROE]]-VLOOKUP(Main_M[[#This Row],[Industry]], Mean_ROE_M, 2, FALSE))/(VLOOKUP(Main_M[[#This Row],[Industry]], Mean_ROE_M, 3, FALSE))</f>
        <v>1.6134254319120651</v>
      </c>
      <c r="R49" s="1">
        <f>(Main_M[[#This Row],[ROA]]-VLOOKUP(Main_M[[#This Row],[Industry]], Mean_ROA_M, 2, FALSE))/(VLOOKUP(Main_M[[#This Row],[Industry]], Mean_ROA_M, 3, FALSE))</f>
        <v>0.66485849338026393</v>
      </c>
      <c r="S49" s="1">
        <f>(Main_M[[#This Row],[A/E]]-VLOOKUP(Main_M[[#This Row],[Industry]], Mean_AE_M, 2, FALSE))/(VLOOKUP(Main_M[[#This Row],[Industry]], Mean_AE_M, 3, FALSE))</f>
        <v>1.2758778566360445</v>
      </c>
      <c r="T49" s="1">
        <f>(Main_M[[#This Row],[P/E]]-VLOOKUP(Main_M[[#This Row],[Industry]], Mean_PE_M, 2, FALSE))/(VLOOKUP(Main_M[[#This Row],[Industry]], Mean_PE_M, 3, FALSE))</f>
        <v>0.17915069640445047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0" spans="1:26" x14ac:dyDescent="0.25">
      <c r="A50" t="s">
        <v>111</v>
      </c>
      <c r="B50" t="s">
        <v>272</v>
      </c>
      <c r="C50" s="2">
        <v>5980</v>
      </c>
      <c r="D50">
        <f>RTD("tos.rtd", , "LAST", Main_M[[#This Row],[Symbol]])</f>
        <v>155.68</v>
      </c>
      <c r="E50">
        <v>10.58</v>
      </c>
      <c r="F50">
        <v>14.21</v>
      </c>
      <c r="G50">
        <v>6.89</v>
      </c>
      <c r="H50" s="1">
        <f>IF(ISNUMBER(Main_M[[#This Row],[Free CF]]),IF(Main_M[[#This Row],[Free CF]]&lt;&gt;0,Main_M[[#This Row],[Current Price]]/Main_M[[#This Row],[Free CF]],""),"")</f>
        <v>14.714555765595463</v>
      </c>
      <c r="I50" s="1">
        <f>IF(ISNUMBER(Main_M[[#This Row],[BVPS]]),IF(Main_M[[#This Row],[BVPS]]&lt;&gt;0,Main_M[[#This Row],[Current Price]]/Main_M[[#This Row],[BVPS]],""),"")</f>
        <v>10.955665024630541</v>
      </c>
      <c r="J50">
        <v>28.08</v>
      </c>
      <c r="K50">
        <v>6.21</v>
      </c>
      <c r="L50">
        <v>10.42</v>
      </c>
      <c r="M50" s="1">
        <f>IF(ISNUMBER(Main_M[[#This Row],[EPS]]),IF(Main_M[[#This Row],[EPS]]&lt;&gt;0,Main_M[[#This Row],[Current Price]]/Main_M[[#This Row],[EPS]],""),"")</f>
        <v>22.595065312046447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-0.17883957025238756</v>
      </c>
      <c r="P50" s="1">
        <f>(Main_M[[#This Row],[P/B]]-VLOOKUP(Main_M[[#This Row],[Industry]], Mean_PB_M, 2, FALSE))/(VLOOKUP(Main_M[[#This Row],[Industry]], Mean_PB_M, 3, FALSE))</f>
        <v>0.98374486865045163</v>
      </c>
      <c r="Q50" s="1">
        <f>(Main_M[[#This Row],[ROE]]-VLOOKUP(Main_M[[#This Row],[Industry]], Mean_ROE_M, 2, FALSE))/(VLOOKUP(Main_M[[#This Row],[Industry]], Mean_ROE_M, 3, FALSE))</f>
        <v>0.21993068388284961</v>
      </c>
      <c r="R50" s="1">
        <f>(Main_M[[#This Row],[ROA]]-VLOOKUP(Main_M[[#This Row],[Industry]], Mean_ROA_M, 2, FALSE))/(VLOOKUP(Main_M[[#This Row],[Industry]], Mean_ROA_M, 3, FALSE))</f>
        <v>-0.11412991651178872</v>
      </c>
      <c r="S50" s="1">
        <f>(Main_M[[#This Row],[A/E]]-VLOOKUP(Main_M[[#This Row],[Industry]], Mean_AE_M, 2, FALSE))/(VLOOKUP(Main_M[[#This Row],[Industry]], Mean_AE_M, 3, FALSE))</f>
        <v>1.3905027813550064</v>
      </c>
      <c r="T50" s="1">
        <f>(Main_M[[#This Row],[P/E]]-VLOOKUP(Main_M[[#This Row],[Industry]], Mean_PE_M, 2, FALSE))/(VLOOKUP(Main_M[[#This Row],[Industry]], Mean_PE_M, 3, FALSE))</f>
        <v>9.3821597840367921E-2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1" spans="1:26" x14ac:dyDescent="0.25">
      <c r="A51" t="s">
        <v>111</v>
      </c>
      <c r="B51" t="s">
        <v>264</v>
      </c>
      <c r="C51" s="2">
        <v>5878</v>
      </c>
      <c r="D51">
        <f>RTD("tos.rtd", , "LAST", Main_M[[#This Row],[Symbol]])</f>
        <v>127.89</v>
      </c>
      <c r="E51">
        <v>3.81</v>
      </c>
      <c r="F51">
        <v>-1.38</v>
      </c>
      <c r="G51">
        <v>6.57</v>
      </c>
      <c r="H51" s="1">
        <f>IF(ISNUMBER(Main_M[[#This Row],[Free CF]]),IF(Main_M[[#This Row],[Free CF]]&lt;&gt;0,Main_M[[#This Row],[Current Price]]/Main_M[[#This Row],[Free CF]],""),"")</f>
        <v>33.566929133858267</v>
      </c>
      <c r="I51" s="1">
        <f>IF(ISNUMBER(Main_M[[#This Row],[BVPS]]),IF(Main_M[[#This Row],[BVPS]]&lt;&gt;0,Main_M[[#This Row],[Current Price]]/Main_M[[#This Row],[BVPS]],""),"")</f>
        <v>-92.673913043478265</v>
      </c>
      <c r="J51">
        <v>-1094.9000000000001</v>
      </c>
      <c r="K51">
        <v>11.98</v>
      </c>
      <c r="L51">
        <v>-40.32</v>
      </c>
      <c r="M51" s="1">
        <f>IF(ISNUMBER(Main_M[[#This Row],[EPS]]),IF(Main_M[[#This Row],[EPS]]&lt;&gt;0,Main_M[[#This Row],[Current Price]]/Main_M[[#This Row],[EPS]],""),"")</f>
        <v>19.465753424657535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1.3498605740589988</v>
      </c>
      <c r="P51" s="1">
        <f>(Main_M[[#This Row],[P/B]]-VLOOKUP(Main_M[[#This Row],[Industry]], Mean_PB_M, 2, FALSE))/(VLOOKUP(Main_M[[#This Row],[Industry]], Mean_PB_M, 3, FALSE))</f>
        <v>-17.784228003111657</v>
      </c>
      <c r="Q51" s="1">
        <f>(Main_M[[#This Row],[ROE]]-VLOOKUP(Main_M[[#This Row],[Industry]], Mean_ROE_M, 2, FALSE))/(VLOOKUP(Main_M[[#This Row],[Industry]], Mean_ROE_M, 3, FALSE))</f>
        <v>-5.251631316613123</v>
      </c>
      <c r="R51" s="1">
        <f>(Main_M[[#This Row],[ROA]]-VLOOKUP(Main_M[[#This Row],[Industry]], Mean_ROA_M, 2, FALSE))/(VLOOKUP(Main_M[[#This Row],[Industry]], Mean_ROA_M, 3, FALSE))</f>
        <v>0.63499727100106851</v>
      </c>
      <c r="S51" s="1">
        <f>(Main_M[[#This Row],[A/E]]-VLOOKUP(Main_M[[#This Row],[Industry]], Mean_AE_M, 2, FALSE))/(VLOOKUP(Main_M[[#This Row],[Industry]], Mean_AE_M, 3, FALSE))</f>
        <v>-10.47902513750239</v>
      </c>
      <c r="T51" s="1">
        <f>(Main_M[[#This Row],[P/E]]-VLOOKUP(Main_M[[#This Row],[Industry]], Mean_PE_M, 2, FALSE))/(VLOOKUP(Main_M[[#This Row],[Industry]], Mean_PE_M, 3, FALSE))</f>
        <v>-7.0015791944285019E-2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2" spans="1:26" x14ac:dyDescent="0.25">
      <c r="A52" t="s">
        <v>111</v>
      </c>
      <c r="B52" t="s">
        <v>250</v>
      </c>
      <c r="C52" s="2">
        <v>6103</v>
      </c>
      <c r="D52">
        <f>RTD("tos.rtd", , "LAST", Main_M[[#This Row],[Symbol]])</f>
        <v>73.930000000000007</v>
      </c>
      <c r="E52">
        <v>5.34</v>
      </c>
      <c r="F52">
        <v>16.48</v>
      </c>
      <c r="G52">
        <v>6.13</v>
      </c>
      <c r="H52" s="1">
        <f>IF(ISNUMBER(Main_M[[#This Row],[Free CF]]),IF(Main_M[[#This Row],[Free CF]]&lt;&gt;0,Main_M[[#This Row],[Current Price]]/Main_M[[#This Row],[Free CF]],""),"")</f>
        <v>13.844569288389515</v>
      </c>
      <c r="I52" s="1">
        <f>IF(ISNUMBER(Main_M[[#This Row],[BVPS]]),IF(Main_M[[#This Row],[BVPS]]&lt;&gt;0,Main_M[[#This Row],[Current Price]]/Main_M[[#This Row],[BVPS]],""),"")</f>
        <v>4.4860436893203888</v>
      </c>
      <c r="J52">
        <v>35.549999999999997</v>
      </c>
      <c r="K52">
        <v>9.36</v>
      </c>
      <c r="L52">
        <v>4.79</v>
      </c>
      <c r="M52" s="1">
        <f>IF(ISNUMBER(Main_M[[#This Row],[EPS]]),IF(Main_M[[#This Row],[EPS]]&lt;&gt;0,Main_M[[#This Row],[Current Price]]/Main_M[[#This Row],[EPS]],""),"")</f>
        <v>12.060358890701469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2" s="1">
        <f>(Main_M[[#This Row],[P/FCF]]-VLOOKUP(Main_M[[#This Row],[Industry]], Mean_PFCF_M, 2, FALSE))/(VLOOKUP(Main_M[[#This Row],[Industry]], Mean_PFCF_M, 3, FALSE))</f>
        <v>-0.2493849826137087</v>
      </c>
      <c r="P52" s="1">
        <f>(Main_M[[#This Row],[P/B]]-VLOOKUP(Main_M[[#This Row],[Industry]], Mean_PB_M, 2, FALSE))/(VLOOKUP(Main_M[[#This Row],[Industry]], Mean_PB_M, 3, FALSE))</f>
        <v>-0.18794452713066334</v>
      </c>
      <c r="Q52" s="1">
        <f>(Main_M[[#This Row],[ROE]]-VLOOKUP(Main_M[[#This Row],[Industry]], Mean_ROE_M, 2, FALSE))/(VLOOKUP(Main_M[[#This Row],[Industry]], Mean_ROE_M, 3, FALSE))</f>
        <v>0.25632720754640986</v>
      </c>
      <c r="R52" s="1">
        <f>(Main_M[[#This Row],[ROA]]-VLOOKUP(Main_M[[#This Row],[Industry]], Mean_ROA_M, 2, FALSE))/(VLOOKUP(Main_M[[#This Row],[Industry]], Mean_ROA_M, 3, FALSE))</f>
        <v>0.29483899868153879</v>
      </c>
      <c r="S52" s="1">
        <f>(Main_M[[#This Row],[A/E]]-VLOOKUP(Main_M[[#This Row],[Industry]], Mean_AE_M, 2, FALSE))/(VLOOKUP(Main_M[[#This Row],[Industry]], Mean_AE_M, 3, FALSE))</f>
        <v>7.3485789175914154E-2</v>
      </c>
      <c r="T52" s="1">
        <f>(Main_M[[#This Row],[P/E]]-VLOOKUP(Main_M[[#This Row],[Industry]], Mean_PE_M, 2, FALSE))/(VLOOKUP(Main_M[[#This Row],[Industry]], Mean_PE_M, 3, FALSE))</f>
        <v>-0.45773058498182267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3" spans="1:26" x14ac:dyDescent="0.25">
      <c r="A53" t="s">
        <v>111</v>
      </c>
      <c r="B53" t="s">
        <v>281</v>
      </c>
      <c r="C53" s="2">
        <v>9534</v>
      </c>
      <c r="D53">
        <f>RTD("tos.rtd", , "LAST", Main_M[[#This Row],[Symbol]])</f>
        <v>376.13</v>
      </c>
      <c r="E53">
        <v>3.08</v>
      </c>
      <c r="F53">
        <v>-25.62</v>
      </c>
      <c r="G53">
        <v>5.91</v>
      </c>
      <c r="H53" s="1">
        <f>IF(ISNUMBER(Main_M[[#This Row],[Free CF]]),IF(Main_M[[#This Row],[Free CF]]&lt;&gt;0,Main_M[[#This Row],[Current Price]]/Main_M[[#This Row],[Free CF]],""),"")</f>
        <v>122.12012987012987</v>
      </c>
      <c r="I53" s="1">
        <f>IF(ISNUMBER(Main_M[[#This Row],[BVPS]]),IF(Main_M[[#This Row],[BVPS]]&lt;&gt;0,Main_M[[#This Row],[Current Price]]/Main_M[[#This Row],[BVPS]],""),"")</f>
        <v>-14.68110850897736</v>
      </c>
      <c r="J53">
        <v>-29.97</v>
      </c>
      <c r="K53">
        <v>19.12</v>
      </c>
      <c r="L53">
        <v>-0.97</v>
      </c>
      <c r="M53" s="1">
        <f>IF(ISNUMBER(Main_M[[#This Row],[EPS]]),IF(Main_M[[#This Row],[EPS]]&lt;&gt;0,Main_M[[#This Row],[Current Price]]/Main_M[[#This Row],[EPS]],""),"")</f>
        <v>63.642978003384094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3" s="1">
        <f>(Main_M[[#This Row],[P/FCF]]-VLOOKUP(Main_M[[#This Row],[Industry]], Mean_PFCF_M, 2, FALSE))/(VLOOKUP(Main_M[[#This Row],[Industry]], Mean_PFCF_M, 3, FALSE))</f>
        <v>8.5304573138130273</v>
      </c>
      <c r="P53" s="1">
        <f>(Main_M[[#This Row],[P/B]]-VLOOKUP(Main_M[[#This Row],[Industry]], Mean_PB_M, 2, FALSE))/(VLOOKUP(Main_M[[#This Row],[Industry]], Mean_PB_M, 3, FALSE))</f>
        <v>-3.6592371753566555</v>
      </c>
      <c r="Q53" s="1">
        <f>(Main_M[[#This Row],[ROE]]-VLOOKUP(Main_M[[#This Row],[Industry]], Mean_ROE_M, 2, FALSE))/(VLOOKUP(Main_M[[#This Row],[Industry]], Mean_ROE_M, 3, FALSE))</f>
        <v>-6.2909771093010353E-2</v>
      </c>
      <c r="R53" s="1">
        <f>(Main_M[[#This Row],[ROA]]-VLOOKUP(Main_M[[#This Row],[Industry]], Mean_ROA_M, 2, FALSE))/(VLOOKUP(Main_M[[#This Row],[Industry]], Mean_ROA_M, 3, FALSE))</f>
        <v>1.5619934787726111</v>
      </c>
      <c r="S53" s="1">
        <f>(Main_M[[#This Row],[A/E]]-VLOOKUP(Main_M[[#This Row],[Industry]], Mean_AE_M, 2, FALSE))/(VLOOKUP(Main_M[[#This Row],[Industry]], Mean_AE_M, 3, FALSE))</f>
        <v>-1.2739418973163721</v>
      </c>
      <c r="T53" s="1">
        <f>(Main_M[[#This Row],[P/E]]-VLOOKUP(Main_M[[#This Row],[Industry]], Mean_PE_M, 2, FALSE))/(VLOOKUP(Main_M[[#This Row],[Industry]], Mean_PE_M, 3, FALSE))</f>
        <v>2.2429147894009445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4" spans="1:26" x14ac:dyDescent="0.25">
      <c r="A54" t="s">
        <v>111</v>
      </c>
      <c r="B54" t="s">
        <v>268</v>
      </c>
      <c r="C54" s="2">
        <v>2274</v>
      </c>
      <c r="D54">
        <f>RTD("tos.rtd", , "LAST", Main_M[[#This Row],[Symbol]])</f>
        <v>66.58</v>
      </c>
      <c r="E54">
        <v>4.3600000000000003</v>
      </c>
      <c r="F54">
        <v>70.52</v>
      </c>
      <c r="G54">
        <v>5.85</v>
      </c>
      <c r="H54" s="1">
        <f>IF(ISNUMBER(Main_M[[#This Row],[Free CF]]),IF(Main_M[[#This Row],[Free CF]]&lt;&gt;0,Main_M[[#This Row],[Current Price]]/Main_M[[#This Row],[Free CF]],""),"")</f>
        <v>15.27064220183486</v>
      </c>
      <c r="I54" s="1">
        <f>IF(ISNUMBER(Main_M[[#This Row],[BVPS]]),IF(Main_M[[#This Row],[BVPS]]&lt;&gt;0,Main_M[[#This Row],[Current Price]]/Main_M[[#This Row],[BVPS]],""),"")</f>
        <v>0.94412932501418045</v>
      </c>
      <c r="J54">
        <v>9.4700000000000006</v>
      </c>
      <c r="K54">
        <v>3.32</v>
      </c>
      <c r="L54">
        <v>4.0599999999999996</v>
      </c>
      <c r="M54" s="1">
        <f>IF(ISNUMBER(Main_M[[#This Row],[EPS]]),IF(Main_M[[#This Row],[EPS]]&lt;&gt;0,Main_M[[#This Row],[Current Price]]/Main_M[[#This Row],[EPS]],""),"")</f>
        <v>11.381196581196582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4" s="1">
        <f>(Main_M[[#This Row],[P/FCF]]-VLOOKUP(Main_M[[#This Row],[Industry]], Mean_PFCF_M, 2, FALSE))/(VLOOKUP(Main_M[[#This Row],[Industry]], Mean_PFCF_M, 3, FALSE))</f>
        <v>-0.13374766597470858</v>
      </c>
      <c r="P54" s="1">
        <f>(Main_M[[#This Row],[P/B]]-VLOOKUP(Main_M[[#This Row],[Industry]], Mean_PB_M, 2, FALSE))/(VLOOKUP(Main_M[[#This Row],[Industry]], Mean_PB_M, 3, FALSE))</f>
        <v>-0.82940764936507183</v>
      </c>
      <c r="Q54" s="1">
        <f>(Main_M[[#This Row],[ROE]]-VLOOKUP(Main_M[[#This Row],[Industry]], Mean_ROE_M, 2, FALSE))/(VLOOKUP(Main_M[[#This Row],[Industry]], Mean_ROE_M, 3, FALSE))</f>
        <v>0.12925607807577374</v>
      </c>
      <c r="R54" s="1">
        <f>(Main_M[[#This Row],[ROA]]-VLOOKUP(Main_M[[#This Row],[Industry]], Mean_ROA_M, 2, FALSE))/(VLOOKUP(Main_M[[#This Row],[Industry]], Mean_ROA_M, 3, FALSE))</f>
        <v>-0.4893426672764607</v>
      </c>
      <c r="S54" s="1">
        <f>(Main_M[[#This Row],[A/E]]-VLOOKUP(Main_M[[#This Row],[Industry]], Mean_AE_M, 2, FALSE))/(VLOOKUP(Main_M[[#This Row],[Industry]], Mean_AE_M, 3, FALSE))</f>
        <v>-9.7281955813559723E-2</v>
      </c>
      <c r="T54" s="1">
        <f>(Main_M[[#This Row],[P/E]]-VLOOKUP(Main_M[[#This Row],[Industry]], Mean_PE_M, 2, FALSE))/(VLOOKUP(Main_M[[#This Row],[Industry]], Mean_PE_M, 3, FALSE))</f>
        <v>-0.49328861947426905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5" spans="1:26" x14ac:dyDescent="0.25">
      <c r="A55" t="s">
        <v>111</v>
      </c>
      <c r="B55" t="s">
        <v>251</v>
      </c>
      <c r="C55" s="2">
        <v>6896</v>
      </c>
      <c r="D55">
        <f>RTD("tos.rtd", , "LAST", Main_M[[#This Row],[Symbol]])</f>
        <v>99.59</v>
      </c>
      <c r="E55">
        <v>3.96</v>
      </c>
      <c r="F55">
        <v>14.72</v>
      </c>
      <c r="G55">
        <v>5.66</v>
      </c>
      <c r="H55" s="1">
        <f>IF(ISNUMBER(Main_M[[#This Row],[Free CF]]),IF(Main_M[[#This Row],[Free CF]]&lt;&gt;0,Main_M[[#This Row],[Current Price]]/Main_M[[#This Row],[Free CF]],""),"")</f>
        <v>25.1489898989899</v>
      </c>
      <c r="I55" s="1">
        <f>IF(ISNUMBER(Main_M[[#This Row],[BVPS]]),IF(Main_M[[#This Row],[BVPS]]&lt;&gt;0,Main_M[[#This Row],[Current Price]]/Main_M[[#This Row],[BVPS]],""),"")</f>
        <v>6.765625</v>
      </c>
      <c r="J55">
        <v>44.36</v>
      </c>
      <c r="K55">
        <v>6.12</v>
      </c>
      <c r="L55">
        <v>6.86</v>
      </c>
      <c r="M55" s="1">
        <f>IF(ISNUMBER(Main_M[[#This Row],[EPS]]),IF(Main_M[[#This Row],[EPS]]&lt;&gt;0,Main_M[[#This Row],[Current Price]]/Main_M[[#This Row],[EPS]],""),"")</f>
        <v>17.595406360424029</v>
      </c>
      <c r="N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5" s="1">
        <f>(Main_M[[#This Row],[P/FCF]]-VLOOKUP(Main_M[[#This Row],[Industry]], Mean_PFCF_M, 2, FALSE))/(VLOOKUP(Main_M[[#This Row],[Industry]], Mean_PFCF_M, 3, FALSE))</f>
        <v>0.66726721184544568</v>
      </c>
      <c r="P55" s="1">
        <f>(Main_M[[#This Row],[P/B]]-VLOOKUP(Main_M[[#This Row],[Industry]], Mean_PB_M, 2, FALSE))/(VLOOKUP(Main_M[[#This Row],[Industry]], Mean_PB_M, 3, FALSE))</f>
        <v>0.22490208476707463</v>
      </c>
      <c r="Q55" s="1">
        <f>(Main_M[[#This Row],[ROE]]-VLOOKUP(Main_M[[#This Row],[Industry]], Mean_ROE_M, 2, FALSE))/(VLOOKUP(Main_M[[#This Row],[Industry]], Mean_ROE_M, 3, FALSE))</f>
        <v>0.29925269261682036</v>
      </c>
      <c r="R55" s="1">
        <f>(Main_M[[#This Row],[ROA]]-VLOOKUP(Main_M[[#This Row],[Industry]], Mean_ROA_M, 2, FALSE))/(VLOOKUP(Main_M[[#This Row],[Industry]], Mean_ROA_M, 3, FALSE))</f>
        <v>-0.12581474266016948</v>
      </c>
      <c r="S55" s="1">
        <f>(Main_M[[#This Row],[A/E]]-VLOOKUP(Main_M[[#This Row],[Industry]], Mean_AE_M, 2, FALSE))/(VLOOKUP(Main_M[[#This Row],[Industry]], Mean_AE_M, 3, FALSE))</f>
        <v>0.5577176140090796</v>
      </c>
      <c r="T55" s="1">
        <f>(Main_M[[#This Row],[P/E]]-VLOOKUP(Main_M[[#This Row],[Industry]], Mean_PE_M, 2, FALSE))/(VLOOKUP(Main_M[[#This Row],[Industry]], Mean_PE_M, 3, FALSE))</f>
        <v>-0.16793916680197388</v>
      </c>
      <c r="U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6" spans="1:26" x14ac:dyDescent="0.25">
      <c r="A56" t="s">
        <v>111</v>
      </c>
      <c r="B56" t="s">
        <v>267</v>
      </c>
      <c r="C56" s="2">
        <v>3226</v>
      </c>
      <c r="D56">
        <f>RTD("tos.rtd", , "LAST", Main_M[[#This Row],[Symbol]])</f>
        <v>49.92</v>
      </c>
      <c r="E56">
        <v>6.57</v>
      </c>
      <c r="F56">
        <v>-13.6</v>
      </c>
      <c r="G56">
        <v>5.52</v>
      </c>
      <c r="H56" s="1">
        <f>IF(ISNUMBER(Main_M[[#This Row],[Free CF]]),IF(Main_M[[#This Row],[Free CF]]&lt;&gt;0,Main_M[[#This Row],[Current Price]]/Main_M[[#This Row],[Free CF]],""),"")</f>
        <v>7.5981735159817347</v>
      </c>
      <c r="I56" s="1">
        <f>IF(ISNUMBER(Main_M[[#This Row],[BVPS]]),IF(Main_M[[#This Row],[BVPS]]&lt;&gt;0,Main_M[[#This Row],[Current Price]]/Main_M[[#This Row],[BVPS]],""),"")</f>
        <v>-3.6705882352941179</v>
      </c>
      <c r="J56">
        <v>-42.12</v>
      </c>
      <c r="K56">
        <v>6.87</v>
      </c>
      <c r="L56">
        <v>-7.49</v>
      </c>
      <c r="M56" s="1">
        <f>IF(ISNUMBER(Main_M[[#This Row],[EPS]]),IF(Main_M[[#This Row],[EPS]]&lt;&gt;0,Main_M[[#This Row],[Current Price]]/Main_M[[#This Row],[EPS]],""),"")</f>
        <v>9.0434782608695663</v>
      </c>
      <c r="N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6" s="1">
        <f>(Main_M[[#This Row],[P/FCF]]-VLOOKUP(Main_M[[#This Row],[Industry]], Mean_PFCF_M, 2, FALSE))/(VLOOKUP(Main_M[[#This Row],[Industry]], Mean_PFCF_M, 3, FALSE))</f>
        <v>-0.75589235609809613</v>
      </c>
      <c r="P56" s="1">
        <f>(Main_M[[#This Row],[P/B]]-VLOOKUP(Main_M[[#This Row],[Industry]], Mean_PB_M, 2, FALSE))/(VLOOKUP(Main_M[[#This Row],[Industry]], Mean_PB_M, 3, FALSE))</f>
        <v>-1.6651622244323188</v>
      </c>
      <c r="Q56" s="1">
        <f>(Main_M[[#This Row],[ROE]]-VLOOKUP(Main_M[[#This Row],[Industry]], Mean_ROE_M, 2, FALSE))/(VLOOKUP(Main_M[[#This Row],[Industry]], Mean_ROE_M, 3, FALSE))</f>
        <v>-0.12210893608795778</v>
      </c>
      <c r="R56" s="1">
        <f>(Main_M[[#This Row],[ROA]]-VLOOKUP(Main_M[[#This Row],[Industry]], Mean_ROA_M, 2, FALSE))/(VLOOKUP(Main_M[[#This Row],[Industry]], Mean_ROA_M, 3, FALSE))</f>
        <v>-2.8441191423662922E-2</v>
      </c>
      <c r="S56" s="1">
        <f>(Main_M[[#This Row],[A/E]]-VLOOKUP(Main_M[[#This Row],[Industry]], Mean_AE_M, 2, FALSE))/(VLOOKUP(Main_M[[#This Row],[Industry]], Mean_AE_M, 3, FALSE))</f>
        <v>-2.7991551813319457</v>
      </c>
      <c r="T56" s="1">
        <f>(Main_M[[#This Row],[P/E]]-VLOOKUP(Main_M[[#This Row],[Industry]], Mean_PE_M, 2, FALSE))/(VLOOKUP(Main_M[[#This Row],[Industry]], Mean_PE_M, 3, FALSE))</f>
        <v>-0.61568155486611964</v>
      </c>
      <c r="U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7" spans="1:26" x14ac:dyDescent="0.25">
      <c r="A57" t="s">
        <v>111</v>
      </c>
      <c r="B57" t="s">
        <v>269</v>
      </c>
      <c r="C57" s="2">
        <v>6374</v>
      </c>
      <c r="D57">
        <f>RTD("tos.rtd", , "LAST", Main_M[[#This Row],[Symbol]])</f>
        <v>82.42</v>
      </c>
      <c r="E57">
        <v>2.87</v>
      </c>
      <c r="F57">
        <v>7.42</v>
      </c>
      <c r="G57">
        <v>4.22</v>
      </c>
      <c r="H57" s="1">
        <f>IF(ISNUMBER(Main_M[[#This Row],[Free CF]]),IF(Main_M[[#This Row],[Free CF]]&lt;&gt;0,Main_M[[#This Row],[Current Price]]/Main_M[[#This Row],[Free CF]],""),"")</f>
        <v>28.717770034843205</v>
      </c>
      <c r="I57" s="1">
        <f>IF(ISNUMBER(Main_M[[#This Row],[BVPS]]),IF(Main_M[[#This Row],[BVPS]]&lt;&gt;0,Main_M[[#This Row],[Current Price]]/Main_M[[#This Row],[BVPS]],""),"")</f>
        <v>11.107816711590297</v>
      </c>
      <c r="J57">
        <v>53.31</v>
      </c>
      <c r="K57">
        <v>8.51</v>
      </c>
      <c r="L57">
        <v>7.34</v>
      </c>
      <c r="M57" s="1">
        <f>IF(ISNUMBER(Main_M[[#This Row],[EPS]]),IF(Main_M[[#This Row],[EPS]]&lt;&gt;0,Main_M[[#This Row],[Current Price]]/Main_M[[#This Row],[EPS]],""),"")</f>
        <v>19.530805687203792</v>
      </c>
      <c r="N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7" s="1">
        <f>(Main_M[[#This Row],[P/FCF]]-VLOOKUP(Main_M[[#This Row],[Industry]], Mean_PFCF_M, 2, FALSE))/(VLOOKUP(Main_M[[#This Row],[Industry]], Mean_PFCF_M, 3, FALSE))</f>
        <v>0.95665224587404318</v>
      </c>
      <c r="P57" s="1">
        <f>(Main_M[[#This Row],[P/B]]-VLOOKUP(Main_M[[#This Row],[Industry]], Mean_PB_M, 2, FALSE))/(VLOOKUP(Main_M[[#This Row],[Industry]], Mean_PB_M, 3, FALSE))</f>
        <v>1.0113005027318407</v>
      </c>
      <c r="Q57" s="1">
        <f>(Main_M[[#This Row],[ROE]]-VLOOKUP(Main_M[[#This Row],[Industry]], Mean_ROE_M, 2, FALSE))/(VLOOKUP(Main_M[[#This Row],[Industry]], Mean_ROE_M, 3, FALSE))</f>
        <v>0.34286030798346884</v>
      </c>
      <c r="R57" s="1">
        <f>(Main_M[[#This Row],[ROA]]-VLOOKUP(Main_M[[#This Row],[Industry]], Mean_ROA_M, 2, FALSE))/(VLOOKUP(Main_M[[#This Row],[Industry]], Mean_ROA_M, 3, FALSE))</f>
        <v>0.18448230728016474</v>
      </c>
      <c r="S57" s="1">
        <f>(Main_M[[#This Row],[A/E]]-VLOOKUP(Main_M[[#This Row],[Industry]], Mean_AE_M, 2, FALSE))/(VLOOKUP(Main_M[[#This Row],[Industry]], Mean_AE_M, 3, FALSE))</f>
        <v>0.67000325455010334</v>
      </c>
      <c r="T57" s="1">
        <f>(Main_M[[#This Row],[P/E]]-VLOOKUP(Main_M[[#This Row],[Industry]], Mean_PE_M, 2, FALSE))/(VLOOKUP(Main_M[[#This Row],[Industry]], Mean_PE_M, 3, FALSE))</f>
        <v>-6.6609933634630372E-2</v>
      </c>
      <c r="U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8" spans="1:26" x14ac:dyDescent="0.25">
      <c r="A58" t="s">
        <v>111</v>
      </c>
      <c r="B58" t="s">
        <v>274</v>
      </c>
      <c r="C58" s="2">
        <v>2462</v>
      </c>
      <c r="D58">
        <f>RTD("tos.rtd", , "LAST", Main_M[[#This Row],[Symbol]])</f>
        <v>42.83</v>
      </c>
      <c r="E58">
        <v>3.78</v>
      </c>
      <c r="F58">
        <v>-8.6999999999999993</v>
      </c>
      <c r="G58">
        <v>3.85</v>
      </c>
      <c r="H58" s="1">
        <f>IF(ISNUMBER(Main_M[[#This Row],[Free CF]]),IF(Main_M[[#This Row],[Free CF]]&lt;&gt;0,Main_M[[#This Row],[Current Price]]/Main_M[[#This Row],[Free CF]],""),"")</f>
        <v>11.330687830687831</v>
      </c>
      <c r="I58" s="1">
        <f>IF(ISNUMBER(Main_M[[#This Row],[BVPS]]),IF(Main_M[[#This Row],[BVPS]]&lt;&gt;0,Main_M[[#This Row],[Current Price]]/Main_M[[#This Row],[BVPS]],""),"")</f>
        <v>-4.922988505747127</v>
      </c>
      <c r="J58">
        <v>-61.71</v>
      </c>
      <c r="K58">
        <v>11.47</v>
      </c>
      <c r="L58">
        <v>-5.38</v>
      </c>
      <c r="M58" s="1">
        <f>IF(ISNUMBER(Main_M[[#This Row],[EPS]]),IF(Main_M[[#This Row],[EPS]]&lt;&gt;0,Main_M[[#This Row],[Current Price]]/Main_M[[#This Row],[EPS]],""),"")</f>
        <v>11.124675324675325</v>
      </c>
      <c r="N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8" s="1">
        <f>(Main_M[[#This Row],[P/FCF]]-VLOOKUP(Main_M[[#This Row],[Industry]], Mean_PFCF_M, 2, FALSE))/(VLOOKUP(Main_M[[#This Row],[Industry]], Mean_PFCF_M, 3, FALSE))</f>
        <v>-0.45323045459230671</v>
      </c>
      <c r="P58" s="1">
        <f>(Main_M[[#This Row],[P/B]]-VLOOKUP(Main_M[[#This Row],[Industry]], Mean_PB_M, 2, FALSE))/(VLOOKUP(Main_M[[#This Row],[Industry]], Mean_PB_M, 3, FALSE))</f>
        <v>-1.8919798448321754</v>
      </c>
      <c r="Q58" s="1">
        <f>(Main_M[[#This Row],[ROE]]-VLOOKUP(Main_M[[#This Row],[Industry]], Mean_ROE_M, 2, FALSE))/(VLOOKUP(Main_M[[#This Row],[Industry]], Mean_ROE_M, 3, FALSE))</f>
        <v>-0.21755845396870019</v>
      </c>
      <c r="R58" s="1">
        <f>(Main_M[[#This Row],[ROA]]-VLOOKUP(Main_M[[#This Row],[Industry]], Mean_ROA_M, 2, FALSE))/(VLOOKUP(Main_M[[#This Row],[Industry]], Mean_ROA_M, 3, FALSE))</f>
        <v>0.56878325616024406</v>
      </c>
      <c r="S58" s="1">
        <f>(Main_M[[#This Row],[A/E]]-VLOOKUP(Main_M[[#This Row],[Industry]], Mean_AE_M, 2, FALSE))/(VLOOKUP(Main_M[[#This Row],[Industry]], Mean_AE_M, 3, FALSE))</f>
        <v>-2.3055662197870288</v>
      </c>
      <c r="T58" s="1">
        <f>(Main_M[[#This Row],[P/E]]-VLOOKUP(Main_M[[#This Row],[Industry]], Mean_PE_M, 2, FALSE))/(VLOOKUP(Main_M[[#This Row],[Industry]], Mean_PE_M, 3, FALSE))</f>
        <v>-0.50671897560530654</v>
      </c>
      <c r="U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9" spans="1:26" x14ac:dyDescent="0.25">
      <c r="A59" t="s">
        <v>111</v>
      </c>
      <c r="B59" t="s">
        <v>262</v>
      </c>
      <c r="C59" s="2">
        <v>9466</v>
      </c>
      <c r="D59">
        <f>RTD("tos.rtd", , "LAST", Main_M[[#This Row],[Symbol]])</f>
        <v>84.7</v>
      </c>
      <c r="E59">
        <v>7</v>
      </c>
      <c r="F59">
        <v>-3.44</v>
      </c>
      <c r="G59">
        <v>3.75</v>
      </c>
      <c r="H59" s="1">
        <f>IF(ISNUMBER(Main_M[[#This Row],[Free CF]]),IF(Main_M[[#This Row],[Free CF]]&lt;&gt;0,Main_M[[#This Row],[Current Price]]/Main_M[[#This Row],[Free CF]],""),"")</f>
        <v>12.1</v>
      </c>
      <c r="I59" s="1">
        <f>IF(ISNUMBER(Main_M[[#This Row],[BVPS]]),IF(Main_M[[#This Row],[BVPS]]&lt;&gt;0,Main_M[[#This Row],[Current Price]]/Main_M[[#This Row],[BVPS]],""),"")</f>
        <v>-24.622093023255815</v>
      </c>
      <c r="J59">
        <v>-53.18</v>
      </c>
      <c r="K59">
        <v>5.03</v>
      </c>
      <c r="L59">
        <v>-35.28</v>
      </c>
      <c r="M59" s="1">
        <f>IF(ISNUMBER(Main_M[[#This Row],[EPS]]),IF(Main_M[[#This Row],[EPS]]&lt;&gt;0,Main_M[[#This Row],[Current Price]]/Main_M[[#This Row],[EPS]],""),"")</f>
        <v>22.586666666666666</v>
      </c>
      <c r="N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9" s="1">
        <f>(Main_M[[#This Row],[P/FCF]]-VLOOKUP(Main_M[[#This Row],[Industry]], Mean_PFCF_M, 2, FALSE))/(VLOOKUP(Main_M[[#This Row],[Industry]], Mean_PFCF_M, 3, FALSE))</f>
        <v>-0.39084851459594283</v>
      </c>
      <c r="P59" s="1">
        <f>(Main_M[[#This Row],[P/B]]-VLOOKUP(Main_M[[#This Row],[Industry]], Mean_PB_M, 2, FALSE))/(VLOOKUP(Main_M[[#This Row],[Industry]], Mean_PB_M, 3, FALSE))</f>
        <v>-5.4596124269085227</v>
      </c>
      <c r="Q59" s="1">
        <f>(Main_M[[#This Row],[ROE]]-VLOOKUP(Main_M[[#This Row],[Industry]], Mean_ROE_M, 2, FALSE))/(VLOOKUP(Main_M[[#This Row],[Industry]], Mean_ROE_M, 3, FALSE))</f>
        <v>-0.17599722949076591</v>
      </c>
      <c r="R59" s="1">
        <f>(Main_M[[#This Row],[ROA]]-VLOOKUP(Main_M[[#This Row],[Industry]], Mean_ROA_M, 2, FALSE))/(VLOOKUP(Main_M[[#This Row],[Industry]], Mean_ROA_M, 3, FALSE))</f>
        <v>-0.2673309704572257</v>
      </c>
      <c r="S59" s="1">
        <f>(Main_M[[#This Row],[A/E]]-VLOOKUP(Main_M[[#This Row],[Industry]], Mean_AE_M, 2, FALSE))/(VLOOKUP(Main_M[[#This Row],[Industry]], Mean_AE_M, 3, FALSE))</f>
        <v>-9.3000259118216402</v>
      </c>
      <c r="T59" s="1">
        <f>(Main_M[[#This Row],[P/E]]-VLOOKUP(Main_M[[#This Row],[Industry]], Mean_PE_M, 2, FALSE))/(VLOOKUP(Main_M[[#This Row],[Industry]], Mean_PE_M, 3, FALSE))</f>
        <v>9.3381880680088819E-2</v>
      </c>
      <c r="U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0" spans="1:26" x14ac:dyDescent="0.25">
      <c r="A60" t="s">
        <v>111</v>
      </c>
      <c r="B60" t="s">
        <v>255</v>
      </c>
      <c r="C60" s="2">
        <v>7604</v>
      </c>
      <c r="D60">
        <f>RTD("tos.rtd", , "LAST", Main_M[[#This Row],[Symbol]])</f>
        <v>88.38</v>
      </c>
      <c r="E60">
        <v>4.07</v>
      </c>
      <c r="F60">
        <v>7.29</v>
      </c>
      <c r="G60">
        <v>3.74</v>
      </c>
      <c r="H60" s="1">
        <f>IF(ISNUMBER(Main_M[[#This Row],[Free CF]]),IF(Main_M[[#This Row],[Free CF]]&lt;&gt;0,Main_M[[#This Row],[Current Price]]/Main_M[[#This Row],[Free CF]],""),"")</f>
        <v>21.714987714987711</v>
      </c>
      <c r="I60" s="1">
        <f>IF(ISNUMBER(Main_M[[#This Row],[BVPS]]),IF(Main_M[[#This Row],[BVPS]]&lt;&gt;0,Main_M[[#This Row],[Current Price]]/Main_M[[#This Row],[BVPS]],""),"")</f>
        <v>12.123456790123456</v>
      </c>
      <c r="J60">
        <v>46.19</v>
      </c>
      <c r="K60">
        <v>8.84</v>
      </c>
      <c r="L60">
        <v>8.8000000000000007</v>
      </c>
      <c r="M60" s="1">
        <f>IF(ISNUMBER(Main_M[[#This Row],[EPS]]),IF(Main_M[[#This Row],[EPS]]&lt;&gt;0,Main_M[[#This Row],[Current Price]]/Main_M[[#This Row],[EPS]],""),"")</f>
        <v>23.631016042780747</v>
      </c>
      <c r="N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0" s="1">
        <f>(Main_M[[#This Row],[P/FCF]]-VLOOKUP(Main_M[[#This Row],[Industry]], Mean_PFCF_M, 2, FALSE))/(VLOOKUP(Main_M[[#This Row],[Industry]], Mean_PFCF_M, 3, FALSE))</f>
        <v>0.38881104445979542</v>
      </c>
      <c r="P60" s="1">
        <f>(Main_M[[#This Row],[P/B]]-VLOOKUP(Main_M[[#This Row],[Industry]], Mean_PB_M, 2, FALSE))/(VLOOKUP(Main_M[[#This Row],[Industry]], Mean_PB_M, 3, FALSE))</f>
        <v>1.1952393529784064</v>
      </c>
      <c r="Q60" s="1">
        <f>(Main_M[[#This Row],[ROE]]-VLOOKUP(Main_M[[#This Row],[Industry]], Mean_ROE_M, 2, FALSE))/(VLOOKUP(Main_M[[#This Row],[Industry]], Mean_ROE_M, 3, FALSE))</f>
        <v>0.30816911006050379</v>
      </c>
      <c r="R60" s="1">
        <f>(Main_M[[#This Row],[ROA]]-VLOOKUP(Main_M[[#This Row],[Industry]], Mean_ROA_M, 2, FALSE))/(VLOOKUP(Main_M[[#This Row],[Industry]], Mean_ROA_M, 3, FALSE))</f>
        <v>0.22732666982422764</v>
      </c>
      <c r="S60" s="1">
        <f>(Main_M[[#This Row],[A/E]]-VLOOKUP(Main_M[[#This Row],[Industry]], Mean_AE_M, 2, FALSE))/(VLOOKUP(Main_M[[#This Row],[Industry]], Mean_AE_M, 3, FALSE))</f>
        <v>1.0115387445290511</v>
      </c>
      <c r="T60" s="1">
        <f>(Main_M[[#This Row],[P/E]]-VLOOKUP(Main_M[[#This Row],[Industry]], Mean_PE_M, 2, FALSE))/(VLOOKUP(Main_M[[#This Row],[Industry]], Mean_PE_M, 3, FALSE))</f>
        <v>0.14805954847514199</v>
      </c>
      <c r="U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1" spans="1:26" x14ac:dyDescent="0.25">
      <c r="A61" t="s">
        <v>111</v>
      </c>
      <c r="B61" t="s">
        <v>276</v>
      </c>
      <c r="C61" s="2">
        <v>2732</v>
      </c>
      <c r="D61">
        <f>RTD("tos.rtd", , "LAST", Main_M[[#This Row],[Symbol]])</f>
        <v>58.84</v>
      </c>
      <c r="E61">
        <v>2.37</v>
      </c>
      <c r="F61">
        <v>6.85</v>
      </c>
      <c r="G61">
        <v>3.19</v>
      </c>
      <c r="H61" s="1">
        <f>IF(ISNUMBER(Main_M[[#This Row],[Free CF]]),IF(Main_M[[#This Row],[Free CF]]&lt;&gt;0,Main_M[[#This Row],[Current Price]]/Main_M[[#This Row],[Free CF]],""),"")</f>
        <v>24.827004219409282</v>
      </c>
      <c r="I61" s="1">
        <f>IF(ISNUMBER(Main_M[[#This Row],[BVPS]]),IF(Main_M[[#This Row],[BVPS]]&lt;&gt;0,Main_M[[#This Row],[Current Price]]/Main_M[[#This Row],[BVPS]],""),"")</f>
        <v>8.5897810218978119</v>
      </c>
      <c r="J61">
        <v>46.6</v>
      </c>
      <c r="K61">
        <v>4.3099999999999996</v>
      </c>
      <c r="L61">
        <v>9.17</v>
      </c>
      <c r="M61" s="1">
        <f>IF(ISNUMBER(Main_M[[#This Row],[EPS]]),IF(Main_M[[#This Row],[EPS]]&lt;&gt;0,Main_M[[#This Row],[Current Price]]/Main_M[[#This Row],[EPS]],""),"")</f>
        <v>18.445141065830722</v>
      </c>
      <c r="N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1" s="1">
        <f>(Main_M[[#This Row],[P/FCF]]-VLOOKUP(Main_M[[#This Row],[Industry]], Mean_PFCF_M, 2, FALSE))/(VLOOKUP(Main_M[[#This Row],[Industry]], Mean_PFCF_M, 3, FALSE))</f>
        <v>0.6411580559728105</v>
      </c>
      <c r="P61" s="1">
        <f>(Main_M[[#This Row],[P/B]]-VLOOKUP(Main_M[[#This Row],[Industry]], Mean_PB_M, 2, FALSE))/(VLOOKUP(Main_M[[#This Row],[Industry]], Mean_PB_M, 3, FALSE))</f>
        <v>0.55526829266901911</v>
      </c>
      <c r="Q61" s="1">
        <f>(Main_M[[#This Row],[ROE]]-VLOOKUP(Main_M[[#This Row],[Industry]], Mean_ROE_M, 2, FALSE))/(VLOOKUP(Main_M[[#This Row],[Industry]], Mean_ROE_M, 3, FALSE))</f>
        <v>0.31016677735662956</v>
      </c>
      <c r="R61" s="1">
        <f>(Main_M[[#This Row],[ROA]]-VLOOKUP(Main_M[[#This Row],[Industry]], Mean_ROA_M, 2, FALSE))/(VLOOKUP(Main_M[[#This Row],[Industry]], Mean_ROA_M, 3, FALSE))</f>
        <v>-0.36080957964427207</v>
      </c>
      <c r="S61" s="1">
        <f>(Main_M[[#This Row],[A/E]]-VLOOKUP(Main_M[[#This Row],[Industry]], Mean_AE_M, 2, FALSE))/(VLOOKUP(Main_M[[#This Row],[Industry]], Mean_AE_M, 3, FALSE))</f>
        <v>1.0980922591127569</v>
      </c>
      <c r="T61" s="1">
        <f>(Main_M[[#This Row],[P/E]]-VLOOKUP(Main_M[[#This Row],[Industry]], Mean_PE_M, 2, FALSE))/(VLOOKUP(Main_M[[#This Row],[Industry]], Mean_PE_M, 3, FALSE))</f>
        <v>-0.1234506910113978</v>
      </c>
      <c r="U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2" spans="1:26" x14ac:dyDescent="0.25">
      <c r="A62" t="s">
        <v>111</v>
      </c>
      <c r="B62" t="s">
        <v>259</v>
      </c>
      <c r="C62" s="2">
        <v>2889</v>
      </c>
      <c r="D62">
        <f>RTD("tos.rtd", , "LAST", Main_M[[#This Row],[Symbol]])</f>
        <v>49.11</v>
      </c>
      <c r="E62">
        <v>4.22</v>
      </c>
      <c r="F62">
        <v>4.17</v>
      </c>
      <c r="G62">
        <v>2.6</v>
      </c>
      <c r="H62" s="1">
        <f>IF(ISNUMBER(Main_M[[#This Row],[Free CF]]),IF(Main_M[[#This Row],[Free CF]]&lt;&gt;0,Main_M[[#This Row],[Current Price]]/Main_M[[#This Row],[Free CF]],""),"")</f>
        <v>11.63744075829384</v>
      </c>
      <c r="I62" s="1">
        <f>IF(ISNUMBER(Main_M[[#This Row],[BVPS]]),IF(Main_M[[#This Row],[BVPS]]&lt;&gt;0,Main_M[[#This Row],[Current Price]]/Main_M[[#This Row],[BVPS]],""),"")</f>
        <v>11.776978417266188</v>
      </c>
      <c r="J62">
        <v>107.68</v>
      </c>
      <c r="K62">
        <v>8.9</v>
      </c>
      <c r="L62">
        <v>16.54</v>
      </c>
      <c r="M62" s="1">
        <f>IF(ISNUMBER(Main_M[[#This Row],[EPS]]),IF(Main_M[[#This Row],[EPS]]&lt;&gt;0,Main_M[[#This Row],[Current Price]]/Main_M[[#This Row],[EPS]],""),"")</f>
        <v>18.888461538461538</v>
      </c>
      <c r="N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2" s="1">
        <f>(Main_M[[#This Row],[P/FCF]]-VLOOKUP(Main_M[[#This Row],[Industry]], Mean_PFCF_M, 2, FALSE))/(VLOOKUP(Main_M[[#This Row],[Industry]], Mean_PFCF_M, 3, FALSE))</f>
        <v>-0.42835649121702812</v>
      </c>
      <c r="P62" s="1">
        <f>(Main_M[[#This Row],[P/B]]-VLOOKUP(Main_M[[#This Row],[Industry]], Mean_PB_M, 2, FALSE))/(VLOOKUP(Main_M[[#This Row],[Industry]], Mean_PB_M, 3, FALSE))</f>
        <v>1.132489925414746</v>
      </c>
      <c r="Q62" s="1">
        <f>(Main_M[[#This Row],[ROE]]-VLOOKUP(Main_M[[#This Row],[Industry]], Mean_ROE_M, 2, FALSE))/(VLOOKUP(Main_M[[#This Row],[Industry]], Mean_ROE_M, 3, FALSE))</f>
        <v>0.60777048088678509</v>
      </c>
      <c r="R62" s="1">
        <f>(Main_M[[#This Row],[ROA]]-VLOOKUP(Main_M[[#This Row],[Industry]], Mean_ROA_M, 2, FALSE))/(VLOOKUP(Main_M[[#This Row],[Industry]], Mean_ROA_M, 3, FALSE))</f>
        <v>0.23511655392314823</v>
      </c>
      <c r="S62" s="1">
        <f>(Main_M[[#This Row],[A/E]]-VLOOKUP(Main_M[[#This Row],[Industry]], Mean_AE_M, 2, FALSE))/(VLOOKUP(Main_M[[#This Row],[Industry]], Mean_AE_M, 3, FALSE))</f>
        <v>2.82214469825306</v>
      </c>
      <c r="T62" s="1">
        <f>(Main_M[[#This Row],[P/E]]-VLOOKUP(Main_M[[#This Row],[Industry]], Mean_PE_M, 2, FALSE))/(VLOOKUP(Main_M[[#This Row],[Industry]], Mean_PE_M, 3, FALSE))</f>
        <v>-0.10024032666048745</v>
      </c>
      <c r="U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3" spans="1:26" x14ac:dyDescent="0.25">
      <c r="A63" t="s">
        <v>111</v>
      </c>
      <c r="B63" t="s">
        <v>256</v>
      </c>
      <c r="C63" s="2">
        <v>8614</v>
      </c>
      <c r="D63">
        <f>RTD("tos.rtd", , "LAST", Main_M[[#This Row],[Symbol]])</f>
        <v>32.47</v>
      </c>
      <c r="E63">
        <v>3.86</v>
      </c>
      <c r="F63">
        <v>10.199999999999999</v>
      </c>
      <c r="G63">
        <v>2.2400000000000002</v>
      </c>
      <c r="H63" s="1">
        <f>IF(ISNUMBER(Main_M[[#This Row],[Free CF]]),IF(Main_M[[#This Row],[Free CF]]&lt;&gt;0,Main_M[[#This Row],[Current Price]]/Main_M[[#This Row],[Free CF]],""),"")</f>
        <v>8.4119170984455955</v>
      </c>
      <c r="I63" s="1">
        <f>IF(ISNUMBER(Main_M[[#This Row],[BVPS]]),IF(Main_M[[#This Row],[BVPS]]&lt;&gt;0,Main_M[[#This Row],[Current Price]]/Main_M[[#This Row],[BVPS]],""),"")</f>
        <v>3.1833333333333336</v>
      </c>
      <c r="J63">
        <v>25.82</v>
      </c>
      <c r="K63">
        <v>2.34</v>
      </c>
      <c r="L63">
        <v>14.68</v>
      </c>
      <c r="M63" s="1">
        <f>IF(ISNUMBER(Main_M[[#This Row],[EPS]]),IF(Main_M[[#This Row],[EPS]]&lt;&gt;0,Main_M[[#This Row],[Current Price]]/Main_M[[#This Row],[EPS]],""),"")</f>
        <v>14.495535714285712</v>
      </c>
      <c r="N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3" s="1">
        <f>(Main_M[[#This Row],[P/FCF]]-VLOOKUP(Main_M[[#This Row],[Industry]], Mean_PFCF_M, 2, FALSE))/(VLOOKUP(Main_M[[#This Row],[Industry]], Mean_PFCF_M, 3, FALSE))</f>
        <v>-0.68990756428195588</v>
      </c>
      <c r="P63" s="1">
        <f>(Main_M[[#This Row],[P/B]]-VLOOKUP(Main_M[[#This Row],[Industry]], Mean_PB_M, 2, FALSE))/(VLOOKUP(Main_M[[#This Row],[Industry]], Mean_PB_M, 3, FALSE))</f>
        <v>-0.42387362263329836</v>
      </c>
      <c r="Q63" s="1">
        <f>(Main_M[[#This Row],[ROE]]-VLOOKUP(Main_M[[#This Row],[Industry]], Mean_ROE_M, 2, FALSE))/(VLOOKUP(Main_M[[#This Row],[Industry]], Mean_ROE_M, 3, FALSE))</f>
        <v>0.20891915195786351</v>
      </c>
      <c r="R63" s="1">
        <f>(Main_M[[#This Row],[ROA]]-VLOOKUP(Main_M[[#This Row],[Industry]], Mean_ROA_M, 2, FALSE))/(VLOOKUP(Main_M[[#This Row],[Industry]], Mean_ROA_M, 3, FALSE))</f>
        <v>-0.6165774408921626</v>
      </c>
      <c r="S63" s="1">
        <f>(Main_M[[#This Row],[A/E]]-VLOOKUP(Main_M[[#This Row],[Industry]], Mean_AE_M, 2, FALSE))/(VLOOKUP(Main_M[[#This Row],[Industry]], Mean_AE_M, 3, FALSE))</f>
        <v>2.3870378411565927</v>
      </c>
      <c r="T63" s="1">
        <f>(Main_M[[#This Row],[P/E]]-VLOOKUP(Main_M[[#This Row],[Industry]], Mean_PE_M, 2, FALSE))/(VLOOKUP(Main_M[[#This Row],[Industry]], Mean_PE_M, 3, FALSE))</f>
        <v>-0.33023513908268398</v>
      </c>
      <c r="U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4" spans="1:26" x14ac:dyDescent="0.25">
      <c r="A64" t="s">
        <v>111</v>
      </c>
      <c r="B64" t="s">
        <v>273</v>
      </c>
      <c r="C64" s="2">
        <v>8622</v>
      </c>
      <c r="D64">
        <f>RTD("tos.rtd", , "LAST", Main_M[[#This Row],[Symbol]])</f>
        <v>102.6</v>
      </c>
      <c r="E64">
        <v>2.78</v>
      </c>
      <c r="F64">
        <v>-2.62</v>
      </c>
      <c r="G64">
        <v>2.11</v>
      </c>
      <c r="H64" s="1">
        <f>IF(ISNUMBER(Main_M[[#This Row],[Free CF]]),IF(Main_M[[#This Row],[Free CF]]&lt;&gt;0,Main_M[[#This Row],[Current Price]]/Main_M[[#This Row],[Free CF]],""),"")</f>
        <v>36.906474820143885</v>
      </c>
      <c r="I64" s="1">
        <f>IF(ISNUMBER(Main_M[[#This Row],[BVPS]]),IF(Main_M[[#This Row],[BVPS]]&lt;&gt;0,Main_M[[#This Row],[Current Price]]/Main_M[[#This Row],[BVPS]],""),"")</f>
        <v>-39.160305343511446</v>
      </c>
      <c r="J64">
        <v>-113.66</v>
      </c>
      <c r="K64">
        <v>6.97</v>
      </c>
      <c r="L64">
        <v>-14.06</v>
      </c>
      <c r="M64" s="1">
        <f>IF(ISNUMBER(Main_M[[#This Row],[EPS]]),IF(Main_M[[#This Row],[EPS]]&lt;&gt;0,Main_M[[#This Row],[Current Price]]/Main_M[[#This Row],[EPS]],""),"")</f>
        <v>48.625592417061611</v>
      </c>
      <c r="N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4" s="1">
        <f>(Main_M[[#This Row],[P/FCF]]-VLOOKUP(Main_M[[#This Row],[Industry]], Mean_PFCF_M, 2, FALSE))/(VLOOKUP(Main_M[[#This Row],[Industry]], Mean_PFCF_M, 3, FALSE))</f>
        <v>1.6206574585061118</v>
      </c>
      <c r="P64" s="1">
        <f>(Main_M[[#This Row],[P/B]]-VLOOKUP(Main_M[[#This Row],[Industry]], Mean_PB_M, 2, FALSE))/(VLOOKUP(Main_M[[#This Row],[Industry]], Mean_PB_M, 3, FALSE))</f>
        <v>-8.0925747482560784</v>
      </c>
      <c r="Q64" s="1">
        <f>(Main_M[[#This Row],[ROE]]-VLOOKUP(Main_M[[#This Row],[Industry]], Mean_ROE_M, 2, FALSE))/(VLOOKUP(Main_M[[#This Row],[Industry]], Mean_ROE_M, 3, FALSE))</f>
        <v>-0.47067751746561537</v>
      </c>
      <c r="R64" s="1">
        <f>(Main_M[[#This Row],[ROA]]-VLOOKUP(Main_M[[#This Row],[Industry]], Mean_ROA_M, 2, FALSE))/(VLOOKUP(Main_M[[#This Row],[Industry]], Mean_ROA_M, 3, FALSE))</f>
        <v>-1.5458051258795426E-2</v>
      </c>
      <c r="S64" s="1">
        <f>(Main_M[[#This Row],[A/E]]-VLOOKUP(Main_M[[#This Row],[Industry]], Mean_AE_M, 2, FALSE))/(VLOOKUP(Main_M[[#This Row],[Industry]], Mean_AE_M, 3, FALSE))</f>
        <v>-4.3360648862372102</v>
      </c>
      <c r="T64" s="1">
        <f>(Main_M[[#This Row],[P/E]]-VLOOKUP(Main_M[[#This Row],[Industry]], Mean_PE_M, 2, FALSE))/(VLOOKUP(Main_M[[#This Row],[Industry]], Mean_PE_M, 3, FALSE))</f>
        <v>1.4566686930089026</v>
      </c>
      <c r="U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5" spans="1:26" x14ac:dyDescent="0.25">
      <c r="A65" t="s">
        <v>111</v>
      </c>
      <c r="B65" t="s">
        <v>474</v>
      </c>
      <c r="C65" s="2">
        <v>7875</v>
      </c>
      <c r="D65">
        <f>RTD("tos.rtd", , "LAST", Main_M[[#This Row],[Symbol]])</f>
        <v>10.85</v>
      </c>
      <c r="E65">
        <v>2.21</v>
      </c>
      <c r="F65">
        <v>2.12</v>
      </c>
      <c r="G65">
        <v>1.49</v>
      </c>
      <c r="H65" s="1">
        <f>IF(ISNUMBER(Main_M[[#This Row],[Free CF]]),IF(Main_M[[#This Row],[Free CF]]&lt;&gt;0,Main_M[[#This Row],[Current Price]]/Main_M[[#This Row],[Free CF]],""),"")</f>
        <v>4.9095022624434392</v>
      </c>
      <c r="I65" s="1">
        <f>IF(ISNUMBER(Main_M[[#This Row],[BVPS]]),IF(Main_M[[#This Row],[BVPS]]&lt;&gt;0,Main_M[[#This Row],[Current Price]]/Main_M[[#This Row],[BVPS]],""),"")</f>
        <v>5.1179245283018862</v>
      </c>
      <c r="J65">
        <v>64.27</v>
      </c>
      <c r="K65">
        <v>21.06</v>
      </c>
      <c r="L65">
        <v>2.99</v>
      </c>
      <c r="M65" s="1">
        <f>IF(ISNUMBER(Main_M[[#This Row],[EPS]]),IF(Main_M[[#This Row],[EPS]]&lt;&gt;0,Main_M[[#This Row],[Current Price]]/Main_M[[#This Row],[EPS]],""),"")</f>
        <v>7.2818791946308723</v>
      </c>
      <c r="N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65" s="1">
        <f>(Main_M[[#This Row],[P/FCF]]-VLOOKUP(Main_M[[#This Row],[Industry]], Mean_PFCF_M, 2, FALSE))/(VLOOKUP(Main_M[[#This Row],[Industry]], Mean_PFCF_M, 3, FALSE))</f>
        <v>-0.97391117277447148</v>
      </c>
      <c r="P65" s="1">
        <f>(Main_M[[#This Row],[P/B]]-VLOOKUP(Main_M[[#This Row],[Industry]], Mean_PB_M, 2, FALSE))/(VLOOKUP(Main_M[[#This Row],[Industry]], Mean_PB_M, 3, FALSE))</f>
        <v>-7.3506905504945486E-2</v>
      </c>
      <c r="Q65" s="1">
        <f>(Main_M[[#This Row],[ROE]]-VLOOKUP(Main_M[[#This Row],[Industry]], Mean_ROE_M, 2, FALSE))/(VLOOKUP(Main_M[[#This Row],[Industry]], Mean_ROE_M, 3, FALSE))</f>
        <v>0.39626136546039264</v>
      </c>
      <c r="R65" s="1">
        <f>(Main_M[[#This Row],[ROA]]-VLOOKUP(Main_M[[#This Row],[Industry]], Mean_ROA_M, 2, FALSE))/(VLOOKUP(Main_M[[#This Row],[Industry]], Mean_ROA_M, 3, FALSE))</f>
        <v>1.813866397971041</v>
      </c>
      <c r="S65" s="1">
        <f>(Main_M[[#This Row],[A/E]]-VLOOKUP(Main_M[[#This Row],[Industry]], Mean_AE_M, 2, FALSE))/(VLOOKUP(Main_M[[#This Row],[Industry]], Mean_AE_M, 3, FALSE))</f>
        <v>-0.34758536285292524</v>
      </c>
      <c r="T65" s="1">
        <f>(Main_M[[#This Row],[P/E]]-VLOOKUP(Main_M[[#This Row],[Industry]], Mean_PE_M, 2, FALSE))/(VLOOKUP(Main_M[[#This Row],[Industry]], Mean_PE_M, 3, FALSE))</f>
        <v>-0.7079113495448629</v>
      </c>
      <c r="U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6" spans="1:26" x14ac:dyDescent="0.25">
      <c r="A66" t="s">
        <v>111</v>
      </c>
      <c r="B66" t="s">
        <v>263</v>
      </c>
      <c r="C66" s="2">
        <v>4327</v>
      </c>
      <c r="D66">
        <f>RTD("tos.rtd", , "LAST", Main_M[[#This Row],[Symbol]])</f>
        <v>31.46</v>
      </c>
      <c r="E66">
        <v>1.52</v>
      </c>
      <c r="F66">
        <v>3.3</v>
      </c>
      <c r="G66">
        <v>1.25</v>
      </c>
      <c r="H66" s="1">
        <f>IF(ISNUMBER(Main_M[[#This Row],[Free CF]]),IF(Main_M[[#This Row],[Free CF]]&lt;&gt;0,Main_M[[#This Row],[Current Price]]/Main_M[[#This Row],[Free CF]],""),"")</f>
        <v>20.697368421052634</v>
      </c>
      <c r="I66" s="1">
        <f>IF(ISNUMBER(Main_M[[#This Row],[BVPS]]),IF(Main_M[[#This Row],[BVPS]]&lt;&gt;0,Main_M[[#This Row],[Current Price]]/Main_M[[#This Row],[BVPS]],""),"")</f>
        <v>9.533333333333335</v>
      </c>
      <c r="J66">
        <v>44.87</v>
      </c>
      <c r="K66">
        <v>14.08</v>
      </c>
      <c r="L66">
        <v>2.4</v>
      </c>
      <c r="M66" s="1">
        <f>IF(ISNUMBER(Main_M[[#This Row],[EPS]]),IF(Main_M[[#This Row],[EPS]]&lt;&gt;0,Main_M[[#This Row],[Current Price]]/Main_M[[#This Row],[EPS]],""),"")</f>
        <v>25.167999999999999</v>
      </c>
      <c r="N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6" s="1">
        <f>(Main_M[[#This Row],[P/FCF]]-VLOOKUP(Main_M[[#This Row],[Industry]], Mean_PFCF_M, 2, FALSE))/(VLOOKUP(Main_M[[#This Row],[Industry]], Mean_PFCF_M, 3, FALSE))</f>
        <v>0.30629439092738392</v>
      </c>
      <c r="P66" s="1">
        <f>(Main_M[[#This Row],[P/B]]-VLOOKUP(Main_M[[#This Row],[Industry]], Mean_PB_M, 2, FALSE))/(VLOOKUP(Main_M[[#This Row],[Industry]], Mean_PB_M, 3, FALSE))</f>
        <v>0.72615159176410637</v>
      </c>
      <c r="Q66" s="1">
        <f>(Main_M[[#This Row],[ROE]]-VLOOKUP(Main_M[[#This Row],[Industry]], Mean_ROE_M, 2, FALSE))/(VLOOKUP(Main_M[[#This Row],[Industry]], Mean_ROE_M, 3, FALSE))</f>
        <v>0.30173759583883047</v>
      </c>
      <c r="R66" s="1">
        <f>(Main_M[[#This Row],[ROA]]-VLOOKUP(Main_M[[#This Row],[Industry]], Mean_ROA_M, 2, FALSE))/(VLOOKUP(Main_M[[#This Row],[Industry]], Mean_ROA_M, 3, FALSE))</f>
        <v>0.90764321446328688</v>
      </c>
      <c r="S66" s="1">
        <f>(Main_M[[#This Row],[A/E]]-VLOOKUP(Main_M[[#This Row],[Industry]], Mean_AE_M, 2, FALSE))/(VLOOKUP(Main_M[[#This Row],[Industry]], Mean_AE_M, 3, FALSE))</f>
        <v>-0.48560312935126715</v>
      </c>
      <c r="T66" s="1">
        <f>(Main_M[[#This Row],[P/E]]-VLOOKUP(Main_M[[#This Row],[Industry]], Mean_PE_M, 2, FALSE))/(VLOOKUP(Main_M[[#This Row],[Industry]], Mean_PE_M, 3, FALSE))</f>
        <v>0.22852945647840051</v>
      </c>
      <c r="U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7" spans="1:26" x14ac:dyDescent="0.25">
      <c r="A67" t="s">
        <v>111</v>
      </c>
      <c r="B67" t="s">
        <v>155</v>
      </c>
      <c r="C67" s="2">
        <v>9400</v>
      </c>
      <c r="D67">
        <f>RTD("tos.rtd", , "LAST", Main_M[[#This Row],[Symbol]])</f>
        <v>78.22</v>
      </c>
      <c r="E67">
        <v>0.44</v>
      </c>
      <c r="F67">
        <v>6.28</v>
      </c>
      <c r="G67">
        <v>1.2</v>
      </c>
      <c r="H67" s="1">
        <f>IF(ISNUMBER(Main_M[[#This Row],[Free CF]]),IF(Main_M[[#This Row],[Free CF]]&lt;&gt;0,Main_M[[#This Row],[Current Price]]/Main_M[[#This Row],[Free CF]],""),"")</f>
        <v>177.77272727272728</v>
      </c>
      <c r="I67" s="1">
        <f>IF(ISNUMBER(Main_M[[#This Row],[BVPS]]),IF(Main_M[[#This Row],[BVPS]]&lt;&gt;0,Main_M[[#This Row],[Current Price]]/Main_M[[#This Row],[BVPS]],""),"")</f>
        <v>12.455414012738853</v>
      </c>
      <c r="J67">
        <v>21.73</v>
      </c>
      <c r="K67">
        <v>3.1</v>
      </c>
      <c r="L67">
        <v>1.69</v>
      </c>
      <c r="M67" s="1">
        <f>IF(ISNUMBER(Main_M[[#This Row],[EPS]]),IF(Main_M[[#This Row],[EPS]]&lt;&gt;0,Main_M[[#This Row],[Current Price]]/Main_M[[#This Row],[EPS]],""),"")</f>
        <v>65.183333333333337</v>
      </c>
      <c r="N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7" s="1">
        <f>(Main_M[[#This Row],[P/FCF]]-VLOOKUP(Main_M[[#This Row],[Industry]], Mean_PFCF_M, 2, FALSE))/(VLOOKUP(Main_M[[#This Row],[Industry]], Mean_PFCF_M, 3, FALSE))</f>
        <v>13.043211863002909</v>
      </c>
      <c r="P67" s="1">
        <f>(Main_M[[#This Row],[P/B]]-VLOOKUP(Main_M[[#This Row],[Industry]], Mean_PB_M, 2, FALSE))/(VLOOKUP(Main_M[[#This Row],[Industry]], Mean_PB_M, 3, FALSE))</f>
        <v>1.2553589082711685</v>
      </c>
      <c r="Q67" s="1">
        <f>(Main_M[[#This Row],[ROE]]-VLOOKUP(Main_M[[#This Row],[Industry]], Mean_ROE_M, 2, FALSE))/(VLOOKUP(Main_M[[#This Row],[Industry]], Mean_ROE_M, 3, FALSE))</f>
        <v>0.18899120258919394</v>
      </c>
      <c r="R67" s="1">
        <f>(Main_M[[#This Row],[ROA]]-VLOOKUP(Main_M[[#This Row],[Industry]], Mean_ROA_M, 2, FALSE))/(VLOOKUP(Main_M[[#This Row],[Industry]], Mean_ROA_M, 3, FALSE))</f>
        <v>-0.51790557563916928</v>
      </c>
      <c r="S67" s="1">
        <f>(Main_M[[#This Row],[A/E]]-VLOOKUP(Main_M[[#This Row],[Industry]], Mean_AE_M, 2, FALSE))/(VLOOKUP(Main_M[[#This Row],[Industry]], Mean_AE_M, 3, FALSE))</f>
        <v>-0.65169230598486494</v>
      </c>
      <c r="T67" s="1">
        <f>(Main_M[[#This Row],[P/E]]-VLOOKUP(Main_M[[#This Row],[Industry]], Mean_PE_M, 2, FALSE))/(VLOOKUP(Main_M[[#This Row],[Industry]], Mean_PE_M, 3, FALSE))</f>
        <v>2.3235612080646773</v>
      </c>
      <c r="U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8" spans="1:26" x14ac:dyDescent="0.25">
      <c r="A68" t="s">
        <v>111</v>
      </c>
      <c r="B68" t="s">
        <v>271</v>
      </c>
      <c r="C68" s="2">
        <v>6275</v>
      </c>
      <c r="D68">
        <f>RTD("tos.rtd", , "LAST", Main_M[[#This Row],[Symbol]])</f>
        <v>28.04</v>
      </c>
      <c r="E68">
        <v>0.77</v>
      </c>
      <c r="F68">
        <v>12.55</v>
      </c>
      <c r="G68">
        <v>0.96</v>
      </c>
      <c r="H68" s="1">
        <f>IF(ISNUMBER(Main_M[[#This Row],[Free CF]]),IF(Main_M[[#This Row],[Free CF]]&lt;&gt;0,Main_M[[#This Row],[Current Price]]/Main_M[[#This Row],[Free CF]],""),"")</f>
        <v>36.415584415584412</v>
      </c>
      <c r="I68" s="1">
        <f>IF(ISNUMBER(Main_M[[#This Row],[BVPS]]),IF(Main_M[[#This Row],[BVPS]]&lt;&gt;0,Main_M[[#This Row],[Current Price]]/Main_M[[#This Row],[BVPS]],""),"")</f>
        <v>2.2342629482071712</v>
      </c>
      <c r="J68">
        <v>8.24</v>
      </c>
      <c r="K68">
        <v>3.44</v>
      </c>
      <c r="L68">
        <v>2.67</v>
      </c>
      <c r="M68" s="1">
        <f>IF(ISNUMBER(Main_M[[#This Row],[EPS]]),IF(Main_M[[#This Row],[EPS]]&lt;&gt;0,Main_M[[#This Row],[Current Price]]/Main_M[[#This Row],[EPS]],""),"")</f>
        <v>29.208333333333332</v>
      </c>
      <c r="N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8" s="1">
        <f>(Main_M[[#This Row],[P/FCF]]-VLOOKUP(Main_M[[#This Row],[Industry]], Mean_PFCF_M, 2, FALSE))/(VLOOKUP(Main_M[[#This Row],[Industry]], Mean_PFCF_M, 3, FALSE))</f>
        <v>1.5808521662157284</v>
      </c>
      <c r="P68" s="1">
        <f>(Main_M[[#This Row],[P/B]]-VLOOKUP(Main_M[[#This Row],[Industry]], Mean_PB_M, 2, FALSE))/(VLOOKUP(Main_M[[#This Row],[Industry]], Mean_PB_M, 3, FALSE))</f>
        <v>-0.59575627981958845</v>
      </c>
      <c r="Q68" s="1">
        <f>(Main_M[[#This Row],[ROE]]-VLOOKUP(Main_M[[#This Row],[Industry]], Mean_ROE_M, 2, FALSE))/(VLOOKUP(Main_M[[#This Row],[Industry]], Mean_ROE_M, 3, FALSE))</f>
        <v>0.12326307618739636</v>
      </c>
      <c r="R68" s="1">
        <f>(Main_M[[#This Row],[ROA]]-VLOOKUP(Main_M[[#This Row],[Industry]], Mean_ROA_M, 2, FALSE))/(VLOOKUP(Main_M[[#This Row],[Industry]], Mean_ROA_M, 3, FALSE))</f>
        <v>-0.47376289907861963</v>
      </c>
      <c r="S68" s="1">
        <f>(Main_M[[#This Row],[A/E]]-VLOOKUP(Main_M[[#This Row],[Industry]], Mean_AE_M, 2, FALSE))/(VLOOKUP(Main_M[[#This Row],[Industry]], Mean_AE_M, 3, FALSE))</f>
        <v>-0.42244245654694124</v>
      </c>
      <c r="T68" s="1">
        <f>(Main_M[[#This Row],[P/E]]-VLOOKUP(Main_M[[#This Row],[Industry]], Mean_PE_M, 2, FALSE))/(VLOOKUP(Main_M[[#This Row],[Industry]], Mean_PE_M, 3, FALSE))</f>
        <v>0.44006403373193043</v>
      </c>
      <c r="U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9" spans="1:26" x14ac:dyDescent="0.25">
      <c r="A69" t="s">
        <v>111</v>
      </c>
      <c r="B69" t="s">
        <v>280</v>
      </c>
      <c r="C69" s="2">
        <v>2189</v>
      </c>
      <c r="D69">
        <f>RTD("tos.rtd", , "LAST", Main_M[[#This Row],[Symbol]])</f>
        <v>11.46</v>
      </c>
      <c r="E69">
        <v>1.21</v>
      </c>
      <c r="F69">
        <v>0.67</v>
      </c>
      <c r="G69">
        <v>0.94</v>
      </c>
      <c r="H69" s="1">
        <f>IF(ISNUMBER(Main_M[[#This Row],[Free CF]]),IF(Main_M[[#This Row],[Free CF]]&lt;&gt;0,Main_M[[#This Row],[Current Price]]/Main_M[[#This Row],[Free CF]],""),"")</f>
        <v>9.471074380165291</v>
      </c>
      <c r="I69" s="1">
        <f>IF(ISNUMBER(Main_M[[#This Row],[BVPS]]),IF(Main_M[[#This Row],[BVPS]]&lt;&gt;0,Main_M[[#This Row],[Current Price]]/Main_M[[#This Row],[BVPS]],""),"")</f>
        <v>17.1044776119403</v>
      </c>
      <c r="J69">
        <v>90.4</v>
      </c>
      <c r="K69">
        <v>4.5999999999999996</v>
      </c>
      <c r="L69">
        <v>37.770000000000003</v>
      </c>
      <c r="M69" s="1">
        <f>IF(ISNUMBER(Main_M[[#This Row],[EPS]]),IF(Main_M[[#This Row],[EPS]]&lt;&gt;0,Main_M[[#This Row],[Current Price]]/Main_M[[#This Row],[EPS]],""),"")</f>
        <v>12.191489361702128</v>
      </c>
      <c r="N6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9" s="1">
        <f>(Main_M[[#This Row],[P/FCF]]-VLOOKUP(Main_M[[#This Row],[Industry]], Mean_PFCF_M, 2, FALSE))/(VLOOKUP(Main_M[[#This Row],[Industry]], Mean_PFCF_M, 3, FALSE))</f>
        <v>-0.60402268083597555</v>
      </c>
      <c r="P69" s="1">
        <f>(Main_M[[#This Row],[P/B]]-VLOOKUP(Main_M[[#This Row],[Industry]], Mean_PB_M, 2, FALSE))/(VLOOKUP(Main_M[[#This Row],[Industry]], Mean_PB_M, 3, FALSE))</f>
        <v>2.0973337684946038</v>
      </c>
      <c r="Q69" s="1">
        <f>(Main_M[[#This Row],[ROE]]-VLOOKUP(Main_M[[#This Row],[Industry]], Mean_ROE_M, 2, FALSE))/(VLOOKUP(Main_M[[#This Row],[Industry]], Mean_ROE_M, 3, FALSE))</f>
        <v>0.52357611289397099</v>
      </c>
      <c r="R69" s="1">
        <f>(Main_M[[#This Row],[ROA]]-VLOOKUP(Main_M[[#This Row],[Industry]], Mean_ROA_M, 2, FALSE))/(VLOOKUP(Main_M[[#This Row],[Industry]], Mean_ROA_M, 3, FALSE))</f>
        <v>-0.3231584731661562</v>
      </c>
      <c r="S69" s="1">
        <f>(Main_M[[#This Row],[A/E]]-VLOOKUP(Main_M[[#This Row],[Industry]], Mean_AE_M, 2, FALSE))/(VLOOKUP(Main_M[[#This Row],[Industry]], Mean_AE_M, 3, FALSE))</f>
        <v>7.7884450080154286</v>
      </c>
      <c r="T69" s="1">
        <f>(Main_M[[#This Row],[P/E]]-VLOOKUP(Main_M[[#This Row],[Industry]], Mean_PE_M, 2, FALSE))/(VLOOKUP(Main_M[[#This Row],[Industry]], Mean_PE_M, 3, FALSE))</f>
        <v>-0.45086515422160961</v>
      </c>
      <c r="U6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0" spans="1:26" x14ac:dyDescent="0.25">
      <c r="A70" t="s">
        <v>111</v>
      </c>
      <c r="B70" t="s">
        <v>275</v>
      </c>
      <c r="C70" s="2">
        <v>9164</v>
      </c>
      <c r="D70">
        <f>RTD("tos.rtd", , "LAST", Main_M[[#This Row],[Symbol]])</f>
        <v>73.38</v>
      </c>
      <c r="E70">
        <v>0.28999999999999998</v>
      </c>
      <c r="F70">
        <v>4.79</v>
      </c>
      <c r="G70">
        <v>0.38</v>
      </c>
      <c r="H70" s="1">
        <f>IF(ISNUMBER(Main_M[[#This Row],[Free CF]]),IF(Main_M[[#This Row],[Free CF]]&lt;&gt;0,Main_M[[#This Row],[Current Price]]/Main_M[[#This Row],[Free CF]],""),"")</f>
        <v>253.0344827586207</v>
      </c>
      <c r="I70" s="1">
        <f>IF(ISNUMBER(Main_M[[#This Row],[BVPS]]),IF(Main_M[[#This Row],[BVPS]]&lt;&gt;0,Main_M[[#This Row],[Current Price]]/Main_M[[#This Row],[BVPS]],""),"")</f>
        <v>15.319415448851773</v>
      </c>
      <c r="J70">
        <v>9.75</v>
      </c>
      <c r="K70">
        <v>3.31</v>
      </c>
      <c r="L70">
        <v>4.62</v>
      </c>
      <c r="M70" s="1">
        <f>IF(ISNUMBER(Main_M[[#This Row],[EPS]]),IF(Main_M[[#This Row],[EPS]]&lt;&gt;0,Main_M[[#This Row],[Current Price]]/Main_M[[#This Row],[EPS]],""),"")</f>
        <v>193.10526315789471</v>
      </c>
      <c r="N7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0" s="1">
        <f>(Main_M[[#This Row],[P/FCF]]-VLOOKUP(Main_M[[#This Row],[Industry]], Mean_PFCF_M, 2, FALSE))/(VLOOKUP(Main_M[[#This Row],[Industry]], Mean_PFCF_M, 3, FALSE))</f>
        <v>19.146032671023825</v>
      </c>
      <c r="P70" s="1">
        <f>(Main_M[[#This Row],[P/B]]-VLOOKUP(Main_M[[#This Row],[Industry]], Mean_PB_M, 2, FALSE))/(VLOOKUP(Main_M[[#This Row],[Industry]], Mean_PB_M, 3, FALSE))</f>
        <v>1.7740477060034887</v>
      </c>
      <c r="Q70" s="1">
        <f>(Main_M[[#This Row],[ROE]]-VLOOKUP(Main_M[[#This Row],[Industry]], Mean_ROE_M, 2, FALSE))/(VLOOKUP(Main_M[[#This Row],[Industry]], Mean_ROE_M, 3, FALSE))</f>
        <v>0.1306203386682499</v>
      </c>
      <c r="R70" s="1">
        <f>(Main_M[[#This Row],[ROA]]-VLOOKUP(Main_M[[#This Row],[Industry]], Mean_ROA_M, 2, FALSE))/(VLOOKUP(Main_M[[#This Row],[Industry]], Mean_ROA_M, 3, FALSE))</f>
        <v>-0.49064098129294742</v>
      </c>
      <c r="S70" s="1">
        <f>(Main_M[[#This Row],[A/E]]-VLOOKUP(Main_M[[#This Row],[Industry]], Mean_AE_M, 2, FALSE))/(VLOOKUP(Main_M[[#This Row],[Industry]], Mean_AE_M, 3, FALSE))</f>
        <v>3.3717958150968223E-2</v>
      </c>
      <c r="T70" s="1">
        <f>(Main_M[[#This Row],[P/E]]-VLOOKUP(Main_M[[#This Row],[Industry]], Mean_PE_M, 2, FALSE))/(VLOOKUP(Main_M[[#This Row],[Industry]], Mean_PE_M, 3, FALSE))</f>
        <v>9.0210064717131342</v>
      </c>
      <c r="U7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1" spans="1:26" x14ac:dyDescent="0.25">
      <c r="A71" t="s">
        <v>111</v>
      </c>
      <c r="B71" t="s">
        <v>266</v>
      </c>
      <c r="C71" s="2">
        <v>3499</v>
      </c>
      <c r="D71">
        <f>RTD("tos.rtd", , "LAST", Main_M[[#This Row],[Symbol]])</f>
        <v>40</v>
      </c>
      <c r="E71">
        <v>2.09</v>
      </c>
      <c r="F71">
        <v>16.940000000000001</v>
      </c>
      <c r="G71">
        <v>0.34</v>
      </c>
      <c r="H71" s="1">
        <f>IF(ISNUMBER(Main_M[[#This Row],[Free CF]]),IF(Main_M[[#This Row],[Free CF]]&lt;&gt;0,Main_M[[#This Row],[Current Price]]/Main_M[[#This Row],[Free CF]],""),"")</f>
        <v>19.138755980861244</v>
      </c>
      <c r="I71" s="1">
        <f>IF(ISNUMBER(Main_M[[#This Row],[BVPS]]),IF(Main_M[[#This Row],[BVPS]]&lt;&gt;0,Main_M[[#This Row],[Current Price]]/Main_M[[#This Row],[BVPS]],""),"")</f>
        <v>2.3612750885478158</v>
      </c>
      <c r="J71">
        <v>2.57</v>
      </c>
      <c r="K71">
        <v>3.25</v>
      </c>
      <c r="L71">
        <v>7.45</v>
      </c>
      <c r="M71" s="1">
        <f>IF(ISNUMBER(Main_M[[#This Row],[EPS]]),IF(Main_M[[#This Row],[EPS]]&lt;&gt;0,Main_M[[#This Row],[Current Price]]/Main_M[[#This Row],[EPS]],""),"")</f>
        <v>117.64705882352941</v>
      </c>
      <c r="N7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1" s="1">
        <f>(Main_M[[#This Row],[P/FCF]]-VLOOKUP(Main_M[[#This Row],[Industry]], Mean_PFCF_M, 2, FALSE))/(VLOOKUP(Main_M[[#This Row],[Industry]], Mean_PFCF_M, 3, FALSE))</f>
        <v>0.17990971692887328</v>
      </c>
      <c r="P71" s="1">
        <f>(Main_M[[#This Row],[P/B]]-VLOOKUP(Main_M[[#This Row],[Industry]], Mean_PB_M, 2, FALSE))/(VLOOKUP(Main_M[[#This Row],[Industry]], Mean_PB_M, 3, FALSE))</f>
        <v>-0.57275357683906514</v>
      </c>
      <c r="Q71" s="1">
        <f>(Main_M[[#This Row],[ROE]]-VLOOKUP(Main_M[[#This Row],[Industry]], Mean_ROE_M, 2, FALSE))/(VLOOKUP(Main_M[[#This Row],[Industry]], Mean_ROE_M, 3, FALSE))</f>
        <v>9.5636799189754221E-2</v>
      </c>
      <c r="R71" s="1">
        <f>(Main_M[[#This Row],[ROA]]-VLOOKUP(Main_M[[#This Row],[Industry]], Mean_ROA_M, 2, FALSE))/(VLOOKUP(Main_M[[#This Row],[Industry]], Mean_ROA_M, 3, FALSE))</f>
        <v>-0.49843086539186798</v>
      </c>
      <c r="S71" s="1">
        <f>(Main_M[[#This Row],[A/E]]-VLOOKUP(Main_M[[#This Row],[Industry]], Mean_AE_M, 2, FALSE))/(VLOOKUP(Main_M[[#This Row],[Industry]], Mean_AE_M, 3, FALSE))</f>
        <v>0.69573538050742134</v>
      </c>
      <c r="T71" s="1">
        <f>(Main_M[[#This Row],[P/E]]-VLOOKUP(Main_M[[#This Row],[Industry]], Mean_PE_M, 2, FALSE))/(VLOOKUP(Main_M[[#This Row],[Industry]], Mean_PE_M, 3, FALSE))</f>
        <v>5.070337544847253</v>
      </c>
      <c r="U7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2" spans="1:26" x14ac:dyDescent="0.25">
      <c r="A72" t="s">
        <v>111</v>
      </c>
      <c r="B72" t="s">
        <v>279</v>
      </c>
      <c r="C72" s="2">
        <v>5220</v>
      </c>
      <c r="D72">
        <f>RTD("tos.rtd", , "LAST", Main_M[[#This Row],[Symbol]])</f>
        <v>124.5</v>
      </c>
      <c r="E72">
        <v>1</v>
      </c>
      <c r="F72">
        <v>11.77</v>
      </c>
      <c r="G72">
        <v>0.28999999999999998</v>
      </c>
      <c r="H72" s="1">
        <f>IF(ISNUMBER(Main_M[[#This Row],[Free CF]]),IF(Main_M[[#This Row],[Free CF]]&lt;&gt;0,Main_M[[#This Row],[Current Price]]/Main_M[[#This Row],[Free CF]],""),"")</f>
        <v>124.5</v>
      </c>
      <c r="I72" s="1">
        <f>IF(ISNUMBER(Main_M[[#This Row],[BVPS]]),IF(Main_M[[#This Row],[BVPS]]&lt;&gt;0,Main_M[[#This Row],[Current Price]]/Main_M[[#This Row],[BVPS]],""),"")</f>
        <v>10.577740016992355</v>
      </c>
      <c r="J72">
        <v>2.71</v>
      </c>
      <c r="K72">
        <v>1.48</v>
      </c>
      <c r="L72">
        <v>3.65</v>
      </c>
      <c r="M72" s="1">
        <f>IF(ISNUMBER(Main_M[[#This Row],[EPS]]),IF(Main_M[[#This Row],[EPS]]&lt;&gt;0,Main_M[[#This Row],[Current Price]]/Main_M[[#This Row],[EPS]],""),"")</f>
        <v>429.31034482758622</v>
      </c>
      <c r="N7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2" s="1">
        <f>(Main_M[[#This Row],[P/FCF]]-VLOOKUP(Main_M[[#This Row],[Industry]], Mean_PFCF_M, 2, FALSE))/(VLOOKUP(Main_M[[#This Row],[Industry]], Mean_PFCF_M, 3, FALSE))</f>
        <v>8.723436083112146</v>
      </c>
      <c r="P72" s="1">
        <f>(Main_M[[#This Row],[P/B]]-VLOOKUP(Main_M[[#This Row],[Industry]], Mean_PB_M, 2, FALSE))/(VLOOKUP(Main_M[[#This Row],[Industry]], Mean_PB_M, 3, FALSE))</f>
        <v>0.91530025637718448</v>
      </c>
      <c r="Q72" s="1">
        <f>(Main_M[[#This Row],[ROE]]-VLOOKUP(Main_M[[#This Row],[Industry]], Mean_ROE_M, 2, FALSE))/(VLOOKUP(Main_M[[#This Row],[Industry]], Mean_ROE_M, 3, FALSE))</f>
        <v>9.63189294859923E-2</v>
      </c>
      <c r="R72" s="1">
        <f>(Main_M[[#This Row],[ROA]]-VLOOKUP(Main_M[[#This Row],[Industry]], Mean_ROA_M, 2, FALSE))/(VLOOKUP(Main_M[[#This Row],[Industry]], Mean_ROA_M, 3, FALSE))</f>
        <v>-0.72823244631002348</v>
      </c>
      <c r="S72" s="1">
        <f>(Main_M[[#This Row],[A/E]]-VLOOKUP(Main_M[[#This Row],[Industry]], Mean_AE_M, 2, FALSE))/(VLOOKUP(Main_M[[#This Row],[Industry]], Mean_AE_M, 3, FALSE))</f>
        <v>-0.19319260710901753</v>
      </c>
      <c r="T72" s="1">
        <f>(Main_M[[#This Row],[P/E]]-VLOOKUP(Main_M[[#This Row],[Industry]], Mean_PE_M, 2, FALSE))/(VLOOKUP(Main_M[[#This Row],[Industry]], Mean_PE_M, 3, FALSE))</f>
        <v>21.387694557547729</v>
      </c>
      <c r="U7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3" spans="1:26" x14ac:dyDescent="0.25">
      <c r="A73" t="s">
        <v>111</v>
      </c>
      <c r="B73" t="s">
        <v>260</v>
      </c>
      <c r="C73" s="2">
        <v>4419</v>
      </c>
      <c r="D73">
        <f>RTD("tos.rtd", , "LAST", Main_M[[#This Row],[Symbol]])</f>
        <v>9.23</v>
      </c>
      <c r="E73">
        <v>0.4</v>
      </c>
      <c r="F73">
        <v>1.28</v>
      </c>
      <c r="G73">
        <v>0.27</v>
      </c>
      <c r="H73" s="1">
        <f>IF(ISNUMBER(Main_M[[#This Row],[Free CF]]),IF(Main_M[[#This Row],[Free CF]]&lt;&gt;0,Main_M[[#This Row],[Current Price]]/Main_M[[#This Row],[Free CF]],""),"")</f>
        <v>23.074999999999999</v>
      </c>
      <c r="I73" s="1">
        <f>IF(ISNUMBER(Main_M[[#This Row],[BVPS]]),IF(Main_M[[#This Row],[BVPS]]&lt;&gt;0,Main_M[[#This Row],[Current Price]]/Main_M[[#This Row],[BVPS]],""),"")</f>
        <v>7.2109375</v>
      </c>
      <c r="J73">
        <v>21.38</v>
      </c>
      <c r="K73">
        <v>16.32</v>
      </c>
      <c r="L73">
        <v>1.68</v>
      </c>
      <c r="M73" s="1">
        <f>IF(ISNUMBER(Main_M[[#This Row],[EPS]]),IF(Main_M[[#This Row],[EPS]]&lt;&gt;0,Main_M[[#This Row],[Current Price]]/Main_M[[#This Row],[EPS]],""),"")</f>
        <v>34.185185185185183</v>
      </c>
      <c r="N7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3" s="1">
        <f>(Main_M[[#This Row],[P/FCF]]-VLOOKUP(Main_M[[#This Row],[Industry]], Mean_PFCF_M, 2, FALSE))/(VLOOKUP(Main_M[[#This Row],[Industry]], Mean_PFCF_M, 3, FALSE))</f>
        <v>0.49909164074076773</v>
      </c>
      <c r="P73" s="1">
        <f>(Main_M[[#This Row],[P/B]]-VLOOKUP(Main_M[[#This Row],[Industry]], Mean_PB_M, 2, FALSE))/(VLOOKUP(Main_M[[#This Row],[Industry]], Mean_PB_M, 3, FALSE))</f>
        <v>0.30555099867043595</v>
      </c>
      <c r="Q73" s="1">
        <f>(Main_M[[#This Row],[ROE]]-VLOOKUP(Main_M[[#This Row],[Industry]], Mean_ROE_M, 2, FALSE))/(VLOOKUP(Main_M[[#This Row],[Industry]], Mean_ROE_M, 3, FALSE))</f>
        <v>0.18728587684859879</v>
      </c>
      <c r="R73" s="1">
        <f>(Main_M[[#This Row],[ROA]]-VLOOKUP(Main_M[[#This Row],[Industry]], Mean_ROA_M, 2, FALSE))/(VLOOKUP(Main_M[[#This Row],[Industry]], Mean_ROA_M, 3, FALSE))</f>
        <v>1.1984655541563198</v>
      </c>
      <c r="S73" s="1">
        <f>(Main_M[[#This Row],[A/E]]-VLOOKUP(Main_M[[#This Row],[Industry]], Mean_AE_M, 2, FALSE))/(VLOOKUP(Main_M[[#This Row],[Industry]], Mean_AE_M, 3, FALSE))</f>
        <v>-0.65403159016280299</v>
      </c>
      <c r="T73" s="1">
        <f>(Main_M[[#This Row],[P/E]]-VLOOKUP(Main_M[[#This Row],[Industry]], Mean_PE_M, 2, FALSE))/(VLOOKUP(Main_M[[#This Row],[Industry]], Mean_PE_M, 3, FALSE))</f>
        <v>0.70063071615126771</v>
      </c>
      <c r="U7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4" spans="1:26" x14ac:dyDescent="0.25">
      <c r="A74" t="s">
        <v>111</v>
      </c>
      <c r="B74" t="s">
        <v>261</v>
      </c>
      <c r="C74" s="2">
        <v>7076</v>
      </c>
      <c r="D74">
        <f>RTD("tos.rtd", , "LAST", Main_M[[#This Row],[Symbol]])</f>
        <v>24.12</v>
      </c>
      <c r="E74">
        <v>0.56999999999999995</v>
      </c>
      <c r="F74">
        <v>3.5</v>
      </c>
      <c r="G74">
        <v>0.2</v>
      </c>
      <c r="H74" s="1">
        <f>IF(ISNUMBER(Main_M[[#This Row],[Free CF]]),IF(Main_M[[#This Row],[Free CF]]&lt;&gt;0,Main_M[[#This Row],[Current Price]]/Main_M[[#This Row],[Free CF]],""),"")</f>
        <v>42.315789473684212</v>
      </c>
      <c r="I74" s="1">
        <f>IF(ISNUMBER(Main_M[[#This Row],[BVPS]]),IF(Main_M[[#This Row],[BVPS]]&lt;&gt;0,Main_M[[#This Row],[Current Price]]/Main_M[[#This Row],[BVPS]],""),"")</f>
        <v>6.8914285714285715</v>
      </c>
      <c r="J74">
        <v>6.33</v>
      </c>
      <c r="K74">
        <v>3.16</v>
      </c>
      <c r="L74">
        <v>2.61</v>
      </c>
      <c r="M74" s="1">
        <f>IF(ISNUMBER(Main_M[[#This Row],[EPS]]),IF(Main_M[[#This Row],[EPS]]&lt;&gt;0,Main_M[[#This Row],[Current Price]]/Main_M[[#This Row],[EPS]],""),"")</f>
        <v>120.6</v>
      </c>
      <c r="N7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4" s="1">
        <f>(Main_M[[#This Row],[P/FCF]]-VLOOKUP(Main_M[[#This Row],[Industry]], Mean_PFCF_M, 2, FALSE))/(VLOOKUP(Main_M[[#This Row],[Industry]], Mean_PFCF_M, 3, FALSE))</f>
        <v>2.059287647393294</v>
      </c>
      <c r="P74" s="1">
        <f>(Main_M[[#This Row],[P/B]]-VLOOKUP(Main_M[[#This Row],[Industry]], Mean_PB_M, 2, FALSE))/(VLOOKUP(Main_M[[#This Row],[Industry]], Mean_PB_M, 3, FALSE))</f>
        <v>0.24768590826378362</v>
      </c>
      <c r="Q74" s="1">
        <f>(Main_M[[#This Row],[ROE]]-VLOOKUP(Main_M[[#This Row],[Industry]], Mean_ROE_M, 2, FALSE))/(VLOOKUP(Main_M[[#This Row],[Industry]], Mean_ROE_M, 3, FALSE))</f>
        <v>0.11395687000300543</v>
      </c>
      <c r="R74" s="1">
        <f>(Main_M[[#This Row],[ROA]]-VLOOKUP(Main_M[[#This Row],[Industry]], Mean_ROA_M, 2, FALSE))/(VLOOKUP(Main_M[[#This Row],[Industry]], Mean_ROA_M, 3, FALSE))</f>
        <v>-0.51011569154024872</v>
      </c>
      <c r="S74" s="1">
        <f>(Main_M[[#This Row],[A/E]]-VLOOKUP(Main_M[[#This Row],[Industry]], Mean_AE_M, 2, FALSE))/(VLOOKUP(Main_M[[#This Row],[Industry]], Mean_AE_M, 3, FALSE))</f>
        <v>-0.4364781616145692</v>
      </c>
      <c r="T74" s="1">
        <f>(Main_M[[#This Row],[P/E]]-VLOOKUP(Main_M[[#This Row],[Industry]], Mean_PE_M, 2, FALSE))/(VLOOKUP(Main_M[[#This Row],[Industry]], Mean_PE_M, 3, FALSE))</f>
        <v>5.2249409183525533</v>
      </c>
      <c r="U7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5" spans="1:26" x14ac:dyDescent="0.25">
      <c r="A75" t="s">
        <v>111</v>
      </c>
      <c r="B75" t="s">
        <v>257</v>
      </c>
      <c r="C75" s="2">
        <v>2582</v>
      </c>
      <c r="D75">
        <f>RTD("tos.rtd", , "LAST", Main_M[[#This Row],[Symbol]])</f>
        <v>6.15</v>
      </c>
      <c r="E75">
        <v>0.75</v>
      </c>
      <c r="F75">
        <v>-3.22</v>
      </c>
      <c r="G75">
        <v>0.14000000000000001</v>
      </c>
      <c r="H75" s="1">
        <f>IF(ISNUMBER(Main_M[[#This Row],[Free CF]]),IF(Main_M[[#This Row],[Free CF]]&lt;&gt;0,Main_M[[#This Row],[Current Price]]/Main_M[[#This Row],[Free CF]],""),"")</f>
        <v>8.2000000000000011</v>
      </c>
      <c r="I75" s="1">
        <f>IF(ISNUMBER(Main_M[[#This Row],[BVPS]]),IF(Main_M[[#This Row],[BVPS]]&lt;&gt;0,Main_M[[#This Row],[Current Price]]/Main_M[[#This Row],[BVPS]],""),"")</f>
        <v>-1.9099378881987576</v>
      </c>
      <c r="J75">
        <v>0.08</v>
      </c>
      <c r="K75">
        <v>3.97</v>
      </c>
      <c r="L75">
        <v>-5.96</v>
      </c>
      <c r="M75" s="1">
        <f>IF(ISNUMBER(Main_M[[#This Row],[EPS]]),IF(Main_M[[#This Row],[EPS]]&lt;&gt;0,Main_M[[#This Row],[Current Price]]/Main_M[[#This Row],[EPS]],""),"")</f>
        <v>43.928571428571423</v>
      </c>
      <c r="N7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5" s="1">
        <f>(Main_M[[#This Row],[P/FCF]]-VLOOKUP(Main_M[[#This Row],[Industry]], Mean_PFCF_M, 2, FALSE))/(VLOOKUP(Main_M[[#This Row],[Industry]], Mean_PFCF_M, 3, FALSE))</f>
        <v>-0.70709148551286038</v>
      </c>
      <c r="P75" s="1">
        <f>(Main_M[[#This Row],[P/B]]-VLOOKUP(Main_M[[#This Row],[Industry]], Mean_PB_M, 2, FALSE))/(VLOOKUP(Main_M[[#This Row],[Industry]], Mean_PB_M, 3, FALSE))</f>
        <v>-1.3462972964170106</v>
      </c>
      <c r="Q75" s="1">
        <f>(Main_M[[#This Row],[ROE]]-VLOOKUP(Main_M[[#This Row],[Industry]], Mean_ROE_M, 2, FALSE))/(VLOOKUP(Main_M[[#This Row],[Industry]], Mean_ROE_M, 3, FALSE))</f>
        <v>8.3504624635234115E-2</v>
      </c>
      <c r="R75" s="1">
        <f>(Main_M[[#This Row],[ROA]]-VLOOKUP(Main_M[[#This Row],[Industry]], Mean_ROA_M, 2, FALSE))/(VLOOKUP(Main_M[[#This Row],[Industry]], Mean_ROA_M, 3, FALSE))</f>
        <v>-0.40495225620482161</v>
      </c>
      <c r="S75" s="1">
        <f>(Main_M[[#This Row],[A/E]]-VLOOKUP(Main_M[[#This Row],[Industry]], Mean_AE_M, 2, FALSE))/(VLOOKUP(Main_M[[#This Row],[Industry]], Mean_AE_M, 3, FALSE))</f>
        <v>-2.4412447021074324</v>
      </c>
      <c r="T75" s="1">
        <f>(Main_M[[#This Row],[P/E]]-VLOOKUP(Main_M[[#This Row],[Industry]], Mean_PE_M, 2, FALSE))/(VLOOKUP(Main_M[[#This Row],[Industry]], Mean_PE_M, 3, FALSE))</f>
        <v>1.2107527580651116</v>
      </c>
      <c r="U7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6" spans="1:26" x14ac:dyDescent="0.25">
      <c r="A76" t="s">
        <v>111</v>
      </c>
      <c r="B76" t="s">
        <v>265</v>
      </c>
      <c r="C76" s="2">
        <v>2992</v>
      </c>
      <c r="D76">
        <f>RTD("tos.rtd", , "LAST", Main_M[[#This Row],[Symbol]])</f>
        <v>6.57</v>
      </c>
      <c r="E76">
        <v>0.36</v>
      </c>
      <c r="F76">
        <v>2.34</v>
      </c>
      <c r="G76">
        <v>-0.09</v>
      </c>
      <c r="H76" s="1">
        <f>IF(ISNUMBER(Main_M[[#This Row],[Free CF]]),IF(Main_M[[#This Row],[Free CF]]&lt;&gt;0,Main_M[[#This Row],[Current Price]]/Main_M[[#This Row],[Free CF]],""),"")</f>
        <v>18.25</v>
      </c>
      <c r="I76" s="1">
        <f>IF(ISNUMBER(Main_M[[#This Row],[BVPS]]),IF(Main_M[[#This Row],[BVPS]]&lt;&gt;0,Main_M[[#This Row],[Current Price]]/Main_M[[#This Row],[BVPS]],""),"")</f>
        <v>2.8076923076923079</v>
      </c>
      <c r="J76">
        <v>-3.48</v>
      </c>
      <c r="K76">
        <v>3.79</v>
      </c>
      <c r="L76">
        <v>3.38</v>
      </c>
      <c r="M76" s="1">
        <f>IF(ISNUMBER(Main_M[[#This Row],[EPS]]),IF(Main_M[[#This Row],[EPS]]&lt;&gt;0,Main_M[[#This Row],[Current Price]]/Main_M[[#This Row],[EPS]],""),"")</f>
        <v>-73</v>
      </c>
      <c r="N7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6" s="1">
        <f>(Main_M[[#This Row],[P/FCF]]-VLOOKUP(Main_M[[#This Row],[Industry]], Mean_PFCF_M, 2, FALSE))/(VLOOKUP(Main_M[[#This Row],[Industry]], Mean_PFCF_M, 3, FALSE))</f>
        <v>0.10784232415765811</v>
      </c>
      <c r="P76" s="1">
        <f>(Main_M[[#This Row],[P/B]]-VLOOKUP(Main_M[[#This Row],[Industry]], Mean_PB_M, 2, FALSE))/(VLOOKUP(Main_M[[#This Row],[Industry]], Mean_PB_M, 3, FALSE))</f>
        <v>-0.49190459130247649</v>
      </c>
      <c r="Q76" s="1">
        <f>(Main_M[[#This Row],[ROE]]-VLOOKUP(Main_M[[#This Row],[Industry]], Mean_ROE_M, 2, FALSE))/(VLOOKUP(Main_M[[#This Row],[Industry]], Mean_ROE_M, 3, FALSE))</f>
        <v>6.6159025673751592E-2</v>
      </c>
      <c r="R76" s="1">
        <f>(Main_M[[#This Row],[ROA]]-VLOOKUP(Main_M[[#This Row],[Industry]], Mean_ROA_M, 2, FALSE))/(VLOOKUP(Main_M[[#This Row],[Industry]], Mean_ROA_M, 3, FALSE))</f>
        <v>-0.42832190850158325</v>
      </c>
      <c r="S76" s="1">
        <f>(Main_M[[#This Row],[A/E]]-VLOOKUP(Main_M[[#This Row],[Industry]], Mean_AE_M, 2, FALSE))/(VLOOKUP(Main_M[[#This Row],[Industry]], Mean_AE_M, 3, FALSE))</f>
        <v>-0.25635327991334345</v>
      </c>
      <c r="T76" s="1">
        <f>(Main_M[[#This Row],[P/E]]-VLOOKUP(Main_M[[#This Row],[Industry]], Mean_PE_M, 2, FALSE))/(VLOOKUP(Main_M[[#This Row],[Industry]], Mean_PE_M, 3, FALSE))</f>
        <v>-4.9111272665208228</v>
      </c>
      <c r="U7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7" spans="1:26" x14ac:dyDescent="0.25">
      <c r="A77" t="s">
        <v>111</v>
      </c>
      <c r="B77" t="s">
        <v>254</v>
      </c>
      <c r="C77" s="2">
        <v>2986</v>
      </c>
      <c r="D77">
        <f>RTD("tos.rtd", , "LAST", Main_M[[#This Row],[Symbol]])</f>
        <v>14.73</v>
      </c>
      <c r="E77">
        <v>5.0199999999999996</v>
      </c>
      <c r="F77">
        <v>8.1300000000000008</v>
      </c>
      <c r="G77">
        <v>-0.15</v>
      </c>
      <c r="H77" s="1">
        <f>IF(ISNUMBER(Main_M[[#This Row],[Free CF]]),IF(Main_M[[#This Row],[Free CF]]&lt;&gt;0,Main_M[[#This Row],[Current Price]]/Main_M[[#This Row],[Free CF]],""),"")</f>
        <v>2.9342629482071718</v>
      </c>
      <c r="I77" s="1">
        <f>IF(ISNUMBER(Main_M[[#This Row],[BVPS]]),IF(Main_M[[#This Row],[BVPS]]&lt;&gt;0,Main_M[[#This Row],[Current Price]]/Main_M[[#This Row],[BVPS]],""),"")</f>
        <v>1.8118081180811807</v>
      </c>
      <c r="J77">
        <v>1.87</v>
      </c>
      <c r="K77">
        <v>3.98</v>
      </c>
      <c r="L77">
        <v>6.3</v>
      </c>
      <c r="M77" s="1">
        <f>IF(ISNUMBER(Main_M[[#This Row],[EPS]]),IF(Main_M[[#This Row],[EPS]]&lt;&gt;0,Main_M[[#This Row],[Current Price]]/Main_M[[#This Row],[EPS]],""),"")</f>
        <v>-98.2</v>
      </c>
      <c r="N7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7" s="1">
        <f>(Main_M[[#This Row],[P/FCF]]-VLOOKUP(Main_M[[#This Row],[Industry]], Mean_PFCF_M, 2, FALSE))/(VLOOKUP(Main_M[[#This Row],[Industry]], Mean_PFCF_M, 3, FALSE))</f>
        <v>-1.1340792622631823</v>
      </c>
      <c r="P77" s="1">
        <f>(Main_M[[#This Row],[P/B]]-VLOOKUP(Main_M[[#This Row],[Industry]], Mean_PB_M, 2, FALSE))/(VLOOKUP(Main_M[[#This Row],[Industry]], Mean_PB_M, 3, FALSE))</f>
        <v>-0.67226552495169267</v>
      </c>
      <c r="Q77" s="1">
        <f>(Main_M[[#This Row],[ROE]]-VLOOKUP(Main_M[[#This Row],[Industry]], Mean_ROE_M, 2, FALSE))/(VLOOKUP(Main_M[[#This Row],[Industry]], Mean_ROE_M, 3, FALSE))</f>
        <v>9.2226147708563841E-2</v>
      </c>
      <c r="R77" s="1">
        <f>(Main_M[[#This Row],[ROA]]-VLOOKUP(Main_M[[#This Row],[Industry]], Mean_ROA_M, 2, FALSE))/(VLOOKUP(Main_M[[#This Row],[Industry]], Mean_ROA_M, 3, FALSE))</f>
        <v>-0.40365394218833489</v>
      </c>
      <c r="S77" s="1">
        <f>(Main_M[[#This Row],[A/E]]-VLOOKUP(Main_M[[#This Row],[Industry]], Mean_AE_M, 2, FALSE))/(VLOOKUP(Main_M[[#This Row],[Industry]], Mean_AE_M, 3, FALSE))</f>
        <v>0.42671770004455162</v>
      </c>
      <c r="T77" s="1">
        <f>(Main_M[[#This Row],[P/E]]-VLOOKUP(Main_M[[#This Row],[Industry]], Mean_PE_M, 2, FALSE))/(VLOOKUP(Main_M[[#This Row],[Industry]], Mean_PE_M, 3, FALSE))</f>
        <v>-6.2304915137254158</v>
      </c>
      <c r="U7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8" spans="1:26" x14ac:dyDescent="0.25">
      <c r="A78" t="s">
        <v>111</v>
      </c>
      <c r="B78" t="s">
        <v>253</v>
      </c>
      <c r="C78" s="2">
        <v>2272</v>
      </c>
      <c r="D78">
        <f>RTD("tos.rtd", , "LAST", Main_M[[#This Row],[Symbol]])</f>
        <v>9.32</v>
      </c>
      <c r="E78">
        <v>-0.01</v>
      </c>
      <c r="F78">
        <v>3.02</v>
      </c>
      <c r="G78">
        <v>-0.2</v>
      </c>
      <c r="H78" s="1">
        <f>IF(ISNUMBER(Main_M[[#This Row],[Free CF]]),IF(Main_M[[#This Row],[Free CF]]&lt;&gt;0,Main_M[[#This Row],[Current Price]]/Main_M[[#This Row],[Free CF]],""),"")</f>
        <v>-932</v>
      </c>
      <c r="I78" s="1">
        <f>IF(ISNUMBER(Main_M[[#This Row],[BVPS]]),IF(Main_M[[#This Row],[BVPS]]&lt;&gt;0,Main_M[[#This Row],[Current Price]]/Main_M[[#This Row],[BVPS]],""),"")</f>
        <v>3.0860927152317883</v>
      </c>
      <c r="J78">
        <v>-7.25</v>
      </c>
      <c r="K78">
        <v>-3.95</v>
      </c>
      <c r="L78">
        <v>1.28</v>
      </c>
      <c r="M78" s="1">
        <f>IF(ISNUMBER(Main_M[[#This Row],[EPS]]),IF(Main_M[[#This Row],[EPS]]&lt;&gt;0,Main_M[[#This Row],[Current Price]]/Main_M[[#This Row],[EPS]],""),"")</f>
        <v>-46.6</v>
      </c>
      <c r="N7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8" s="1">
        <f>(Main_M[[#This Row],[P/FCF]]-VLOOKUP(Main_M[[#This Row],[Industry]], Mean_PFCF_M, 2, FALSE))/(VLOOKUP(Main_M[[#This Row],[Industry]], Mean_PFCF_M, 3, FALSE))</f>
        <v>-76.945973858868243</v>
      </c>
      <c r="P78" s="1">
        <f>(Main_M[[#This Row],[P/B]]-VLOOKUP(Main_M[[#This Row],[Industry]], Mean_PB_M, 2, FALSE))/(VLOOKUP(Main_M[[#This Row],[Industry]], Mean_PB_M, 3, FALSE))</f>
        <v>-0.44148451439398584</v>
      </c>
      <c r="Q78" s="1">
        <f>(Main_M[[#This Row],[ROE]]-VLOOKUP(Main_M[[#This Row],[Industry]], Mean_ROE_M, 2, FALSE))/(VLOOKUP(Main_M[[#This Row],[Industry]], Mean_ROE_M, 3, FALSE))</f>
        <v>4.7790231267911931E-2</v>
      </c>
      <c r="R78" s="1">
        <f>(Main_M[[#This Row],[ROA]]-VLOOKUP(Main_M[[#This Row],[Industry]], Mean_ROA_M, 2, FALSE))/(VLOOKUP(Main_M[[#This Row],[Industry]], Mean_ROA_M, 3, FALSE))</f>
        <v>-1.433216957262331</v>
      </c>
      <c r="S78" s="1">
        <f>(Main_M[[#This Row],[A/E]]-VLOOKUP(Main_M[[#This Row],[Industry]], Mean_AE_M, 2, FALSE))/(VLOOKUP(Main_M[[#This Row],[Industry]], Mean_AE_M, 3, FALSE))</f>
        <v>-0.74760295728032278</v>
      </c>
      <c r="T78" s="1">
        <f>(Main_M[[#This Row],[P/E]]-VLOOKUP(Main_M[[#This Row],[Industry]], Mean_PE_M, 2, FALSE))/(VLOOKUP(Main_M[[#This Row],[Industry]], Mean_PE_M, 3, FALSE))</f>
        <v>-3.528936150401726</v>
      </c>
      <c r="U7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9" spans="1:26" x14ac:dyDescent="0.25">
      <c r="A79" t="s">
        <v>111</v>
      </c>
      <c r="B79" t="s">
        <v>258</v>
      </c>
      <c r="C79" s="2">
        <v>2239</v>
      </c>
      <c r="D79">
        <f>RTD("tos.rtd", , "LAST", Main_M[[#This Row],[Symbol]])</f>
        <v>16.48</v>
      </c>
      <c r="E79">
        <v>-1.02</v>
      </c>
      <c r="F79">
        <v>20.350000000000001</v>
      </c>
      <c r="G79">
        <v>-0.56000000000000005</v>
      </c>
      <c r="H79" s="1">
        <f>IF(ISNUMBER(Main_M[[#This Row],[Free CF]]),IF(Main_M[[#This Row],[Free CF]]&lt;&gt;0,Main_M[[#This Row],[Current Price]]/Main_M[[#This Row],[Free CF]],""),"")</f>
        <v>-16.156862745098039</v>
      </c>
      <c r="I79" s="1">
        <f>IF(ISNUMBER(Main_M[[#This Row],[BVPS]]),IF(Main_M[[#This Row],[BVPS]]&lt;&gt;0,Main_M[[#This Row],[Current Price]]/Main_M[[#This Row],[BVPS]],""),"")</f>
        <v>0.80982800982800984</v>
      </c>
      <c r="J79">
        <v>-2.88</v>
      </c>
      <c r="K79">
        <v>0.92</v>
      </c>
      <c r="L79">
        <v>5.07</v>
      </c>
      <c r="M79" s="1">
        <f>IF(ISNUMBER(Main_M[[#This Row],[EPS]]),IF(Main_M[[#This Row],[EPS]]&lt;&gt;0,Main_M[[#This Row],[Current Price]]/Main_M[[#This Row],[EPS]],""),"")</f>
        <v>-29.428571428571427</v>
      </c>
      <c r="N7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9" s="1">
        <f>(Main_M[[#This Row],[P/FCF]]-VLOOKUP(Main_M[[#This Row],[Industry]], Mean_PFCF_M, 2, FALSE))/(VLOOKUP(Main_M[[#This Row],[Industry]], Mean_PFCF_M, 3, FALSE))</f>
        <v>-2.6821393410834746</v>
      </c>
      <c r="P79" s="1">
        <f>(Main_M[[#This Row],[P/B]]-VLOOKUP(Main_M[[#This Row],[Industry]], Mean_PB_M, 2, FALSE))/(VLOOKUP(Main_M[[#This Row],[Industry]], Mean_PB_M, 3, FALSE))</f>
        <v>-0.85373046807228903</v>
      </c>
      <c r="Q79" s="1">
        <f>(Main_M[[#This Row],[ROE]]-VLOOKUP(Main_M[[#This Row],[Industry]], Mean_ROE_M, 2, FALSE))/(VLOOKUP(Main_M[[#This Row],[Industry]], Mean_ROE_M, 3, FALSE))</f>
        <v>6.9082441229057642E-2</v>
      </c>
      <c r="R79" s="1">
        <f>(Main_M[[#This Row],[ROA]]-VLOOKUP(Main_M[[#This Row],[Industry]], Mean_ROA_M, 2, FALSE))/(VLOOKUP(Main_M[[#This Row],[Industry]], Mean_ROA_M, 3, FALSE))</f>
        <v>-0.80093803123328167</v>
      </c>
      <c r="S79" s="1">
        <f>(Main_M[[#This Row],[A/E]]-VLOOKUP(Main_M[[#This Row],[Industry]], Mean_AE_M, 2, FALSE))/(VLOOKUP(Main_M[[#This Row],[Industry]], Mean_AE_M, 3, FALSE))</f>
        <v>0.13898574615817813</v>
      </c>
      <c r="T79" s="1">
        <f>(Main_M[[#This Row],[P/E]]-VLOOKUP(Main_M[[#This Row],[Industry]], Mean_PE_M, 2, FALSE))/(VLOOKUP(Main_M[[#This Row],[Industry]], Mean_PE_M, 3, FALSE))</f>
        <v>-2.6299135737917938</v>
      </c>
      <c r="U7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80" spans="1:26" x14ac:dyDescent="0.25">
      <c r="A80" t="s">
        <v>111</v>
      </c>
      <c r="B80" t="s">
        <v>252</v>
      </c>
      <c r="C80" s="2">
        <v>5590</v>
      </c>
      <c r="D80">
        <f>RTD("tos.rtd", , "LAST", Main_M[[#This Row],[Symbol]])</f>
        <v>26.74</v>
      </c>
      <c r="E80">
        <v>-0.27</v>
      </c>
      <c r="F80">
        <v>19.12</v>
      </c>
      <c r="G80">
        <v>-1.1000000000000001</v>
      </c>
      <c r="H80" s="1">
        <f>IF(ISNUMBER(Main_M[[#This Row],[Free CF]]),IF(Main_M[[#This Row],[Free CF]]&lt;&gt;0,Main_M[[#This Row],[Current Price]]/Main_M[[#This Row],[Free CF]],""),"")</f>
        <v>-99.037037037037024</v>
      </c>
      <c r="I80" s="1">
        <f>IF(ISNUMBER(Main_M[[#This Row],[BVPS]]),IF(Main_M[[#This Row],[BVPS]]&lt;&gt;0,Main_M[[#This Row],[Current Price]]/Main_M[[#This Row],[BVPS]],""),"")</f>
        <v>1.3985355648535562</v>
      </c>
      <c r="J80">
        <v>-3.77</v>
      </c>
      <c r="K80">
        <v>4.34</v>
      </c>
      <c r="L80">
        <v>7.99</v>
      </c>
      <c r="M80" s="1">
        <f>IF(ISNUMBER(Main_M[[#This Row],[EPS]]),IF(Main_M[[#This Row],[EPS]]&lt;&gt;0,Main_M[[#This Row],[Current Price]]/Main_M[[#This Row],[EPS]],""),"")</f>
        <v>-24.309090909090905</v>
      </c>
      <c r="N8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0" s="1">
        <f>(Main_M[[#This Row],[P/FCF]]-VLOOKUP(Main_M[[#This Row],[Industry]], Mean_PFCF_M, 2, FALSE))/(VLOOKUP(Main_M[[#This Row],[Industry]], Mean_PFCF_M, 3, FALSE))</f>
        <v>-9.4027220457487903</v>
      </c>
      <c r="P80" s="1">
        <f>(Main_M[[#This Row],[P/B]]-VLOOKUP(Main_M[[#This Row],[Industry]], Mean_PB_M, 2, FALSE))/(VLOOKUP(Main_M[[#This Row],[Industry]], Mean_PB_M, 3, FALSE))</f>
        <v>-0.74711180158636381</v>
      </c>
      <c r="Q80" s="1">
        <f>(Main_M[[#This Row],[ROE]]-VLOOKUP(Main_M[[#This Row],[Industry]], Mean_ROE_M, 2, FALSE))/(VLOOKUP(Main_M[[#This Row],[Industry]], Mean_ROE_M, 3, FALSE))</f>
        <v>6.4746041488686998E-2</v>
      </c>
      <c r="R80" s="1">
        <f>(Main_M[[#This Row],[ROA]]-VLOOKUP(Main_M[[#This Row],[Industry]], Mean_ROA_M, 2, FALSE))/(VLOOKUP(Main_M[[#This Row],[Industry]], Mean_ROA_M, 3, FALSE))</f>
        <v>-0.35691463759481179</v>
      </c>
      <c r="S80" s="1">
        <f>(Main_M[[#This Row],[A/E]]-VLOOKUP(Main_M[[#This Row],[Industry]], Mean_AE_M, 2, FALSE))/(VLOOKUP(Main_M[[#This Row],[Industry]], Mean_AE_M, 3, FALSE))</f>
        <v>0.82205672611607317</v>
      </c>
      <c r="T80" s="1">
        <f>(Main_M[[#This Row],[P/E]]-VLOOKUP(Main_M[[#This Row],[Industry]], Mean_PE_M, 2, FALSE))/(VLOOKUP(Main_M[[#This Row],[Industry]], Mean_PE_M, 3, FALSE))</f>
        <v>-2.3618794642019925</v>
      </c>
      <c r="U8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1" spans="1:26" x14ac:dyDescent="0.25">
      <c r="A81" t="s">
        <v>111</v>
      </c>
      <c r="B81" t="s">
        <v>482</v>
      </c>
      <c r="C81" s="2">
        <v>8000</v>
      </c>
      <c r="D81">
        <f>RTD("tos.rtd", , "LAST", Main_M[[#This Row],[Symbol]])</f>
        <v>2.68</v>
      </c>
      <c r="E81">
        <v>1.31</v>
      </c>
      <c r="F81">
        <v>9.35</v>
      </c>
      <c r="G81">
        <v>-3.22</v>
      </c>
      <c r="H81" s="1">
        <f>IF(ISNUMBER(Main_M[[#This Row],[Free CF]]),IF(Main_M[[#This Row],[Free CF]]&lt;&gt;0,Main_M[[#This Row],[Current Price]]/Main_M[[#This Row],[Free CF]],""),"")</f>
        <v>2.0458015267175571</v>
      </c>
      <c r="I81" s="1">
        <f>IF(ISNUMBER(Main_M[[#This Row],[BVPS]]),IF(Main_M[[#This Row],[BVPS]]&lt;&gt;0,Main_M[[#This Row],[Current Price]]/Main_M[[#This Row],[BVPS]],""),"")</f>
        <v>0.2866310160427808</v>
      </c>
      <c r="J81">
        <v>-40.42</v>
      </c>
      <c r="K81">
        <v>-1.44</v>
      </c>
      <c r="L81">
        <v>4.79</v>
      </c>
      <c r="M81" s="1">
        <f>IF(ISNUMBER(Main_M[[#This Row],[EPS]]),IF(Main_M[[#This Row],[EPS]]&lt;&gt;0,Main_M[[#This Row],[Current Price]]/Main_M[[#This Row],[EPS]],""),"")</f>
        <v>-0.83229813664596275</v>
      </c>
      <c r="N8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1" s="1">
        <f>(Main_M[[#This Row],[P/FCF]]-VLOOKUP(Main_M[[#This Row],[Industry]], Mean_PFCF_M, 2, FALSE))/(VLOOKUP(Main_M[[#This Row],[Industry]], Mean_PFCF_M, 3, FALSE))</f>
        <v>-1.206122769821373</v>
      </c>
      <c r="P81" s="1">
        <f>(Main_M[[#This Row],[P/B]]-VLOOKUP(Main_M[[#This Row],[Industry]], Mean_PB_M, 2, FALSE))/(VLOOKUP(Main_M[[#This Row],[Industry]], Mean_PB_M, 3, FALSE))</f>
        <v>-0.94848475704078272</v>
      </c>
      <c r="Q81" s="1">
        <f>(Main_M[[#This Row],[ROE]]-VLOOKUP(Main_M[[#This Row],[Industry]], Mean_ROE_M, 2, FALSE))/(VLOOKUP(Main_M[[#This Row],[Industry]], Mean_ROE_M, 3, FALSE))</f>
        <v>-0.113825925347924</v>
      </c>
      <c r="R81" s="1">
        <f>(Main_M[[#This Row],[ROA]]-VLOOKUP(Main_M[[#This Row],[Industry]], Mean_ROA_M, 2, FALSE))/(VLOOKUP(Main_M[[#This Row],[Industry]], Mean_ROA_M, 3, FALSE))</f>
        <v>-1.1073401391241557</v>
      </c>
      <c r="S81" s="1">
        <f>(Main_M[[#This Row],[A/E]]-VLOOKUP(Main_M[[#This Row],[Industry]], Mean_AE_M, 2, FALSE))/(VLOOKUP(Main_M[[#This Row],[Industry]], Mean_AE_M, 3, FALSE))</f>
        <v>7.3485789175914154E-2</v>
      </c>
      <c r="T81" s="1">
        <f>(Main_M[[#This Row],[P/E]]-VLOOKUP(Main_M[[#This Row],[Industry]], Mean_PE_M, 2, FALSE))/(VLOOKUP(Main_M[[#This Row],[Industry]], Mean_PE_M, 3, FALSE))</f>
        <v>-1.132734979162507</v>
      </c>
      <c r="U8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2" spans="1:26" x14ac:dyDescent="0.25">
      <c r="A82" t="s">
        <v>111</v>
      </c>
      <c r="B82" t="s">
        <v>270</v>
      </c>
      <c r="C82" s="2">
        <v>3393</v>
      </c>
      <c r="D82">
        <f>RTD("tos.rtd", , "LAST", Main_M[[#This Row],[Symbol]])</f>
        <v>31.82</v>
      </c>
      <c r="E82">
        <v>-1.1100000000000001</v>
      </c>
      <c r="F82">
        <v>18.14</v>
      </c>
      <c r="G82">
        <v>-3.76</v>
      </c>
      <c r="H82" s="1">
        <f>IF(ISNUMBER(Main_M[[#This Row],[Free CF]]),IF(Main_M[[#This Row],[Free CF]]&lt;&gt;0,Main_M[[#This Row],[Current Price]]/Main_M[[#This Row],[Free CF]],""),"")</f>
        <v>-28.666666666666664</v>
      </c>
      <c r="I82" s="1">
        <f>IF(ISNUMBER(Main_M[[#This Row],[BVPS]]),IF(Main_M[[#This Row],[BVPS]]&lt;&gt;0,Main_M[[#This Row],[Current Price]]/Main_M[[#This Row],[BVPS]],""),"")</f>
        <v>1.7541345093715546</v>
      </c>
      <c r="J82">
        <v>-43.57</v>
      </c>
      <c r="K82">
        <v>3.22</v>
      </c>
      <c r="L82">
        <v>5</v>
      </c>
      <c r="M82" s="1">
        <f>IF(ISNUMBER(Main_M[[#This Row],[EPS]]),IF(Main_M[[#This Row],[EPS]]&lt;&gt;0,Main_M[[#This Row],[Current Price]]/Main_M[[#This Row],[EPS]],""),"")</f>
        <v>-8.462765957446809</v>
      </c>
      <c r="N8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2" s="1">
        <f>(Main_M[[#This Row],[P/FCF]]-VLOOKUP(Main_M[[#This Row],[Industry]], Mean_PFCF_M, 2, FALSE))/(VLOOKUP(Main_M[[#This Row],[Industry]], Mean_PFCF_M, 3, FALSE))</f>
        <v>-3.6965335866591076</v>
      </c>
      <c r="P82" s="1">
        <f>(Main_M[[#This Row],[P/B]]-VLOOKUP(Main_M[[#This Row],[Industry]], Mean_PB_M, 2, FALSE))/(VLOOKUP(Main_M[[#This Row],[Industry]], Mean_PB_M, 3, FALSE))</f>
        <v>-0.68271058073458391</v>
      </c>
      <c r="Q82" s="1">
        <f>(Main_M[[#This Row],[ROE]]-VLOOKUP(Main_M[[#This Row],[Industry]], Mean_ROE_M, 2, FALSE))/(VLOOKUP(Main_M[[#This Row],[Industry]], Mean_ROE_M, 3, FALSE))</f>
        <v>-0.12917385701328074</v>
      </c>
      <c r="R82" s="1">
        <f>(Main_M[[#This Row],[ROA]]-VLOOKUP(Main_M[[#This Row],[Industry]], Mean_ROA_M, 2, FALSE))/(VLOOKUP(Main_M[[#This Row],[Industry]], Mean_ROA_M, 3, FALSE))</f>
        <v>-0.50232580744132815</v>
      </c>
      <c r="S82" s="1">
        <f>(Main_M[[#This Row],[A/E]]-VLOOKUP(Main_M[[#This Row],[Industry]], Mean_AE_M, 2, FALSE))/(VLOOKUP(Main_M[[#This Row],[Industry]], Mean_AE_M, 3, FALSE))</f>
        <v>0.12261075691261208</v>
      </c>
      <c r="T82" s="1">
        <f>(Main_M[[#This Row],[P/E]]-VLOOKUP(Main_M[[#This Row],[Industry]], Mean_PE_M, 2, FALSE))/(VLOOKUP(Main_M[[#This Row],[Industry]], Mean_PE_M, 3, FALSE))</f>
        <v>-1.5322336471073392</v>
      </c>
      <c r="U8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3" spans="1:26" x14ac:dyDescent="0.25">
      <c r="A83" t="s">
        <v>108</v>
      </c>
      <c r="B83" t="s">
        <v>220</v>
      </c>
      <c r="C83" s="2">
        <v>3478</v>
      </c>
      <c r="D83">
        <f>RTD("tos.rtd", , "LAST", Main_M[[#This Row],[Symbol]])</f>
        <v>425.23</v>
      </c>
      <c r="E83">
        <v>19.25</v>
      </c>
      <c r="F83">
        <v>132.94</v>
      </c>
      <c r="G83">
        <v>20.71</v>
      </c>
      <c r="H83" s="1">
        <f>IF(ISNUMBER(Main_M[[#This Row],[Free CF]]),IF(Main_M[[#This Row],[Free CF]]&lt;&gt;0,Main_M[[#This Row],[Current Price]]/Main_M[[#This Row],[Free CF]],""),"")</f>
        <v>22.089870129870132</v>
      </c>
      <c r="I83" s="1">
        <f>IF(ISNUMBER(Main_M[[#This Row],[BVPS]]),IF(Main_M[[#This Row],[BVPS]]&lt;&gt;0,Main_M[[#This Row],[Current Price]]/Main_M[[#This Row],[BVPS]],""),"")</f>
        <v>3.1986610500977886</v>
      </c>
      <c r="J83">
        <v>16.3</v>
      </c>
      <c r="K83">
        <v>9.07</v>
      </c>
      <c r="L83">
        <v>1.32</v>
      </c>
      <c r="M83" s="1">
        <f>IF(ISNUMBER(Main_M[[#This Row],[EPS]]),IF(Main_M[[#This Row],[EPS]]&lt;&gt;0,Main_M[[#This Row],[Current Price]]/Main_M[[#This Row],[EPS]],""),"")</f>
        <v>20.532592950265574</v>
      </c>
      <c r="N8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3" s="1">
        <f>(Main_M[[#This Row],[P/FCF]]-VLOOKUP(Main_M[[#This Row],[Industry]], Mean_PFCF_M, 2, FALSE))/(VLOOKUP(Main_M[[#This Row],[Industry]], Mean_PFCF_M, 3, FALSE))</f>
        <v>0.72343188689999272</v>
      </c>
      <c r="P83" s="1">
        <f>(Main_M[[#This Row],[P/B]]-VLOOKUP(Main_M[[#This Row],[Industry]], Mean_PB_M, 2, FALSE))/(VLOOKUP(Main_M[[#This Row],[Industry]], Mean_PB_M, 3, FALSE))</f>
        <v>1.4437620676272109</v>
      </c>
      <c r="Q83" s="1">
        <f>(Main_M[[#This Row],[ROE]]-VLOOKUP(Main_M[[#This Row],[Industry]], Mean_ROE_M, 2, FALSE))/(VLOOKUP(Main_M[[#This Row],[Industry]], Mean_ROE_M, 3, FALSE))</f>
        <v>2.4006611720473199E-2</v>
      </c>
      <c r="R83" s="1">
        <f>(Main_M[[#This Row],[ROA]]-VLOOKUP(Main_M[[#This Row],[Industry]], Mean_ROA_M, 2, FALSE))/(VLOOKUP(Main_M[[#This Row],[Industry]], Mean_ROA_M, 3, FALSE))</f>
        <v>0.18940797840143847</v>
      </c>
      <c r="S83" s="1">
        <f>(Main_M[[#This Row],[A/E]]-VLOOKUP(Main_M[[#This Row],[Industry]], Mean_AE_M, 2, FALSE))/(VLOOKUP(Main_M[[#This Row],[Industry]], Mean_AE_M, 3, FALSE))</f>
        <v>-1.0545613515240082</v>
      </c>
      <c r="T83" s="1">
        <f>(Main_M[[#This Row],[P/E]]-VLOOKUP(Main_M[[#This Row],[Industry]], Mean_PE_M, 2, FALSE))/(VLOOKUP(Main_M[[#This Row],[Industry]], Mean_PE_M, 3, FALSE))</f>
        <v>1.5699533297499781</v>
      </c>
      <c r="U8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4" spans="1:26" x14ac:dyDescent="0.25">
      <c r="A84" t="s">
        <v>108</v>
      </c>
      <c r="B84" t="s">
        <v>219</v>
      </c>
      <c r="C84" s="2">
        <v>8087</v>
      </c>
      <c r="D84">
        <f>RTD("tos.rtd", , "LAST", Main_M[[#This Row],[Symbol]])</f>
        <v>300.8</v>
      </c>
      <c r="E84">
        <v>23.01</v>
      </c>
      <c r="F84">
        <v>74.14</v>
      </c>
      <c r="G84">
        <v>19.77</v>
      </c>
      <c r="H84" s="1">
        <f>IF(ISNUMBER(Main_M[[#This Row],[Free CF]]),IF(Main_M[[#This Row],[Free CF]]&lt;&gt;0,Main_M[[#This Row],[Current Price]]/Main_M[[#This Row],[Free CF]],""),"")</f>
        <v>13.072577140373751</v>
      </c>
      <c r="I84" s="1">
        <f>IF(ISNUMBER(Main_M[[#This Row],[BVPS]]),IF(Main_M[[#This Row],[BVPS]]&lt;&gt;0,Main_M[[#This Row],[Current Price]]/Main_M[[#This Row],[BVPS]],""),"")</f>
        <v>4.0571891016994872</v>
      </c>
      <c r="J84">
        <v>24.59</v>
      </c>
      <c r="K84">
        <v>11.26</v>
      </c>
      <c r="L84">
        <v>2.17</v>
      </c>
      <c r="M84" s="1">
        <f>IF(ISNUMBER(Main_M[[#This Row],[EPS]]),IF(Main_M[[#This Row],[EPS]]&lt;&gt;0,Main_M[[#This Row],[Current Price]]/Main_M[[#This Row],[EPS]],""),"")</f>
        <v>15.214972180070815</v>
      </c>
      <c r="N8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4" s="1">
        <f>(Main_M[[#This Row],[P/FCF]]-VLOOKUP(Main_M[[#This Row],[Industry]], Mean_PFCF_M, 2, FALSE))/(VLOOKUP(Main_M[[#This Row],[Industry]], Mean_PFCF_M, 3, FALSE))</f>
        <v>-0.55051911215993588</v>
      </c>
      <c r="P84" s="1">
        <f>(Main_M[[#This Row],[P/B]]-VLOOKUP(Main_M[[#This Row],[Industry]], Mean_PB_M, 2, FALSE))/(VLOOKUP(Main_M[[#This Row],[Industry]], Mean_PB_M, 3, FALSE))</f>
        <v>2.2615873853688861</v>
      </c>
      <c r="Q84" s="1">
        <f>(Main_M[[#This Row],[ROE]]-VLOOKUP(Main_M[[#This Row],[Industry]], Mean_ROE_M, 2, FALSE))/(VLOOKUP(Main_M[[#This Row],[Industry]], Mean_ROE_M, 3, FALSE))</f>
        <v>0.96761131981958981</v>
      </c>
      <c r="R84" s="1">
        <f>(Main_M[[#This Row],[ROA]]-VLOOKUP(Main_M[[#This Row],[Industry]], Mean_ROA_M, 2, FALSE))/(VLOOKUP(Main_M[[#This Row],[Industry]], Mean_ROA_M, 3, FALSE))</f>
        <v>1.0173590217131134</v>
      </c>
      <c r="S84" s="1">
        <f>(Main_M[[#This Row],[A/E]]-VLOOKUP(Main_M[[#This Row],[Industry]], Mean_AE_M, 2, FALSE))/(VLOOKUP(Main_M[[#This Row],[Industry]], Mean_AE_M, 3, FALSE))</f>
        <v>2.5309472436576161</v>
      </c>
      <c r="T84" s="1">
        <f>(Main_M[[#This Row],[P/E]]-VLOOKUP(Main_M[[#This Row],[Industry]], Mean_PE_M, 2, FALSE))/(VLOOKUP(Main_M[[#This Row],[Industry]], Mean_PE_M, 3, FALSE))</f>
        <v>0.6418496161140782</v>
      </c>
      <c r="U8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5" spans="1:26" x14ac:dyDescent="0.25">
      <c r="A85" t="s">
        <v>108</v>
      </c>
      <c r="B85" t="s">
        <v>225</v>
      </c>
      <c r="C85" s="2">
        <v>2855</v>
      </c>
      <c r="D85">
        <f>RTD("tos.rtd", , "LAST", Main_M[[#This Row],[Symbol]])</f>
        <v>108.87</v>
      </c>
      <c r="E85">
        <v>4.5999999999999996</v>
      </c>
      <c r="F85">
        <v>112.29</v>
      </c>
      <c r="G85">
        <v>18.93</v>
      </c>
      <c r="H85" s="1">
        <f>IF(ISNUMBER(Main_M[[#This Row],[Free CF]]),IF(Main_M[[#This Row],[Free CF]]&lt;&gt;0,Main_M[[#This Row],[Current Price]]/Main_M[[#This Row],[Free CF]],""),"")</f>
        <v>23.667391304347827</v>
      </c>
      <c r="I85" s="1">
        <f>IF(ISNUMBER(Main_M[[#This Row],[BVPS]]),IF(Main_M[[#This Row],[BVPS]]&lt;&gt;0,Main_M[[#This Row],[Current Price]]/Main_M[[#This Row],[BVPS]],""),"")</f>
        <v>0.96954314720812185</v>
      </c>
      <c r="J85">
        <v>19.02</v>
      </c>
      <c r="K85">
        <v>9.3800000000000008</v>
      </c>
      <c r="L85">
        <v>1.53</v>
      </c>
      <c r="M85" s="1">
        <f>IF(ISNUMBER(Main_M[[#This Row],[EPS]]),IF(Main_M[[#This Row],[EPS]]&lt;&gt;0,Main_M[[#This Row],[Current Price]]/Main_M[[#This Row],[EPS]],""),"")</f>
        <v>5.751188589540412</v>
      </c>
      <c r="N8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5" s="1">
        <f>(Main_M[[#This Row],[P/FCF]]-VLOOKUP(Main_M[[#This Row],[Industry]], Mean_PFCF_M, 2, FALSE))/(VLOOKUP(Main_M[[#This Row],[Industry]], Mean_PFCF_M, 3, FALSE))</f>
        <v>0.94630195207420786</v>
      </c>
      <c r="P85" s="1">
        <f>(Main_M[[#This Row],[P/B]]-VLOOKUP(Main_M[[#This Row],[Industry]], Mean_PB_M, 2, FALSE))/(VLOOKUP(Main_M[[#This Row],[Industry]], Mean_PB_M, 3, FALSE))</f>
        <v>-0.67967356597066109</v>
      </c>
      <c r="Q85" s="1">
        <f>(Main_M[[#This Row],[ROE]]-VLOOKUP(Main_M[[#This Row],[Industry]], Mean_ROE_M, 2, FALSE))/(VLOOKUP(Main_M[[#This Row],[Industry]], Mean_ROE_M, 3, FALSE))</f>
        <v>0.33360912149485156</v>
      </c>
      <c r="R85" s="1">
        <f>(Main_M[[#This Row],[ROA]]-VLOOKUP(Main_M[[#This Row],[Industry]], Mean_ROA_M, 2, FALSE))/(VLOOKUP(Main_M[[#This Row],[Industry]], Mean_ROA_M, 3, FALSE))</f>
        <v>0.30660652791131049</v>
      </c>
      <c r="S85" s="1">
        <f>(Main_M[[#This Row],[A/E]]-VLOOKUP(Main_M[[#This Row],[Industry]], Mean_AE_M, 2, FALSE))/(VLOOKUP(Main_M[[#This Row],[Industry]], Mean_AE_M, 3, FALSE))</f>
        <v>-0.16872981624384226</v>
      </c>
      <c r="T85" s="1">
        <f>(Main_M[[#This Row],[P/E]]-VLOOKUP(Main_M[[#This Row],[Industry]], Mean_PE_M, 2, FALSE))/(VLOOKUP(Main_M[[#This Row],[Industry]], Mean_PE_M, 3, FALSE))</f>
        <v>-1.009898990076217</v>
      </c>
      <c r="U8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6" spans="1:26" x14ac:dyDescent="0.25">
      <c r="A86" t="s">
        <v>108</v>
      </c>
      <c r="B86" t="s">
        <v>226</v>
      </c>
      <c r="C86" s="2">
        <v>4569</v>
      </c>
      <c r="D86">
        <f>RTD("tos.rtd", , "LAST", Main_M[[#This Row],[Symbol]])</f>
        <v>65.28</v>
      </c>
      <c r="E86">
        <v>-5.26</v>
      </c>
      <c r="F86">
        <v>72.319999999999993</v>
      </c>
      <c r="G86">
        <v>9.89</v>
      </c>
      <c r="H86" s="1">
        <f>IF(ISNUMBER(Main_M[[#This Row],[Free CF]]),IF(Main_M[[#This Row],[Free CF]]&lt;&gt;0,Main_M[[#This Row],[Current Price]]/Main_M[[#This Row],[Free CF]],""),"")</f>
        <v>-12.410646387832701</v>
      </c>
      <c r="I86" s="1">
        <f>IF(ISNUMBER(Main_M[[#This Row],[BVPS]]),IF(Main_M[[#This Row],[BVPS]]&lt;&gt;0,Main_M[[#This Row],[Current Price]]/Main_M[[#This Row],[BVPS]],""),"")</f>
        <v>0.90265486725663724</v>
      </c>
      <c r="J86">
        <v>14.58</v>
      </c>
      <c r="K86">
        <v>7.79</v>
      </c>
      <c r="L86">
        <v>1.48</v>
      </c>
      <c r="M86" s="1">
        <f>IF(ISNUMBER(Main_M[[#This Row],[EPS]]),IF(Main_M[[#This Row],[EPS]]&lt;&gt;0,Main_M[[#This Row],[Current Price]]/Main_M[[#This Row],[EPS]],""),"")</f>
        <v>6.6006066734074818</v>
      </c>
      <c r="N8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6" s="1">
        <f>(Main_M[[#This Row],[P/FCF]]-VLOOKUP(Main_M[[#This Row],[Industry]], Mean_PFCF_M, 2, FALSE))/(VLOOKUP(Main_M[[#This Row],[Industry]], Mean_PFCF_M, 3, FALSE))</f>
        <v>-4.1507545831423682</v>
      </c>
      <c r="P86" s="1">
        <f>(Main_M[[#This Row],[P/B]]-VLOOKUP(Main_M[[#This Row],[Industry]], Mean_PB_M, 2, FALSE))/(VLOOKUP(Main_M[[#This Row],[Industry]], Mean_PB_M, 3, FALSE))</f>
        <v>-0.74339067888556409</v>
      </c>
      <c r="Q86" s="1">
        <f>(Main_M[[#This Row],[ROE]]-VLOOKUP(Main_M[[#This Row],[Industry]], Mean_ROE_M, 2, FALSE))/(VLOOKUP(Main_M[[#This Row],[Industry]], Mean_ROE_M, 3, FALSE))</f>
        <v>-0.17177144593097207</v>
      </c>
      <c r="R86" s="1">
        <f>(Main_M[[#This Row],[ROA]]-VLOOKUP(Main_M[[#This Row],[Industry]], Mean_ROA_M, 2, FALSE))/(VLOOKUP(Main_M[[#This Row],[Industry]], Mean_ROA_M, 3, FALSE))</f>
        <v>-0.29450861312319365</v>
      </c>
      <c r="S86" s="1">
        <f>(Main_M[[#This Row],[A/E]]-VLOOKUP(Main_M[[#This Row],[Industry]], Mean_AE_M, 2, FALSE))/(VLOOKUP(Main_M[[#This Row],[Industry]], Mean_AE_M, 3, FALSE))</f>
        <v>-0.37964208654864395</v>
      </c>
      <c r="T86" s="1">
        <f>(Main_M[[#This Row],[P/E]]-VLOOKUP(Main_M[[#This Row],[Industry]], Mean_PE_M, 2, FALSE))/(VLOOKUP(Main_M[[#This Row],[Industry]], Mean_PE_M, 3, FALSE))</f>
        <v>-0.86164695930237822</v>
      </c>
      <c r="U8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7" spans="1:26" x14ac:dyDescent="0.25">
      <c r="A87" t="s">
        <v>108</v>
      </c>
      <c r="B87" t="s">
        <v>223</v>
      </c>
      <c r="C87" s="2">
        <v>4404</v>
      </c>
      <c r="D87">
        <f>RTD("tos.rtd", , "LAST", Main_M[[#This Row],[Symbol]])</f>
        <v>168.48</v>
      </c>
      <c r="E87">
        <v>9.34</v>
      </c>
      <c r="F87">
        <v>24.08</v>
      </c>
      <c r="G87">
        <v>8.7799999999999994</v>
      </c>
      <c r="H87" s="1">
        <f>IF(ISNUMBER(Main_M[[#This Row],[Free CF]]),IF(Main_M[[#This Row],[Free CF]]&lt;&gt;0,Main_M[[#This Row],[Current Price]]/Main_M[[#This Row],[Free CF]],""),"")</f>
        <v>18.038543897216272</v>
      </c>
      <c r="I87" s="1">
        <f>IF(ISNUMBER(Main_M[[#This Row],[BVPS]]),IF(Main_M[[#This Row],[BVPS]]&lt;&gt;0,Main_M[[#This Row],[Current Price]]/Main_M[[#This Row],[BVPS]],""),"")</f>
        <v>6.9966777408637872</v>
      </c>
      <c r="J87">
        <v>36.729999999999997</v>
      </c>
      <c r="K87">
        <v>11.6</v>
      </c>
      <c r="L87">
        <v>3.03</v>
      </c>
      <c r="M87" s="1">
        <f>IF(ISNUMBER(Main_M[[#This Row],[EPS]]),IF(Main_M[[#This Row],[EPS]]&lt;&gt;0,Main_M[[#This Row],[Current Price]]/Main_M[[#This Row],[EPS]],""),"")</f>
        <v>19.189066059225514</v>
      </c>
      <c r="N8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7" s="1">
        <f>(Main_M[[#This Row],[P/FCF]]-VLOOKUP(Main_M[[#This Row],[Industry]], Mean_PFCF_M, 2, FALSE))/(VLOOKUP(Main_M[[#This Row],[Industry]], Mean_PFCF_M, 3, FALSE))</f>
        <v>0.15106597757232695</v>
      </c>
      <c r="P87" s="1">
        <f>(Main_M[[#This Row],[P/B]]-VLOOKUP(Main_M[[#This Row],[Industry]], Mean_PB_M, 2, FALSE))/(VLOOKUP(Main_M[[#This Row],[Industry]], Mean_PB_M, 3, FALSE))</f>
        <v>5.061715145711287</v>
      </c>
      <c r="Q87" s="1">
        <f>(Main_M[[#This Row],[ROE]]-VLOOKUP(Main_M[[#This Row],[Industry]], Mean_ROE_M, 2, FALSE))/(VLOOKUP(Main_M[[#This Row],[Industry]], Mean_ROE_M, 3, FALSE))</f>
        <v>2.3494401685919994</v>
      </c>
      <c r="R87" s="1">
        <f>(Main_M[[#This Row],[ROA]]-VLOOKUP(Main_M[[#This Row],[Industry]], Mean_ROA_M, 2, FALSE))/(VLOOKUP(Main_M[[#This Row],[Industry]], Mean_ROA_M, 3, FALSE))</f>
        <v>1.1458993663368437</v>
      </c>
      <c r="S87" s="1">
        <f>(Main_M[[#This Row],[A/E]]-VLOOKUP(Main_M[[#This Row],[Industry]], Mean_AE_M, 2, FALSE))/(VLOOKUP(Main_M[[#This Row],[Industry]], Mean_AE_M, 3, FALSE))</f>
        <v>6.1586382929002008</v>
      </c>
      <c r="T87" s="1">
        <f>(Main_M[[#This Row],[P/E]]-VLOOKUP(Main_M[[#This Row],[Industry]], Mean_PE_M, 2, FALSE))/(VLOOKUP(Main_M[[#This Row],[Industry]], Mean_PE_M, 3, FALSE))</f>
        <v>1.3354626898884399</v>
      </c>
      <c r="U8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8" spans="1:26" x14ac:dyDescent="0.25">
      <c r="A88" t="s">
        <v>108</v>
      </c>
      <c r="B88" t="s">
        <v>228</v>
      </c>
      <c r="C88" s="2">
        <v>5649</v>
      </c>
      <c r="D88">
        <f>RTD("tos.rtd", , "LAST", Main_M[[#This Row],[Symbol]])</f>
        <v>57.95</v>
      </c>
      <c r="E88">
        <v>3.69</v>
      </c>
      <c r="F88">
        <v>59.15</v>
      </c>
      <c r="G88">
        <v>8.6</v>
      </c>
      <c r="H88" s="1">
        <f>IF(ISNUMBER(Main_M[[#This Row],[Free CF]]),IF(Main_M[[#This Row],[Free CF]]&lt;&gt;0,Main_M[[#This Row],[Current Price]]/Main_M[[#This Row],[Free CF]],""),"")</f>
        <v>15.704607046070462</v>
      </c>
      <c r="I88" s="1">
        <f>IF(ISNUMBER(Main_M[[#This Row],[BVPS]]),IF(Main_M[[#This Row],[BVPS]]&lt;&gt;0,Main_M[[#This Row],[Current Price]]/Main_M[[#This Row],[BVPS]],""),"")</f>
        <v>0.97971259509721054</v>
      </c>
      <c r="J88">
        <v>15.97</v>
      </c>
      <c r="K88">
        <v>8.77</v>
      </c>
      <c r="L88">
        <v>1.58</v>
      </c>
      <c r="M88" s="1">
        <f>IF(ISNUMBER(Main_M[[#This Row],[EPS]]),IF(Main_M[[#This Row],[EPS]]&lt;&gt;0,Main_M[[#This Row],[Current Price]]/Main_M[[#This Row],[EPS]],""),"")</f>
        <v>6.7383720930232567</v>
      </c>
      <c r="N8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8" s="1">
        <f>(Main_M[[#This Row],[P/FCF]]-VLOOKUP(Main_M[[#This Row],[Industry]], Mean_PFCF_M, 2, FALSE))/(VLOOKUP(Main_M[[#This Row],[Industry]], Mean_PFCF_M, 3, FALSE))</f>
        <v>-0.17866947482157922</v>
      </c>
      <c r="P88" s="1">
        <f>(Main_M[[#This Row],[P/B]]-VLOOKUP(Main_M[[#This Row],[Industry]], Mean_PB_M, 2, FALSE))/(VLOOKUP(Main_M[[#This Row],[Industry]], Mean_PB_M, 3, FALSE))</f>
        <v>-0.66998625064574513</v>
      </c>
      <c r="Q88" s="1">
        <f>(Main_M[[#This Row],[ROE]]-VLOOKUP(Main_M[[#This Row],[Industry]], Mean_ROE_M, 2, FALSE))/(VLOOKUP(Main_M[[#This Row],[Industry]], Mean_ROE_M, 3, FALSE))</f>
        <v>-1.3555457480094783E-2</v>
      </c>
      <c r="R88" s="1">
        <f>(Main_M[[#This Row],[ROA]]-VLOOKUP(Main_M[[#This Row],[Industry]], Mean_ROA_M, 2, FALSE))/(VLOOKUP(Main_M[[#This Row],[Industry]], Mean_ROA_M, 3, FALSE))</f>
        <v>7.5990027262852575E-2</v>
      </c>
      <c r="S88" s="1">
        <f>(Main_M[[#This Row],[A/E]]-VLOOKUP(Main_M[[#This Row],[Industry]], Mean_AE_M, 2, FALSE))/(VLOOKUP(Main_M[[#This Row],[Industry]], Mean_AE_M, 3, FALSE))</f>
        <v>4.2182454060959398E-2</v>
      </c>
      <c r="T88" s="1">
        <f>(Main_M[[#This Row],[P/E]]-VLOOKUP(Main_M[[#This Row],[Industry]], Mean_PE_M, 2, FALSE))/(VLOOKUP(Main_M[[#This Row],[Industry]], Mean_PE_M, 3, FALSE))</f>
        <v>-0.83760225903479479</v>
      </c>
      <c r="U8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9" spans="1:26" x14ac:dyDescent="0.25">
      <c r="A89" t="s">
        <v>108</v>
      </c>
      <c r="B89" t="s">
        <v>222</v>
      </c>
      <c r="C89" s="2">
        <v>2567</v>
      </c>
      <c r="D89">
        <f>RTD("tos.rtd", , "LAST", Main_M[[#This Row],[Symbol]])</f>
        <v>59.6</v>
      </c>
      <c r="E89">
        <v>1.95</v>
      </c>
      <c r="F89">
        <v>37.090000000000003</v>
      </c>
      <c r="G89">
        <v>8.31</v>
      </c>
      <c r="H89" s="1">
        <f>IF(ISNUMBER(Main_M[[#This Row],[Free CF]]),IF(Main_M[[#This Row],[Free CF]]&lt;&gt;0,Main_M[[#This Row],[Current Price]]/Main_M[[#This Row],[Free CF]],""),"")</f>
        <v>30.564102564102566</v>
      </c>
      <c r="I89" s="1">
        <f>IF(ISNUMBER(Main_M[[#This Row],[BVPS]]),IF(Main_M[[#This Row],[BVPS]]&lt;&gt;0,Main_M[[#This Row],[Current Price]]/Main_M[[#This Row],[BVPS]],""),"")</f>
        <v>1.6069021299541655</v>
      </c>
      <c r="J89">
        <v>25.68</v>
      </c>
      <c r="K89">
        <v>14.12</v>
      </c>
      <c r="L89">
        <v>1.38</v>
      </c>
      <c r="M89" s="1">
        <f>IF(ISNUMBER(Main_M[[#This Row],[EPS]]),IF(Main_M[[#This Row],[EPS]]&lt;&gt;0,Main_M[[#This Row],[Current Price]]/Main_M[[#This Row],[EPS]],""),"")</f>
        <v>7.1720818291215398</v>
      </c>
      <c r="N8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9" s="1">
        <f>(Main_M[[#This Row],[P/FCF]]-VLOOKUP(Main_M[[#This Row],[Industry]], Mean_PFCF_M, 2, FALSE))/(VLOOKUP(Main_M[[#This Row],[Industry]], Mean_PFCF_M, 3, FALSE))</f>
        <v>1.9206600227087869</v>
      </c>
      <c r="P89" s="1">
        <f>(Main_M[[#This Row],[P/B]]-VLOOKUP(Main_M[[#This Row],[Industry]], Mean_PB_M, 2, FALSE))/(VLOOKUP(Main_M[[#This Row],[Industry]], Mean_PB_M, 3, FALSE))</f>
        <v>-7.2531712414058008E-2</v>
      </c>
      <c r="Q89" s="1">
        <f>(Main_M[[#This Row],[ROE]]-VLOOKUP(Main_M[[#This Row],[Industry]], Mean_ROE_M, 2, FALSE))/(VLOOKUP(Main_M[[#This Row],[Industry]], Mean_ROE_M, 3, FALSE))</f>
        <v>1.0916799726335871</v>
      </c>
      <c r="R89" s="1">
        <f>(Main_M[[#This Row],[ROA]]-VLOOKUP(Main_M[[#This Row],[Industry]], Mean_ROA_M, 2, FALSE))/(VLOOKUP(Main_M[[#This Row],[Industry]], Mean_ROA_M, 3, FALSE))</f>
        <v>2.0986101559009631</v>
      </c>
      <c r="S89" s="1">
        <f>(Main_M[[#This Row],[A/E]]-VLOOKUP(Main_M[[#This Row],[Industry]], Mean_AE_M, 2, FALSE))/(VLOOKUP(Main_M[[#This Row],[Industry]], Mean_AE_M, 3, FALSE))</f>
        <v>-0.80146662715824724</v>
      </c>
      <c r="T89" s="1">
        <f>(Main_M[[#This Row],[P/E]]-VLOOKUP(Main_M[[#This Row],[Industry]], Mean_PE_M, 2, FALSE))/(VLOOKUP(Main_M[[#This Row],[Industry]], Mean_PE_M, 3, FALSE))</f>
        <v>-0.76190531972520203</v>
      </c>
      <c r="U8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8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0" spans="1:26" x14ac:dyDescent="0.25">
      <c r="A90" t="s">
        <v>108</v>
      </c>
      <c r="B90" t="s">
        <v>224</v>
      </c>
      <c r="C90" s="2">
        <v>3700</v>
      </c>
      <c r="D90">
        <f>RTD("tos.rtd", , "LAST", Main_M[[#This Row],[Symbol]])</f>
        <v>52.95</v>
      </c>
      <c r="E90">
        <v>-0.56000000000000005</v>
      </c>
      <c r="F90">
        <v>57.05</v>
      </c>
      <c r="G90">
        <v>8.2200000000000006</v>
      </c>
      <c r="H90" s="1">
        <f>IF(ISNUMBER(Main_M[[#This Row],[Free CF]]),IF(Main_M[[#This Row],[Free CF]]&lt;&gt;0,Main_M[[#This Row],[Current Price]]/Main_M[[#This Row],[Free CF]],""),"")</f>
        <v>-94.553571428571431</v>
      </c>
      <c r="I90" s="1">
        <f>IF(ISNUMBER(Main_M[[#This Row],[BVPS]]),IF(Main_M[[#This Row],[BVPS]]&lt;&gt;0,Main_M[[#This Row],[Current Price]]/Main_M[[#This Row],[BVPS]],""),"")</f>
        <v>0.92813321647677482</v>
      </c>
      <c r="J90">
        <v>15.7</v>
      </c>
      <c r="K90">
        <v>7.17</v>
      </c>
      <c r="L90">
        <v>1.71</v>
      </c>
      <c r="M90" s="1">
        <f>IF(ISNUMBER(Main_M[[#This Row],[EPS]]),IF(Main_M[[#This Row],[EPS]]&lt;&gt;0,Main_M[[#This Row],[Current Price]]/Main_M[[#This Row],[EPS]],""),"")</f>
        <v>6.4416058394160585</v>
      </c>
      <c r="N9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0" s="1">
        <f>(Main_M[[#This Row],[P/FCF]]-VLOOKUP(Main_M[[#This Row],[Industry]], Mean_PFCF_M, 2, FALSE))/(VLOOKUP(Main_M[[#This Row],[Industry]], Mean_PFCF_M, 3, FALSE))</f>
        <v>-15.755796311657663</v>
      </c>
      <c r="P90" s="1">
        <f>(Main_M[[#This Row],[P/B]]-VLOOKUP(Main_M[[#This Row],[Industry]], Mean_PB_M, 2, FALSE))/(VLOOKUP(Main_M[[#This Row],[Industry]], Mean_PB_M, 3, FALSE))</f>
        <v>-0.71912025579616301</v>
      </c>
      <c r="Q90" s="1">
        <f>(Main_M[[#This Row],[ROE]]-VLOOKUP(Main_M[[#This Row],[Industry]], Mean_ROE_M, 2, FALSE))/(VLOOKUP(Main_M[[#This Row],[Industry]], Mean_ROE_M, 3, FALSE))</f>
        <v>-4.4288059553286914E-2</v>
      </c>
      <c r="R90" s="1">
        <f>(Main_M[[#This Row],[ROA]]-VLOOKUP(Main_M[[#This Row],[Industry]], Mean_ROA_M, 2, FALSE))/(VLOOKUP(Main_M[[#This Row],[Industry]], Mean_ROA_M, 3, FALSE))</f>
        <v>-0.52890571214293736</v>
      </c>
      <c r="S90" s="1">
        <f>(Main_M[[#This Row],[A/E]]-VLOOKUP(Main_M[[#This Row],[Industry]], Mean_AE_M, 2, FALSE))/(VLOOKUP(Main_M[[#This Row],[Industry]], Mean_AE_M, 3, FALSE))</f>
        <v>0.59055435685344282</v>
      </c>
      <c r="T90" s="1">
        <f>(Main_M[[#This Row],[P/E]]-VLOOKUP(Main_M[[#This Row],[Industry]], Mean_PE_M, 2, FALSE))/(VLOOKUP(Main_M[[#This Row],[Industry]], Mean_PE_M, 3, FALSE))</f>
        <v>-0.88939795375571906</v>
      </c>
      <c r="U9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9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1" spans="1:26" x14ac:dyDescent="0.25">
      <c r="A91" t="s">
        <v>108</v>
      </c>
      <c r="B91" t="s">
        <v>218</v>
      </c>
      <c r="C91" s="2">
        <v>6291</v>
      </c>
      <c r="D91">
        <f>RTD("tos.rtd", , "LAST", Main_M[[#This Row],[Symbol]])</f>
        <v>103.1</v>
      </c>
      <c r="E91">
        <v>7.89</v>
      </c>
      <c r="F91">
        <v>125.7</v>
      </c>
      <c r="G91">
        <v>7.66</v>
      </c>
      <c r="H91" s="1">
        <f>IF(ISNUMBER(Main_M[[#This Row],[Free CF]]),IF(Main_M[[#This Row],[Free CF]]&lt;&gt;0,Main_M[[#This Row],[Current Price]]/Main_M[[#This Row],[Free CF]],""),"")</f>
        <v>13.067173637515843</v>
      </c>
      <c r="I91" s="1">
        <f>IF(ISNUMBER(Main_M[[#This Row],[BVPS]]),IF(Main_M[[#This Row],[BVPS]]&lt;&gt;0,Main_M[[#This Row],[Current Price]]/Main_M[[#This Row],[BVPS]],""),"")</f>
        <v>0.82020684168655522</v>
      </c>
      <c r="J91">
        <v>6.26</v>
      </c>
      <c r="K91">
        <v>3.59</v>
      </c>
      <c r="L91">
        <v>1.71</v>
      </c>
      <c r="M91" s="1">
        <f>IF(ISNUMBER(Main_M[[#This Row],[EPS]]),IF(Main_M[[#This Row],[EPS]]&lt;&gt;0,Main_M[[#This Row],[Current Price]]/Main_M[[#This Row],[EPS]],""),"")</f>
        <v>13.459530026109659</v>
      </c>
      <c r="N9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1" s="1">
        <f>(Main_M[[#This Row],[P/FCF]]-VLOOKUP(Main_M[[#This Row],[Industry]], Mean_PFCF_M, 2, FALSE))/(VLOOKUP(Main_M[[#This Row],[Industry]], Mean_PFCF_M, 3, FALSE))</f>
        <v>-0.55128251176026755</v>
      </c>
      <c r="P91" s="1">
        <f>(Main_M[[#This Row],[P/B]]-VLOOKUP(Main_M[[#This Row],[Industry]], Mean_PB_M, 2, FALSE))/(VLOOKUP(Main_M[[#This Row],[Industry]], Mean_PB_M, 3, FALSE))</f>
        <v>-0.82192985134851393</v>
      </c>
      <c r="Q91" s="1">
        <f>(Main_M[[#This Row],[ROE]]-VLOOKUP(Main_M[[#This Row],[Industry]], Mean_ROE_M, 2, FALSE))/(VLOOKUP(Main_M[[#This Row],[Industry]], Mean_ROE_M, 3, FALSE))</f>
        <v>-1.1187908875937769</v>
      </c>
      <c r="R91" s="1">
        <f>(Main_M[[#This Row],[ROA]]-VLOOKUP(Main_M[[#This Row],[Industry]], Mean_ROA_M, 2, FALSE))/(VLOOKUP(Main_M[[#This Row],[Industry]], Mean_ROA_M, 3, FALSE))</f>
        <v>-1.8823599290633926</v>
      </c>
      <c r="S91" s="1">
        <f>(Main_M[[#This Row],[A/E]]-VLOOKUP(Main_M[[#This Row],[Industry]], Mean_AE_M, 2, FALSE))/(VLOOKUP(Main_M[[#This Row],[Industry]], Mean_AE_M, 3, FALSE))</f>
        <v>0.59055435685344282</v>
      </c>
      <c r="T91" s="1">
        <f>(Main_M[[#This Row],[P/E]]-VLOOKUP(Main_M[[#This Row],[Industry]], Mean_PE_M, 2, FALSE))/(VLOOKUP(Main_M[[#This Row],[Industry]], Mean_PE_M, 3, FALSE))</f>
        <v>0.33546590569678192</v>
      </c>
      <c r="U9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2" spans="1:26" x14ac:dyDescent="0.25">
      <c r="A92" t="s">
        <v>108</v>
      </c>
      <c r="B92" t="s">
        <v>229</v>
      </c>
      <c r="C92" s="2">
        <v>2673</v>
      </c>
      <c r="D92">
        <f>RTD("tos.rtd", , "LAST", Main_M[[#This Row],[Symbol]])</f>
        <v>30.63</v>
      </c>
      <c r="E92">
        <v>5.32</v>
      </c>
      <c r="F92">
        <v>36.64</v>
      </c>
      <c r="G92">
        <v>4.51</v>
      </c>
      <c r="H92" s="1">
        <f>IF(ISNUMBER(Main_M[[#This Row],[Free CF]]),IF(Main_M[[#This Row],[Free CF]]&lt;&gt;0,Main_M[[#This Row],[Current Price]]/Main_M[[#This Row],[Free CF]],""),"")</f>
        <v>5.757518796992481</v>
      </c>
      <c r="I92" s="1">
        <f>IF(ISNUMBER(Main_M[[#This Row],[BVPS]]),IF(Main_M[[#This Row],[BVPS]]&lt;&gt;0,Main_M[[#This Row],[Current Price]]/Main_M[[#This Row],[BVPS]],""),"")</f>
        <v>0.83597161572052403</v>
      </c>
      <c r="J92">
        <v>13.28</v>
      </c>
      <c r="K92">
        <v>6.93</v>
      </c>
      <c r="L92">
        <v>1.45</v>
      </c>
      <c r="M92" s="1">
        <f>IF(ISNUMBER(Main_M[[#This Row],[EPS]]),IF(Main_M[[#This Row],[EPS]]&lt;&gt;0,Main_M[[#This Row],[Current Price]]/Main_M[[#This Row],[EPS]],""),"")</f>
        <v>6.7915742793791578</v>
      </c>
      <c r="N9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92" s="1">
        <f>(Main_M[[#This Row],[P/FCF]]-VLOOKUP(Main_M[[#This Row],[Industry]], Mean_PFCF_M, 2, FALSE))/(VLOOKUP(Main_M[[#This Row],[Industry]], Mean_PFCF_M, 3, FALSE))</f>
        <v>-1.5839806948752053</v>
      </c>
      <c r="P92" s="1">
        <f>(Main_M[[#This Row],[P/B]]-VLOOKUP(Main_M[[#This Row],[Industry]], Mean_PB_M, 2, FALSE))/(VLOOKUP(Main_M[[#This Row],[Industry]], Mean_PB_M, 3, FALSE))</f>
        <v>-0.80691248376290858</v>
      </c>
      <c r="Q92" s="1">
        <f>(Main_M[[#This Row],[ROE]]-VLOOKUP(Main_M[[#This Row],[Industry]], Mean_ROE_M, 2, FALSE))/(VLOOKUP(Main_M[[#This Row],[Industry]], Mean_ROE_M, 3, FALSE))</f>
        <v>-0.31974323369078539</v>
      </c>
      <c r="R92" s="1">
        <f>(Main_M[[#This Row],[ROA]]-VLOOKUP(Main_M[[#This Row],[Industry]], Mean_ROA_M, 2, FALSE))/(VLOOKUP(Main_M[[#This Row],[Industry]], Mean_ROA_M, 3, FALSE))</f>
        <v>-0.61964007305380597</v>
      </c>
      <c r="S92" s="1">
        <f>(Main_M[[#This Row],[A/E]]-VLOOKUP(Main_M[[#This Row],[Industry]], Mean_AE_M, 2, FALSE))/(VLOOKUP(Main_M[[#This Row],[Industry]], Mean_AE_M, 3, FALSE))</f>
        <v>-0.50618944873152494</v>
      </c>
      <c r="T92" s="1">
        <f>(Main_M[[#This Row],[P/E]]-VLOOKUP(Main_M[[#This Row],[Industry]], Mean_PE_M, 2, FALSE))/(VLOOKUP(Main_M[[#This Row],[Industry]], Mean_PE_M, 3, FALSE))</f>
        <v>-0.82831668774937717</v>
      </c>
      <c r="U9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3" spans="1:26" x14ac:dyDescent="0.25">
      <c r="A93" t="s">
        <v>108</v>
      </c>
      <c r="B93" t="s">
        <v>227</v>
      </c>
      <c r="C93" s="2">
        <v>3746</v>
      </c>
      <c r="D93">
        <f>RTD("tos.rtd", , "LAST", Main_M[[#This Row],[Symbol]])</f>
        <v>65.05</v>
      </c>
      <c r="E93">
        <v>3.31</v>
      </c>
      <c r="F93">
        <v>27.04</v>
      </c>
      <c r="G93">
        <v>3.42</v>
      </c>
      <c r="H93" s="1">
        <f>IF(ISNUMBER(Main_M[[#This Row],[Free CF]]),IF(Main_M[[#This Row],[Free CF]]&lt;&gt;0,Main_M[[#This Row],[Current Price]]/Main_M[[#This Row],[Free CF]],""),"")</f>
        <v>19.652567975830813</v>
      </c>
      <c r="I93" s="1">
        <f>IF(ISNUMBER(Main_M[[#This Row],[BVPS]]),IF(Main_M[[#This Row],[BVPS]]&lt;&gt;0,Main_M[[#This Row],[Current Price]]/Main_M[[#This Row],[BVPS]],""),"")</f>
        <v>2.4056952662721893</v>
      </c>
      <c r="J93">
        <v>13.59</v>
      </c>
      <c r="K93">
        <v>7.61</v>
      </c>
      <c r="L93">
        <v>1.37</v>
      </c>
      <c r="M93" s="1">
        <f>IF(ISNUMBER(Main_M[[#This Row],[EPS]]),IF(Main_M[[#This Row],[EPS]]&lt;&gt;0,Main_M[[#This Row],[Current Price]]/Main_M[[#This Row],[EPS]],""),"")</f>
        <v>19.020467836257311</v>
      </c>
      <c r="N9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3" s="1">
        <f>(Main_M[[#This Row],[P/FCF]]-VLOOKUP(Main_M[[#This Row],[Industry]], Mean_PFCF_M, 2, FALSE))/(VLOOKUP(Main_M[[#This Row],[Industry]], Mean_PFCF_M, 3, FALSE))</f>
        <v>0.37909312384037941</v>
      </c>
      <c r="P93" s="1">
        <f>(Main_M[[#This Row],[P/B]]-VLOOKUP(Main_M[[#This Row],[Industry]], Mean_PB_M, 2, FALSE))/(VLOOKUP(Main_M[[#This Row],[Industry]], Mean_PB_M, 3, FALSE))</f>
        <v>0.6883907167370793</v>
      </c>
      <c r="Q93" s="1">
        <f>(Main_M[[#This Row],[ROE]]-VLOOKUP(Main_M[[#This Row],[Industry]], Mean_ROE_M, 2, FALSE))/(VLOOKUP(Main_M[[#This Row],[Industry]], Mean_ROE_M, 3, FALSE))</f>
        <v>-0.28445765353267605</v>
      </c>
      <c r="R93" s="1">
        <f>(Main_M[[#This Row],[ROA]]-VLOOKUP(Main_M[[#This Row],[Industry]], Mean_ROA_M, 2, FALSE))/(VLOOKUP(Main_M[[#This Row],[Industry]], Mean_ROA_M, 3, FALSE))</f>
        <v>-0.36255938380634495</v>
      </c>
      <c r="S93" s="1">
        <f>(Main_M[[#This Row],[A/E]]-VLOOKUP(Main_M[[#This Row],[Industry]], Mean_AE_M, 2, FALSE))/(VLOOKUP(Main_M[[#This Row],[Industry]], Mean_AE_M, 3, FALSE))</f>
        <v>-0.84364908121920668</v>
      </c>
      <c r="T93" s="1">
        <f>(Main_M[[#This Row],[P/E]]-VLOOKUP(Main_M[[#This Row],[Industry]], Mean_PE_M, 2, FALSE))/(VLOOKUP(Main_M[[#This Row],[Industry]], Mean_PE_M, 3, FALSE))</f>
        <v>1.3060366281944107</v>
      </c>
      <c r="U9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4" spans="1:26" x14ac:dyDescent="0.25">
      <c r="A94" t="s">
        <v>108</v>
      </c>
      <c r="B94" t="s">
        <v>230</v>
      </c>
      <c r="C94" s="2">
        <v>4343</v>
      </c>
      <c r="D94">
        <f>RTD("tos.rtd", , "LAST", Main_M[[#This Row],[Symbol]])</f>
        <v>84.58</v>
      </c>
      <c r="E94">
        <v>10.47</v>
      </c>
      <c r="F94">
        <v>46.76</v>
      </c>
      <c r="G94">
        <v>0.13</v>
      </c>
      <c r="H94" s="1">
        <f>IF(ISNUMBER(Main_M[[#This Row],[Free CF]]),IF(Main_M[[#This Row],[Free CF]]&lt;&gt;0,Main_M[[#This Row],[Current Price]]/Main_M[[#This Row],[Free CF]],""),"")</f>
        <v>8.0783190066857689</v>
      </c>
      <c r="I94" s="1">
        <f>IF(ISNUMBER(Main_M[[#This Row],[BVPS]]),IF(Main_M[[#This Row],[BVPS]]&lt;&gt;0,Main_M[[#This Row],[Current Price]]/Main_M[[#This Row],[BVPS]],""),"")</f>
        <v>1.8088109495295124</v>
      </c>
      <c r="J94">
        <v>0.96</v>
      </c>
      <c r="K94">
        <v>3.42</v>
      </c>
      <c r="L94">
        <v>6.42</v>
      </c>
      <c r="M94" s="1">
        <f>IF(ISNUMBER(Main_M[[#This Row],[EPS]]),IF(Main_M[[#This Row],[EPS]]&lt;&gt;0,Main_M[[#This Row],[Current Price]]/Main_M[[#This Row],[EPS]],""),"")</f>
        <v>650.61538461538453</v>
      </c>
      <c r="N9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4" s="1">
        <f>(Main_M[[#This Row],[P/FCF]]-VLOOKUP(Main_M[[#This Row],[Industry]], Mean_PFCF_M, 2, FALSE))/(VLOOKUP(Main_M[[#This Row],[Industry]], Mean_PFCF_M, 3, FALSE))</f>
        <v>-1.2561011694787061</v>
      </c>
      <c r="P94" s="1">
        <f>(Main_M[[#This Row],[P/B]]-VLOOKUP(Main_M[[#This Row],[Industry]], Mean_PB_M, 2, FALSE))/(VLOOKUP(Main_M[[#This Row],[Industry]], Mean_PB_M, 3, FALSE))</f>
        <v>0.11980462909043901</v>
      </c>
      <c r="Q94" s="1">
        <f>(Main_M[[#This Row],[ROE]]-VLOOKUP(Main_M[[#This Row],[Industry]], Mean_ROE_M, 2, FALSE))/(VLOOKUP(Main_M[[#This Row],[Industry]], Mean_ROE_M, 3, FALSE))</f>
        <v>-1.7220604838453231</v>
      </c>
      <c r="R94" s="1">
        <f>(Main_M[[#This Row],[ROA]]-VLOOKUP(Main_M[[#This Row],[Industry]], Mean_ROA_M, 2, FALSE))/(VLOOKUP(Main_M[[#This Row],[Industry]], Mean_ROA_M, 3, FALSE))</f>
        <v>-1.9466301013752578</v>
      </c>
      <c r="S94" s="1">
        <f>(Main_M[[#This Row],[A/E]]-VLOOKUP(Main_M[[#This Row],[Industry]], Mean_AE_M, 2, FALSE))/(VLOOKUP(Main_M[[#This Row],[Industry]], Mean_AE_M, 3, FALSE))</f>
        <v>20.458490219565743</v>
      </c>
      <c r="T94" s="1">
        <f>(Main_M[[#This Row],[P/E]]-VLOOKUP(Main_M[[#This Row],[Industry]], Mean_PE_M, 2, FALSE))/(VLOOKUP(Main_M[[#This Row],[Industry]], Mean_PE_M, 3, FALSE))</f>
        <v>111.54059699057166</v>
      </c>
      <c r="U9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9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9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5" spans="1:26" x14ac:dyDescent="0.25">
      <c r="A95" t="s">
        <v>109</v>
      </c>
      <c r="B95" t="s">
        <v>233</v>
      </c>
      <c r="C95" s="2">
        <v>4010</v>
      </c>
      <c r="D95">
        <f>RTD("tos.rtd", , "LAST", Main_M[[#This Row],[Symbol]])</f>
        <v>72.400000000000006</v>
      </c>
      <c r="E95">
        <v>2.4900000000000002</v>
      </c>
      <c r="F95">
        <v>13.13</v>
      </c>
      <c r="G95">
        <v>3.61</v>
      </c>
      <c r="H95" s="1">
        <f>IF(ISNUMBER(Main_M[[#This Row],[Free CF]]),IF(Main_M[[#This Row],[Free CF]]&lt;&gt;0,Main_M[[#This Row],[Current Price]]/Main_M[[#This Row],[Free CF]],""),"")</f>
        <v>29.076305220883533</v>
      </c>
      <c r="I95" s="1">
        <f>IF(ISNUMBER(Main_M[[#This Row],[BVPS]]),IF(Main_M[[#This Row],[BVPS]]&lt;&gt;0,Main_M[[#This Row],[Current Price]]/Main_M[[#This Row],[BVPS]],""),"")</f>
        <v>5.5140898705255141</v>
      </c>
      <c r="J95">
        <v>25.25</v>
      </c>
      <c r="K95">
        <v>7.73</v>
      </c>
      <c r="L95">
        <v>3.08</v>
      </c>
      <c r="M95" s="1">
        <f>IF(ISNUMBER(Main_M[[#This Row],[EPS]]),IF(Main_M[[#This Row],[EPS]]&lt;&gt;0,Main_M[[#This Row],[Current Price]]/Main_M[[#This Row],[EPS]],""),"")</f>
        <v>20.055401662049864</v>
      </c>
      <c r="N9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5" s="1">
        <f>(Main_M[[#This Row],[P/FCF]]-VLOOKUP(Main_M[[#This Row],[Industry]], Mean_PFCF_M, 2, FALSE))/(VLOOKUP(Main_M[[#This Row],[Industry]], Mean_PFCF_M, 3, FALSE))</f>
        <v>8.0788167387210024</v>
      </c>
      <c r="P95" s="1">
        <f>(Main_M[[#This Row],[P/B]]-VLOOKUP(Main_M[[#This Row],[Industry]], Mean_PB_M, 2, FALSE))/(VLOOKUP(Main_M[[#This Row],[Industry]], Mean_PB_M, 3, FALSE))</f>
        <v>0.33336716541773875</v>
      </c>
      <c r="Q95" s="1">
        <f>(Main_M[[#This Row],[ROE]]-VLOOKUP(Main_M[[#This Row],[Industry]], Mean_ROE_M, 2, FALSE))/(VLOOKUP(Main_M[[#This Row],[Industry]], Mean_ROE_M, 3, FALSE))</f>
        <v>0.24806962111443842</v>
      </c>
      <c r="R95" s="1">
        <f>(Main_M[[#This Row],[ROA]]-VLOOKUP(Main_M[[#This Row],[Industry]], Mean_ROA_M, 2, FALSE))/(VLOOKUP(Main_M[[#This Row],[Industry]], Mean_ROA_M, 3, FALSE))</f>
        <v>0.44798061118548299</v>
      </c>
      <c r="S95" s="1">
        <f>(Main_M[[#This Row],[A/E]]-VLOOKUP(Main_M[[#This Row],[Industry]], Mean_AE_M, 2, FALSE))/(VLOOKUP(Main_M[[#This Row],[Industry]], Mean_AE_M, 3, FALSE))</f>
        <v>-8.7993657080910934E-2</v>
      </c>
      <c r="T95" s="1">
        <f>(Main_M[[#This Row],[P/E]]-VLOOKUP(Main_M[[#This Row],[Industry]], Mean_PE_M, 2, FALSE))/(VLOOKUP(Main_M[[#This Row],[Industry]], Mean_PE_M, 3, FALSE))</f>
        <v>-0.12686852923996356</v>
      </c>
      <c r="U9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9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6" spans="1:26" x14ac:dyDescent="0.25">
      <c r="A96" t="s">
        <v>109</v>
      </c>
      <c r="B96" t="s">
        <v>234</v>
      </c>
      <c r="C96" s="2">
        <v>9348</v>
      </c>
      <c r="D96">
        <f>RTD("tos.rtd", , "LAST", Main_M[[#This Row],[Symbol]])</f>
        <v>67.569999999999993</v>
      </c>
      <c r="E96">
        <v>4.3899999999999997</v>
      </c>
      <c r="F96">
        <v>8.35</v>
      </c>
      <c r="G96">
        <v>3.03</v>
      </c>
      <c r="H96" s="1">
        <f>IF(ISNUMBER(Main_M[[#This Row],[Free CF]]),IF(Main_M[[#This Row],[Free CF]]&lt;&gt;0,Main_M[[#This Row],[Current Price]]/Main_M[[#This Row],[Free CF]],""),"")</f>
        <v>15.391799544419134</v>
      </c>
      <c r="I96" s="1">
        <f>IF(ISNUMBER(Main_M[[#This Row],[BVPS]]),IF(Main_M[[#This Row],[BVPS]]&lt;&gt;0,Main_M[[#This Row],[Current Price]]/Main_M[[#This Row],[BVPS]],""),"")</f>
        <v>8.0922155688622741</v>
      </c>
      <c r="J96">
        <v>39.04</v>
      </c>
      <c r="K96">
        <v>8.7100000000000009</v>
      </c>
      <c r="L96">
        <v>5.16</v>
      </c>
      <c r="M96" s="1">
        <f>IF(ISNUMBER(Main_M[[#This Row],[EPS]]),IF(Main_M[[#This Row],[EPS]]&lt;&gt;0,Main_M[[#This Row],[Current Price]]/Main_M[[#This Row],[EPS]],""),"")</f>
        <v>22.300330033003299</v>
      </c>
      <c r="N9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6" s="1">
        <f>(Main_M[[#This Row],[P/FCF]]-VLOOKUP(Main_M[[#This Row],[Industry]], Mean_PFCF_M, 2, FALSE))/(VLOOKUP(Main_M[[#This Row],[Industry]], Mean_PFCF_M, 3, FALSE))</f>
        <v>1.5769320579207586</v>
      </c>
      <c r="P96" s="1">
        <f>(Main_M[[#This Row],[P/B]]-VLOOKUP(Main_M[[#This Row],[Industry]], Mean_PB_M, 2, FALSE))/(VLOOKUP(Main_M[[#This Row],[Industry]], Mean_PB_M, 3, FALSE))</f>
        <v>1.2088600738592219</v>
      </c>
      <c r="Q96" s="1">
        <f>(Main_M[[#This Row],[ROE]]-VLOOKUP(Main_M[[#This Row],[Industry]], Mean_ROE_M, 2, FALSE))/(VLOOKUP(Main_M[[#This Row],[Industry]], Mean_ROE_M, 3, FALSE))</f>
        <v>1.4335883225589123</v>
      </c>
      <c r="R96" s="1">
        <f>(Main_M[[#This Row],[ROA]]-VLOOKUP(Main_M[[#This Row],[Industry]], Mean_ROA_M, 2, FALSE))/(VLOOKUP(Main_M[[#This Row],[Industry]], Mean_ROA_M, 3, FALSE))</f>
        <v>0.70826974100471607</v>
      </c>
      <c r="S96" s="1">
        <f>(Main_M[[#This Row],[A/E]]-VLOOKUP(Main_M[[#This Row],[Industry]], Mean_AE_M, 2, FALSE))/(VLOOKUP(Main_M[[#This Row],[Industry]], Mean_AE_M, 3, FALSE))</f>
        <v>1.6914336305552897</v>
      </c>
      <c r="T96" s="1">
        <f>(Main_M[[#This Row],[P/E]]-VLOOKUP(Main_M[[#This Row],[Industry]], Mean_PE_M, 2, FALSE))/(VLOOKUP(Main_M[[#This Row],[Industry]], Mean_PE_M, 3, FALSE))</f>
        <v>0.14072463575988037</v>
      </c>
      <c r="U9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7" spans="1:26" x14ac:dyDescent="0.25">
      <c r="A97" t="s">
        <v>109</v>
      </c>
      <c r="B97" t="s">
        <v>237</v>
      </c>
      <c r="C97" s="2">
        <v>2531</v>
      </c>
      <c r="D97">
        <f>RTD("tos.rtd", , "LAST", Main_M[[#This Row],[Symbol]])</f>
        <v>32.25</v>
      </c>
      <c r="E97">
        <v>2.33</v>
      </c>
      <c r="F97">
        <v>9.23</v>
      </c>
      <c r="G97">
        <v>2.08</v>
      </c>
      <c r="H97" s="1">
        <f>IF(ISNUMBER(Main_M[[#This Row],[Free CF]]),IF(Main_M[[#This Row],[Free CF]]&lt;&gt;0,Main_M[[#This Row],[Current Price]]/Main_M[[#This Row],[Free CF]],""),"")</f>
        <v>13.841201716738198</v>
      </c>
      <c r="I97" s="1">
        <f>IF(ISNUMBER(Main_M[[#This Row],[BVPS]]),IF(Main_M[[#This Row],[BVPS]]&lt;&gt;0,Main_M[[#This Row],[Current Price]]/Main_M[[#This Row],[BVPS]],""),"")</f>
        <v>3.4940411700975078</v>
      </c>
      <c r="J97">
        <v>25.01</v>
      </c>
      <c r="K97">
        <v>12.68</v>
      </c>
      <c r="L97">
        <v>1.62</v>
      </c>
      <c r="M97" s="1">
        <f>IF(ISNUMBER(Main_M[[#This Row],[EPS]]),IF(Main_M[[#This Row],[EPS]]&lt;&gt;0,Main_M[[#This Row],[Current Price]]/Main_M[[#This Row],[EPS]],""),"")</f>
        <v>15.504807692307692</v>
      </c>
      <c r="N9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7" s="1">
        <f>(Main_M[[#This Row],[P/FCF]]-VLOOKUP(Main_M[[#This Row],[Industry]], Mean_PFCF_M, 2, FALSE))/(VLOOKUP(Main_M[[#This Row],[Industry]], Mean_PFCF_M, 3, FALSE))</f>
        <v>0.84020042140865281</v>
      </c>
      <c r="P97" s="1">
        <f>(Main_M[[#This Row],[P/B]]-VLOOKUP(Main_M[[#This Row],[Industry]], Mean_PB_M, 2, FALSE))/(VLOOKUP(Main_M[[#This Row],[Industry]], Mean_PB_M, 3, FALSE))</f>
        <v>-0.35261114552035877</v>
      </c>
      <c r="Q97" s="1">
        <f>(Main_M[[#This Row],[ROE]]-VLOOKUP(Main_M[[#This Row],[Industry]], Mean_ROE_M, 2, FALSE))/(VLOOKUP(Main_M[[#This Row],[Industry]], Mean_ROE_M, 3, FALSE))</f>
        <v>0.22743695335905975</v>
      </c>
      <c r="R97" s="1">
        <f>(Main_M[[#This Row],[ROA]]-VLOOKUP(Main_M[[#This Row],[Industry]], Mean_ROA_M, 2, FALSE))/(VLOOKUP(Main_M[[#This Row],[Industry]], Mean_ROA_M, 3, FALSE))</f>
        <v>1.7627063179254858</v>
      </c>
      <c r="S97" s="1">
        <f>(Main_M[[#This Row],[A/E]]-VLOOKUP(Main_M[[#This Row],[Industry]], Mean_AE_M, 2, FALSE))/(VLOOKUP(Main_M[[#This Row],[Industry]], Mean_AE_M, 3, FALSE))</f>
        <v>-1.3370147339793979</v>
      </c>
      <c r="T97" s="1">
        <f>(Main_M[[#This Row],[P/E]]-VLOOKUP(Main_M[[#This Row],[Industry]], Mean_PE_M, 2, FALSE))/(VLOOKUP(Main_M[[#This Row],[Industry]], Mean_PE_M, 3, FALSE))</f>
        <v>-0.66929467465650694</v>
      </c>
      <c r="U9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8" spans="1:26" x14ac:dyDescent="0.25">
      <c r="A98" t="s">
        <v>109</v>
      </c>
      <c r="B98" t="s">
        <v>232</v>
      </c>
      <c r="C98" s="2">
        <v>3213</v>
      </c>
      <c r="D98">
        <f>RTD("tos.rtd", , "LAST", Main_M[[#This Row],[Symbol]])</f>
        <v>47.18</v>
      </c>
      <c r="E98">
        <v>4.04</v>
      </c>
      <c r="F98">
        <v>4.6100000000000003</v>
      </c>
      <c r="G98">
        <v>1.79</v>
      </c>
      <c r="H98" s="1">
        <f>IF(ISNUMBER(Main_M[[#This Row],[Free CF]]),IF(Main_M[[#This Row],[Free CF]]&lt;&gt;0,Main_M[[#This Row],[Current Price]]/Main_M[[#This Row],[Free CF]],""),"")</f>
        <v>11.678217821782178</v>
      </c>
      <c r="I98" s="1">
        <f>IF(ISNUMBER(Main_M[[#This Row],[BVPS]]),IF(Main_M[[#This Row],[BVPS]]&lt;&gt;0,Main_M[[#This Row],[Current Price]]/Main_M[[#This Row],[BVPS]],""),"")</f>
        <v>10.234273318872017</v>
      </c>
      <c r="J98">
        <v>32.25</v>
      </c>
      <c r="K98">
        <v>5.13</v>
      </c>
      <c r="L98">
        <v>13.67</v>
      </c>
      <c r="M98" s="1">
        <f>IF(ISNUMBER(Main_M[[#This Row],[EPS]]),IF(Main_M[[#This Row],[EPS]]&lt;&gt;0,Main_M[[#This Row],[Current Price]]/Main_M[[#This Row],[EPS]],""),"")</f>
        <v>26.35754189944134</v>
      </c>
      <c r="N9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8" s="1">
        <f>(Main_M[[#This Row],[P/FCF]]-VLOOKUP(Main_M[[#This Row],[Industry]], Mean_PFCF_M, 2, FALSE))/(VLOOKUP(Main_M[[#This Row],[Industry]], Mean_PFCF_M, 3, FALSE))</f>
        <v>-0.18749266330536485</v>
      </c>
      <c r="P98" s="1">
        <f>(Main_M[[#This Row],[P/B]]-VLOOKUP(Main_M[[#This Row],[Industry]], Mean_PB_M, 2, FALSE))/(VLOOKUP(Main_M[[#This Row],[Industry]], Mean_PB_M, 3, FALSE))</f>
        <v>1.9362708323088615</v>
      </c>
      <c r="Q98" s="1">
        <f>(Main_M[[#This Row],[ROE]]-VLOOKUP(Main_M[[#This Row],[Industry]], Mean_ROE_M, 2, FALSE))/(VLOOKUP(Main_M[[#This Row],[Industry]], Mean_ROE_M, 3, FALSE))</f>
        <v>0.84985576397965368</v>
      </c>
      <c r="R98" s="1">
        <f>(Main_M[[#This Row],[ROA]]-VLOOKUP(Main_M[[#This Row],[Industry]], Mean_ROA_M, 2, FALSE))/(VLOOKUP(Main_M[[#This Row],[Industry]], Mean_ROA_M, 3, FALSE))</f>
        <v>-0.24258238629411474</v>
      </c>
      <c r="S98" s="1">
        <f>(Main_M[[#This Row],[A/E]]-VLOOKUP(Main_M[[#This Row],[Industry]], Mean_AE_M, 2, FALSE))/(VLOOKUP(Main_M[[#This Row],[Industry]], Mean_AE_M, 3, FALSE))</f>
        <v>8.9716866198745517</v>
      </c>
      <c r="T98" s="1">
        <f>(Main_M[[#This Row],[P/E]]-VLOOKUP(Main_M[[#This Row],[Industry]], Mean_PE_M, 2, FALSE))/(VLOOKUP(Main_M[[#This Row],[Industry]], Mean_PE_M, 3, FALSE))</f>
        <v>0.62434013924874388</v>
      </c>
      <c r="U9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9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9" spans="1:26" x14ac:dyDescent="0.25">
      <c r="A99" t="s">
        <v>109</v>
      </c>
      <c r="B99" t="s">
        <v>235</v>
      </c>
      <c r="C99" s="2">
        <v>6116</v>
      </c>
      <c r="D99">
        <f>RTD("tos.rtd", , "LAST", Main_M[[#This Row],[Symbol]])</f>
        <v>19.059999999999999</v>
      </c>
      <c r="E99">
        <v>1.73</v>
      </c>
      <c r="F99">
        <v>6.19</v>
      </c>
      <c r="G99">
        <v>1.57</v>
      </c>
      <c r="H99" s="1">
        <f>IF(ISNUMBER(Main_M[[#This Row],[Free CF]]),IF(Main_M[[#This Row],[Free CF]]&lt;&gt;0,Main_M[[#This Row],[Current Price]]/Main_M[[#This Row],[Free CF]],""),"")</f>
        <v>11.017341040462426</v>
      </c>
      <c r="I99" s="1">
        <f>IF(ISNUMBER(Main_M[[#This Row],[BVPS]]),IF(Main_M[[#This Row],[BVPS]]&lt;&gt;0,Main_M[[#This Row],[Current Price]]/Main_M[[#This Row],[BVPS]],""),"")</f>
        <v>3.0791599353796442</v>
      </c>
      <c r="J99">
        <v>25.5</v>
      </c>
      <c r="K99">
        <v>7.52</v>
      </c>
      <c r="L99">
        <v>2.91</v>
      </c>
      <c r="M99" s="1">
        <f>IF(ISNUMBER(Main_M[[#This Row],[EPS]]),IF(Main_M[[#This Row],[EPS]]&lt;&gt;0,Main_M[[#This Row],[Current Price]]/Main_M[[#This Row],[EPS]],""),"")</f>
        <v>12.140127388535031</v>
      </c>
      <c r="N9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99" s="1">
        <f>(Main_M[[#This Row],[P/FCF]]-VLOOKUP(Main_M[[#This Row],[Industry]], Mean_PFCF_M, 2, FALSE))/(VLOOKUP(Main_M[[#This Row],[Industry]], Mean_PFCF_M, 3, FALSE))</f>
        <v>-0.5014933822169485</v>
      </c>
      <c r="P99" s="1">
        <f>(Main_M[[#This Row],[P/B]]-VLOOKUP(Main_M[[#This Row],[Industry]], Mean_PB_M, 2, FALSE))/(VLOOKUP(Main_M[[#This Row],[Industry]], Mean_PB_M, 3, FALSE))</f>
        <v>-0.49349860460556388</v>
      </c>
      <c r="Q99" s="1">
        <f>(Main_M[[#This Row],[ROE]]-VLOOKUP(Main_M[[#This Row],[Industry]], Mean_ROE_M, 2, FALSE))/(VLOOKUP(Main_M[[#This Row],[Industry]], Mean_ROE_M, 3, FALSE))</f>
        <v>0.26956198335962467</v>
      </c>
      <c r="R99" s="1">
        <f>(Main_M[[#This Row],[ROA]]-VLOOKUP(Main_M[[#This Row],[Industry]], Mean_ROA_M, 2, FALSE))/(VLOOKUP(Main_M[[#This Row],[Industry]], Mean_ROA_M, 3, FALSE))</f>
        <v>0.39220436908136141</v>
      </c>
      <c r="S99" s="1">
        <f>(Main_M[[#This Row],[A/E]]-VLOOKUP(Main_M[[#This Row],[Industry]], Mean_AE_M, 2, FALSE))/(VLOOKUP(Main_M[[#This Row],[Industry]], Mean_AE_M, 3, FALSE))</f>
        <v>-0.2334276180896388</v>
      </c>
      <c r="T99" s="1">
        <f>(Main_M[[#This Row],[P/E]]-VLOOKUP(Main_M[[#This Row],[Industry]], Mean_PE_M, 2, FALSE))/(VLOOKUP(Main_M[[#This Row],[Industry]], Mean_PE_M, 3, FALSE))</f>
        <v>-1.0703611244144438</v>
      </c>
      <c r="U9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0" spans="1:26" x14ac:dyDescent="0.25">
      <c r="A100" t="s">
        <v>109</v>
      </c>
      <c r="B100" t="s">
        <v>231</v>
      </c>
      <c r="C100" s="2">
        <v>3325</v>
      </c>
      <c r="D100">
        <f>RTD("tos.rtd", , "LAST", Main_M[[#This Row],[Symbol]])</f>
        <v>57.22</v>
      </c>
      <c r="E100">
        <v>6.09</v>
      </c>
      <c r="F100">
        <v>28.47</v>
      </c>
      <c r="G100">
        <v>1.5</v>
      </c>
      <c r="H100" s="1">
        <f>IF(ISNUMBER(Main_M[[#This Row],[Free CF]]),IF(Main_M[[#This Row],[Free CF]]&lt;&gt;0,Main_M[[#This Row],[Current Price]]/Main_M[[#This Row],[Free CF]],""),"")</f>
        <v>9.3957307060755344</v>
      </c>
      <c r="I100" s="1">
        <f>IF(ISNUMBER(Main_M[[#This Row],[BVPS]]),IF(Main_M[[#This Row],[BVPS]]&lt;&gt;0,Main_M[[#This Row],[Current Price]]/Main_M[[#This Row],[BVPS]],""),"")</f>
        <v>2.0098349139445029</v>
      </c>
      <c r="J100">
        <v>5.16</v>
      </c>
      <c r="K100">
        <v>3.69</v>
      </c>
      <c r="L100">
        <v>3.13</v>
      </c>
      <c r="M100" s="1">
        <f>IF(ISNUMBER(Main_M[[#This Row],[EPS]]),IF(Main_M[[#This Row],[EPS]]&lt;&gt;0,Main_M[[#This Row],[Current Price]]/Main_M[[#This Row],[EPS]],""),"")</f>
        <v>38.146666666666668</v>
      </c>
      <c r="N10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0" s="1">
        <f>(Main_M[[#This Row],[P/FCF]]-VLOOKUP(Main_M[[#This Row],[Industry]], Mean_PFCF_M, 2, FALSE))/(VLOOKUP(Main_M[[#This Row],[Industry]], Mean_PFCF_M, 3, FALSE))</f>
        <v>-1.2719650120041321</v>
      </c>
      <c r="P100" s="1">
        <f>(Main_M[[#This Row],[P/B]]-VLOOKUP(Main_M[[#This Row],[Industry]], Mean_PB_M, 2, FALSE))/(VLOOKUP(Main_M[[#This Row],[Industry]], Mean_PB_M, 3, FALSE))</f>
        <v>-0.85662538065433069</v>
      </c>
      <c r="Q100" s="1">
        <f>(Main_M[[#This Row],[ROE]]-VLOOKUP(Main_M[[#This Row],[Industry]], Mean_ROE_M, 2, FALSE))/(VLOOKUP(Main_M[[#This Row],[Industry]], Mean_ROE_M, 3, FALSE))</f>
        <v>-1.4790566089087294</v>
      </c>
      <c r="R100" s="1">
        <f>(Main_M[[#This Row],[ROA]]-VLOOKUP(Main_M[[#This Row],[Industry]], Mean_ROA_M, 2, FALSE))/(VLOOKUP(Main_M[[#This Row],[Industry]], Mean_ROA_M, 3, FALSE))</f>
        <v>-0.62504804643666112</v>
      </c>
      <c r="S100" s="1">
        <f>(Main_M[[#This Row],[A/E]]-VLOOKUP(Main_M[[#This Row],[Industry]], Mean_AE_M, 2, FALSE))/(VLOOKUP(Main_M[[#This Row],[Industry]], Mean_AE_M, 3, FALSE))</f>
        <v>-4.5218962666579342E-2</v>
      </c>
      <c r="T100" s="1">
        <f>(Main_M[[#This Row],[P/E]]-VLOOKUP(Main_M[[#This Row],[Industry]], Mean_PE_M, 2, FALSE))/(VLOOKUP(Main_M[[#This Row],[Industry]], Mean_PE_M, 3, FALSE))</f>
        <v>2.0295917498825649</v>
      </c>
      <c r="U10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1" spans="1:26" x14ac:dyDescent="0.25">
      <c r="A101" t="s">
        <v>109</v>
      </c>
      <c r="B101" t="s">
        <v>476</v>
      </c>
      <c r="C101" s="2">
        <v>2765</v>
      </c>
      <c r="D101">
        <f>RTD("tos.rtd", , "LAST", Main_M[[#This Row],[Symbol]])</f>
        <v>13.6</v>
      </c>
      <c r="E101">
        <v>1.51</v>
      </c>
      <c r="F101">
        <v>7.05</v>
      </c>
      <c r="G101">
        <v>1.02</v>
      </c>
      <c r="H101" s="1">
        <f>IF(ISNUMBER(Main_M[[#This Row],[Free CF]]),IF(Main_M[[#This Row],[Free CF]]&lt;&gt;0,Main_M[[#This Row],[Current Price]]/Main_M[[#This Row],[Free CF]],""),"")</f>
        <v>9.0066225165562912</v>
      </c>
      <c r="I101" s="1">
        <f>IF(ISNUMBER(Main_M[[#This Row],[BVPS]]),IF(Main_M[[#This Row],[BVPS]]&lt;&gt;0,Main_M[[#This Row],[Current Price]]/Main_M[[#This Row],[BVPS]],""),"")</f>
        <v>1.9290780141843971</v>
      </c>
      <c r="J101">
        <v>14.34</v>
      </c>
      <c r="K101">
        <v>7.51</v>
      </c>
      <c r="L101">
        <v>1.94</v>
      </c>
      <c r="M101" s="1">
        <f>IF(ISNUMBER(Main_M[[#This Row],[EPS]]),IF(Main_M[[#This Row],[EPS]]&lt;&gt;0,Main_M[[#This Row],[Current Price]]/Main_M[[#This Row],[EPS]],""),"")</f>
        <v>13.333333333333332</v>
      </c>
      <c r="N10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01" s="1">
        <f>(Main_M[[#This Row],[P/FCF]]-VLOOKUP(Main_M[[#This Row],[Industry]], Mean_PFCF_M, 2, FALSE))/(VLOOKUP(Main_M[[#This Row],[Industry]], Mean_PFCF_M, 3, FALSE))</f>
        <v>-1.4568410050741816</v>
      </c>
      <c r="P101" s="1">
        <f>(Main_M[[#This Row],[P/B]]-VLOOKUP(Main_M[[#This Row],[Industry]], Mean_PB_M, 2, FALSE))/(VLOOKUP(Main_M[[#This Row],[Industry]], Mean_PB_M, 3, FALSE))</f>
        <v>-0.88404921537786829</v>
      </c>
      <c r="Q101" s="1">
        <f>(Main_M[[#This Row],[ROE]]-VLOOKUP(Main_M[[#This Row],[Industry]], Mean_ROE_M, 2, FALSE))/(VLOOKUP(Main_M[[#This Row],[Industry]], Mean_ROE_M, 3, FALSE))</f>
        <v>-0.6898570672654899</v>
      </c>
      <c r="R101" s="1">
        <f>(Main_M[[#This Row],[ROA]]-VLOOKUP(Main_M[[#This Row],[Industry]], Mean_ROA_M, 2, FALSE))/(VLOOKUP(Main_M[[#This Row],[Industry]], Mean_ROA_M, 3, FALSE))</f>
        <v>0.38954835755259376</v>
      </c>
      <c r="S101" s="1">
        <f>(Main_M[[#This Row],[A/E]]-VLOOKUP(Main_M[[#This Row],[Industry]], Mean_AE_M, 2, FALSE))/(VLOOKUP(Main_M[[#This Row],[Industry]], Mean_AE_M, 3, FALSE))</f>
        <v>-1.0632566897276747</v>
      </c>
      <c r="T101" s="1">
        <f>(Main_M[[#This Row],[P/E]]-VLOOKUP(Main_M[[#This Row],[Industry]], Mean_PE_M, 2, FALSE))/(VLOOKUP(Main_M[[#This Row],[Industry]], Mean_PE_M, 3, FALSE))</f>
        <v>-0.92813219658027835</v>
      </c>
      <c r="U10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2" spans="1:26" x14ac:dyDescent="0.25">
      <c r="A102" t="s">
        <v>109</v>
      </c>
      <c r="B102" t="s">
        <v>351</v>
      </c>
      <c r="C102" s="2">
        <v>2204</v>
      </c>
      <c r="D102">
        <f>RTD("tos.rtd", , "LAST", Main_M[[#This Row],[Symbol]])</f>
        <v>41.6</v>
      </c>
      <c r="E102">
        <v>2.99</v>
      </c>
      <c r="F102">
        <v>21.82</v>
      </c>
      <c r="G102">
        <v>0.71</v>
      </c>
      <c r="H102" s="1">
        <f>IF(ISNUMBER(Main_M[[#This Row],[Free CF]]),IF(Main_M[[#This Row],[Free CF]]&lt;&gt;0,Main_M[[#This Row],[Current Price]]/Main_M[[#This Row],[Free CF]],""),"")</f>
        <v>13.913043478260869</v>
      </c>
      <c r="I102" s="1">
        <f>IF(ISNUMBER(Main_M[[#This Row],[BVPS]]),IF(Main_M[[#This Row],[BVPS]]&lt;&gt;0,Main_M[[#This Row],[Current Price]]/Main_M[[#This Row],[BVPS]],""),"")</f>
        <v>1.9065077910174153</v>
      </c>
      <c r="J102">
        <v>3.11</v>
      </c>
      <c r="K102">
        <v>2.44</v>
      </c>
      <c r="L102">
        <v>4.4400000000000004</v>
      </c>
      <c r="M102" s="1">
        <f>IF(ISNUMBER(Main_M[[#This Row],[EPS]]),IF(Main_M[[#This Row],[EPS]]&lt;&gt;0,Main_M[[#This Row],[Current Price]]/Main_M[[#This Row],[EPS]],""),"")</f>
        <v>58.591549295774655</v>
      </c>
      <c r="N10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2" s="1">
        <f>(Main_M[[#This Row],[P/FCF]]-VLOOKUP(Main_M[[#This Row],[Industry]], Mean_PFCF_M, 2, FALSE))/(VLOOKUP(Main_M[[#This Row],[Industry]], Mean_PFCF_M, 3, FALSE))</f>
        <v>0.87433441643408716</v>
      </c>
      <c r="P102" s="1">
        <f>(Main_M[[#This Row],[P/B]]-VLOOKUP(Main_M[[#This Row],[Industry]], Mean_PB_M, 2, FALSE))/(VLOOKUP(Main_M[[#This Row],[Industry]], Mean_PB_M, 3, FALSE))</f>
        <v>-0.891713725427701</v>
      </c>
      <c r="Q102" s="1">
        <f>(Main_M[[#This Row],[ROE]]-VLOOKUP(Main_M[[#This Row],[Industry]], Mean_ROE_M, 2, FALSE))/(VLOOKUP(Main_M[[#This Row],[Industry]], Mean_ROE_M, 3, FALSE))</f>
        <v>-1.6552939793192567</v>
      </c>
      <c r="R102" s="1">
        <f>(Main_M[[#This Row],[ROA]]-VLOOKUP(Main_M[[#This Row],[Industry]], Mean_ROA_M, 2, FALSE))/(VLOOKUP(Main_M[[#This Row],[Industry]], Mean_ROA_M, 3, FALSE))</f>
        <v>-0.95704948753262153</v>
      </c>
      <c r="S102" s="1">
        <f>(Main_M[[#This Row],[A/E]]-VLOOKUP(Main_M[[#This Row],[Industry]], Mean_AE_M, 2, FALSE))/(VLOOKUP(Main_M[[#This Row],[Industry]], Mean_AE_M, 3, FALSE))</f>
        <v>1.0754780309889129</v>
      </c>
      <c r="T102" s="1">
        <f>(Main_M[[#This Row],[P/E]]-VLOOKUP(Main_M[[#This Row],[Industry]], Mean_PE_M, 2, FALSE))/(VLOOKUP(Main_M[[#This Row],[Industry]], Mean_PE_M, 3, FALSE))</f>
        <v>4.466600841825132</v>
      </c>
      <c r="U10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3" spans="1:26" x14ac:dyDescent="0.25">
      <c r="A103" t="s">
        <v>109</v>
      </c>
      <c r="B103" t="s">
        <v>236</v>
      </c>
      <c r="C103" s="2">
        <v>2830</v>
      </c>
      <c r="D103">
        <f>RTD("tos.rtd", , "LAST", Main_M[[#This Row],[Symbol]])</f>
        <v>7.65</v>
      </c>
      <c r="E103">
        <v>0.62</v>
      </c>
      <c r="F103">
        <v>-1.23</v>
      </c>
      <c r="G103">
        <v>-0.45</v>
      </c>
      <c r="H103" s="1">
        <f>IF(ISNUMBER(Main_M[[#This Row],[Free CF]]),IF(Main_M[[#This Row],[Free CF]]&lt;&gt;0,Main_M[[#This Row],[Current Price]]/Main_M[[#This Row],[Free CF]],""),"")</f>
        <v>12.338709677419356</v>
      </c>
      <c r="I103" s="1">
        <f>IF(ISNUMBER(Main_M[[#This Row],[BVPS]]),IF(Main_M[[#This Row],[BVPS]]&lt;&gt;0,Main_M[[#This Row],[Current Price]]/Main_M[[#This Row],[BVPS]],""),"")</f>
        <v>-6.2195121951219514</v>
      </c>
      <c r="J103">
        <v>31.62</v>
      </c>
      <c r="K103">
        <v>-1.02</v>
      </c>
      <c r="L103">
        <v>-4.2</v>
      </c>
      <c r="M103" s="1">
        <f>IF(ISNUMBER(Main_M[[#This Row],[EPS]]),IF(Main_M[[#This Row],[EPS]]&lt;&gt;0,Main_M[[#This Row],[Current Price]]/Main_M[[#This Row],[EPS]],""),"")</f>
        <v>-17</v>
      </c>
      <c r="N10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3" s="1">
        <f>(Main_M[[#This Row],[P/FCF]]-VLOOKUP(Main_M[[#This Row],[Industry]], Mean_PFCF_M, 2, FALSE))/(VLOOKUP(Main_M[[#This Row],[Industry]], Mean_PFCF_M, 3, FALSE))</f>
        <v>0.12632516683712847</v>
      </c>
      <c r="P103" s="1">
        <f>(Main_M[[#This Row],[P/B]]-VLOOKUP(Main_M[[#This Row],[Industry]], Mean_PB_M, 2, FALSE))/(VLOOKUP(Main_M[[#This Row],[Industry]], Mean_PB_M, 3, FALSE))</f>
        <v>-3.6511885160899427</v>
      </c>
      <c r="Q103" s="1">
        <f>(Main_M[[#This Row],[ROE]]-VLOOKUP(Main_M[[#This Row],[Industry]], Mean_ROE_M, 2, FALSE))/(VLOOKUP(Main_M[[#This Row],[Industry]], Mean_ROE_M, 3, FALSE))</f>
        <v>0.79569501112178442</v>
      </c>
      <c r="R103" s="1">
        <f>(Main_M[[#This Row],[ROA]]-VLOOKUP(Main_M[[#This Row],[Industry]], Mean_ROA_M, 2, FALSE))/(VLOOKUP(Main_M[[#This Row],[Industry]], Mean_ROA_M, 3, FALSE))</f>
        <v>-1.87602947648624</v>
      </c>
      <c r="S103" s="1">
        <f>(Main_M[[#This Row],[A/E]]-VLOOKUP(Main_M[[#This Row],[Industry]], Mean_AE_M, 2, FALSE))/(VLOOKUP(Main_M[[#This Row],[Industry]], Mean_AE_M, 3, FALSE))</f>
        <v>-6.3159891638076129</v>
      </c>
      <c r="T103" s="1">
        <f>(Main_M[[#This Row],[P/E]]-VLOOKUP(Main_M[[#This Row],[Industry]], Mean_PE_M, 2, FALSE))/(VLOOKUP(Main_M[[#This Row],[Industry]], Mean_PE_M, 3, FALSE))</f>
        <v>-4.5438344954534466</v>
      </c>
      <c r="U10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0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4" spans="1:26" x14ac:dyDescent="0.25">
      <c r="A104" t="s">
        <v>115</v>
      </c>
      <c r="B104" t="s">
        <v>314</v>
      </c>
      <c r="C104" s="2">
        <v>5483</v>
      </c>
      <c r="D104">
        <f>RTD("tos.rtd", , "LAST", Main_M[[#This Row],[Symbol]])</f>
        <v>430.89</v>
      </c>
      <c r="E104">
        <v>24.6</v>
      </c>
      <c r="F104">
        <v>234.33</v>
      </c>
      <c r="G104">
        <v>35.53</v>
      </c>
      <c r="H104" s="1">
        <f>IF(ISNUMBER(Main_M[[#This Row],[Free CF]]),IF(Main_M[[#This Row],[Free CF]]&lt;&gt;0,Main_M[[#This Row],[Current Price]]/Main_M[[#This Row],[Free CF]],""),"")</f>
        <v>17.515853658536585</v>
      </c>
      <c r="I104" s="1">
        <f>IF(ISNUMBER(Main_M[[#This Row],[BVPS]]),IF(Main_M[[#This Row],[BVPS]]&lt;&gt;0,Main_M[[#This Row],[Current Price]]/Main_M[[#This Row],[BVPS]],""),"")</f>
        <v>1.8388170528741516</v>
      </c>
      <c r="J104">
        <v>16.559999999999999</v>
      </c>
      <c r="K104">
        <v>6.63</v>
      </c>
      <c r="L104">
        <v>3.3</v>
      </c>
      <c r="M104" s="1">
        <f>IF(ISNUMBER(Main_M[[#This Row],[EPS]]),IF(Main_M[[#This Row],[EPS]]&lt;&gt;0,Main_M[[#This Row],[Current Price]]/Main_M[[#This Row],[EPS]],""),"")</f>
        <v>12.127497889107795</v>
      </c>
      <c r="N10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4" s="1">
        <f>(Main_M[[#This Row],[P/FCF]]-VLOOKUP(Main_M[[#This Row],[Industry]], Mean_PFCF_M, 2, FALSE))/(VLOOKUP(Main_M[[#This Row],[Industry]], Mean_PFCF_M, 3, FALSE))</f>
        <v>-0.24907586262341949</v>
      </c>
      <c r="P104" s="1">
        <f>(Main_M[[#This Row],[P/B]]-VLOOKUP(Main_M[[#This Row],[Industry]], Mean_PB_M, 2, FALSE))/(VLOOKUP(Main_M[[#This Row],[Industry]], Mean_PB_M, 3, FALSE))</f>
        <v>-0.49146640408897357</v>
      </c>
      <c r="Q104" s="1">
        <f>(Main_M[[#This Row],[ROE]]-VLOOKUP(Main_M[[#This Row],[Industry]], Mean_ROE_M, 2, FALSE))/(VLOOKUP(Main_M[[#This Row],[Industry]], Mean_ROE_M, 3, FALSE))</f>
        <v>-0.17117941339253223</v>
      </c>
      <c r="R104" s="1">
        <f>(Main_M[[#This Row],[ROA]]-VLOOKUP(Main_M[[#This Row],[Industry]], Mean_ROA_M, 2, FALSE))/(VLOOKUP(Main_M[[#This Row],[Industry]], Mean_ROA_M, 3, FALSE))</f>
        <v>0.31664460971550618</v>
      </c>
      <c r="S104" s="1">
        <f>(Main_M[[#This Row],[A/E]]-VLOOKUP(Main_M[[#This Row],[Industry]], Mean_AE_M, 2, FALSE))/(VLOOKUP(Main_M[[#This Row],[Industry]], Mean_AE_M, 3, FALSE))</f>
        <v>0.37131128908246547</v>
      </c>
      <c r="T104" s="1">
        <f>(Main_M[[#This Row],[P/E]]-VLOOKUP(Main_M[[#This Row],[Industry]], Mean_PE_M, 2, FALSE))/(VLOOKUP(Main_M[[#This Row],[Industry]], Mean_PE_M, 3, FALSE))</f>
        <v>3.1934480836179953E-2</v>
      </c>
      <c r="U10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5" spans="1:26" x14ac:dyDescent="0.25">
      <c r="A105" t="s">
        <v>115</v>
      </c>
      <c r="B105" t="s">
        <v>315</v>
      </c>
      <c r="C105" s="2">
        <v>8249</v>
      </c>
      <c r="D105">
        <f>RTD("tos.rtd", , "LAST", Main_M[[#This Row],[Symbol]])</f>
        <v>323.56</v>
      </c>
      <c r="E105">
        <v>4.28</v>
      </c>
      <c r="F105">
        <v>258.92</v>
      </c>
      <c r="G105">
        <v>31.74</v>
      </c>
      <c r="H105" s="1">
        <f>IF(ISNUMBER(Main_M[[#This Row],[Free CF]]),IF(Main_M[[#This Row],[Free CF]]&lt;&gt;0,Main_M[[#This Row],[Current Price]]/Main_M[[#This Row],[Free CF]],""),"")</f>
        <v>75.598130841121488</v>
      </c>
      <c r="I105" s="1">
        <f>IF(ISNUMBER(Main_M[[#This Row],[BVPS]]),IF(Main_M[[#This Row],[BVPS]]&lt;&gt;0,Main_M[[#This Row],[Current Price]]/Main_M[[#This Row],[BVPS]],""),"")</f>
        <v>1.2496524022864204</v>
      </c>
      <c r="J105">
        <v>13.14</v>
      </c>
      <c r="K105">
        <v>4.5</v>
      </c>
      <c r="L105">
        <v>3.47</v>
      </c>
      <c r="M105" s="1">
        <f>IF(ISNUMBER(Main_M[[#This Row],[EPS]]),IF(Main_M[[#This Row],[EPS]]&lt;&gt;0,Main_M[[#This Row],[Current Price]]/Main_M[[#This Row],[EPS]],""),"")</f>
        <v>10.194076874606175</v>
      </c>
      <c r="N10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5" s="1">
        <f>(Main_M[[#This Row],[P/FCF]]-VLOOKUP(Main_M[[#This Row],[Industry]], Mean_PFCF_M, 2, FALSE))/(VLOOKUP(Main_M[[#This Row],[Industry]], Mean_PFCF_M, 3, FALSE))</f>
        <v>1.8932877036306637</v>
      </c>
      <c r="P105" s="1">
        <f>(Main_M[[#This Row],[P/B]]-VLOOKUP(Main_M[[#This Row],[Industry]], Mean_PB_M, 2, FALSE))/(VLOOKUP(Main_M[[#This Row],[Industry]], Mean_PB_M, 3, FALSE))</f>
        <v>-1.003977316427445</v>
      </c>
      <c r="Q105" s="1">
        <f>(Main_M[[#This Row],[ROE]]-VLOOKUP(Main_M[[#This Row],[Industry]], Mean_ROE_M, 2, FALSE))/(VLOOKUP(Main_M[[#This Row],[Industry]], Mean_ROE_M, 3, FALSE))</f>
        <v>-0.25891110735363809</v>
      </c>
      <c r="R105" s="1">
        <f>(Main_M[[#This Row],[ROA]]-VLOOKUP(Main_M[[#This Row],[Industry]], Mean_ROA_M, 2, FALSE))/(VLOOKUP(Main_M[[#This Row],[Industry]], Mean_ROA_M, 3, FALSE))</f>
        <v>-0.20416853213316424</v>
      </c>
      <c r="S105" s="1">
        <f>(Main_M[[#This Row],[A/E]]-VLOOKUP(Main_M[[#This Row],[Industry]], Mean_AE_M, 2, FALSE))/(VLOOKUP(Main_M[[#This Row],[Industry]], Mean_AE_M, 3, FALSE))</f>
        <v>0.5464095391352235</v>
      </c>
      <c r="T105" s="1">
        <f>(Main_M[[#This Row],[P/E]]-VLOOKUP(Main_M[[#This Row],[Industry]], Mean_PE_M, 2, FALSE))/(VLOOKUP(Main_M[[#This Row],[Industry]], Mean_PE_M, 3, FALSE))</f>
        <v>-0.20029680386042953</v>
      </c>
      <c r="U10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6" spans="1:26" x14ac:dyDescent="0.25">
      <c r="A106" t="s">
        <v>115</v>
      </c>
      <c r="B106" t="s">
        <v>193</v>
      </c>
      <c r="C106" s="2">
        <v>8434</v>
      </c>
      <c r="D106">
        <f>RTD("tos.rtd", , "LAST", Main_M[[#This Row],[Symbol]])</f>
        <v>413.97</v>
      </c>
      <c r="E106">
        <v>18.239999999999998</v>
      </c>
      <c r="F106">
        <v>36.409999999999997</v>
      </c>
      <c r="G106">
        <v>23.76</v>
      </c>
      <c r="H106" s="1">
        <f>IF(ISNUMBER(Main_M[[#This Row],[Free CF]]),IF(Main_M[[#This Row],[Free CF]]&lt;&gt;0,Main_M[[#This Row],[Current Price]]/Main_M[[#This Row],[Free CF]],""),"")</f>
        <v>22.695723684210531</v>
      </c>
      <c r="I106" s="1">
        <f>IF(ISNUMBER(Main_M[[#This Row],[BVPS]]),IF(Main_M[[#This Row],[BVPS]]&lt;&gt;0,Main_M[[#This Row],[Current Price]]/Main_M[[#This Row],[BVPS]],""),"")</f>
        <v>11.369678659708873</v>
      </c>
      <c r="J106">
        <v>65.239999999999995</v>
      </c>
      <c r="K106">
        <v>10.49</v>
      </c>
      <c r="L106">
        <v>6.26</v>
      </c>
      <c r="M106" s="1">
        <f>IF(ISNUMBER(Main_M[[#This Row],[EPS]]),IF(Main_M[[#This Row],[EPS]]&lt;&gt;0,Main_M[[#This Row],[Current Price]]/Main_M[[#This Row],[EPS]],""),"")</f>
        <v>17.422979797979799</v>
      </c>
      <c r="N10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6" s="1">
        <f>(Main_M[[#This Row],[P/FCF]]-VLOOKUP(Main_M[[#This Row],[Industry]], Mean_PFCF_M, 2, FALSE))/(VLOOKUP(Main_M[[#This Row],[Industry]], Mean_PFCF_M, 3, FALSE))</f>
        <v>-5.8016466208039602E-2</v>
      </c>
      <c r="P106" s="1">
        <f>(Main_M[[#This Row],[P/B]]-VLOOKUP(Main_M[[#This Row],[Industry]], Mean_PB_M, 2, FALSE))/(VLOOKUP(Main_M[[#This Row],[Industry]], Mean_PB_M, 3, FALSE))</f>
        <v>7.7993748278447255</v>
      </c>
      <c r="Q106" s="1">
        <f>(Main_M[[#This Row],[ROE]]-VLOOKUP(Main_M[[#This Row],[Industry]], Mean_ROE_M, 2, FALSE))/(VLOOKUP(Main_M[[#This Row],[Industry]], Mean_ROE_M, 3, FALSE))</f>
        <v>1.0775863357380628</v>
      </c>
      <c r="R106" s="1">
        <f>(Main_M[[#This Row],[ROA]]-VLOOKUP(Main_M[[#This Row],[Industry]], Mean_ROA_M, 2, FALSE))/(VLOOKUP(Main_M[[#This Row],[Industry]], Mean_ROA_M, 3, FALSE))</f>
        <v>1.2604656085586368</v>
      </c>
      <c r="S106" s="1">
        <f>(Main_M[[#This Row],[A/E]]-VLOOKUP(Main_M[[#This Row],[Industry]], Mean_AE_M, 2, FALSE))/(VLOOKUP(Main_M[[#This Row],[Industry]], Mean_AE_M, 3, FALSE))</f>
        <v>3.4200808194128332</v>
      </c>
      <c r="T106" s="1">
        <f>(Main_M[[#This Row],[P/E]]-VLOOKUP(Main_M[[#This Row],[Industry]], Mean_PE_M, 2, FALSE))/(VLOOKUP(Main_M[[#This Row],[Industry]], Mean_PE_M, 3, FALSE))</f>
        <v>0.66799696156906885</v>
      </c>
      <c r="U10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0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7" spans="1:26" x14ac:dyDescent="0.25">
      <c r="A107" t="s">
        <v>115</v>
      </c>
      <c r="B107" t="s">
        <v>312</v>
      </c>
      <c r="C107" s="2">
        <v>4481</v>
      </c>
      <c r="D107">
        <f>RTD("tos.rtd", , "LAST", Main_M[[#This Row],[Symbol]])</f>
        <v>237.48</v>
      </c>
      <c r="E107">
        <v>28.43</v>
      </c>
      <c r="F107">
        <v>184.32</v>
      </c>
      <c r="G107">
        <v>20.94</v>
      </c>
      <c r="H107" s="1">
        <f>IF(ISNUMBER(Main_M[[#This Row],[Free CF]]),IF(Main_M[[#This Row],[Free CF]]&lt;&gt;0,Main_M[[#This Row],[Current Price]]/Main_M[[#This Row],[Free CF]],""),"")</f>
        <v>8.3531480830109039</v>
      </c>
      <c r="I107" s="1">
        <f>IF(ISNUMBER(Main_M[[#This Row],[BVPS]]),IF(Main_M[[#This Row],[BVPS]]&lt;&gt;0,Main_M[[#This Row],[Current Price]]/Main_M[[#This Row],[BVPS]],""),"")</f>
        <v>1.2884114583333333</v>
      </c>
      <c r="J107">
        <v>11.92</v>
      </c>
      <c r="K107">
        <v>6.05</v>
      </c>
      <c r="L107">
        <v>2.82</v>
      </c>
      <c r="M107" s="1">
        <f>IF(ISNUMBER(Main_M[[#This Row],[EPS]]),IF(Main_M[[#This Row],[EPS]]&lt;&gt;0,Main_M[[#This Row],[Current Price]]/Main_M[[#This Row],[EPS]],""),"")</f>
        <v>11.340974212034382</v>
      </c>
      <c r="N10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07" s="1">
        <f>(Main_M[[#This Row],[P/FCF]]-VLOOKUP(Main_M[[#This Row],[Industry]], Mean_PFCF_M, 2, FALSE))/(VLOOKUP(Main_M[[#This Row],[Industry]], Mean_PFCF_M, 3, FALSE))</f>
        <v>-0.58704206411396787</v>
      </c>
      <c r="P107" s="1">
        <f>(Main_M[[#This Row],[P/B]]-VLOOKUP(Main_M[[#This Row],[Industry]], Mean_PB_M, 2, FALSE))/(VLOOKUP(Main_M[[#This Row],[Industry]], Mean_PB_M, 3, FALSE))</f>
        <v>-0.97026103837823563</v>
      </c>
      <c r="Q107" s="1">
        <f>(Main_M[[#This Row],[ROE]]-VLOOKUP(Main_M[[#This Row],[Industry]], Mean_ROE_M, 2, FALSE))/(VLOOKUP(Main_M[[#This Row],[Industry]], Mean_ROE_M, 3, FALSE))</f>
        <v>-0.29020720870818467</v>
      </c>
      <c r="R107" s="1">
        <f>(Main_M[[#This Row],[ROA]]-VLOOKUP(Main_M[[#This Row],[Industry]], Mean_ROA_M, 2, FALSE))/(VLOOKUP(Main_M[[#This Row],[Industry]], Mean_ROA_M, 3, FALSE))</f>
        <v>0.17482694667690107</v>
      </c>
      <c r="S107" s="1">
        <f>(Main_M[[#This Row],[A/E]]-VLOOKUP(Main_M[[#This Row],[Industry]], Mean_AE_M, 2, FALSE))/(VLOOKUP(Main_M[[#This Row],[Industry]], Mean_AE_M, 3, FALSE))</f>
        <v>-0.12308376989002662</v>
      </c>
      <c r="T107" s="1">
        <f>(Main_M[[#This Row],[P/E]]-VLOOKUP(Main_M[[#This Row],[Industry]], Mean_PE_M, 2, FALSE))/(VLOOKUP(Main_M[[#This Row],[Industry]], Mean_PE_M, 3, FALSE))</f>
        <v>-6.2538167697715905E-2</v>
      </c>
      <c r="U10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8" spans="1:26" x14ac:dyDescent="0.25">
      <c r="A108" t="s">
        <v>115</v>
      </c>
      <c r="B108" t="s">
        <v>313</v>
      </c>
      <c r="C108" s="2">
        <v>6931</v>
      </c>
      <c r="D108">
        <f>RTD("tos.rtd", , "LAST", Main_M[[#This Row],[Symbol]])</f>
        <v>189.25</v>
      </c>
      <c r="E108">
        <v>-8.61</v>
      </c>
      <c r="F108">
        <v>63.43</v>
      </c>
      <c r="G108">
        <v>16.86</v>
      </c>
      <c r="H108" s="1">
        <f>IF(ISNUMBER(Main_M[[#This Row],[Free CF]]),IF(Main_M[[#This Row],[Free CF]]&lt;&gt;0,Main_M[[#This Row],[Current Price]]/Main_M[[#This Row],[Free CF]],""),"")</f>
        <v>-21.980255516840884</v>
      </c>
      <c r="I108" s="1">
        <f>IF(ISNUMBER(Main_M[[#This Row],[BVPS]]),IF(Main_M[[#This Row],[BVPS]]&lt;&gt;0,Main_M[[#This Row],[Current Price]]/Main_M[[#This Row],[BVPS]],""),"")</f>
        <v>2.9836039728834938</v>
      </c>
      <c r="J108">
        <v>28.45</v>
      </c>
      <c r="K108">
        <v>6.48</v>
      </c>
      <c r="L108">
        <v>5.54</v>
      </c>
      <c r="M108" s="1">
        <f>IF(ISNUMBER(Main_M[[#This Row],[EPS]]),IF(Main_M[[#This Row],[EPS]]&lt;&gt;0,Main_M[[#This Row],[Current Price]]/Main_M[[#This Row],[EPS]],""),"")</f>
        <v>11.224792408066429</v>
      </c>
      <c r="N10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8" s="1">
        <f>(Main_M[[#This Row],[P/FCF]]-VLOOKUP(Main_M[[#This Row],[Industry]], Mean_PFCF_M, 2, FALSE))/(VLOOKUP(Main_M[[#This Row],[Industry]], Mean_PFCF_M, 3, FALSE))</f>
        <v>-1.7058890147684393</v>
      </c>
      <c r="P108" s="1">
        <f>(Main_M[[#This Row],[P/B]]-VLOOKUP(Main_M[[#This Row],[Industry]], Mean_PB_M, 2, FALSE))/(VLOOKUP(Main_M[[#This Row],[Industry]], Mean_PB_M, 3, FALSE))</f>
        <v>0.50437709776037931</v>
      </c>
      <c r="Q108" s="1">
        <f>(Main_M[[#This Row],[ROE]]-VLOOKUP(Main_M[[#This Row],[Industry]], Mean_ROE_M, 2, FALSE))/(VLOOKUP(Main_M[[#This Row],[Industry]], Mean_ROE_M, 3, FALSE))</f>
        <v>0.13382931210382723</v>
      </c>
      <c r="R108" s="1">
        <f>(Main_M[[#This Row],[ROA]]-VLOOKUP(Main_M[[#This Row],[Industry]], Mean_ROA_M, 2, FALSE))/(VLOOKUP(Main_M[[#This Row],[Industry]], Mean_ROA_M, 3, FALSE))</f>
        <v>0.27996762789517743</v>
      </c>
      <c r="S108" s="1">
        <f>(Main_M[[#This Row],[A/E]]-VLOOKUP(Main_M[[#This Row],[Industry]], Mean_AE_M, 2, FALSE))/(VLOOKUP(Main_M[[#This Row],[Industry]], Mean_AE_M, 3, FALSE))</f>
        <v>2.6784882309540956</v>
      </c>
      <c r="T108" s="1">
        <f>(Main_M[[#This Row],[P/E]]-VLOOKUP(Main_M[[#This Row],[Industry]], Mean_PE_M, 2, FALSE))/(VLOOKUP(Main_M[[#This Row],[Industry]], Mean_PE_M, 3, FALSE))</f>
        <v>-7.6493250109397587E-2</v>
      </c>
      <c r="U10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9" spans="1:26" x14ac:dyDescent="0.25">
      <c r="A109" t="s">
        <v>115</v>
      </c>
      <c r="B109" t="s">
        <v>303</v>
      </c>
      <c r="C109" s="2">
        <v>3739</v>
      </c>
      <c r="D109">
        <f>RTD("tos.rtd", , "LAST", Main_M[[#This Row],[Symbol]])</f>
        <v>81.98</v>
      </c>
      <c r="E109">
        <v>8.26</v>
      </c>
      <c r="F109">
        <v>24.16</v>
      </c>
      <c r="G109">
        <v>10.18</v>
      </c>
      <c r="H109" s="1">
        <f>IF(ISNUMBER(Main_M[[#This Row],[Free CF]]),IF(Main_M[[#This Row],[Free CF]]&lt;&gt;0,Main_M[[#This Row],[Current Price]]/Main_M[[#This Row],[Free CF]],""),"")</f>
        <v>9.924939467312349</v>
      </c>
      <c r="I109" s="1">
        <f>IF(ISNUMBER(Main_M[[#This Row],[BVPS]]),IF(Main_M[[#This Row],[BVPS]]&lt;&gt;0,Main_M[[#This Row],[Current Price]]/Main_M[[#This Row],[BVPS]],""),"")</f>
        <v>3.3932119205298013</v>
      </c>
      <c r="J109">
        <v>47.14</v>
      </c>
      <c r="K109">
        <v>14.87</v>
      </c>
      <c r="L109">
        <v>2.6</v>
      </c>
      <c r="M109" s="1">
        <f>IF(ISNUMBER(Main_M[[#This Row],[EPS]]),IF(Main_M[[#This Row],[EPS]]&lt;&gt;0,Main_M[[#This Row],[Current Price]]/Main_M[[#This Row],[EPS]],""),"")</f>
        <v>8.0530451866404729</v>
      </c>
      <c r="N10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9" s="1">
        <f>(Main_M[[#This Row],[P/FCF]]-VLOOKUP(Main_M[[#This Row],[Industry]], Mean_PFCF_M, 2, FALSE))/(VLOOKUP(Main_M[[#This Row],[Industry]], Mean_PFCF_M, 3, FALSE))</f>
        <v>-0.52906657212535257</v>
      </c>
      <c r="P109" s="1">
        <f>(Main_M[[#This Row],[P/B]]-VLOOKUP(Main_M[[#This Row],[Industry]], Mean_PB_M, 2, FALSE))/(VLOOKUP(Main_M[[#This Row],[Industry]], Mean_PB_M, 3, FALSE))</f>
        <v>0.86069267565508178</v>
      </c>
      <c r="Q109" s="1">
        <f>(Main_M[[#This Row],[ROE]]-VLOOKUP(Main_M[[#This Row],[Industry]], Mean_ROE_M, 2, FALSE))/(VLOOKUP(Main_M[[#This Row],[Industry]], Mean_ROE_M, 3, FALSE))</f>
        <v>0.61327532383864292</v>
      </c>
      <c r="R109" s="1">
        <f>(Main_M[[#This Row],[ROA]]-VLOOKUP(Main_M[[#This Row],[Industry]], Mean_ROA_M, 2, FALSE))/(VLOOKUP(Main_M[[#This Row],[Industry]], Mean_ROA_M, 3, FALSE))</f>
        <v>2.331433477712241</v>
      </c>
      <c r="S109" s="1">
        <f>(Main_M[[#This Row],[A/E]]-VLOOKUP(Main_M[[#This Row],[Industry]], Mean_AE_M, 2, FALSE))/(VLOOKUP(Main_M[[#This Row],[Industry]], Mean_AE_M, 3, FALSE))</f>
        <v>-0.34968150525241859</v>
      </c>
      <c r="T109" s="1">
        <f>(Main_M[[#This Row],[P/E]]-VLOOKUP(Main_M[[#This Row],[Industry]], Mean_PE_M, 2, FALSE))/(VLOOKUP(Main_M[[#This Row],[Industry]], Mean_PE_M, 3, FALSE))</f>
        <v>-0.4574650748904166</v>
      </c>
      <c r="U10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0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0" spans="1:26" x14ac:dyDescent="0.25">
      <c r="A110" t="s">
        <v>115</v>
      </c>
      <c r="B110" t="s">
        <v>316</v>
      </c>
      <c r="C110" s="2">
        <v>2375</v>
      </c>
      <c r="D110">
        <f>RTD("tos.rtd", , "LAST", Main_M[[#This Row],[Symbol]])</f>
        <v>74.36</v>
      </c>
      <c r="E110">
        <v>2.36</v>
      </c>
      <c r="F110">
        <v>32.15</v>
      </c>
      <c r="G110">
        <v>7.02</v>
      </c>
      <c r="H110" s="1">
        <f>IF(ISNUMBER(Main_M[[#This Row],[Free CF]]),IF(Main_M[[#This Row],[Free CF]]&lt;&gt;0,Main_M[[#This Row],[Current Price]]/Main_M[[#This Row],[Free CF]],""),"")</f>
        <v>31.508474576271187</v>
      </c>
      <c r="I110" s="1">
        <f>IF(ISNUMBER(Main_M[[#This Row],[BVPS]]),IF(Main_M[[#This Row],[BVPS]]&lt;&gt;0,Main_M[[#This Row],[Current Price]]/Main_M[[#This Row],[BVPS]],""),"")</f>
        <v>2.3129082426127527</v>
      </c>
      <c r="J110">
        <v>24.52</v>
      </c>
      <c r="K110">
        <v>5.3</v>
      </c>
      <c r="L110">
        <v>5.39</v>
      </c>
      <c r="M110" s="1">
        <f>IF(ISNUMBER(Main_M[[#This Row],[EPS]]),IF(Main_M[[#This Row],[EPS]]&lt;&gt;0,Main_M[[#This Row],[Current Price]]/Main_M[[#This Row],[EPS]],""),"")</f>
        <v>10.592592592592593</v>
      </c>
      <c r="N1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0" s="1">
        <f>(Main_M[[#This Row],[P/FCF]]-VLOOKUP(Main_M[[#This Row],[Industry]], Mean_PFCF_M, 2, FALSE))/(VLOOKUP(Main_M[[#This Row],[Industry]], Mean_PFCF_M, 3, FALSE))</f>
        <v>0.26704166417953473</v>
      </c>
      <c r="P110" s="1">
        <f>(Main_M[[#This Row],[P/B]]-VLOOKUP(Main_M[[#This Row],[Industry]], Mean_PB_M, 2, FALSE))/(VLOOKUP(Main_M[[#This Row],[Industry]], Mean_PB_M, 3, FALSE))</f>
        <v>-7.905722790677043E-2</v>
      </c>
      <c r="Q110" s="1">
        <f>(Main_M[[#This Row],[ROE]]-VLOOKUP(Main_M[[#This Row],[Industry]], Mean_ROE_M, 2, FALSE))/(VLOOKUP(Main_M[[#This Row],[Industry]], Mean_ROE_M, 3, FALSE))</f>
        <v>3.301482167483711E-2</v>
      </c>
      <c r="R110" s="1">
        <f>(Main_M[[#This Row],[ROA]]-VLOOKUP(Main_M[[#This Row],[Industry]], Mean_ROA_M, 2, FALSE))/(VLOOKUP(Main_M[[#This Row],[Industry]], Mean_ROA_M, 3, FALSE))</f>
        <v>-8.5579624247434458E-3</v>
      </c>
      <c r="S110" s="1">
        <f>(Main_M[[#This Row],[A/E]]-VLOOKUP(Main_M[[#This Row],[Industry]], Mean_AE_M, 2, FALSE))/(VLOOKUP(Main_M[[#This Row],[Industry]], Mean_AE_M, 3, FALSE))</f>
        <v>2.5239897750251914</v>
      </c>
      <c r="T110" s="1">
        <f>(Main_M[[#This Row],[P/E]]-VLOOKUP(Main_M[[#This Row],[Industry]], Mean_PE_M, 2, FALSE))/(VLOOKUP(Main_M[[#This Row],[Industry]], Mean_PE_M, 3, FALSE))</f>
        <v>-0.15242941415812311</v>
      </c>
      <c r="U1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1" spans="1:26" x14ac:dyDescent="0.25">
      <c r="A111" t="s">
        <v>115</v>
      </c>
      <c r="B111" t="s">
        <v>304</v>
      </c>
      <c r="C111" s="2">
        <v>4905</v>
      </c>
      <c r="D111">
        <f>RTD("tos.rtd", , "LAST", Main_M[[#This Row],[Symbol]])</f>
        <v>167.48</v>
      </c>
      <c r="E111">
        <v>-0.02</v>
      </c>
      <c r="F111">
        <v>36.97</v>
      </c>
      <c r="G111">
        <v>5.88</v>
      </c>
      <c r="H111" s="1">
        <f>IF(ISNUMBER(Main_M[[#This Row],[Free CF]]),IF(Main_M[[#This Row],[Free CF]]&lt;&gt;0,Main_M[[#This Row],[Current Price]]/Main_M[[#This Row],[Free CF]],""),"")</f>
        <v>-8374</v>
      </c>
      <c r="I111" s="1">
        <f>IF(ISNUMBER(Main_M[[#This Row],[BVPS]]),IF(Main_M[[#This Row],[BVPS]]&lt;&gt;0,Main_M[[#This Row],[Current Price]]/Main_M[[#This Row],[BVPS]],""),"")</f>
        <v>4.5301595888558293</v>
      </c>
      <c r="J111">
        <v>17.440000000000001</v>
      </c>
      <c r="K111">
        <v>8.0299999999999994</v>
      </c>
      <c r="L111">
        <v>1.78</v>
      </c>
      <c r="M111" s="1">
        <f>IF(ISNUMBER(Main_M[[#This Row],[EPS]]),IF(Main_M[[#This Row],[EPS]]&lt;&gt;0,Main_M[[#This Row],[Current Price]]/Main_M[[#This Row],[EPS]],""),"")</f>
        <v>28.482993197278912</v>
      </c>
      <c r="N1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1" s="1">
        <f>(Main_M[[#This Row],[P/FCF]]-VLOOKUP(Main_M[[#This Row],[Industry]], Mean_PFCF_M, 2, FALSE))/(VLOOKUP(Main_M[[#This Row],[Industry]], Mean_PFCF_M, 3, FALSE))</f>
        <v>-309.76996076194882</v>
      </c>
      <c r="P111" s="1">
        <f>(Main_M[[#This Row],[P/B]]-VLOOKUP(Main_M[[#This Row],[Industry]], Mean_PB_M, 2, FALSE))/(VLOOKUP(Main_M[[#This Row],[Industry]], Mean_PB_M, 3, FALSE))</f>
        <v>1.8497168579334822</v>
      </c>
      <c r="Q111" s="1">
        <f>(Main_M[[#This Row],[ROE]]-VLOOKUP(Main_M[[#This Row],[Industry]], Mean_ROE_M, 2, FALSE))/(VLOOKUP(Main_M[[#This Row],[Industry]], Mean_ROE_M, 3, FALSE))</f>
        <v>-0.14860517634990841</v>
      </c>
      <c r="R111" s="1">
        <f>(Main_M[[#This Row],[ROA]]-VLOOKUP(Main_M[[#This Row],[Industry]], Mean_ROA_M, 2, FALSE))/(VLOOKUP(Main_M[[#This Row],[Industry]], Mean_ROA_M, 3, FALSE))</f>
        <v>0.6589631067052425</v>
      </c>
      <c r="S111" s="1">
        <f>(Main_M[[#This Row],[A/E]]-VLOOKUP(Main_M[[#This Row],[Industry]], Mean_AE_M, 2, FALSE))/(VLOOKUP(Main_M[[#This Row],[Industry]], Mean_AE_M, 3, FALSE))</f>
        <v>-1.194273064330426</v>
      </c>
      <c r="T111" s="1">
        <f>(Main_M[[#This Row],[P/E]]-VLOOKUP(Main_M[[#This Row],[Industry]], Mean_PE_M, 2, FALSE))/(VLOOKUP(Main_M[[#This Row],[Industry]], Mean_PE_M, 3, FALSE))</f>
        <v>1.9964614301023371</v>
      </c>
      <c r="U1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2" spans="1:26" x14ac:dyDescent="0.25">
      <c r="A112" t="s">
        <v>115</v>
      </c>
      <c r="B112" t="s">
        <v>308</v>
      </c>
      <c r="C112" s="2">
        <v>2722</v>
      </c>
      <c r="D112">
        <f>RTD("tos.rtd", , "LAST", Main_M[[#This Row],[Symbol]])</f>
        <v>44.37</v>
      </c>
      <c r="E112">
        <v>4.59</v>
      </c>
      <c r="F112">
        <v>29.33</v>
      </c>
      <c r="G112">
        <v>5.73</v>
      </c>
      <c r="H112" s="1">
        <f>IF(ISNUMBER(Main_M[[#This Row],[Free CF]]),IF(Main_M[[#This Row],[Free CF]]&lt;&gt;0,Main_M[[#This Row],[Current Price]]/Main_M[[#This Row],[Free CF]],""),"")</f>
        <v>9.6666666666666661</v>
      </c>
      <c r="I112" s="1">
        <f>IF(ISNUMBER(Main_M[[#This Row],[BVPS]]),IF(Main_M[[#This Row],[BVPS]]&lt;&gt;0,Main_M[[#This Row],[Current Price]]/Main_M[[#This Row],[BVPS]],""),"")</f>
        <v>1.5127855438117968</v>
      </c>
      <c r="J112">
        <v>21.14</v>
      </c>
      <c r="K112">
        <v>6.94</v>
      </c>
      <c r="L112">
        <v>2.4500000000000002</v>
      </c>
      <c r="M112" s="1">
        <f>IF(ISNUMBER(Main_M[[#This Row],[EPS]]),IF(Main_M[[#This Row],[EPS]]&lt;&gt;0,Main_M[[#This Row],[Current Price]]/Main_M[[#This Row],[EPS]],""),"")</f>
        <v>7.7434554973821976</v>
      </c>
      <c r="N1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12" s="1">
        <f>(Main_M[[#This Row],[P/FCF]]-VLOOKUP(Main_M[[#This Row],[Industry]], Mean_PFCF_M, 2, FALSE))/(VLOOKUP(Main_M[[#This Row],[Industry]], Mean_PFCF_M, 3, FALSE))</f>
        <v>-0.53859295891832104</v>
      </c>
      <c r="P112" s="1">
        <f>(Main_M[[#This Row],[P/B]]-VLOOKUP(Main_M[[#This Row],[Industry]], Mean_PB_M, 2, FALSE))/(VLOOKUP(Main_M[[#This Row],[Industry]], Mean_PB_M, 3, FALSE))</f>
        <v>-0.77507932281033265</v>
      </c>
      <c r="Q112" s="1">
        <f>(Main_M[[#This Row],[ROE]]-VLOOKUP(Main_M[[#This Row],[Industry]], Mean_ROE_M, 2, FALSE))/(VLOOKUP(Main_M[[#This Row],[Industry]], Mean_ROE_M, 3, FALSE))</f>
        <v>-5.3690770602513149E-2</v>
      </c>
      <c r="R112" s="1">
        <f>(Main_M[[#This Row],[ROA]]-VLOOKUP(Main_M[[#This Row],[Industry]], Mean_ROA_M, 2, FALSE))/(VLOOKUP(Main_M[[#This Row],[Industry]], Mean_ROA_M, 3, FALSE))</f>
        <v>0.39244370547751939</v>
      </c>
      <c r="S112" s="1">
        <f>(Main_M[[#This Row],[A/E]]-VLOOKUP(Main_M[[#This Row],[Industry]], Mean_AE_M, 2, FALSE))/(VLOOKUP(Main_M[[#This Row],[Industry]], Mean_AE_M, 3, FALSE))</f>
        <v>-0.50417996118132224</v>
      </c>
      <c r="T112" s="1">
        <f>(Main_M[[#This Row],[P/E]]-VLOOKUP(Main_M[[#This Row],[Industry]], Mean_PE_M, 2, FALSE))/(VLOOKUP(Main_M[[#This Row],[Industry]], Mean_PE_M, 3, FALSE))</f>
        <v>-0.49465118734394559</v>
      </c>
      <c r="U1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3" spans="1:26" x14ac:dyDescent="0.25">
      <c r="A113" t="s">
        <v>115</v>
      </c>
      <c r="B113" t="s">
        <v>306</v>
      </c>
      <c r="C113" s="2">
        <v>6264</v>
      </c>
      <c r="D113">
        <f>RTD("tos.rtd", , "LAST", Main_M[[#This Row],[Symbol]])</f>
        <v>69.709999999999994</v>
      </c>
      <c r="E113">
        <v>3.14</v>
      </c>
      <c r="F113">
        <v>27.14</v>
      </c>
      <c r="G113">
        <v>4.7699999999999996</v>
      </c>
      <c r="H113" s="1">
        <f>IF(ISNUMBER(Main_M[[#This Row],[Free CF]]),IF(Main_M[[#This Row],[Free CF]]&lt;&gt;0,Main_M[[#This Row],[Current Price]]/Main_M[[#This Row],[Free CF]],""),"")</f>
        <v>22.200636942675157</v>
      </c>
      <c r="I113" s="1">
        <f>IF(ISNUMBER(Main_M[[#This Row],[BVPS]]),IF(Main_M[[#This Row],[BVPS]]&lt;&gt;0,Main_M[[#This Row],[Current Price]]/Main_M[[#This Row],[BVPS]],""),"")</f>
        <v>2.5685335298452467</v>
      </c>
      <c r="J113">
        <v>19.55</v>
      </c>
      <c r="K113">
        <v>7.62</v>
      </c>
      <c r="L113">
        <v>1.83</v>
      </c>
      <c r="M113" s="1">
        <f>IF(ISNUMBER(Main_M[[#This Row],[EPS]]),IF(Main_M[[#This Row],[EPS]]&lt;&gt;0,Main_M[[#This Row],[Current Price]]/Main_M[[#This Row],[EPS]],""),"")</f>
        <v>14.614255765199161</v>
      </c>
      <c r="N1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3" s="1">
        <f>(Main_M[[#This Row],[P/FCF]]-VLOOKUP(Main_M[[#This Row],[Industry]], Mean_PFCF_M, 2, FALSE))/(VLOOKUP(Main_M[[#This Row],[Industry]], Mean_PFCF_M, 3, FALSE))</f>
        <v>-7.6277730205430869E-2</v>
      </c>
      <c r="P113" s="1">
        <f>(Main_M[[#This Row],[P/B]]-VLOOKUP(Main_M[[#This Row],[Industry]], Mean_PB_M, 2, FALSE))/(VLOOKUP(Main_M[[#This Row],[Industry]], Mean_PB_M, 3, FALSE))</f>
        <v>0.14330972680719165</v>
      </c>
      <c r="Q113" s="1">
        <f>(Main_M[[#This Row],[ROE]]-VLOOKUP(Main_M[[#This Row],[Industry]], Mean_ROE_M, 2, FALSE))/(VLOOKUP(Main_M[[#This Row],[Industry]], Mean_ROE_M, 3, FALSE))</f>
        <v>-9.4478312531799225E-2</v>
      </c>
      <c r="R113" s="1">
        <f>(Main_M[[#This Row],[ROA]]-VLOOKUP(Main_M[[#This Row],[Industry]], Mean_ROA_M, 2, FALSE))/(VLOOKUP(Main_M[[#This Row],[Industry]], Mean_ROA_M, 3, FALSE))</f>
        <v>0.55871268972967703</v>
      </c>
      <c r="S113" s="1">
        <f>(Main_M[[#This Row],[A/E]]-VLOOKUP(Main_M[[#This Row],[Industry]], Mean_AE_M, 2, FALSE))/(VLOOKUP(Main_M[[#This Row],[Industry]], Mean_AE_M, 3, FALSE))</f>
        <v>-1.1427735790207914</v>
      </c>
      <c r="T113" s="1">
        <f>(Main_M[[#This Row],[P/E]]-VLOOKUP(Main_M[[#This Row],[Industry]], Mean_PE_M, 2, FALSE))/(VLOOKUP(Main_M[[#This Row],[Industry]], Mean_PE_M, 3, FALSE))</f>
        <v>0.33062937034164719</v>
      </c>
      <c r="U1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4" spans="1:26" x14ac:dyDescent="0.25">
      <c r="A114" t="s">
        <v>115</v>
      </c>
      <c r="B114" t="s">
        <v>310</v>
      </c>
      <c r="C114" s="2">
        <v>6418</v>
      </c>
      <c r="D114">
        <f>RTD("tos.rtd", , "LAST", Main_M[[#This Row],[Symbol]])</f>
        <v>126.22</v>
      </c>
      <c r="E114">
        <v>1.94</v>
      </c>
      <c r="F114">
        <v>32.86</v>
      </c>
      <c r="G114">
        <v>4.5999999999999996</v>
      </c>
      <c r="H114" s="1">
        <f>IF(ISNUMBER(Main_M[[#This Row],[Free CF]]),IF(Main_M[[#This Row],[Free CF]]&lt;&gt;0,Main_M[[#This Row],[Current Price]]/Main_M[[#This Row],[Free CF]],""),"")</f>
        <v>65.0618556701031</v>
      </c>
      <c r="I114" s="1">
        <f>IF(ISNUMBER(Main_M[[#This Row],[BVPS]]),IF(Main_M[[#This Row],[BVPS]]&lt;&gt;0,Main_M[[#This Row],[Current Price]]/Main_M[[#This Row],[BVPS]],""),"")</f>
        <v>3.8411442483262324</v>
      </c>
      <c r="J114">
        <v>14.95</v>
      </c>
      <c r="K114">
        <v>4.93</v>
      </c>
      <c r="L114">
        <v>2.4</v>
      </c>
      <c r="M114" s="1">
        <f>IF(ISNUMBER(Main_M[[#This Row],[EPS]]),IF(Main_M[[#This Row],[EPS]]&lt;&gt;0,Main_M[[#This Row],[Current Price]]/Main_M[[#This Row],[EPS]],""),"")</f>
        <v>27.439130434782612</v>
      </c>
      <c r="N1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4" s="1">
        <f>(Main_M[[#This Row],[P/FCF]]-VLOOKUP(Main_M[[#This Row],[Industry]], Mean_PFCF_M, 2, FALSE))/(VLOOKUP(Main_M[[#This Row],[Industry]], Mean_PFCF_M, 3, FALSE))</f>
        <v>1.5046574166420994</v>
      </c>
      <c r="P114" s="1">
        <f>(Main_M[[#This Row],[P/B]]-VLOOKUP(Main_M[[#This Row],[Industry]], Mean_PB_M, 2, FALSE))/(VLOOKUP(Main_M[[#This Row],[Industry]], Mean_PB_M, 3, FALSE))</f>
        <v>1.2503464095575358</v>
      </c>
      <c r="Q114" s="1">
        <f>(Main_M[[#This Row],[ROE]]-VLOOKUP(Main_M[[#This Row],[Industry]], Mean_ROE_M, 2, FALSE))/(VLOOKUP(Main_M[[#This Row],[Industry]], Mean_ROE_M, 3, FALSE))</f>
        <v>-0.21248000616369611</v>
      </c>
      <c r="R114" s="1">
        <f>(Main_M[[#This Row],[ROA]]-VLOOKUP(Main_M[[#This Row],[Industry]], Mean_ROA_M, 2, FALSE))/(VLOOKUP(Main_M[[#This Row],[Industry]], Mean_ROA_M, 3, FALSE))</f>
        <v>-9.902785091488811E-2</v>
      </c>
      <c r="S114" s="1">
        <f>(Main_M[[#This Row],[A/E]]-VLOOKUP(Main_M[[#This Row],[Industry]], Mean_AE_M, 2, FALSE))/(VLOOKUP(Main_M[[#This Row],[Industry]], Mean_AE_M, 3, FALSE))</f>
        <v>-0.55567944649095713</v>
      </c>
      <c r="T114" s="1">
        <f>(Main_M[[#This Row],[P/E]]-VLOOKUP(Main_M[[#This Row],[Industry]], Mean_PE_M, 2, FALSE))/(VLOOKUP(Main_M[[#This Row],[Industry]], Mean_PE_M, 3, FALSE))</f>
        <v>1.8710787076827426</v>
      </c>
      <c r="U1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5" spans="1:26" x14ac:dyDescent="0.25">
      <c r="A115" t="s">
        <v>115</v>
      </c>
      <c r="B115" t="s">
        <v>421</v>
      </c>
      <c r="C115" s="2">
        <v>2180</v>
      </c>
      <c r="D115">
        <f>RTD("tos.rtd", , "LAST", Main_M[[#This Row],[Symbol]])</f>
        <v>43.87</v>
      </c>
      <c r="E115">
        <v>4</v>
      </c>
      <c r="F115">
        <v>8.82</v>
      </c>
      <c r="G115">
        <v>3.9</v>
      </c>
      <c r="H115" s="1">
        <f>IF(ISNUMBER(Main_M[[#This Row],[Free CF]]),IF(Main_M[[#This Row],[Free CF]]&lt;&gt;0,Main_M[[#This Row],[Current Price]]/Main_M[[#This Row],[Free CF]],""),"")</f>
        <v>10.967499999999999</v>
      </c>
      <c r="I115" s="1">
        <f>IF(ISNUMBER(Main_M[[#This Row],[BVPS]]),IF(Main_M[[#This Row],[BVPS]]&lt;&gt;0,Main_M[[#This Row],[Current Price]]/Main_M[[#This Row],[BVPS]],""),"")</f>
        <v>4.9739229024943308</v>
      </c>
      <c r="J115">
        <v>44.55</v>
      </c>
      <c r="K115">
        <v>16.100000000000001</v>
      </c>
      <c r="L115">
        <v>2.19</v>
      </c>
      <c r="M115" s="1">
        <f>IF(ISNUMBER(Main_M[[#This Row],[EPS]]),IF(Main_M[[#This Row],[EPS]]&lt;&gt;0,Main_M[[#This Row],[Current Price]]/Main_M[[#This Row],[EPS]],""),"")</f>
        <v>11.248717948717948</v>
      </c>
      <c r="N1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5" s="1">
        <f>(Main_M[[#This Row],[P/FCF]]-VLOOKUP(Main_M[[#This Row],[Industry]], Mean_PFCF_M, 2, FALSE))/(VLOOKUP(Main_M[[#This Row],[Industry]], Mean_PFCF_M, 3, FALSE))</f>
        <v>-0.49061174891270193</v>
      </c>
      <c r="P115" s="1">
        <f>(Main_M[[#This Row],[P/B]]-VLOOKUP(Main_M[[#This Row],[Industry]], Mean_PB_M, 2, FALSE))/(VLOOKUP(Main_M[[#This Row],[Industry]], Mean_PB_M, 3, FALSE))</f>
        <v>2.2357439906006094</v>
      </c>
      <c r="Q115" s="1">
        <f>(Main_M[[#This Row],[ROE]]-VLOOKUP(Main_M[[#This Row],[Industry]], Mean_ROE_M, 2, FALSE))/(VLOOKUP(Main_M[[#This Row],[Industry]], Mean_ROE_M, 3, FALSE))</f>
        <v>0.54683523981546611</v>
      </c>
      <c r="R115" s="1">
        <f>(Main_M[[#This Row],[ROA]]-VLOOKUP(Main_M[[#This Row],[Industry]], Mean_ROA_M, 2, FALSE))/(VLOOKUP(Main_M[[#This Row],[Industry]], Mean_ROA_M, 3, FALSE))</f>
        <v>2.6321847286389377</v>
      </c>
      <c r="S115" s="1">
        <f>(Main_M[[#This Row],[A/E]]-VLOOKUP(Main_M[[#This Row],[Industry]], Mean_AE_M, 2, FALSE))/(VLOOKUP(Main_M[[#This Row],[Industry]], Mean_AE_M, 3, FALSE))</f>
        <v>-0.77197728479142236</v>
      </c>
      <c r="T115" s="1">
        <f>(Main_M[[#This Row],[P/E]]-VLOOKUP(Main_M[[#This Row],[Industry]], Mean_PE_M, 2, FALSE))/(VLOOKUP(Main_M[[#This Row],[Industry]], Mean_PE_M, 3, FALSE))</f>
        <v>-7.3619453351791056E-2</v>
      </c>
      <c r="U1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6" spans="1:26" x14ac:dyDescent="0.25">
      <c r="A116" t="s">
        <v>115</v>
      </c>
      <c r="B116" t="s">
        <v>309</v>
      </c>
      <c r="C116" s="2">
        <v>5951</v>
      </c>
      <c r="D116">
        <f>RTD("tos.rtd", , "LAST", Main_M[[#This Row],[Symbol]])</f>
        <v>26.83</v>
      </c>
      <c r="E116">
        <v>3.59</v>
      </c>
      <c r="F116">
        <v>-6.84</v>
      </c>
      <c r="G116">
        <v>3.75</v>
      </c>
      <c r="H116" s="1">
        <f>IF(ISNUMBER(Main_M[[#This Row],[Free CF]]),IF(Main_M[[#This Row],[Free CF]]&lt;&gt;0,Main_M[[#This Row],[Current Price]]/Main_M[[#This Row],[Free CF]],""),"")</f>
        <v>7.4735376044568245</v>
      </c>
      <c r="I116" s="1">
        <f>IF(ISNUMBER(Main_M[[#This Row],[BVPS]]),IF(Main_M[[#This Row],[BVPS]]&lt;&gt;0,Main_M[[#This Row],[Current Price]]/Main_M[[#This Row],[BVPS]],""),"")</f>
        <v>-3.922514619883041</v>
      </c>
      <c r="J116">
        <v>-52.21</v>
      </c>
      <c r="K116">
        <v>15.94</v>
      </c>
      <c r="L116">
        <v>-3.36</v>
      </c>
      <c r="M116" s="1">
        <f>IF(ISNUMBER(Main_M[[#This Row],[EPS]]),IF(Main_M[[#This Row],[EPS]]&lt;&gt;0,Main_M[[#This Row],[Current Price]]/Main_M[[#This Row],[EPS]],""),"")</f>
        <v>7.1546666666666665</v>
      </c>
      <c r="N1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6" s="1">
        <f>(Main_M[[#This Row],[P/FCF]]-VLOOKUP(Main_M[[#This Row],[Industry]], Mean_PFCF_M, 2, FALSE))/(VLOOKUP(Main_M[[#This Row],[Industry]], Mean_PFCF_M, 3, FALSE))</f>
        <v>-0.61948647802400991</v>
      </c>
      <c r="P116" s="1">
        <f>(Main_M[[#This Row],[P/B]]-VLOOKUP(Main_M[[#This Row],[Industry]], Mean_PB_M, 2, FALSE))/(VLOOKUP(Main_M[[#This Row],[Industry]], Mean_PB_M, 3, FALSE))</f>
        <v>-5.5032154099802115</v>
      </c>
      <c r="Q116" s="1">
        <f>(Main_M[[#This Row],[ROE]]-VLOOKUP(Main_M[[#This Row],[Industry]], Mean_ROE_M, 2, FALSE))/(VLOOKUP(Main_M[[#This Row],[Industry]], Mean_ROE_M, 3, FALSE))</f>
        <v>-1.9353047331893902</v>
      </c>
      <c r="R116" s="1">
        <f>(Main_M[[#This Row],[ROA]]-VLOOKUP(Main_M[[#This Row],[Industry]], Mean_ROA_M, 2, FALSE))/(VLOOKUP(Main_M[[#This Row],[Industry]], Mean_ROA_M, 3, FALSE))</f>
        <v>2.5930626146972537</v>
      </c>
      <c r="S116" s="1">
        <f>(Main_M[[#This Row],[A/E]]-VLOOKUP(Main_M[[#This Row],[Industry]], Mean_AE_M, 2, FALSE))/(VLOOKUP(Main_M[[#This Row],[Industry]], Mean_AE_M, 3, FALSE))</f>
        <v>-6.4884201541608624</v>
      </c>
      <c r="T116" s="1">
        <f>(Main_M[[#This Row],[P/E]]-VLOOKUP(Main_M[[#This Row],[Industry]], Mean_PE_M, 2, FALSE))/(VLOOKUP(Main_M[[#This Row],[Industry]], Mean_PE_M, 3, FALSE))</f>
        <v>-0.56537307644440549</v>
      </c>
      <c r="U1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7" spans="1:26" x14ac:dyDescent="0.25">
      <c r="A117" t="s">
        <v>115</v>
      </c>
      <c r="B117" t="s">
        <v>318</v>
      </c>
      <c r="C117" s="2">
        <v>3392</v>
      </c>
      <c r="D117">
        <f>RTD("tos.rtd", , "LAST", Main_M[[#This Row],[Symbol]])</f>
        <v>184.85</v>
      </c>
      <c r="E117">
        <v>-11.56</v>
      </c>
      <c r="F117">
        <v>-8.74</v>
      </c>
      <c r="G117">
        <v>3.62</v>
      </c>
      <c r="H117" s="1">
        <f>IF(ISNUMBER(Main_M[[#This Row],[Free CF]]),IF(Main_M[[#This Row],[Free CF]]&lt;&gt;0,Main_M[[#This Row],[Current Price]]/Main_M[[#This Row],[Free CF]],""),"")</f>
        <v>-15.990484429065743</v>
      </c>
      <c r="I117" s="1">
        <f>IF(ISNUMBER(Main_M[[#This Row],[BVPS]]),IF(Main_M[[#This Row],[BVPS]]&lt;&gt;0,Main_M[[#This Row],[Current Price]]/Main_M[[#This Row],[BVPS]],""),"")</f>
        <v>-21.149885583524025</v>
      </c>
      <c r="J117">
        <v>-31.42</v>
      </c>
      <c r="K117">
        <v>5.08</v>
      </c>
      <c r="L117">
        <v>-27.84</v>
      </c>
      <c r="M117" s="1">
        <f>IF(ISNUMBER(Main_M[[#This Row],[EPS]]),IF(Main_M[[#This Row],[EPS]]&lt;&gt;0,Main_M[[#This Row],[Current Price]]/Main_M[[#This Row],[EPS]],""),"")</f>
        <v>51.063535911602209</v>
      </c>
      <c r="N1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7" s="1">
        <f>(Main_M[[#This Row],[P/FCF]]-VLOOKUP(Main_M[[#This Row],[Industry]], Mean_PFCF_M, 2, FALSE))/(VLOOKUP(Main_M[[#This Row],[Industry]], Mean_PFCF_M, 3, FALSE))</f>
        <v>-1.4849564347955055</v>
      </c>
      <c r="P117" s="1">
        <f>(Main_M[[#This Row],[P/B]]-VLOOKUP(Main_M[[#This Row],[Industry]], Mean_PB_M, 2, FALSE))/(VLOOKUP(Main_M[[#This Row],[Industry]], Mean_PB_M, 3, FALSE))</f>
        <v>-20.489205490955367</v>
      </c>
      <c r="Q117" s="1">
        <f>(Main_M[[#This Row],[ROE]]-VLOOKUP(Main_M[[#This Row],[Industry]], Mean_ROE_M, 2, FALSE))/(VLOOKUP(Main_M[[#This Row],[Industry]], Mean_ROE_M, 3, FALSE))</f>
        <v>-1.401988383057404</v>
      </c>
      <c r="R117" s="1">
        <f>(Main_M[[#This Row],[ROA]]-VLOOKUP(Main_M[[#This Row],[Industry]], Mean_ROA_M, 2, FALSE))/(VLOOKUP(Main_M[[#This Row],[Industry]], Mean_ROA_M, 3, FALSE))</f>
        <v>-6.2350869094559114E-2</v>
      </c>
      <c r="S117" s="1">
        <f>(Main_M[[#This Row],[A/E]]-VLOOKUP(Main_M[[#This Row],[Industry]], Mean_AE_M, 2, FALSE))/(VLOOKUP(Main_M[[#This Row],[Industry]], Mean_AE_M, 3, FALSE))</f>
        <v>-31.702568161757956</v>
      </c>
      <c r="T117" s="1">
        <f>(Main_M[[#This Row],[P/E]]-VLOOKUP(Main_M[[#This Row],[Industry]], Mean_PE_M, 2, FALSE))/(VLOOKUP(Main_M[[#This Row],[Industry]], Mean_PE_M, 3, FALSE))</f>
        <v>4.7087048599409709</v>
      </c>
      <c r="U1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8" spans="1:26" x14ac:dyDescent="0.25">
      <c r="A118" t="s">
        <v>115</v>
      </c>
      <c r="B118" t="s">
        <v>192</v>
      </c>
      <c r="C118" s="2">
        <v>9819</v>
      </c>
      <c r="D118">
        <f>RTD("tos.rtd", , "LAST", Main_M[[#This Row],[Symbol]])</f>
        <v>67.2</v>
      </c>
      <c r="E118">
        <v>1.01</v>
      </c>
      <c r="F118">
        <v>40.72</v>
      </c>
      <c r="G118">
        <v>3.21</v>
      </c>
      <c r="H118" s="1">
        <f>IF(ISNUMBER(Main_M[[#This Row],[Free CF]]),IF(Main_M[[#This Row],[Free CF]]&lt;&gt;0,Main_M[[#This Row],[Current Price]]/Main_M[[#This Row],[Free CF]],""),"")</f>
        <v>66.534653465346537</v>
      </c>
      <c r="I118" s="1">
        <f>IF(ISNUMBER(Main_M[[#This Row],[BVPS]]),IF(Main_M[[#This Row],[BVPS]]&lt;&gt;0,Main_M[[#This Row],[Current Price]]/Main_M[[#This Row],[BVPS]],""),"")</f>
        <v>1.650294695481336</v>
      </c>
      <c r="J118">
        <v>8.1300000000000008</v>
      </c>
      <c r="K118">
        <v>1.81</v>
      </c>
      <c r="L118">
        <v>4.3899999999999997</v>
      </c>
      <c r="M118" s="1">
        <f>IF(ISNUMBER(Main_M[[#This Row],[EPS]]),IF(Main_M[[#This Row],[EPS]]&lt;&gt;0,Main_M[[#This Row],[Current Price]]/Main_M[[#This Row],[EPS]],""),"")</f>
        <v>20.934579439252339</v>
      </c>
      <c r="N1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8" s="1">
        <f>(Main_M[[#This Row],[P/FCF]]-VLOOKUP(Main_M[[#This Row],[Industry]], Mean_PFCF_M, 2, FALSE))/(VLOOKUP(Main_M[[#This Row],[Industry]], Mean_PFCF_M, 3, FALSE))</f>
        <v>1.5589815321906362</v>
      </c>
      <c r="P118" s="1">
        <f>(Main_M[[#This Row],[P/B]]-VLOOKUP(Main_M[[#This Row],[Industry]], Mean_PB_M, 2, FALSE))/(VLOOKUP(Main_M[[#This Row],[Industry]], Mean_PB_M, 3, FALSE))</f>
        <v>-0.65546090933840873</v>
      </c>
      <c r="Q118" s="1">
        <f>(Main_M[[#This Row],[ROE]]-VLOOKUP(Main_M[[#This Row],[Industry]], Mean_ROE_M, 2, FALSE))/(VLOOKUP(Main_M[[#This Row],[Industry]], Mean_ROE_M, 3, FALSE))</f>
        <v>-0.38743034324403008</v>
      </c>
      <c r="R118" s="1">
        <f>(Main_M[[#This Row],[ROA]]-VLOOKUP(Main_M[[#This Row],[Industry]], Mean_ROA_M, 2, FALSE))/(VLOOKUP(Main_M[[#This Row],[Industry]], Mean_ROA_M, 3, FALSE))</f>
        <v>-0.86190907277772921</v>
      </c>
      <c r="S118" s="1">
        <f>(Main_M[[#This Row],[A/E]]-VLOOKUP(Main_M[[#This Row],[Industry]], Mean_AE_M, 2, FALSE))/(VLOOKUP(Main_M[[#This Row],[Industry]], Mean_AE_M, 3, FALSE))</f>
        <v>1.4940000688324995</v>
      </c>
      <c r="T118" s="1">
        <f>(Main_M[[#This Row],[P/E]]-VLOOKUP(Main_M[[#This Row],[Industry]], Mean_PE_M, 2, FALSE))/(VLOOKUP(Main_M[[#This Row],[Industry]], Mean_PE_M, 3, FALSE))</f>
        <v>1.0897898819501932</v>
      </c>
      <c r="U1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9" spans="1:26" x14ac:dyDescent="0.25">
      <c r="A119" t="s">
        <v>115</v>
      </c>
      <c r="B119" t="s">
        <v>305</v>
      </c>
      <c r="C119" s="2">
        <v>8402</v>
      </c>
      <c r="D119">
        <f>RTD("tos.rtd", , "LAST", Main_M[[#This Row],[Symbol]])</f>
        <v>22.25</v>
      </c>
      <c r="E119">
        <v>2.34</v>
      </c>
      <c r="F119">
        <v>8.86</v>
      </c>
      <c r="G119">
        <v>2.2999999999999998</v>
      </c>
      <c r="H119" s="1">
        <f>IF(ISNUMBER(Main_M[[#This Row],[Free CF]]),IF(Main_M[[#This Row],[Free CF]]&lt;&gt;0,Main_M[[#This Row],[Current Price]]/Main_M[[#This Row],[Free CF]],""),"")</f>
        <v>9.5085470085470085</v>
      </c>
      <c r="I119" s="1">
        <f>IF(ISNUMBER(Main_M[[#This Row],[BVPS]]),IF(Main_M[[#This Row],[BVPS]]&lt;&gt;0,Main_M[[#This Row],[Current Price]]/Main_M[[#This Row],[BVPS]],""),"")</f>
        <v>2.5112866817155757</v>
      </c>
      <c r="J119">
        <v>29.16</v>
      </c>
      <c r="K119">
        <v>6.51</v>
      </c>
      <c r="L119">
        <v>3.48</v>
      </c>
      <c r="M119" s="1">
        <f>IF(ISNUMBER(Main_M[[#This Row],[EPS]]),IF(Main_M[[#This Row],[EPS]]&lt;&gt;0,Main_M[[#This Row],[Current Price]]/Main_M[[#This Row],[EPS]],""),"")</f>
        <v>9.6739130434782616</v>
      </c>
      <c r="N1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9" s="1">
        <f>(Main_M[[#This Row],[P/FCF]]-VLOOKUP(Main_M[[#This Row],[Industry]], Mean_PFCF_M, 2, FALSE))/(VLOOKUP(Main_M[[#This Row],[Industry]], Mean_PFCF_M, 3, FALSE))</f>
        <v>-0.54442519916605148</v>
      </c>
      <c r="P119" s="1">
        <f>(Main_M[[#This Row],[P/B]]-VLOOKUP(Main_M[[#This Row],[Industry]], Mean_PB_M, 2, FALSE))/(VLOOKUP(Main_M[[#This Row],[Industry]], Mean_PB_M, 3, FALSE))</f>
        <v>9.3511025656042496E-2</v>
      </c>
      <c r="Q119" s="1">
        <f>(Main_M[[#This Row],[ROE]]-VLOOKUP(Main_M[[#This Row],[Industry]], Mean_ROE_M, 2, FALSE))/(VLOOKUP(Main_M[[#This Row],[Industry]], Mean_ROE_M, 3, FALSE))</f>
        <v>0.1520426169904896</v>
      </c>
      <c r="R119" s="1">
        <f>(Main_M[[#This Row],[ROA]]-VLOOKUP(Main_M[[#This Row],[Industry]], Mean_ROA_M, 2, FALSE))/(VLOOKUP(Main_M[[#This Row],[Industry]], Mean_ROA_M, 3, FALSE))</f>
        <v>0.28730302425924303</v>
      </c>
      <c r="S119" s="1">
        <f>(Main_M[[#This Row],[A/E]]-VLOOKUP(Main_M[[#This Row],[Industry]], Mean_AE_M, 2, FALSE))/(VLOOKUP(Main_M[[#This Row],[Industry]], Mean_AE_M, 3, FALSE))</f>
        <v>0.55670943619715019</v>
      </c>
      <c r="T119" s="1">
        <f>(Main_M[[#This Row],[P/E]]-VLOOKUP(Main_M[[#This Row],[Industry]], Mean_PE_M, 2, FALSE))/(VLOOKUP(Main_M[[#This Row],[Industry]], Mean_PE_M, 3, FALSE))</f>
        <v>-0.26277585723240493</v>
      </c>
      <c r="U1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0" spans="1:26" x14ac:dyDescent="0.25">
      <c r="A120" t="s">
        <v>115</v>
      </c>
      <c r="B120" t="s">
        <v>317</v>
      </c>
      <c r="C120" s="2">
        <v>4397</v>
      </c>
      <c r="D120">
        <f>RTD("tos.rtd", , "LAST", Main_M[[#This Row],[Symbol]])</f>
        <v>36.76</v>
      </c>
      <c r="E120">
        <v>0.18</v>
      </c>
      <c r="F120">
        <v>1.96</v>
      </c>
      <c r="G120">
        <v>2.06</v>
      </c>
      <c r="H120" s="1">
        <f>IF(ISNUMBER(Main_M[[#This Row],[Free CF]]),IF(Main_M[[#This Row],[Free CF]]&lt;&gt;0,Main_M[[#This Row],[Current Price]]/Main_M[[#This Row],[Free CF]],""),"")</f>
        <v>204.22222222222223</v>
      </c>
      <c r="I120" s="1">
        <f>IF(ISNUMBER(Main_M[[#This Row],[BVPS]]),IF(Main_M[[#This Row],[BVPS]]&lt;&gt;0,Main_M[[#This Row],[Current Price]]/Main_M[[#This Row],[BVPS]],""),"")</f>
        <v>18.755102040816325</v>
      </c>
      <c r="J120">
        <v>174.55</v>
      </c>
      <c r="K120">
        <v>7.72</v>
      </c>
      <c r="L120">
        <v>9.86</v>
      </c>
      <c r="M120" s="1">
        <f>IF(ISNUMBER(Main_M[[#This Row],[EPS]]),IF(Main_M[[#This Row],[EPS]]&lt;&gt;0,Main_M[[#This Row],[Current Price]]/Main_M[[#This Row],[EPS]],""),"")</f>
        <v>17.844660194174757</v>
      </c>
      <c r="N1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0" s="1">
        <f>(Main_M[[#This Row],[P/FCF]]-VLOOKUP(Main_M[[#This Row],[Industry]], Mean_PFCF_M, 2, FALSE))/(VLOOKUP(Main_M[[#This Row],[Industry]], Mean_PFCF_M, 3, FALSE))</f>
        <v>6.6375845956269783</v>
      </c>
      <c r="P120" s="1">
        <f>(Main_M[[#This Row],[P/B]]-VLOOKUP(Main_M[[#This Row],[Industry]], Mean_PB_M, 2, FALSE))/(VLOOKUP(Main_M[[#This Row],[Industry]], Mean_PB_M, 3, FALSE))</f>
        <v>14.223911790952336</v>
      </c>
      <c r="Q120" s="1">
        <f>(Main_M[[#This Row],[ROE]]-VLOOKUP(Main_M[[#This Row],[Industry]], Mean_ROE_M, 2, FALSE))/(VLOOKUP(Main_M[[#This Row],[Industry]], Mean_ROE_M, 3, FALSE))</f>
        <v>3.8816657120212468</v>
      </c>
      <c r="R120" s="1">
        <f>(Main_M[[#This Row],[ROA]]-VLOOKUP(Main_M[[#This Row],[Industry]], Mean_ROA_M, 2, FALSE))/(VLOOKUP(Main_M[[#This Row],[Industry]], Mean_ROA_M, 3, FALSE))</f>
        <v>0.58316401094322956</v>
      </c>
      <c r="S120" s="1">
        <f>(Main_M[[#This Row],[A/E]]-VLOOKUP(Main_M[[#This Row],[Industry]], Mean_AE_M, 2, FALSE))/(VLOOKUP(Main_M[[#This Row],[Industry]], Mean_AE_M, 3, FALSE))</f>
        <v>7.1280437617065235</v>
      </c>
      <c r="T120" s="1">
        <f>(Main_M[[#This Row],[P/E]]-VLOOKUP(Main_M[[#This Row],[Industry]], Mean_PE_M, 2, FALSE))/(VLOOKUP(Main_M[[#This Row],[Industry]], Mean_PE_M, 3, FALSE))</f>
        <v>0.71864675765860453</v>
      </c>
      <c r="U1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1" spans="1:26" x14ac:dyDescent="0.25">
      <c r="A121" t="s">
        <v>115</v>
      </c>
      <c r="B121" t="s">
        <v>307</v>
      </c>
      <c r="C121" s="2">
        <v>7714</v>
      </c>
      <c r="D121">
        <f>RTD("tos.rtd", , "LAST", Main_M[[#This Row],[Symbol]])</f>
        <v>74.61</v>
      </c>
      <c r="E121">
        <v>1.17</v>
      </c>
      <c r="F121">
        <v>20.65</v>
      </c>
      <c r="G121">
        <v>1.89</v>
      </c>
      <c r="H121" s="1">
        <f>IF(ISNUMBER(Main_M[[#This Row],[Free CF]]),IF(Main_M[[#This Row],[Free CF]]&lt;&gt;0,Main_M[[#This Row],[Current Price]]/Main_M[[#This Row],[Free CF]],""),"")</f>
        <v>63.769230769230774</v>
      </c>
      <c r="I121" s="1">
        <f>IF(ISNUMBER(Main_M[[#This Row],[BVPS]]),IF(Main_M[[#This Row],[BVPS]]&lt;&gt;0,Main_M[[#This Row],[Current Price]]/Main_M[[#This Row],[BVPS]],""),"")</f>
        <v>3.613075060532688</v>
      </c>
      <c r="J121">
        <v>9.74</v>
      </c>
      <c r="K121">
        <v>3.15</v>
      </c>
      <c r="L121">
        <v>2.42</v>
      </c>
      <c r="M121" s="1">
        <f>IF(ISNUMBER(Main_M[[#This Row],[EPS]]),IF(Main_M[[#This Row],[EPS]]&lt;&gt;0,Main_M[[#This Row],[Current Price]]/Main_M[[#This Row],[EPS]],""),"")</f>
        <v>39.476190476190474</v>
      </c>
      <c r="N1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1" s="1">
        <f>(Main_M[[#This Row],[P/FCF]]-VLOOKUP(Main_M[[#This Row],[Industry]], Mean_PFCF_M, 2, FALSE))/(VLOOKUP(Main_M[[#This Row],[Industry]], Mean_PFCF_M, 3, FALSE))</f>
        <v>1.4569789744943114</v>
      </c>
      <c r="P121" s="1">
        <f>(Main_M[[#This Row],[P/B]]-VLOOKUP(Main_M[[#This Row],[Industry]], Mean_PB_M, 2, FALSE))/(VLOOKUP(Main_M[[#This Row],[Industry]], Mean_PB_M, 3, FALSE))</f>
        <v>1.0519503459176687</v>
      </c>
      <c r="Q121" s="1">
        <f>(Main_M[[#This Row],[ROE]]-VLOOKUP(Main_M[[#This Row],[Industry]], Mean_ROE_M, 2, FALSE))/(VLOOKUP(Main_M[[#This Row],[Industry]], Mean_ROE_M, 3, FALSE))</f>
        <v>-0.3461297504728662</v>
      </c>
      <c r="R121" s="1">
        <f>(Main_M[[#This Row],[ROA]]-VLOOKUP(Main_M[[#This Row],[Industry]], Mean_ROA_M, 2, FALSE))/(VLOOKUP(Main_M[[#This Row],[Industry]], Mean_ROA_M, 3, FALSE))</f>
        <v>-0.53426136851612438</v>
      </c>
      <c r="S121" s="1">
        <f>(Main_M[[#This Row],[A/E]]-VLOOKUP(Main_M[[#This Row],[Industry]], Mean_AE_M, 2, FALSE))/(VLOOKUP(Main_M[[#This Row],[Industry]], Mean_AE_M, 3, FALSE))</f>
        <v>-0.53507965236710331</v>
      </c>
      <c r="T121" s="1">
        <f>(Main_M[[#This Row],[P/E]]-VLOOKUP(Main_M[[#This Row],[Industry]], Mean_PE_M, 2, FALSE))/(VLOOKUP(Main_M[[#This Row],[Industry]], Mean_PE_M, 3, FALSE))</f>
        <v>3.3169003349535826</v>
      </c>
      <c r="U1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2" spans="1:26" x14ac:dyDescent="0.25">
      <c r="A122" t="s">
        <v>115</v>
      </c>
      <c r="B122" t="s">
        <v>475</v>
      </c>
      <c r="C122" s="2">
        <v>5493</v>
      </c>
      <c r="D122">
        <f>RTD("tos.rtd", , "LAST", Main_M[[#This Row],[Symbol]])</f>
        <v>50.427999999999997</v>
      </c>
      <c r="E122">
        <v>1.1000000000000001</v>
      </c>
      <c r="F122">
        <v>6.62</v>
      </c>
      <c r="G122">
        <v>1.23</v>
      </c>
      <c r="H122" s="1">
        <f>IF(ISNUMBER(Main_M[[#This Row],[Free CF]]),IF(Main_M[[#This Row],[Free CF]]&lt;&gt;0,Main_M[[#This Row],[Current Price]]/Main_M[[#This Row],[Free CF]],""),"")</f>
        <v>45.843636363636357</v>
      </c>
      <c r="I122" s="1">
        <f>IF(ISNUMBER(Main_M[[#This Row],[BVPS]]),IF(Main_M[[#This Row],[BVPS]]&lt;&gt;0,Main_M[[#This Row],[Current Price]]/Main_M[[#This Row],[BVPS]],""),"")</f>
        <v>7.6175226586102713</v>
      </c>
      <c r="J122">
        <v>21.85</v>
      </c>
      <c r="K122">
        <v>8.3699999999999992</v>
      </c>
      <c r="L122">
        <v>2.2400000000000002</v>
      </c>
      <c r="M122" s="1">
        <f>IF(ISNUMBER(Main_M[[#This Row],[EPS]]),IF(Main_M[[#This Row],[EPS]]&lt;&gt;0,Main_M[[#This Row],[Current Price]]/Main_M[[#This Row],[EPS]],""),"")</f>
        <v>40.998373983739839</v>
      </c>
      <c r="N1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2" s="1">
        <f>(Main_M[[#This Row],[P/FCF]]-VLOOKUP(Main_M[[#This Row],[Industry]], Mean_PFCF_M, 2, FALSE))/(VLOOKUP(Main_M[[#This Row],[Industry]], Mean_PFCF_M, 3, FALSE))</f>
        <v>0.7957938037188772</v>
      </c>
      <c r="P122" s="1">
        <f>(Main_M[[#This Row],[P/B]]-VLOOKUP(Main_M[[#This Row],[Industry]], Mean_PB_M, 2, FALSE))/(VLOOKUP(Main_M[[#This Row],[Industry]], Mean_PB_M, 3, FALSE))</f>
        <v>4.5353960853302642</v>
      </c>
      <c r="Q122" s="1">
        <f>(Main_M[[#This Row],[ROE]]-VLOOKUP(Main_M[[#This Row],[Industry]], Mean_ROE_M, 2, FALSE))/(VLOOKUP(Main_M[[#This Row],[Industry]], Mean_ROE_M, 3, FALSE))</f>
        <v>-3.5477465715850795E-2</v>
      </c>
      <c r="R122" s="1">
        <f>(Main_M[[#This Row],[ROA]]-VLOOKUP(Main_M[[#This Row],[Industry]], Mean_ROA_M, 2, FALSE))/(VLOOKUP(Main_M[[#This Row],[Industry]], Mean_ROA_M, 3, FALSE))</f>
        <v>0.74209759883132131</v>
      </c>
      <c r="S122" s="1">
        <f>(Main_M[[#This Row],[A/E]]-VLOOKUP(Main_M[[#This Row],[Industry]], Mean_AE_M, 2, FALSE))/(VLOOKUP(Main_M[[#This Row],[Industry]], Mean_AE_M, 3, FALSE))</f>
        <v>-0.72047779948178747</v>
      </c>
      <c r="T122" s="1">
        <f>(Main_M[[#This Row],[P/E]]-VLOOKUP(Main_M[[#This Row],[Industry]], Mean_PE_M, 2, FALSE))/(VLOOKUP(Main_M[[#This Row],[Industry]], Mean_PE_M, 3, FALSE))</f>
        <v>3.4997361626655836</v>
      </c>
      <c r="U1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3" spans="1:26" x14ac:dyDescent="0.25">
      <c r="A123" t="s">
        <v>115</v>
      </c>
      <c r="B123" t="s">
        <v>477</v>
      </c>
      <c r="C123" s="2">
        <v>2495</v>
      </c>
      <c r="D123">
        <f>RTD("tos.rtd", , "LAST", Main_M[[#This Row],[Symbol]])</f>
        <v>7.49</v>
      </c>
      <c r="E123">
        <v>1.02</v>
      </c>
      <c r="F123">
        <v>4.32</v>
      </c>
      <c r="G123">
        <v>0.53</v>
      </c>
      <c r="H123" s="1">
        <f>IF(ISNUMBER(Main_M[[#This Row],[Free CF]]),IF(Main_M[[#This Row],[Free CF]]&lt;&gt;0,Main_M[[#This Row],[Current Price]]/Main_M[[#This Row],[Free CF]],""),"")</f>
        <v>7.3431372549019605</v>
      </c>
      <c r="I123" s="1">
        <f>IF(ISNUMBER(Main_M[[#This Row],[BVPS]]),IF(Main_M[[#This Row],[BVPS]]&lt;&gt;0,Main_M[[#This Row],[Current Price]]/Main_M[[#This Row],[BVPS]],""),"")</f>
        <v>1.7337962962962963</v>
      </c>
      <c r="J123">
        <v>12.66</v>
      </c>
      <c r="K123">
        <v>6.84</v>
      </c>
      <c r="L123">
        <v>2.2599999999999998</v>
      </c>
      <c r="M123" s="1">
        <f>IF(ISNUMBER(Main_M[[#This Row],[EPS]]),IF(Main_M[[#This Row],[EPS]]&lt;&gt;0,Main_M[[#This Row],[Current Price]]/Main_M[[#This Row],[EPS]],""),"")</f>
        <v>14.132075471698112</v>
      </c>
      <c r="N1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23" s="1">
        <f>(Main_M[[#This Row],[P/FCF]]-VLOOKUP(Main_M[[#This Row],[Industry]], Mean_PFCF_M, 2, FALSE))/(VLOOKUP(Main_M[[#This Row],[Industry]], Mean_PFCF_M, 3, FALSE))</f>
        <v>-0.62429629216120253</v>
      </c>
      <c r="P123" s="1">
        <f>(Main_M[[#This Row],[P/B]]-VLOOKUP(Main_M[[#This Row],[Industry]], Mean_PB_M, 2, FALSE))/(VLOOKUP(Main_M[[#This Row],[Industry]], Mean_PB_M, 3, FALSE))</f>
        <v>-0.58282335110624606</v>
      </c>
      <c r="Q123" s="1">
        <f>(Main_M[[#This Row],[ROE]]-VLOOKUP(Main_M[[#This Row],[Industry]], Mean_ROE_M, 2, FALSE))/(VLOOKUP(Main_M[[#This Row],[Industry]], Mean_ROE_M, 3, FALSE))</f>
        <v>-0.27122432755870562</v>
      </c>
      <c r="R123" s="1">
        <f>(Main_M[[#This Row],[ROA]]-VLOOKUP(Main_M[[#This Row],[Industry]], Mean_ROA_M, 2, FALSE))/(VLOOKUP(Main_M[[#This Row],[Industry]], Mean_ROA_M, 3, FALSE))</f>
        <v>0.36799238426396663</v>
      </c>
      <c r="S123" s="1">
        <f>(Main_M[[#This Row],[A/E]]-VLOOKUP(Main_M[[#This Row],[Industry]], Mean_AE_M, 2, FALSE))/(VLOOKUP(Main_M[[#This Row],[Industry]], Mean_AE_M, 3, FALSE))</f>
        <v>-0.6998780053579341</v>
      </c>
      <c r="T123" s="1">
        <f>(Main_M[[#This Row],[P/E]]-VLOOKUP(Main_M[[#This Row],[Industry]], Mean_PE_M, 2, FALSE))/(VLOOKUP(Main_M[[#This Row],[Industry]], Mean_PE_M, 3, FALSE))</f>
        <v>0.27271267854236964</v>
      </c>
      <c r="U1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4" spans="1:26" x14ac:dyDescent="0.25">
      <c r="A124" t="s">
        <v>115</v>
      </c>
      <c r="B124" t="s">
        <v>480</v>
      </c>
      <c r="C124" s="2">
        <v>5881</v>
      </c>
      <c r="D124">
        <f>RTD("tos.rtd", , "LAST", Main_M[[#This Row],[Symbol]])</f>
        <v>1.06</v>
      </c>
      <c r="E124">
        <v>0.17</v>
      </c>
      <c r="F124">
        <v>0.7</v>
      </c>
      <c r="G124">
        <v>0.12</v>
      </c>
      <c r="H124" s="1">
        <f>IF(ISNUMBER(Main_M[[#This Row],[Free CF]]),IF(Main_M[[#This Row],[Free CF]]&lt;&gt;0,Main_M[[#This Row],[Current Price]]/Main_M[[#This Row],[Free CF]],""),"")</f>
        <v>6.2352941176470589</v>
      </c>
      <c r="I124" s="1">
        <f>IF(ISNUMBER(Main_M[[#This Row],[BVPS]]),IF(Main_M[[#This Row],[BVPS]]&lt;&gt;0,Main_M[[#This Row],[Current Price]]/Main_M[[#This Row],[BVPS]],""),"")</f>
        <v>1.5142857142857145</v>
      </c>
      <c r="J124">
        <v>17.309999999999999</v>
      </c>
      <c r="K124">
        <v>7.36</v>
      </c>
      <c r="L124">
        <v>3.41</v>
      </c>
      <c r="M124" s="1">
        <f>IF(ISNUMBER(Main_M[[#This Row],[EPS]]),IF(Main_M[[#This Row],[EPS]]&lt;&gt;0,Main_M[[#This Row],[Current Price]]/Main_M[[#This Row],[EPS]],""),"")</f>
        <v>8.8333333333333339</v>
      </c>
      <c r="N1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4" s="1">
        <f>(Main_M[[#This Row],[P/FCF]]-VLOOKUP(Main_M[[#This Row],[Industry]], Mean_PFCF_M, 2, FALSE))/(VLOOKUP(Main_M[[#This Row],[Industry]], Mean_PFCF_M, 3, FALSE))</f>
        <v>-0.66515906286350479</v>
      </c>
      <c r="P124" s="1">
        <f>(Main_M[[#This Row],[P/B]]-VLOOKUP(Main_M[[#This Row],[Industry]], Mean_PB_M, 2, FALSE))/(VLOOKUP(Main_M[[#This Row],[Industry]], Mean_PB_M, 3, FALSE))</f>
        <v>-0.77377433321619493</v>
      </c>
      <c r="Q124" s="1">
        <f>(Main_M[[#This Row],[ROE]]-VLOOKUP(Main_M[[#This Row],[Industry]], Mean_ROE_M, 2, FALSE))/(VLOOKUP(Main_M[[#This Row],[Industry]], Mean_ROE_M, 3, FALSE))</f>
        <v>-0.15194000682211425</v>
      </c>
      <c r="R124" s="1">
        <f>(Main_M[[#This Row],[ROA]]-VLOOKUP(Main_M[[#This Row],[Industry]], Mean_ROA_M, 2, FALSE))/(VLOOKUP(Main_M[[#This Row],[Industry]], Mean_ROA_M, 3, FALSE))</f>
        <v>0.4951392545744403</v>
      </c>
      <c r="S124" s="1">
        <f>(Main_M[[#This Row],[A/E]]-VLOOKUP(Main_M[[#This Row],[Industry]], Mean_AE_M, 2, FALSE))/(VLOOKUP(Main_M[[#This Row],[Industry]], Mean_AE_M, 3, FALSE))</f>
        <v>0.48461015676366187</v>
      </c>
      <c r="T124" s="1">
        <f>(Main_M[[#This Row],[P/E]]-VLOOKUP(Main_M[[#This Row],[Industry]], Mean_PE_M, 2, FALSE))/(VLOOKUP(Main_M[[#This Row],[Industry]], Mean_PE_M, 3, FALSE))</f>
        <v>-0.36374140199099403</v>
      </c>
      <c r="U1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5" spans="1:26" x14ac:dyDescent="0.25">
      <c r="A125" t="s">
        <v>115</v>
      </c>
      <c r="B125" t="s">
        <v>447</v>
      </c>
      <c r="C125" s="2">
        <v>2570</v>
      </c>
      <c r="D125">
        <f>RTD("tos.rtd", , "LAST", Main_M[[#This Row],[Symbol]])</f>
        <v>22.48</v>
      </c>
      <c r="E125">
        <v>0.35</v>
      </c>
      <c r="F125">
        <v>2.92</v>
      </c>
      <c r="G125">
        <v>-0.12</v>
      </c>
      <c r="H125" s="1">
        <f>IF(ISNUMBER(Main_M[[#This Row],[Free CF]]),IF(Main_M[[#This Row],[Free CF]]&lt;&gt;0,Main_M[[#This Row],[Current Price]]/Main_M[[#This Row],[Free CF]],""),"")</f>
        <v>64.228571428571428</v>
      </c>
      <c r="I125" s="1">
        <f>IF(ISNUMBER(Main_M[[#This Row],[BVPS]]),IF(Main_M[[#This Row],[BVPS]]&lt;&gt;0,Main_M[[#This Row],[Current Price]]/Main_M[[#This Row],[BVPS]],""),"")</f>
        <v>7.6986301369863019</v>
      </c>
      <c r="J125">
        <v>-4.25</v>
      </c>
      <c r="K125">
        <v>-2.0699999999999998</v>
      </c>
      <c r="L125">
        <v>1.93</v>
      </c>
      <c r="M125" s="1">
        <f>IF(ISNUMBER(Main_M[[#This Row],[EPS]]),IF(Main_M[[#This Row],[EPS]]&lt;&gt;0,Main_M[[#This Row],[Current Price]]/Main_M[[#This Row],[EPS]],""),"")</f>
        <v>-187.33333333333334</v>
      </c>
      <c r="N1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5" s="1">
        <f>(Main_M[[#This Row],[P/FCF]]-VLOOKUP(Main_M[[#This Row],[Industry]], Mean_PFCF_M, 2, FALSE))/(VLOOKUP(Main_M[[#This Row],[Industry]], Mean_PFCF_M, 3, FALSE))</f>
        <v>1.4739217450054787</v>
      </c>
      <c r="P125" s="1">
        <f>(Main_M[[#This Row],[P/B]]-VLOOKUP(Main_M[[#This Row],[Industry]], Mean_PB_M, 2, FALSE))/(VLOOKUP(Main_M[[#This Row],[Industry]], Mean_PB_M, 3, FALSE))</f>
        <v>4.6059510103389263</v>
      </c>
      <c r="Q125" s="1">
        <f>(Main_M[[#This Row],[ROE]]-VLOOKUP(Main_M[[#This Row],[Industry]], Mean_ROE_M, 2, FALSE))/(VLOOKUP(Main_M[[#This Row],[Industry]], Mean_ROE_M, 3, FALSE))</f>
        <v>-0.70500881436639595</v>
      </c>
      <c r="R125" s="1">
        <f>(Main_M[[#This Row],[ROA]]-VLOOKUP(Main_M[[#This Row],[Industry]], Mean_ROA_M, 2, FALSE))/(VLOOKUP(Main_M[[#This Row],[Industry]], Mean_ROA_M, 3, FALSE))</f>
        <v>-1.8106203358635702</v>
      </c>
      <c r="S125" s="1">
        <f>(Main_M[[#This Row],[A/E]]-VLOOKUP(Main_M[[#This Row],[Industry]], Mean_AE_M, 2, FALSE))/(VLOOKUP(Main_M[[#This Row],[Industry]], Mean_AE_M, 3, FALSE))</f>
        <v>-1.0397746084015222</v>
      </c>
      <c r="T125" s="1">
        <f>(Main_M[[#This Row],[P/E]]-VLOOKUP(Main_M[[#This Row],[Industry]], Mean_PE_M, 2, FALSE))/(VLOOKUP(Main_M[[#This Row],[Industry]], Mean_PE_M, 3, FALSE))</f>
        <v>-23.926140213713115</v>
      </c>
      <c r="U1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6" spans="1:26" x14ac:dyDescent="0.25">
      <c r="A126" t="s">
        <v>115</v>
      </c>
      <c r="B126" t="s">
        <v>311</v>
      </c>
      <c r="C126" s="2">
        <v>2755</v>
      </c>
      <c r="D126">
        <f>RTD("tos.rtd", , "LAST", Main_M[[#This Row],[Symbol]])</f>
        <v>79.709999999999994</v>
      </c>
      <c r="E126">
        <v>9.51</v>
      </c>
      <c r="F126">
        <v>42.87</v>
      </c>
      <c r="G126">
        <v>-0.81</v>
      </c>
      <c r="H126" s="1">
        <f>IF(ISNUMBER(Main_M[[#This Row],[Free CF]]),IF(Main_M[[#This Row],[Free CF]]&lt;&gt;0,Main_M[[#This Row],[Current Price]]/Main_M[[#This Row],[Free CF]],""),"")</f>
        <v>8.381703470031546</v>
      </c>
      <c r="I126" s="1">
        <f>IF(ISNUMBER(Main_M[[#This Row],[BVPS]]),IF(Main_M[[#This Row],[BVPS]]&lt;&gt;0,Main_M[[#This Row],[Current Price]]/Main_M[[#This Row],[BVPS]],""),"")</f>
        <v>1.8593421973407978</v>
      </c>
      <c r="J126">
        <v>2.62</v>
      </c>
      <c r="K126">
        <v>5.0599999999999996</v>
      </c>
      <c r="L126">
        <v>3.09</v>
      </c>
      <c r="M126" s="1">
        <f>IF(ISNUMBER(Main_M[[#This Row],[EPS]]),IF(Main_M[[#This Row],[EPS]]&lt;&gt;0,Main_M[[#This Row],[Current Price]]/Main_M[[#This Row],[EPS]],""),"")</f>
        <v>-98.407407407407391</v>
      </c>
      <c r="N1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6" s="1">
        <f>(Main_M[[#This Row],[P/FCF]]-VLOOKUP(Main_M[[#This Row],[Industry]], Mean_PFCF_M, 2, FALSE))/(VLOOKUP(Main_M[[#This Row],[Industry]], Mean_PFCF_M, 3, FALSE))</f>
        <v>-0.58598879926725744</v>
      </c>
      <c r="P126" s="1">
        <f>(Main_M[[#This Row],[P/B]]-VLOOKUP(Main_M[[#This Row],[Industry]], Mean_PB_M, 2, FALSE))/(VLOOKUP(Main_M[[#This Row],[Industry]], Mean_PB_M, 3, FALSE))</f>
        <v>-0.47361169996511626</v>
      </c>
      <c r="Q126" s="1">
        <f>(Main_M[[#This Row],[ROE]]-VLOOKUP(Main_M[[#This Row],[Industry]], Mean_ROE_M, 2, FALSE))/(VLOOKUP(Main_M[[#This Row],[Industry]], Mean_ROE_M, 3, FALSE))</f>
        <v>-0.52877585018136741</v>
      </c>
      <c r="R126" s="1">
        <f>(Main_M[[#This Row],[ROA]]-VLOOKUP(Main_M[[#This Row],[Industry]], Mean_ROA_M, 2, FALSE))/(VLOOKUP(Main_M[[#This Row],[Industry]], Mean_ROA_M, 3, FALSE))</f>
        <v>-6.7241133337269748E-2</v>
      </c>
      <c r="S126" s="1">
        <f>(Main_M[[#This Row],[A/E]]-VLOOKUP(Main_M[[#This Row],[Industry]], Mean_AE_M, 2, FALSE))/(VLOOKUP(Main_M[[#This Row],[Industry]], Mean_AE_M, 3, FALSE))</f>
        <v>0.15501345078200021</v>
      </c>
      <c r="T126" s="1">
        <f>(Main_M[[#This Row],[P/E]]-VLOOKUP(Main_M[[#This Row],[Industry]], Mean_PE_M, 2, FALSE))/(VLOOKUP(Main_M[[#This Row],[Industry]], Mean_PE_M, 3, FALSE))</f>
        <v>-13.244875312939998</v>
      </c>
      <c r="U1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7" spans="1:26" x14ac:dyDescent="0.25">
      <c r="A127" t="s">
        <v>115</v>
      </c>
      <c r="B127" t="s">
        <v>319</v>
      </c>
      <c r="C127" s="2">
        <v>5292</v>
      </c>
      <c r="D127">
        <f>RTD("tos.rtd", , "LAST", Main_M[[#This Row],[Symbol]])</f>
        <v>47.28</v>
      </c>
      <c r="E127">
        <v>1.1000000000000001</v>
      </c>
      <c r="F127">
        <v>-22.13</v>
      </c>
      <c r="G127">
        <v>-2.88</v>
      </c>
      <c r="H127" s="1">
        <f>IF(ISNUMBER(Main_M[[#This Row],[Free CF]]),IF(Main_M[[#This Row],[Free CF]]&lt;&gt;0,Main_M[[#This Row],[Current Price]]/Main_M[[#This Row],[Free CF]],""),"")</f>
        <v>42.981818181818177</v>
      </c>
      <c r="I127" s="1">
        <f>IF(ISNUMBER(Main_M[[#This Row],[BVPS]]),IF(Main_M[[#This Row],[BVPS]]&lt;&gt;0,Main_M[[#This Row],[Current Price]]/Main_M[[#This Row],[BVPS]],""),"")</f>
        <v>-2.1364663352914599</v>
      </c>
      <c r="J127">
        <v>12.67</v>
      </c>
      <c r="K127">
        <v>-4.45</v>
      </c>
      <c r="L127">
        <v>-1.22</v>
      </c>
      <c r="M127" s="1">
        <f>IF(ISNUMBER(Main_M[[#This Row],[EPS]]),IF(Main_M[[#This Row],[EPS]]&lt;&gt;0,Main_M[[#This Row],[Current Price]]/Main_M[[#This Row],[EPS]],""),"")</f>
        <v>-16.416666666666668</v>
      </c>
      <c r="N1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7" s="1">
        <f>(Main_M[[#This Row],[P/FCF]]-VLOOKUP(Main_M[[#This Row],[Industry]], Mean_PFCF_M, 2, FALSE))/(VLOOKUP(Main_M[[#This Row],[Industry]], Mean_PFCF_M, 3, FALSE))</f>
        <v>0.6902357005698313</v>
      </c>
      <c r="P127" s="1">
        <f>(Main_M[[#This Row],[P/B]]-VLOOKUP(Main_M[[#This Row],[Industry]], Mean_PB_M, 2, FALSE))/(VLOOKUP(Main_M[[#This Row],[Industry]], Mean_PB_M, 3, FALSE))</f>
        <v>-3.9495423664541773</v>
      </c>
      <c r="Q127" s="1">
        <f>(Main_M[[#This Row],[ROE]]-VLOOKUP(Main_M[[#This Row],[Industry]], Mean_ROE_M, 2, FALSE))/(VLOOKUP(Main_M[[#This Row],[Industry]], Mean_ROE_M, 3, FALSE))</f>
        <v>-0.27096780213776672</v>
      </c>
      <c r="R127" s="1">
        <f>(Main_M[[#This Row],[ROA]]-VLOOKUP(Main_M[[#This Row],[Industry]], Mean_ROA_M, 2, FALSE))/(VLOOKUP(Main_M[[#This Row],[Industry]], Mean_ROA_M, 3, FALSE))</f>
        <v>-2.3925617807461221</v>
      </c>
      <c r="S127" s="1">
        <f>(Main_M[[#This Row],[A/E]]-VLOOKUP(Main_M[[#This Row],[Industry]], Mean_AE_M, 2, FALSE))/(VLOOKUP(Main_M[[#This Row],[Industry]], Mean_AE_M, 3, FALSE))</f>
        <v>-4.2842421829085016</v>
      </c>
      <c r="T127" s="1">
        <f>(Main_M[[#This Row],[P/E]]-VLOOKUP(Main_M[[#This Row],[Industry]], Mean_PE_M, 2, FALSE))/(VLOOKUP(Main_M[[#This Row],[Industry]], Mean_PE_M, 3, FALSE))</f>
        <v>-3.3966245115711993</v>
      </c>
      <c r="U1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8" spans="1:26" x14ac:dyDescent="0.25">
      <c r="A128" t="s">
        <v>115</v>
      </c>
      <c r="B128" t="s">
        <v>424</v>
      </c>
      <c r="C128" s="2">
        <v>2263</v>
      </c>
      <c r="D128">
        <f>RTD("tos.rtd", , "LAST", Main_M[[#This Row],[Symbol]])</f>
        <v>24.05</v>
      </c>
      <c r="E128">
        <v>0.65</v>
      </c>
      <c r="F128">
        <v>27.37</v>
      </c>
      <c r="G128">
        <v>-3.72</v>
      </c>
      <c r="H128" s="1">
        <f>IF(ISNUMBER(Main_M[[#This Row],[Free CF]]),IF(Main_M[[#This Row],[Free CF]]&lt;&gt;0,Main_M[[#This Row],[Current Price]]/Main_M[[#This Row],[Free CF]],""),"")</f>
        <v>37</v>
      </c>
      <c r="I128" s="1">
        <f>IF(ISNUMBER(Main_M[[#This Row],[BVPS]]),IF(Main_M[[#This Row],[BVPS]]&lt;&gt;0,Main_M[[#This Row],[Current Price]]/Main_M[[#This Row],[BVPS]],""),"")</f>
        <v>0.87869930580928024</v>
      </c>
      <c r="J128">
        <v>-12.85</v>
      </c>
      <c r="K128">
        <v>1.54</v>
      </c>
      <c r="L128">
        <v>2.5099999999999998</v>
      </c>
      <c r="M128" s="1">
        <f>IF(ISNUMBER(Main_M[[#This Row],[EPS]]),IF(Main_M[[#This Row],[EPS]]&lt;&gt;0,Main_M[[#This Row],[Current Price]]/Main_M[[#This Row],[EPS]],""),"")</f>
        <v>-6.46505376344086</v>
      </c>
      <c r="N1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8" s="1">
        <f>(Main_M[[#This Row],[P/FCF]]-VLOOKUP(Main_M[[#This Row],[Industry]], Mean_PFCF_M, 2, FALSE))/(VLOOKUP(Main_M[[#This Row],[Industry]], Mean_PFCF_M, 3, FALSE))</f>
        <v>0.46959646336502769</v>
      </c>
      <c r="P128" s="1">
        <f>(Main_M[[#This Row],[P/B]]-VLOOKUP(Main_M[[#This Row],[Industry]], Mean_PB_M, 2, FALSE))/(VLOOKUP(Main_M[[#This Row],[Industry]], Mean_PB_M, 3, FALSE))</f>
        <v>-1.3266672634916914</v>
      </c>
      <c r="Q128" s="1">
        <f>(Main_M[[#This Row],[ROE]]-VLOOKUP(Main_M[[#This Row],[Industry]], Mean_ROE_M, 2, FALSE))/(VLOOKUP(Main_M[[#This Row],[Industry]], Mean_ROE_M, 3, FALSE))</f>
        <v>-0.92562067637385526</v>
      </c>
      <c r="R128" s="1">
        <f>(Main_M[[#This Row],[ROA]]-VLOOKUP(Main_M[[#This Row],[Industry]], Mean_ROA_M, 2, FALSE))/(VLOOKUP(Main_M[[#This Row],[Industry]], Mean_ROA_M, 3, FALSE))</f>
        <v>-0.92792764005432127</v>
      </c>
      <c r="S128" s="1">
        <f>(Main_M[[#This Row],[A/E]]-VLOOKUP(Main_M[[#This Row],[Industry]], Mean_AE_M, 2, FALSE))/(VLOOKUP(Main_M[[#This Row],[Industry]], Mean_AE_M, 3, FALSE))</f>
        <v>-0.44238057880976112</v>
      </c>
      <c r="T128" s="1">
        <f>(Main_M[[#This Row],[P/E]]-VLOOKUP(Main_M[[#This Row],[Industry]], Mean_PE_M, 2, FALSE))/(VLOOKUP(Main_M[[#This Row],[Industry]], Mean_PE_M, 3, FALSE))</f>
        <v>-2.2012946625702496</v>
      </c>
      <c r="U1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9" spans="1:26" x14ac:dyDescent="0.25">
      <c r="A129" t="s">
        <v>115</v>
      </c>
      <c r="B129" t="s">
        <v>448</v>
      </c>
      <c r="C129" s="2">
        <v>2872</v>
      </c>
      <c r="D129">
        <f>RTD("tos.rtd", , "LAST", Main_M[[#This Row],[Symbol]])</f>
        <v>52.1</v>
      </c>
      <c r="E129">
        <v>-4.21</v>
      </c>
      <c r="F129">
        <v>36.74</v>
      </c>
      <c r="G129">
        <v>-9.7200000000000006</v>
      </c>
      <c r="H129" s="1">
        <f>IF(ISNUMBER(Main_M[[#This Row],[Free CF]]),IF(Main_M[[#This Row],[Free CF]]&lt;&gt;0,Main_M[[#This Row],[Current Price]]/Main_M[[#This Row],[Free CF]],""),"")</f>
        <v>-12.375296912114015</v>
      </c>
      <c r="I129" s="1">
        <f>IF(ISNUMBER(Main_M[[#This Row],[BVPS]]),IF(Main_M[[#This Row],[BVPS]]&lt;&gt;0,Main_M[[#This Row],[Current Price]]/Main_M[[#This Row],[BVPS]],""),"")</f>
        <v>1.4180729450190528</v>
      </c>
      <c r="J129">
        <v>-24.36</v>
      </c>
      <c r="K129">
        <v>-0.21</v>
      </c>
      <c r="L129">
        <v>4.83</v>
      </c>
      <c r="M129" s="1">
        <f>IF(ISNUMBER(Main_M[[#This Row],[EPS]]),IF(Main_M[[#This Row],[EPS]]&lt;&gt;0,Main_M[[#This Row],[Current Price]]/Main_M[[#This Row],[EPS]],""),"")</f>
        <v>-5.3600823045267489</v>
      </c>
      <c r="N1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9" s="1">
        <f>(Main_M[[#This Row],[P/FCF]]-VLOOKUP(Main_M[[#This Row],[Industry]], Mean_PFCF_M, 2, FALSE))/(VLOOKUP(Main_M[[#This Row],[Industry]], Mean_PFCF_M, 3, FALSE))</f>
        <v>-1.3516103196432543</v>
      </c>
      <c r="P129" s="1">
        <f>(Main_M[[#This Row],[P/B]]-VLOOKUP(Main_M[[#This Row],[Industry]], Mean_PB_M, 2, FALSE))/(VLOOKUP(Main_M[[#This Row],[Industry]], Mean_PB_M, 3, FALSE))</f>
        <v>-0.85746926315857608</v>
      </c>
      <c r="Q129" s="1">
        <f>(Main_M[[#This Row],[ROE]]-VLOOKUP(Main_M[[#This Row],[Industry]], Mean_ROE_M, 2, FALSE))/(VLOOKUP(Main_M[[#This Row],[Industry]], Mean_ROE_M, 3, FALSE))</f>
        <v>-1.2208814358745363</v>
      </c>
      <c r="R129" s="1">
        <f>(Main_M[[#This Row],[ROA]]-VLOOKUP(Main_M[[#This Row],[Industry]], Mean_ROA_M, 2, FALSE))/(VLOOKUP(Main_M[[#This Row],[Industry]], Mean_ROA_M, 3, FALSE))</f>
        <v>-1.3558257612914919</v>
      </c>
      <c r="S129" s="1">
        <f>(Main_M[[#This Row],[A/E]]-VLOOKUP(Main_M[[#This Row],[Industry]], Mean_AE_M, 2, FALSE))/(VLOOKUP(Main_M[[#This Row],[Industry]], Mean_AE_M, 3, FALSE))</f>
        <v>1.9471955395572842</v>
      </c>
      <c r="T129" s="1">
        <f>(Main_M[[#This Row],[P/E]]-VLOOKUP(Main_M[[#This Row],[Industry]], Mean_PE_M, 2, FALSE))/(VLOOKUP(Main_M[[#This Row],[Industry]], Mean_PE_M, 3, FALSE))</f>
        <v>-2.0685719190332672</v>
      </c>
      <c r="U1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0" spans="1:26" x14ac:dyDescent="0.25">
      <c r="A130" t="s">
        <v>110</v>
      </c>
      <c r="B130" t="s">
        <v>248</v>
      </c>
      <c r="C130" s="2">
        <v>5720</v>
      </c>
      <c r="D130">
        <f>RTD("tos.rtd", , "LAST", Main_M[[#This Row],[Symbol]])</f>
        <v>102.24</v>
      </c>
      <c r="E130">
        <v>15.17</v>
      </c>
      <c r="F130">
        <v>35.11</v>
      </c>
      <c r="G130">
        <v>16.309999999999999</v>
      </c>
      <c r="H130" s="1">
        <f>IF(ISNUMBER(Main_M[[#This Row],[Free CF]]),IF(Main_M[[#This Row],[Free CF]]&lt;&gt;0,Main_M[[#This Row],[Current Price]]/Main_M[[#This Row],[Free CF]],""),"")</f>
        <v>6.7396176664469341</v>
      </c>
      <c r="I130" s="1">
        <f>IF(ISNUMBER(Main_M[[#This Row],[BVPS]]),IF(Main_M[[#This Row],[BVPS]]&lt;&gt;0,Main_M[[#This Row],[Current Price]]/Main_M[[#This Row],[BVPS]],""),"")</f>
        <v>2.911990885787525</v>
      </c>
      <c r="J130">
        <v>53.7</v>
      </c>
      <c r="K130">
        <v>12.92</v>
      </c>
      <c r="L130">
        <v>2.57</v>
      </c>
      <c r="M130" s="1">
        <f>IF(ISNUMBER(Main_M[[#This Row],[EPS]]),IF(Main_M[[#This Row],[EPS]]&lt;&gt;0,Main_M[[#This Row],[Current Price]]/Main_M[[#This Row],[EPS]],""),"")</f>
        <v>6.2685469037400372</v>
      </c>
      <c r="N1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0" s="1">
        <f>(Main_M[[#This Row],[P/FCF]]-VLOOKUP(Main_M[[#This Row],[Industry]], Mean_PFCF_M, 2, FALSE))/(VLOOKUP(Main_M[[#This Row],[Industry]], Mean_PFCF_M, 3, FALSE))</f>
        <v>-1.4667051937725506</v>
      </c>
      <c r="P130" s="1">
        <f>(Main_M[[#This Row],[P/B]]-VLOOKUP(Main_M[[#This Row],[Industry]], Mean_PB_M, 2, FALSE))/(VLOOKUP(Main_M[[#This Row],[Industry]], Mean_PB_M, 3, FALSE))</f>
        <v>9.8585328133578495E-2</v>
      </c>
      <c r="Q130" s="1">
        <f>(Main_M[[#This Row],[ROE]]-VLOOKUP(Main_M[[#This Row],[Industry]], Mean_ROE_M, 2, FALSE))/(VLOOKUP(Main_M[[#This Row],[Industry]], Mean_ROE_M, 3, FALSE))</f>
        <v>1.1330380001204303</v>
      </c>
      <c r="R130" s="1">
        <f>(Main_M[[#This Row],[ROA]]-VLOOKUP(Main_M[[#This Row],[Industry]], Mean_ROA_M, 2, FALSE))/(VLOOKUP(Main_M[[#This Row],[Industry]], Mean_ROA_M, 3, FALSE))</f>
        <v>2.7674141335134421</v>
      </c>
      <c r="S130" s="1">
        <f>(Main_M[[#This Row],[A/E]]-VLOOKUP(Main_M[[#This Row],[Industry]], Mean_AE_M, 2, FALSE))/(VLOOKUP(Main_M[[#This Row],[Industry]], Mean_AE_M, 3, FALSE))</f>
        <v>9.3187027206257361E-3</v>
      </c>
      <c r="T130" s="1">
        <f>(Main_M[[#This Row],[P/E]]-VLOOKUP(Main_M[[#This Row],[Industry]], Mean_PE_M, 2, FALSE))/(VLOOKUP(Main_M[[#This Row],[Industry]], Mean_PE_M, 3, FALSE))</f>
        <v>-0.19262015188632498</v>
      </c>
      <c r="U1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1" spans="1:26" x14ac:dyDescent="0.25">
      <c r="A131" t="s">
        <v>110</v>
      </c>
      <c r="B131" t="s">
        <v>242</v>
      </c>
      <c r="C131" s="2">
        <v>4020</v>
      </c>
      <c r="D131">
        <f>RTD("tos.rtd", , "LAST", Main_M[[#This Row],[Symbol]])</f>
        <v>65.319999999999993</v>
      </c>
      <c r="E131">
        <v>10.4</v>
      </c>
      <c r="F131">
        <v>96.54</v>
      </c>
      <c r="G131">
        <v>10.56</v>
      </c>
      <c r="H131" s="1">
        <f>IF(ISNUMBER(Main_M[[#This Row],[Free CF]]),IF(Main_M[[#This Row],[Free CF]]&lt;&gt;0,Main_M[[#This Row],[Current Price]]/Main_M[[#This Row],[Free CF]],""),"")</f>
        <v>6.2807692307692298</v>
      </c>
      <c r="I131" s="1">
        <f>IF(ISNUMBER(Main_M[[#This Row],[BVPS]]),IF(Main_M[[#This Row],[BVPS]]&lt;&gt;0,Main_M[[#This Row],[Current Price]]/Main_M[[#This Row],[BVPS]],""),"")</f>
        <v>0.67661073130308669</v>
      </c>
      <c r="J131">
        <v>11.67</v>
      </c>
      <c r="K131">
        <v>4.21</v>
      </c>
      <c r="L131">
        <v>2.15</v>
      </c>
      <c r="M131" s="1">
        <f>IF(ISNUMBER(Main_M[[#This Row],[EPS]]),IF(Main_M[[#This Row],[EPS]]&lt;&gt;0,Main_M[[#This Row],[Current Price]]/Main_M[[#This Row],[EPS]],""),"")</f>
        <v>6.1856060606060597</v>
      </c>
      <c r="N1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1" s="1">
        <f>(Main_M[[#This Row],[P/FCF]]-VLOOKUP(Main_M[[#This Row],[Industry]], Mean_PFCF_M, 2, FALSE))/(VLOOKUP(Main_M[[#This Row],[Industry]], Mean_PFCF_M, 3, FALSE))</f>
        <v>-1.6028041345260042</v>
      </c>
      <c r="P131" s="1">
        <f>(Main_M[[#This Row],[P/B]]-VLOOKUP(Main_M[[#This Row],[Industry]], Mean_PB_M, 2, FALSE))/(VLOOKUP(Main_M[[#This Row],[Industry]], Mean_PB_M, 3, FALSE))</f>
        <v>-1.4310120700657101</v>
      </c>
      <c r="Q131" s="1">
        <f>(Main_M[[#This Row],[ROE]]-VLOOKUP(Main_M[[#This Row],[Industry]], Mean_ROE_M, 2, FALSE))/(VLOOKUP(Main_M[[#This Row],[Industry]], Mean_ROE_M, 3, FALSE))</f>
        <v>0.14532856869339422</v>
      </c>
      <c r="R131" s="1">
        <f>(Main_M[[#This Row],[ROA]]-VLOOKUP(Main_M[[#This Row],[Industry]], Mean_ROA_M, 2, FALSE))/(VLOOKUP(Main_M[[#This Row],[Industry]], Mean_ROA_M, 3, FALSE))</f>
        <v>-0.43367180312694076</v>
      </c>
      <c r="S131" s="1">
        <f>(Main_M[[#This Row],[A/E]]-VLOOKUP(Main_M[[#This Row],[Industry]], Mean_AE_M, 2, FALSE))/(VLOOKUP(Main_M[[#This Row],[Industry]], Mean_AE_M, 3, FALSE))</f>
        <v>-0.64299048772319933</v>
      </c>
      <c r="T131" s="1">
        <f>(Main_M[[#This Row],[P/E]]-VLOOKUP(Main_M[[#This Row],[Industry]], Mean_PE_M, 2, FALSE))/(VLOOKUP(Main_M[[#This Row],[Industry]], Mean_PE_M, 3, FALSE))</f>
        <v>-0.19895631361786539</v>
      </c>
      <c r="U1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2" spans="1:26" x14ac:dyDescent="0.25">
      <c r="A132" t="s">
        <v>110</v>
      </c>
      <c r="B132" t="s">
        <v>249</v>
      </c>
      <c r="C132" s="2">
        <v>9281</v>
      </c>
      <c r="D132">
        <f>RTD("tos.rtd", , "LAST", Main_M[[#This Row],[Symbol]])</f>
        <v>62.11</v>
      </c>
      <c r="E132">
        <v>0.75</v>
      </c>
      <c r="F132">
        <v>30.16</v>
      </c>
      <c r="G132">
        <v>4.16</v>
      </c>
      <c r="H132" s="1">
        <f>IF(ISNUMBER(Main_M[[#This Row],[Free CF]]),IF(Main_M[[#This Row],[Free CF]]&lt;&gt;0,Main_M[[#This Row],[Current Price]]/Main_M[[#This Row],[Free CF]],""),"")</f>
        <v>82.813333333333333</v>
      </c>
      <c r="I132" s="1">
        <f>IF(ISNUMBER(Main_M[[#This Row],[BVPS]]),IF(Main_M[[#This Row],[BVPS]]&lt;&gt;0,Main_M[[#This Row],[Current Price]]/Main_M[[#This Row],[BVPS]],""),"")</f>
        <v>2.0593501326259949</v>
      </c>
      <c r="J132">
        <v>14.83</v>
      </c>
      <c r="K132">
        <v>6.71</v>
      </c>
      <c r="L132">
        <v>1.92</v>
      </c>
      <c r="M132" s="1">
        <f>IF(ISNUMBER(Main_M[[#This Row],[EPS]]),IF(Main_M[[#This Row],[EPS]]&lt;&gt;0,Main_M[[#This Row],[Current Price]]/Main_M[[#This Row],[EPS]],""),"")</f>
        <v>14.930288461538462</v>
      </c>
      <c r="N1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2" s="1">
        <f>(Main_M[[#This Row],[P/FCF]]-VLOOKUP(Main_M[[#This Row],[Industry]], Mean_PFCF_M, 2, FALSE))/(VLOOKUP(Main_M[[#This Row],[Industry]], Mean_PFCF_M, 3, FALSE))</f>
        <v>21.097504066635636</v>
      </c>
      <c r="P132" s="1">
        <f>(Main_M[[#This Row],[P/B]]-VLOOKUP(Main_M[[#This Row],[Industry]], Mean_PB_M, 2, FALSE))/(VLOOKUP(Main_M[[#This Row],[Industry]], Mean_PB_M, 3, FALSE))</f>
        <v>-0.4848488027538162</v>
      </c>
      <c r="Q132" s="1">
        <f>(Main_M[[#This Row],[ROE]]-VLOOKUP(Main_M[[#This Row],[Industry]], Mean_ROE_M, 2, FALSE))/(VLOOKUP(Main_M[[#This Row],[Industry]], Mean_ROE_M, 3, FALSE))</f>
        <v>0.21958890186754207</v>
      </c>
      <c r="R132" s="1">
        <f>(Main_M[[#This Row],[ROA]]-VLOOKUP(Main_M[[#This Row],[Industry]], Mean_ROA_M, 2, FALSE))/(VLOOKUP(Main_M[[#This Row],[Industry]], Mean_ROA_M, 3, FALSE))</f>
        <v>0.48512438993861118</v>
      </c>
      <c r="S132" s="1">
        <f>(Main_M[[#This Row],[A/E]]-VLOOKUP(Main_M[[#This Row],[Industry]], Mean_AE_M, 2, FALSE))/(VLOOKUP(Main_M[[#This Row],[Industry]], Mean_AE_M, 3, FALSE))</f>
        <v>-1.0002074253471986</v>
      </c>
      <c r="T132" s="1">
        <f>(Main_M[[#This Row],[P/E]]-VLOOKUP(Main_M[[#This Row],[Industry]], Mean_PE_M, 2, FALSE))/(VLOOKUP(Main_M[[#This Row],[Industry]], Mean_PE_M, 3, FALSE))</f>
        <v>0.46908273553624857</v>
      </c>
      <c r="U1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3" spans="1:26" x14ac:dyDescent="0.25">
      <c r="A133" t="s">
        <v>110</v>
      </c>
      <c r="B133" t="s">
        <v>240</v>
      </c>
      <c r="C133" s="2">
        <v>3812</v>
      </c>
      <c r="D133">
        <f>RTD("tos.rtd", , "LAST", Main_M[[#This Row],[Symbol]])</f>
        <v>68.27</v>
      </c>
      <c r="E133">
        <v>6.65</v>
      </c>
      <c r="F133">
        <v>7.7</v>
      </c>
      <c r="G133">
        <v>4.07</v>
      </c>
      <c r="H133" s="1">
        <f>IF(ISNUMBER(Main_M[[#This Row],[Free CF]]),IF(Main_M[[#This Row],[Free CF]]&lt;&gt;0,Main_M[[#This Row],[Current Price]]/Main_M[[#This Row],[Free CF]],""),"")</f>
        <v>10.266165413533834</v>
      </c>
      <c r="I133" s="1">
        <f>IF(ISNUMBER(Main_M[[#This Row],[BVPS]]),IF(Main_M[[#This Row],[BVPS]]&lt;&gt;0,Main_M[[#This Row],[Current Price]]/Main_M[[#This Row],[BVPS]],""),"")</f>
        <v>8.8662337662337656</v>
      </c>
      <c r="J133">
        <v>56.32</v>
      </c>
      <c r="K133">
        <v>14.24</v>
      </c>
      <c r="L133">
        <v>3.93</v>
      </c>
      <c r="M133" s="1">
        <f>IF(ISNUMBER(Main_M[[#This Row],[EPS]]),IF(Main_M[[#This Row],[EPS]]&lt;&gt;0,Main_M[[#This Row],[Current Price]]/Main_M[[#This Row],[EPS]],""),"")</f>
        <v>16.773955773955773</v>
      </c>
      <c r="N1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3" s="1">
        <f>(Main_M[[#This Row],[P/FCF]]-VLOOKUP(Main_M[[#This Row],[Industry]], Mean_PFCF_M, 2, FALSE))/(VLOOKUP(Main_M[[#This Row],[Industry]], Mean_PFCF_M, 3, FALSE))</f>
        <v>-0.42069658706100832</v>
      </c>
      <c r="P133" s="1">
        <f>(Main_M[[#This Row],[P/B]]-VLOOKUP(Main_M[[#This Row],[Industry]], Mean_PB_M, 2, FALSE))/(VLOOKUP(Main_M[[#This Row],[Industry]], Mean_PB_M, 3, FALSE))</f>
        <v>4.1728786423630577</v>
      </c>
      <c r="Q133" s="1">
        <f>(Main_M[[#This Row],[ROE]]-VLOOKUP(Main_M[[#This Row],[Industry]], Mean_ROE_M, 2, FALSE))/(VLOOKUP(Main_M[[#This Row],[Industry]], Mean_ROE_M, 3, FALSE))</f>
        <v>1.1946082763597554</v>
      </c>
      <c r="R133" s="1">
        <f>(Main_M[[#This Row],[ROA]]-VLOOKUP(Main_M[[#This Row],[Industry]], Mean_ROA_M, 2, FALSE))/(VLOOKUP(Main_M[[#This Row],[Industry]], Mean_ROA_M, 3, FALSE))</f>
        <v>3.2525385234520536</v>
      </c>
      <c r="S133" s="1">
        <f>(Main_M[[#This Row],[A/E]]-VLOOKUP(Main_M[[#This Row],[Industry]], Mean_AE_M, 2, FALSE))/(VLOOKUP(Main_M[[#This Row],[Industry]], Mean_AE_M, 3, FALSE))</f>
        <v>2.1215579860625362</v>
      </c>
      <c r="T133" s="1">
        <f>(Main_M[[#This Row],[P/E]]-VLOOKUP(Main_M[[#This Row],[Industry]], Mean_PE_M, 2, FALSE))/(VLOOKUP(Main_M[[#This Row],[Industry]], Mean_PE_M, 3, FALSE))</f>
        <v>0.60992738853501938</v>
      </c>
      <c r="U1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4" spans="1:26" x14ac:dyDescent="0.25">
      <c r="A134" t="s">
        <v>110</v>
      </c>
      <c r="B134" t="s">
        <v>238</v>
      </c>
      <c r="C134" s="2">
        <v>3492</v>
      </c>
      <c r="D134">
        <f>RTD("tos.rtd", , "LAST", Main_M[[#This Row],[Symbol]])</f>
        <v>62.25</v>
      </c>
      <c r="E134">
        <v>5.09</v>
      </c>
      <c r="F134">
        <v>30.99</v>
      </c>
      <c r="G134">
        <v>3.88</v>
      </c>
      <c r="H134" s="1">
        <f>IF(ISNUMBER(Main_M[[#This Row],[Free CF]]),IF(Main_M[[#This Row],[Free CF]]&lt;&gt;0,Main_M[[#This Row],[Current Price]]/Main_M[[#This Row],[Free CF]],""),"")</f>
        <v>12.229862475442044</v>
      </c>
      <c r="I134" s="1">
        <f>IF(ISNUMBER(Main_M[[#This Row],[BVPS]]),IF(Main_M[[#This Row],[BVPS]]&lt;&gt;0,Main_M[[#This Row],[Current Price]]/Main_M[[#This Row],[BVPS]],""),"")</f>
        <v>2.0087124878993223</v>
      </c>
      <c r="J134">
        <v>12.34</v>
      </c>
      <c r="K134">
        <v>6.23</v>
      </c>
      <c r="L134">
        <v>1.58</v>
      </c>
      <c r="M134" s="1">
        <f>IF(ISNUMBER(Main_M[[#This Row],[EPS]]),IF(Main_M[[#This Row],[EPS]]&lt;&gt;0,Main_M[[#This Row],[Current Price]]/Main_M[[#This Row],[EPS]],""),"")</f>
        <v>16.043814432989691</v>
      </c>
      <c r="N1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4" s="1">
        <f>(Main_M[[#This Row],[P/FCF]]-VLOOKUP(Main_M[[#This Row],[Industry]], Mean_PFCF_M, 2, FALSE))/(VLOOKUP(Main_M[[#This Row],[Industry]], Mean_PFCF_M, 3, FALSE))</f>
        <v>0.16175519724473261</v>
      </c>
      <c r="P134" s="1">
        <f>(Main_M[[#This Row],[P/B]]-VLOOKUP(Main_M[[#This Row],[Industry]], Mean_PB_M, 2, FALSE))/(VLOOKUP(Main_M[[#This Row],[Industry]], Mean_PB_M, 3, FALSE))</f>
        <v>-0.51949848391407605</v>
      </c>
      <c r="Q134" s="1">
        <f>(Main_M[[#This Row],[ROE]]-VLOOKUP(Main_M[[#This Row],[Industry]], Mean_ROE_M, 2, FALSE))/(VLOOKUP(Main_M[[#This Row],[Industry]], Mean_ROE_M, 3, FALSE))</f>
        <v>0.16107363933474836</v>
      </c>
      <c r="R134" s="1">
        <f>(Main_M[[#This Row],[ROA]]-VLOOKUP(Main_M[[#This Row],[Industry]], Mean_ROA_M, 2, FALSE))/(VLOOKUP(Main_M[[#This Row],[Industry]], Mean_ROA_M, 3, FALSE))</f>
        <v>0.30871552087002541</v>
      </c>
      <c r="S134" s="1">
        <f>(Main_M[[#This Row],[A/E]]-VLOOKUP(Main_M[[#This Row],[Industry]], Mean_AE_M, 2, FALSE))/(VLOOKUP(Main_M[[#This Row],[Industry]], Mean_AE_M, 3, FALSE))</f>
        <v>-1.5282672461826761</v>
      </c>
      <c r="T134" s="1">
        <f>(Main_M[[#This Row],[P/E]]-VLOOKUP(Main_M[[#This Row],[Industry]], Mean_PE_M, 2, FALSE))/(VLOOKUP(Main_M[[#This Row],[Industry]], Mean_PE_M, 3, FALSE))</f>
        <v>0.55414915614145832</v>
      </c>
      <c r="U1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5" spans="1:26" x14ac:dyDescent="0.25">
      <c r="A135" t="s">
        <v>110</v>
      </c>
      <c r="B135" t="s">
        <v>239</v>
      </c>
      <c r="C135" s="2">
        <v>7046</v>
      </c>
      <c r="D135">
        <f>RTD("tos.rtd", , "LAST", Main_M[[#This Row],[Symbol]])</f>
        <v>47.87</v>
      </c>
      <c r="E135">
        <v>1.62</v>
      </c>
      <c r="F135">
        <v>9.2799999999999994</v>
      </c>
      <c r="G135">
        <v>2.56</v>
      </c>
      <c r="H135" s="1">
        <f>IF(ISNUMBER(Main_M[[#This Row],[Free CF]]),IF(Main_M[[#This Row],[Free CF]]&lt;&gt;0,Main_M[[#This Row],[Current Price]]/Main_M[[#This Row],[Free CF]],""),"")</f>
        <v>29.549382716049379</v>
      </c>
      <c r="I135" s="1">
        <f>IF(ISNUMBER(Main_M[[#This Row],[BVPS]]),IF(Main_M[[#This Row],[BVPS]]&lt;&gt;0,Main_M[[#This Row],[Current Price]]/Main_M[[#This Row],[BVPS]],""),"")</f>
        <v>5.1584051724137936</v>
      </c>
      <c r="J135">
        <v>24.4</v>
      </c>
      <c r="K135">
        <v>11.46</v>
      </c>
      <c r="L135">
        <v>2.79</v>
      </c>
      <c r="M135" s="1">
        <f>IF(ISNUMBER(Main_M[[#This Row],[EPS]]),IF(Main_M[[#This Row],[EPS]]&lt;&gt;0,Main_M[[#This Row],[Current Price]]/Main_M[[#This Row],[EPS]],""),"")</f>
        <v>18.69921875</v>
      </c>
      <c r="N1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5" s="1">
        <f>(Main_M[[#This Row],[P/FCF]]-VLOOKUP(Main_M[[#This Row],[Industry]], Mean_PFCF_M, 2, FALSE))/(VLOOKUP(Main_M[[#This Row],[Industry]], Mean_PFCF_M, 3, FALSE))</f>
        <v>5.2988945570492421</v>
      </c>
      <c r="P135" s="1">
        <f>(Main_M[[#This Row],[P/B]]-VLOOKUP(Main_M[[#This Row],[Industry]], Mean_PB_M, 2, FALSE))/(VLOOKUP(Main_M[[#This Row],[Industry]], Mean_PB_M, 3, FALSE))</f>
        <v>1.6357330214277181</v>
      </c>
      <c r="Q135" s="1">
        <f>(Main_M[[#This Row],[ROE]]-VLOOKUP(Main_M[[#This Row],[Industry]], Mean_ROE_M, 2, FALSE))/(VLOOKUP(Main_M[[#This Row],[Industry]], Mean_ROE_M, 3, FALSE))</f>
        <v>0.44448491087912273</v>
      </c>
      <c r="R135" s="1">
        <f>(Main_M[[#This Row],[ROA]]-VLOOKUP(Main_M[[#This Row],[Industry]], Mean_ROA_M, 2, FALSE))/(VLOOKUP(Main_M[[#This Row],[Industry]], Mean_ROA_M, 3, FALSE))</f>
        <v>2.2308371567631604</v>
      </c>
      <c r="S135" s="1">
        <f>(Main_M[[#This Row],[A/E]]-VLOOKUP(Main_M[[#This Row],[Industry]], Mean_AE_M, 2, FALSE))/(VLOOKUP(Main_M[[#This Row],[Industry]], Mean_AE_M, 3, FALSE))</f>
        <v>0.35100446914358208</v>
      </c>
      <c r="T135" s="1">
        <f>(Main_M[[#This Row],[P/E]]-VLOOKUP(Main_M[[#This Row],[Industry]], Mean_PE_M, 2, FALSE))/(VLOOKUP(Main_M[[#This Row],[Industry]], Mean_PE_M, 3, FALSE))</f>
        <v>0.75700543996328729</v>
      </c>
      <c r="U1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6" spans="1:26" x14ac:dyDescent="0.25">
      <c r="A136" t="s">
        <v>110</v>
      </c>
      <c r="B136" t="s">
        <v>241</v>
      </c>
      <c r="C136" s="2">
        <v>6859</v>
      </c>
      <c r="D136">
        <f>RTD("tos.rtd", , "LAST", Main_M[[#This Row],[Symbol]])</f>
        <v>17.52</v>
      </c>
      <c r="E136">
        <v>1.1100000000000001</v>
      </c>
      <c r="F136">
        <v>5.15</v>
      </c>
      <c r="G136">
        <v>0.9</v>
      </c>
      <c r="H136" s="1">
        <f>IF(ISNUMBER(Main_M[[#This Row],[Free CF]]),IF(Main_M[[#This Row],[Free CF]]&lt;&gt;0,Main_M[[#This Row],[Current Price]]/Main_M[[#This Row],[Free CF]],""),"")</f>
        <v>15.783783783783782</v>
      </c>
      <c r="I136" s="1">
        <f>IF(ISNUMBER(Main_M[[#This Row],[BVPS]]),IF(Main_M[[#This Row],[BVPS]]&lt;&gt;0,Main_M[[#This Row],[Current Price]]/Main_M[[#This Row],[BVPS]],""),"")</f>
        <v>3.4019417475728151</v>
      </c>
      <c r="J136">
        <v>17.98</v>
      </c>
      <c r="K136">
        <v>7.41</v>
      </c>
      <c r="L136">
        <v>3.05</v>
      </c>
      <c r="M136" s="1">
        <f>IF(ISNUMBER(Main_M[[#This Row],[EPS]]),IF(Main_M[[#This Row],[EPS]]&lt;&gt;0,Main_M[[#This Row],[Current Price]]/Main_M[[#This Row],[EPS]],""),"")</f>
        <v>19.466666666666665</v>
      </c>
      <c r="N1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6" s="1">
        <f>(Main_M[[#This Row],[P/FCF]]-VLOOKUP(Main_M[[#This Row],[Industry]], Mean_PFCF_M, 2, FALSE))/(VLOOKUP(Main_M[[#This Row],[Industry]], Mean_PFCF_M, 3, FALSE))</f>
        <v>1.2158830703670469</v>
      </c>
      <c r="P136" s="1">
        <f>(Main_M[[#This Row],[P/B]]-VLOOKUP(Main_M[[#This Row],[Industry]], Mean_PB_M, 2, FALSE))/(VLOOKUP(Main_M[[#This Row],[Industry]], Mean_PB_M, 3, FALSE))</f>
        <v>0.43384264977027565</v>
      </c>
      <c r="Q136" s="1">
        <f>(Main_M[[#This Row],[ROE]]-VLOOKUP(Main_M[[#This Row],[Industry]], Mean_ROE_M, 2, FALSE))/(VLOOKUP(Main_M[[#This Row],[Industry]], Mean_ROE_M, 3, FALSE))</f>
        <v>0.29361423398734138</v>
      </c>
      <c r="R136" s="1">
        <f>(Main_M[[#This Row],[ROA]]-VLOOKUP(Main_M[[#This Row],[Industry]], Mean_ROA_M, 2, FALSE))/(VLOOKUP(Main_M[[#This Row],[Industry]], Mean_ROA_M, 3, FALSE))</f>
        <v>0.74238732399696583</v>
      </c>
      <c r="S136" s="1">
        <f>(Main_M[[#This Row],[A/E]]-VLOOKUP(Main_M[[#This Row],[Industry]], Mean_AE_M, 2, FALSE))/(VLOOKUP(Main_M[[#This Row],[Industry]], Mean_AE_M, 3, FALSE))</f>
        <v>0.75481492037071163</v>
      </c>
      <c r="T136" s="1">
        <f>(Main_M[[#This Row],[P/E]]-VLOOKUP(Main_M[[#This Row],[Industry]], Mean_PE_M, 2, FALSE))/(VLOOKUP(Main_M[[#This Row],[Industry]], Mean_PE_M, 3, FALSE))</f>
        <v>0.81563366143770455</v>
      </c>
      <c r="U1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7" spans="1:26" x14ac:dyDescent="0.25">
      <c r="A137" t="s">
        <v>110</v>
      </c>
      <c r="B137" t="s">
        <v>246</v>
      </c>
      <c r="C137" s="2">
        <v>2172</v>
      </c>
      <c r="D137">
        <f>RTD("tos.rtd", , "LAST", Main_M[[#This Row],[Symbol]])</f>
        <v>8.64</v>
      </c>
      <c r="E137">
        <v>0.63</v>
      </c>
      <c r="F137">
        <v>3.76</v>
      </c>
      <c r="G137">
        <v>0.31</v>
      </c>
      <c r="H137" s="1">
        <f>IF(ISNUMBER(Main_M[[#This Row],[Free CF]]),IF(Main_M[[#This Row],[Free CF]]&lt;&gt;0,Main_M[[#This Row],[Current Price]]/Main_M[[#This Row],[Free CF]],""),"")</f>
        <v>13.714285714285715</v>
      </c>
      <c r="I137" s="1">
        <f>IF(ISNUMBER(Main_M[[#This Row],[BVPS]]),IF(Main_M[[#This Row],[BVPS]]&lt;&gt;0,Main_M[[#This Row],[Current Price]]/Main_M[[#This Row],[BVPS]],""),"")</f>
        <v>2.2978723404255321</v>
      </c>
      <c r="J137">
        <v>9.65</v>
      </c>
      <c r="K137">
        <v>4.1100000000000003</v>
      </c>
      <c r="L137">
        <v>3.09</v>
      </c>
      <c r="M137" s="1">
        <f>IF(ISNUMBER(Main_M[[#This Row],[EPS]]),IF(Main_M[[#This Row],[EPS]]&lt;&gt;0,Main_M[[#This Row],[Current Price]]/Main_M[[#This Row],[EPS]],""),"")</f>
        <v>27.870967741935488</v>
      </c>
      <c r="N1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7" s="1">
        <f>(Main_M[[#This Row],[P/FCF]]-VLOOKUP(Main_M[[#This Row],[Industry]], Mean_PFCF_M, 2, FALSE))/(VLOOKUP(Main_M[[#This Row],[Industry]], Mean_PFCF_M, 3, FALSE))</f>
        <v>0.60204967081757044</v>
      </c>
      <c r="P137" s="1">
        <f>(Main_M[[#This Row],[P/B]]-VLOOKUP(Main_M[[#This Row],[Industry]], Mean_PB_M, 2, FALSE))/(VLOOKUP(Main_M[[#This Row],[Industry]], Mean_PB_M, 3, FALSE))</f>
        <v>-0.32163587106029468</v>
      </c>
      <c r="Q137" s="1">
        <f>(Main_M[[#This Row],[ROE]]-VLOOKUP(Main_M[[#This Row],[Industry]], Mean_ROE_M, 2, FALSE))/(VLOOKUP(Main_M[[#This Row],[Industry]], Mean_ROE_M, 3, FALSE))</f>
        <v>9.7858355714983275E-2</v>
      </c>
      <c r="R137" s="1">
        <f>(Main_M[[#This Row],[ROA]]-VLOOKUP(Main_M[[#This Row],[Industry]], Mean_ROA_M, 2, FALSE))/(VLOOKUP(Main_M[[#This Row],[Industry]], Mean_ROA_M, 3, FALSE))</f>
        <v>-0.47042365084956267</v>
      </c>
      <c r="S137" s="1">
        <f>(Main_M[[#This Row],[A/E]]-VLOOKUP(Main_M[[#This Row],[Industry]], Mean_AE_M, 2, FALSE))/(VLOOKUP(Main_M[[#This Row],[Industry]], Mean_AE_M, 3, FALSE))</f>
        <v>0.81693960517488551</v>
      </c>
      <c r="T137" s="1">
        <f>(Main_M[[#This Row],[P/E]]-VLOOKUP(Main_M[[#This Row],[Industry]], Mean_PE_M, 2, FALSE))/(VLOOKUP(Main_M[[#This Row],[Industry]], Mean_PE_M, 3, FALSE))</f>
        <v>1.4576697059404582</v>
      </c>
      <c r="U1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8" spans="1:26" x14ac:dyDescent="0.25">
      <c r="A138" t="s">
        <v>110</v>
      </c>
      <c r="B138" t="s">
        <v>245</v>
      </c>
      <c r="C138" s="2">
        <v>4856</v>
      </c>
      <c r="D138">
        <f>RTD("tos.rtd", , "LAST", Main_M[[#This Row],[Symbol]])</f>
        <v>13.02</v>
      </c>
      <c r="E138">
        <v>0.87</v>
      </c>
      <c r="F138">
        <v>3.82</v>
      </c>
      <c r="G138">
        <v>0.18</v>
      </c>
      <c r="H138" s="1">
        <f>IF(ISNUMBER(Main_M[[#This Row],[Free CF]]),IF(Main_M[[#This Row],[Free CF]]&lt;&gt;0,Main_M[[#This Row],[Current Price]]/Main_M[[#This Row],[Free CF]],""),"")</f>
        <v>14.96551724137931</v>
      </c>
      <c r="I138" s="1">
        <f>IF(ISNUMBER(Main_M[[#This Row],[BVPS]]),IF(Main_M[[#This Row],[BVPS]]&lt;&gt;0,Main_M[[#This Row],[Current Price]]/Main_M[[#This Row],[BVPS]],""),"")</f>
        <v>3.4083769633507854</v>
      </c>
      <c r="J138">
        <v>4.41</v>
      </c>
      <c r="K138">
        <v>2.8</v>
      </c>
      <c r="L138">
        <v>6.3</v>
      </c>
      <c r="M138" s="1">
        <f>IF(ISNUMBER(Main_M[[#This Row],[EPS]]),IF(Main_M[[#This Row],[EPS]]&lt;&gt;0,Main_M[[#This Row],[Current Price]]/Main_M[[#This Row],[EPS]],""),"")</f>
        <v>72.333333333333329</v>
      </c>
      <c r="N1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8" s="1">
        <f>(Main_M[[#This Row],[P/FCF]]-VLOOKUP(Main_M[[#This Row],[Industry]], Mean_PFCF_M, 2, FALSE))/(VLOOKUP(Main_M[[#This Row],[Industry]], Mean_PFCF_M, 3, FALSE))</f>
        <v>0.97317719841445538</v>
      </c>
      <c r="P138" s="1">
        <f>(Main_M[[#This Row],[P/B]]-VLOOKUP(Main_M[[#This Row],[Industry]], Mean_PB_M, 2, FALSE))/(VLOOKUP(Main_M[[#This Row],[Industry]], Mean_PB_M, 3, FALSE))</f>
        <v>0.43824605707935799</v>
      </c>
      <c r="Q138" s="1">
        <f>(Main_M[[#This Row],[ROE]]-VLOOKUP(Main_M[[#This Row],[Industry]], Mean_ROE_M, 2, FALSE))/(VLOOKUP(Main_M[[#This Row],[Industry]], Mean_ROE_M, 3, FALSE))</f>
        <v>-2.528219676366697E-2</v>
      </c>
      <c r="R138" s="1">
        <f>(Main_M[[#This Row],[ROA]]-VLOOKUP(Main_M[[#This Row],[Industry]], Mean_ROA_M, 2, FALSE))/(VLOOKUP(Main_M[[#This Row],[Industry]], Mean_ROA_M, 3, FALSE))</f>
        <v>-0.95187285601591209</v>
      </c>
      <c r="S138" s="1">
        <f>(Main_M[[#This Row],[A/E]]-VLOOKUP(Main_M[[#This Row],[Industry]], Mean_AE_M, 2, FALSE))/(VLOOKUP(Main_M[[#This Row],[Industry]], Mean_AE_M, 3, FALSE))</f>
        <v>5.8024455607098346</v>
      </c>
      <c r="T138" s="1">
        <f>(Main_M[[#This Row],[P/E]]-VLOOKUP(Main_M[[#This Row],[Industry]], Mean_PE_M, 2, FALSE))/(VLOOKUP(Main_M[[#This Row],[Industry]], Mean_PE_M, 3, FALSE))</f>
        <v>4.8543163845726029</v>
      </c>
      <c r="U1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39" spans="1:26" x14ac:dyDescent="0.25">
      <c r="A139" t="s">
        <v>110</v>
      </c>
      <c r="B139" t="s">
        <v>243</v>
      </c>
      <c r="C139" s="2">
        <v>2685</v>
      </c>
      <c r="D139">
        <f>RTD("tos.rtd", , "LAST", Main_M[[#This Row],[Symbol]])</f>
        <v>6.32</v>
      </c>
      <c r="E139">
        <v>-0.53</v>
      </c>
      <c r="F139">
        <v>4.4400000000000004</v>
      </c>
      <c r="G139">
        <v>-0.47</v>
      </c>
      <c r="H139" s="1">
        <f>IF(ISNUMBER(Main_M[[#This Row],[Free CF]]),IF(Main_M[[#This Row],[Free CF]]&lt;&gt;0,Main_M[[#This Row],[Current Price]]/Main_M[[#This Row],[Free CF]],""),"")</f>
        <v>-11.924528301886792</v>
      </c>
      <c r="I139" s="1">
        <f>IF(ISNUMBER(Main_M[[#This Row],[BVPS]]),IF(Main_M[[#This Row],[BVPS]]&lt;&gt;0,Main_M[[#This Row],[Current Price]]/Main_M[[#This Row],[BVPS]],""),"")</f>
        <v>1.4234234234234233</v>
      </c>
      <c r="J139">
        <v>-9.9499999999999993</v>
      </c>
      <c r="K139">
        <v>2.79</v>
      </c>
      <c r="L139">
        <v>2.2799999999999998</v>
      </c>
      <c r="M139" s="1">
        <f>IF(ISNUMBER(Main_M[[#This Row],[EPS]]),IF(Main_M[[#This Row],[EPS]]&lt;&gt;0,Main_M[[#This Row],[Current Price]]/Main_M[[#This Row],[EPS]],""),"")</f>
        <v>-13.446808510638299</v>
      </c>
      <c r="N1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9" s="1">
        <f>(Main_M[[#This Row],[P/FCF]]-VLOOKUP(Main_M[[#This Row],[Industry]], Mean_PFCF_M, 2, FALSE))/(VLOOKUP(Main_M[[#This Row],[Industry]], Mean_PFCF_M, 3, FALSE))</f>
        <v>-7.0026737159411327</v>
      </c>
      <c r="P139" s="1">
        <f>(Main_M[[#This Row],[P/B]]-VLOOKUP(Main_M[[#This Row],[Industry]], Mean_PB_M, 2, FALSE))/(VLOOKUP(Main_M[[#This Row],[Industry]], Mean_PB_M, 3, FALSE))</f>
        <v>-0.91999261392629783</v>
      </c>
      <c r="Q139" s="1">
        <f>(Main_M[[#This Row],[ROE]]-VLOOKUP(Main_M[[#This Row],[Industry]], Mean_ROE_M, 2, FALSE))/(VLOOKUP(Main_M[[#This Row],[Industry]], Mean_ROE_M, 3, FALSE))</f>
        <v>-0.36274371080821222</v>
      </c>
      <c r="R139" s="1">
        <f>(Main_M[[#This Row],[ROA]]-VLOOKUP(Main_M[[#This Row],[Industry]], Mean_ROA_M, 2, FALSE))/(VLOOKUP(Main_M[[#This Row],[Industry]], Mean_ROA_M, 3, FALSE))</f>
        <v>-0.95554804078817424</v>
      </c>
      <c r="S139" s="1">
        <f>(Main_M[[#This Row],[A/E]]-VLOOKUP(Main_M[[#This Row],[Industry]], Mean_AE_M, 2, FALSE))/(VLOOKUP(Main_M[[#This Row],[Industry]], Mean_AE_M, 3, FALSE))</f>
        <v>-0.44108526210963456</v>
      </c>
      <c r="T139" s="1">
        <f>(Main_M[[#This Row],[P/E]]-VLOOKUP(Main_M[[#This Row],[Industry]], Mean_PE_M, 2, FALSE))/(VLOOKUP(Main_M[[#This Row],[Industry]], Mean_PE_M, 3, FALSE))</f>
        <v>-1.6987500124004584</v>
      </c>
      <c r="U1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0" spans="1:26" x14ac:dyDescent="0.25">
      <c r="A140" t="s">
        <v>110</v>
      </c>
      <c r="B140" t="s">
        <v>244</v>
      </c>
      <c r="C140" s="2">
        <v>2859</v>
      </c>
      <c r="D140">
        <f>RTD("tos.rtd", , "LAST", Main_M[[#This Row],[Symbol]])</f>
        <v>6.75</v>
      </c>
      <c r="E140">
        <v>-0.53</v>
      </c>
      <c r="F140">
        <v>4.4400000000000004</v>
      </c>
      <c r="G140">
        <v>-0.47</v>
      </c>
      <c r="H140" s="1">
        <f>IF(ISNUMBER(Main_M[[#This Row],[Free CF]]),IF(Main_M[[#This Row],[Free CF]]&lt;&gt;0,Main_M[[#This Row],[Current Price]]/Main_M[[#This Row],[Free CF]],""),"")</f>
        <v>-12.735849056603772</v>
      </c>
      <c r="I140" s="1">
        <f>IF(ISNUMBER(Main_M[[#This Row],[BVPS]]),IF(Main_M[[#This Row],[BVPS]]&lt;&gt;0,Main_M[[#This Row],[Current Price]]/Main_M[[#This Row],[BVPS]],""),"")</f>
        <v>1.5202702702702702</v>
      </c>
      <c r="J140">
        <v>-9.9499999999999993</v>
      </c>
      <c r="K140">
        <v>2.79</v>
      </c>
      <c r="L140">
        <v>2.2799999999999998</v>
      </c>
      <c r="M140" s="1">
        <f>IF(ISNUMBER(Main_M[[#This Row],[EPS]]),IF(Main_M[[#This Row],[EPS]]&lt;&gt;0,Main_M[[#This Row],[Current Price]]/Main_M[[#This Row],[EPS]],""),"")</f>
        <v>-14.361702127659575</v>
      </c>
      <c r="N1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0" s="1">
        <f>(Main_M[[#This Row],[P/FCF]]-VLOOKUP(Main_M[[#This Row],[Industry]], Mean_PFCF_M, 2, FALSE))/(VLOOKUP(Main_M[[#This Row],[Industry]], Mean_PFCF_M, 3, FALSE))</f>
        <v>-7.243319399226916</v>
      </c>
      <c r="P140" s="1">
        <f>(Main_M[[#This Row],[P/B]]-VLOOKUP(Main_M[[#This Row],[Industry]], Mean_PB_M, 2, FALSE))/(VLOOKUP(Main_M[[#This Row],[Industry]], Mean_PB_M, 3, FALSE))</f>
        <v>-0.85372348978490187</v>
      </c>
      <c r="Q140" s="1">
        <f>(Main_M[[#This Row],[ROE]]-VLOOKUP(Main_M[[#This Row],[Industry]], Mean_ROE_M, 2, FALSE))/(VLOOKUP(Main_M[[#This Row],[Industry]], Mean_ROE_M, 3, FALSE))</f>
        <v>-0.36274371080821222</v>
      </c>
      <c r="R140" s="1">
        <f>(Main_M[[#This Row],[ROA]]-VLOOKUP(Main_M[[#This Row],[Industry]], Mean_ROA_M, 2, FALSE))/(VLOOKUP(Main_M[[#This Row],[Industry]], Mean_ROA_M, 3, FALSE))</f>
        <v>-0.95554804078817424</v>
      </c>
      <c r="S140" s="1">
        <f>(Main_M[[#This Row],[A/E]]-VLOOKUP(Main_M[[#This Row],[Industry]], Mean_AE_M, 2, FALSE))/(VLOOKUP(Main_M[[#This Row],[Industry]], Mean_AE_M, 3, FALSE))</f>
        <v>-0.44108526210963456</v>
      </c>
      <c r="T140" s="1">
        <f>(Main_M[[#This Row],[P/E]]-VLOOKUP(Main_M[[#This Row],[Industry]], Mean_PE_M, 2, FALSE))/(VLOOKUP(Main_M[[#This Row],[Industry]], Mean_PE_M, 3, FALSE))</f>
        <v>-1.7686421633065788</v>
      </c>
      <c r="U1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1" spans="1:26" x14ac:dyDescent="0.25">
      <c r="A141" t="s">
        <v>110</v>
      </c>
      <c r="B141" t="s">
        <v>354</v>
      </c>
      <c r="C141" s="2">
        <v>2137</v>
      </c>
      <c r="D141">
        <f>RTD("tos.rtd", , "LAST", Main_M[[#This Row],[Symbol]])</f>
        <v>17.41</v>
      </c>
      <c r="E141">
        <v>1.29</v>
      </c>
      <c r="F141">
        <v>3.12</v>
      </c>
      <c r="G141">
        <v>-10</v>
      </c>
      <c r="H141" s="1">
        <f>IF(ISNUMBER(Main_M[[#This Row],[Free CF]]),IF(Main_M[[#This Row],[Free CF]]&lt;&gt;0,Main_M[[#This Row],[Current Price]]/Main_M[[#This Row],[Free CF]],""),"")</f>
        <v>13.496124031007751</v>
      </c>
      <c r="I141" s="1">
        <f>IF(ISNUMBER(Main_M[[#This Row],[BVPS]]),IF(Main_M[[#This Row],[BVPS]]&lt;&gt;0,Main_M[[#This Row],[Current Price]]/Main_M[[#This Row],[BVPS]],""),"")</f>
        <v>5.5801282051282053</v>
      </c>
      <c r="J141">
        <v>-119.57</v>
      </c>
      <c r="K141">
        <v>0.55000000000000004</v>
      </c>
      <c r="L141">
        <v>14.17</v>
      </c>
      <c r="M141" s="1">
        <f>IF(ISNUMBER(Main_M[[#This Row],[EPS]]),IF(Main_M[[#This Row],[EPS]]&lt;&gt;0,Main_M[[#This Row],[Current Price]]/Main_M[[#This Row],[EPS]],""),"")</f>
        <v>-1.7410000000000001</v>
      </c>
      <c r="N1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1" s="1">
        <f>(Main_M[[#This Row],[P/FCF]]-VLOOKUP(Main_M[[#This Row],[Industry]], Mean_PFCF_M, 2, FALSE))/(VLOOKUP(Main_M[[#This Row],[Industry]], Mean_PFCF_M, 3, FALSE))</f>
        <v>0.5373407785157629</v>
      </c>
      <c r="P141" s="1">
        <f>(Main_M[[#This Row],[P/B]]-VLOOKUP(Main_M[[#This Row],[Industry]], Mean_PB_M, 2, FALSE))/(VLOOKUP(Main_M[[#This Row],[Industry]], Mean_PB_M, 3, FALSE))</f>
        <v>1.9243042750941683</v>
      </c>
      <c r="Q141" s="1">
        <f>(Main_M[[#This Row],[ROE]]-VLOOKUP(Main_M[[#This Row],[Industry]], Mean_ROE_M, 2, FALSE))/(VLOOKUP(Main_M[[#This Row],[Industry]], Mean_ROE_M, 3, FALSE))</f>
        <v>-2.9388252685772271</v>
      </c>
      <c r="R141" s="1">
        <f>(Main_M[[#This Row],[ROA]]-VLOOKUP(Main_M[[#This Row],[Industry]], Mean_ROA_M, 2, FALSE))/(VLOOKUP(Main_M[[#This Row],[Industry]], Mean_ROA_M, 3, FALSE))</f>
        <v>-1.7787894297749087</v>
      </c>
      <c r="S141" s="1">
        <f>(Main_M[[#This Row],[A/E]]-VLOOKUP(Main_M[[#This Row],[Industry]], Mean_AE_M, 2, FALSE))/(VLOOKUP(Main_M[[#This Row],[Industry]], Mean_AE_M, 3, FALSE))</f>
        <v>18.025477295931033</v>
      </c>
      <c r="T141" s="1">
        <f>(Main_M[[#This Row],[P/E]]-VLOOKUP(Main_M[[#This Row],[Industry]], Mean_PE_M, 2, FALSE))/(VLOOKUP(Main_M[[#This Row],[Industry]], Mean_PE_M, 3, FALSE))</f>
        <v>-0.80449944634294868</v>
      </c>
      <c r="U1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157"/>
  <sheetViews>
    <sheetView workbookViewId="0">
      <selection activeCell="B24" sqref="B24"/>
    </sheetView>
  </sheetViews>
  <sheetFormatPr defaultRowHeight="15" x14ac:dyDescent="0.25"/>
  <cols>
    <col min="1" max="1" width="30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7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7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106</v>
      </c>
      <c r="B2" t="s">
        <v>327</v>
      </c>
      <c r="C2" s="2">
        <v>666</v>
      </c>
      <c r="D2">
        <f>RTD("tos.rtd", , "LAST", Main_S[[#This Row],[Symbol]])</f>
        <v>30.22</v>
      </c>
      <c r="E2">
        <v>0.88</v>
      </c>
      <c r="F2">
        <v>29.02</v>
      </c>
      <c r="G2">
        <v>2.58</v>
      </c>
      <c r="H2" s="1">
        <f>IF(ISNUMBER(Main_S[[#This Row],[Free CF]]),IF(Main_S[[#This Row],[Free CF]]&lt;&gt;0,Main_S[[#This Row],[Current Price]]/Main_S[[#This Row],[Free CF]],""),"")</f>
        <v>34.340909090909086</v>
      </c>
      <c r="I2" s="1">
        <f>IF(ISNUMBER(Main_S[[#This Row],[BVPS]]),IF(Main_S[[#This Row],[BVPS]]&lt;&gt;0,Main_S[[#This Row],[Current Price]]/Main_S[[#This Row],[BVPS]],""),"")</f>
        <v>1.0413507925568573</v>
      </c>
      <c r="J2">
        <v>8.94</v>
      </c>
      <c r="K2">
        <v>5.58</v>
      </c>
      <c r="L2">
        <v>3.02</v>
      </c>
      <c r="M2" s="1">
        <f>IF(ISNUMBER(Main_S[[#This Row],[EPS]]),IF(Main_S[[#This Row],[EPS]]&lt;&gt;0,Main_S[[#This Row],[Current Price]]/Main_S[[#This Row],[EPS]],""),"")</f>
        <v>11.713178294573643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1.7426309034554355</v>
      </c>
      <c r="P2" s="1">
        <f>(Main_S[[#This Row],[P/B]]-VLOOKUP(Main_S[[#This Row],[Industry]], Mean_PB_S, 2, FALSE))/(VLOOKUP(Main_S[[#This Row],[Industry]], Mean_PB_S, 3, FALSE))</f>
        <v>0.24347003436058845</v>
      </c>
      <c r="Q2" s="1">
        <f>(Main_S[[#This Row],[ROE]]-VLOOKUP(Main_S[[#This Row],[Industry]], Mean_ROE_S, 2, FALSE))/(VLOOKUP(Main_S[[#This Row],[Industry]], Mean_ROE_S, 3, FALSE))</f>
        <v>0.21871490013404152</v>
      </c>
      <c r="R2" s="1">
        <f>(Main_S[[#This Row],[ROA]]-VLOOKUP(Main_S[[#This Row],[Industry]], Mean_ROA_S, 2, FALSE))/(VLOOKUP(Main_S[[#This Row],[Industry]], Mean_ROA_S, 3, FALSE))</f>
        <v>1.2499945283312055</v>
      </c>
      <c r="S2" s="1">
        <f>(Main_S[[#This Row],[A/E]]-VLOOKUP(Main_S[[#This Row],[Industry]], Mean_AE_S, 2, FALSE))/(VLOOKUP(Main_S[[#This Row],[Industry]], Mean_AE_S, 3, FALSE))</f>
        <v>1.3971087876904527</v>
      </c>
      <c r="T2" s="1">
        <f>(Main_S[[#This Row],[P/E]]-VLOOKUP(Main_S[[#This Row],[Industry]], Mean_PE_S, 2, FALSE))/(VLOOKUP(Main_S[[#This Row],[Industry]], Mean_PE_S, 3, FALSE))</f>
        <v>0.37254986193818596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t="s">
        <v>106</v>
      </c>
      <c r="B3" t="s">
        <v>326</v>
      </c>
      <c r="C3" s="2">
        <v>1728</v>
      </c>
      <c r="D3">
        <f>RTD("tos.rtd", , "LAST", Main_S[[#This Row],[Symbol]])</f>
        <v>43.38</v>
      </c>
      <c r="E3">
        <v>5.16</v>
      </c>
      <c r="F3">
        <v>38.61</v>
      </c>
      <c r="G3">
        <v>1.75</v>
      </c>
      <c r="H3" s="1">
        <f>IF(ISNUMBER(Main_S[[#This Row],[Free CF]]),IF(Main_S[[#This Row],[Free CF]]&lt;&gt;0,Main_S[[#This Row],[Current Price]]/Main_S[[#This Row],[Free CF]],""),"")</f>
        <v>8.4069767441860463</v>
      </c>
      <c r="I3" s="1">
        <f>IF(ISNUMBER(Main_S[[#This Row],[BVPS]]),IF(Main_S[[#This Row],[BVPS]]&lt;&gt;0,Main_S[[#This Row],[Current Price]]/Main_S[[#This Row],[BVPS]],""),"")</f>
        <v>1.1235431235431237</v>
      </c>
      <c r="J3">
        <v>4.49</v>
      </c>
      <c r="K3">
        <v>4.97</v>
      </c>
      <c r="L3">
        <v>2.44</v>
      </c>
      <c r="M3" s="1">
        <f>IF(ISNUMBER(Main_S[[#This Row],[EPS]]),IF(Main_S[[#This Row],[EPS]]&lt;&gt;0,Main_S[[#This Row],[Current Price]]/Main_S[[#This Row],[EPS]],""),"")</f>
        <v>24.78857142857143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-0.36963948263276575</v>
      </c>
      <c r="P3" s="1">
        <f>(Main_S[[#This Row],[P/B]]-VLOOKUP(Main_S[[#This Row],[Industry]], Mean_PB_S, 2, FALSE))/(VLOOKUP(Main_S[[#This Row],[Industry]], Mean_PB_S, 3, FALSE))</f>
        <v>0.54088309332534201</v>
      </c>
      <c r="Q3" s="1">
        <f>(Main_S[[#This Row],[ROE]]-VLOOKUP(Main_S[[#This Row],[Industry]], Mean_ROE_S, 2, FALSE))/(VLOOKUP(Main_S[[#This Row],[Industry]], Mean_ROE_S, 3, FALSE))</f>
        <v>-5.3743319162019576E-2</v>
      </c>
      <c r="R3" s="1">
        <f>(Main_S[[#This Row],[ROA]]-VLOOKUP(Main_S[[#This Row],[Industry]], Mean_ROA_S, 2, FALSE))/(VLOOKUP(Main_S[[#This Row],[Industry]], Mean_ROA_S, 3, FALSE))</f>
        <v>0.78004281043780899</v>
      </c>
      <c r="S3" s="1">
        <f>(Main_S[[#This Row],[A/E]]-VLOOKUP(Main_S[[#This Row],[Industry]], Mean_AE_S, 2, FALSE))/(VLOOKUP(Main_S[[#This Row],[Industry]], Mean_AE_S, 3, FALSE))</f>
        <v>0.34927719692261316</v>
      </c>
      <c r="T3" s="1">
        <f>(Main_S[[#This Row],[P/E]]-VLOOKUP(Main_S[[#This Row],[Industry]], Mean_PE_S, 2, FALSE))/(VLOOKUP(Main_S[[#This Row],[Industry]], Mean_PE_S, 3, FALSE))</f>
        <v>1.3114078817246551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t="s">
        <v>106</v>
      </c>
      <c r="B4" t="s">
        <v>329</v>
      </c>
      <c r="C4" s="2">
        <v>995</v>
      </c>
      <c r="D4">
        <f>RTD("tos.rtd", , "LAST", Main_S[[#This Row],[Symbol]])</f>
        <v>37.564999999999998</v>
      </c>
      <c r="E4">
        <v>1.75</v>
      </c>
      <c r="F4">
        <v>8.51</v>
      </c>
      <c r="G4">
        <v>1.71</v>
      </c>
      <c r="H4" s="1">
        <f>IF(ISNUMBER(Main_S[[#This Row],[Free CF]]),IF(Main_S[[#This Row],[Free CF]]&lt;&gt;0,Main_S[[#This Row],[Current Price]]/Main_S[[#This Row],[Free CF]],""),"")</f>
        <v>21.465714285714284</v>
      </c>
      <c r="I4" s="1">
        <f>IF(ISNUMBER(Main_S[[#This Row],[BVPS]]),IF(Main_S[[#This Row],[BVPS]]&lt;&gt;0,Main_S[[#This Row],[Current Price]]/Main_S[[#This Row],[BVPS]],""),"")</f>
        <v>4.4142185663924796</v>
      </c>
      <c r="J4">
        <v>22.48</v>
      </c>
      <c r="K4">
        <v>13.79</v>
      </c>
      <c r="L4">
        <v>1.25</v>
      </c>
      <c r="M4" s="1">
        <f>IF(ISNUMBER(Main_S[[#This Row],[EPS]]),IF(Main_S[[#This Row],[EPS]]&lt;&gt;0,Main_S[[#This Row],[Current Price]]/Main_S[[#This Row],[EPS]],""),"")</f>
        <v>21.967836257309941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0.69397031706480095</v>
      </c>
      <c r="P4" s="1">
        <f>(Main_S[[#This Row],[P/B]]-VLOOKUP(Main_S[[#This Row],[Industry]], Mean_PB_S, 2, FALSE))/(VLOOKUP(Main_S[[#This Row],[Industry]], Mean_PB_S, 3, FALSE))</f>
        <v>12.448196558879104</v>
      </c>
      <c r="Q4" s="1">
        <f>(Main_S[[#This Row],[ROE]]-VLOOKUP(Main_S[[#This Row],[Industry]], Mean_ROE_S, 2, FALSE))/(VLOOKUP(Main_S[[#This Row],[Industry]], Mean_ROE_S, 3, FALSE))</f>
        <v>1.0477226055876747</v>
      </c>
      <c r="R4" s="1">
        <f>(Main_S[[#This Row],[ROA]]-VLOOKUP(Main_S[[#This Row],[Industry]], Mean_ROA_S, 2, FALSE))/(VLOOKUP(Main_S[[#This Row],[Industry]], Mean_ROA_S, 3, FALSE))</f>
        <v>7.5750824035849469</v>
      </c>
      <c r="S4" s="1">
        <f>(Main_S[[#This Row],[A/E]]-VLOOKUP(Main_S[[#This Row],[Industry]], Mean_AE_S, 2, FALSE))/(VLOOKUP(Main_S[[#This Row],[Industry]], Mean_AE_S, 3, FALSE))</f>
        <v>-1.8005841703424363</v>
      </c>
      <c r="T4" s="1">
        <f>(Main_S[[#This Row],[P/E]]-VLOOKUP(Main_S[[#This Row],[Industry]], Mean_PE_S, 2, FALSE))/(VLOOKUP(Main_S[[#This Row],[Industry]], Mean_PE_S, 3, FALSE))</f>
        <v>1.1088694333512177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t="s">
        <v>106</v>
      </c>
      <c r="B5" t="s">
        <v>328</v>
      </c>
      <c r="C5" s="2">
        <v>844</v>
      </c>
      <c r="D5">
        <f>RTD("tos.rtd", , "LAST", Main_S[[#This Row],[Symbol]])</f>
        <v>27.78</v>
      </c>
      <c r="E5">
        <v>0.93</v>
      </c>
      <c r="F5">
        <v>20.95</v>
      </c>
      <c r="G5">
        <v>1.59</v>
      </c>
      <c r="H5" s="1">
        <f>IF(ISNUMBER(Main_S[[#This Row],[Free CF]]),IF(Main_S[[#This Row],[Free CF]]&lt;&gt;0,Main_S[[#This Row],[Current Price]]/Main_S[[#This Row],[Free CF]],""),"")</f>
        <v>29.870967741935484</v>
      </c>
      <c r="I5" s="1">
        <f>IF(ISNUMBER(Main_S[[#This Row],[BVPS]]),IF(Main_S[[#This Row],[BVPS]]&lt;&gt;0,Main_S[[#This Row],[Current Price]]/Main_S[[#This Row],[BVPS]],""),"")</f>
        <v>1.3260143198090693</v>
      </c>
      <c r="J5">
        <v>7.74</v>
      </c>
      <c r="K5">
        <v>5.83</v>
      </c>
      <c r="L5">
        <v>2.08</v>
      </c>
      <c r="M5" s="1">
        <f>IF(ISNUMBER(Main_S[[#This Row],[EPS]]),IF(Main_S[[#This Row],[EPS]]&lt;&gt;0,Main_S[[#This Row],[Current Price]]/Main_S[[#This Row],[EPS]],""),"")</f>
        <v>17.471698113207548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1.3785625233595367</v>
      </c>
      <c r="P5" s="1">
        <f>(Main_S[[#This Row],[P/B]]-VLOOKUP(Main_S[[#This Row],[Industry]], Mean_PB_S, 2, FALSE))/(VLOOKUP(Main_S[[#This Row],[Industry]], Mean_PB_S, 3, FALSE))</f>
        <v>1.2735253862391378</v>
      </c>
      <c r="Q5" s="1">
        <f>(Main_S[[#This Row],[ROE]]-VLOOKUP(Main_S[[#This Row],[Industry]], Mean_ROE_S, 2, FALSE))/(VLOOKUP(Main_S[[#This Row],[Industry]], Mean_ROE_S, 3, FALSE))</f>
        <v>0.14524302077330598</v>
      </c>
      <c r="R5" s="1">
        <f>(Main_S[[#This Row],[ROA]]-VLOOKUP(Main_S[[#This Row],[Industry]], Mean_ROA_S, 2, FALSE))/(VLOOKUP(Main_S[[#This Row],[Industry]], Mean_ROA_S, 3, FALSE))</f>
        <v>1.4425976914022693</v>
      </c>
      <c r="S5" s="1">
        <f>(Main_S[[#This Row],[A/E]]-VLOOKUP(Main_S[[#This Row],[Industry]], Mean_AE_S, 2, FALSE))/(VLOOKUP(Main_S[[#This Row],[Industry]], Mean_AE_S, 3, FALSE))</f>
        <v>-0.30110103182983861</v>
      </c>
      <c r="T5" s="1">
        <f>(Main_S[[#This Row],[P/E]]-VLOOKUP(Main_S[[#This Row],[Industry]], Mean_PE_S, 2, FALSE))/(VLOOKUP(Main_S[[#This Row],[Industry]], Mean_PE_S, 3, FALSE))</f>
        <v>0.78603131204971732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t="s">
        <v>106</v>
      </c>
      <c r="B6" t="s">
        <v>321</v>
      </c>
      <c r="C6" s="2">
        <v>519</v>
      </c>
      <c r="D6">
        <f>RTD("tos.rtd", , "LAST", Main_S[[#This Row],[Symbol]])</f>
        <v>4.26</v>
      </c>
      <c r="E6">
        <v>1.88</v>
      </c>
      <c r="F6">
        <v>5.04</v>
      </c>
      <c r="G6">
        <v>0.18</v>
      </c>
      <c r="H6" s="1">
        <f>IF(ISNUMBER(Main_S[[#This Row],[Free CF]]),IF(Main_S[[#This Row],[Free CF]]&lt;&gt;0,Main_S[[#This Row],[Current Price]]/Main_S[[#This Row],[Free CF]],""),"")</f>
        <v>2.2659574468085109</v>
      </c>
      <c r="I6" s="1">
        <f>IF(ISNUMBER(Main_S[[#This Row],[BVPS]]),IF(Main_S[[#This Row],[BVPS]]&lt;&gt;0,Main_S[[#This Row],[Current Price]]/Main_S[[#This Row],[BVPS]],""),"")</f>
        <v>0.84523809523809523</v>
      </c>
      <c r="J6">
        <v>3.55</v>
      </c>
      <c r="K6">
        <v>3.01</v>
      </c>
      <c r="L6">
        <v>8.6199999999999992</v>
      </c>
      <c r="M6" s="1">
        <f>IF(ISNUMBER(Main_S[[#This Row],[EPS]]),IF(Main_S[[#This Row],[EPS]]&lt;&gt;0,Main_S[[#This Row],[Current Price]]/Main_S[[#This Row],[EPS]],""),"")</f>
        <v>23.666666666666668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-0.86981404269657314</v>
      </c>
      <c r="P6" s="1">
        <f>(Main_S[[#This Row],[P/B]]-VLOOKUP(Main_S[[#This Row],[Industry]], Mean_PB_S, 2, FALSE))/(VLOOKUP(Main_S[[#This Row],[Industry]], Mean_PB_S, 3, FALSE))</f>
        <v>-0.46616402165794263</v>
      </c>
      <c r="Q6" s="1">
        <f>(Main_S[[#This Row],[ROE]]-VLOOKUP(Main_S[[#This Row],[Industry]], Mean_ROE_S, 2, FALSE))/(VLOOKUP(Main_S[[#This Row],[Industry]], Mean_ROE_S, 3, FALSE))</f>
        <v>-0.11129629132792915</v>
      </c>
      <c r="R6" s="1">
        <f>(Main_S[[#This Row],[ROA]]-VLOOKUP(Main_S[[#This Row],[Industry]], Mean_ROA_S, 2, FALSE))/(VLOOKUP(Main_S[[#This Row],[Industry]], Mean_ROA_S, 3, FALSE))</f>
        <v>-0.72996598803933277</v>
      </c>
      <c r="S6" s="1">
        <f>(Main_S[[#This Row],[A/E]]-VLOOKUP(Main_S[[#This Row],[Industry]], Mean_AE_S, 2, FALSE))/(VLOOKUP(Main_S[[#This Row],[Industry]], Mean_AE_S, 3, FALSE))</f>
        <v>11.514103457173038</v>
      </c>
      <c r="T6" s="1">
        <f>(Main_S[[#This Row],[P/E]]-VLOOKUP(Main_S[[#This Row],[Industry]], Mean_PE_S, 2, FALSE))/(VLOOKUP(Main_S[[#This Row],[Industry]], Mean_PE_S, 3, FALSE))</f>
        <v>1.2308512764771868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t="s">
        <v>106</v>
      </c>
      <c r="B7" t="s">
        <v>323</v>
      </c>
      <c r="C7" s="2">
        <v>578</v>
      </c>
      <c r="D7">
        <f>RTD("tos.rtd", , "LAST", Main_S[[#This Row],[Symbol]])</f>
        <v>1.72</v>
      </c>
      <c r="E7">
        <v>-0.22</v>
      </c>
      <c r="F7">
        <v>-0.68</v>
      </c>
      <c r="G7">
        <v>-0.34</v>
      </c>
      <c r="H7" s="1">
        <f>IF(ISNUMBER(Main_S[[#This Row],[Free CF]]),IF(Main_S[[#This Row],[Free CF]]&lt;&gt;0,Main_S[[#This Row],[Current Price]]/Main_S[[#This Row],[Free CF]],""),"")</f>
        <v>-7.8181818181818183</v>
      </c>
      <c r="I7" s="1">
        <f>IF(ISNUMBER(Main_S[[#This Row],[BVPS]]),IF(Main_S[[#This Row],[BVPS]]&lt;&gt;0,Main_S[[#This Row],[Current Price]]/Main_S[[#This Row],[BVPS]],""),"")</f>
        <v>-2.5294117647058822</v>
      </c>
      <c r="J7">
        <v>62.85</v>
      </c>
      <c r="K7">
        <v>-12.4</v>
      </c>
      <c r="L7">
        <v>-2.54</v>
      </c>
      <c r="M7" s="1">
        <f>IF(ISNUMBER(Main_S[[#This Row],[EPS]]),IF(Main_S[[#This Row],[EPS]]&lt;&gt;0,Main_S[[#This Row],[Current Price]]/Main_S[[#This Row],[EPS]],""),"")</f>
        <v>-5.0588235294117645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-1.6911483646132337</v>
      </c>
      <c r="P7" s="1">
        <f>(Main_S[[#This Row],[P/B]]-VLOOKUP(Main_S[[#This Row],[Industry]], Mean_PB_S, 2, FALSE))/(VLOOKUP(Main_S[[#This Row],[Industry]], Mean_PB_S, 3, FALSE))</f>
        <v>-12.677339027129177</v>
      </c>
      <c r="Q7" s="1">
        <f>(Main_S[[#This Row],[ROE]]-VLOOKUP(Main_S[[#This Row],[Industry]], Mean_ROE_S, 2, FALSE))/(VLOOKUP(Main_S[[#This Row],[Industry]], Mean_ROE_S, 3, FALSE))</f>
        <v>3.5194390804150877</v>
      </c>
      <c r="R7" s="1">
        <f>(Main_S[[#This Row],[ROA]]-VLOOKUP(Main_S[[#This Row],[Industry]], Mean_ROA_S, 2, FALSE))/(VLOOKUP(Main_S[[#This Row],[Industry]], Mean_ROA_S, 3, FALSE))</f>
        <v>-12.602024959739719</v>
      </c>
      <c r="S7" s="1">
        <f>(Main_S[[#This Row],[A/E]]-VLOOKUP(Main_S[[#This Row],[Industry]], Mean_AE_S, 2, FALSE))/(VLOOKUP(Main_S[[#This Row],[Industry]], Mean_AE_S, 3, FALSE))</f>
        <v>-8.6476216341529728</v>
      </c>
      <c r="T7" s="1">
        <f>(Main_S[[#This Row],[P/E]]-VLOOKUP(Main_S[[#This Row],[Industry]], Mean_PE_S, 2, FALSE))/(VLOOKUP(Main_S[[#This Row],[Industry]], Mean_PE_S, 3, FALSE))</f>
        <v>-0.83173732537237288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t="s">
        <v>106</v>
      </c>
      <c r="B8" t="s">
        <v>325</v>
      </c>
      <c r="C8" s="2">
        <v>445</v>
      </c>
      <c r="D8">
        <f>RTD("tos.rtd", , "LAST", Main_S[[#This Row],[Symbol]])</f>
        <v>6.1311999999999998</v>
      </c>
      <c r="E8">
        <v>1.27</v>
      </c>
      <c r="F8">
        <v>14.15</v>
      </c>
      <c r="G8">
        <v>-0.56999999999999995</v>
      </c>
      <c r="H8" s="1">
        <f>IF(ISNUMBER(Main_S[[#This Row],[Free CF]]),IF(Main_S[[#This Row],[Free CF]]&lt;&gt;0,Main_S[[#This Row],[Current Price]]/Main_S[[#This Row],[Free CF]],""),"")</f>
        <v>4.8277165354330709</v>
      </c>
      <c r="I8" s="1">
        <f>IF(ISNUMBER(Main_S[[#This Row],[BVPS]]),IF(Main_S[[#This Row],[BVPS]]&lt;&gt;0,Main_S[[#This Row],[Current Price]]/Main_S[[#This Row],[BVPS]],""),"")</f>
        <v>0.43330035335689043</v>
      </c>
      <c r="J8">
        <v>-4.05</v>
      </c>
      <c r="K8">
        <v>3.89</v>
      </c>
      <c r="L8">
        <v>2.63</v>
      </c>
      <c r="M8" s="1">
        <f>IF(ISNUMBER(Main_S[[#This Row],[EPS]]),IF(Main_S[[#This Row],[EPS]]&lt;&gt;0,Main_S[[#This Row],[Current Price]]/Main_S[[#This Row],[EPS]],""),"")</f>
        <v>-10.756491228070177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-0.6611635462408092</v>
      </c>
      <c r="P8" s="1">
        <f>(Main_S[[#This Row],[P/B]]-VLOOKUP(Main_S[[#This Row],[Industry]], Mean_PB_S, 2, FALSE))/(VLOOKUP(Main_S[[#This Row],[Industry]], Mean_PB_S, 3, FALSE))</f>
        <v>-1.9567612884077252</v>
      </c>
      <c r="Q8" s="1">
        <f>(Main_S[[#This Row],[ROE]]-VLOOKUP(Main_S[[#This Row],[Industry]], Mean_ROE_S, 2, FALSE))/(VLOOKUP(Main_S[[#This Row],[Industry]], Mean_ROE_S, 3, FALSE))</f>
        <v>-0.57661819394592129</v>
      </c>
      <c r="R8" s="1">
        <f>(Main_S[[#This Row],[ROA]]-VLOOKUP(Main_S[[#This Row],[Industry]], Mean_ROA_S, 2, FALSE))/(VLOOKUP(Main_S[[#This Row],[Industry]], Mean_ROA_S, 3, FALSE))</f>
        <v>-5.2002854029187202E-2</v>
      </c>
      <c r="S8" s="1">
        <f>(Main_S[[#This Row],[A/E]]-VLOOKUP(Main_S[[#This Row],[Industry]], Mean_AE_S, 2, FALSE))/(VLOOKUP(Main_S[[#This Row],[Industry]], Mean_AE_S, 3, FALSE))</f>
        <v>0.69253237320862937</v>
      </c>
      <c r="T8" s="1">
        <f>(Main_S[[#This Row],[P/E]]-VLOOKUP(Main_S[[#This Row],[Industry]], Mean_PE_S, 2, FALSE))/(VLOOKUP(Main_S[[#This Row],[Industry]], Mean_PE_S, 3, FALSE))</f>
        <v>-1.2408493848067357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" spans="1:26" x14ac:dyDescent="0.25">
      <c r="A9" t="s">
        <v>106</v>
      </c>
      <c r="B9" t="s">
        <v>322</v>
      </c>
      <c r="C9" s="2">
        <v>404</v>
      </c>
      <c r="D9">
        <f>RTD("tos.rtd", , "LAST", Main_S[[#This Row],[Symbol]])</f>
        <v>22.43</v>
      </c>
      <c r="E9">
        <v>1.39</v>
      </c>
      <c r="F9">
        <v>-6.54</v>
      </c>
      <c r="G9">
        <v>-2.58</v>
      </c>
      <c r="H9" s="1">
        <f>IF(ISNUMBER(Main_S[[#This Row],[Free CF]]),IF(Main_S[[#This Row],[Free CF]]&lt;&gt;0,Main_S[[#This Row],[Current Price]]/Main_S[[#This Row],[Free CF]],""),"")</f>
        <v>16.136690647482016</v>
      </c>
      <c r="I9" s="1">
        <f>IF(ISNUMBER(Main_S[[#This Row],[BVPS]]),IF(Main_S[[#This Row],[BVPS]]&lt;&gt;0,Main_S[[#This Row],[Current Price]]/Main_S[[#This Row],[BVPS]],""),"")</f>
        <v>-3.429663608562691</v>
      </c>
      <c r="J9">
        <v>36.75</v>
      </c>
      <c r="K9">
        <v>3.63</v>
      </c>
      <c r="L9">
        <v>-15.69</v>
      </c>
      <c r="M9" s="1">
        <f>IF(ISNUMBER(Main_S[[#This Row],[EPS]]),IF(Main_S[[#This Row],[EPS]]&lt;&gt;0,Main_S[[#This Row],[Current Price]]/Main_S[[#This Row],[EPS]],""),"")</f>
        <v>-8.6937984496124034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0.25993128791524156</v>
      </c>
      <c r="P9" s="1">
        <f>(Main_S[[#This Row],[P/B]]-VLOOKUP(Main_S[[#This Row],[Industry]], Mean_PB_S, 2, FALSE))/(VLOOKUP(Main_S[[#This Row],[Industry]], Mean_PB_S, 3, FALSE))</f>
        <v>-15.934901521187793</v>
      </c>
      <c r="Q9" s="1">
        <f>(Main_S[[#This Row],[ROE]]-VLOOKUP(Main_S[[#This Row],[Industry]], Mean_ROE_S, 2, FALSE))/(VLOOKUP(Main_S[[#This Row],[Industry]], Mean_ROE_S, 3, FALSE))</f>
        <v>1.9214257043190888</v>
      </c>
      <c r="R9" s="1">
        <f>(Main_S[[#This Row],[ROA]]-VLOOKUP(Main_S[[#This Row],[Industry]], Mean_ROA_S, 2, FALSE))/(VLOOKUP(Main_S[[#This Row],[Industry]], Mean_ROA_S, 3, FALSE))</f>
        <v>-0.25231014362309395</v>
      </c>
      <c r="S9" s="1">
        <f>(Main_S[[#This Row],[A/E]]-VLOOKUP(Main_S[[#This Row],[Industry]], Mean_AE_S, 2, FALSE))/(VLOOKUP(Main_S[[#This Row],[Industry]], Mean_AE_S, 3, FALSE))</f>
        <v>-32.404493045527261</v>
      </c>
      <c r="T9" s="1">
        <f>(Main_S[[#This Row],[P/E]]-VLOOKUP(Main_S[[#This Row],[Industry]], Mean_PE_S, 2, FALSE))/(VLOOKUP(Main_S[[#This Row],[Industry]], Mean_PE_S, 3, FALSE))</f>
        <v>-1.0927409770851082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t="s">
        <v>106</v>
      </c>
      <c r="B10" t="s">
        <v>320</v>
      </c>
      <c r="C10" s="2">
        <v>1310</v>
      </c>
      <c r="D10">
        <f>RTD("tos.rtd", , "LAST", Main_S[[#This Row],[Symbol]])</f>
        <v>16.47</v>
      </c>
      <c r="E10">
        <v>2.73</v>
      </c>
      <c r="F10">
        <v>19.66</v>
      </c>
      <c r="G10">
        <v>-3.11</v>
      </c>
      <c r="H10" s="1">
        <f>IF(ISNUMBER(Main_S[[#This Row],[Free CF]]),IF(Main_S[[#This Row],[Free CF]]&lt;&gt;0,Main_S[[#This Row],[Current Price]]/Main_S[[#This Row],[Free CF]],""),"")</f>
        <v>6.0329670329670328</v>
      </c>
      <c r="I10" s="1">
        <f>IF(ISNUMBER(Main_S[[#This Row],[BVPS]]),IF(Main_S[[#This Row],[BVPS]]&lt;&gt;0,Main_S[[#This Row],[Current Price]]/Main_S[[#This Row],[BVPS]],""),"")</f>
        <v>0.83774160732451675</v>
      </c>
      <c r="J10">
        <v>-8.17</v>
      </c>
      <c r="K10">
        <v>2.76</v>
      </c>
      <c r="L10">
        <v>5.2</v>
      </c>
      <c r="M10" s="1">
        <f>IF(ISNUMBER(Main_S[[#This Row],[EPS]]),IF(Main_S[[#This Row],[EPS]]&lt;&gt;0,Main_S[[#This Row],[Current Price]]/Main_S[[#This Row],[EPS]],""),"")</f>
        <v>-5.295819935691318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-0.56299814271762372</v>
      </c>
      <c r="P10" s="1">
        <f>(Main_S[[#This Row],[P/B]]-VLOOKUP(Main_S[[#This Row],[Industry]], Mean_PB_S, 2, FALSE))/(VLOOKUP(Main_S[[#This Row],[Industry]], Mean_PB_S, 3, FALSE))</f>
        <v>-0.49329007314128864</v>
      </c>
      <c r="Q10" s="1">
        <f>(Main_S[[#This Row],[ROE]]-VLOOKUP(Main_S[[#This Row],[Industry]], Mean_ROE_S, 2, FALSE))/(VLOOKUP(Main_S[[#This Row],[Industry]], Mean_ROE_S, 3, FALSE))</f>
        <v>-0.82887164641778011</v>
      </c>
      <c r="R10" s="1">
        <f>(Main_S[[#This Row],[ROA]]-VLOOKUP(Main_S[[#This Row],[Industry]], Mean_ROA_S, 2, FALSE))/(VLOOKUP(Main_S[[#This Row],[Industry]], Mean_ROA_S, 3, FALSE))</f>
        <v>-0.92256915111039672</v>
      </c>
      <c r="S10" s="1">
        <f>(Main_S[[#This Row],[A/E]]-VLOOKUP(Main_S[[#This Row],[Industry]], Mean_AE_S, 2, FALSE))/(VLOOKUP(Main_S[[#This Row],[Industry]], Mean_AE_S, 3, FALSE))</f>
        <v>5.3355102840247453</v>
      </c>
      <c r="T10" s="1">
        <f>(Main_S[[#This Row],[P/E]]-VLOOKUP(Main_S[[#This Row],[Industry]], Mean_PE_S, 2, FALSE))/(VLOOKUP(Main_S[[#This Row],[Industry]], Mean_PE_S, 3, FALSE))</f>
        <v>-0.84875447922892389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t="s">
        <v>106</v>
      </c>
      <c r="B11" t="s">
        <v>324</v>
      </c>
      <c r="C11" s="2">
        <v>1070</v>
      </c>
      <c r="D11">
        <f>RTD("tos.rtd", , "LAST", Main_S[[#This Row],[Symbol]])</f>
        <v>27.29</v>
      </c>
      <c r="E11">
        <v>1.96</v>
      </c>
      <c r="F11">
        <v>22.53</v>
      </c>
      <c r="G11">
        <v>-5.99</v>
      </c>
      <c r="H11" s="1">
        <f>IF(ISNUMBER(Main_S[[#This Row],[Free CF]]),IF(Main_S[[#This Row],[Free CF]]&lt;&gt;0,Main_S[[#This Row],[Current Price]]/Main_S[[#This Row],[Free CF]],""),"")</f>
        <v>13.923469387755102</v>
      </c>
      <c r="I11" s="1">
        <f>IF(ISNUMBER(Main_S[[#This Row],[BVPS]]),IF(Main_S[[#This Row],[BVPS]]&lt;&gt;0,Main_S[[#This Row],[Current Price]]/Main_S[[#This Row],[BVPS]],""),"")</f>
        <v>1.2112738570794495</v>
      </c>
      <c r="J11">
        <v>-23.42</v>
      </c>
      <c r="K11">
        <v>1.99</v>
      </c>
      <c r="L11">
        <v>2.06</v>
      </c>
      <c r="M11" s="1">
        <f>IF(ISNUMBER(Main_S[[#This Row],[EPS]]),IF(Main_S[[#This Row],[EPS]]&lt;&gt;0,Main_S[[#This Row],[Current Price]]/Main_S[[#This Row],[EPS]],""),"")</f>
        <v>-4.5559265442404007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7.9668547105990584E-2</v>
      </c>
      <c r="P11" s="1">
        <f>(Main_S[[#This Row],[P/B]]-VLOOKUP(Main_S[[#This Row],[Industry]], Mean_PB_S, 2, FALSE))/(VLOOKUP(Main_S[[#This Row],[Industry]], Mean_PB_S, 3, FALSE))</f>
        <v>0.85833686928188613</v>
      </c>
      <c r="Q11" s="1">
        <f>(Main_S[[#This Row],[ROE]]-VLOOKUP(Main_S[[#This Row],[Industry]], Mean_ROE_S, 2, FALSE))/(VLOOKUP(Main_S[[#This Row],[Industry]], Mean_ROE_S, 3, FALSE))</f>
        <v>-1.7625767799604617</v>
      </c>
      <c r="R11" s="1">
        <f>(Main_S[[#This Row],[ROA]]-VLOOKUP(Main_S[[#This Row],[Industry]], Mean_ROA_S, 2, FALSE))/(VLOOKUP(Main_S[[#This Row],[Industry]], Mean_ROA_S, 3, FALSE))</f>
        <v>-1.5157868933692737</v>
      </c>
      <c r="S11" s="1">
        <f>(Main_S[[#This Row],[A/E]]-VLOOKUP(Main_S[[#This Row],[Industry]], Mean_AE_S, 2, FALSE))/(VLOOKUP(Main_S[[#This Row],[Industry]], Mean_AE_S, 3, FALSE))</f>
        <v>-0.3372331556494193</v>
      </c>
      <c r="T11" s="1">
        <f>(Main_S[[#This Row],[P/E]]-VLOOKUP(Main_S[[#This Row],[Industry]], Mean_PE_S, 2, FALSE))/(VLOOKUP(Main_S[[#This Row],[Industry]], Mean_PE_S, 3, FALSE))</f>
        <v>-0.79562759904782188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t="s">
        <v>107</v>
      </c>
      <c r="B12" t="s">
        <v>496</v>
      </c>
      <c r="C12" s="2">
        <v>1984</v>
      </c>
      <c r="D12">
        <f>RTD("tos.rtd", , "LAST", Main_S[[#This Row],[Symbol]])</f>
        <v>2.4750000000000001</v>
      </c>
      <c r="E12">
        <v>0.27</v>
      </c>
      <c r="F12">
        <v>1.01</v>
      </c>
      <c r="G12">
        <v>0.01</v>
      </c>
      <c r="H12" s="1">
        <f>IF(ISNUMBER(Main_S[[#This Row],[Free CF]]),IF(Main_S[[#This Row],[Free CF]]&lt;&gt;0,Main_S[[#This Row],[Current Price]]/Main_S[[#This Row],[Free CF]],""),"")</f>
        <v>9.1666666666666661</v>
      </c>
      <c r="I12" s="1">
        <f>IF(ISNUMBER(Main_S[[#This Row],[BVPS]]),IF(Main_S[[#This Row],[BVPS]]&lt;&gt;0,Main_S[[#This Row],[Current Price]]/Main_S[[#This Row],[BVPS]],""),"")</f>
        <v>2.4504950495049505</v>
      </c>
      <c r="J12">
        <v>11.2</v>
      </c>
      <c r="K12">
        <v>5.82</v>
      </c>
      <c r="L12">
        <v>2.91</v>
      </c>
      <c r="M12" s="1">
        <f>IF(ISNUMBER(Main_S[[#This Row],[EPS]]),IF(Main_S[[#This Row],[EPS]]&lt;&gt;0,Main_S[[#This Row],[Current Price]]/Main_S[[#This Row],[EPS]],""),"")</f>
        <v>247.5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0.94126840808285683</v>
      </c>
      <c r="P12" s="1">
        <f>(Main_S[[#This Row],[P/B]]-VLOOKUP(Main_S[[#This Row],[Industry]], Mean_PB_S, 2, FALSE))/(VLOOKUP(Main_S[[#This Row],[Industry]], Mean_PB_S, 3, FALSE))</f>
        <v>-0.43668090065440879</v>
      </c>
      <c r="Q12" s="1">
        <f>(Main_S[[#This Row],[ROE]]-VLOOKUP(Main_S[[#This Row],[Industry]], Mean_ROE_S, 2, FALSE))/(VLOOKUP(Main_S[[#This Row],[Industry]], Mean_ROE_S, 3, FALSE))</f>
        <v>1.0173143537542049</v>
      </c>
      <c r="R12" s="1">
        <f>(Main_S[[#This Row],[ROA]]-VLOOKUP(Main_S[[#This Row],[Industry]], Mean_ROA_S, 2, FALSE))/(VLOOKUP(Main_S[[#This Row],[Industry]], Mean_ROA_S, 3, FALSE))</f>
        <v>1.1686355208146821</v>
      </c>
      <c r="S12" s="1">
        <f>(Main_S[[#This Row],[A/E]]-VLOOKUP(Main_S[[#This Row],[Industry]], Mean_AE_S, 2, FALSE))/(VLOOKUP(Main_S[[#This Row],[Industry]], Mean_AE_S, 3, FALSE))</f>
        <v>0.27301086046198358</v>
      </c>
      <c r="T12" s="1">
        <f>(Main_S[[#This Row],[P/E]]-VLOOKUP(Main_S[[#This Row],[Industry]], Mean_PE_S, 2, FALSE))/(VLOOKUP(Main_S[[#This Row],[Industry]], Mean_PE_S, 3, FALSE))</f>
        <v>47.037976104459709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" spans="1:26" x14ac:dyDescent="0.25">
      <c r="A13" t="s">
        <v>107</v>
      </c>
      <c r="B13" t="s">
        <v>331</v>
      </c>
      <c r="C13" s="2">
        <v>951</v>
      </c>
      <c r="D13">
        <f>RTD("tos.rtd", , "LAST", Main_S[[#This Row],[Symbol]])</f>
        <v>33.5</v>
      </c>
      <c r="E13">
        <v>2.52</v>
      </c>
      <c r="F13">
        <v>43.44</v>
      </c>
      <c r="G13">
        <v>-0.2</v>
      </c>
      <c r="H13" s="1">
        <f>IF(ISNUMBER(Main_S[[#This Row],[Free CF]]),IF(Main_S[[#This Row],[Free CF]]&lt;&gt;0,Main_S[[#This Row],[Current Price]]/Main_S[[#This Row],[Free CF]],""),"")</f>
        <v>13.293650793650794</v>
      </c>
      <c r="I13" s="1">
        <f>IF(ISNUMBER(Main_S[[#This Row],[BVPS]]),IF(Main_S[[#This Row],[BVPS]]&lt;&gt;0,Main_S[[#This Row],[Current Price]]/Main_S[[#This Row],[BVPS]],""),"")</f>
        <v>0.77117863720073665</v>
      </c>
      <c r="J13">
        <v>-0.45</v>
      </c>
      <c r="K13">
        <v>1.7</v>
      </c>
      <c r="L13">
        <v>1.8</v>
      </c>
      <c r="M13" s="1">
        <f>IF(ISNUMBER(Main_S[[#This Row],[EPS]]),IF(Main_S[[#This Row],[EPS]]&lt;&gt;0,Main_S[[#This Row],[Current Price]]/Main_S[[#This Row],[EPS]],""),"")</f>
        <v>-167.5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1.2354530909059922</v>
      </c>
      <c r="P13" s="1">
        <f>(Main_S[[#This Row],[P/B]]-VLOOKUP(Main_S[[#This Row],[Industry]], Mean_PB_S, 2, FALSE))/(VLOOKUP(Main_S[[#This Row],[Industry]], Mean_PB_S, 3, FALSE))</f>
        <v>-0.7114174560754537</v>
      </c>
      <c r="Q13" s="1">
        <f>(Main_S[[#This Row],[ROE]]-VLOOKUP(Main_S[[#This Row],[Industry]], Mean_ROE_S, 2, FALSE))/(VLOOKUP(Main_S[[#This Row],[Industry]], Mean_ROE_S, 3, FALSE))</f>
        <v>0.60877549745511883</v>
      </c>
      <c r="R13" s="1">
        <f>(Main_S[[#This Row],[ROA]]-VLOOKUP(Main_S[[#This Row],[Industry]], Mean_ROA_S, 2, FALSE))/(VLOOKUP(Main_S[[#This Row],[Industry]], Mean_ROA_S, 3, FALSE))</f>
        <v>0.9663339096484429</v>
      </c>
      <c r="S13" s="1">
        <f>(Main_S[[#This Row],[A/E]]-VLOOKUP(Main_S[[#This Row],[Industry]], Mean_AE_S, 2, FALSE))/(VLOOKUP(Main_S[[#This Row],[Industry]], Mean_AE_S, 3, FALSE))</f>
        <v>-0.80160635625007948</v>
      </c>
      <c r="T13" s="1">
        <f>(Main_S[[#This Row],[P/E]]-VLOOKUP(Main_S[[#This Row],[Industry]], Mean_PE_S, 2, FALSE))/(VLOOKUP(Main_S[[#This Row],[Industry]], Mean_PE_S, 3, FALSE))</f>
        <v>-29.647420017131743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" spans="1:26" x14ac:dyDescent="0.25">
      <c r="A14" t="s">
        <v>107</v>
      </c>
      <c r="B14" t="s">
        <v>332</v>
      </c>
      <c r="C14" s="2">
        <v>279</v>
      </c>
      <c r="D14">
        <f>RTD("tos.rtd", , "LAST", Main_S[[#This Row],[Symbol]])</f>
        <v>3.47</v>
      </c>
      <c r="E14">
        <v>-0.12</v>
      </c>
      <c r="F14">
        <v>1.55</v>
      </c>
      <c r="G14">
        <v>-0.31</v>
      </c>
      <c r="H14" s="1">
        <f>IF(ISNUMBER(Main_S[[#This Row],[Free CF]]),IF(Main_S[[#This Row],[Free CF]]&lt;&gt;0,Main_S[[#This Row],[Current Price]]/Main_S[[#This Row],[Free CF]],""),"")</f>
        <v>-28.916666666666668</v>
      </c>
      <c r="I14" s="1">
        <f>IF(ISNUMBER(Main_S[[#This Row],[BVPS]]),IF(Main_S[[#This Row],[BVPS]]&lt;&gt;0,Main_S[[#This Row],[Current Price]]/Main_S[[#This Row],[BVPS]],""),"")</f>
        <v>2.2387096774193549</v>
      </c>
      <c r="J14">
        <v>-18.25</v>
      </c>
      <c r="K14">
        <v>-5.84</v>
      </c>
      <c r="L14">
        <v>2.8</v>
      </c>
      <c r="M14" s="1">
        <f>IF(ISNUMBER(Main_S[[#This Row],[EPS]]),IF(Main_S[[#This Row],[EPS]]&lt;&gt;0,Main_S[[#This Row],[Current Price]]/Main_S[[#This Row],[EPS]],""),"")</f>
        <v>-11.193548387096774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-1.7734339006225568</v>
      </c>
      <c r="P14" s="1">
        <f>(Main_S[[#This Row],[P/B]]-VLOOKUP(Main_S[[#This Row],[Industry]], Mean_PB_S, 2, FALSE))/(VLOOKUP(Main_S[[#This Row],[Industry]], Mean_PB_S, 3, FALSE))</f>
        <v>-0.47132903675850613</v>
      </c>
      <c r="Q14" s="1">
        <f>(Main_S[[#This Row],[ROE]]-VLOOKUP(Main_S[[#This Row],[Industry]], Mean_ROE_S, 2, FALSE))/(VLOOKUP(Main_S[[#This Row],[Industry]], Mean_ROE_S, 3, FALSE))</f>
        <v>-1.5429793714300165E-2</v>
      </c>
      <c r="R14" s="1">
        <f>(Main_S[[#This Row],[ROA]]-VLOOKUP(Main_S[[#This Row],[Industry]], Mean_ROA_S, 2, FALSE))/(VLOOKUP(Main_S[[#This Row],[Industry]], Mean_ROA_S, 3, FALSE))</f>
        <v>0.59610232028110255</v>
      </c>
      <c r="S14" s="1">
        <f>(Main_S[[#This Row],[A/E]]-VLOOKUP(Main_S[[#This Row],[Industry]], Mean_AE_S, 2, FALSE))/(VLOOKUP(Main_S[[#This Row],[Industry]], Mean_AE_S, 3, FALSE))</f>
        <v>0.16651726240943651</v>
      </c>
      <c r="T14" s="1">
        <f>(Main_S[[#This Row],[P/E]]-VLOOKUP(Main_S[[#This Row],[Industry]], Mean_PE_S, 2, FALSE))/(VLOOKUP(Main_S[[#This Row],[Industry]], Mean_PE_S, 3, FALSE))</f>
        <v>-0.76447505738270882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" spans="1:26" x14ac:dyDescent="0.25">
      <c r="A15" t="s">
        <v>107</v>
      </c>
      <c r="B15" t="s">
        <v>499</v>
      </c>
      <c r="C15" s="2">
        <v>916</v>
      </c>
      <c r="D15">
        <f>RTD("tos.rtd", , "LAST", Main_S[[#This Row],[Symbol]])</f>
        <v>5.98</v>
      </c>
      <c r="E15">
        <v>-0.46</v>
      </c>
      <c r="F15">
        <v>0.48</v>
      </c>
      <c r="G15">
        <v>-0.44</v>
      </c>
      <c r="H15" s="1">
        <f>IF(ISNUMBER(Main_S[[#This Row],[Free CF]]),IF(Main_S[[#This Row],[Free CF]]&lt;&gt;0,Main_S[[#This Row],[Current Price]]/Main_S[[#This Row],[Free CF]],""),"")</f>
        <v>-13</v>
      </c>
      <c r="I15" s="1">
        <f>IF(ISNUMBER(Main_S[[#This Row],[BVPS]]),IF(Main_S[[#This Row],[BVPS]]&lt;&gt;0,Main_S[[#This Row],[Current Price]]/Main_S[[#This Row],[BVPS]],""),"")</f>
        <v>12.458333333333334</v>
      </c>
      <c r="J15">
        <v>-63.74</v>
      </c>
      <c r="K15">
        <v>-32.840000000000003</v>
      </c>
      <c r="L15">
        <v>1.32</v>
      </c>
      <c r="M15" s="1">
        <f>IF(ISNUMBER(Main_S[[#This Row],[EPS]]),IF(Main_S[[#This Row],[EPS]]&lt;&gt;0,Main_S[[#This Row],[Current Price]]/Main_S[[#This Row],[EPS]],""),"")</f>
        <v>-13.590909090909092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-0.63884278254217597</v>
      </c>
      <c r="P15" s="1">
        <f>(Main_S[[#This Row],[P/B]]-VLOOKUP(Main_S[[#This Row],[Industry]], Mean_PB_S, 2, FALSE))/(VLOOKUP(Main_S[[#This Row],[Industry]], Mean_PB_S, 3, FALSE))</f>
        <v>1.2006037689673321</v>
      </c>
      <c r="Q15" s="1">
        <f>(Main_S[[#This Row],[ROE]]-VLOOKUP(Main_S[[#This Row],[Industry]], Mean_ROE_S, 2, FALSE))/(VLOOKUP(Main_S[[#This Row],[Industry]], Mean_ROE_S, 3, FALSE))</f>
        <v>-1.6106600574950232</v>
      </c>
      <c r="R15" s="1">
        <f>(Main_S[[#This Row],[ROA]]-VLOOKUP(Main_S[[#This Row],[Industry]], Mean_ROA_S, 2, FALSE))/(VLOOKUP(Main_S[[#This Row],[Industry]], Mean_ROA_S, 3, FALSE))</f>
        <v>-0.72966066551706632</v>
      </c>
      <c r="S15" s="1">
        <f>(Main_S[[#This Row],[A/E]]-VLOOKUP(Main_S[[#This Row],[Industry]], Mean_AE_S, 2, FALSE))/(VLOOKUP(Main_S[[#This Row],[Industry]], Mean_AE_S, 3, FALSE))</f>
        <v>-1.2663056932066472</v>
      </c>
      <c r="T15" s="1">
        <f>(Main_S[[#This Row],[P/E]]-VLOOKUP(Main_S[[#This Row],[Industry]], Mean_PE_S, 2, FALSE))/(VLOOKUP(Main_S[[#This Row],[Industry]], Mean_PE_S, 3, FALSE))</f>
        <v>-1.2074691663421904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t="s">
        <v>107</v>
      </c>
      <c r="B16" t="s">
        <v>500</v>
      </c>
      <c r="C16" s="2">
        <v>447</v>
      </c>
      <c r="D16">
        <f>RTD("tos.rtd", , "LAST", Main_S[[#This Row],[Symbol]])</f>
        <v>1.6</v>
      </c>
      <c r="E16">
        <v>-0.5</v>
      </c>
      <c r="F16">
        <v>0.11</v>
      </c>
      <c r="G16">
        <v>-0.74</v>
      </c>
      <c r="H16" s="1">
        <f>IF(ISNUMBER(Main_S[[#This Row],[Free CF]]),IF(Main_S[[#This Row],[Free CF]]&lt;&gt;0,Main_S[[#This Row],[Current Price]]/Main_S[[#This Row],[Free CF]],""),"")</f>
        <v>-3.2</v>
      </c>
      <c r="I16" s="1">
        <f>IF(ISNUMBER(Main_S[[#This Row],[BVPS]]),IF(Main_S[[#This Row],[BVPS]]&lt;&gt;0,Main_S[[#This Row],[Current Price]]/Main_S[[#This Row],[BVPS]],""),"")</f>
        <v>14.545454545454547</v>
      </c>
      <c r="J16">
        <v>-173.26</v>
      </c>
      <c r="K16">
        <v>-51.32</v>
      </c>
      <c r="L16">
        <v>4.3099999999999996</v>
      </c>
      <c r="M16" s="1">
        <f>IF(ISNUMBER(Main_S[[#This Row],[EPS]]),IF(Main_S[[#This Row],[EPS]]&lt;&gt;0,Main_S[[#This Row],[Current Price]]/Main_S[[#This Row],[EPS]],""),"")</f>
        <v>-2.1621621621621623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5.9732691207838529E-2</v>
      </c>
      <c r="P16" s="1">
        <f>(Main_S[[#This Row],[P/B]]-VLOOKUP(Main_S[[#This Row],[Industry]], Mean_PB_S, 2, FALSE))/(VLOOKUP(Main_S[[#This Row],[Industry]], Mean_PB_S, 3, FALSE))</f>
        <v>1.5420572844353289</v>
      </c>
      <c r="Q16" s="1">
        <f>(Main_S[[#This Row],[ROE]]-VLOOKUP(Main_S[[#This Row],[Industry]], Mean_ROE_S, 2, FALSE))/(VLOOKUP(Main_S[[#This Row],[Industry]], Mean_ROE_S, 3, FALSE))</f>
        <v>-5.4512759838363021</v>
      </c>
      <c r="R16" s="1">
        <f>(Main_S[[#This Row],[ROA]]-VLOOKUP(Main_S[[#This Row],[Industry]], Mean_ROA_S, 2, FALSE))/(VLOOKUP(Main_S[[#This Row],[Industry]], Mean_ROA_S, 3, FALSE))</f>
        <v>-1.6370717757967017</v>
      </c>
      <c r="S16" s="1">
        <f>(Main_S[[#This Row],[A/E]]-VLOOKUP(Main_S[[#This Row],[Industry]], Mean_AE_S, 2, FALSE))/(VLOOKUP(Main_S[[#This Row],[Industry]], Mean_AE_S, 3, FALSE))</f>
        <v>1.6283839265853057</v>
      </c>
      <c r="T16" s="1">
        <f>(Main_S[[#This Row],[P/E]]-VLOOKUP(Main_S[[#This Row],[Industry]], Mean_PE_S, 2, FALSE))/(VLOOKUP(Main_S[[#This Row],[Industry]], Mean_PE_S, 3, FALSE))</f>
        <v>0.90438140089727947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" spans="1:26" x14ac:dyDescent="0.25">
      <c r="A17" t="s">
        <v>107</v>
      </c>
      <c r="B17" t="s">
        <v>330</v>
      </c>
      <c r="C17" s="2">
        <v>1451</v>
      </c>
      <c r="D17">
        <f>RTD("tos.rtd", , "LAST", Main_S[[#This Row],[Symbol]])</f>
        <v>2.2000000000000002</v>
      </c>
      <c r="E17">
        <v>-1.4</v>
      </c>
      <c r="F17">
        <v>-1.26</v>
      </c>
      <c r="G17">
        <v>-1.72</v>
      </c>
      <c r="H17" s="1">
        <f>IF(ISNUMBER(Main_S[[#This Row],[Free CF]]),IF(Main_S[[#This Row],[Free CF]]&lt;&gt;0,Main_S[[#This Row],[Current Price]]/Main_S[[#This Row],[Free CF]],""),"")</f>
        <v>-1.5714285714285716</v>
      </c>
      <c r="I17" s="1">
        <f>IF(ISNUMBER(Main_S[[#This Row],[BVPS]]),IF(Main_S[[#This Row],[BVPS]]&lt;&gt;0,Main_S[[#This Row],[Current Price]]/Main_S[[#This Row],[BVPS]],""),"")</f>
        <v>-1.7460317460317463</v>
      </c>
      <c r="J17">
        <v>131.24</v>
      </c>
      <c r="K17">
        <v>-25.4</v>
      </c>
      <c r="L17">
        <v>-2.68</v>
      </c>
      <c r="M17" s="1">
        <f>IF(ISNUMBER(Main_S[[#This Row],[EPS]]),IF(Main_S[[#This Row],[EPS]]&lt;&gt;0,Main_S[[#This Row],[Current Price]]/Main_S[[#This Row],[EPS]],""),"")</f>
        <v>-1.2790697674418605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0.17582249296804503</v>
      </c>
      <c r="P17" s="1">
        <f>(Main_S[[#This Row],[P/B]]-VLOOKUP(Main_S[[#This Row],[Industry]], Mean_PB_S, 2, FALSE))/(VLOOKUP(Main_S[[#This Row],[Industry]], Mean_PB_S, 3, FALSE))</f>
        <v>-1.1232336599142931</v>
      </c>
      <c r="Q17" s="1">
        <f>(Main_S[[#This Row],[ROE]]-VLOOKUP(Main_S[[#This Row],[Industry]], Mean_ROE_S, 2, FALSE))/(VLOOKUP(Main_S[[#This Row],[Industry]], Mean_ROE_S, 3, FALSE))</f>
        <v>5.226842620719208</v>
      </c>
      <c r="R17" s="1">
        <f>(Main_S[[#This Row],[ROA]]-VLOOKUP(Main_S[[#This Row],[Industry]], Mean_ROA_S, 2, FALSE))/(VLOOKUP(Main_S[[#This Row],[Industry]], Mean_ROA_S, 3, FALSE))</f>
        <v>-0.36433930943045961</v>
      </c>
      <c r="S17" s="1">
        <f>(Main_S[[#This Row],[A/E]]-VLOOKUP(Main_S[[#This Row],[Industry]], Mean_AE_S, 2, FALSE))/(VLOOKUP(Main_S[[#This Row],[Industry]], Mean_AE_S, 3, FALSE))</f>
        <v>-5.1388001678447113</v>
      </c>
      <c r="T17" s="1">
        <f>(Main_S[[#This Row],[P/E]]-VLOOKUP(Main_S[[#This Row],[Industry]], Mean_PE_S, 2, FALSE))/(VLOOKUP(Main_S[[#This Row],[Industry]], Mean_PE_S, 3, FALSE))</f>
        <v>1.0675628228276197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t="s">
        <v>114</v>
      </c>
      <c r="B18" t="s">
        <v>418</v>
      </c>
      <c r="C18" s="2">
        <v>905</v>
      </c>
      <c r="D18">
        <f>RTD("tos.rtd", , "LAST", Main_S[[#This Row],[Symbol]])</f>
        <v>9.01</v>
      </c>
      <c r="E18">
        <v>1.02</v>
      </c>
      <c r="F18">
        <v>34.049999999999997</v>
      </c>
      <c r="G18">
        <v>1.0900000000000001</v>
      </c>
      <c r="H18" s="1">
        <f>IF(ISNUMBER(Main_S[[#This Row],[Free CF]]),IF(Main_S[[#This Row],[Free CF]]&lt;&gt;0,Main_S[[#This Row],[Current Price]]/Main_S[[#This Row],[Free CF]],""),"")</f>
        <v>8.8333333333333321</v>
      </c>
      <c r="I18" s="1">
        <f>IF(ISNUMBER(Main_S[[#This Row],[BVPS]]),IF(Main_S[[#This Row],[BVPS]]&lt;&gt;0,Main_S[[#This Row],[Current Price]]/Main_S[[#This Row],[BVPS]],""),"")</f>
        <v>0.26461086637298092</v>
      </c>
      <c r="J18">
        <v>3.19</v>
      </c>
      <c r="K18">
        <v>2.31</v>
      </c>
      <c r="L18">
        <v>3.61</v>
      </c>
      <c r="M18" s="1">
        <f>IF(ISNUMBER(Main_S[[#This Row],[EPS]]),IF(Main_S[[#This Row],[EPS]]&lt;&gt;0,Main_S[[#This Row],[Current Price]]/Main_S[[#This Row],[EPS]],""),"")</f>
        <v>8.2660550458715587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-0.33500953414678769</v>
      </c>
      <c r="P18" s="1">
        <f>(Main_S[[#This Row],[P/B]]-VLOOKUP(Main_S[[#This Row],[Industry]], Mean_PB_S, 2, FALSE))/(VLOOKUP(Main_S[[#This Row],[Industry]], Mean_PB_S, 3, FALSE))</f>
        <v>-0.93992519149190301</v>
      </c>
      <c r="Q18" s="1">
        <f>(Main_S[[#This Row],[ROE]]-VLOOKUP(Main_S[[#This Row],[Industry]], Mean_ROE_S, 2, FALSE))/(VLOOKUP(Main_S[[#This Row],[Industry]], Mean_ROE_S, 3, FALSE))</f>
        <v>0.64994503418332139</v>
      </c>
      <c r="R18" s="1">
        <f>(Main_S[[#This Row],[ROA]]-VLOOKUP(Main_S[[#This Row],[Industry]], Mean_ROA_S, 2, FALSE))/(VLOOKUP(Main_S[[#This Row],[Industry]], Mean_ROA_S, 3, FALSE))</f>
        <v>-3.8600874189611598E-2</v>
      </c>
      <c r="S18" s="1">
        <f>(Main_S[[#This Row],[A/E]]-VLOOKUP(Main_S[[#This Row],[Industry]], Mean_AE_S, 2, FALSE))/(VLOOKUP(Main_S[[#This Row],[Industry]], Mean_AE_S, 3, FALSE))</f>
        <v>7.9430494128717319E-2</v>
      </c>
      <c r="T18" s="1">
        <f>(Main_S[[#This Row],[P/E]]-VLOOKUP(Main_S[[#This Row],[Industry]], Mean_PE_S, 2, FALSE))/(VLOOKUP(Main_S[[#This Row],[Industry]], Mean_PE_S, 3, FALSE))</f>
        <v>1.2043366362455274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t="s">
        <v>114</v>
      </c>
      <c r="B19" t="s">
        <v>419</v>
      </c>
      <c r="C19" s="2">
        <v>1555</v>
      </c>
      <c r="D19">
        <f>RTD("tos.rtd", , "LAST", Main_S[[#This Row],[Symbol]])</f>
        <v>10.61</v>
      </c>
      <c r="E19">
        <v>0.23</v>
      </c>
      <c r="F19">
        <v>2.62</v>
      </c>
      <c r="G19">
        <v>0.14000000000000001</v>
      </c>
      <c r="H19" s="1">
        <f>IF(ISNUMBER(Main_S[[#This Row],[Free CF]]),IF(Main_S[[#This Row],[Free CF]]&lt;&gt;0,Main_S[[#This Row],[Current Price]]/Main_S[[#This Row],[Free CF]],""),"")</f>
        <v>46.130434782608688</v>
      </c>
      <c r="I19" s="1">
        <f>IF(ISNUMBER(Main_S[[#This Row],[BVPS]]),IF(Main_S[[#This Row],[BVPS]]&lt;&gt;0,Main_S[[#This Row],[Current Price]]/Main_S[[#This Row],[BVPS]],""),"")</f>
        <v>4.0496183206106871</v>
      </c>
      <c r="J19">
        <v>6.13</v>
      </c>
      <c r="K19">
        <v>4.38</v>
      </c>
      <c r="L19">
        <v>4.49</v>
      </c>
      <c r="M19" s="1">
        <f>IF(ISNUMBER(Main_S[[#This Row],[EPS]]),IF(Main_S[[#This Row],[EPS]]&lt;&gt;0,Main_S[[#This Row],[Current Price]]/Main_S[[#This Row],[EPS]],""),"")</f>
        <v>75.785714285714278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1.6743352313133264</v>
      </c>
      <c r="P19" s="1">
        <f>(Main_S[[#This Row],[P/B]]-VLOOKUP(Main_S[[#This Row],[Industry]], Mean_PB_S, 2, FALSE))/(VLOOKUP(Main_S[[#This Row],[Industry]], Mean_PB_S, 3, FALSE))</f>
        <v>7.4787875558683214E-2</v>
      </c>
      <c r="Q19" s="1">
        <f>(Main_S[[#This Row],[ROE]]-VLOOKUP(Main_S[[#This Row],[Industry]], Mean_ROE_S, 2, FALSE))/(VLOOKUP(Main_S[[#This Row],[Industry]], Mean_ROE_S, 3, FALSE))</f>
        <v>0.76276761244541336</v>
      </c>
      <c r="R19" s="1">
        <f>(Main_S[[#This Row],[ROA]]-VLOOKUP(Main_S[[#This Row],[Industry]], Mean_ROA_S, 2, FALSE))/(VLOOKUP(Main_S[[#This Row],[Industry]], Mean_ROA_S, 3, FALSE))</f>
        <v>0.92993015093155718</v>
      </c>
      <c r="S19" s="1">
        <f>(Main_S[[#This Row],[A/E]]-VLOOKUP(Main_S[[#This Row],[Industry]], Mean_AE_S, 2, FALSE))/(VLOOKUP(Main_S[[#This Row],[Industry]], Mean_AE_S, 3, FALSE))</f>
        <v>1.1830963072856375</v>
      </c>
      <c r="T19" s="1">
        <f>(Main_S[[#This Row],[P/E]]-VLOOKUP(Main_S[[#This Row],[Industry]], Mean_PE_S, 2, FALSE))/(VLOOKUP(Main_S[[#This Row],[Industry]], Mean_PE_S, 3, FALSE))</f>
        <v>7.9532228205286222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0" spans="1:26" x14ac:dyDescent="0.25">
      <c r="A20" t="s">
        <v>114</v>
      </c>
      <c r="B20" t="s">
        <v>416</v>
      </c>
      <c r="C20" s="2">
        <v>867</v>
      </c>
      <c r="D20">
        <f>RTD("tos.rtd", , "LAST", Main_S[[#This Row],[Symbol]])</f>
        <v>2.71</v>
      </c>
      <c r="E20">
        <v>0.11</v>
      </c>
      <c r="F20">
        <v>0.27</v>
      </c>
      <c r="G20">
        <v>-0.14000000000000001</v>
      </c>
      <c r="H20" s="1">
        <f>IF(ISNUMBER(Main_S[[#This Row],[Free CF]]),IF(Main_S[[#This Row],[Free CF]]&lt;&gt;0,Main_S[[#This Row],[Current Price]]/Main_S[[#This Row],[Free CF]],""),"")</f>
        <v>24.636363636363637</v>
      </c>
      <c r="I20" s="1">
        <f>IF(ISNUMBER(Main_S[[#This Row],[BVPS]]),IF(Main_S[[#This Row],[BVPS]]&lt;&gt;0,Main_S[[#This Row],[Current Price]]/Main_S[[#This Row],[BVPS]],""),"")</f>
        <v>10.037037037037036</v>
      </c>
      <c r="J20">
        <v>-50.56</v>
      </c>
      <c r="K20">
        <v>-1.06</v>
      </c>
      <c r="L20">
        <v>7.89</v>
      </c>
      <c r="M20" s="1">
        <f>IF(ISNUMBER(Main_S[[#This Row],[EPS]]),IF(Main_S[[#This Row],[EPS]]&lt;&gt;0,Main_S[[#This Row],[Current Price]]/Main_S[[#This Row],[EPS]],""),"")</f>
        <v>-19.357142857142854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0.51636322630718701</v>
      </c>
      <c r="P20" s="1">
        <f>(Main_S[[#This Row],[P/B]]-VLOOKUP(Main_S[[#This Row],[Industry]], Mean_PB_S, 2, FALSE))/(VLOOKUP(Main_S[[#This Row],[Industry]], Mean_PB_S, 3, FALSE))</f>
        <v>1.6799398027124601</v>
      </c>
      <c r="Q20" s="1">
        <f>(Main_S[[#This Row],[ROE]]-VLOOKUP(Main_S[[#This Row],[Industry]], Mean_ROE_S, 2, FALSE))/(VLOOKUP(Main_S[[#This Row],[Industry]], Mean_ROE_S, 3, FALSE))</f>
        <v>-1.4127126466287345</v>
      </c>
      <c r="R20" s="1">
        <f>(Main_S[[#This Row],[ROA]]-VLOOKUP(Main_S[[#This Row],[Industry]], Mean_ROA_S, 2, FALSE))/(VLOOKUP(Main_S[[#This Row],[Industry]], Mean_ROA_S, 3, FALSE))</f>
        <v>-1.6153880986622391</v>
      </c>
      <c r="S20" s="1">
        <f>(Main_S[[#This Row],[A/E]]-VLOOKUP(Main_S[[#This Row],[Industry]], Mean_AE_S, 2, FALSE))/(VLOOKUP(Main_S[[#This Row],[Industry]], Mean_AE_S, 3, FALSE))</f>
        <v>5.4472596763010088</v>
      </c>
      <c r="T20" s="1">
        <f>(Main_S[[#This Row],[P/E]]-VLOOKUP(Main_S[[#This Row],[Industry]], Mean_PE_S, 2, FALSE))/(VLOOKUP(Main_S[[#This Row],[Industry]], Mean_PE_S, 3, FALSE))</f>
        <v>-1.5567231912508115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" spans="1:26" x14ac:dyDescent="0.25">
      <c r="A21" t="s">
        <v>114</v>
      </c>
      <c r="B21" t="s">
        <v>417</v>
      </c>
      <c r="C21" s="2">
        <v>409</v>
      </c>
      <c r="D21">
        <f>RTD("tos.rtd", , "LAST", Main_S[[#This Row],[Symbol]])</f>
        <v>3.43</v>
      </c>
      <c r="E21">
        <v>-0.55000000000000004</v>
      </c>
      <c r="F21">
        <v>0.71</v>
      </c>
      <c r="G21">
        <v>-0.9</v>
      </c>
      <c r="H21" s="1">
        <f>IF(ISNUMBER(Main_S[[#This Row],[Free CF]]),IF(Main_S[[#This Row],[Free CF]]&lt;&gt;0,Main_S[[#This Row],[Current Price]]/Main_S[[#This Row],[Free CF]],""),"")</f>
        <v>-6.2363636363636363</v>
      </c>
      <c r="I21" s="1">
        <f>IF(ISNUMBER(Main_S[[#This Row],[BVPS]]),IF(Main_S[[#This Row],[BVPS]]&lt;&gt;0,Main_S[[#This Row],[Current Price]]/Main_S[[#This Row],[BVPS]],""),"")</f>
        <v>4.830985915492958</v>
      </c>
      <c r="J21">
        <v>-135.63999999999999</v>
      </c>
      <c r="K21">
        <v>-28.58</v>
      </c>
      <c r="L21">
        <v>2.54</v>
      </c>
      <c r="M21" s="1">
        <f>IF(ISNUMBER(Main_S[[#This Row],[EPS]]),IF(Main_S[[#This Row],[EPS]]&lt;&gt;0,Main_S[[#This Row],[Current Price]]/Main_S[[#This Row],[EPS]],""),"")</f>
        <v>-3.8111111111111113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-1.146874680405199</v>
      </c>
      <c r="P21" s="1">
        <f>(Main_S[[#This Row],[P/B]]-VLOOKUP(Main_S[[#This Row],[Industry]], Mean_PB_S, 2, FALSE))/(VLOOKUP(Main_S[[#This Row],[Industry]], Mean_PB_S, 3, FALSE))</f>
        <v>0.28426273611919178</v>
      </c>
      <c r="Q21" s="1">
        <f>(Main_S[[#This Row],[ROE]]-VLOOKUP(Main_S[[#This Row],[Industry]], Mean_ROE_S, 2, FALSE))/(VLOOKUP(Main_S[[#This Row],[Industry]], Mean_ROE_S, 3, FALSE))</f>
        <v>-4.6776599114378445</v>
      </c>
      <c r="R21" s="1">
        <f>(Main_S[[#This Row],[ROA]]-VLOOKUP(Main_S[[#This Row],[Industry]], Mean_ROA_S, 2, FALSE))/(VLOOKUP(Main_S[[#This Row],[Industry]], Mean_ROA_S, 3, FALSE))</f>
        <v>-14.491703949548501</v>
      </c>
      <c r="S21" s="1">
        <f>(Main_S[[#This Row],[A/E]]-VLOOKUP(Main_S[[#This Row],[Industry]], Mean_AE_S, 2, FALSE))/(VLOOKUP(Main_S[[#This Row],[Industry]], Mean_AE_S, 3, FALSE))</f>
        <v>-1.2625268014143554</v>
      </c>
      <c r="T21" s="1">
        <f>(Main_S[[#This Row],[P/E]]-VLOOKUP(Main_S[[#This Row],[Industry]], Mean_PE_S, 2, FALSE))/(VLOOKUP(Main_S[[#This Row],[Industry]], Mean_PE_S, 3, FALSE))</f>
        <v>-2.8291098466112132E-3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t="s">
        <v>114</v>
      </c>
      <c r="B22" t="s">
        <v>301</v>
      </c>
      <c r="C22" s="2">
        <v>424</v>
      </c>
      <c r="D22">
        <f>RTD("tos.rtd", , "LAST", Main_S[[#This Row],[Symbol]])</f>
        <v>40</v>
      </c>
      <c r="E22">
        <v>21.11</v>
      </c>
      <c r="F22">
        <v>-121.58</v>
      </c>
      <c r="G22">
        <v>-174.65</v>
      </c>
      <c r="H22" s="1">
        <f>IF(ISNUMBER(Main_S[[#This Row],[Free CF]]),IF(Main_S[[#This Row],[Free CF]]&lt;&gt;0,Main_S[[#This Row],[Current Price]]/Main_S[[#This Row],[Free CF]],""),"")</f>
        <v>1.8948365703458077</v>
      </c>
      <c r="I22" s="1">
        <f>IF(ISNUMBER(Main_S[[#This Row],[BVPS]]),IF(Main_S[[#This Row],[BVPS]]&lt;&gt;0,Main_S[[#This Row],[Current Price]]/Main_S[[#This Row],[BVPS]],""),"")</f>
        <v>-0.32900148050666228</v>
      </c>
      <c r="J22">
        <v>497.79</v>
      </c>
      <c r="K22">
        <v>3.94</v>
      </c>
      <c r="L22">
        <v>-9.15</v>
      </c>
      <c r="M22" s="1">
        <f>IF(ISNUMBER(Main_S[[#This Row],[EPS]]),IF(Main_S[[#This Row],[EPS]]&lt;&gt;0,Main_S[[#This Row],[Current Price]]/Main_S[[#This Row],[EPS]],""),"")</f>
        <v>-0.22902948754652161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-0.70881424306852625</v>
      </c>
      <c r="P22" s="1">
        <f>(Main_S[[#This Row],[P/B]]-VLOOKUP(Main_S[[#This Row],[Industry]], Mean_PB_S, 2, FALSE))/(VLOOKUP(Main_S[[#This Row],[Industry]], Mean_PB_S, 3, FALSE))</f>
        <v>-1.099065222898433</v>
      </c>
      <c r="Q22" s="1">
        <f>(Main_S[[#This Row],[ROE]]-VLOOKUP(Main_S[[#This Row],[Industry]], Mean_ROE_S, 2, FALSE))/(VLOOKUP(Main_S[[#This Row],[Industry]], Mean_ROE_S, 3, FALSE))</f>
        <v>19.630233200316212</v>
      </c>
      <c r="R22" s="1">
        <f>(Main_S[[#This Row],[ROA]]-VLOOKUP(Main_S[[#This Row],[Industry]], Mean_ROA_S, 2, FALSE))/(VLOOKUP(Main_S[[#This Row],[Industry]], Mean_ROA_S, 3, FALSE))</f>
        <v>0.72405882192029425</v>
      </c>
      <c r="S22" s="1">
        <f>(Main_S[[#This Row],[A/E]]-VLOOKUP(Main_S[[#This Row],[Industry]], Mean_AE_S, 2, FALSE))/(VLOOKUP(Main_S[[#This Row],[Industry]], Mean_AE_S, 3, FALSE))</f>
        <v>-15.92372379664662</v>
      </c>
      <c r="T22" s="1">
        <f>(Main_S[[#This Row],[P/E]]-VLOOKUP(Main_S[[#This Row],[Industry]], Mean_PE_S, 2, FALSE))/(VLOOKUP(Main_S[[#This Row],[Industry]], Mean_PE_S, 3, FALSE))</f>
        <v>0.35521566485189526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t="s">
        <v>113</v>
      </c>
      <c r="B23" t="s">
        <v>415</v>
      </c>
      <c r="C23" s="2">
        <v>300</v>
      </c>
      <c r="D23">
        <f>RTD("tos.rtd", , "LAST", Main_S[[#This Row],[Symbol]])</f>
        <v>31.67</v>
      </c>
      <c r="E23">
        <v>2.73</v>
      </c>
      <c r="F23">
        <v>26.08</v>
      </c>
      <c r="G23">
        <v>3.04</v>
      </c>
      <c r="H23" s="1">
        <f>IF(ISNUMBER(Main_S[[#This Row],[Free CF]]),IF(Main_S[[#This Row],[Free CF]]&lt;&gt;0,Main_S[[#This Row],[Current Price]]/Main_S[[#This Row],[Free CF]],""),"")</f>
        <v>11.600732600732602</v>
      </c>
      <c r="I23" s="1">
        <f>IF(ISNUMBER(Main_S[[#This Row],[BVPS]]),IF(Main_S[[#This Row],[BVPS]]&lt;&gt;0,Main_S[[#This Row],[Current Price]]/Main_S[[#This Row],[BVPS]],""),"")</f>
        <v>1.2143404907975461</v>
      </c>
      <c r="J23">
        <v>11.76</v>
      </c>
      <c r="K23">
        <v>7.31</v>
      </c>
      <c r="L23">
        <v>1.2</v>
      </c>
      <c r="M23" s="1">
        <f>IF(ISNUMBER(Main_S[[#This Row],[EPS]]),IF(Main_S[[#This Row],[EPS]]&lt;&gt;0,Main_S[[#This Row],[Current Price]]/Main_S[[#This Row],[EPS]],""),"")</f>
        <v>10.417763157894738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0.99999999999999978</v>
      </c>
      <c r="P23" s="1">
        <f>(Main_S[[#This Row],[P/B]]-VLOOKUP(Main_S[[#This Row],[Industry]], Mean_PB_S, 2, FALSE))/(VLOOKUP(Main_S[[#This Row],[Industry]], Mean_PB_S, 3, FALSE))</f>
        <v>0.99999999999999911</v>
      </c>
      <c r="Q23" s="1">
        <f>(Main_S[[#This Row],[ROE]]-VLOOKUP(Main_S[[#This Row],[Industry]], Mean_ROE_S, 2, FALSE))/(VLOOKUP(Main_S[[#This Row],[Industry]], Mean_ROE_S, 3, FALSE))</f>
        <v>1.0000000000000002</v>
      </c>
      <c r="R23" s="1">
        <f>(Main_S[[#This Row],[ROA]]-VLOOKUP(Main_S[[#This Row],[Industry]], Mean_ROA_S, 2, FALSE))/(VLOOKUP(Main_S[[#This Row],[Industry]], Mean_ROA_S, 3, FALSE))</f>
        <v>1</v>
      </c>
      <c r="S23" s="1">
        <f>(Main_S[[#This Row],[A/E]]-VLOOKUP(Main_S[[#This Row],[Industry]], Mean_AE_S, 2, FALSE))/(VLOOKUP(Main_S[[#This Row],[Industry]], Mean_AE_S, 3, FALSE))</f>
        <v>-0.99999999999999956</v>
      </c>
      <c r="T23" s="1">
        <f>(Main_S[[#This Row],[P/E]]-VLOOKUP(Main_S[[#This Row],[Industry]], Mean_PE_S, 2, FALSE))/(VLOOKUP(Main_S[[#This Row],[Industry]], Mean_PE_S, 3, FALSE))</f>
        <v>-1.0000000000000071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t="s">
        <v>113</v>
      </c>
      <c r="B24" t="s">
        <v>414</v>
      </c>
      <c r="C24" s="2">
        <v>486</v>
      </c>
      <c r="D24">
        <f>RTD("tos.rtd", , "LAST", Main_S[[#This Row],[Symbol]])</f>
        <v>21.29</v>
      </c>
      <c r="E24">
        <v>6.83</v>
      </c>
      <c r="F24">
        <v>26.13</v>
      </c>
      <c r="G24">
        <v>1.57</v>
      </c>
      <c r="H24" s="1">
        <f>IF(ISNUMBER(Main_S[[#This Row],[Free CF]]),IF(Main_S[[#This Row],[Free CF]]&lt;&gt;0,Main_S[[#This Row],[Current Price]]/Main_S[[#This Row],[Free CF]],""),"")</f>
        <v>3.1171303074670571</v>
      </c>
      <c r="I24" s="1">
        <f>IF(ISNUMBER(Main_S[[#This Row],[BVPS]]),IF(Main_S[[#This Row],[BVPS]]&lt;&gt;0,Main_S[[#This Row],[Current Price]]/Main_S[[#This Row],[BVPS]],""),"")</f>
        <v>0.81477229238423265</v>
      </c>
      <c r="J24">
        <v>5.7</v>
      </c>
      <c r="K24">
        <v>1.7</v>
      </c>
      <c r="L24">
        <v>3.39</v>
      </c>
      <c r="M24" s="1">
        <f>IF(ISNUMBER(Main_S[[#This Row],[EPS]]),IF(Main_S[[#This Row],[EPS]]&lt;&gt;0,Main_S[[#This Row],[Current Price]]/Main_S[[#This Row],[EPS]],""),"")</f>
        <v>13.560509554140125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-0.99999999999999978</v>
      </c>
      <c r="P24" s="1">
        <f>(Main_S[[#This Row],[P/B]]-VLOOKUP(Main_S[[#This Row],[Industry]], Mean_PB_S, 2, FALSE))/(VLOOKUP(Main_S[[#This Row],[Industry]], Mean_PB_S, 3, FALSE))</f>
        <v>-0.999999999999998</v>
      </c>
      <c r="Q24" s="1">
        <f>(Main_S[[#This Row],[ROE]]-VLOOKUP(Main_S[[#This Row],[Industry]], Mean_ROE_S, 2, FALSE))/(VLOOKUP(Main_S[[#This Row],[Industry]], Mean_ROE_S, 3, FALSE))</f>
        <v>-1.0000000000000004</v>
      </c>
      <c r="R24" s="1">
        <f>(Main_S[[#This Row],[ROA]]-VLOOKUP(Main_S[[#This Row],[Industry]], Mean_ROA_S, 2, FALSE))/(VLOOKUP(Main_S[[#This Row],[Industry]], Mean_ROA_S, 3, FALSE))</f>
        <v>-1</v>
      </c>
      <c r="S24" s="1">
        <f>(Main_S[[#This Row],[A/E]]-VLOOKUP(Main_S[[#This Row],[Industry]], Mean_AE_S, 2, FALSE))/(VLOOKUP(Main_S[[#This Row],[Industry]], Mean_AE_S, 3, FALSE))</f>
        <v>0.99999999999999978</v>
      </c>
      <c r="T24" s="1">
        <f>(Main_S[[#This Row],[P/E]]-VLOOKUP(Main_S[[#This Row],[Industry]], Mean_PE_S, 2, FALSE))/(VLOOKUP(Main_S[[#This Row],[Industry]], Mean_PE_S, 3, FALSE))</f>
        <v>1.000000000000006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t="s">
        <v>112</v>
      </c>
      <c r="B25" t="s">
        <v>484</v>
      </c>
      <c r="C25" s="2">
        <v>425</v>
      </c>
      <c r="D25">
        <f>RTD("tos.rtd", , "LAST", Main_S[[#This Row],[Symbol]])</f>
        <v>8.91</v>
      </c>
      <c r="H25" s="1" t="str">
        <f>IF(ISNUMBER(Main_S[[#This Row],[Free CF]]),IF(Main_S[[#This Row],[Free CF]]&lt;&gt;0,Main_S[[#This Row],[Current Price]]/Main_S[[#This Row],[Free CF]],""),"")</f>
        <v/>
      </c>
      <c r="I25" s="1" t="str">
        <f>IF(ISNUMBER(Main_S[[#This Row],[BVPS]]),IF(Main_S[[#This Row],[BVPS]]&lt;&gt;0,Main_S[[#This Row],[Current Price]]/Main_S[[#This Row],[BVPS]],""),"")</f>
        <v/>
      </c>
      <c r="J25">
        <v>-192.79</v>
      </c>
      <c r="K25">
        <v>-20.010000000000002</v>
      </c>
      <c r="L25">
        <v>-18.48</v>
      </c>
      <c r="M25" s="1" t="str">
        <f>IF(ISNUMBER(Main_S[[#This Row],[EPS]]),IF(Main_S[[#This Row],[EPS]]&lt;&gt;0,Main_S[[#This Row],[Current Price]]/Main_S[[#This Row],[EPS]],""),"")</f>
        <v/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 t="e">
        <f>(Main_S[[#This Row],[P/FCF]]-VLOOKUP(Main_S[[#This Row],[Industry]], Mean_PFCF_S, 2, FALSE))/(VLOOKUP(Main_S[[#This Row],[Industry]], Mean_PFCF_S, 3, FALSE))</f>
        <v>#VALUE!</v>
      </c>
      <c r="P25" s="1" t="e">
        <f>(Main_S[[#This Row],[P/B]]-VLOOKUP(Main_S[[#This Row],[Industry]], Mean_PB_S, 2, FALSE))/(VLOOKUP(Main_S[[#This Row],[Industry]], Mean_PB_S, 3, FALSE))</f>
        <v>#VALUE!</v>
      </c>
      <c r="Q25" s="1">
        <f>(Main_S[[#This Row],[ROE]]-VLOOKUP(Main_S[[#This Row],[Industry]], Mean_ROE_S, 2, FALSE))/(VLOOKUP(Main_S[[#This Row],[Industry]], Mean_ROE_S, 3, FALSE))</f>
        <v>-10.285568089740355</v>
      </c>
      <c r="R25" s="1">
        <f>(Main_S[[#This Row],[ROA]]-VLOOKUP(Main_S[[#This Row],[Industry]], Mean_ROA_S, 2, FALSE))/(VLOOKUP(Main_S[[#This Row],[Industry]], Mean_ROA_S, 3, FALSE))</f>
        <v>-2.0126685372006476</v>
      </c>
      <c r="S25" s="1">
        <f>(Main_S[[#This Row],[A/E]]-VLOOKUP(Main_S[[#This Row],[Industry]], Mean_AE_S, 2, FALSE))/(VLOOKUP(Main_S[[#This Row],[Industry]], Mean_AE_S, 3, FALSE))</f>
        <v>-13.726501462786469</v>
      </c>
      <c r="T25" s="1" t="e">
        <f>(Main_S[[#This Row],[P/E]]-VLOOKUP(Main_S[[#This Row],[Industry]], Mean_PE_S, 2, FALSE))/(VLOOKUP(Main_S[[#This Row],[Industry]], Mean_PE_S, 3, FALSE))</f>
        <v>#VALUE!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6" spans="1:26" x14ac:dyDescent="0.25">
      <c r="A26" t="s">
        <v>112</v>
      </c>
      <c r="B26" t="s">
        <v>411</v>
      </c>
      <c r="C26" s="2">
        <v>683</v>
      </c>
      <c r="D26">
        <f>RTD("tos.rtd", , "LAST", Main_S[[#This Row],[Symbol]])</f>
        <v>45.15</v>
      </c>
      <c r="E26">
        <v>2.02</v>
      </c>
      <c r="F26">
        <v>14.21</v>
      </c>
      <c r="G26">
        <v>2.99</v>
      </c>
      <c r="H26" s="1">
        <f>IF(ISNUMBER(Main_S[[#This Row],[Free CF]]),IF(Main_S[[#This Row],[Free CF]]&lt;&gt;0,Main_S[[#This Row],[Current Price]]/Main_S[[#This Row],[Free CF]],""),"")</f>
        <v>22.35148514851485</v>
      </c>
      <c r="I26" s="1">
        <f>IF(ISNUMBER(Main_S[[#This Row],[BVPS]]),IF(Main_S[[#This Row],[BVPS]]&lt;&gt;0,Main_S[[#This Row],[Current Price]]/Main_S[[#This Row],[BVPS]],""),"")</f>
        <v>3.1773399014778323</v>
      </c>
      <c r="J26">
        <v>23.3</v>
      </c>
      <c r="K26">
        <v>4.3899999999999997</v>
      </c>
      <c r="L26">
        <v>5.72</v>
      </c>
      <c r="M26" s="1">
        <f>IF(ISNUMBER(Main_S[[#This Row],[EPS]]),IF(Main_S[[#This Row],[EPS]]&lt;&gt;0,Main_S[[#This Row],[Current Price]]/Main_S[[#This Row],[EPS]],""),"")</f>
        <v>15.100334448160533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-5.097406727287794E-2</v>
      </c>
      <c r="P26" s="1">
        <f>(Main_S[[#This Row],[P/B]]-VLOOKUP(Main_S[[#This Row],[Industry]], Mean_PB_S, 2, FALSE))/(VLOOKUP(Main_S[[#This Row],[Industry]], Mean_PB_S, 3, FALSE))</f>
        <v>-8.7718247619090417E-2</v>
      </c>
      <c r="Q26" s="1">
        <f>(Main_S[[#This Row],[ROE]]-VLOOKUP(Main_S[[#This Row],[Industry]], Mean_ROE_S, 2, FALSE))/(VLOOKUP(Main_S[[#This Row],[Industry]], Mean_ROE_S, 3, FALSE))</f>
        <v>1.3335342736727673</v>
      </c>
      <c r="R26" s="1">
        <f>(Main_S[[#This Row],[ROA]]-VLOOKUP(Main_S[[#This Row],[Industry]], Mean_ROA_S, 2, FALSE))/(VLOOKUP(Main_S[[#This Row],[Industry]], Mean_ROA_S, 3, FALSE))</f>
        <v>0.36380881420573685</v>
      </c>
      <c r="S26" s="1">
        <f>(Main_S[[#This Row],[A/E]]-VLOOKUP(Main_S[[#This Row],[Industry]], Mean_AE_S, 2, FALSE))/(VLOOKUP(Main_S[[#This Row],[Industry]], Mean_AE_S, 3, FALSE))</f>
        <v>2.0442872312191667</v>
      </c>
      <c r="T26" s="1">
        <f>(Main_S[[#This Row],[P/E]]-VLOOKUP(Main_S[[#This Row],[Industry]], Mean_PE_S, 2, FALSE))/(VLOOKUP(Main_S[[#This Row],[Industry]], Mean_PE_S, 3, FALSE))</f>
        <v>0.15065799402246766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t="s">
        <v>112</v>
      </c>
      <c r="B27" t="s">
        <v>401</v>
      </c>
      <c r="C27" s="2">
        <v>1648</v>
      </c>
      <c r="D27">
        <f>RTD("tos.rtd", , "LAST", Main_S[[#This Row],[Symbol]])</f>
        <v>17.55</v>
      </c>
      <c r="E27">
        <v>2.1800000000000002</v>
      </c>
      <c r="F27">
        <v>8.5399999999999991</v>
      </c>
      <c r="G27">
        <v>1.32</v>
      </c>
      <c r="H27" s="1">
        <f>IF(ISNUMBER(Main_S[[#This Row],[Free CF]]),IF(Main_S[[#This Row],[Free CF]]&lt;&gt;0,Main_S[[#This Row],[Current Price]]/Main_S[[#This Row],[Free CF]],""),"")</f>
        <v>8.0504587155963296</v>
      </c>
      <c r="I27" s="1">
        <f>IF(ISNUMBER(Main_S[[#This Row],[BVPS]]),IF(Main_S[[#This Row],[BVPS]]&lt;&gt;0,Main_S[[#This Row],[Current Price]]/Main_S[[#This Row],[BVPS]],""),"")</f>
        <v>2.055035128805621</v>
      </c>
      <c r="J27">
        <v>16.809999999999999</v>
      </c>
      <c r="K27">
        <v>8.16</v>
      </c>
      <c r="L27">
        <v>2.0699999999999998</v>
      </c>
      <c r="M27" s="1">
        <f>IF(ISNUMBER(Main_S[[#This Row],[EPS]]),IF(Main_S[[#This Row],[EPS]]&lt;&gt;0,Main_S[[#This Row],[Current Price]]/Main_S[[#This Row],[EPS]],""),"")</f>
        <v>13.295454545454545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27" s="1">
        <f>(Main_S[[#This Row],[P/FCF]]-VLOOKUP(Main_S[[#This Row],[Industry]], Mean_PFCF_S, 2, FALSE))/(VLOOKUP(Main_S[[#This Row],[Industry]], Mean_PFCF_S, 3, FALSE))</f>
        <v>-0.76803232022277002</v>
      </c>
      <c r="P27" s="1">
        <f>(Main_S[[#This Row],[P/B]]-VLOOKUP(Main_S[[#This Row],[Industry]], Mean_PB_S, 2, FALSE))/(VLOOKUP(Main_S[[#This Row],[Industry]], Mean_PB_S, 3, FALSE))</f>
        <v>-0.87629771811626811</v>
      </c>
      <c r="Q27" s="1">
        <f>(Main_S[[#This Row],[ROE]]-VLOOKUP(Main_S[[#This Row],[Industry]], Mean_ROE_S, 2, FALSE))/(VLOOKUP(Main_S[[#This Row],[Industry]], Mean_ROE_S, 3, FALSE))</f>
        <v>0.98456868369381789</v>
      </c>
      <c r="R27" s="1">
        <f>(Main_S[[#This Row],[ROA]]-VLOOKUP(Main_S[[#This Row],[Industry]], Mean_ROA_S, 2, FALSE))/(VLOOKUP(Main_S[[#This Row],[Industry]], Mean_ROA_S, 3, FALSE))</f>
        <v>0.7309940443205758</v>
      </c>
      <c r="S27" s="1">
        <f>(Main_S[[#This Row],[A/E]]-VLOOKUP(Main_S[[#This Row],[Industry]], Mean_AE_S, 2, FALSE))/(VLOOKUP(Main_S[[#This Row],[Industry]], Mean_AE_S, 3, FALSE))</f>
        <v>-0.33436478254614627</v>
      </c>
      <c r="T27" s="1">
        <f>(Main_S[[#This Row],[P/E]]-VLOOKUP(Main_S[[#This Row],[Industry]], Mean_PE_S, 2, FALSE))/(VLOOKUP(Main_S[[#This Row],[Industry]], Mean_PE_S, 3, FALSE))</f>
        <v>7.7230770045339972E-2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t="s">
        <v>112</v>
      </c>
      <c r="B28" t="s">
        <v>410</v>
      </c>
      <c r="C28" s="2">
        <v>1933</v>
      </c>
      <c r="D28">
        <f>RTD("tos.rtd", , "LAST", Main_S[[#This Row],[Symbol]])</f>
        <v>33.24</v>
      </c>
      <c r="E28">
        <v>1.31</v>
      </c>
      <c r="F28">
        <v>5.4</v>
      </c>
      <c r="G28">
        <v>1.04</v>
      </c>
      <c r="H28" s="1">
        <f>IF(ISNUMBER(Main_S[[#This Row],[Free CF]]),IF(Main_S[[#This Row],[Free CF]]&lt;&gt;0,Main_S[[#This Row],[Current Price]]/Main_S[[#This Row],[Free CF]],""),"")</f>
        <v>25.374045801526719</v>
      </c>
      <c r="I28" s="1">
        <f>IF(ISNUMBER(Main_S[[#This Row],[BVPS]]),IF(Main_S[[#This Row],[BVPS]]&lt;&gt;0,Main_S[[#This Row],[Current Price]]/Main_S[[#This Row],[BVPS]],""),"")</f>
        <v>6.1555555555555559</v>
      </c>
      <c r="J28">
        <v>21.81</v>
      </c>
      <c r="K28">
        <v>6.85</v>
      </c>
      <c r="L28">
        <v>2.4500000000000002</v>
      </c>
      <c r="M28" s="1">
        <f>IF(ISNUMBER(Main_S[[#This Row],[EPS]]),IF(Main_S[[#This Row],[EPS]]&lt;&gt;0,Main_S[[#This Row],[Current Price]]/Main_S[[#This Row],[EPS]],""),"")</f>
        <v>31.961538461538463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0.10057813574206798</v>
      </c>
      <c r="P28" s="1">
        <f>(Main_S[[#This Row],[P/B]]-VLOOKUP(Main_S[[#This Row],[Industry]], Mean_PB_S, 2, FALSE))/(VLOOKUP(Main_S[[#This Row],[Industry]], Mean_PB_S, 3, FALSE))</f>
        <v>2.0049038107609061</v>
      </c>
      <c r="Q28" s="1">
        <f>(Main_S[[#This Row],[ROE]]-VLOOKUP(Main_S[[#This Row],[Industry]], Mean_ROE_S, 2, FALSE))/(VLOOKUP(Main_S[[#This Row],[Industry]], Mean_ROE_S, 3, FALSE))</f>
        <v>1.253417366266198</v>
      </c>
      <c r="R28" s="1">
        <f>(Main_S[[#This Row],[ROA]]-VLOOKUP(Main_S[[#This Row],[Industry]], Mean_ROA_S, 2, FALSE))/(VLOOKUP(Main_S[[#This Row],[Industry]], Mean_ROA_S, 3, FALSE))</f>
        <v>0.60340448160162641</v>
      </c>
      <c r="S28" s="1">
        <f>(Main_S[[#This Row],[A/E]]-VLOOKUP(Main_S[[#This Row],[Industry]], Mean_AE_S, 2, FALSE))/(VLOOKUP(Main_S[[#This Row],[Industry]], Mean_AE_S, 3, FALSE))</f>
        <v>-8.6724298921264167E-2</v>
      </c>
      <c r="T28" s="1">
        <f>(Main_S[[#This Row],[P/E]]-VLOOKUP(Main_S[[#This Row],[Industry]], Mean_PE_S, 2, FALSE))/(VLOOKUP(Main_S[[#This Row],[Industry]], Mean_PE_S, 3, FALSE))</f>
        <v>0.83661576980475227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" spans="1:26" x14ac:dyDescent="0.25">
      <c r="A29" t="s">
        <v>112</v>
      </c>
      <c r="B29" t="s">
        <v>408</v>
      </c>
      <c r="C29" s="2">
        <v>317</v>
      </c>
      <c r="D29">
        <f>RTD("tos.rtd", , "LAST", Main_S[[#This Row],[Symbol]])</f>
        <v>6.95</v>
      </c>
      <c r="E29">
        <v>0.7</v>
      </c>
      <c r="F29">
        <v>1.68</v>
      </c>
      <c r="G29">
        <v>1.04</v>
      </c>
      <c r="H29" s="1">
        <f>IF(ISNUMBER(Main_S[[#This Row],[Free CF]]),IF(Main_S[[#This Row],[Free CF]]&lt;&gt;0,Main_S[[#This Row],[Current Price]]/Main_S[[#This Row],[Free CF]],""),"")</f>
        <v>9.9285714285714288</v>
      </c>
      <c r="I29" s="1">
        <f>IF(ISNUMBER(Main_S[[#This Row],[BVPS]]),IF(Main_S[[#This Row],[BVPS]]&lt;&gt;0,Main_S[[#This Row],[Current Price]]/Main_S[[#This Row],[BVPS]],""),"")</f>
        <v>4.1369047619047619</v>
      </c>
      <c r="J29">
        <v>81.72</v>
      </c>
      <c r="K29">
        <v>21.21</v>
      </c>
      <c r="L29">
        <v>2.2400000000000002</v>
      </c>
      <c r="M29" s="1">
        <f>IF(ISNUMBER(Main_S[[#This Row],[EPS]]),IF(Main_S[[#This Row],[EPS]]&lt;&gt;0,Main_S[[#This Row],[Current Price]]/Main_S[[#This Row],[EPS]],""),"")</f>
        <v>6.6826923076923075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-0.67386312005200488</v>
      </c>
      <c r="P29" s="1">
        <f>(Main_S[[#This Row],[P/B]]-VLOOKUP(Main_S[[#This Row],[Industry]], Mean_PB_S, 2, FALSE))/(VLOOKUP(Main_S[[#This Row],[Industry]], Mean_PB_S, 3, FALSE))</f>
        <v>0.58651318039264078</v>
      </c>
      <c r="Q29" s="1">
        <f>(Main_S[[#This Row],[ROE]]-VLOOKUP(Main_S[[#This Row],[Industry]], Mean_ROE_S, 2, FALSE))/(VLOOKUP(Main_S[[#This Row],[Industry]], Mean_ROE_S, 3, FALSE))</f>
        <v>4.4747622808484566</v>
      </c>
      <c r="R29" s="1">
        <f>(Main_S[[#This Row],[ROA]]-VLOOKUP(Main_S[[#This Row],[Industry]], Mean_ROA_S, 2, FALSE))/(VLOOKUP(Main_S[[#This Row],[Industry]], Mean_ROA_S, 3, FALSE))</f>
        <v>2.0020198408719412</v>
      </c>
      <c r="S29" s="1">
        <f>(Main_S[[#This Row],[A/E]]-VLOOKUP(Main_S[[#This Row],[Industry]], Mean_AE_S, 2, FALSE))/(VLOOKUP(Main_S[[#This Row],[Industry]], Mean_AE_S, 3, FALSE))</f>
        <v>-0.22357825039817256</v>
      </c>
      <c r="T29" s="1">
        <f>(Main_S[[#This Row],[P/E]]-VLOOKUP(Main_S[[#This Row],[Industry]], Mean_PE_S, 2, FALSE))/(VLOOKUP(Main_S[[#This Row],[Industry]], Mean_PE_S, 3, FALSE))</f>
        <v>-0.19179365269419138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t="s">
        <v>112</v>
      </c>
      <c r="B30" t="s">
        <v>402</v>
      </c>
      <c r="C30" s="2">
        <v>531</v>
      </c>
      <c r="D30">
        <f>RTD("tos.rtd", , "LAST", Main_S[[#This Row],[Symbol]])</f>
        <v>27.07</v>
      </c>
      <c r="E30">
        <v>2.2799999999999998</v>
      </c>
      <c r="F30">
        <v>14.99</v>
      </c>
      <c r="G30">
        <v>1.02</v>
      </c>
      <c r="H30" s="1">
        <f>IF(ISNUMBER(Main_S[[#This Row],[Free CF]]),IF(Main_S[[#This Row],[Free CF]]&lt;&gt;0,Main_S[[#This Row],[Current Price]]/Main_S[[#This Row],[Free CF]],""),"")</f>
        <v>11.872807017543861</v>
      </c>
      <c r="I30" s="1">
        <f>IF(ISNUMBER(Main_S[[#This Row],[BVPS]]),IF(Main_S[[#This Row],[BVPS]]&lt;&gt;0,Main_S[[#This Row],[Current Price]]/Main_S[[#This Row],[BVPS]],""),"")</f>
        <v>1.8058705803869246</v>
      </c>
      <c r="J30">
        <v>8.18</v>
      </c>
      <c r="K30">
        <v>5.23</v>
      </c>
      <c r="L30">
        <v>2.14</v>
      </c>
      <c r="M30" s="1">
        <f>IF(ISNUMBER(Main_S[[#This Row],[EPS]]),IF(Main_S[[#This Row],[EPS]]&lt;&gt;0,Main_S[[#This Row],[Current Price]]/Main_S[[#This Row],[EPS]],""),"")</f>
        <v>26.53921568627451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-0.57637849674255293</v>
      </c>
      <c r="P30" s="1">
        <f>(Main_S[[#This Row],[P/B]]-VLOOKUP(Main_S[[#This Row],[Industry]], Mean_PB_S, 2, FALSE))/(VLOOKUP(Main_S[[#This Row],[Industry]], Mean_PB_S, 3, FALSE))</f>
        <v>-1.0513714168503918</v>
      </c>
      <c r="Q30" s="1">
        <f>(Main_S[[#This Row],[ROE]]-VLOOKUP(Main_S[[#This Row],[Industry]], Mean_ROE_S, 2, FALSE))/(VLOOKUP(Main_S[[#This Row],[Industry]], Mean_ROE_S, 3, FALSE))</f>
        <v>0.52053585757388998</v>
      </c>
      <c r="R30" s="1">
        <f>(Main_S[[#This Row],[ROA]]-VLOOKUP(Main_S[[#This Row],[Industry]], Mean_ROA_S, 2, FALSE))/(VLOOKUP(Main_S[[#This Row],[Industry]], Mean_ROA_S, 3, FALSE))</f>
        <v>0.44562196892628458</v>
      </c>
      <c r="S30" s="1">
        <f>(Main_S[[#This Row],[A/E]]-VLOOKUP(Main_S[[#This Row],[Industry]], Mean_AE_S, 2, FALSE))/(VLOOKUP(Main_S[[#This Row],[Industry]], Mean_AE_S, 3, FALSE))</f>
        <v>-0.28874679872050996</v>
      </c>
      <c r="T30" s="1">
        <f>(Main_S[[#This Row],[P/E]]-VLOOKUP(Main_S[[#This Row],[Industry]], Mean_PE_S, 2, FALSE))/(VLOOKUP(Main_S[[#This Row],[Industry]], Mean_PE_S, 3, FALSE))</f>
        <v>0.61602153065417953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1" spans="1:26" x14ac:dyDescent="0.25">
      <c r="A31" t="s">
        <v>112</v>
      </c>
      <c r="B31" t="s">
        <v>412</v>
      </c>
      <c r="C31" s="2">
        <v>1937</v>
      </c>
      <c r="D31">
        <f>RTD("tos.rtd", , "LAST", Main_S[[#This Row],[Symbol]])</f>
        <v>19.600000000000001</v>
      </c>
      <c r="E31">
        <v>0.64</v>
      </c>
      <c r="F31">
        <v>5.17</v>
      </c>
      <c r="G31">
        <v>0.63</v>
      </c>
      <c r="H31" s="1">
        <f>IF(ISNUMBER(Main_S[[#This Row],[Free CF]]),IF(Main_S[[#This Row],[Free CF]]&lt;&gt;0,Main_S[[#This Row],[Current Price]]/Main_S[[#This Row],[Free CF]],""),"")</f>
        <v>30.625</v>
      </c>
      <c r="I31" s="1">
        <f>IF(ISNUMBER(Main_S[[#This Row],[BVPS]]),IF(Main_S[[#This Row],[BVPS]]&lt;&gt;0,Main_S[[#This Row],[Current Price]]/Main_S[[#This Row],[BVPS]],""),"")</f>
        <v>3.79110251450677</v>
      </c>
      <c r="J31">
        <v>12.8</v>
      </c>
      <c r="K31">
        <v>6.88</v>
      </c>
      <c r="L31">
        <v>1.34</v>
      </c>
      <c r="M31" s="1">
        <f>IF(ISNUMBER(Main_S[[#This Row],[EPS]]),IF(Main_S[[#This Row],[EPS]]&lt;&gt;0,Main_S[[#This Row],[Current Price]]/Main_S[[#This Row],[EPS]],""),"")</f>
        <v>31.111111111111114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0.36386273713335077</v>
      </c>
      <c r="P31" s="1">
        <f>(Main_S[[#This Row],[P/B]]-VLOOKUP(Main_S[[#This Row],[Industry]], Mean_PB_S, 2, FALSE))/(VLOOKUP(Main_S[[#This Row],[Industry]], Mean_PB_S, 3, FALSE))</f>
        <v>0.34353768942991358</v>
      </c>
      <c r="Q31" s="1">
        <f>(Main_S[[#This Row],[ROE]]-VLOOKUP(Main_S[[#This Row],[Industry]], Mean_ROE_S, 2, FALSE))/(VLOOKUP(Main_S[[#This Row],[Industry]], Mean_ROE_S, 3, FALSE))</f>
        <v>0.76895204027076924</v>
      </c>
      <c r="R31" s="1">
        <f>(Main_S[[#This Row],[ROA]]-VLOOKUP(Main_S[[#This Row],[Industry]], Mean_ROA_S, 2, FALSE))/(VLOOKUP(Main_S[[#This Row],[Industry]], Mean_ROA_S, 3, FALSE))</f>
        <v>0.60632637998450312</v>
      </c>
      <c r="S31" s="1">
        <f>(Main_S[[#This Row],[A/E]]-VLOOKUP(Main_S[[#This Row],[Industry]], Mean_AE_S, 2, FALSE))/(VLOOKUP(Main_S[[#This Row],[Industry]], Mean_AE_S, 3, FALSE))</f>
        <v>-0.81009518529920865</v>
      </c>
      <c r="T31" s="1">
        <f>(Main_S[[#This Row],[P/E]]-VLOOKUP(Main_S[[#This Row],[Industry]], Mean_PE_S, 2, FALSE))/(VLOOKUP(Main_S[[#This Row],[Industry]], Mean_PE_S, 3, FALSE))</f>
        <v>0.80201816614010746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2" spans="1:26" x14ac:dyDescent="0.25">
      <c r="A32" t="s">
        <v>112</v>
      </c>
      <c r="B32" t="s">
        <v>407</v>
      </c>
      <c r="C32" s="2">
        <v>752</v>
      </c>
      <c r="D32">
        <f>RTD("tos.rtd", , "LAST", Main_S[[#This Row],[Symbol]])</f>
        <v>22.01</v>
      </c>
      <c r="E32">
        <v>-1.28</v>
      </c>
      <c r="F32">
        <v>5.63</v>
      </c>
      <c r="G32">
        <v>0.39</v>
      </c>
      <c r="H32" s="1">
        <f>IF(ISNUMBER(Main_S[[#This Row],[Free CF]]),IF(Main_S[[#This Row],[Free CF]]&lt;&gt;0,Main_S[[#This Row],[Current Price]]/Main_S[[#This Row],[Free CF]],""),"")</f>
        <v>-17.1953125</v>
      </c>
      <c r="I32" s="1">
        <f>IF(ISNUMBER(Main_S[[#This Row],[BVPS]]),IF(Main_S[[#This Row],[BVPS]]&lt;&gt;0,Main_S[[#This Row],[Current Price]]/Main_S[[#This Row],[BVPS]],""),"")</f>
        <v>3.9094138543516879</v>
      </c>
      <c r="J32">
        <v>7.04</v>
      </c>
      <c r="K32">
        <v>2.85</v>
      </c>
      <c r="L32">
        <v>2.4</v>
      </c>
      <c r="M32" s="1">
        <f>IF(ISNUMBER(Main_S[[#This Row],[EPS]]),IF(Main_S[[#This Row],[EPS]]&lt;&gt;0,Main_S[[#This Row],[Current Price]]/Main_S[[#This Row],[EPS]],""),"")</f>
        <v>56.435897435897438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-2.0338637405856383</v>
      </c>
      <c r="P32" s="1">
        <f>(Main_S[[#This Row],[P/B]]-VLOOKUP(Main_S[[#This Row],[Industry]], Mean_PB_S, 2, FALSE))/(VLOOKUP(Main_S[[#This Row],[Industry]], Mean_PB_S, 3, FALSE))</f>
        <v>0.42666831134340183</v>
      </c>
      <c r="Q32" s="1">
        <f>(Main_S[[#This Row],[ROE]]-VLOOKUP(Main_S[[#This Row],[Industry]], Mean_ROE_S, 2, FALSE))/(VLOOKUP(Main_S[[#This Row],[Industry]], Mean_ROE_S, 3, FALSE))</f>
        <v>0.45923835794738727</v>
      </c>
      <c r="R32" s="1">
        <f>(Main_S[[#This Row],[ROA]]-VLOOKUP(Main_S[[#This Row],[Industry]], Mean_ROA_S, 2, FALSE))/(VLOOKUP(Main_S[[#This Row],[Industry]], Mean_ROA_S, 3, FALSE))</f>
        <v>0.2138180305513995</v>
      </c>
      <c r="S32" s="1">
        <f>(Main_S[[#This Row],[A/E]]-VLOOKUP(Main_S[[#This Row],[Industry]], Mean_AE_S, 2, FALSE))/(VLOOKUP(Main_S[[#This Row],[Industry]], Mean_AE_S, 3, FALSE))</f>
        <v>-0.11930857308243301</v>
      </c>
      <c r="T32" s="1">
        <f>(Main_S[[#This Row],[P/E]]-VLOOKUP(Main_S[[#This Row],[Industry]], Mean_PE_S, 2, FALSE))/(VLOOKUP(Main_S[[#This Row],[Industry]], Mean_PE_S, 3, FALSE))</f>
        <v>1.8322965546661611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t="s">
        <v>112</v>
      </c>
      <c r="B33" t="s">
        <v>404</v>
      </c>
      <c r="C33" s="2">
        <v>1108</v>
      </c>
      <c r="D33">
        <f>RTD("tos.rtd", , "LAST", Main_S[[#This Row],[Symbol]])</f>
        <v>9.02</v>
      </c>
      <c r="E33">
        <v>-0.09</v>
      </c>
      <c r="F33">
        <v>-2.41</v>
      </c>
      <c r="G33">
        <v>0.17</v>
      </c>
      <c r="H33" s="1">
        <f>IF(ISNUMBER(Main_S[[#This Row],[Free CF]]),IF(Main_S[[#This Row],[Free CF]]&lt;&gt;0,Main_S[[#This Row],[Current Price]]/Main_S[[#This Row],[Free CF]],""),"")</f>
        <v>-100.22222222222221</v>
      </c>
      <c r="I33" s="1">
        <f>IF(ISNUMBER(Main_S[[#This Row],[BVPS]]),IF(Main_S[[#This Row],[BVPS]]&lt;&gt;0,Main_S[[#This Row],[Current Price]]/Main_S[[#This Row],[BVPS]],""),"")</f>
        <v>-3.7427385892116178</v>
      </c>
      <c r="J33">
        <v>-6.67</v>
      </c>
      <c r="K33">
        <v>9.19</v>
      </c>
      <c r="L33">
        <v>-0.75</v>
      </c>
      <c r="M33" s="1">
        <f>IF(ISNUMBER(Main_S[[#This Row],[EPS]]),IF(Main_S[[#This Row],[EPS]]&lt;&gt;0,Main_S[[#This Row],[Current Price]]/Main_S[[#This Row],[EPS]],""),"")</f>
        <v>53.058823529411761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-6.1968607892593868</v>
      </c>
      <c r="P33" s="1">
        <f>(Main_S[[#This Row],[P/B]]-VLOOKUP(Main_S[[#This Row],[Industry]], Mean_PB_S, 2, FALSE))/(VLOOKUP(Main_S[[#This Row],[Industry]], Mean_PB_S, 3, FALSE))</f>
        <v>-4.9500622069997355</v>
      </c>
      <c r="Q33" s="1">
        <f>(Main_S[[#This Row],[ROE]]-VLOOKUP(Main_S[[#This Row],[Industry]], Mean_ROE_S, 2, FALSE))/(VLOOKUP(Main_S[[#This Row],[Industry]], Mean_ROE_S, 3, FALSE))</f>
        <v>-0.27794472966607892</v>
      </c>
      <c r="R33" s="1">
        <f>(Main_S[[#This Row],[ROA]]-VLOOKUP(Main_S[[#This Row],[Industry]], Mean_ROA_S, 2, FALSE))/(VLOOKUP(Main_S[[#This Row],[Industry]], Mean_ROA_S, 3, FALSE))</f>
        <v>0.83131255546600902</v>
      </c>
      <c r="S33" s="1">
        <f>(Main_S[[#This Row],[A/E]]-VLOOKUP(Main_S[[#This Row],[Industry]], Mean_AE_S, 2, FALSE))/(VLOOKUP(Main_S[[#This Row],[Industry]], Mean_AE_S, 3, FALSE))</f>
        <v>-2.172117845236059</v>
      </c>
      <c r="T33" s="1">
        <f>(Main_S[[#This Row],[P/E]]-VLOOKUP(Main_S[[#This Row],[Industry]], Mean_PE_S, 2, FALSE))/(VLOOKUP(Main_S[[#This Row],[Industry]], Mean_PE_S, 3, FALSE))</f>
        <v>1.6949083762355261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t="s">
        <v>112</v>
      </c>
      <c r="B34" t="s">
        <v>403</v>
      </c>
      <c r="C34" s="2">
        <v>1428</v>
      </c>
      <c r="D34">
        <f>RTD("tos.rtd", , "LAST", Main_S[[#This Row],[Symbol]])</f>
        <v>8.85</v>
      </c>
      <c r="E34">
        <v>0.42</v>
      </c>
      <c r="F34">
        <v>3.78</v>
      </c>
      <c r="G34">
        <v>-0.42</v>
      </c>
      <c r="H34" s="1">
        <f>IF(ISNUMBER(Main_S[[#This Row],[Free CF]]),IF(Main_S[[#This Row],[Free CF]]&lt;&gt;0,Main_S[[#This Row],[Current Price]]/Main_S[[#This Row],[Free CF]],""),"")</f>
        <v>21.071428571428573</v>
      </c>
      <c r="I34" s="1">
        <f>IF(ISNUMBER(Main_S[[#This Row],[BVPS]]),IF(Main_S[[#This Row],[BVPS]]&lt;&gt;0,Main_S[[#This Row],[Current Price]]/Main_S[[#This Row],[BVPS]],""),"")</f>
        <v>2.3412698412698414</v>
      </c>
      <c r="J34">
        <v>-10.83</v>
      </c>
      <c r="K34">
        <v>-6</v>
      </c>
      <c r="L34">
        <v>1.56</v>
      </c>
      <c r="M34" s="1">
        <f>IF(ISNUMBER(Main_S[[#This Row],[EPS]]),IF(Main_S[[#This Row],[EPS]]&lt;&gt;0,Main_S[[#This Row],[Current Price]]/Main_S[[#This Row],[EPS]],""),"")</f>
        <v>-21.071428571428573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-0.11515653257688668</v>
      </c>
      <c r="P34" s="1">
        <f>(Main_S[[#This Row],[P/B]]-VLOOKUP(Main_S[[#This Row],[Industry]], Mean_PB_S, 2, FALSE))/(VLOOKUP(Main_S[[#This Row],[Industry]], Mean_PB_S, 3, FALSE))</f>
        <v>-0.67517693213269825</v>
      </c>
      <c r="Q34" s="1">
        <f>(Main_S[[#This Row],[ROE]]-VLOOKUP(Main_S[[#This Row],[Industry]], Mean_ROE_S, 2, FALSE))/(VLOOKUP(Main_S[[#This Row],[Industry]], Mean_ROE_S, 3, FALSE))</f>
        <v>-0.50162683356629911</v>
      </c>
      <c r="R34" s="1">
        <f>(Main_S[[#This Row],[ROA]]-VLOOKUP(Main_S[[#This Row],[Industry]], Mean_ROA_S, 2, FALSE))/(VLOOKUP(Main_S[[#This Row],[Industry]], Mean_ROA_S, 3, FALSE))</f>
        <v>-0.64814199239722747</v>
      </c>
      <c r="S34" s="1">
        <f>(Main_S[[#This Row],[A/E]]-VLOOKUP(Main_S[[#This Row],[Industry]], Mean_AE_S, 2, FALSE))/(VLOOKUP(Main_S[[#This Row],[Industry]], Mean_AE_S, 3, FALSE))</f>
        <v>-0.66672437899006654</v>
      </c>
      <c r="T34" s="1">
        <f>(Main_S[[#This Row],[P/E]]-VLOOKUP(Main_S[[#This Row],[Industry]], Mean_PE_S, 2, FALSE))/(VLOOKUP(Main_S[[#This Row],[Industry]], Mean_PE_S, 3, FALSE))</f>
        <v>-1.3209037098365677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5" spans="1:26" x14ac:dyDescent="0.25">
      <c r="A35" t="s">
        <v>112</v>
      </c>
      <c r="B35" t="s">
        <v>409</v>
      </c>
      <c r="C35" s="2">
        <v>1089</v>
      </c>
      <c r="D35">
        <f>RTD("tos.rtd", , "LAST", Main_S[[#This Row],[Symbol]])</f>
        <v>7.51</v>
      </c>
      <c r="E35">
        <v>0.19</v>
      </c>
      <c r="F35">
        <v>1.41</v>
      </c>
      <c r="G35">
        <v>-0.46</v>
      </c>
      <c r="H35" s="1">
        <f>IF(ISNUMBER(Main_S[[#This Row],[Free CF]]),IF(Main_S[[#This Row],[Free CF]]&lt;&gt;0,Main_S[[#This Row],[Current Price]]/Main_S[[#This Row],[Free CF]],""),"")</f>
        <v>39.526315789473685</v>
      </c>
      <c r="I35" s="1">
        <f>IF(ISNUMBER(Main_S[[#This Row],[BVPS]]),IF(Main_S[[#This Row],[BVPS]]&lt;&gt;0,Main_S[[#This Row],[Current Price]]/Main_S[[#This Row],[BVPS]],""),"")</f>
        <v>5.3262411347517729</v>
      </c>
      <c r="J35">
        <v>-27.17</v>
      </c>
      <c r="K35">
        <v>-4.91</v>
      </c>
      <c r="L35">
        <v>3.05</v>
      </c>
      <c r="M35" s="1">
        <f>IF(ISNUMBER(Main_S[[#This Row],[EPS]]),IF(Main_S[[#This Row],[EPS]]&lt;&gt;0,Main_S[[#This Row],[Current Price]]/Main_S[[#This Row],[EPS]],""),"")</f>
        <v>-16.326086956521738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0.81017769074138413</v>
      </c>
      <c r="P35" s="1">
        <f>(Main_S[[#This Row],[P/B]]-VLOOKUP(Main_S[[#This Row],[Industry]], Mean_PB_S, 2, FALSE))/(VLOOKUP(Main_S[[#This Row],[Industry]], Mean_PB_S, 3, FALSE))</f>
        <v>1.4221919282514952</v>
      </c>
      <c r="Q35" s="1">
        <f>(Main_S[[#This Row],[ROE]]-VLOOKUP(Main_S[[#This Row],[Industry]], Mean_ROE_S, 2, FALSE))/(VLOOKUP(Main_S[[#This Row],[Industry]], Mean_ROE_S, 3, FALSE))</f>
        <v>-1.3802243282128375</v>
      </c>
      <c r="R35" s="1">
        <f>(Main_S[[#This Row],[ROA]]-VLOOKUP(Main_S[[#This Row],[Industry]], Mean_ROA_S, 2, FALSE))/(VLOOKUP(Main_S[[#This Row],[Industry]], Mean_ROA_S, 3, FALSE))</f>
        <v>-0.54197968448604061</v>
      </c>
      <c r="S35" s="1">
        <f>(Main_S[[#This Row],[A/E]]-VLOOKUP(Main_S[[#This Row],[Industry]], Mean_AE_S, 2, FALSE))/(VLOOKUP(Main_S[[#This Row],[Industry]], Mean_AE_S, 3, FALSE))</f>
        <v>0.30428699101275963</v>
      </c>
      <c r="T35" s="1">
        <f>(Main_S[[#This Row],[P/E]]-VLOOKUP(Main_S[[#This Row],[Industry]], Mean_PE_S, 2, FALSE))/(VLOOKUP(Main_S[[#This Row],[Industry]], Mean_PE_S, 3, FALSE))</f>
        <v>-1.127850830759489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t="s">
        <v>112</v>
      </c>
      <c r="B36" t="s">
        <v>405</v>
      </c>
      <c r="C36" s="2">
        <v>944</v>
      </c>
      <c r="D36">
        <f>RTD("tos.rtd", , "LAST", Main_S[[#This Row],[Symbol]])</f>
        <v>4.03</v>
      </c>
      <c r="E36">
        <v>0.04</v>
      </c>
      <c r="F36">
        <v>1.08</v>
      </c>
      <c r="G36">
        <v>-0.49</v>
      </c>
      <c r="H36" s="1">
        <f>IF(ISNUMBER(Main_S[[#This Row],[Free CF]]),IF(Main_S[[#This Row],[Free CF]]&lt;&gt;0,Main_S[[#This Row],[Current Price]]/Main_S[[#This Row],[Free CF]],""),"")</f>
        <v>100.75</v>
      </c>
      <c r="I36" s="1">
        <f>IF(ISNUMBER(Main_S[[#This Row],[BVPS]]),IF(Main_S[[#This Row],[BVPS]]&lt;&gt;0,Main_S[[#This Row],[Current Price]]/Main_S[[#This Row],[BVPS]],""),"")</f>
        <v>3.7314814814814814</v>
      </c>
      <c r="J36">
        <v>-36.06</v>
      </c>
      <c r="K36">
        <v>-12.71</v>
      </c>
      <c r="L36">
        <v>2.68</v>
      </c>
      <c r="M36" s="1">
        <f>IF(ISNUMBER(Main_S[[#This Row],[EPS]]),IF(Main_S[[#This Row],[EPS]]&lt;&gt;0,Main_S[[#This Row],[Current Price]]/Main_S[[#This Row],[EPS]],""),"")</f>
        <v>-8.2244897959183678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3.8799537131185895</v>
      </c>
      <c r="P36" s="1">
        <f>(Main_S[[#This Row],[P/B]]-VLOOKUP(Main_S[[#This Row],[Industry]], Mean_PB_S, 2, FALSE))/(VLOOKUP(Main_S[[#This Row],[Industry]], Mean_PB_S, 3, FALSE))</f>
        <v>0.30164539439704852</v>
      </c>
      <c r="Q36" s="1">
        <f>(Main_S[[#This Row],[ROE]]-VLOOKUP(Main_S[[#This Row],[Industry]], Mean_ROE_S, 2, FALSE))/(VLOOKUP(Main_S[[#This Row],[Industry]], Mean_ROE_S, 3, FALSE))</f>
        <v>-1.8582372858265293</v>
      </c>
      <c r="R36" s="1">
        <f>(Main_S[[#This Row],[ROA]]-VLOOKUP(Main_S[[#This Row],[Industry]], Mean_ROA_S, 2, FALSE))/(VLOOKUP(Main_S[[#This Row],[Industry]], Mean_ROA_S, 3, FALSE))</f>
        <v>-1.3016732640339832</v>
      </c>
      <c r="S36" s="1">
        <f>(Main_S[[#This Row],[A/E]]-VLOOKUP(Main_S[[#This Row],[Industry]], Mean_AE_S, 2, FALSE))/(VLOOKUP(Main_S[[#This Row],[Industry]], Mean_AE_S, 3, FALSE))</f>
        <v>6.3163362220111693E-2</v>
      </c>
      <c r="T36" s="1">
        <f>(Main_S[[#This Row],[P/E]]-VLOOKUP(Main_S[[#This Row],[Industry]], Mean_PE_S, 2, FALSE))/(VLOOKUP(Main_S[[#This Row],[Industry]], Mean_PE_S, 3, FALSE))</f>
        <v>-0.79825671849074042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t="s">
        <v>112</v>
      </c>
      <c r="B37" t="s">
        <v>413</v>
      </c>
      <c r="C37" s="2">
        <v>273</v>
      </c>
      <c r="D37">
        <f>RTD("tos.rtd", , "LAST", Main_S[[#This Row],[Symbol]])</f>
        <v>2.67</v>
      </c>
      <c r="E37">
        <v>0.06</v>
      </c>
      <c r="F37">
        <v>0.34</v>
      </c>
      <c r="G37">
        <v>-0.68</v>
      </c>
      <c r="H37" s="1">
        <f>IF(ISNUMBER(Main_S[[#This Row],[Free CF]]),IF(Main_S[[#This Row],[Free CF]]&lt;&gt;0,Main_S[[#This Row],[Current Price]]/Main_S[[#This Row],[Free CF]],""),"")</f>
        <v>44.5</v>
      </c>
      <c r="I37" s="1">
        <f>IF(ISNUMBER(Main_S[[#This Row],[BVPS]]),IF(Main_S[[#This Row],[BVPS]]&lt;&gt;0,Main_S[[#This Row],[Current Price]]/Main_S[[#This Row],[BVPS]],""),"")</f>
        <v>7.8529411764705879</v>
      </c>
      <c r="J37">
        <v>-80.09</v>
      </c>
      <c r="K37">
        <v>-14.46</v>
      </c>
      <c r="L37">
        <v>7.95</v>
      </c>
      <c r="M37" s="1">
        <f>IF(ISNUMBER(Main_S[[#This Row],[EPS]]),IF(Main_S[[#This Row],[EPS]]&lt;&gt;0,Main_S[[#This Row],[Current Price]]/Main_S[[#This Row],[EPS]],""),"")</f>
        <v>-3.9264705882352939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1.0595598821143872</v>
      </c>
      <c r="P37" s="1">
        <f>(Main_S[[#This Row],[P/B]]-VLOOKUP(Main_S[[#This Row],[Industry]], Mean_PB_S, 2, FALSE))/(VLOOKUP(Main_S[[#This Row],[Industry]], Mean_PB_S, 3, FALSE))</f>
        <v>3.1975597512534968</v>
      </c>
      <c r="Q37" s="1">
        <f>(Main_S[[#This Row],[ROE]]-VLOOKUP(Main_S[[#This Row],[Industry]], Mean_ROE_S, 2, FALSE))/(VLOOKUP(Main_S[[#This Row],[Industry]], Mean_ROE_S, 3, FALSE))</f>
        <v>-4.2257187845589081</v>
      </c>
      <c r="R37" s="1">
        <f>(Main_S[[#This Row],[ROA]]-VLOOKUP(Main_S[[#This Row],[Industry]], Mean_ROA_S, 2, FALSE))/(VLOOKUP(Main_S[[#This Row],[Industry]], Mean_ROA_S, 3, FALSE))</f>
        <v>-1.4721173363684574</v>
      </c>
      <c r="S37" s="1">
        <f>(Main_S[[#This Row],[A/E]]-VLOOKUP(Main_S[[#This Row],[Industry]], Mean_AE_S, 2, FALSE))/(VLOOKUP(Main_S[[#This Row],[Industry]], Mean_AE_S, 3, FALSE))</f>
        <v>3.4975458588072899</v>
      </c>
      <c r="T37" s="1">
        <f>(Main_S[[#This Row],[P/E]]-VLOOKUP(Main_S[[#This Row],[Industry]], Mean_PE_S, 2, FALSE))/(VLOOKUP(Main_S[[#This Row],[Industry]], Mean_PE_S, 3, FALSE))</f>
        <v>-0.62340208215322701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t="s">
        <v>112</v>
      </c>
      <c r="B38" t="s">
        <v>406</v>
      </c>
      <c r="C38" s="2">
        <v>1448</v>
      </c>
      <c r="D38">
        <f>RTD("tos.rtd", , "LAST", Main_S[[#This Row],[Symbol]])</f>
        <v>10.97</v>
      </c>
      <c r="E38">
        <v>0.18</v>
      </c>
      <c r="F38">
        <v>7.5</v>
      </c>
      <c r="G38">
        <v>-0.68</v>
      </c>
      <c r="H38" s="1">
        <f>IF(ISNUMBER(Main_S[[#This Row],[Free CF]]),IF(Main_S[[#This Row],[Free CF]]&lt;&gt;0,Main_S[[#This Row],[Current Price]]/Main_S[[#This Row],[Free CF]],""),"")</f>
        <v>60.94444444444445</v>
      </c>
      <c r="I38" s="1">
        <f>IF(ISNUMBER(Main_S[[#This Row],[BVPS]]),IF(Main_S[[#This Row],[BVPS]]&lt;&gt;0,Main_S[[#This Row],[Current Price]]/Main_S[[#This Row],[BVPS]],""),"")</f>
        <v>1.4626666666666668</v>
      </c>
      <c r="J38">
        <v>-10.050000000000001</v>
      </c>
      <c r="K38">
        <v>0.66</v>
      </c>
      <c r="L38">
        <v>4.2</v>
      </c>
      <c r="M38" s="1">
        <f>IF(ISNUMBER(Main_S[[#This Row],[EPS]]),IF(Main_S[[#This Row],[EPS]]&lt;&gt;0,Main_S[[#This Row],[Current Price]]/Main_S[[#This Row],[EPS]],""),"")</f>
        <v>-16.132352941176471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1.884089831721542</v>
      </c>
      <c r="P38" s="1">
        <f>(Main_S[[#This Row],[P/B]]-VLOOKUP(Main_S[[#This Row],[Industry]], Mean_PB_S, 2, FALSE))/(VLOOKUP(Main_S[[#This Row],[Industry]], Mean_PB_S, 3, FALSE))</f>
        <v>-1.2925212071249861</v>
      </c>
      <c r="Q38" s="1">
        <f>(Main_S[[#This Row],[ROE]]-VLOOKUP(Main_S[[#This Row],[Industry]], Mean_ROE_S, 2, FALSE))/(VLOOKUP(Main_S[[#This Row],[Industry]], Mean_ROE_S, 3, FALSE))</f>
        <v>-0.45968643908500789</v>
      </c>
      <c r="R38" s="1">
        <f>(Main_S[[#This Row],[ROA]]-VLOOKUP(Main_S[[#This Row],[Industry]], Mean_ROA_S, 2, FALSE))/(VLOOKUP(Main_S[[#This Row],[Industry]], Mean_ROA_S, 3, FALSE))</f>
        <v>5.1944860140028856E-4</v>
      </c>
      <c r="S38" s="1">
        <f>(Main_S[[#This Row],[A/E]]-VLOOKUP(Main_S[[#This Row],[Industry]], Mean_AE_S, 2, FALSE))/(VLOOKUP(Main_S[[#This Row],[Industry]], Mean_AE_S, 3, FALSE))</f>
        <v>1.0537252967196393</v>
      </c>
      <c r="T38" s="1">
        <f>(Main_S[[#This Row],[P/E]]-VLOOKUP(Main_S[[#This Row],[Industry]], Mean_PE_S, 2, FALSE))/(VLOOKUP(Main_S[[#This Row],[Industry]], Mean_PE_S, 3, FALSE))</f>
        <v>-1.119969225498431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t="s">
        <v>112</v>
      </c>
      <c r="B39" t="s">
        <v>105</v>
      </c>
      <c r="C39" s="2">
        <v>665</v>
      </c>
      <c r="D39">
        <f>RTD("tos.rtd", , "LAST", Main_S[[#This Row],[Symbol]])</f>
        <v>22.81</v>
      </c>
      <c r="E39">
        <v>-0.28000000000000003</v>
      </c>
      <c r="F39">
        <v>13.16</v>
      </c>
      <c r="G39">
        <v>-2.5499999999999998</v>
      </c>
      <c r="H39" s="1">
        <f>IF(ISNUMBER(Main_S[[#This Row],[Free CF]]),IF(Main_S[[#This Row],[Free CF]]&lt;&gt;0,Main_S[[#This Row],[Current Price]]/Main_S[[#This Row],[Free CF]],""),"")</f>
        <v>-81.464285714285708</v>
      </c>
      <c r="I39" s="1">
        <f>IF(ISNUMBER(Main_S[[#This Row],[BVPS]]),IF(Main_S[[#This Row],[BVPS]]&lt;&gt;0,Main_S[[#This Row],[Current Price]]/Main_S[[#This Row],[BVPS]],""),"")</f>
        <v>1.7332826747720365</v>
      </c>
      <c r="J39">
        <v>-17.170000000000002</v>
      </c>
      <c r="K39">
        <v>2.4900000000000002</v>
      </c>
      <c r="L39">
        <v>4.4800000000000004</v>
      </c>
      <c r="M39" s="1">
        <f>IF(ISNUMBER(Main_S[[#This Row],[EPS]]),IF(Main_S[[#This Row],[EPS]]&lt;&gt;0,Main_S[[#This Row],[Current Price]]/Main_S[[#This Row],[EPS]],""),"")</f>
        <v>-8.9450980392156865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-5.2563315730931182</v>
      </c>
      <c r="P39" s="1">
        <f>(Main_S[[#This Row],[P/B]]-VLOOKUP(Main_S[[#This Row],[Industry]], Mean_PB_S, 2, FALSE))/(VLOOKUP(Main_S[[#This Row],[Industry]], Mean_PB_S, 3, FALSE))</f>
        <v>-1.102374792731968</v>
      </c>
      <c r="Q39" s="1">
        <f>(Main_S[[#This Row],[ROE]]-VLOOKUP(Main_S[[#This Row],[Industry]], Mean_ROE_S, 2, FALSE))/(VLOOKUP(Main_S[[#This Row],[Industry]], Mean_ROE_S, 3, FALSE))</f>
        <v>-0.84252696306807717</v>
      </c>
      <c r="R39" s="1">
        <f>(Main_S[[#This Row],[ROA]]-VLOOKUP(Main_S[[#This Row],[Industry]], Mean_ROA_S, 2, FALSE))/(VLOOKUP(Main_S[[#This Row],[Industry]], Mean_ROA_S, 3, FALSE))</f>
        <v>0.17875524995687911</v>
      </c>
      <c r="S39" s="1">
        <f>(Main_S[[#This Row],[A/E]]-VLOOKUP(Main_S[[#This Row],[Industry]], Mean_AE_S, 2, FALSE))/(VLOOKUP(Main_S[[#This Row],[Industry]], Mean_AE_S, 3, FALSE))</f>
        <v>1.2361972320221839</v>
      </c>
      <c r="T39" s="1">
        <f>(Main_S[[#This Row],[P/E]]-VLOOKUP(Main_S[[#This Row],[Industry]], Mean_PE_S, 2, FALSE))/(VLOOKUP(Main_S[[#This Row],[Industry]], Mean_PE_S, 3, FALSE))</f>
        <v>-0.82757294213588573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t="s">
        <v>111</v>
      </c>
      <c r="B40" t="s">
        <v>394</v>
      </c>
      <c r="C40" s="2">
        <v>437</v>
      </c>
      <c r="D40">
        <f>RTD("tos.rtd", , "LAST", Main_S[[#This Row],[Symbol]])</f>
        <v>109.89</v>
      </c>
      <c r="E40">
        <v>6.03</v>
      </c>
      <c r="F40">
        <v>-4.6399999999999997</v>
      </c>
      <c r="G40">
        <v>5.8</v>
      </c>
      <c r="H40" s="1">
        <f>IF(ISNUMBER(Main_S[[#This Row],[Free CF]]),IF(Main_S[[#This Row],[Free CF]]&lt;&gt;0,Main_S[[#This Row],[Current Price]]/Main_S[[#This Row],[Free CF]],""),"")</f>
        <v>18.223880597014926</v>
      </c>
      <c r="I40" s="1">
        <f>IF(ISNUMBER(Main_S[[#This Row],[BVPS]]),IF(Main_S[[#This Row],[BVPS]]&lt;&gt;0,Main_S[[#This Row],[Current Price]]/Main_S[[#This Row],[BVPS]],""),"")</f>
        <v>-23.683189655172416</v>
      </c>
      <c r="J40">
        <v>-87.83</v>
      </c>
      <c r="K40">
        <v>50.38</v>
      </c>
      <c r="L40">
        <v>-2.57</v>
      </c>
      <c r="M40" s="1">
        <f>IF(ISNUMBER(Main_S[[#This Row],[EPS]]),IF(Main_S[[#This Row],[EPS]]&lt;&gt;0,Main_S[[#This Row],[Current Price]]/Main_S[[#This Row],[EPS]],""),"")</f>
        <v>18.946551724137933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0.3924777661627204</v>
      </c>
      <c r="P40" s="1">
        <f>(Main_S[[#This Row],[P/B]]-VLOOKUP(Main_S[[#This Row],[Industry]], Mean_PB_S, 2, FALSE))/(VLOOKUP(Main_S[[#This Row],[Industry]], Mean_PB_S, 3, FALSE))</f>
        <v>-10.611592906969788</v>
      </c>
      <c r="Q40" s="1">
        <f>(Main_S[[#This Row],[ROE]]-VLOOKUP(Main_S[[#This Row],[Industry]], Mean_ROE_S, 2, FALSE))/(VLOOKUP(Main_S[[#This Row],[Industry]], Mean_ROE_S, 3, FALSE))</f>
        <v>-5.2184565477047782</v>
      </c>
      <c r="R40" s="1">
        <f>(Main_S[[#This Row],[ROA]]-VLOOKUP(Main_S[[#This Row],[Industry]], Mean_ROA_S, 2, FALSE))/(VLOOKUP(Main_S[[#This Row],[Industry]], Mean_ROA_S, 3, FALSE))</f>
        <v>16.338072706587145</v>
      </c>
      <c r="S40" s="1">
        <f>(Main_S[[#This Row],[A/E]]-VLOOKUP(Main_S[[#This Row],[Industry]], Mean_AE_S, 2, FALSE))/(VLOOKUP(Main_S[[#This Row],[Industry]], Mean_AE_S, 3, FALSE))</f>
        <v>-2.2237898678350971</v>
      </c>
      <c r="T40" s="1">
        <f>(Main_S[[#This Row],[P/E]]-VLOOKUP(Main_S[[#This Row],[Industry]], Mean_PE_S, 2, FALSE))/(VLOOKUP(Main_S[[#This Row],[Industry]], Mean_PE_S, 3, FALSE))</f>
        <v>0.37471623154516925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t="s">
        <v>111</v>
      </c>
      <c r="B41" t="s">
        <v>371</v>
      </c>
      <c r="C41" s="2">
        <v>1546</v>
      </c>
      <c r="D41">
        <f>RTD("tos.rtd", , "LAST", Main_S[[#This Row],[Symbol]])</f>
        <v>84.82</v>
      </c>
      <c r="E41">
        <v>4.8499999999999996</v>
      </c>
      <c r="F41">
        <v>29.01</v>
      </c>
      <c r="G41">
        <v>3.96</v>
      </c>
      <c r="H41" s="1">
        <f>IF(ISNUMBER(Main_S[[#This Row],[Free CF]]),IF(Main_S[[#This Row],[Free CF]]&lt;&gt;0,Main_S[[#This Row],[Current Price]]/Main_S[[#This Row],[Free CF]],""),"")</f>
        <v>17.488659793814431</v>
      </c>
      <c r="I41" s="1">
        <f>IF(ISNUMBER(Main_S[[#This Row],[BVPS]]),IF(Main_S[[#This Row],[BVPS]]&lt;&gt;0,Main_S[[#This Row],[Current Price]]/Main_S[[#This Row],[BVPS]],""),"")</f>
        <v>2.9238193726301271</v>
      </c>
      <c r="J41">
        <v>14.24</v>
      </c>
      <c r="K41">
        <v>11.02</v>
      </c>
      <c r="L41">
        <v>1.33</v>
      </c>
      <c r="M41" s="1">
        <f>IF(ISNUMBER(Main_S[[#This Row],[EPS]]),IF(Main_S[[#This Row],[EPS]]&lt;&gt;0,Main_S[[#This Row],[Current Price]]/Main_S[[#This Row],[EPS]],""),"")</f>
        <v>21.419191919191917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0.36225925894766231</v>
      </c>
      <c r="P41" s="1">
        <f>(Main_S[[#This Row],[P/B]]-VLOOKUP(Main_S[[#This Row],[Industry]], Mean_PB_S, 2, FALSE))/(VLOOKUP(Main_S[[#This Row],[Industry]], Mean_PB_S, 3, FALSE))</f>
        <v>0.52217327024373561</v>
      </c>
      <c r="Q41" s="1">
        <f>(Main_S[[#This Row],[ROE]]-VLOOKUP(Main_S[[#This Row],[Industry]], Mean_ROE_S, 2, FALSE))/(VLOOKUP(Main_S[[#This Row],[Industry]], Mean_ROE_S, 3, FALSE))</f>
        <v>0.61066568524643017</v>
      </c>
      <c r="R41" s="1">
        <f>(Main_S[[#This Row],[ROA]]-VLOOKUP(Main_S[[#This Row],[Industry]], Mean_ROA_S, 2, FALSE))/(VLOOKUP(Main_S[[#This Row],[Industry]], Mean_ROA_S, 3, FALSE))</f>
        <v>2.5812866405728574</v>
      </c>
      <c r="S41" s="1">
        <f>(Main_S[[#This Row],[A/E]]-VLOOKUP(Main_S[[#This Row],[Industry]], Mean_AE_S, 2, FALSE))/(VLOOKUP(Main_S[[#This Row],[Industry]], Mean_AE_S, 3, FALSE))</f>
        <v>-0.44823458530902865</v>
      </c>
      <c r="T41" s="1">
        <f>(Main_S[[#This Row],[P/E]]-VLOOKUP(Main_S[[#This Row],[Industry]], Mean_PE_S, 2, FALSE))/(VLOOKUP(Main_S[[#This Row],[Industry]], Mean_PE_S, 3, FALSE))</f>
        <v>0.49390273719717381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t="s">
        <v>111</v>
      </c>
      <c r="B42" t="s">
        <v>387</v>
      </c>
      <c r="C42" s="2">
        <v>376</v>
      </c>
      <c r="D42">
        <f>RTD("tos.rtd", , "LAST", Main_S[[#This Row],[Symbol]])</f>
        <v>26.05</v>
      </c>
      <c r="E42">
        <v>5.34</v>
      </c>
      <c r="F42">
        <v>-13.8</v>
      </c>
      <c r="G42">
        <v>3.61</v>
      </c>
      <c r="H42" s="1">
        <f>IF(ISNUMBER(Main_S[[#This Row],[Free CF]]),IF(Main_S[[#This Row],[Free CF]]&lt;&gt;0,Main_S[[#This Row],[Current Price]]/Main_S[[#This Row],[Free CF]],""),"")</f>
        <v>4.8782771535580531</v>
      </c>
      <c r="I42" s="1">
        <f>IF(ISNUMBER(Main_S[[#This Row],[BVPS]]),IF(Main_S[[#This Row],[BVPS]]&lt;&gt;0,Main_S[[#This Row],[Current Price]]/Main_S[[#This Row],[BVPS]],""),"")</f>
        <v>-1.8876811594202898</v>
      </c>
      <c r="J42">
        <v>-24.15</v>
      </c>
      <c r="K42">
        <v>5.82</v>
      </c>
      <c r="L42">
        <v>-8.19</v>
      </c>
      <c r="M42" s="1">
        <f>IF(ISNUMBER(Main_S[[#This Row],[EPS]]),IF(Main_S[[#This Row],[EPS]]&lt;&gt;0,Main_S[[#This Row],[Current Price]]/Main_S[[#This Row],[EPS]],""),"")</f>
        <v>7.21606648199446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-0.1560434565636579</v>
      </c>
      <c r="P42" s="1">
        <f>(Main_S[[#This Row],[P/B]]-VLOOKUP(Main_S[[#This Row],[Industry]], Mean_PB_S, 2, FALSE))/(VLOOKUP(Main_S[[#This Row],[Industry]], Mean_PB_S, 3, FALSE))</f>
        <v>-1.491210565173865</v>
      </c>
      <c r="Q42" s="1">
        <f>(Main_S[[#This Row],[ROE]]-VLOOKUP(Main_S[[#This Row],[Industry]], Mean_ROE_S, 2, FALSE))/(VLOOKUP(Main_S[[#This Row],[Industry]], Mean_ROE_S, 3, FALSE))</f>
        <v>-1.5817513082188082</v>
      </c>
      <c r="R42" s="1">
        <f>(Main_S[[#This Row],[ROA]]-VLOOKUP(Main_S[[#This Row],[Industry]], Mean_ROA_S, 2, FALSE))/(VLOOKUP(Main_S[[#This Row],[Industry]], Mean_ROA_S, 3, FALSE))</f>
        <v>0.76382506681080764</v>
      </c>
      <c r="S42" s="1">
        <f>(Main_S[[#This Row],[A/E]]-VLOOKUP(Main_S[[#This Row],[Industry]], Mean_AE_S, 2, FALSE))/(VLOOKUP(Main_S[[#This Row],[Industry]], Mean_AE_S, 3, FALSE))</f>
        <v>-4.7824105570136881</v>
      </c>
      <c r="T42" s="1">
        <f>(Main_S[[#This Row],[P/E]]-VLOOKUP(Main_S[[#This Row],[Industry]], Mean_PE_S, 2, FALSE))/(VLOOKUP(Main_S[[#This Row],[Industry]], Mean_PE_S, 3, FALSE))</f>
        <v>-0.19071805542069681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t="s">
        <v>111</v>
      </c>
      <c r="B43" t="s">
        <v>397</v>
      </c>
      <c r="C43" s="2">
        <v>1481</v>
      </c>
      <c r="D43">
        <f>RTD("tos.rtd", , "LAST", Main_S[[#This Row],[Symbol]])</f>
        <v>50.53</v>
      </c>
      <c r="E43">
        <v>1.66</v>
      </c>
      <c r="F43">
        <v>-13.2</v>
      </c>
      <c r="G43">
        <v>2.37</v>
      </c>
      <c r="H43" s="1">
        <f>IF(ISNUMBER(Main_S[[#This Row],[Free CF]]),IF(Main_S[[#This Row],[Free CF]]&lt;&gt;0,Main_S[[#This Row],[Current Price]]/Main_S[[#This Row],[Free CF]],""),"")</f>
        <v>30.439759036144579</v>
      </c>
      <c r="I43" s="1">
        <f>IF(ISNUMBER(Main_S[[#This Row],[BVPS]]),IF(Main_S[[#This Row],[BVPS]]&lt;&gt;0,Main_S[[#This Row],[Current Price]]/Main_S[[#This Row],[BVPS]],""),"")</f>
        <v>-3.8280303030303031</v>
      </c>
      <c r="J43">
        <v>-18.260000000000002</v>
      </c>
      <c r="K43">
        <v>12.8</v>
      </c>
      <c r="L43">
        <v>-2.08</v>
      </c>
      <c r="M43" s="1">
        <f>IF(ISNUMBER(Main_S[[#This Row],[EPS]]),IF(Main_S[[#This Row],[EPS]]&lt;&gt;0,Main_S[[#This Row],[Current Price]]/Main_S[[#This Row],[EPS]],""),"")</f>
        <v>21.320675105485233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0.89456585880670081</v>
      </c>
      <c r="P43" s="1">
        <f>(Main_S[[#This Row],[P/B]]-VLOOKUP(Main_S[[#This Row],[Industry]], Mean_PB_S, 2, FALSE))/(VLOOKUP(Main_S[[#This Row],[Industry]], Mean_PB_S, 3, FALSE))</f>
        <v>-2.3031542768678888</v>
      </c>
      <c r="Q43" s="1">
        <f>(Main_S[[#This Row],[ROE]]-VLOOKUP(Main_S[[#This Row],[Industry]], Mean_ROE_S, 2, FALSE))/(VLOOKUP(Main_S[[#This Row],[Industry]], Mean_ROE_S, 3, FALSE))</f>
        <v>-1.2453789171922325</v>
      </c>
      <c r="R43" s="1">
        <f>(Main_S[[#This Row],[ROA]]-VLOOKUP(Main_S[[#This Row],[Industry]], Mean_ROA_S, 2, FALSE))/(VLOOKUP(Main_S[[#This Row],[Industry]], Mean_ROA_S, 3, FALSE))</f>
        <v>3.2034177177452516</v>
      </c>
      <c r="S43" s="1">
        <f>(Main_S[[#This Row],[A/E]]-VLOOKUP(Main_S[[#This Row],[Industry]], Mean_AE_S, 2, FALSE))/(VLOOKUP(Main_S[[#This Row],[Industry]], Mean_AE_S, 3, FALSE))</f>
        <v>-2.0007072810561808</v>
      </c>
      <c r="T43" s="1">
        <f>(Main_S[[#This Row],[P/E]]-VLOOKUP(Main_S[[#This Row],[Industry]], Mean_PE_S, 2, FALSE))/(VLOOKUP(Main_S[[#This Row],[Industry]], Mean_PE_S, 3, FALSE))</f>
        <v>0.48915401767172229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4" spans="1:26" x14ac:dyDescent="0.25">
      <c r="A44" t="s">
        <v>111</v>
      </c>
      <c r="B44" t="s">
        <v>386</v>
      </c>
      <c r="C44" s="2">
        <v>1279</v>
      </c>
      <c r="D44">
        <f>RTD("tos.rtd", , "LAST", Main_S[[#This Row],[Symbol]])</f>
        <v>60.74</v>
      </c>
      <c r="E44">
        <v>2.11</v>
      </c>
      <c r="F44">
        <v>20.7</v>
      </c>
      <c r="G44">
        <v>1.6</v>
      </c>
      <c r="H44" s="1">
        <f>IF(ISNUMBER(Main_S[[#This Row],[Free CF]]),IF(Main_S[[#This Row],[Free CF]]&lt;&gt;0,Main_S[[#This Row],[Current Price]]/Main_S[[#This Row],[Free CF]],""),"")</f>
        <v>28.786729857819907</v>
      </c>
      <c r="I44" s="1">
        <f>IF(ISNUMBER(Main_S[[#This Row],[BVPS]]),IF(Main_S[[#This Row],[BVPS]]&lt;&gt;0,Main_S[[#This Row],[Current Price]]/Main_S[[#This Row],[BVPS]],""),"")</f>
        <v>2.9342995169082129</v>
      </c>
      <c r="J44">
        <v>7.8</v>
      </c>
      <c r="K44">
        <v>2.02</v>
      </c>
      <c r="L44">
        <v>4.66</v>
      </c>
      <c r="M44" s="1">
        <f>IF(ISNUMBER(Main_S[[#This Row],[EPS]]),IF(Main_S[[#This Row],[EPS]]&lt;&gt;0,Main_S[[#This Row],[Current Price]]/Main_S[[#This Row],[EPS]],""),"")</f>
        <v>37.962499999999999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0.82662426366350172</v>
      </c>
      <c r="P44" s="1">
        <f>(Main_S[[#This Row],[P/B]]-VLOOKUP(Main_S[[#This Row],[Industry]], Mean_PB_S, 2, FALSE))/(VLOOKUP(Main_S[[#This Row],[Industry]], Mean_PB_S, 3, FALSE))</f>
        <v>0.52655871153004263</v>
      </c>
      <c r="Q44" s="1">
        <f>(Main_S[[#This Row],[ROE]]-VLOOKUP(Main_S[[#This Row],[Industry]], Mean_ROE_S, 2, FALSE))/(VLOOKUP(Main_S[[#This Row],[Industry]], Mean_ROE_S, 3, FALSE))</f>
        <v>0.24288330864012286</v>
      </c>
      <c r="R44" s="1">
        <f>(Main_S[[#This Row],[ROA]]-VLOOKUP(Main_S[[#This Row],[Industry]], Mean_ROA_S, 2, FALSE))/(VLOOKUP(Main_S[[#This Row],[Industry]], Mean_ROA_S, 3, FALSE))</f>
        <v>-0.56431992939992126</v>
      </c>
      <c r="S44" s="1">
        <f>(Main_S[[#This Row],[A/E]]-VLOOKUP(Main_S[[#This Row],[Industry]], Mean_AE_S, 2, FALSE))/(VLOOKUP(Main_S[[#This Row],[Industry]], Mean_AE_S, 3, FALSE))</f>
        <v>1.0678164636170762</v>
      </c>
      <c r="T44" s="1">
        <f>(Main_S[[#This Row],[P/E]]-VLOOKUP(Main_S[[#This Row],[Industry]], Mean_PE_S, 2, FALSE))/(VLOOKUP(Main_S[[#This Row],[Industry]], Mean_PE_S, 3, FALSE))</f>
        <v>1.2913253003424912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5" spans="1:26" x14ac:dyDescent="0.25">
      <c r="A45" t="s">
        <v>111</v>
      </c>
      <c r="B45" t="s">
        <v>380</v>
      </c>
      <c r="C45" s="2">
        <v>759</v>
      </c>
      <c r="D45">
        <f>RTD("tos.rtd", , "LAST", Main_S[[#This Row],[Symbol]])</f>
        <v>25.57</v>
      </c>
      <c r="E45">
        <v>-5.58</v>
      </c>
      <c r="F45">
        <v>4.0999999999999996</v>
      </c>
      <c r="G45">
        <v>1.46</v>
      </c>
      <c r="H45" s="1">
        <f>IF(ISNUMBER(Main_S[[#This Row],[Free CF]]),IF(Main_S[[#This Row],[Free CF]]&lt;&gt;0,Main_S[[#This Row],[Current Price]]/Main_S[[#This Row],[Free CF]],""),"")</f>
        <v>-4.5824372759856633</v>
      </c>
      <c r="I45" s="1">
        <f>IF(ISNUMBER(Main_S[[#This Row],[BVPS]]),IF(Main_S[[#This Row],[BVPS]]&lt;&gt;0,Main_S[[#This Row],[Current Price]]/Main_S[[#This Row],[BVPS]],""),"")</f>
        <v>6.2365853658536592</v>
      </c>
      <c r="J45">
        <v>29.37</v>
      </c>
      <c r="K45">
        <v>3.86</v>
      </c>
      <c r="L45">
        <v>27.54</v>
      </c>
      <c r="M45" s="1">
        <f>IF(ISNUMBER(Main_S[[#This Row],[EPS]]),IF(Main_S[[#This Row],[EPS]]&lt;&gt;0,Main_S[[#This Row],[Current Price]]/Main_S[[#This Row],[EPS]],""),"")</f>
        <v>17.513698630136986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-0.54489081507727288</v>
      </c>
      <c r="P45" s="1">
        <f>(Main_S[[#This Row],[P/B]]-VLOOKUP(Main_S[[#This Row],[Industry]], Mean_PB_S, 2, FALSE))/(VLOOKUP(Main_S[[#This Row],[Industry]], Mean_PB_S, 3, FALSE))</f>
        <v>1.9084080751342243</v>
      </c>
      <c r="Q45" s="1">
        <f>(Main_S[[#This Row],[ROE]]-VLOOKUP(Main_S[[#This Row],[Industry]], Mean_ROE_S, 2, FALSE))/(VLOOKUP(Main_S[[#This Row],[Industry]], Mean_ROE_S, 3, FALSE))</f>
        <v>1.4747258340124905</v>
      </c>
      <c r="R45" s="1">
        <f>(Main_S[[#This Row],[ROA]]-VLOOKUP(Main_S[[#This Row],[Industry]], Mean_ROA_S, 2, FALSE))/(VLOOKUP(Main_S[[#This Row],[Industry]], Mean_ROA_S, 3, FALSE))</f>
        <v>7.8781858238957933E-2</v>
      </c>
      <c r="S45" s="1">
        <f>(Main_S[[#This Row],[A/E]]-VLOOKUP(Main_S[[#This Row],[Industry]], Mean_AE_S, 2, FALSE))/(VLOOKUP(Main_S[[#This Row],[Industry]], Mean_AE_S, 3, FALSE))</f>
        <v>11.484407454436678</v>
      </c>
      <c r="T45" s="1">
        <f>(Main_S[[#This Row],[P/E]]-VLOOKUP(Main_S[[#This Row],[Industry]], Mean_PE_S, 2, FALSE))/(VLOOKUP(Main_S[[#This Row],[Industry]], Mean_PE_S, 3, FALSE))</f>
        <v>0.30564967114214725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t="s">
        <v>111</v>
      </c>
      <c r="B46" t="s">
        <v>395</v>
      </c>
      <c r="C46" s="2">
        <v>322</v>
      </c>
      <c r="D46">
        <f>RTD("tos.rtd", , "LAST", Main_S[[#This Row],[Symbol]])</f>
        <v>11.28</v>
      </c>
      <c r="E46">
        <v>0.24</v>
      </c>
      <c r="F46">
        <v>1.97</v>
      </c>
      <c r="G46">
        <v>1.39</v>
      </c>
      <c r="H46" s="1">
        <f>IF(ISNUMBER(Main_S[[#This Row],[Free CF]]),IF(Main_S[[#This Row],[Free CF]]&lt;&gt;0,Main_S[[#This Row],[Current Price]]/Main_S[[#This Row],[Free CF]],""),"")</f>
        <v>47</v>
      </c>
      <c r="I46" s="1">
        <f>IF(ISNUMBER(Main_S[[#This Row],[BVPS]]),IF(Main_S[[#This Row],[BVPS]]&lt;&gt;0,Main_S[[#This Row],[Current Price]]/Main_S[[#This Row],[BVPS]],""),"")</f>
        <v>5.7258883248730958</v>
      </c>
      <c r="J46">
        <v>122.46</v>
      </c>
      <c r="K46">
        <v>2.96</v>
      </c>
      <c r="L46">
        <v>4.51</v>
      </c>
      <c r="M46" s="1">
        <f>IF(ISNUMBER(Main_S[[#This Row],[EPS]]),IF(Main_S[[#This Row],[EPS]]&lt;&gt;0,Main_S[[#This Row],[Current Price]]/Main_S[[#This Row],[EPS]],""),"")</f>
        <v>8.115107913669064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1.5752127595349696</v>
      </c>
      <c r="P46" s="1">
        <f>(Main_S[[#This Row],[P/B]]-VLOOKUP(Main_S[[#This Row],[Industry]], Mean_PB_S, 2, FALSE))/(VLOOKUP(Main_S[[#This Row],[Industry]], Mean_PB_S, 3, FALSE))</f>
        <v>1.6947056843194221</v>
      </c>
      <c r="Q46" s="1">
        <f>(Main_S[[#This Row],[ROE]]-VLOOKUP(Main_S[[#This Row],[Industry]], Mean_ROE_S, 2, FALSE))/(VLOOKUP(Main_S[[#This Row],[Industry]], Mean_ROE_S, 3, FALSE))</f>
        <v>6.7910086660437239</v>
      </c>
      <c r="R46" s="1">
        <f>(Main_S[[#This Row],[ROA]]-VLOOKUP(Main_S[[#This Row],[Industry]], Mean_ROA_S, 2, FALSE))/(VLOOKUP(Main_S[[#This Row],[Industry]], Mean_ROA_S, 3, FALSE))</f>
        <v>-0.23577879875831992</v>
      </c>
      <c r="S46" s="1">
        <f>(Main_S[[#This Row],[A/E]]-VLOOKUP(Main_S[[#This Row],[Industry]], Mean_AE_S, 2, FALSE))/(VLOOKUP(Main_S[[#This Row],[Industry]], Mean_AE_S, 3, FALSE))</f>
        <v>0.99952587582761188</v>
      </c>
      <c r="T46" s="1">
        <f>(Main_S[[#This Row],[P/E]]-VLOOKUP(Main_S[[#This Row],[Industry]], Mean_PE_S, 2, FALSE))/(VLOOKUP(Main_S[[#This Row],[Industry]], Mean_PE_S, 3, FALSE))</f>
        <v>-0.14738235017251286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t="s">
        <v>111</v>
      </c>
      <c r="B47" t="s">
        <v>487</v>
      </c>
      <c r="C47" s="2">
        <v>327</v>
      </c>
      <c r="D47">
        <f>RTD("tos.rtd", , "LAST", Main_S[[#This Row],[Symbol]])</f>
        <v>14.78</v>
      </c>
      <c r="E47">
        <v>1.22</v>
      </c>
      <c r="F47">
        <v>16.149999999999999</v>
      </c>
      <c r="G47">
        <v>1.2</v>
      </c>
      <c r="H47" s="1">
        <f>IF(ISNUMBER(Main_S[[#This Row],[Free CF]]),IF(Main_S[[#This Row],[Free CF]]&lt;&gt;0,Main_S[[#This Row],[Current Price]]/Main_S[[#This Row],[Free CF]],""),"")</f>
        <v>12.114754098360656</v>
      </c>
      <c r="I47" s="1">
        <f>IF(ISNUMBER(Main_S[[#This Row],[BVPS]]),IF(Main_S[[#This Row],[BVPS]]&lt;&gt;0,Main_S[[#This Row],[Current Price]]/Main_S[[#This Row],[BVPS]],""),"")</f>
        <v>0.9151702786377709</v>
      </c>
      <c r="J47">
        <v>7.63</v>
      </c>
      <c r="K47">
        <v>3.23</v>
      </c>
      <c r="L47">
        <v>1.33</v>
      </c>
      <c r="M47" s="1">
        <f>IF(ISNUMBER(Main_S[[#This Row],[EPS]]),IF(Main_S[[#This Row],[EPS]]&lt;&gt;0,Main_S[[#This Row],[Current Price]]/Main_S[[#This Row],[EPS]],""),"")</f>
        <v>12.316666666666666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0.14138492116477536</v>
      </c>
      <c r="P47" s="1">
        <f>(Main_S[[#This Row],[P/B]]-VLOOKUP(Main_S[[#This Row],[Industry]], Mean_PB_S, 2, FALSE))/(VLOOKUP(Main_S[[#This Row],[Industry]], Mean_PB_S, 3, FALSE))</f>
        <v>-0.31835071804874698</v>
      </c>
      <c r="Q47" s="1">
        <f>(Main_S[[#This Row],[ROE]]-VLOOKUP(Main_S[[#This Row],[Industry]], Mean_ROE_S, 2, FALSE))/(VLOOKUP(Main_S[[#This Row],[Industry]], Mean_ROE_S, 3, FALSE))</f>
        <v>0.23317476764275141</v>
      </c>
      <c r="R47" s="1">
        <f>(Main_S[[#This Row],[ROA]]-VLOOKUP(Main_S[[#This Row],[Industry]], Mean_ROA_S, 2, FALSE))/(VLOOKUP(Main_S[[#This Row],[Industry]], Mean_ROA_S, 3, FALSE))</f>
        <v>-0.14141060165913655</v>
      </c>
      <c r="S47" s="1">
        <f>(Main_S[[#This Row],[A/E]]-VLOOKUP(Main_S[[#This Row],[Industry]], Mean_AE_S, 2, FALSE))/(VLOOKUP(Main_S[[#This Row],[Industry]], Mean_AE_S, 3, FALSE))</f>
        <v>-0.44823458530902865</v>
      </c>
      <c r="T47" s="1">
        <f>(Main_S[[#This Row],[P/E]]-VLOOKUP(Main_S[[#This Row],[Industry]], Mean_PE_S, 2, FALSE))/(VLOOKUP(Main_S[[#This Row],[Industry]], Mean_PE_S, 3, FALSE))</f>
        <v>5.5141699652069484E-2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8" spans="1:26" x14ac:dyDescent="0.25">
      <c r="A48" t="s">
        <v>111</v>
      </c>
      <c r="B48" t="s">
        <v>366</v>
      </c>
      <c r="C48" s="2">
        <v>507</v>
      </c>
      <c r="D48">
        <f>RTD("tos.rtd", , "LAST", Main_S[[#This Row],[Symbol]])</f>
        <v>12.36</v>
      </c>
      <c r="E48">
        <v>0.61</v>
      </c>
      <c r="F48">
        <v>2.83</v>
      </c>
      <c r="G48">
        <v>1.1599999999999999</v>
      </c>
      <c r="H48" s="1">
        <f>IF(ISNUMBER(Main_S[[#This Row],[Free CF]]),IF(Main_S[[#This Row],[Free CF]]&lt;&gt;0,Main_S[[#This Row],[Current Price]]/Main_S[[#This Row],[Free CF]],""),"")</f>
        <v>20.262295081967213</v>
      </c>
      <c r="I48" s="1">
        <f>IF(ISNUMBER(Main_S[[#This Row],[BVPS]]),IF(Main_S[[#This Row],[BVPS]]&lt;&gt;0,Main_S[[#This Row],[Current Price]]/Main_S[[#This Row],[BVPS]],""),"")</f>
        <v>4.3674911660777385</v>
      </c>
      <c r="J48">
        <v>53.08</v>
      </c>
      <c r="K48">
        <v>6.38</v>
      </c>
      <c r="L48">
        <v>6.05</v>
      </c>
      <c r="M48" s="1">
        <f>IF(ISNUMBER(Main_S[[#This Row],[EPS]]),IF(Main_S[[#This Row],[EPS]]&lt;&gt;0,Main_S[[#This Row],[Current Price]]/Main_S[[#This Row],[EPS]],""),"")</f>
        <v>10.655172413793103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0.47625918604728784</v>
      </c>
      <c r="P48" s="1">
        <f>(Main_S[[#This Row],[P/B]]-VLOOKUP(Main_S[[#This Row],[Industry]], Mean_PB_S, 2, FALSE))/(VLOOKUP(Main_S[[#This Row],[Industry]], Mean_PB_S, 3, FALSE))</f>
        <v>1.1262811640730821</v>
      </c>
      <c r="Q48" s="1">
        <f>(Main_S[[#This Row],[ROE]]-VLOOKUP(Main_S[[#This Row],[Industry]], Mean_ROE_S, 2, FALSE))/(VLOOKUP(Main_S[[#This Row],[Industry]], Mean_ROE_S, 3, FALSE))</f>
        <v>2.828781757822358</v>
      </c>
      <c r="R48" s="1">
        <f>(Main_S[[#This Row],[ROA]]-VLOOKUP(Main_S[[#This Row],[Industry]], Mean_ROA_S, 2, FALSE))/(VLOOKUP(Main_S[[#This Row],[Industry]], Mean_ROA_S, 3, FALSE))</f>
        <v>0.95955169783133598</v>
      </c>
      <c r="S48" s="1">
        <f>(Main_S[[#This Row],[A/E]]-VLOOKUP(Main_S[[#This Row],[Industry]], Mean_AE_S, 2, FALSE))/(VLOOKUP(Main_S[[#This Row],[Industry]], Mean_AE_S, 3, FALSE))</f>
        <v>1.7006425771327773</v>
      </c>
      <c r="T48" s="1">
        <f>(Main_S[[#This Row],[P/E]]-VLOOKUP(Main_S[[#This Row],[Industry]], Mean_PE_S, 2, FALSE))/(VLOOKUP(Main_S[[#This Row],[Industry]], Mean_PE_S, 3, FALSE))</f>
        <v>-2.4945849906092027E-2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9" spans="1:26" x14ac:dyDescent="0.25">
      <c r="A49" t="s">
        <v>111</v>
      </c>
      <c r="B49" t="s">
        <v>384</v>
      </c>
      <c r="C49" s="2">
        <v>987</v>
      </c>
      <c r="D49">
        <f>RTD("tos.rtd", , "LAST", Main_S[[#This Row],[Symbol]])</f>
        <v>44.26</v>
      </c>
      <c r="E49">
        <v>0.53</v>
      </c>
      <c r="F49">
        <v>16.559999999999999</v>
      </c>
      <c r="G49">
        <v>0.95</v>
      </c>
      <c r="H49" s="1">
        <f>IF(ISNUMBER(Main_S[[#This Row],[Free CF]]),IF(Main_S[[#This Row],[Free CF]]&lt;&gt;0,Main_S[[#This Row],[Current Price]]/Main_S[[#This Row],[Free CF]],""),"")</f>
        <v>83.50943396226414</v>
      </c>
      <c r="I49" s="1">
        <f>IF(ISNUMBER(Main_S[[#This Row],[BVPS]]),IF(Main_S[[#This Row],[BVPS]]&lt;&gt;0,Main_S[[#This Row],[Current Price]]/Main_S[[#This Row],[BVPS]],""),"")</f>
        <v>2.6727053140096619</v>
      </c>
      <c r="J49">
        <v>6.01</v>
      </c>
      <c r="K49">
        <v>2.5299999999999998</v>
      </c>
      <c r="L49">
        <v>2.75</v>
      </c>
      <c r="M49" s="1">
        <f>IF(ISNUMBER(Main_S[[#This Row],[EPS]]),IF(Main_S[[#This Row],[EPS]]&lt;&gt;0,Main_S[[#This Row],[Current Price]]/Main_S[[#This Row],[EPS]],""),"")</f>
        <v>46.589473684210525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3.0757967865425759</v>
      </c>
      <c r="P49" s="1">
        <f>(Main_S[[#This Row],[P/B]]-VLOOKUP(Main_S[[#This Row],[Industry]], Mean_PB_S, 2, FALSE))/(VLOOKUP(Main_S[[#This Row],[Industry]], Mean_PB_S, 3, FALSE))</f>
        <v>0.41709399547181825</v>
      </c>
      <c r="Q49" s="1">
        <f>(Main_S[[#This Row],[ROE]]-VLOOKUP(Main_S[[#This Row],[Industry]], Mean_ROE_S, 2, FALSE))/(VLOOKUP(Main_S[[#This Row],[Industry]], Mean_ROE_S, 3, FALSE))</f>
        <v>0.14065808284427039</v>
      </c>
      <c r="R49" s="1">
        <f>(Main_S[[#This Row],[ROA]]-VLOOKUP(Main_S[[#This Row],[Industry]], Mean_ROA_S, 2, FALSE))/(VLOOKUP(Main_S[[#This Row],[Industry]], Mean_ROA_S, 3, FALSE))</f>
        <v>-0.38606889043479714</v>
      </c>
      <c r="S49" s="1">
        <f>(Main_S[[#This Row],[A/E]]-VLOOKUP(Main_S[[#This Row],[Industry]], Mean_AE_S, 2, FALSE))/(VLOOKUP(Main_S[[#This Row],[Industry]], Mean_AE_S, 3, FALSE))</f>
        <v>0.19824964576456555</v>
      </c>
      <c r="T49" s="1">
        <f>(Main_S[[#This Row],[P/E]]-VLOOKUP(Main_S[[#This Row],[Industry]], Mean_PE_S, 2, FALSE))/(VLOOKUP(Main_S[[#This Row],[Industry]], Mean_PE_S, 3, FALSE))</f>
        <v>1.7071637429228537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t="s">
        <v>111</v>
      </c>
      <c r="B50" t="s">
        <v>489</v>
      </c>
      <c r="C50" s="2">
        <v>291</v>
      </c>
      <c r="D50">
        <f>RTD("tos.rtd", , "LAST", Main_S[[#This Row],[Symbol]])</f>
        <v>14.05</v>
      </c>
      <c r="E50">
        <v>1.25</v>
      </c>
      <c r="F50">
        <v>9.1999999999999993</v>
      </c>
      <c r="G50">
        <v>0.91</v>
      </c>
      <c r="H50" s="1">
        <f>IF(ISNUMBER(Main_S[[#This Row],[Free CF]]),IF(Main_S[[#This Row],[Free CF]]&lt;&gt;0,Main_S[[#This Row],[Current Price]]/Main_S[[#This Row],[Free CF]],""),"")</f>
        <v>11.24</v>
      </c>
      <c r="I50" s="1">
        <f>IF(ISNUMBER(Main_S[[#This Row],[BVPS]]),IF(Main_S[[#This Row],[BVPS]]&lt;&gt;0,Main_S[[#This Row],[Current Price]]/Main_S[[#This Row],[BVPS]],""),"")</f>
        <v>1.5271739130434785</v>
      </c>
      <c r="J50">
        <v>10.55</v>
      </c>
      <c r="K50">
        <v>7.22</v>
      </c>
      <c r="L50">
        <v>1.49</v>
      </c>
      <c r="M50" s="1">
        <f>IF(ISNUMBER(Main_S[[#This Row],[EPS]]),IF(Main_S[[#This Row],[EPS]]&lt;&gt;0,Main_S[[#This Row],[Current Price]]/Main_S[[#This Row],[EPS]],""),"")</f>
        <v>15.43956043956044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0.10543141860113175</v>
      </c>
      <c r="P50" s="1">
        <f>(Main_S[[#This Row],[P/B]]-VLOOKUP(Main_S[[#This Row],[Industry]], Mean_PB_S, 2, FALSE))/(VLOOKUP(Main_S[[#This Row],[Industry]], Mean_PB_S, 3, FALSE))</f>
        <v>-6.2256342391643141E-2</v>
      </c>
      <c r="Q50" s="1">
        <f>(Main_S[[#This Row],[ROE]]-VLOOKUP(Main_S[[#This Row],[Industry]], Mean_ROE_S, 2, FALSE))/(VLOOKUP(Main_S[[#This Row],[Industry]], Mean_ROE_S, 3, FALSE))</f>
        <v>0.39993323653877899</v>
      </c>
      <c r="R50" s="1">
        <f>(Main_S[[#This Row],[ROA]]-VLOOKUP(Main_S[[#This Row],[Industry]], Mean_ROA_S, 2, FALSE))/(VLOOKUP(Main_S[[#This Row],[Industry]], Mean_ROA_S, 3, FALSE))</f>
        <v>1.2531416443621286</v>
      </c>
      <c r="S50" s="1">
        <f>(Main_S[[#This Row],[A/E]]-VLOOKUP(Main_S[[#This Row],[Industry]], Mean_AE_S, 2, FALSE))/(VLOOKUP(Main_S[[#This Row],[Industry]], Mean_AE_S, 3, FALSE))</f>
        <v>-0.37539129166693358</v>
      </c>
      <c r="T50" s="1">
        <f>(Main_S[[#This Row],[P/E]]-VLOOKUP(Main_S[[#This Row],[Industry]], Mean_PE_S, 2, FALSE))/(VLOOKUP(Main_S[[#This Row],[Industry]], Mean_PE_S, 3, FALSE))</f>
        <v>0.20567180793799719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t="s">
        <v>111</v>
      </c>
      <c r="B51" t="s">
        <v>385</v>
      </c>
      <c r="C51" s="2">
        <v>649</v>
      </c>
      <c r="D51">
        <f>RTD("tos.rtd", , "LAST", Main_S[[#This Row],[Symbol]])</f>
        <v>8.33</v>
      </c>
      <c r="E51">
        <v>0.18</v>
      </c>
      <c r="F51">
        <v>4.4800000000000004</v>
      </c>
      <c r="G51">
        <v>0.9</v>
      </c>
      <c r="H51" s="1">
        <f>IF(ISNUMBER(Main_S[[#This Row],[Free CF]]),IF(Main_S[[#This Row],[Free CF]]&lt;&gt;0,Main_S[[#This Row],[Current Price]]/Main_S[[#This Row],[Free CF]],""),"")</f>
        <v>46.277777777777779</v>
      </c>
      <c r="I51" s="1">
        <f>IF(ISNUMBER(Main_S[[#This Row],[BVPS]]),IF(Main_S[[#This Row],[BVPS]]&lt;&gt;0,Main_S[[#This Row],[Current Price]]/Main_S[[#This Row],[BVPS]],""),"")</f>
        <v>1.8593749999999998</v>
      </c>
      <c r="J51">
        <v>23.87</v>
      </c>
      <c r="K51">
        <v>3.42</v>
      </c>
      <c r="L51">
        <v>8.68</v>
      </c>
      <c r="M51" s="1">
        <f>IF(ISNUMBER(Main_S[[#This Row],[EPS]]),IF(Main_S[[#This Row],[EPS]]&lt;&gt;0,Main_S[[#This Row],[Current Price]]/Main_S[[#This Row],[EPS]],""),"")</f>
        <v>9.2555555555555546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1.545528510479321</v>
      </c>
      <c r="P51" s="1">
        <f>(Main_S[[#This Row],[P/B]]-VLOOKUP(Main_S[[#This Row],[Industry]], Mean_PB_S, 2, FALSE))/(VLOOKUP(Main_S[[#This Row],[Industry]], Mean_PB_S, 3, FALSE))</f>
        <v>7.6753992145592698E-2</v>
      </c>
      <c r="Q51" s="1">
        <f>(Main_S[[#This Row],[ROE]]-VLOOKUP(Main_S[[#This Row],[Industry]], Mean_ROE_S, 2, FALSE))/(VLOOKUP(Main_S[[#This Row],[Industry]], Mean_ROE_S, 3, FALSE))</f>
        <v>1.1606259782151784</v>
      </c>
      <c r="R51" s="1">
        <f>(Main_S[[#This Row],[ROA]]-VLOOKUP(Main_S[[#This Row],[Industry]], Mean_ROA_S, 2, FALSE))/(VLOOKUP(Main_S[[#This Row],[Industry]], Mean_ROA_S, 3, FALSE))</f>
        <v>-7.5003351848600117E-2</v>
      </c>
      <c r="S51" s="1">
        <f>(Main_S[[#This Row],[A/E]]-VLOOKUP(Main_S[[#This Row],[Industry]], Mean_AE_S, 2, FALSE))/(VLOOKUP(Main_S[[#This Row],[Industry]], Mean_AE_S, 3, FALSE))</f>
        <v>2.8980042163747162</v>
      </c>
      <c r="T51" s="1">
        <f>(Main_S[[#This Row],[P/E]]-VLOOKUP(Main_S[[#This Row],[Industry]], Mean_PE_S, 2, FALSE))/(VLOOKUP(Main_S[[#This Row],[Industry]], Mean_PE_S, 3, FALSE))</f>
        <v>-9.2410353200445564E-2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t="s">
        <v>111</v>
      </c>
      <c r="B52" t="s">
        <v>490</v>
      </c>
      <c r="C52" s="2">
        <v>405</v>
      </c>
      <c r="D52">
        <f>RTD("tos.rtd", , "LAST", Main_S[[#This Row],[Symbol]])</f>
        <v>16.14</v>
      </c>
      <c r="E52">
        <v>0.51</v>
      </c>
      <c r="F52">
        <v>8.6</v>
      </c>
      <c r="G52">
        <v>0.89</v>
      </c>
      <c r="H52" s="1">
        <f>IF(ISNUMBER(Main_S[[#This Row],[Free CF]]),IF(Main_S[[#This Row],[Free CF]]&lt;&gt;0,Main_S[[#This Row],[Current Price]]/Main_S[[#This Row],[Free CF]],""),"")</f>
        <v>31.647058823529413</v>
      </c>
      <c r="I52" s="1">
        <f>IF(ISNUMBER(Main_S[[#This Row],[BVPS]]),IF(Main_S[[#This Row],[BVPS]]&lt;&gt;0,Main_S[[#This Row],[Current Price]]/Main_S[[#This Row],[BVPS]],""),"")</f>
        <v>1.8767441860465117</v>
      </c>
      <c r="J52">
        <v>12.46</v>
      </c>
      <c r="K52">
        <v>1.97</v>
      </c>
      <c r="L52">
        <v>1.98</v>
      </c>
      <c r="M52" s="1">
        <f>IF(ISNUMBER(Main_S[[#This Row],[EPS]]),IF(Main_S[[#This Row],[EPS]]&lt;&gt;0,Main_S[[#This Row],[Current Price]]/Main_S[[#This Row],[EPS]],""),"")</f>
        <v>18.134831460674157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0.94418741083163416</v>
      </c>
      <c r="P52" s="1">
        <f>(Main_S[[#This Row],[P/B]]-VLOOKUP(Main_S[[#This Row],[Industry]], Mean_PB_S, 2, FALSE))/(VLOOKUP(Main_S[[#This Row],[Industry]], Mean_PB_S, 3, FALSE))</f>
        <v>8.4022169336358851E-2</v>
      </c>
      <c r="Q52" s="1">
        <f>(Main_S[[#This Row],[ROE]]-VLOOKUP(Main_S[[#This Row],[Industry]], Mean_ROE_S, 2, FALSE))/(VLOOKUP(Main_S[[#This Row],[Industry]], Mean_ROE_S, 3, FALSE))</f>
        <v>0.50901155009748189</v>
      </c>
      <c r="R52" s="1">
        <f>(Main_S[[#This Row],[ROA]]-VLOOKUP(Main_S[[#This Row],[Industry]], Mean_ROA_S, 2, FALSE))/(VLOOKUP(Main_S[[#This Row],[Industry]], Mean_ROA_S, 3, FALSE))</f>
        <v>-0.58179552145532554</v>
      </c>
      <c r="S52" s="1">
        <f>(Main_S[[#This Row],[A/E]]-VLOOKUP(Main_S[[#This Row],[Industry]], Mean_AE_S, 2, FALSE))/(VLOOKUP(Main_S[[#This Row],[Industry]], Mean_AE_S, 3, FALSE))</f>
        <v>-0.15230870488801726</v>
      </c>
      <c r="T52" s="1">
        <f>(Main_S[[#This Row],[P/E]]-VLOOKUP(Main_S[[#This Row],[Industry]], Mean_PE_S, 2, FALSE))/(VLOOKUP(Main_S[[#This Row],[Industry]], Mean_PE_S, 3, FALSE))</f>
        <v>0.33558959194645488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t="s">
        <v>111</v>
      </c>
      <c r="B53" t="s">
        <v>393</v>
      </c>
      <c r="C53" s="2">
        <v>316</v>
      </c>
      <c r="D53">
        <f>RTD("tos.rtd", , "LAST", Main_S[[#This Row],[Symbol]])</f>
        <v>10.88</v>
      </c>
      <c r="E53">
        <v>0.75</v>
      </c>
      <c r="F53">
        <v>8.84</v>
      </c>
      <c r="G53">
        <v>0.86</v>
      </c>
      <c r="H53" s="1">
        <f>IF(ISNUMBER(Main_S[[#This Row],[Free CF]]),IF(Main_S[[#This Row],[Free CF]]&lt;&gt;0,Main_S[[#This Row],[Current Price]]/Main_S[[#This Row],[Free CF]],""),"")</f>
        <v>14.506666666666668</v>
      </c>
      <c r="I53" s="1">
        <f>IF(ISNUMBER(Main_S[[#This Row],[BVPS]]),IF(Main_S[[#This Row],[BVPS]]&lt;&gt;0,Main_S[[#This Row],[Current Price]]/Main_S[[#This Row],[BVPS]],""),"")</f>
        <v>1.2307692307692308</v>
      </c>
      <c r="J53">
        <v>9.68</v>
      </c>
      <c r="K53">
        <v>4.16</v>
      </c>
      <c r="L53">
        <v>2.2200000000000002</v>
      </c>
      <c r="M53" s="1">
        <f>IF(ISNUMBER(Main_S[[#This Row],[EPS]]),IF(Main_S[[#This Row],[EPS]]&lt;&gt;0,Main_S[[#This Row],[Current Price]]/Main_S[[#This Row],[EPS]],""),"")</f>
        <v>12.651162790697676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0.23969556048360394</v>
      </c>
      <c r="P53" s="1">
        <f>(Main_S[[#This Row],[P/B]]-VLOOKUP(Main_S[[#This Row],[Industry]], Mean_PB_S, 2, FALSE))/(VLOOKUP(Main_S[[#This Row],[Industry]], Mean_PB_S, 3, FALSE))</f>
        <v>-0.18628758629524597</v>
      </c>
      <c r="Q53" s="1">
        <f>(Main_S[[#This Row],[ROE]]-VLOOKUP(Main_S[[#This Row],[Industry]], Mean_ROE_S, 2, FALSE))/(VLOOKUP(Main_S[[#This Row],[Industry]], Mean_ROE_S, 3, FALSE))</f>
        <v>0.35024835025811318</v>
      </c>
      <c r="R53" s="1">
        <f>(Main_S[[#This Row],[ROA]]-VLOOKUP(Main_S[[#This Row],[Industry]], Mean_ROA_S, 2, FALSE))/(VLOOKUP(Main_S[[#This Row],[Industry]], Mean_ROA_S, 3, FALSE))</f>
        <v>0.18363541057138397</v>
      </c>
      <c r="S53" s="1">
        <f>(Main_S[[#This Row],[A/E]]-VLOOKUP(Main_S[[#This Row],[Industry]], Mean_AE_S, 2, FALSE))/(VLOOKUP(Main_S[[#This Row],[Industry]], Mean_AE_S, 3, FALSE))</f>
        <v>-4.3043764424874467E-2</v>
      </c>
      <c r="T53" s="1">
        <f>(Main_S[[#This Row],[P/E]]-VLOOKUP(Main_S[[#This Row],[Industry]], Mean_PE_S, 2, FALSE))/(VLOOKUP(Main_S[[#This Row],[Industry]], Mean_PE_S, 3, FALSE))</f>
        <v>7.1265122808071804E-2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4" spans="1:26" x14ac:dyDescent="0.25">
      <c r="A54" t="s">
        <v>111</v>
      </c>
      <c r="B54" t="s">
        <v>398</v>
      </c>
      <c r="C54" s="2">
        <v>354</v>
      </c>
      <c r="D54">
        <f>RTD("tos.rtd", , "LAST", Main_S[[#This Row],[Symbol]])</f>
        <v>42.46</v>
      </c>
      <c r="E54">
        <v>3.65</v>
      </c>
      <c r="F54">
        <v>30.43</v>
      </c>
      <c r="G54">
        <v>0.81</v>
      </c>
      <c r="H54" s="1">
        <f>IF(ISNUMBER(Main_S[[#This Row],[Free CF]]),IF(Main_S[[#This Row],[Free CF]]&lt;&gt;0,Main_S[[#This Row],[Current Price]]/Main_S[[#This Row],[Free CF]],""),"")</f>
        <v>11.632876712328768</v>
      </c>
      <c r="I54" s="1">
        <f>IF(ISNUMBER(Main_S[[#This Row],[BVPS]]),IF(Main_S[[#This Row],[BVPS]]&lt;&gt;0,Main_S[[#This Row],[Current Price]]/Main_S[[#This Row],[BVPS]],""),"")</f>
        <v>1.3953335524153796</v>
      </c>
      <c r="J54">
        <v>2.63</v>
      </c>
      <c r="K54">
        <v>5.36</v>
      </c>
      <c r="L54">
        <v>2.19</v>
      </c>
      <c r="M54" s="1">
        <f>IF(ISNUMBER(Main_S[[#This Row],[EPS]]),IF(Main_S[[#This Row],[EPS]]&lt;&gt;0,Main_S[[#This Row],[Current Price]]/Main_S[[#This Row],[EPS]],""),"")</f>
        <v>52.419753086419753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0.12157914961534468</v>
      </c>
      <c r="P54" s="1">
        <f>(Main_S[[#This Row],[P/B]]-VLOOKUP(Main_S[[#This Row],[Industry]], Mean_PB_S, 2, FALSE))/(VLOOKUP(Main_S[[#This Row],[Industry]], Mean_PB_S, 3, FALSE))</f>
        <v>-0.11742525470414414</v>
      </c>
      <c r="Q54" s="1">
        <f>(Main_S[[#This Row],[ROE]]-VLOOKUP(Main_S[[#This Row],[Industry]], Mean_ROE_S, 2, FALSE))/(VLOOKUP(Main_S[[#This Row],[Industry]], Mean_ROE_S, 3, FALSE))</f>
        <v>-5.2370555809350516E-2</v>
      </c>
      <c r="R54" s="1">
        <f>(Main_S[[#This Row],[ROA]]-VLOOKUP(Main_S[[#This Row],[Industry]], Mean_ROA_S, 2, FALSE))/(VLOOKUP(Main_S[[#This Row],[Industry]], Mean_ROA_S, 3, FALSE))</f>
        <v>0.60304961990108785</v>
      </c>
      <c r="S54" s="1">
        <f>(Main_S[[#This Row],[A/E]]-VLOOKUP(Main_S[[#This Row],[Industry]], Mean_AE_S, 2, FALSE))/(VLOOKUP(Main_S[[#This Row],[Industry]], Mean_AE_S, 3, FALSE))</f>
        <v>-5.6701881982767419E-2</v>
      </c>
      <c r="T54" s="1">
        <f>(Main_S[[#This Row],[P/E]]-VLOOKUP(Main_S[[#This Row],[Industry]], Mean_PE_S, 2, FALSE))/(VLOOKUP(Main_S[[#This Row],[Industry]], Mean_PE_S, 3, FALSE))</f>
        <v>1.9881955850461694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5" spans="1:26" x14ac:dyDescent="0.25">
      <c r="A55" t="s">
        <v>111</v>
      </c>
      <c r="B55" t="s">
        <v>382</v>
      </c>
      <c r="C55" s="2">
        <v>1561</v>
      </c>
      <c r="D55">
        <f>RTD("tos.rtd", , "LAST", Main_S[[#This Row],[Symbol]])</f>
        <v>7.44</v>
      </c>
      <c r="E55">
        <v>-0.25</v>
      </c>
      <c r="F55">
        <v>2.4500000000000002</v>
      </c>
      <c r="G55">
        <v>0.64</v>
      </c>
      <c r="H55" s="1">
        <f>IF(ISNUMBER(Main_S[[#This Row],[Free CF]]),IF(Main_S[[#This Row],[Free CF]]&lt;&gt;0,Main_S[[#This Row],[Current Price]]/Main_S[[#This Row],[Free CF]],""),"")</f>
        <v>-29.76</v>
      </c>
      <c r="I55" s="1">
        <f>IF(ISNUMBER(Main_S[[#This Row],[BVPS]]),IF(Main_S[[#This Row],[BVPS]]&lt;&gt;0,Main_S[[#This Row],[Current Price]]/Main_S[[#This Row],[BVPS]],""),"")</f>
        <v>3.036734693877551</v>
      </c>
      <c r="J55">
        <v>26.84</v>
      </c>
      <c r="K55">
        <v>5.88</v>
      </c>
      <c r="L55">
        <v>6.73</v>
      </c>
      <c r="M55" s="1">
        <f>IF(ISNUMBER(Main_S[[#This Row],[EPS]]),IF(Main_S[[#This Row],[EPS]]&lt;&gt;0,Main_S[[#This Row],[Current Price]]/Main_S[[#This Row],[EPS]],""),"")</f>
        <v>11.625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-1.5797205662503044</v>
      </c>
      <c r="P55" s="1">
        <f>(Main_S[[#This Row],[P/B]]-VLOOKUP(Main_S[[#This Row],[Industry]], Mean_PB_S, 2, FALSE))/(VLOOKUP(Main_S[[#This Row],[Industry]], Mean_PB_S, 3, FALSE))</f>
        <v>0.56942295483925354</v>
      </c>
      <c r="Q55" s="1">
        <f>(Main_S[[#This Row],[ROE]]-VLOOKUP(Main_S[[#This Row],[Industry]], Mean_ROE_S, 2, FALSE))/(VLOOKUP(Main_S[[#This Row],[Industry]], Mean_ROE_S, 3, FALSE))</f>
        <v>1.3302399003457268</v>
      </c>
      <c r="R55" s="1">
        <f>(Main_S[[#This Row],[ROA]]-VLOOKUP(Main_S[[#This Row],[Industry]], Mean_ROA_S, 2, FALSE))/(VLOOKUP(Main_S[[#This Row],[Industry]], Mean_ROA_S, 3, FALSE))</f>
        <v>0.78479577727729266</v>
      </c>
      <c r="S55" s="1">
        <f>(Main_S[[#This Row],[A/E]]-VLOOKUP(Main_S[[#This Row],[Industry]], Mean_AE_S, 2, FALSE))/(VLOOKUP(Main_S[[#This Row],[Industry]], Mean_AE_S, 3, FALSE))</f>
        <v>2.0102265751116821</v>
      </c>
      <c r="T55" s="1">
        <f>(Main_S[[#This Row],[P/E]]-VLOOKUP(Main_S[[#This Row],[Industry]], Mean_PE_S, 2, FALSE))/(VLOOKUP(Main_S[[#This Row],[Industry]], Mean_PE_S, 3, FALSE))</f>
        <v>2.1801898236210836E-2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6" spans="1:26" x14ac:dyDescent="0.25">
      <c r="A56" t="s">
        <v>111</v>
      </c>
      <c r="B56" t="s">
        <v>365</v>
      </c>
      <c r="C56" s="2">
        <v>950</v>
      </c>
      <c r="D56">
        <f>RTD("tos.rtd", , "LAST", Main_S[[#This Row],[Symbol]])</f>
        <v>11.44</v>
      </c>
      <c r="E56">
        <v>0.77</v>
      </c>
      <c r="F56">
        <v>3.05</v>
      </c>
      <c r="G56">
        <v>0.49</v>
      </c>
      <c r="H56" s="1">
        <f>IF(ISNUMBER(Main_S[[#This Row],[Free CF]]),IF(Main_S[[#This Row],[Free CF]]&lt;&gt;0,Main_S[[#This Row],[Current Price]]/Main_S[[#This Row],[Free CF]],""),"")</f>
        <v>14.857142857142856</v>
      </c>
      <c r="I56" s="1">
        <f>IF(ISNUMBER(Main_S[[#This Row],[BVPS]]),IF(Main_S[[#This Row],[BVPS]]&lt;&gt;0,Main_S[[#This Row],[Current Price]]/Main_S[[#This Row],[BVPS]],""),"")</f>
        <v>3.7508196721311475</v>
      </c>
      <c r="J56">
        <v>18.260000000000002</v>
      </c>
      <c r="K56">
        <v>6.46</v>
      </c>
      <c r="L56">
        <v>4.04</v>
      </c>
      <c r="M56" s="1">
        <f>IF(ISNUMBER(Main_S[[#This Row],[EPS]]),IF(Main_S[[#This Row],[EPS]]&lt;&gt;0,Main_S[[#This Row],[Current Price]]/Main_S[[#This Row],[EPS]],""),"")</f>
        <v>23.346938775510203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0.25410057628907023</v>
      </c>
      <c r="P56" s="1">
        <f>(Main_S[[#This Row],[P/B]]-VLOOKUP(Main_S[[#This Row],[Industry]], Mean_PB_S, 2, FALSE))/(VLOOKUP(Main_S[[#This Row],[Industry]], Mean_PB_S, 3, FALSE))</f>
        <v>0.86823351149477446</v>
      </c>
      <c r="Q56" s="1">
        <f>(Main_S[[#This Row],[ROE]]-VLOOKUP(Main_S[[#This Row],[Industry]], Mean_ROE_S, 2, FALSE))/(VLOOKUP(Main_S[[#This Row],[Industry]], Mean_ROE_S, 3, FALSE))</f>
        <v>0.84024412530192016</v>
      </c>
      <c r="R56" s="1">
        <f>(Main_S[[#This Row],[ROA]]-VLOOKUP(Main_S[[#This Row],[Industry]], Mean_ROA_S, 2, FALSE))/(VLOOKUP(Main_S[[#This Row],[Industry]], Mean_ROA_S, 3, FALSE))</f>
        <v>0.98751264511998293</v>
      </c>
      <c r="S56" s="1">
        <f>(Main_S[[#This Row],[A/E]]-VLOOKUP(Main_S[[#This Row],[Industry]], Mean_AE_S, 2, FALSE))/(VLOOKUP(Main_S[[#This Row],[Industry]], Mean_AE_S, 3, FALSE))</f>
        <v>0.78554870075395755</v>
      </c>
      <c r="T56" s="1">
        <f>(Main_S[[#This Row],[P/E]]-VLOOKUP(Main_S[[#This Row],[Industry]], Mean_PE_S, 2, FALSE))/(VLOOKUP(Main_S[[#This Row],[Industry]], Mean_PE_S, 3, FALSE))</f>
        <v>0.58682422737023043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7" spans="1:26" x14ac:dyDescent="0.25">
      <c r="A57" t="s">
        <v>111</v>
      </c>
      <c r="B57" t="s">
        <v>375</v>
      </c>
      <c r="C57" s="2">
        <v>1656</v>
      </c>
      <c r="D57">
        <f>RTD("tos.rtd", , "LAST", Main_S[[#This Row],[Symbol]])</f>
        <v>13.48</v>
      </c>
      <c r="E57">
        <v>0.19</v>
      </c>
      <c r="F57">
        <v>4.3099999999999996</v>
      </c>
      <c r="G57">
        <v>0.49</v>
      </c>
      <c r="H57" s="1">
        <f>IF(ISNUMBER(Main_S[[#This Row],[Free CF]]),IF(Main_S[[#This Row],[Free CF]]&lt;&gt;0,Main_S[[#This Row],[Current Price]]/Main_S[[#This Row],[Free CF]],""),"")</f>
        <v>70.94736842105263</v>
      </c>
      <c r="I57" s="1">
        <f>IF(ISNUMBER(Main_S[[#This Row],[BVPS]]),IF(Main_S[[#This Row],[BVPS]]&lt;&gt;0,Main_S[[#This Row],[Current Price]]/Main_S[[#This Row],[BVPS]],""),"")</f>
        <v>3.1276102088167059</v>
      </c>
      <c r="J57">
        <v>11.21</v>
      </c>
      <c r="K57">
        <v>4.26</v>
      </c>
      <c r="L57">
        <v>3.52</v>
      </c>
      <c r="M57" s="1">
        <f>IF(ISNUMBER(Main_S[[#This Row],[EPS]]),IF(Main_S[[#This Row],[EPS]]&lt;&gt;0,Main_S[[#This Row],[Current Price]]/Main_S[[#This Row],[EPS]],""),"")</f>
        <v>27.510204081632654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2.5594799650643707</v>
      </c>
      <c r="P57" s="1">
        <f>(Main_S[[#This Row],[P/B]]-VLOOKUP(Main_S[[#This Row],[Industry]], Mean_PB_S, 2, FALSE))/(VLOOKUP(Main_S[[#This Row],[Industry]], Mean_PB_S, 3, FALSE))</f>
        <v>0.60745003009258902</v>
      </c>
      <c r="Q57" s="1">
        <f>(Main_S[[#This Row],[ROE]]-VLOOKUP(Main_S[[#This Row],[Industry]], Mean_ROE_S, 2, FALSE))/(VLOOKUP(Main_S[[#This Row],[Industry]], Mean_ROE_S, 3, FALSE))</f>
        <v>0.43762521923445646</v>
      </c>
      <c r="R57" s="1">
        <f>(Main_S[[#This Row],[ROA]]-VLOOKUP(Main_S[[#This Row],[Industry]], Mean_ROA_S, 2, FALSE))/(VLOOKUP(Main_S[[#This Row],[Industry]], Mean_ROA_S, 3, FALSE))</f>
        <v>0.21858659468219249</v>
      </c>
      <c r="S57" s="1">
        <f>(Main_S[[#This Row],[A/E]]-VLOOKUP(Main_S[[#This Row],[Industry]], Mean_AE_S, 2, FALSE))/(VLOOKUP(Main_S[[#This Row],[Industry]], Mean_AE_S, 3, FALSE))</f>
        <v>0.54880799641714839</v>
      </c>
      <c r="T57" s="1">
        <f>(Main_S[[#This Row],[P/E]]-VLOOKUP(Main_S[[#This Row],[Industry]], Mean_PE_S, 2, FALSE))/(VLOOKUP(Main_S[[#This Row],[Industry]], Mean_PE_S, 3, FALSE))</f>
        <v>0.78750245177648082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8" spans="1:26" x14ac:dyDescent="0.25">
      <c r="A58" t="s">
        <v>111</v>
      </c>
      <c r="B58" t="s">
        <v>378</v>
      </c>
      <c r="C58" s="2">
        <v>726</v>
      </c>
      <c r="D58">
        <f>RTD("tos.rtd", , "LAST", Main_S[[#This Row],[Symbol]])</f>
        <v>6.94</v>
      </c>
      <c r="E58">
        <v>0.67</v>
      </c>
      <c r="F58">
        <v>4.18</v>
      </c>
      <c r="G58">
        <v>0.43</v>
      </c>
      <c r="H58" s="1">
        <f>IF(ISNUMBER(Main_S[[#This Row],[Free CF]]),IF(Main_S[[#This Row],[Free CF]]&lt;&gt;0,Main_S[[#This Row],[Current Price]]/Main_S[[#This Row],[Free CF]],""),"")</f>
        <v>10.35820895522388</v>
      </c>
      <c r="I58" s="1">
        <f>IF(ISNUMBER(Main_S[[#This Row],[BVPS]]),IF(Main_S[[#This Row],[BVPS]]&lt;&gt;0,Main_S[[#This Row],[Current Price]]/Main_S[[#This Row],[BVPS]],""),"")</f>
        <v>1.660287081339713</v>
      </c>
      <c r="J58">
        <v>11.27</v>
      </c>
      <c r="K58">
        <v>8.19</v>
      </c>
      <c r="L58">
        <v>1.35</v>
      </c>
      <c r="M58" s="1">
        <f>IF(ISNUMBER(Main_S[[#This Row],[EPS]]),IF(Main_S[[#This Row],[EPS]]&lt;&gt;0,Main_S[[#This Row],[Current Price]]/Main_S[[#This Row],[EPS]],""),"")</f>
        <v>16.13953488372093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6.9188688617504907E-2</v>
      </c>
      <c r="P58" s="1">
        <f>(Main_S[[#This Row],[P/B]]-VLOOKUP(Main_S[[#This Row],[Industry]], Mean_PB_S, 2, FALSE))/(VLOOKUP(Main_S[[#This Row],[Industry]], Mean_PB_S, 3, FALSE))</f>
        <v>-6.5548206847235949E-3</v>
      </c>
      <c r="Q58" s="1">
        <f>(Main_S[[#This Row],[ROE]]-VLOOKUP(Main_S[[#This Row],[Industry]], Mean_ROE_S, 2, FALSE))/(VLOOKUP(Main_S[[#This Row],[Industry]], Mean_ROE_S, 3, FALSE))</f>
        <v>0.44105176311588162</v>
      </c>
      <c r="R58" s="1">
        <f>(Main_S[[#This Row],[ROA]]-VLOOKUP(Main_S[[#This Row],[Industry]], Mean_ROA_S, 2, FALSE))/(VLOOKUP(Main_S[[#This Row],[Industry]], Mean_ROA_S, 3, FALSE))</f>
        <v>1.5921681302369726</v>
      </c>
      <c r="S58" s="1">
        <f>(Main_S[[#This Row],[A/E]]-VLOOKUP(Main_S[[#This Row],[Industry]], Mean_AE_S, 2, FALSE))/(VLOOKUP(Main_S[[#This Row],[Industry]], Mean_AE_S, 3, FALSE))</f>
        <v>-0.43912917360376674</v>
      </c>
      <c r="T58" s="1">
        <f>(Main_S[[#This Row],[P/E]]-VLOOKUP(Main_S[[#This Row],[Industry]], Mean_PE_S, 2, FALSE))/(VLOOKUP(Main_S[[#This Row],[Industry]], Mean_PE_S, 3, FALSE))</f>
        <v>0.23941206186255642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9" spans="1:26" x14ac:dyDescent="0.25">
      <c r="A59" t="s">
        <v>111</v>
      </c>
      <c r="B59" t="s">
        <v>396</v>
      </c>
      <c r="C59" s="2">
        <v>769</v>
      </c>
      <c r="D59">
        <f>RTD("tos.rtd", , "LAST", Main_S[[#This Row],[Symbol]])</f>
        <v>11.8</v>
      </c>
      <c r="E59">
        <v>0.13</v>
      </c>
      <c r="F59">
        <v>6.37</v>
      </c>
      <c r="G59">
        <v>0.43</v>
      </c>
      <c r="H59" s="1">
        <f>IF(ISNUMBER(Main_S[[#This Row],[Free CF]]),IF(Main_S[[#This Row],[Free CF]]&lt;&gt;0,Main_S[[#This Row],[Current Price]]/Main_S[[#This Row],[Free CF]],""),"")</f>
        <v>90.769230769230774</v>
      </c>
      <c r="I59" s="1">
        <f>IF(ISNUMBER(Main_S[[#This Row],[BVPS]]),IF(Main_S[[#This Row],[BVPS]]&lt;&gt;0,Main_S[[#This Row],[Current Price]]/Main_S[[#This Row],[BVPS]],""),"")</f>
        <v>1.8524332810047097</v>
      </c>
      <c r="J59">
        <v>7.12</v>
      </c>
      <c r="K59">
        <v>2.4700000000000002</v>
      </c>
      <c r="L59">
        <v>3.68</v>
      </c>
      <c r="M59" s="1">
        <f>IF(ISNUMBER(Main_S[[#This Row],[EPS]]),IF(Main_S[[#This Row],[EPS]]&lt;&gt;0,Main_S[[#This Row],[Current Price]]/Main_S[[#This Row],[EPS]],""),"")</f>
        <v>27.441860465116282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3.3741836401737451</v>
      </c>
      <c r="P59" s="1">
        <f>(Main_S[[#This Row],[P/B]]-VLOOKUP(Main_S[[#This Row],[Industry]], Mean_PB_S, 2, FALSE))/(VLOOKUP(Main_S[[#This Row],[Industry]], Mean_PB_S, 3, FALSE))</f>
        <v>7.3849213330329358E-2</v>
      </c>
      <c r="Q59" s="1">
        <f>(Main_S[[#This Row],[ROE]]-VLOOKUP(Main_S[[#This Row],[Industry]], Mean_ROE_S, 2, FALSE))/(VLOOKUP(Main_S[[#This Row],[Industry]], Mean_ROE_S, 3, FALSE))</f>
        <v>0.20404914465063703</v>
      </c>
      <c r="R59" s="1">
        <f>(Main_S[[#This Row],[ROA]]-VLOOKUP(Main_S[[#This Row],[Industry]], Mean_ROA_S, 2, FALSE))/(VLOOKUP(Main_S[[#This Row],[Industry]], Mean_ROA_S, 3, FALSE))</f>
        <v>-0.40703960090128222</v>
      </c>
      <c r="S59" s="1">
        <f>(Main_S[[#This Row],[A/E]]-VLOOKUP(Main_S[[#This Row],[Industry]], Mean_AE_S, 2, FALSE))/(VLOOKUP(Main_S[[#This Row],[Industry]], Mean_AE_S, 3, FALSE))</f>
        <v>0.62165129005924358</v>
      </c>
      <c r="T59" s="1">
        <f>(Main_S[[#This Row],[P/E]]-VLOOKUP(Main_S[[#This Row],[Industry]], Mean_PE_S, 2, FALSE))/(VLOOKUP(Main_S[[#This Row],[Industry]], Mean_PE_S, 3, FALSE))</f>
        <v>0.78420814439908693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0" spans="1:26" x14ac:dyDescent="0.25">
      <c r="A60" t="s">
        <v>111</v>
      </c>
      <c r="B60" t="s">
        <v>370</v>
      </c>
      <c r="C60" s="2">
        <v>754</v>
      </c>
      <c r="D60">
        <f>RTD("tos.rtd", , "LAST", Main_S[[#This Row],[Symbol]])</f>
        <v>27.45</v>
      </c>
      <c r="E60">
        <v>1.79</v>
      </c>
      <c r="F60">
        <v>17.48</v>
      </c>
      <c r="G60">
        <v>0.39</v>
      </c>
      <c r="H60" s="1">
        <f>IF(ISNUMBER(Main_S[[#This Row],[Free CF]]),IF(Main_S[[#This Row],[Free CF]]&lt;&gt;0,Main_S[[#This Row],[Current Price]]/Main_S[[#This Row],[Free CF]],""),"")</f>
        <v>15.335195530726256</v>
      </c>
      <c r="I60" s="1">
        <f>IF(ISNUMBER(Main_S[[#This Row],[BVPS]]),IF(Main_S[[#This Row],[BVPS]]&lt;&gt;0,Main_S[[#This Row],[Current Price]]/Main_S[[#This Row],[BVPS]],""),"")</f>
        <v>1.570366132723112</v>
      </c>
      <c r="J60">
        <v>2.1800000000000002</v>
      </c>
      <c r="K60">
        <v>2.23</v>
      </c>
      <c r="L60">
        <v>2.29</v>
      </c>
      <c r="M60" s="1">
        <f>IF(ISNUMBER(Main_S[[#This Row],[EPS]]),IF(Main_S[[#This Row],[EPS]]&lt;&gt;0,Main_S[[#This Row],[Current Price]]/Main_S[[#This Row],[EPS]],""),"")</f>
        <v>70.384615384615387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0.27374914730742639</v>
      </c>
      <c r="P60" s="1">
        <f>(Main_S[[#This Row],[P/B]]-VLOOKUP(Main_S[[#This Row],[Industry]], Mean_PB_S, 2, FALSE))/(VLOOKUP(Main_S[[#This Row],[Industry]], Mean_PB_S, 3, FALSE))</f>
        <v>-4.4182455391214806E-2</v>
      </c>
      <c r="Q60" s="1">
        <f>(Main_S[[#This Row],[ROE]]-VLOOKUP(Main_S[[#This Row],[Industry]], Mean_ROE_S, 2, FALSE))/(VLOOKUP(Main_S[[#This Row],[Industry]], Mean_ROE_S, 3, FALSE))</f>
        <v>-7.8069634920039668E-2</v>
      </c>
      <c r="R60" s="1">
        <f>(Main_S[[#This Row],[ROA]]-VLOOKUP(Main_S[[#This Row],[Industry]], Mean_ROA_S, 2, FALSE))/(VLOOKUP(Main_S[[#This Row],[Industry]], Mean_ROA_S, 3, FALSE))</f>
        <v>-0.49092244276722308</v>
      </c>
      <c r="S60" s="1">
        <f>(Main_S[[#This Row],[A/E]]-VLOOKUP(Main_S[[#This Row],[Industry]], Mean_AE_S, 2, FALSE))/(VLOOKUP(Main_S[[#This Row],[Industry]], Mean_AE_S, 3, FALSE))</f>
        <v>-1.1174823456457922E-2</v>
      </c>
      <c r="T60" s="1">
        <f>(Main_S[[#This Row],[P/E]]-VLOOKUP(Main_S[[#This Row],[Industry]], Mean_PE_S, 2, FALSE))/(VLOOKUP(Main_S[[#This Row],[Industry]], Mean_PE_S, 3, FALSE))</f>
        <v>2.854140078759551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t="s">
        <v>111</v>
      </c>
      <c r="B61" t="s">
        <v>492</v>
      </c>
      <c r="C61" s="2">
        <v>715</v>
      </c>
      <c r="D61">
        <f>RTD("tos.rtd", , "LAST", Main_S[[#This Row],[Symbol]])</f>
        <v>30.04</v>
      </c>
      <c r="E61">
        <v>5.38</v>
      </c>
      <c r="F61">
        <v>24.56</v>
      </c>
      <c r="G61">
        <v>0.25</v>
      </c>
      <c r="H61" s="1">
        <f>IF(ISNUMBER(Main_S[[#This Row],[Free CF]]),IF(Main_S[[#This Row],[Free CF]]&lt;&gt;0,Main_S[[#This Row],[Current Price]]/Main_S[[#This Row],[Free CF]],""),"")</f>
        <v>5.5836431226765795</v>
      </c>
      <c r="I61" s="1">
        <f>IF(ISNUMBER(Main_S[[#This Row],[BVPS]]),IF(Main_S[[#This Row],[BVPS]]&lt;&gt;0,Main_S[[#This Row],[Current Price]]/Main_S[[#This Row],[BVPS]],""),"")</f>
        <v>1.223127035830619</v>
      </c>
      <c r="J61">
        <v>1.1100000000000001</v>
      </c>
      <c r="K61">
        <v>4.01</v>
      </c>
      <c r="L61">
        <v>3.21</v>
      </c>
      <c r="M61" s="1">
        <f>IF(ISNUMBER(Main_S[[#This Row],[EPS]]),IF(Main_S[[#This Row],[EPS]]&lt;&gt;0,Main_S[[#This Row],[Current Price]]/Main_S[[#This Row],[EPS]],""),"")</f>
        <v>120.16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-0.12705202088300566</v>
      </c>
      <c r="P61" s="1">
        <f>(Main_S[[#This Row],[P/B]]-VLOOKUP(Main_S[[#This Row],[Industry]], Mean_PB_S, 2, FALSE))/(VLOOKUP(Main_S[[#This Row],[Industry]], Mean_PB_S, 3, FALSE))</f>
        <v>-0.18948548093414655</v>
      </c>
      <c r="Q61" s="1">
        <f>(Main_S[[#This Row],[ROE]]-VLOOKUP(Main_S[[#This Row],[Industry]], Mean_ROE_S, 2, FALSE))/(VLOOKUP(Main_S[[#This Row],[Industry]], Mean_ROE_S, 3, FALSE))</f>
        <v>-0.13917633413878946</v>
      </c>
      <c r="R61" s="1">
        <f>(Main_S[[#This Row],[ROA]]-VLOOKUP(Main_S[[#This Row],[Industry]], Mean_ROA_S, 2, FALSE))/(VLOOKUP(Main_S[[#This Row],[Industry]], Mean_ROA_S, 3, FALSE))</f>
        <v>0.13120863440517089</v>
      </c>
      <c r="S61" s="1">
        <f>(Main_S[[#This Row],[A/E]]-VLOOKUP(Main_S[[#This Row],[Industry]], Mean_AE_S, 2, FALSE))/(VLOOKUP(Main_S[[#This Row],[Industry]], Mean_AE_S, 3, FALSE))</f>
        <v>0.40767411498558903</v>
      </c>
      <c r="T61" s="1">
        <f>(Main_S[[#This Row],[P/E]]-VLOOKUP(Main_S[[#This Row],[Industry]], Mean_PE_S, 2, FALSE))/(VLOOKUP(Main_S[[#This Row],[Industry]], Mean_PE_S, 3, FALSE))</f>
        <v>5.2534192669160458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2" spans="1:26" x14ac:dyDescent="0.25">
      <c r="A62" t="s">
        <v>111</v>
      </c>
      <c r="B62" t="s">
        <v>389</v>
      </c>
      <c r="C62" s="2">
        <v>942</v>
      </c>
      <c r="D62">
        <f>RTD("tos.rtd", , "LAST", Main_S[[#This Row],[Symbol]])</f>
        <v>15.97</v>
      </c>
      <c r="E62">
        <v>-0.42</v>
      </c>
      <c r="F62">
        <v>9.7799999999999994</v>
      </c>
      <c r="G62">
        <v>0.17</v>
      </c>
      <c r="H62" s="1">
        <f>IF(ISNUMBER(Main_S[[#This Row],[Free CF]]),IF(Main_S[[#This Row],[Free CF]]&lt;&gt;0,Main_S[[#This Row],[Current Price]]/Main_S[[#This Row],[Free CF]],""),"")</f>
        <v>-38.023809523809526</v>
      </c>
      <c r="I62" s="1">
        <f>IF(ISNUMBER(Main_S[[#This Row],[BVPS]]),IF(Main_S[[#This Row],[BVPS]]&lt;&gt;0,Main_S[[#This Row],[Current Price]]/Main_S[[#This Row],[BVPS]],""),"")</f>
        <v>1.6329243353783234</v>
      </c>
      <c r="J62">
        <v>1.86</v>
      </c>
      <c r="K62">
        <v>1.5</v>
      </c>
      <c r="L62">
        <v>2.59</v>
      </c>
      <c r="M62" s="1">
        <f>IF(ISNUMBER(Main_S[[#This Row],[EPS]]),IF(Main_S[[#This Row],[EPS]]&lt;&gt;0,Main_S[[#This Row],[Current Price]]/Main_S[[#This Row],[EPS]],""),"")</f>
        <v>93.941176470588232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-1.9193736155547392</v>
      </c>
      <c r="P62" s="1">
        <f>(Main_S[[#This Row],[P/B]]-VLOOKUP(Main_S[[#This Row],[Industry]], Mean_PB_S, 2, FALSE))/(VLOOKUP(Main_S[[#This Row],[Industry]], Mean_PB_S, 3, FALSE))</f>
        <v>-1.8004826778315958E-2</v>
      </c>
      <c r="Q62" s="1">
        <f>(Main_S[[#This Row],[ROE]]-VLOOKUP(Main_S[[#This Row],[Industry]], Mean_ROE_S, 2, FALSE))/(VLOOKUP(Main_S[[#This Row],[Industry]], Mean_ROE_S, 3, FALSE))</f>
        <v>-9.6344535620974198E-2</v>
      </c>
      <c r="R62" s="1">
        <f>(Main_S[[#This Row],[ROA]]-VLOOKUP(Main_S[[#This Row],[Industry]], Mean_ROA_S, 2, FALSE))/(VLOOKUP(Main_S[[#This Row],[Industry]], Mean_ROA_S, 3, FALSE))</f>
        <v>-0.74606608677612618</v>
      </c>
      <c r="S62" s="1">
        <f>(Main_S[[#This Row],[A/E]]-VLOOKUP(Main_S[[#This Row],[Industry]], Mean_AE_S, 2, FALSE))/(VLOOKUP(Main_S[[#This Row],[Industry]], Mean_AE_S, 3, FALSE))</f>
        <v>0.12540635212247037</v>
      </c>
      <c r="T62" s="1">
        <f>(Main_S[[#This Row],[P/E]]-VLOOKUP(Main_S[[#This Row],[Industry]], Mean_PE_S, 2, FALSE))/(VLOOKUP(Main_S[[#This Row],[Industry]], Mean_PE_S, 3, FALSE))</f>
        <v>3.9896163225863632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3" spans="1:26" x14ac:dyDescent="0.25">
      <c r="A63" t="s">
        <v>111</v>
      </c>
      <c r="B63" t="s">
        <v>369</v>
      </c>
      <c r="C63" s="2">
        <v>1226</v>
      </c>
      <c r="D63">
        <f>RTD("tos.rtd", , "LAST", Main_S[[#This Row],[Symbol]])</f>
        <v>14.17</v>
      </c>
      <c r="E63">
        <v>5.38</v>
      </c>
      <c r="F63">
        <v>3.05</v>
      </c>
      <c r="G63">
        <v>0.16</v>
      </c>
      <c r="H63" s="1">
        <f>IF(ISNUMBER(Main_S[[#This Row],[Free CF]]),IF(Main_S[[#This Row],[Free CF]]&lt;&gt;0,Main_S[[#This Row],[Current Price]]/Main_S[[#This Row],[Free CF]],""),"")</f>
        <v>2.6338289962825279</v>
      </c>
      <c r="I63" s="1">
        <f>IF(ISNUMBER(Main_S[[#This Row],[BVPS]]),IF(Main_S[[#This Row],[BVPS]]&lt;&gt;0,Main_S[[#This Row],[Current Price]]/Main_S[[#This Row],[BVPS]],""),"")</f>
        <v>4.6459016393442623</v>
      </c>
      <c r="J63">
        <v>5.81</v>
      </c>
      <c r="K63">
        <v>3.63</v>
      </c>
      <c r="L63">
        <v>8.34</v>
      </c>
      <c r="M63" s="1">
        <f>IF(ISNUMBER(Main_S[[#This Row],[EPS]]),IF(Main_S[[#This Row],[EPS]]&lt;&gt;0,Main_S[[#This Row],[Current Price]]/Main_S[[#This Row],[EPS]],""),"")</f>
        <v>88.5625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-0.2482931216155847</v>
      </c>
      <c r="P63" s="1">
        <f>(Main_S[[#This Row],[P/B]]-VLOOKUP(Main_S[[#This Row],[Industry]], Mean_PB_S, 2, FALSE))/(VLOOKUP(Main_S[[#This Row],[Industry]], Mean_PB_S, 3, FALSE))</f>
        <v>1.2427826884420106</v>
      </c>
      <c r="Q63" s="1">
        <f>(Main_S[[#This Row],[ROE]]-VLOOKUP(Main_S[[#This Row],[Industry]], Mean_ROE_S, 2, FALSE))/(VLOOKUP(Main_S[[#This Row],[Industry]], Mean_ROE_S, 3, FALSE))</f>
        <v>0.12923626990618631</v>
      </c>
      <c r="R63" s="1">
        <f>(Main_S[[#This Row],[ROA]]-VLOOKUP(Main_S[[#This Row],[Industry]], Mean_ROA_S, 2, FALSE))/(VLOOKUP(Main_S[[#This Row],[Industry]], Mean_ROA_S, 3, FALSE))</f>
        <v>-1.605865215901964E-3</v>
      </c>
      <c r="S63" s="1">
        <f>(Main_S[[#This Row],[A/E]]-VLOOKUP(Main_S[[#This Row],[Industry]], Mean_AE_S, 2, FALSE))/(VLOOKUP(Main_S[[#This Row],[Industry]], Mean_AE_S, 3, FALSE))</f>
        <v>2.7432122173852642</v>
      </c>
      <c r="T63" s="1">
        <f>(Main_S[[#This Row],[P/E]]-VLOOKUP(Main_S[[#This Row],[Industry]], Mean_PE_S, 2, FALSE))/(VLOOKUP(Main_S[[#This Row],[Industry]], Mean_PE_S, 3, FALSE))</f>
        <v>3.7303527003074763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4" spans="1:26" x14ac:dyDescent="0.25">
      <c r="A64" t="s">
        <v>111</v>
      </c>
      <c r="B64" t="s">
        <v>373</v>
      </c>
      <c r="C64" s="2">
        <v>1213</v>
      </c>
      <c r="D64">
        <f>RTD("tos.rtd", , "LAST", Main_S[[#This Row],[Symbol]])</f>
        <v>13.55</v>
      </c>
      <c r="E64">
        <v>0.84</v>
      </c>
      <c r="F64">
        <v>0.86</v>
      </c>
      <c r="G64">
        <v>0.1</v>
      </c>
      <c r="H64" s="1">
        <f>IF(ISNUMBER(Main_S[[#This Row],[Free CF]]),IF(Main_S[[#This Row],[Free CF]]&lt;&gt;0,Main_S[[#This Row],[Current Price]]/Main_S[[#This Row],[Free CF]],""),"")</f>
        <v>16.130952380952383</v>
      </c>
      <c r="I64" s="1">
        <f>IF(ISNUMBER(Main_S[[#This Row],[BVPS]]),IF(Main_S[[#This Row],[BVPS]]&lt;&gt;0,Main_S[[#This Row],[Current Price]]/Main_S[[#This Row],[BVPS]],""),"")</f>
        <v>15.755813953488373</v>
      </c>
      <c r="J64">
        <v>11.23</v>
      </c>
      <c r="K64">
        <v>6.41</v>
      </c>
      <c r="L64">
        <v>4.76</v>
      </c>
      <c r="M64" s="1">
        <f>IF(ISNUMBER(Main_S[[#This Row],[EPS]]),IF(Main_S[[#This Row],[EPS]]&lt;&gt;0,Main_S[[#This Row],[Current Price]]/Main_S[[#This Row],[EPS]],""),"")</f>
        <v>135.5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0.30645576281029674</v>
      </c>
      <c r="P64" s="1">
        <f>(Main_S[[#This Row],[P/B]]-VLOOKUP(Main_S[[#This Row],[Industry]], Mean_PB_S, 2, FALSE))/(VLOOKUP(Main_S[[#This Row],[Industry]], Mean_PB_S, 3, FALSE))</f>
        <v>5.8917519065067907</v>
      </c>
      <c r="Q64" s="1">
        <f>(Main_S[[#This Row],[ROE]]-VLOOKUP(Main_S[[#This Row],[Industry]], Mean_ROE_S, 2, FALSE))/(VLOOKUP(Main_S[[#This Row],[Industry]], Mean_ROE_S, 3, FALSE))</f>
        <v>0.43876740052826485</v>
      </c>
      <c r="R64" s="1">
        <f>(Main_S[[#This Row],[ROA]]-VLOOKUP(Main_S[[#This Row],[Industry]], Mean_ROA_S, 2, FALSE))/(VLOOKUP(Main_S[[#This Row],[Industry]], Mean_ROA_S, 3, FALSE))</f>
        <v>0.97003705306457866</v>
      </c>
      <c r="S64" s="1">
        <f>(Main_S[[#This Row],[A/E]]-VLOOKUP(Main_S[[#This Row],[Industry]], Mean_AE_S, 2, FALSE))/(VLOOKUP(Main_S[[#This Row],[Industry]], Mean_AE_S, 3, FALSE))</f>
        <v>1.1133435221433854</v>
      </c>
      <c r="T64" s="1">
        <f>(Main_S[[#This Row],[P/E]]-VLOOKUP(Main_S[[#This Row],[Industry]], Mean_PE_S, 2, FALSE))/(VLOOKUP(Main_S[[#This Row],[Industry]], Mean_PE_S, 3, FALSE))</f>
        <v>5.9928398265101741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5" spans="1:26" x14ac:dyDescent="0.25">
      <c r="A65" t="s">
        <v>111</v>
      </c>
      <c r="B65" t="s">
        <v>390</v>
      </c>
      <c r="C65" s="2">
        <v>1203</v>
      </c>
      <c r="D65">
        <f>RTD("tos.rtd", , "LAST", Main_S[[#This Row],[Symbol]])</f>
        <v>20.41</v>
      </c>
      <c r="E65">
        <v>0.13</v>
      </c>
      <c r="F65">
        <v>0.61</v>
      </c>
      <c r="G65">
        <v>0.06</v>
      </c>
      <c r="H65" s="1">
        <f>IF(ISNUMBER(Main_S[[#This Row],[Free CF]]),IF(Main_S[[#This Row],[Free CF]]&lt;&gt;0,Main_S[[#This Row],[Current Price]]/Main_S[[#This Row],[Free CF]],""),"")</f>
        <v>157</v>
      </c>
      <c r="I65" s="1">
        <f>IF(ISNUMBER(Main_S[[#This Row],[BVPS]]),IF(Main_S[[#This Row],[BVPS]]&lt;&gt;0,Main_S[[#This Row],[Current Price]]/Main_S[[#This Row],[BVPS]],""),"")</f>
        <v>33.459016393442624</v>
      </c>
      <c r="J65">
        <v>11.79</v>
      </c>
      <c r="K65">
        <v>5.05</v>
      </c>
      <c r="L65">
        <v>1.87</v>
      </c>
      <c r="M65" s="1">
        <f>IF(ISNUMBER(Main_S[[#This Row],[EPS]]),IF(Main_S[[#This Row],[EPS]]&lt;&gt;0,Main_S[[#This Row],[Current Price]]/Main_S[[#This Row],[EPS]],""),"")</f>
        <v>340.16666666666669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6.0963522310876037</v>
      </c>
      <c r="P65" s="1">
        <f>(Main_S[[#This Row],[P/B]]-VLOOKUP(Main_S[[#This Row],[Industry]], Mean_PB_S, 2, FALSE))/(VLOOKUP(Main_S[[#This Row],[Industry]], Mean_PB_S, 3, FALSE))</f>
        <v>13.299699051124467</v>
      </c>
      <c r="Q65" s="1">
        <f>(Main_S[[#This Row],[ROE]]-VLOOKUP(Main_S[[#This Row],[Industry]], Mean_ROE_S, 2, FALSE))/(VLOOKUP(Main_S[[#This Row],[Industry]], Mean_ROE_S, 3, FALSE))</f>
        <v>0.47074847675490017</v>
      </c>
      <c r="R65" s="1">
        <f>(Main_S[[#This Row],[ROA]]-VLOOKUP(Main_S[[#This Row],[Industry]], Mean_ROA_S, 2, FALSE))/(VLOOKUP(Main_S[[#This Row],[Industry]], Mean_ROA_S, 3, FALSE))</f>
        <v>0.49470094915758089</v>
      </c>
      <c r="S65" s="1">
        <f>(Main_S[[#This Row],[A/E]]-VLOOKUP(Main_S[[#This Row],[Industry]], Mean_AE_S, 2, FALSE))/(VLOOKUP(Main_S[[#This Row],[Industry]], Mean_AE_S, 3, FALSE))</f>
        <v>-0.20238846926695758</v>
      </c>
      <c r="T65" s="1">
        <f>(Main_S[[#This Row],[P/E]]-VLOOKUP(Main_S[[#This Row],[Industry]], Mean_PE_S, 2, FALSE))/(VLOOKUP(Main_S[[#This Row],[Industry]], Mean_PE_S, 3, FALSE))</f>
        <v>15.858207570769073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6" spans="1:26" x14ac:dyDescent="0.25">
      <c r="A66" t="s">
        <v>111</v>
      </c>
      <c r="B66" t="s">
        <v>495</v>
      </c>
      <c r="C66" s="2">
        <v>1739</v>
      </c>
      <c r="D66">
        <f>RTD("tos.rtd", , "LAST", Main_S[[#This Row],[Symbol]])</f>
        <v>6</v>
      </c>
      <c r="E66">
        <v>0.01</v>
      </c>
      <c r="F66">
        <v>0.41</v>
      </c>
      <c r="G66">
        <v>0.04</v>
      </c>
      <c r="H66" s="1">
        <f>IF(ISNUMBER(Main_S[[#This Row],[Free CF]]),IF(Main_S[[#This Row],[Free CF]]&lt;&gt;0,Main_S[[#This Row],[Current Price]]/Main_S[[#This Row],[Free CF]],""),"")</f>
        <v>600</v>
      </c>
      <c r="I66" s="1">
        <f>IF(ISNUMBER(Main_S[[#This Row],[BVPS]]),IF(Main_S[[#This Row],[BVPS]]&lt;&gt;0,Main_S[[#This Row],[Current Price]]/Main_S[[#This Row],[BVPS]],""),"")</f>
        <v>14.634146341463415</v>
      </c>
      <c r="J66">
        <v>-0.02</v>
      </c>
      <c r="K66">
        <v>0.1</v>
      </c>
      <c r="L66">
        <v>2.15</v>
      </c>
      <c r="M66" s="1">
        <f>IF(ISNUMBER(Main_S[[#This Row],[EPS]]),IF(Main_S[[#This Row],[EPS]]&lt;&gt;0,Main_S[[#This Row],[Current Price]]/Main_S[[#This Row],[EPS]],""),"")</f>
        <v>150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24.304213921067756</v>
      </c>
      <c r="P66" s="1">
        <f>(Main_S[[#This Row],[P/B]]-VLOOKUP(Main_S[[#This Row],[Industry]], Mean_PB_S, 2, FALSE))/(VLOOKUP(Main_S[[#This Row],[Industry]], Mean_PB_S, 3, FALSE))</f>
        <v>5.4223874278541997</v>
      </c>
      <c r="Q66" s="1">
        <f>(Main_S[[#This Row],[ROE]]-VLOOKUP(Main_S[[#This Row],[Industry]], Mean_ROE_S, 2, FALSE))/(VLOOKUP(Main_S[[#This Row],[Industry]], Mean_ROE_S, 3, FALSE))</f>
        <v>-0.20370957723896452</v>
      </c>
      <c r="R66" s="1">
        <f>(Main_S[[#This Row],[ROA]]-VLOOKUP(Main_S[[#This Row],[Industry]], Mean_ROA_S, 2, FALSE))/(VLOOKUP(Main_S[[#This Row],[Industry]], Mean_ROA_S, 3, FALSE))</f>
        <v>-1.2353826643274473</v>
      </c>
      <c r="S66" s="1">
        <f>(Main_S[[#This Row],[A/E]]-VLOOKUP(Main_S[[#This Row],[Industry]], Mean_AE_S, 2, FALSE))/(VLOOKUP(Main_S[[#This Row],[Industry]], Mean_AE_S, 3, FALSE))</f>
        <v>-7.4912705393291215E-2</v>
      </c>
      <c r="T66" s="1">
        <f>(Main_S[[#This Row],[P/E]]-VLOOKUP(Main_S[[#This Row],[Industry]], Mean_PE_S, 2, FALSE))/(VLOOKUP(Main_S[[#This Row],[Industry]], Mean_PE_S, 3, FALSE))</f>
        <v>6.6917706031799815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7" spans="1:26" x14ac:dyDescent="0.25">
      <c r="A67" t="s">
        <v>111</v>
      </c>
      <c r="B67" t="s">
        <v>368</v>
      </c>
      <c r="C67" s="2">
        <v>330</v>
      </c>
      <c r="D67">
        <f>RTD("tos.rtd", , "LAST", Main_S[[#This Row],[Symbol]])</f>
        <v>7.47</v>
      </c>
      <c r="E67">
        <v>-0.16</v>
      </c>
      <c r="F67">
        <v>0.44</v>
      </c>
      <c r="G67">
        <v>-0.06</v>
      </c>
      <c r="H67" s="1">
        <f>IF(ISNUMBER(Main_S[[#This Row],[Free CF]]),IF(Main_S[[#This Row],[Free CF]]&lt;&gt;0,Main_S[[#This Row],[Current Price]]/Main_S[[#This Row],[Free CF]],""),"")</f>
        <v>-46.6875</v>
      </c>
      <c r="I67" s="1">
        <f>IF(ISNUMBER(Main_S[[#This Row],[BVPS]]),IF(Main_S[[#This Row],[BVPS]]&lt;&gt;0,Main_S[[#This Row],[Current Price]]/Main_S[[#This Row],[BVPS]],""),"")</f>
        <v>16.977272727272727</v>
      </c>
      <c r="J67">
        <v>-11.54</v>
      </c>
      <c r="K67">
        <v>-1.66</v>
      </c>
      <c r="L67">
        <v>3.82</v>
      </c>
      <c r="M67" s="1">
        <f>IF(ISNUMBER(Main_S[[#This Row],[EPS]]),IF(Main_S[[#This Row],[EPS]]&lt;&gt;0,Main_S[[#This Row],[Current Price]]/Main_S[[#This Row],[EPS]],""),"")</f>
        <v>-124.5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-2.27546227902037</v>
      </c>
      <c r="P67" s="1">
        <f>(Main_S[[#This Row],[P/B]]-VLOOKUP(Main_S[[#This Row],[Industry]], Mean_PB_S, 2, FALSE))/(VLOOKUP(Main_S[[#This Row],[Industry]], Mean_PB_S, 3, FALSE))</f>
        <v>6.4028742340187037</v>
      </c>
      <c r="Q67" s="1">
        <f>(Main_S[[#This Row],[ROE]]-VLOOKUP(Main_S[[#This Row],[Industry]], Mean_ROE_S, 2, FALSE))/(VLOOKUP(Main_S[[#This Row],[Industry]], Mean_ROE_S, 3, FALSE))</f>
        <v>-0.86160600247260732</v>
      </c>
      <c r="R67" s="1">
        <f>(Main_S[[#This Row],[ROA]]-VLOOKUP(Main_S[[#This Row],[Industry]], Mean_ROA_S, 2, FALSE))/(VLOOKUP(Main_S[[#This Row],[Industry]], Mean_ROA_S, 3, FALSE))</f>
        <v>-1.8505235046776796</v>
      </c>
      <c r="S67" s="1">
        <f>(Main_S[[#This Row],[A/E]]-VLOOKUP(Main_S[[#This Row],[Industry]], Mean_AE_S, 2, FALSE))/(VLOOKUP(Main_S[[#This Row],[Industry]], Mean_AE_S, 3, FALSE))</f>
        <v>0.68538917199607663</v>
      </c>
      <c r="T67" s="1">
        <f>(Main_S[[#This Row],[P/E]]-VLOOKUP(Main_S[[#This Row],[Industry]], Mean_PE_S, 2, FALSE))/(VLOOKUP(Main_S[[#This Row],[Industry]], Mean_PE_S, 3, FALSE))</f>
        <v>-6.5397120310174168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8" spans="1:26" x14ac:dyDescent="0.25">
      <c r="A68" t="s">
        <v>111</v>
      </c>
      <c r="B68" t="s">
        <v>379</v>
      </c>
      <c r="C68" s="2">
        <v>1210</v>
      </c>
      <c r="D68">
        <f>RTD("tos.rtd", , "LAST", Main_S[[#This Row],[Symbol]])</f>
        <v>8.81</v>
      </c>
      <c r="E68">
        <v>-0.05</v>
      </c>
      <c r="F68">
        <v>-1.52</v>
      </c>
      <c r="G68">
        <v>-7.0000000000000007E-2</v>
      </c>
      <c r="H68" s="1">
        <f>IF(ISNUMBER(Main_S[[#This Row],[Free CF]]),IF(Main_S[[#This Row],[Free CF]]&lt;&gt;0,Main_S[[#This Row],[Current Price]]/Main_S[[#This Row],[Free CF]],""),"")</f>
        <v>-176.2</v>
      </c>
      <c r="I68" s="1">
        <f>IF(ISNUMBER(Main_S[[#This Row],[BVPS]]),IF(Main_S[[#This Row],[BVPS]]&lt;&gt;0,Main_S[[#This Row],[Current Price]]/Main_S[[#This Row],[BVPS]],""),"")</f>
        <v>-5.7960526315789478</v>
      </c>
      <c r="J68">
        <v>-17.579999999999998</v>
      </c>
      <c r="K68">
        <v>2.97</v>
      </c>
      <c r="L68">
        <v>-14.95</v>
      </c>
      <c r="M68" s="1">
        <f>IF(ISNUMBER(Main_S[[#This Row],[EPS]]),IF(Main_S[[#This Row],[EPS]]&lt;&gt;0,Main_S[[#This Row],[Current Price]]/Main_S[[#This Row],[EPS]],""),"")</f>
        <v>-125.85714285714285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-7.5985902409245547</v>
      </c>
      <c r="P68" s="1">
        <f>(Main_S[[#This Row],[P/B]]-VLOOKUP(Main_S[[#This Row],[Industry]], Mean_PB_S, 2, FALSE))/(VLOOKUP(Main_S[[#This Row],[Industry]], Mean_PB_S, 3, FALSE))</f>
        <v>-3.1266778985834995</v>
      </c>
      <c r="Q68" s="1">
        <f>(Main_S[[#This Row],[ROE]]-VLOOKUP(Main_S[[#This Row],[Industry]], Mean_ROE_S, 2, FALSE))/(VLOOKUP(Main_S[[#This Row],[Industry]], Mean_ROE_S, 3, FALSE))</f>
        <v>-1.2065447532027462</v>
      </c>
      <c r="R68" s="1">
        <f>(Main_S[[#This Row],[ROA]]-VLOOKUP(Main_S[[#This Row],[Industry]], Mean_ROA_S, 2, FALSE))/(VLOOKUP(Main_S[[#This Row],[Industry]], Mean_ROA_S, 3, FALSE))</f>
        <v>-0.23228368034723895</v>
      </c>
      <c r="S68" s="1">
        <f>(Main_S[[#This Row],[A/E]]-VLOOKUP(Main_S[[#This Row],[Industry]], Mean_AE_S, 2, FALSE))/(VLOOKUP(Main_S[[#This Row],[Industry]], Mean_AE_S, 3, FALSE))</f>
        <v>-7.860039713392208</v>
      </c>
      <c r="T68" s="1">
        <f>(Main_S[[#This Row],[P/E]]-VLOOKUP(Main_S[[#This Row],[Industry]], Mean_PE_S, 2, FALSE))/(VLOOKUP(Main_S[[#This Row],[Industry]], Mean_PE_S, 3, FALSE))</f>
        <v>-6.6051291973067094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9" spans="1:26" x14ac:dyDescent="0.25">
      <c r="A69" t="s">
        <v>111</v>
      </c>
      <c r="B69" t="s">
        <v>388</v>
      </c>
      <c r="C69" s="2">
        <v>494</v>
      </c>
      <c r="D69">
        <f>RTD("tos.rtd", , "LAST", Main_S[[#This Row],[Symbol]])</f>
        <v>2.99</v>
      </c>
      <c r="E69">
        <v>-0.44</v>
      </c>
      <c r="F69">
        <v>6.47</v>
      </c>
      <c r="G69">
        <v>-0.13</v>
      </c>
      <c r="H69" s="1">
        <f>IF(ISNUMBER(Main_S[[#This Row],[Free CF]]),IF(Main_S[[#This Row],[Free CF]]&lt;&gt;0,Main_S[[#This Row],[Current Price]]/Main_S[[#This Row],[Free CF]],""),"")</f>
        <v>-6.7954545454545459</v>
      </c>
      <c r="I69" s="1">
        <f>IF(ISNUMBER(Main_S[[#This Row],[BVPS]]),IF(Main_S[[#This Row],[BVPS]]&lt;&gt;0,Main_S[[#This Row],[Current Price]]/Main_S[[#This Row],[BVPS]],""),"")</f>
        <v>0.46213292117465227</v>
      </c>
      <c r="J69">
        <v>-1.93</v>
      </c>
      <c r="K69">
        <v>-0.86</v>
      </c>
      <c r="L69">
        <v>2.8</v>
      </c>
      <c r="M69" s="1">
        <f>IF(ISNUMBER(Main_S[[#This Row],[EPS]]),IF(Main_S[[#This Row],[EPS]]&lt;&gt;0,Main_S[[#This Row],[Current Price]]/Main_S[[#This Row],[EPS]],""),"")</f>
        <v>-23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-0.6358486307883946</v>
      </c>
      <c r="P69" s="1">
        <f>(Main_S[[#This Row],[P/B]]-VLOOKUP(Main_S[[#This Row],[Industry]], Mean_PB_S, 2, FALSE))/(VLOOKUP(Main_S[[#This Row],[Industry]], Mean_PB_S, 3, FALSE))</f>
        <v>-0.50792527722848824</v>
      </c>
      <c r="Q69" s="1">
        <f>(Main_S[[#This Row],[ROE]]-VLOOKUP(Main_S[[#This Row],[Industry]], Mean_ROE_S, 2, FALSE))/(VLOOKUP(Main_S[[#This Row],[Industry]], Mean_ROE_S, 3, FALSE))</f>
        <v>-0.31278789079766744</v>
      </c>
      <c r="R69" s="1">
        <f>(Main_S[[#This Row],[ROA]]-VLOOKUP(Main_S[[#This Row],[Industry]], Mean_ROA_S, 2, FALSE))/(VLOOKUP(Main_S[[#This Row],[Industry]], Mean_ROA_S, 3, FALSE))</f>
        <v>-1.5709140317912103</v>
      </c>
      <c r="S69" s="1">
        <f>(Main_S[[#This Row],[A/E]]-VLOOKUP(Main_S[[#This Row],[Industry]], Mean_AE_S, 2, FALSE))/(VLOOKUP(Main_S[[#This Row],[Industry]], Mean_AE_S, 3, FALSE))</f>
        <v>0.22101317502772019</v>
      </c>
      <c r="T69" s="1">
        <f>(Main_S[[#This Row],[P/E]]-VLOOKUP(Main_S[[#This Row],[Industry]], Mean_PE_S, 2, FALSE))/(VLOOKUP(Main_S[[#This Row],[Industry]], Mean_PE_S, 3, FALSE))</f>
        <v>-1.6471965943287614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0" spans="1:26" x14ac:dyDescent="0.25">
      <c r="A70" t="s">
        <v>111</v>
      </c>
      <c r="B70" t="s">
        <v>376</v>
      </c>
      <c r="C70" s="2">
        <v>977</v>
      </c>
      <c r="D70">
        <f>RTD("tos.rtd", , "LAST", Main_S[[#This Row],[Symbol]])</f>
        <v>2.97</v>
      </c>
      <c r="E70">
        <v>-0.04</v>
      </c>
      <c r="F70">
        <v>-4.0599999999999996</v>
      </c>
      <c r="G70">
        <v>-0.45</v>
      </c>
      <c r="H70" s="1">
        <f>IF(ISNUMBER(Main_S[[#This Row],[Free CF]]),IF(Main_S[[#This Row],[Free CF]]&lt;&gt;0,Main_S[[#This Row],[Current Price]]/Main_S[[#This Row],[Free CF]],""),"")</f>
        <v>-74.25</v>
      </c>
      <c r="I70" s="1">
        <f>IF(ISNUMBER(Main_S[[#This Row],[BVPS]]),IF(Main_S[[#This Row],[BVPS]]&lt;&gt;0,Main_S[[#This Row],[Current Price]]/Main_S[[#This Row],[BVPS]],""),"")</f>
        <v>-0.73152709359605927</v>
      </c>
      <c r="J70">
        <v>11.61</v>
      </c>
      <c r="K70">
        <v>4.37</v>
      </c>
      <c r="L70">
        <v>-2.97</v>
      </c>
      <c r="M70" s="1">
        <f>IF(ISNUMBER(Main_S[[#This Row],[EPS]]),IF(Main_S[[#This Row],[EPS]]&lt;&gt;0,Main_S[[#This Row],[Current Price]]/Main_S[[#This Row],[EPS]],""),"")</f>
        <v>-6.6000000000000005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-3.4083159761537285</v>
      </c>
      <c r="P70" s="1">
        <f>(Main_S[[#This Row],[P/B]]-VLOOKUP(Main_S[[#This Row],[Industry]], Mean_PB_S, 2, FALSE))/(VLOOKUP(Main_S[[#This Row],[Industry]], Mean_PB_S, 3, FALSE))</f>
        <v>-1.0074151479486151</v>
      </c>
      <c r="Q70" s="1">
        <f>(Main_S[[#This Row],[ROE]]-VLOOKUP(Main_S[[#This Row],[Industry]], Mean_ROE_S, 2, FALSE))/(VLOOKUP(Main_S[[#This Row],[Industry]], Mean_ROE_S, 3, FALSE))</f>
        <v>0.46046884511062453</v>
      </c>
      <c r="R70" s="1">
        <f>(Main_S[[#This Row],[ROA]]-VLOOKUP(Main_S[[#This Row],[Industry]], Mean_ROA_S, 2, FALSE))/(VLOOKUP(Main_S[[#This Row],[Industry]], Mean_ROA_S, 3, FALSE))</f>
        <v>0.25703289720408212</v>
      </c>
      <c r="S70" s="1">
        <f>(Main_S[[#This Row],[A/E]]-VLOOKUP(Main_S[[#This Row],[Industry]], Mean_AE_S, 2, FALSE))/(VLOOKUP(Main_S[[#This Row],[Industry]], Mean_AE_S, 3, FALSE))</f>
        <v>-2.4058981019403354</v>
      </c>
      <c r="T70" s="1">
        <f>(Main_S[[#This Row],[P/E]]-VLOOKUP(Main_S[[#This Row],[Industry]], Mean_PE_S, 2, FALSE))/(VLOOKUP(Main_S[[#This Row],[Industry]], Mean_PE_S, 3, FALSE))</f>
        <v>-0.85668178485394442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1" spans="1:26" x14ac:dyDescent="0.25">
      <c r="A71" t="s">
        <v>111</v>
      </c>
      <c r="B71" t="s">
        <v>372</v>
      </c>
      <c r="C71" s="2">
        <v>550</v>
      </c>
      <c r="D71">
        <f>RTD("tos.rtd", , "LAST", Main_S[[#This Row],[Symbol]])</f>
        <v>2.78</v>
      </c>
      <c r="E71">
        <v>0.54</v>
      </c>
      <c r="F71">
        <v>2.95</v>
      </c>
      <c r="G71">
        <v>-0.51</v>
      </c>
      <c r="H71" s="1">
        <f>IF(ISNUMBER(Main_S[[#This Row],[Free CF]]),IF(Main_S[[#This Row],[Free CF]]&lt;&gt;0,Main_S[[#This Row],[Current Price]]/Main_S[[#This Row],[Free CF]],""),"")</f>
        <v>5.148148148148147</v>
      </c>
      <c r="I71" s="1">
        <f>IF(ISNUMBER(Main_S[[#This Row],[BVPS]]),IF(Main_S[[#This Row],[BVPS]]&lt;&gt;0,Main_S[[#This Row],[Current Price]]/Main_S[[#This Row],[BVPS]],""),"")</f>
        <v>0.94237288135593211</v>
      </c>
      <c r="J71">
        <v>-16.03</v>
      </c>
      <c r="K71">
        <v>0.78</v>
      </c>
      <c r="L71">
        <v>5.14</v>
      </c>
      <c r="M71" s="1">
        <f>IF(ISNUMBER(Main_S[[#This Row],[EPS]]),IF(Main_S[[#This Row],[EPS]]&lt;&gt;0,Main_S[[#This Row],[Current Price]]/Main_S[[#This Row],[EPS]],""),"")</f>
        <v>-5.450980392156862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-0.14495141651030843</v>
      </c>
      <c r="P71" s="1">
        <f>(Main_S[[#This Row],[P/B]]-VLOOKUP(Main_S[[#This Row],[Industry]], Mean_PB_S, 2, FALSE))/(VLOOKUP(Main_S[[#This Row],[Industry]], Mean_PB_S, 3, FALSE))</f>
        <v>-0.30696772427597219</v>
      </c>
      <c r="Q71" s="1">
        <f>(Main_S[[#This Row],[ROE]]-VLOOKUP(Main_S[[#This Row],[Industry]], Mean_ROE_S, 2, FALSE))/(VLOOKUP(Main_S[[#This Row],[Industry]], Mean_ROE_S, 3, FALSE))</f>
        <v>-1.1180257029325948</v>
      </c>
      <c r="R71" s="1">
        <f>(Main_S[[#This Row],[ROA]]-VLOOKUP(Main_S[[#This Row],[Industry]], Mean_ROA_S, 2, FALSE))/(VLOOKUP(Main_S[[#This Row],[Industry]], Mean_ROA_S, 3, FALSE))</f>
        <v>-0.99771461237394854</v>
      </c>
      <c r="S71" s="1">
        <f>(Main_S[[#This Row],[A/E]]-VLOOKUP(Main_S[[#This Row],[Industry]], Mean_AE_S, 2, FALSE))/(VLOOKUP(Main_S[[#This Row],[Industry]], Mean_AE_S, 3, FALSE))</f>
        <v>1.2863463445433614</v>
      </c>
      <c r="T71" s="1">
        <f>(Main_S[[#This Row],[P/E]]-VLOOKUP(Main_S[[#This Row],[Industry]], Mean_PE_S, 2, FALSE))/(VLOOKUP(Main_S[[#This Row],[Industry]], Mean_PE_S, 3, FALSE))</f>
        <v>-0.80129660092852062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2" spans="1:26" x14ac:dyDescent="0.25">
      <c r="A72" t="s">
        <v>111</v>
      </c>
      <c r="B72" t="s">
        <v>374</v>
      </c>
      <c r="C72" s="2">
        <v>574</v>
      </c>
      <c r="D72">
        <f>RTD("tos.rtd", , "LAST", Main_S[[#This Row],[Symbol]])</f>
        <v>11.42</v>
      </c>
      <c r="E72">
        <v>1.04</v>
      </c>
      <c r="F72">
        <v>-4.62</v>
      </c>
      <c r="G72">
        <v>-0.56999999999999995</v>
      </c>
      <c r="H72" s="1">
        <f>IF(ISNUMBER(Main_S[[#This Row],[Free CF]]),IF(Main_S[[#This Row],[Free CF]]&lt;&gt;0,Main_S[[#This Row],[Current Price]]/Main_S[[#This Row],[Free CF]],""),"")</f>
        <v>10.98076923076923</v>
      </c>
      <c r="I72" s="1">
        <f>IF(ISNUMBER(Main_S[[#This Row],[BVPS]]),IF(Main_S[[#This Row],[BVPS]]&lt;&gt;0,Main_S[[#This Row],[Current Price]]/Main_S[[#This Row],[BVPS]],""),"")</f>
        <v>-2.4718614718614718</v>
      </c>
      <c r="J72">
        <v>17.84</v>
      </c>
      <c r="K72">
        <v>2.13</v>
      </c>
      <c r="L72">
        <v>-3.6</v>
      </c>
      <c r="M72" s="1">
        <f>IF(ISNUMBER(Main_S[[#This Row],[EPS]]),IF(Main_S[[#This Row],[EPS]]&lt;&gt;0,Main_S[[#This Row],[Current Price]]/Main_S[[#This Row],[EPS]],""),"")</f>
        <v>-20.035087719298247</v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>
        <f>(Main_S[[#This Row],[P/FCF]]-VLOOKUP(Main_S[[#This Row],[Industry]], Mean_PFCF_S, 2, FALSE))/(VLOOKUP(Main_S[[#This Row],[Industry]], Mean_PFCF_S, 3, FALSE))</f>
        <v>9.4776705301039141E-2</v>
      </c>
      <c r="P72" s="1">
        <f>(Main_S[[#This Row],[P/B]]-VLOOKUP(Main_S[[#This Row],[Industry]], Mean_PB_S, 2, FALSE))/(VLOOKUP(Main_S[[#This Row],[Industry]], Mean_PB_S, 3, FALSE))</f>
        <v>-1.7356622056139943</v>
      </c>
      <c r="Q72" s="1">
        <f>(Main_S[[#This Row],[ROE]]-VLOOKUP(Main_S[[#This Row],[Industry]], Mean_ROE_S, 2, FALSE))/(VLOOKUP(Main_S[[#This Row],[Industry]], Mean_ROE_S, 3, FALSE))</f>
        <v>0.81625831813194349</v>
      </c>
      <c r="R72" s="1">
        <f>(Main_S[[#This Row],[ROA]]-VLOOKUP(Main_S[[#This Row],[Industry]], Mean_ROA_S, 2, FALSE))/(VLOOKUP(Main_S[[#This Row],[Industry]], Mean_ROA_S, 3, FALSE))</f>
        <v>-0.52587362687803174</v>
      </c>
      <c r="S72" s="1">
        <f>(Main_S[[#This Row],[A/E]]-VLOOKUP(Main_S[[#This Row],[Industry]], Mean_AE_S, 2, FALSE))/(VLOOKUP(Main_S[[#This Row],[Industry]], Mean_AE_S, 3, FALSE))</f>
        <v>-2.6927185706560848</v>
      </c>
      <c r="T72" s="1">
        <f>(Main_S[[#This Row],[P/E]]-VLOOKUP(Main_S[[#This Row],[Industry]], Mean_PE_S, 2, FALSE))/(VLOOKUP(Main_S[[#This Row],[Industry]], Mean_PE_S, 3, FALSE))</f>
        <v>-1.5042815292867804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3" spans="1:26" x14ac:dyDescent="0.25">
      <c r="A73" t="s">
        <v>111</v>
      </c>
      <c r="B73" t="s">
        <v>377</v>
      </c>
      <c r="C73" s="2">
        <v>1227</v>
      </c>
      <c r="D73">
        <f>RTD("tos.rtd", , "LAST", Main_S[[#This Row],[Symbol]])</f>
        <v>6.42</v>
      </c>
      <c r="E73">
        <v>0.15</v>
      </c>
      <c r="F73">
        <v>-1.75</v>
      </c>
      <c r="G73">
        <v>-0.59</v>
      </c>
      <c r="H73" s="1">
        <f>IF(ISNUMBER(Main_S[[#This Row],[Free CF]]),IF(Main_S[[#This Row],[Free CF]]&lt;&gt;0,Main_S[[#This Row],[Current Price]]/Main_S[[#This Row],[Free CF]],""),"")</f>
        <v>42.800000000000004</v>
      </c>
      <c r="I73" s="1">
        <f>IF(ISNUMBER(Main_S[[#This Row],[BVPS]]),IF(Main_S[[#This Row],[BVPS]]&lt;&gt;0,Main_S[[#This Row],[Current Price]]/Main_S[[#This Row],[BVPS]],""),"")</f>
        <v>-3.6685714285714286</v>
      </c>
      <c r="J73">
        <v>43.7</v>
      </c>
      <c r="K73">
        <v>0.32</v>
      </c>
      <c r="L73">
        <v>-7.29</v>
      </c>
      <c r="M73" s="1">
        <f>IF(ISNUMBER(Main_S[[#This Row],[EPS]]),IF(Main_S[[#This Row],[EPS]]&lt;&gt;0,Main_S[[#This Row],[Current Price]]/Main_S[[#This Row],[EPS]],""),"")</f>
        <v>-10.881355932203391</v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>
        <f>(Main_S[[#This Row],[P/FCF]]-VLOOKUP(Main_S[[#This Row],[Industry]], Mean_PFCF_S, 2, FALSE))/(VLOOKUP(Main_S[[#This Row],[Industry]], Mean_PFCF_S, 3, FALSE))</f>
        <v>1.4025874342575055</v>
      </c>
      <c r="P73" s="1">
        <f>(Main_S[[#This Row],[P/B]]-VLOOKUP(Main_S[[#This Row],[Industry]], Mean_PB_S, 2, FALSE))/(VLOOKUP(Main_S[[#This Row],[Industry]], Mean_PB_S, 3, FALSE))</f>
        <v>-2.2364283317888454</v>
      </c>
      <c r="Q73" s="1">
        <f>(Main_S[[#This Row],[ROE]]-VLOOKUP(Main_S[[#This Row],[Industry]], Mean_ROE_S, 2, FALSE))/(VLOOKUP(Main_S[[#This Row],[Industry]], Mean_ROE_S, 3, FALSE))</f>
        <v>2.2930987310262148</v>
      </c>
      <c r="R73" s="1">
        <f>(Main_S[[#This Row],[ROA]]-VLOOKUP(Main_S[[#This Row],[Industry]], Mean_ROA_S, 2, FALSE))/(VLOOKUP(Main_S[[#This Row],[Industry]], Mean_ROA_S, 3, FALSE))</f>
        <v>-1.1584900592836684</v>
      </c>
      <c r="S73" s="1">
        <f>(Main_S[[#This Row],[A/E]]-VLOOKUP(Main_S[[#This Row],[Industry]], Mean_AE_S, 2, FALSE))/(VLOOKUP(Main_S[[#This Row],[Industry]], Mean_AE_S, 3, FALSE))</f>
        <v>-4.3726670302769035</v>
      </c>
      <c r="T73" s="1">
        <f>(Main_S[[#This Row],[P/E]]-VLOOKUP(Main_S[[#This Row],[Industry]], Mean_PE_S, 2, FALSE))/(VLOOKUP(Main_S[[#This Row],[Industry]], Mean_PE_S, 3, FALSE))</f>
        <v>-1.0630522280880688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4" spans="1:26" x14ac:dyDescent="0.25">
      <c r="A74" t="s">
        <v>111</v>
      </c>
      <c r="B74" t="s">
        <v>278</v>
      </c>
      <c r="C74" s="2">
        <v>1579</v>
      </c>
      <c r="D74">
        <f>RTD("tos.rtd", , "LAST", Main_S[[#This Row],[Symbol]])</f>
        <v>14.01</v>
      </c>
      <c r="E74">
        <v>-0.6</v>
      </c>
      <c r="F74">
        <v>3.68</v>
      </c>
      <c r="G74">
        <v>-0.77</v>
      </c>
      <c r="H74" s="1">
        <f>IF(ISNUMBER(Main_S[[#This Row],[Free CF]]),IF(Main_S[[#This Row],[Free CF]]&lt;&gt;0,Main_S[[#This Row],[Current Price]]/Main_S[[#This Row],[Free CF]],""),"")</f>
        <v>-23.35</v>
      </c>
      <c r="I74" s="1">
        <f>IF(ISNUMBER(Main_S[[#This Row],[BVPS]]),IF(Main_S[[#This Row],[BVPS]]&lt;&gt;0,Main_S[[#This Row],[Current Price]]/Main_S[[#This Row],[BVPS]],""),"")</f>
        <v>3.8070652173913042</v>
      </c>
      <c r="J74">
        <v>-19.79</v>
      </c>
      <c r="K74">
        <v>-6.88</v>
      </c>
      <c r="L74">
        <v>1.93</v>
      </c>
      <c r="M74" s="1">
        <f>IF(ISNUMBER(Main_S[[#This Row],[EPS]]),IF(Main_S[[#This Row],[EPS]]&lt;&gt;0,Main_S[[#This Row],[Current Price]]/Main_S[[#This Row],[EPS]],""),"")</f>
        <v>-18.194805194805195</v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>
        <f>(Main_S[[#This Row],[P/FCF]]-VLOOKUP(Main_S[[#This Row],[Industry]], Mean_PFCF_S, 2, FALSE))/(VLOOKUP(Main_S[[#This Row],[Industry]], Mean_PFCF_S, 3, FALSE))</f>
        <v>-1.3162614388625555</v>
      </c>
      <c r="P74" s="1">
        <f>(Main_S[[#This Row],[P/B]]-VLOOKUP(Main_S[[#This Row],[Industry]], Mean_PB_S, 2, FALSE))/(VLOOKUP(Main_S[[#This Row],[Industry]], Mean_PB_S, 3, FALSE))</f>
        <v>0.89176959361441821</v>
      </c>
      <c r="Q74" s="1">
        <f>(Main_S[[#This Row],[ROE]]-VLOOKUP(Main_S[[#This Row],[Industry]], Mean_ROE_S, 2, FALSE))/(VLOOKUP(Main_S[[#This Row],[Industry]], Mean_ROE_S, 3, FALSE))</f>
        <v>-1.3327557861685755</v>
      </c>
      <c r="R74" s="1">
        <f>(Main_S[[#This Row],[ROA]]-VLOOKUP(Main_S[[#This Row],[Industry]], Mean_ROA_S, 2, FALSE))/(VLOOKUP(Main_S[[#This Row],[Industry]], Mean_ROA_S, 3, FALSE))</f>
        <v>-3.6749753152618911</v>
      </c>
      <c r="S74" s="1">
        <f>(Main_S[[#This Row],[A/E]]-VLOOKUP(Main_S[[#This Row],[Industry]], Mean_AE_S, 2, FALSE))/(VLOOKUP(Main_S[[#This Row],[Industry]], Mean_AE_S, 3, FALSE))</f>
        <v>-0.17507223415117198</v>
      </c>
      <c r="T74" s="1">
        <f>(Main_S[[#This Row],[P/E]]-VLOOKUP(Main_S[[#This Row],[Industry]], Mean_PE_S, 2, FALSE))/(VLOOKUP(Main_S[[#This Row],[Industry]], Mean_PE_S, 3, FALSE))</f>
        <v>-1.4155760055532767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5" spans="1:26" x14ac:dyDescent="0.25">
      <c r="A75" t="s">
        <v>111</v>
      </c>
      <c r="B75" t="s">
        <v>400</v>
      </c>
      <c r="C75" s="2">
        <v>355</v>
      </c>
      <c r="D75">
        <f>RTD("tos.rtd", , "LAST", Main_S[[#This Row],[Symbol]])</f>
        <v>10.43</v>
      </c>
      <c r="E75">
        <v>-2.41</v>
      </c>
      <c r="F75">
        <v>2.0699999999999998</v>
      </c>
      <c r="G75">
        <v>-0.9</v>
      </c>
      <c r="H75" s="1">
        <f>IF(ISNUMBER(Main_S[[#This Row],[Free CF]]),IF(Main_S[[#This Row],[Free CF]]&lt;&gt;0,Main_S[[#This Row],[Current Price]]/Main_S[[#This Row],[Free CF]],""),"")</f>
        <v>-4.3278008298755184</v>
      </c>
      <c r="I75" s="1">
        <f>IF(ISNUMBER(Main_S[[#This Row],[BVPS]]),IF(Main_S[[#This Row],[BVPS]]&lt;&gt;0,Main_S[[#This Row],[Current Price]]/Main_S[[#This Row],[BVPS]],""),"")</f>
        <v>5.0386473429951693</v>
      </c>
      <c r="J75">
        <v>-31.67</v>
      </c>
      <c r="K75">
        <v>-12.48</v>
      </c>
      <c r="L75">
        <v>2.72</v>
      </c>
      <c r="M75" s="1">
        <f>IF(ISNUMBER(Main_S[[#This Row],[EPS]]),IF(Main_S[[#This Row],[EPS]]&lt;&gt;0,Main_S[[#This Row],[Current Price]]/Main_S[[#This Row],[EPS]],""),"")</f>
        <v>-11.588888888888889</v>
      </c>
      <c r="N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5" s="1">
        <f>(Main_S[[#This Row],[P/FCF]]-VLOOKUP(Main_S[[#This Row],[Industry]], Mean_PFCF_S, 2, FALSE))/(VLOOKUP(Main_S[[#This Row],[Industry]], Mean_PFCF_S, 3, FALSE))</f>
        <v>-0.53442493428268689</v>
      </c>
      <c r="P75" s="1">
        <f>(Main_S[[#This Row],[P/B]]-VLOOKUP(Main_S[[#This Row],[Industry]], Mean_PB_S, 2, FALSE))/(VLOOKUP(Main_S[[#This Row],[Industry]], Mean_PB_S, 3, FALSE))</f>
        <v>1.4071280617601905</v>
      </c>
      <c r="Q75" s="1">
        <f>(Main_S[[#This Row],[ROE]]-VLOOKUP(Main_S[[#This Row],[Industry]], Mean_ROE_S, 2, FALSE))/(VLOOKUP(Main_S[[#This Row],[Industry]], Mean_ROE_S, 3, FALSE))</f>
        <v>-2.0112114746907697</v>
      </c>
      <c r="R75" s="1">
        <f>(Main_S[[#This Row],[ROA]]-VLOOKUP(Main_S[[#This Row],[Industry]], Mean_ROA_S, 2, FALSE))/(VLOOKUP(Main_S[[#This Row],[Industry]], Mean_ROA_S, 3, FALSE))</f>
        <v>-5.6322416254671763</v>
      </c>
      <c r="S75" s="1">
        <f>(Main_S[[#This Row],[A/E]]-VLOOKUP(Main_S[[#This Row],[Industry]], Mean_AE_S, 2, FALSE))/(VLOOKUP(Main_S[[#This Row],[Industry]], Mean_AE_S, 3, FALSE))</f>
        <v>0.18459152820667279</v>
      </c>
      <c r="T75" s="1">
        <f>(Main_S[[#This Row],[P/E]]-VLOOKUP(Main_S[[#This Row],[Industry]], Mean_PE_S, 2, FALSE))/(VLOOKUP(Main_S[[#This Row],[Industry]], Mean_PE_S, 3, FALSE))</f>
        <v>-1.0971568183594951</v>
      </c>
      <c r="U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6" spans="1:26" x14ac:dyDescent="0.25">
      <c r="A76" t="s">
        <v>111</v>
      </c>
      <c r="B76" t="s">
        <v>392</v>
      </c>
      <c r="C76" s="2">
        <v>798</v>
      </c>
      <c r="D76">
        <f>RTD("tos.rtd", , "LAST", Main_S[[#This Row],[Symbol]])</f>
        <v>81.260000000000005</v>
      </c>
      <c r="E76">
        <v>-2.4</v>
      </c>
      <c r="F76">
        <v>18.62</v>
      </c>
      <c r="G76">
        <v>-0.91</v>
      </c>
      <c r="H76" s="1">
        <f>IF(ISNUMBER(Main_S[[#This Row],[Free CF]]),IF(Main_S[[#This Row],[Free CF]]&lt;&gt;0,Main_S[[#This Row],[Current Price]]/Main_S[[#This Row],[Free CF]],""),"")</f>
        <v>-33.858333333333334</v>
      </c>
      <c r="I76" s="1">
        <f>IF(ISNUMBER(Main_S[[#This Row],[BVPS]]),IF(Main_S[[#This Row],[BVPS]]&lt;&gt;0,Main_S[[#This Row],[Current Price]]/Main_S[[#This Row],[BVPS]],""),"")</f>
        <v>4.3641245972073044</v>
      </c>
      <c r="J76">
        <v>-5.38</v>
      </c>
      <c r="K76">
        <v>-0.68</v>
      </c>
      <c r="L76">
        <v>1.82</v>
      </c>
      <c r="M76" s="1">
        <f>IF(ISNUMBER(Main_S[[#This Row],[EPS]]),IF(Main_S[[#This Row],[EPS]]&lt;&gt;0,Main_S[[#This Row],[Current Price]]/Main_S[[#This Row],[EPS]],""),"")</f>
        <v>-89.296703296703299</v>
      </c>
      <c r="N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6" s="1">
        <f>(Main_S[[#This Row],[P/FCF]]-VLOOKUP(Main_S[[#This Row],[Industry]], Mean_PFCF_S, 2, FALSE))/(VLOOKUP(Main_S[[#This Row],[Industry]], Mean_PFCF_S, 3, FALSE))</f>
        <v>-1.7481672626222429</v>
      </c>
      <c r="P76" s="1">
        <f>(Main_S[[#This Row],[P/B]]-VLOOKUP(Main_S[[#This Row],[Industry]], Mean_PB_S, 2, FALSE))/(VLOOKUP(Main_S[[#This Row],[Industry]], Mean_PB_S, 3, FALSE))</f>
        <v>1.1248724153263241</v>
      </c>
      <c r="Q76" s="1">
        <f>(Main_S[[#This Row],[ROE]]-VLOOKUP(Main_S[[#This Row],[Industry]], Mean_ROE_S, 2, FALSE))/(VLOOKUP(Main_S[[#This Row],[Industry]], Mean_ROE_S, 3, FALSE))</f>
        <v>-0.50981416397961787</v>
      </c>
      <c r="R76" s="1">
        <f>(Main_S[[#This Row],[ROA]]-VLOOKUP(Main_S[[#This Row],[Industry]], Mean_ROA_S, 2, FALSE))/(VLOOKUP(Main_S[[#This Row],[Industry]], Mean_ROA_S, 3, FALSE))</f>
        <v>-1.5080019003917549</v>
      </c>
      <c r="S76" s="1">
        <f>(Main_S[[#This Row],[A/E]]-VLOOKUP(Main_S[[#This Row],[Industry]], Mean_AE_S, 2, FALSE))/(VLOOKUP(Main_S[[#This Row],[Industry]], Mean_AE_S, 3, FALSE))</f>
        <v>-0.22515199853011233</v>
      </c>
      <c r="T76" s="1">
        <f>(Main_S[[#This Row],[P/E]]-VLOOKUP(Main_S[[#This Row],[Industry]], Mean_PE_S, 2, FALSE))/(VLOOKUP(Main_S[[#This Row],[Industry]], Mean_PE_S, 3, FALSE))</f>
        <v>-4.8428384099020478</v>
      </c>
      <c r="U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7" spans="1:26" x14ac:dyDescent="0.25">
      <c r="A77" t="s">
        <v>111</v>
      </c>
      <c r="B77" t="s">
        <v>399</v>
      </c>
      <c r="C77" s="2">
        <v>668</v>
      </c>
      <c r="D77">
        <f>RTD("tos.rtd", , "LAST", Main_S[[#This Row],[Symbol]])</f>
        <v>12.57</v>
      </c>
      <c r="E77">
        <v>-0.91</v>
      </c>
      <c r="F77">
        <v>4.08</v>
      </c>
      <c r="G77">
        <v>-0.97</v>
      </c>
      <c r="H77" s="1">
        <f>IF(ISNUMBER(Main_S[[#This Row],[Free CF]]),IF(Main_S[[#This Row],[Free CF]]&lt;&gt;0,Main_S[[#This Row],[Current Price]]/Main_S[[#This Row],[Free CF]],""),"")</f>
        <v>-13.813186813186814</v>
      </c>
      <c r="I77" s="1">
        <f>IF(ISNUMBER(Main_S[[#This Row],[BVPS]]),IF(Main_S[[#This Row],[BVPS]]&lt;&gt;0,Main_S[[#This Row],[Current Price]]/Main_S[[#This Row],[BVPS]],""),"")</f>
        <v>3.0808823529411766</v>
      </c>
      <c r="J77">
        <v>-43.08</v>
      </c>
      <c r="K77">
        <v>-25.8</v>
      </c>
      <c r="L77">
        <v>1.03</v>
      </c>
      <c r="M77" s="1">
        <f>IF(ISNUMBER(Main_S[[#This Row],[EPS]]),IF(Main_S[[#This Row],[EPS]]&lt;&gt;0,Main_S[[#This Row],[Current Price]]/Main_S[[#This Row],[EPS]],""),"")</f>
        <v>-12.958762886597938</v>
      </c>
      <c r="N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7" s="1">
        <f>(Main_S[[#This Row],[P/FCF]]-VLOOKUP(Main_S[[#This Row],[Industry]], Mean_PFCF_S, 2, FALSE))/(VLOOKUP(Main_S[[#This Row],[Industry]], Mean_PFCF_S, 3, FALSE))</f>
        <v>-0.92428632493778484</v>
      </c>
      <c r="P77" s="1">
        <f>(Main_S[[#This Row],[P/B]]-VLOOKUP(Main_S[[#This Row],[Industry]], Mean_PB_S, 2, FALSE))/(VLOOKUP(Main_S[[#This Row],[Industry]], Mean_PB_S, 3, FALSE))</f>
        <v>0.58789664772116046</v>
      </c>
      <c r="Q77" s="1">
        <f>(Main_S[[#This Row],[ROE]]-VLOOKUP(Main_S[[#This Row],[Industry]], Mean_ROE_S, 2, FALSE))/(VLOOKUP(Main_S[[#This Row],[Industry]], Mean_ROE_S, 3, FALSE))</f>
        <v>-2.662825902808466</v>
      </c>
      <c r="R77" s="1">
        <f>(Main_S[[#This Row],[ROA]]-VLOOKUP(Main_S[[#This Row],[Industry]], Mean_ROA_S, 2, FALSE))/(VLOOKUP(Main_S[[#This Row],[Industry]], Mean_ROA_S, 3, FALSE))</f>
        <v>-10.287739349026889</v>
      </c>
      <c r="S77" s="1">
        <f>(Main_S[[#This Row],[A/E]]-VLOOKUP(Main_S[[#This Row],[Industry]], Mean_AE_S, 2, FALSE))/(VLOOKUP(Main_S[[#This Row],[Industry]], Mean_AE_S, 3, FALSE))</f>
        <v>-0.58481576088795706</v>
      </c>
      <c r="T77" s="1">
        <f>(Main_S[[#This Row],[P/E]]-VLOOKUP(Main_S[[#This Row],[Industry]], Mean_PE_S, 2, FALSE))/(VLOOKUP(Main_S[[#This Row],[Industry]], Mean_PE_S, 3, FALSE))</f>
        <v>-1.1631876526462923</v>
      </c>
      <c r="U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8" spans="1:26" x14ac:dyDescent="0.25">
      <c r="A78" t="s">
        <v>111</v>
      </c>
      <c r="B78" t="s">
        <v>381</v>
      </c>
      <c r="C78" s="2">
        <v>315</v>
      </c>
      <c r="D78">
        <f>RTD("tos.rtd", , "LAST", Main_S[[#This Row],[Symbol]])</f>
        <v>9.35</v>
      </c>
      <c r="E78">
        <v>0.09</v>
      </c>
      <c r="F78">
        <v>-6.48</v>
      </c>
      <c r="G78">
        <v>-2.0499999999999998</v>
      </c>
      <c r="H78" s="1">
        <f>IF(ISNUMBER(Main_S[[#This Row],[Free CF]]),IF(Main_S[[#This Row],[Free CF]]&lt;&gt;0,Main_S[[#This Row],[Current Price]]/Main_S[[#This Row],[Free CF]],""),"")</f>
        <v>103.88888888888889</v>
      </c>
      <c r="I78" s="1">
        <f>IF(ISNUMBER(Main_S[[#This Row],[BVPS]]),IF(Main_S[[#This Row],[BVPS]]&lt;&gt;0,Main_S[[#This Row],[Current Price]]/Main_S[[#This Row],[BVPS]],""),"")</f>
        <v>-1.4429012345679011</v>
      </c>
      <c r="J78">
        <v>67.69</v>
      </c>
      <c r="K78">
        <v>9.86</v>
      </c>
      <c r="L78">
        <v>-1.83</v>
      </c>
      <c r="M78" s="1">
        <f>IF(ISNUMBER(Main_S[[#This Row],[EPS]]),IF(Main_S[[#This Row],[EPS]]&lt;&gt;0,Main_S[[#This Row],[Current Price]]/Main_S[[#This Row],[EPS]],""),"")</f>
        <v>-4.5609756097560981</v>
      </c>
      <c r="N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8" s="1">
        <f>(Main_S[[#This Row],[P/FCF]]-VLOOKUP(Main_S[[#This Row],[Industry]], Mean_PFCF_S, 2, FALSE))/(VLOOKUP(Main_S[[#This Row],[Industry]], Mean_PFCF_S, 3, FALSE))</f>
        <v>3.9134182236106754</v>
      </c>
      <c r="P78" s="1">
        <f>(Main_S[[#This Row],[P/B]]-VLOOKUP(Main_S[[#This Row],[Industry]], Mean_PB_S, 2, FALSE))/(VLOOKUP(Main_S[[#This Row],[Industry]], Mean_PB_S, 3, FALSE))</f>
        <v>-1.3050913482994499</v>
      </c>
      <c r="Q78" s="1">
        <f>(Main_S[[#This Row],[ROE]]-VLOOKUP(Main_S[[#This Row],[Industry]], Mean_ROE_S, 2, FALSE))/(VLOOKUP(Main_S[[#This Row],[Industry]], Mean_ROE_S, 3, FALSE))</f>
        <v>3.6631451929493997</v>
      </c>
      <c r="R78" s="1">
        <f>(Main_S[[#This Row],[ROA]]-VLOOKUP(Main_S[[#This Row],[Industry]], Mean_ROA_S, 2, FALSE))/(VLOOKUP(Main_S[[#This Row],[Industry]], Mean_ROA_S, 3, FALSE))</f>
        <v>2.1758529048874768</v>
      </c>
      <c r="S78" s="1">
        <f>(Main_S[[#This Row],[A/E]]-VLOOKUP(Main_S[[#This Row],[Industry]], Mean_AE_S, 2, FALSE))/(VLOOKUP(Main_S[[#This Row],[Industry]], Mean_AE_S, 3, FALSE))</f>
        <v>-1.8868896347404072</v>
      </c>
      <c r="T78" s="1">
        <f>(Main_S[[#This Row],[P/E]]-VLOOKUP(Main_S[[#This Row],[Industry]], Mean_PE_S, 2, FALSE))/(VLOOKUP(Main_S[[#This Row],[Industry]], Mean_PE_S, 3, FALSE))</f>
        <v>-0.75839648135588567</v>
      </c>
      <c r="U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9" spans="1:26" x14ac:dyDescent="0.25">
      <c r="A79" t="s">
        <v>111</v>
      </c>
      <c r="B79" t="s">
        <v>367</v>
      </c>
      <c r="C79" s="2">
        <v>492</v>
      </c>
      <c r="D79">
        <f>RTD("tos.rtd", , "LAST", Main_S[[#This Row],[Symbol]])</f>
        <v>9.98</v>
      </c>
      <c r="E79">
        <v>-3.61</v>
      </c>
      <c r="F79">
        <v>16.25</v>
      </c>
      <c r="G79">
        <v>-8.16</v>
      </c>
      <c r="H79" s="1">
        <f>IF(ISNUMBER(Main_S[[#This Row],[Free CF]]),IF(Main_S[[#This Row],[Free CF]]&lt;&gt;0,Main_S[[#This Row],[Current Price]]/Main_S[[#This Row],[Free CF]],""),"")</f>
        <v>-2.7645429362880889</v>
      </c>
      <c r="I79" s="1">
        <f>IF(ISNUMBER(Main_S[[#This Row],[BVPS]]),IF(Main_S[[#This Row],[BVPS]]&lt;&gt;0,Main_S[[#This Row],[Current Price]]/Main_S[[#This Row],[BVPS]],""),"")</f>
        <v>0.61415384615384616</v>
      </c>
      <c r="J79">
        <v>-65.2</v>
      </c>
      <c r="K79">
        <v>0.2</v>
      </c>
      <c r="L79">
        <v>9.41</v>
      </c>
      <c r="M79" s="1">
        <f>IF(ISNUMBER(Main_S[[#This Row],[EPS]]),IF(Main_S[[#This Row],[EPS]]&lt;&gt;0,Main_S[[#This Row],[Current Price]]/Main_S[[#This Row],[EPS]],""),"")</f>
        <v>-1.2230392156862746</v>
      </c>
      <c r="N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9" s="1">
        <f>(Main_S[[#This Row],[P/FCF]]-VLOOKUP(Main_S[[#This Row],[Industry]], Mean_PFCF_S, 2, FALSE))/(VLOOKUP(Main_S[[#This Row],[Industry]], Mean_PFCF_S, 3, FALSE))</f>
        <v>-0.47017305276528371</v>
      </c>
      <c r="P79" s="1">
        <f>(Main_S[[#This Row],[P/B]]-VLOOKUP(Main_S[[#This Row],[Industry]], Mean_PB_S, 2, FALSE))/(VLOOKUP(Main_S[[#This Row],[Industry]], Mean_PB_S, 3, FALSE))</f>
        <v>-0.44431175979052878</v>
      </c>
      <c r="Q79" s="1">
        <f>(Main_S[[#This Row],[ROE]]-VLOOKUP(Main_S[[#This Row],[Industry]], Mean_ROE_S, 2, FALSE))/(VLOOKUP(Main_S[[#This Row],[Industry]], Mean_ROE_S, 3, FALSE))</f>
        <v>-3.9260784137605653</v>
      </c>
      <c r="R79" s="1">
        <f>(Main_S[[#This Row],[ROA]]-VLOOKUP(Main_S[[#This Row],[Industry]], Mean_ROA_S, 2, FALSE))/(VLOOKUP(Main_S[[#This Row],[Industry]], Mean_ROA_S, 3, FALSE))</f>
        <v>-1.2004314802166387</v>
      </c>
      <c r="S79" s="1">
        <f>(Main_S[[#This Row],[A/E]]-VLOOKUP(Main_S[[#This Row],[Industry]], Mean_AE_S, 2, FALSE))/(VLOOKUP(Main_S[[#This Row],[Industry]], Mean_AE_S, 3, FALSE))</f>
        <v>3.2303517436167755</v>
      </c>
      <c r="T79" s="1">
        <f>(Main_S[[#This Row],[P/E]]-VLOOKUP(Main_S[[#This Row],[Industry]], Mean_PE_S, 2, FALSE))/(VLOOKUP(Main_S[[#This Row],[Industry]], Mean_PE_S, 3, FALSE))</f>
        <v>-0.59750086229508281</v>
      </c>
      <c r="U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0" spans="1:26" x14ac:dyDescent="0.25">
      <c r="A80" t="s">
        <v>111</v>
      </c>
      <c r="B80" t="s">
        <v>391</v>
      </c>
      <c r="C80" s="2">
        <v>358</v>
      </c>
      <c r="D80">
        <f>RTD("tos.rtd", , "LAST", Main_S[[#This Row],[Symbol]])</f>
        <v>21.57</v>
      </c>
      <c r="E80">
        <v>1.7</v>
      </c>
      <c r="F80">
        <v>-51.71</v>
      </c>
      <c r="G80">
        <v>-10.88</v>
      </c>
      <c r="H80" s="1">
        <f>IF(ISNUMBER(Main_S[[#This Row],[Free CF]]),IF(Main_S[[#This Row],[Free CF]]&lt;&gt;0,Main_S[[#This Row],[Current Price]]/Main_S[[#This Row],[Free CF]],""),"")</f>
        <v>12.688235294117648</v>
      </c>
      <c r="I80" s="1">
        <f>IF(ISNUMBER(Main_S[[#This Row],[BVPS]]),IF(Main_S[[#This Row],[BVPS]]&lt;&gt;0,Main_S[[#This Row],[Current Price]]/Main_S[[#This Row],[BVPS]],""),"")</f>
        <v>-0.41713401663121252</v>
      </c>
      <c r="J80">
        <v>24.89</v>
      </c>
      <c r="K80">
        <v>5.5</v>
      </c>
      <c r="L80">
        <v>-2.64</v>
      </c>
      <c r="M80" s="1">
        <f>IF(ISNUMBER(Main_S[[#This Row],[EPS]]),IF(Main_S[[#This Row],[EPS]]&lt;&gt;0,Main_S[[#This Row],[Current Price]]/Main_S[[#This Row],[EPS]],""),"")</f>
        <v>-1.9825367647058822</v>
      </c>
      <c r="N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0" s="1">
        <f>(Main_S[[#This Row],[P/FCF]]-VLOOKUP(Main_S[[#This Row],[Industry]], Mean_PFCF_S, 2, FALSE))/(VLOOKUP(Main_S[[#This Row],[Industry]], Mean_PFCF_S, 3, FALSE))</f>
        <v>0.16495572544050388</v>
      </c>
      <c r="P80" s="1">
        <f>(Main_S[[#This Row],[P/B]]-VLOOKUP(Main_S[[#This Row],[Industry]], Mean_PB_S, 2, FALSE))/(VLOOKUP(Main_S[[#This Row],[Industry]], Mean_PB_S, 3, FALSE))</f>
        <v>-0.87585661752516042</v>
      </c>
      <c r="Q80" s="1">
        <f>(Main_S[[#This Row],[ROE]]-VLOOKUP(Main_S[[#This Row],[Industry]], Mean_ROE_S, 2, FALSE))/(VLOOKUP(Main_S[[#This Row],[Industry]], Mean_ROE_S, 3, FALSE))</f>
        <v>1.2188772241994075</v>
      </c>
      <c r="R80" s="1">
        <f>(Main_S[[#This Row],[ROA]]-VLOOKUP(Main_S[[#This Row],[Industry]], Mean_ROA_S, 2, FALSE))/(VLOOKUP(Main_S[[#This Row],[Industry]], Mean_ROA_S, 3, FALSE))</f>
        <v>0.65198127765621983</v>
      </c>
      <c r="S80" s="1">
        <f>(Main_S[[#This Row],[A/E]]-VLOOKUP(Main_S[[#This Row],[Industry]], Mean_AE_S, 2, FALSE))/(VLOOKUP(Main_S[[#This Row],[Industry]], Mean_AE_S, 3, FALSE))</f>
        <v>-2.2556588088035139</v>
      </c>
      <c r="T80" s="1">
        <f>(Main_S[[#This Row],[P/E]]-VLOOKUP(Main_S[[#This Row],[Industry]], Mean_PE_S, 2, FALSE))/(VLOOKUP(Main_S[[#This Row],[Industry]], Mean_PE_S, 3, FALSE))</f>
        <v>-0.63411025621336492</v>
      </c>
      <c r="U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1" spans="1:26" x14ac:dyDescent="0.25">
      <c r="A81" t="s">
        <v>111</v>
      </c>
      <c r="B81" t="s">
        <v>383</v>
      </c>
      <c r="C81" s="2">
        <v>767</v>
      </c>
      <c r="D81">
        <f>RTD("tos.rtd", , "LAST", Main_S[[#This Row],[Symbol]])</f>
        <v>267.07</v>
      </c>
      <c r="E81">
        <v>47.52</v>
      </c>
      <c r="F81">
        <v>869.87</v>
      </c>
      <c r="G81">
        <v>-217.37</v>
      </c>
      <c r="H81" s="1">
        <f>IF(ISNUMBER(Main_S[[#This Row],[Free CF]]),IF(Main_S[[#This Row],[Free CF]]&lt;&gt;0,Main_S[[#This Row],[Current Price]]/Main_S[[#This Row],[Free CF]],""),"")</f>
        <v>5.6201599326599325</v>
      </c>
      <c r="I81" s="1">
        <f>IF(ISNUMBER(Main_S[[#This Row],[BVPS]]),IF(Main_S[[#This Row],[BVPS]]&lt;&gt;0,Main_S[[#This Row],[Current Price]]/Main_S[[#This Row],[BVPS]],""),"")</f>
        <v>0.30702288847758857</v>
      </c>
      <c r="J81">
        <v>-10.29</v>
      </c>
      <c r="K81">
        <v>1.41</v>
      </c>
      <c r="L81">
        <v>1.54</v>
      </c>
      <c r="M81" s="1">
        <f>IF(ISNUMBER(Main_S[[#This Row],[EPS]]),IF(Main_S[[#This Row],[EPS]]&lt;&gt;0,Main_S[[#This Row],[Current Price]]/Main_S[[#This Row],[EPS]],""),"")</f>
        <v>-1.2286424069558817</v>
      </c>
      <c r="N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1" s="1">
        <f>(Main_S[[#This Row],[P/FCF]]-VLOOKUP(Main_S[[#This Row],[Industry]], Mean_PFCF_S, 2, FALSE))/(VLOOKUP(Main_S[[#This Row],[Industry]], Mean_PFCF_S, 3, FALSE))</f>
        <v>-0.12555113369217907</v>
      </c>
      <c r="P81" s="1">
        <f>(Main_S[[#This Row],[P/B]]-VLOOKUP(Main_S[[#This Row],[Industry]], Mean_PB_S, 2, FALSE))/(VLOOKUP(Main_S[[#This Row],[Industry]], Mean_PB_S, 3, FALSE))</f>
        <v>-0.57283143913434154</v>
      </c>
      <c r="Q81" s="1">
        <f>(Main_S[[#This Row],[ROE]]-VLOOKUP(Main_S[[#This Row],[Industry]], Mean_ROE_S, 2, FALSE))/(VLOOKUP(Main_S[[#This Row],[Industry]], Mean_ROE_S, 3, FALSE))</f>
        <v>-0.79021967160958184</v>
      </c>
      <c r="R81" s="1">
        <f>(Main_S[[#This Row],[ROA]]-VLOOKUP(Main_S[[#This Row],[Industry]], Mean_ROA_S, 2, FALSE))/(VLOOKUP(Main_S[[#This Row],[Industry]], Mean_ROA_S, 3, FALSE))</f>
        <v>-0.7775221524758541</v>
      </c>
      <c r="S81" s="1">
        <f>(Main_S[[#This Row],[A/E]]-VLOOKUP(Main_S[[#This Row],[Industry]], Mean_AE_S, 2, FALSE))/(VLOOKUP(Main_S[[#This Row],[Industry]], Mean_AE_S, 3, FALSE))</f>
        <v>-0.3526277624037788</v>
      </c>
      <c r="T81" s="1">
        <f>(Main_S[[#This Row],[P/E]]-VLOOKUP(Main_S[[#This Row],[Industry]], Mean_PE_S, 2, FALSE))/(VLOOKUP(Main_S[[#This Row],[Industry]], Mean_PE_S, 3, FALSE))</f>
        <v>-0.59777094800721353</v>
      </c>
      <c r="U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2" spans="1:26" x14ac:dyDescent="0.25">
      <c r="A82" t="s">
        <v>108</v>
      </c>
      <c r="B82" t="s">
        <v>340</v>
      </c>
      <c r="C82" s="2">
        <v>523</v>
      </c>
      <c r="D82">
        <f>RTD("tos.rtd", , "LAST", Main_S[[#This Row],[Symbol]])</f>
        <v>97.94</v>
      </c>
      <c r="E82">
        <v>4.62</v>
      </c>
      <c r="F82">
        <v>118.15</v>
      </c>
      <c r="G82">
        <v>28.18</v>
      </c>
      <c r="H82" s="1">
        <f>IF(ISNUMBER(Main_S[[#This Row],[Free CF]]),IF(Main_S[[#This Row],[Free CF]]&lt;&gt;0,Main_S[[#This Row],[Current Price]]/Main_S[[#This Row],[Free CF]],""),"")</f>
        <v>21.1991341991342</v>
      </c>
      <c r="I82" s="1">
        <f>IF(ISNUMBER(Main_S[[#This Row],[BVPS]]),IF(Main_S[[#This Row],[BVPS]]&lt;&gt;0,Main_S[[#This Row],[Current Price]]/Main_S[[#This Row],[BVPS]],""),"")</f>
        <v>0.82894625476089712</v>
      </c>
      <c r="J82">
        <v>29.33</v>
      </c>
      <c r="K82">
        <v>6.06</v>
      </c>
      <c r="L82">
        <v>3.73</v>
      </c>
      <c r="M82" s="1">
        <f>IF(ISNUMBER(Main_S[[#This Row],[EPS]]),IF(Main_S[[#This Row],[EPS]]&lt;&gt;0,Main_S[[#This Row],[Current Price]]/Main_S[[#This Row],[EPS]],""),"")</f>
        <v>3.4755145493257631</v>
      </c>
      <c r="N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2" s="1">
        <f>(Main_S[[#This Row],[P/FCF]]-VLOOKUP(Main_S[[#This Row],[Industry]], Mean_PFCF_S, 2, FALSE))/(VLOOKUP(Main_S[[#This Row],[Industry]], Mean_PFCF_S, 3, FALSE))</f>
        <v>1.1187340329446207</v>
      </c>
      <c r="P82" s="1">
        <f>(Main_S[[#This Row],[P/B]]-VLOOKUP(Main_S[[#This Row],[Industry]], Mean_PB_S, 2, FALSE))/(VLOOKUP(Main_S[[#This Row],[Industry]], Mean_PB_S, 3, FALSE))</f>
        <v>-0.66046183552483206</v>
      </c>
      <c r="Q82" s="1">
        <f>(Main_S[[#This Row],[ROE]]-VLOOKUP(Main_S[[#This Row],[Industry]], Mean_ROE_S, 2, FALSE))/(VLOOKUP(Main_S[[#This Row],[Industry]], Mean_ROE_S, 3, FALSE))</f>
        <v>2.7539384239252827</v>
      </c>
      <c r="R82" s="1">
        <f>(Main_S[[#This Row],[ROA]]-VLOOKUP(Main_S[[#This Row],[Industry]], Mean_ROA_S, 2, FALSE))/(VLOOKUP(Main_S[[#This Row],[Industry]], Mean_ROA_S, 3, FALSE))</f>
        <v>0.51799731445023989</v>
      </c>
      <c r="S82" s="1">
        <f>(Main_S[[#This Row],[A/E]]-VLOOKUP(Main_S[[#This Row],[Industry]], Mean_AE_S, 2, FALSE))/(VLOOKUP(Main_S[[#This Row],[Industry]], Mean_AE_S, 3, FALSE))</f>
        <v>2.5318554583119872</v>
      </c>
      <c r="T82" s="1">
        <f>(Main_S[[#This Row],[P/E]]-VLOOKUP(Main_S[[#This Row],[Industry]], Mean_PE_S, 2, FALSE))/(VLOOKUP(Main_S[[#This Row],[Industry]], Mean_PE_S, 3, FALSE))</f>
        <v>-0.7986250579776496</v>
      </c>
      <c r="U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3" spans="1:26" x14ac:dyDescent="0.25">
      <c r="A83" t="s">
        <v>108</v>
      </c>
      <c r="B83" t="s">
        <v>339</v>
      </c>
      <c r="C83" s="2">
        <v>1584</v>
      </c>
      <c r="D83">
        <f>RTD("tos.rtd", , "LAST", Main_S[[#This Row],[Symbol]])</f>
        <v>53.75</v>
      </c>
      <c r="E83">
        <v>-2.2200000000000002</v>
      </c>
      <c r="F83">
        <v>84.41</v>
      </c>
      <c r="G83">
        <v>9.6999999999999993</v>
      </c>
      <c r="H83" s="1">
        <f>IF(ISNUMBER(Main_S[[#This Row],[Free CF]]),IF(Main_S[[#This Row],[Free CF]]&lt;&gt;0,Main_S[[#This Row],[Current Price]]/Main_S[[#This Row],[Free CF]],""),"")</f>
        <v>-24.211711711711711</v>
      </c>
      <c r="I83" s="1">
        <f>IF(ISNUMBER(Main_S[[#This Row],[BVPS]]),IF(Main_S[[#This Row],[BVPS]]&lt;&gt;0,Main_S[[#This Row],[Current Price]]/Main_S[[#This Row],[BVPS]],""),"")</f>
        <v>0.63677289420684757</v>
      </c>
      <c r="J83">
        <v>12.36</v>
      </c>
      <c r="K83">
        <v>5.91</v>
      </c>
      <c r="L83">
        <v>1.77</v>
      </c>
      <c r="M83" s="1">
        <f>IF(ISNUMBER(Main_S[[#This Row],[EPS]]),IF(Main_S[[#This Row],[EPS]]&lt;&gt;0,Main_S[[#This Row],[Current Price]]/Main_S[[#This Row],[EPS]],""),"")</f>
        <v>5.5412371134020626</v>
      </c>
      <c r="N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3" s="1">
        <f>(Main_S[[#This Row],[P/FCF]]-VLOOKUP(Main_S[[#This Row],[Industry]], Mean_PFCF_S, 2, FALSE))/(VLOOKUP(Main_S[[#This Row],[Industry]], Mean_PFCF_S, 3, FALSE))</f>
        <v>-1.863979242802499</v>
      </c>
      <c r="P83" s="1">
        <f>(Main_S[[#This Row],[P/B]]-VLOOKUP(Main_S[[#This Row],[Industry]], Mean_PB_S, 2, FALSE))/(VLOOKUP(Main_S[[#This Row],[Industry]], Mean_PB_S, 3, FALSE))</f>
        <v>-0.94536007577082615</v>
      </c>
      <c r="Q83" s="1">
        <f>(Main_S[[#This Row],[ROE]]-VLOOKUP(Main_S[[#This Row],[Industry]], Mean_ROE_S, 2, FALSE))/(VLOOKUP(Main_S[[#This Row],[Industry]], Mean_ROE_S, 3, FALSE))</f>
        <v>9.3413633147045455E-2</v>
      </c>
      <c r="R83" s="1">
        <f>(Main_S[[#This Row],[ROA]]-VLOOKUP(Main_S[[#This Row],[Industry]], Mean_ROA_S, 2, FALSE))/(VLOOKUP(Main_S[[#This Row],[Industry]], Mean_ROA_S, 3, FALSE))</f>
        <v>0.44605324299881793</v>
      </c>
      <c r="S83" s="1">
        <f>(Main_S[[#This Row],[A/E]]-VLOOKUP(Main_S[[#This Row],[Industry]], Mean_AE_S, 2, FALSE))/(VLOOKUP(Main_S[[#This Row],[Industry]], Mean_AE_S, 3, FALSE))</f>
        <v>-0.55177142921934619</v>
      </c>
      <c r="T83" s="1">
        <f>(Main_S[[#This Row],[P/E]]-VLOOKUP(Main_S[[#This Row],[Industry]], Mean_PE_S, 2, FALSE))/(VLOOKUP(Main_S[[#This Row],[Industry]], Mean_PE_S, 3, FALSE))</f>
        <v>-0.53166712192816601</v>
      </c>
      <c r="U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4" spans="1:26" x14ac:dyDescent="0.25">
      <c r="A84" t="s">
        <v>108</v>
      </c>
      <c r="B84" t="s">
        <v>342</v>
      </c>
      <c r="C84" s="2">
        <v>1173</v>
      </c>
      <c r="D84">
        <f>RTD("tos.rtd", , "LAST", Main_S[[#This Row],[Symbol]])</f>
        <v>51.31</v>
      </c>
      <c r="E84">
        <v>-7.37</v>
      </c>
      <c r="F84">
        <v>87.27</v>
      </c>
      <c r="G84">
        <v>7.76</v>
      </c>
      <c r="H84" s="1">
        <f>IF(ISNUMBER(Main_S[[#This Row],[Free CF]]),IF(Main_S[[#This Row],[Free CF]]&lt;&gt;0,Main_S[[#This Row],[Current Price]]/Main_S[[#This Row],[Free CF]],""),"")</f>
        <v>-6.9620081411126193</v>
      </c>
      <c r="I84" s="1">
        <f>IF(ISNUMBER(Main_S[[#This Row],[BVPS]]),IF(Main_S[[#This Row],[BVPS]]&lt;&gt;0,Main_S[[#This Row],[Current Price]]/Main_S[[#This Row],[BVPS]],""),"")</f>
        <v>0.587945456628853</v>
      </c>
      <c r="J84">
        <v>9.36</v>
      </c>
      <c r="K84">
        <v>3.33</v>
      </c>
      <c r="L84">
        <v>1.9</v>
      </c>
      <c r="M84" s="1">
        <f>IF(ISNUMBER(Main_S[[#This Row],[EPS]]),IF(Main_S[[#This Row],[EPS]]&lt;&gt;0,Main_S[[#This Row],[Current Price]]/Main_S[[#This Row],[EPS]],""),"")</f>
        <v>6.6121134020618557</v>
      </c>
      <c r="N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4" s="1">
        <f>(Main_S[[#This Row],[P/FCF]]-VLOOKUP(Main_S[[#This Row],[Industry]], Mean_PFCF_S, 2, FALSE))/(VLOOKUP(Main_S[[#This Row],[Industry]], Mean_PFCF_S, 3, FALSE))</f>
        <v>-0.73096974230253409</v>
      </c>
      <c r="P84" s="1">
        <f>(Main_S[[#This Row],[P/B]]-VLOOKUP(Main_S[[#This Row],[Industry]], Mean_PB_S, 2, FALSE))/(VLOOKUP(Main_S[[#This Row],[Industry]], Mean_PB_S, 3, FALSE))</f>
        <v>-1.0177470653181069</v>
      </c>
      <c r="Q84" s="1">
        <f>(Main_S[[#This Row],[ROE]]-VLOOKUP(Main_S[[#This Row],[Industry]], Mean_ROE_S, 2, FALSE))/(VLOOKUP(Main_S[[#This Row],[Industry]], Mean_ROE_S, 3, FALSE))</f>
        <v>-0.3769207435373807</v>
      </c>
      <c r="R84" s="1">
        <f>(Main_S[[#This Row],[ROA]]-VLOOKUP(Main_S[[#This Row],[Industry]], Mean_ROA_S, 2, FALSE))/(VLOOKUP(Main_S[[#This Row],[Industry]], Mean_ROA_S, 3, FALSE))</f>
        <v>-0.79138478596564399</v>
      </c>
      <c r="S84" s="1">
        <f>(Main_S[[#This Row],[A/E]]-VLOOKUP(Main_S[[#This Row],[Industry]], Mean_AE_S, 2, FALSE))/(VLOOKUP(Main_S[[#This Row],[Industry]], Mean_AE_S, 3, FALSE))</f>
        <v>-0.34724515606675788</v>
      </c>
      <c r="T84" s="1">
        <f>(Main_S[[#This Row],[P/E]]-VLOOKUP(Main_S[[#This Row],[Industry]], Mean_PE_S, 2, FALSE))/(VLOOKUP(Main_S[[#This Row],[Industry]], Mean_PE_S, 3, FALSE))</f>
        <v>-0.39327538977763782</v>
      </c>
      <c r="U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5" spans="1:26" x14ac:dyDescent="0.25">
      <c r="A85" t="s">
        <v>108</v>
      </c>
      <c r="B85" t="s">
        <v>345</v>
      </c>
      <c r="C85" s="2">
        <v>617</v>
      </c>
      <c r="D85">
        <f>RTD("tos.rtd", , "LAST", Main_S[[#This Row],[Symbol]])</f>
        <v>28.95</v>
      </c>
      <c r="E85">
        <v>3.61</v>
      </c>
      <c r="F85">
        <v>73.650000000000006</v>
      </c>
      <c r="G85">
        <v>5.37</v>
      </c>
      <c r="H85" s="1">
        <f>IF(ISNUMBER(Main_S[[#This Row],[Free CF]]),IF(Main_S[[#This Row],[Free CF]]&lt;&gt;0,Main_S[[#This Row],[Current Price]]/Main_S[[#This Row],[Free CF]],""),"")</f>
        <v>8.0193905817174524</v>
      </c>
      <c r="I85" s="1">
        <f>IF(ISNUMBER(Main_S[[#This Row],[BVPS]]),IF(Main_S[[#This Row],[BVPS]]&lt;&gt;0,Main_S[[#This Row],[Current Price]]/Main_S[[#This Row],[BVPS]],""),"")</f>
        <v>0.39307535641547858</v>
      </c>
      <c r="J85">
        <v>7.45</v>
      </c>
      <c r="K85">
        <v>4.47</v>
      </c>
      <c r="L85">
        <v>1.86</v>
      </c>
      <c r="M85" s="1">
        <f>IF(ISNUMBER(Main_S[[#This Row],[EPS]]),IF(Main_S[[#This Row],[EPS]]&lt;&gt;0,Main_S[[#This Row],[Current Price]]/Main_S[[#This Row],[EPS]],""),"")</f>
        <v>5.3910614525139664</v>
      </c>
      <c r="N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5" s="1">
        <f>(Main_S[[#This Row],[P/FCF]]-VLOOKUP(Main_S[[#This Row],[Industry]], Mean_PFCF_S, 2, FALSE))/(VLOOKUP(Main_S[[#This Row],[Industry]], Mean_PFCF_S, 3, FALSE))</f>
        <v>0.25305105633168828</v>
      </c>
      <c r="P85" s="1">
        <f>(Main_S[[#This Row],[P/B]]-VLOOKUP(Main_S[[#This Row],[Industry]], Mean_PB_S, 2, FALSE))/(VLOOKUP(Main_S[[#This Row],[Industry]], Mean_PB_S, 3, FALSE))</f>
        <v>-1.3066432394147045</v>
      </c>
      <c r="Q85" s="1">
        <f>(Main_S[[#This Row],[ROE]]-VLOOKUP(Main_S[[#This Row],[Industry]], Mean_ROE_S, 2, FALSE))/(VLOOKUP(Main_S[[#This Row],[Industry]], Mean_ROE_S, 3, FALSE))</f>
        <v>-0.67636696335979862</v>
      </c>
      <c r="R85" s="1">
        <f>(Main_S[[#This Row],[ROA]]-VLOOKUP(Main_S[[#This Row],[Industry]], Mean_ROA_S, 2, FALSE))/(VLOOKUP(Main_S[[#This Row],[Industry]], Mean_ROA_S, 3, FALSE))</f>
        <v>-0.24460984293483537</v>
      </c>
      <c r="S85" s="1">
        <f>(Main_S[[#This Row],[A/E]]-VLOOKUP(Main_S[[#This Row],[Industry]], Mean_AE_S, 2, FALSE))/(VLOOKUP(Main_S[[#This Row],[Industry]], Mean_AE_S, 3, FALSE))</f>
        <v>-0.41017631703678481</v>
      </c>
      <c r="T85" s="1">
        <f>(Main_S[[#This Row],[P/E]]-VLOOKUP(Main_S[[#This Row],[Industry]], Mean_PE_S, 2, FALSE))/(VLOOKUP(Main_S[[#This Row],[Industry]], Mean_PE_S, 3, FALSE))</f>
        <v>-0.55107465766057451</v>
      </c>
      <c r="U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6" spans="1:26" x14ac:dyDescent="0.25">
      <c r="A86" t="s">
        <v>108</v>
      </c>
      <c r="B86" t="s">
        <v>221</v>
      </c>
      <c r="C86" s="2">
        <v>1952</v>
      </c>
      <c r="D86">
        <f>RTD("tos.rtd", , "LAST", Main_S[[#This Row],[Symbol]])</f>
        <v>23.22</v>
      </c>
      <c r="E86">
        <v>-1</v>
      </c>
      <c r="F86">
        <v>13.78</v>
      </c>
      <c r="G86">
        <v>3.34</v>
      </c>
      <c r="H86" s="1">
        <f>IF(ISNUMBER(Main_S[[#This Row],[Free CF]]),IF(Main_S[[#This Row],[Free CF]]&lt;&gt;0,Main_S[[#This Row],[Current Price]]/Main_S[[#This Row],[Free CF]],""),"")</f>
        <v>-23.22</v>
      </c>
      <c r="I86" s="1">
        <f>IF(ISNUMBER(Main_S[[#This Row],[BVPS]]),IF(Main_S[[#This Row],[BVPS]]&lt;&gt;0,Main_S[[#This Row],[Current Price]]/Main_S[[#This Row],[BVPS]],""),"")</f>
        <v>1.6850507982583454</v>
      </c>
      <c r="J86">
        <v>25.92</v>
      </c>
      <c r="K86">
        <v>8.9499999999999993</v>
      </c>
      <c r="L86">
        <v>2.7</v>
      </c>
      <c r="M86" s="1">
        <f>IF(ISNUMBER(Main_S[[#This Row],[EPS]]),IF(Main_S[[#This Row],[EPS]]&lt;&gt;0,Main_S[[#This Row],[Current Price]]/Main_S[[#This Row],[EPS]],""),"")</f>
        <v>6.9520958083832332</v>
      </c>
      <c r="N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6" s="1">
        <f>(Main_S[[#This Row],[P/FCF]]-VLOOKUP(Main_S[[#This Row],[Industry]], Mean_PFCF_S, 2, FALSE))/(VLOOKUP(Main_S[[#This Row],[Industry]], Mean_PFCF_S, 3, FALSE))</f>
        <v>-1.7988408022184199</v>
      </c>
      <c r="P86" s="1">
        <f>(Main_S[[#This Row],[P/B]]-VLOOKUP(Main_S[[#This Row],[Industry]], Mean_PB_S, 2, FALSE))/(VLOOKUP(Main_S[[#This Row],[Industry]], Mean_PB_S, 3, FALSE))</f>
        <v>0.60871864404754117</v>
      </c>
      <c r="Q86" s="1">
        <f>(Main_S[[#This Row],[ROE]]-VLOOKUP(Main_S[[#This Row],[Industry]], Mean_ROE_S, 2, FALSE))/(VLOOKUP(Main_S[[#This Row],[Industry]], Mean_ROE_S, 3, FALSE))</f>
        <v>2.2193250157606519</v>
      </c>
      <c r="R86" s="1">
        <f>(Main_S[[#This Row],[ROA]]-VLOOKUP(Main_S[[#This Row],[Industry]], Mean_ROA_S, 2, FALSE))/(VLOOKUP(Main_S[[#This Row],[Industry]], Mean_ROA_S, 3, FALSE))</f>
        <v>1.9041197577476408</v>
      </c>
      <c r="S86" s="1">
        <f>(Main_S[[#This Row],[A/E]]-VLOOKUP(Main_S[[#This Row],[Industry]], Mean_AE_S, 2, FALSE))/(VLOOKUP(Main_S[[#This Row],[Industry]], Mean_AE_S, 3, FALSE))</f>
        <v>0.91137806333378679</v>
      </c>
      <c r="T86" s="1">
        <f>(Main_S[[#This Row],[P/E]]-VLOOKUP(Main_S[[#This Row],[Industry]], Mean_PE_S, 2, FALSE))/(VLOOKUP(Main_S[[#This Row],[Industry]], Mean_PE_S, 3, FALSE))</f>
        <v>-0.3493387048311401</v>
      </c>
      <c r="U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7" spans="1:26" x14ac:dyDescent="0.25">
      <c r="A87" t="s">
        <v>108</v>
      </c>
      <c r="B87" t="s">
        <v>338</v>
      </c>
      <c r="C87" s="2">
        <v>622</v>
      </c>
      <c r="D87">
        <f>RTD("tos.rtd", , "LAST", Main_S[[#This Row],[Symbol]])</f>
        <v>21.98</v>
      </c>
      <c r="E87">
        <v>-2.56</v>
      </c>
      <c r="F87">
        <v>41.44</v>
      </c>
      <c r="G87">
        <v>3.1</v>
      </c>
      <c r="H87" s="1">
        <f>IF(ISNUMBER(Main_S[[#This Row],[Free CF]]),IF(Main_S[[#This Row],[Free CF]]&lt;&gt;0,Main_S[[#This Row],[Current Price]]/Main_S[[#This Row],[Free CF]],""),"")</f>
        <v>-8.5859375</v>
      </c>
      <c r="I87" s="1">
        <f>IF(ISNUMBER(Main_S[[#This Row],[BVPS]]),IF(Main_S[[#This Row],[BVPS]]&lt;&gt;0,Main_S[[#This Row],[Current Price]]/Main_S[[#This Row],[BVPS]],""),"")</f>
        <v>0.53040540540540548</v>
      </c>
      <c r="J87">
        <v>7.97</v>
      </c>
      <c r="K87">
        <v>2.5299999999999998</v>
      </c>
      <c r="L87">
        <v>2.16</v>
      </c>
      <c r="M87" s="1">
        <f>IF(ISNUMBER(Main_S[[#This Row],[EPS]]),IF(Main_S[[#This Row],[EPS]]&lt;&gt;0,Main_S[[#This Row],[Current Price]]/Main_S[[#This Row],[EPS]],""),"")</f>
        <v>7.0903225806451609</v>
      </c>
      <c r="N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7" s="1">
        <f>(Main_S[[#This Row],[P/FCF]]-VLOOKUP(Main_S[[#This Row],[Industry]], Mean_PFCF_S, 2, FALSE))/(VLOOKUP(Main_S[[#This Row],[Industry]], Mean_PFCF_S, 3, FALSE))</f>
        <v>-0.83763403274844339</v>
      </c>
      <c r="P87" s="1">
        <f>(Main_S[[#This Row],[P/B]]-VLOOKUP(Main_S[[#This Row],[Industry]], Mean_PB_S, 2, FALSE))/(VLOOKUP(Main_S[[#This Row],[Industry]], Mean_PB_S, 3, FALSE))</f>
        <v>-1.1030505605057968</v>
      </c>
      <c r="Q87" s="1">
        <f>(Main_S[[#This Row],[ROE]]-VLOOKUP(Main_S[[#This Row],[Industry]], Mean_ROE_S, 2, FALSE))/(VLOOKUP(Main_S[[#This Row],[Industry]], Mean_ROE_S, 3, FALSE))</f>
        <v>-0.59484233806783149</v>
      </c>
      <c r="R87" s="1">
        <f>(Main_S[[#This Row],[ROA]]-VLOOKUP(Main_S[[#This Row],[Industry]], Mean_ROA_S, 2, FALSE))/(VLOOKUP(Main_S[[#This Row],[Industry]], Mean_ROA_S, 3, FALSE))</f>
        <v>-1.1750865003732291</v>
      </c>
      <c r="S87" s="1">
        <f>(Main_S[[#This Row],[A/E]]-VLOOKUP(Main_S[[#This Row],[Industry]], Mean_AE_S, 2, FALSE))/(VLOOKUP(Main_S[[#This Row],[Industry]], Mean_AE_S, 3, FALSE))</f>
        <v>6.1807390238419364E-2</v>
      </c>
      <c r="T87" s="1">
        <f>(Main_S[[#This Row],[P/E]]-VLOOKUP(Main_S[[#This Row],[Industry]], Mean_PE_S, 2, FALSE))/(VLOOKUP(Main_S[[#This Row],[Industry]], Mean_PE_S, 3, FALSE))</f>
        <v>-0.33147535063656236</v>
      </c>
      <c r="U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8" spans="1:26" x14ac:dyDescent="0.25">
      <c r="A88" t="s">
        <v>108</v>
      </c>
      <c r="B88" t="s">
        <v>337</v>
      </c>
      <c r="C88" s="2">
        <v>1730</v>
      </c>
      <c r="D88">
        <f>RTD("tos.rtd", , "LAST", Main_S[[#This Row],[Symbol]])</f>
        <v>40.74</v>
      </c>
      <c r="E88">
        <v>2.65</v>
      </c>
      <c r="F88">
        <v>24.66</v>
      </c>
      <c r="G88">
        <v>2.91</v>
      </c>
      <c r="H88" s="1">
        <f>IF(ISNUMBER(Main_S[[#This Row],[Free CF]]),IF(Main_S[[#This Row],[Free CF]]&lt;&gt;0,Main_S[[#This Row],[Current Price]]/Main_S[[#This Row],[Free CF]],""),"")</f>
        <v>15.373584905660378</v>
      </c>
      <c r="I88" s="1">
        <f>IF(ISNUMBER(Main_S[[#This Row],[BVPS]]),IF(Main_S[[#This Row],[BVPS]]&lt;&gt;0,Main_S[[#This Row],[Current Price]]/Main_S[[#This Row],[BVPS]],""),"")</f>
        <v>1.6520681265206814</v>
      </c>
      <c r="J88">
        <v>12.47</v>
      </c>
      <c r="K88">
        <v>5.05</v>
      </c>
      <c r="L88">
        <v>1.92</v>
      </c>
      <c r="M88" s="1">
        <f>IF(ISNUMBER(Main_S[[#This Row],[EPS]]),IF(Main_S[[#This Row],[EPS]]&lt;&gt;0,Main_S[[#This Row],[Current Price]]/Main_S[[#This Row],[EPS]],""),"")</f>
        <v>14</v>
      </c>
      <c r="N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8" s="1">
        <f>(Main_S[[#This Row],[P/FCF]]-VLOOKUP(Main_S[[#This Row],[Industry]], Mean_PFCF_S, 2, FALSE))/(VLOOKUP(Main_S[[#This Row],[Industry]], Mean_PFCF_S, 3, FALSE))</f>
        <v>0.73609541726506655</v>
      </c>
      <c r="P88" s="1">
        <f>(Main_S[[#This Row],[P/B]]-VLOOKUP(Main_S[[#This Row],[Industry]], Mean_PB_S, 2, FALSE))/(VLOOKUP(Main_S[[#This Row],[Industry]], Mean_PB_S, 3, FALSE))</f>
        <v>0.55982162153838388</v>
      </c>
      <c r="Q88" s="1">
        <f>(Main_S[[#This Row],[ROE]]-VLOOKUP(Main_S[[#This Row],[Industry]], Mean_ROE_S, 2, FALSE))/(VLOOKUP(Main_S[[#This Row],[Industry]], Mean_ROE_S, 3, FALSE))</f>
        <v>0.11065922695880794</v>
      </c>
      <c r="R88" s="1">
        <f>(Main_S[[#This Row],[ROA]]-VLOOKUP(Main_S[[#This Row],[Industry]], Mean_ROA_S, 2, FALSE))/(VLOOKUP(Main_S[[#This Row],[Industry]], Mean_ROA_S, 3, FALSE))</f>
        <v>3.3573900010663828E-2</v>
      </c>
      <c r="S88" s="1">
        <f>(Main_S[[#This Row],[A/E]]-VLOOKUP(Main_S[[#This Row],[Industry]], Mean_AE_S, 2, FALSE))/(VLOOKUP(Main_S[[#This Row],[Industry]], Mean_AE_S, 3, FALSE))</f>
        <v>-0.31577957558174424</v>
      </c>
      <c r="T88" s="1">
        <f>(Main_S[[#This Row],[P/E]]-VLOOKUP(Main_S[[#This Row],[Industry]], Mean_PE_S, 2, FALSE))/(VLOOKUP(Main_S[[#This Row],[Industry]], Mean_PE_S, 3, FALSE))</f>
        <v>0.56147767931860559</v>
      </c>
      <c r="U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9" spans="1:26" x14ac:dyDescent="0.25">
      <c r="A89" t="s">
        <v>108</v>
      </c>
      <c r="B89" t="s">
        <v>485</v>
      </c>
      <c r="C89" s="2">
        <v>250</v>
      </c>
      <c r="D89">
        <f>RTD("tos.rtd", , "LAST", Main_S[[#This Row],[Symbol]])</f>
        <v>18.260000000000002</v>
      </c>
      <c r="E89">
        <v>3.58</v>
      </c>
      <c r="F89">
        <v>11.94</v>
      </c>
      <c r="G89">
        <v>2.4300000000000002</v>
      </c>
      <c r="H89" s="1">
        <f>IF(ISNUMBER(Main_S[[#This Row],[Free CF]]),IF(Main_S[[#This Row],[Free CF]]&lt;&gt;0,Main_S[[#This Row],[Current Price]]/Main_S[[#This Row],[Free CF]],""),"")</f>
        <v>5.1005586592178771</v>
      </c>
      <c r="I89" s="1">
        <f>IF(ISNUMBER(Main_S[[#This Row],[BVPS]]),IF(Main_S[[#This Row],[BVPS]]&lt;&gt;0,Main_S[[#This Row],[Current Price]]/Main_S[[#This Row],[BVPS]],""),"")</f>
        <v>1.529313232830821</v>
      </c>
      <c r="J89">
        <v>21.86</v>
      </c>
      <c r="K89">
        <v>6.34</v>
      </c>
      <c r="L89">
        <v>2.56</v>
      </c>
      <c r="M89" s="1">
        <f>IF(ISNUMBER(Main_S[[#This Row],[EPS]]),IF(Main_S[[#This Row],[EPS]]&lt;&gt;0,Main_S[[#This Row],[Current Price]]/Main_S[[#This Row],[EPS]],""),"")</f>
        <v>7.5144032921810702</v>
      </c>
      <c r="N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9" s="1">
        <f>(Main_S[[#This Row],[P/FCF]]-VLOOKUP(Main_S[[#This Row],[Industry]], Mean_PFCF_S, 2, FALSE))/(VLOOKUP(Main_S[[#This Row],[Industry]], Mean_PFCF_S, 3, FALSE))</f>
        <v>6.13338894238896E-2</v>
      </c>
      <c r="P89" s="1">
        <f>(Main_S[[#This Row],[P/B]]-VLOOKUP(Main_S[[#This Row],[Industry]], Mean_PB_S, 2, FALSE))/(VLOOKUP(Main_S[[#This Row],[Industry]], Mean_PB_S, 3, FALSE))</f>
        <v>0.37783670389424917</v>
      </c>
      <c r="Q89" s="1">
        <f>(Main_S[[#This Row],[ROE]]-VLOOKUP(Main_S[[#This Row],[Industry]], Mean_ROE_S, 2, FALSE))/(VLOOKUP(Main_S[[#This Row],[Industry]], Mean_ROE_S, 3, FALSE))</f>
        <v>1.5828058259810616</v>
      </c>
      <c r="R89" s="1">
        <f>(Main_S[[#This Row],[ROA]]-VLOOKUP(Main_S[[#This Row],[Industry]], Mean_ROA_S, 2, FALSE))/(VLOOKUP(Main_S[[#This Row],[Industry]], Mean_ROA_S, 3, FALSE))</f>
        <v>0.65229291449289473</v>
      </c>
      <c r="S89" s="1">
        <f>(Main_S[[#This Row],[A/E]]-VLOOKUP(Main_S[[#This Row],[Industry]], Mean_AE_S, 2, FALSE))/(VLOOKUP(Main_S[[#This Row],[Industry]], Mean_AE_S, 3, FALSE))</f>
        <v>0.6911189999386913</v>
      </c>
      <c r="T89" s="1">
        <f>(Main_S[[#This Row],[P/E]]-VLOOKUP(Main_S[[#This Row],[Industry]], Mean_PE_S, 2, FALSE))/(VLOOKUP(Main_S[[#This Row],[Industry]], Mean_PE_S, 3, FALSE))</f>
        <v>-0.27667045406486512</v>
      </c>
      <c r="U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0" spans="1:26" x14ac:dyDescent="0.25">
      <c r="A90" t="s">
        <v>108</v>
      </c>
      <c r="B90" t="s">
        <v>341</v>
      </c>
      <c r="C90" s="2">
        <v>538</v>
      </c>
      <c r="D90">
        <f>RTD("tos.rtd", , "LAST", Main_S[[#This Row],[Symbol]])</f>
        <v>22.18</v>
      </c>
      <c r="E90">
        <v>0.85</v>
      </c>
      <c r="F90">
        <v>20.88</v>
      </c>
      <c r="G90">
        <v>2.29</v>
      </c>
      <c r="H90" s="1">
        <f>IF(ISNUMBER(Main_S[[#This Row],[Free CF]]),IF(Main_S[[#This Row],[Free CF]]&lt;&gt;0,Main_S[[#This Row],[Current Price]]/Main_S[[#This Row],[Free CF]],""),"")</f>
        <v>26.094117647058823</v>
      </c>
      <c r="I90" s="1">
        <f>IF(ISNUMBER(Main_S[[#This Row],[BVPS]]),IF(Main_S[[#This Row],[BVPS]]&lt;&gt;0,Main_S[[#This Row],[Current Price]]/Main_S[[#This Row],[BVPS]],""),"")</f>
        <v>1.0622605363984674</v>
      </c>
      <c r="J90">
        <v>11.9</v>
      </c>
      <c r="K90">
        <v>6.93</v>
      </c>
      <c r="L90">
        <v>1.08</v>
      </c>
      <c r="M90" s="1">
        <f>IF(ISNUMBER(Main_S[[#This Row],[EPS]]),IF(Main_S[[#This Row],[EPS]]&lt;&gt;0,Main_S[[#This Row],[Current Price]]/Main_S[[#This Row],[EPS]],""),"")</f>
        <v>9.6855895196506552</v>
      </c>
      <c r="N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0" s="1">
        <f>(Main_S[[#This Row],[P/FCF]]-VLOOKUP(Main_S[[#This Row],[Industry]], Mean_PFCF_S, 2, FALSE))/(VLOOKUP(Main_S[[#This Row],[Industry]], Mean_PFCF_S, 3, FALSE))</f>
        <v>1.4402504421159381</v>
      </c>
      <c r="P90" s="1">
        <f>(Main_S[[#This Row],[P/B]]-VLOOKUP(Main_S[[#This Row],[Industry]], Mean_PB_S, 2, FALSE))/(VLOOKUP(Main_S[[#This Row],[Industry]], Mean_PB_S, 3, FALSE))</f>
        <v>-0.31457191576091731</v>
      </c>
      <c r="Q90" s="1">
        <f>(Main_S[[#This Row],[ROE]]-VLOOKUP(Main_S[[#This Row],[Industry]], Mean_ROE_S, 2, FALSE))/(VLOOKUP(Main_S[[#This Row],[Industry]], Mean_ROE_S, 3, FALSE))</f>
        <v>2.1295695388766921E-2</v>
      </c>
      <c r="R90" s="1">
        <f>(Main_S[[#This Row],[ROA]]-VLOOKUP(Main_S[[#This Row],[Industry]], Mean_ROA_S, 2, FALSE))/(VLOOKUP(Main_S[[#This Row],[Industry]], Mean_ROA_S, 3, FALSE))</f>
        <v>0.93527292886848867</v>
      </c>
      <c r="S90" s="1">
        <f>(Main_S[[#This Row],[A/E]]-VLOOKUP(Main_S[[#This Row],[Industry]], Mean_AE_S, 2, FALSE))/(VLOOKUP(Main_S[[#This Row],[Industry]], Mean_AE_S, 3, FALSE))</f>
        <v>-1.6373339559523155</v>
      </c>
      <c r="T90" s="1">
        <f>(Main_S[[#This Row],[P/E]]-VLOOKUP(Main_S[[#This Row],[Industry]], Mean_PE_S, 2, FALSE))/(VLOOKUP(Main_S[[#This Row],[Industry]], Mean_PE_S, 3, FALSE))</f>
        <v>3.916786518201076E-3</v>
      </c>
      <c r="U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1" spans="1:26" x14ac:dyDescent="0.25">
      <c r="A91" t="s">
        <v>108</v>
      </c>
      <c r="B91" t="s">
        <v>334</v>
      </c>
      <c r="C91" s="2">
        <v>664</v>
      </c>
      <c r="D91">
        <f>RTD("tos.rtd", , "LAST", Main_S[[#This Row],[Symbol]])</f>
        <v>26.64</v>
      </c>
      <c r="E91">
        <v>2.02</v>
      </c>
      <c r="F91">
        <v>18.850000000000001</v>
      </c>
      <c r="G91">
        <v>2.25</v>
      </c>
      <c r="H91" s="1">
        <f>IF(ISNUMBER(Main_S[[#This Row],[Free CF]]),IF(Main_S[[#This Row],[Free CF]]&lt;&gt;0,Main_S[[#This Row],[Current Price]]/Main_S[[#This Row],[Free CF]],""),"")</f>
        <v>13.188118811881187</v>
      </c>
      <c r="I91" s="1">
        <f>IF(ISNUMBER(Main_S[[#This Row],[BVPS]]),IF(Main_S[[#This Row],[BVPS]]&lt;&gt;0,Main_S[[#This Row],[Current Price]]/Main_S[[#This Row],[BVPS]],""),"")</f>
        <v>1.4132625994694958</v>
      </c>
      <c r="J91">
        <v>12.09</v>
      </c>
      <c r="K91">
        <v>5.83</v>
      </c>
      <c r="L91">
        <v>1.54</v>
      </c>
      <c r="M91" s="1">
        <f>IF(ISNUMBER(Main_S[[#This Row],[EPS]]),IF(Main_S[[#This Row],[EPS]]&lt;&gt;0,Main_S[[#This Row],[Current Price]]/Main_S[[#This Row],[EPS]],""),"")</f>
        <v>11.84</v>
      </c>
      <c r="N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1" s="1">
        <f>(Main_S[[#This Row],[P/FCF]]-VLOOKUP(Main_S[[#This Row],[Industry]], Mean_PFCF_S, 2, FALSE))/(VLOOKUP(Main_S[[#This Row],[Industry]], Mean_PFCF_S, 3, FALSE))</f>
        <v>0.59254779993135187</v>
      </c>
      <c r="P91" s="1">
        <f>(Main_S[[#This Row],[P/B]]-VLOOKUP(Main_S[[#This Row],[Industry]], Mean_PB_S, 2, FALSE))/(VLOOKUP(Main_S[[#This Row],[Industry]], Mean_PB_S, 3, FALSE))</f>
        <v>0.20579089521008659</v>
      </c>
      <c r="Q91" s="1">
        <f>(Main_S[[#This Row],[ROE]]-VLOOKUP(Main_S[[#This Row],[Industry]], Mean_ROE_S, 2, FALSE))/(VLOOKUP(Main_S[[#This Row],[Industry]], Mean_ROE_S, 3, FALSE))</f>
        <v>5.1083539245447167E-2</v>
      </c>
      <c r="R91" s="1">
        <f>(Main_S[[#This Row],[ROA]]-VLOOKUP(Main_S[[#This Row],[Industry]], Mean_ROA_S, 2, FALSE))/(VLOOKUP(Main_S[[#This Row],[Industry]], Mean_ROA_S, 3, FALSE))</f>
        <v>0.40768307155805938</v>
      </c>
      <c r="S91" s="1">
        <f>(Main_S[[#This Row],[A/E]]-VLOOKUP(Main_S[[#This Row],[Industry]], Mean_AE_S, 2, FALSE))/(VLOOKUP(Main_S[[#This Row],[Industry]], Mean_AE_S, 3, FALSE))</f>
        <v>-0.91362560479700261</v>
      </c>
      <c r="T91" s="1">
        <f>(Main_S[[#This Row],[P/E]]-VLOOKUP(Main_S[[#This Row],[Industry]], Mean_PE_S, 2, FALSE))/(VLOOKUP(Main_S[[#This Row],[Industry]], Mean_PE_S, 3, FALSE))</f>
        <v>0.28233605987043542</v>
      </c>
      <c r="U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2" spans="1:26" x14ac:dyDescent="0.25">
      <c r="A92" t="s">
        <v>108</v>
      </c>
      <c r="B92" t="s">
        <v>336</v>
      </c>
      <c r="C92" s="2">
        <v>284</v>
      </c>
      <c r="D92">
        <f>RTD("tos.rtd", , "LAST", Main_S[[#This Row],[Symbol]])</f>
        <v>20.25</v>
      </c>
      <c r="E92">
        <v>1.1299999999999999</v>
      </c>
      <c r="F92">
        <v>14.63</v>
      </c>
      <c r="G92">
        <v>0.69</v>
      </c>
      <c r="H92" s="1">
        <f>IF(ISNUMBER(Main_S[[#This Row],[Free CF]]),IF(Main_S[[#This Row],[Free CF]]&lt;&gt;0,Main_S[[#This Row],[Current Price]]/Main_S[[#This Row],[Free CF]],""),"")</f>
        <v>17.920353982300888</v>
      </c>
      <c r="I92" s="1">
        <f>IF(ISNUMBER(Main_S[[#This Row],[BVPS]]),IF(Main_S[[#This Row],[BVPS]]&lt;&gt;0,Main_S[[#This Row],[Current Price]]/Main_S[[#This Row],[BVPS]],""),"")</f>
        <v>1.3841421736158577</v>
      </c>
      <c r="J92">
        <v>5.33</v>
      </c>
      <c r="K92">
        <v>1.68</v>
      </c>
      <c r="L92">
        <v>2.46</v>
      </c>
      <c r="M92" s="1">
        <f>IF(ISNUMBER(Main_S[[#This Row],[EPS]]),IF(Main_S[[#This Row],[EPS]]&lt;&gt;0,Main_S[[#This Row],[Current Price]]/Main_S[[#This Row],[EPS]],""),"")</f>
        <v>29.347826086956523</v>
      </c>
      <c r="N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2" s="1">
        <f>(Main_S[[#This Row],[P/FCF]]-VLOOKUP(Main_S[[#This Row],[Industry]], Mean_PFCF_S, 2, FALSE))/(VLOOKUP(Main_S[[#This Row],[Industry]], Mean_PFCF_S, 3, FALSE))</f>
        <v>0.90337444021195235</v>
      </c>
      <c r="P92" s="1">
        <f>(Main_S[[#This Row],[P/B]]-VLOOKUP(Main_S[[#This Row],[Industry]], Mean_PB_S, 2, FALSE))/(VLOOKUP(Main_S[[#This Row],[Industry]], Mean_PB_S, 3, FALSE))</f>
        <v>0.16261967700899735</v>
      </c>
      <c r="Q92" s="1">
        <f>(Main_S[[#This Row],[ROE]]-VLOOKUP(Main_S[[#This Row],[Industry]], Mean_ROE_S, 2, FALSE))/(VLOOKUP(Main_S[[#This Row],[Industry]], Mean_ROE_S, 3, FALSE))</f>
        <v>-1.0087365895501264</v>
      </c>
      <c r="R92" s="1">
        <f>(Main_S[[#This Row],[ROA]]-VLOOKUP(Main_S[[#This Row],[Industry]], Mean_ROA_S, 2, FALSE))/(VLOOKUP(Main_S[[#This Row],[Industry]], Mean_ROA_S, 3, FALSE))</f>
        <v>-1.5827695719312882</v>
      </c>
      <c r="S92" s="1">
        <f>(Main_S[[#This Row],[A/E]]-VLOOKUP(Main_S[[#This Row],[Industry]], Mean_AE_S, 2, FALSE))/(VLOOKUP(Main_S[[#This Row],[Industry]], Mean_AE_S, 3, FALSE))</f>
        <v>0.53379109751362319</v>
      </c>
      <c r="T92" s="1">
        <f>(Main_S[[#This Row],[P/E]]-VLOOKUP(Main_S[[#This Row],[Industry]], Mean_PE_S, 2, FALSE))/(VLOOKUP(Main_S[[#This Row],[Industry]], Mean_PE_S, 3, FALSE))</f>
        <v>2.5449114890046776</v>
      </c>
      <c r="U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3" spans="1:26" x14ac:dyDescent="0.25">
      <c r="A93" t="s">
        <v>108</v>
      </c>
      <c r="B93" t="s">
        <v>344</v>
      </c>
      <c r="C93" s="2">
        <v>1283</v>
      </c>
      <c r="D93">
        <f>RTD("tos.rtd", , "LAST", Main_S[[#This Row],[Symbol]])</f>
        <v>6.37</v>
      </c>
      <c r="E93">
        <v>1.17</v>
      </c>
      <c r="F93">
        <v>2.31</v>
      </c>
      <c r="G93">
        <v>0.31</v>
      </c>
      <c r="H93" s="1">
        <f>IF(ISNUMBER(Main_S[[#This Row],[Free CF]]),IF(Main_S[[#This Row],[Free CF]]&lt;&gt;0,Main_S[[#This Row],[Current Price]]/Main_S[[#This Row],[Free CF]],""),"")</f>
        <v>5.4444444444444446</v>
      </c>
      <c r="I93" s="1">
        <f>IF(ISNUMBER(Main_S[[#This Row],[BVPS]]),IF(Main_S[[#This Row],[BVPS]]&lt;&gt;0,Main_S[[#This Row],[Current Price]]/Main_S[[#This Row],[BVPS]],""),"")</f>
        <v>2.7575757575757573</v>
      </c>
      <c r="J93">
        <v>12.87</v>
      </c>
      <c r="K93">
        <v>7.26</v>
      </c>
      <c r="L93">
        <v>1.39</v>
      </c>
      <c r="M93" s="1">
        <f>IF(ISNUMBER(Main_S[[#This Row],[EPS]]),IF(Main_S[[#This Row],[EPS]]&lt;&gt;0,Main_S[[#This Row],[Current Price]]/Main_S[[#This Row],[EPS]],""),"")</f>
        <v>20.548387096774196</v>
      </c>
      <c r="N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3" s="1">
        <f>(Main_S[[#This Row],[P/FCF]]-VLOOKUP(Main_S[[#This Row],[Industry]], Mean_PFCF_S, 2, FALSE))/(VLOOKUP(Main_S[[#This Row],[Industry]], Mean_PFCF_S, 3, FALSE))</f>
        <v>8.392128405093012E-2</v>
      </c>
      <c r="P93" s="1">
        <f>(Main_S[[#This Row],[P/B]]-VLOOKUP(Main_S[[#This Row],[Industry]], Mean_PB_S, 2, FALSE))/(VLOOKUP(Main_S[[#This Row],[Industry]], Mean_PB_S, 3, FALSE))</f>
        <v>2.1987437788970565</v>
      </c>
      <c r="Q93" s="1">
        <f>(Main_S[[#This Row],[ROE]]-VLOOKUP(Main_S[[#This Row],[Industry]], Mean_ROE_S, 2, FALSE))/(VLOOKUP(Main_S[[#This Row],[Industry]], Mean_ROE_S, 3, FALSE))</f>
        <v>0.17337047718339788</v>
      </c>
      <c r="R93" s="1">
        <f>(Main_S[[#This Row],[ROA]]-VLOOKUP(Main_S[[#This Row],[Industry]], Mean_ROA_S, 2, FALSE))/(VLOOKUP(Main_S[[#This Row],[Industry]], Mean_ROA_S, 3, FALSE))</f>
        <v>1.0935498860616175</v>
      </c>
      <c r="S93" s="1">
        <f>(Main_S[[#This Row],[A/E]]-VLOOKUP(Main_S[[#This Row],[Industry]], Mean_AE_S, 2, FALSE))/(VLOOKUP(Main_S[[#This Row],[Industry]], Mean_AE_S, 3, FALSE))</f>
        <v>-1.1496174584346048</v>
      </c>
      <c r="T93" s="1">
        <f>(Main_S[[#This Row],[P/E]]-VLOOKUP(Main_S[[#This Row],[Industry]], Mean_PE_S, 2, FALSE))/(VLOOKUP(Main_S[[#This Row],[Industry]], Mean_PE_S, 3, FALSE))</f>
        <v>1.4077403547663139</v>
      </c>
      <c r="U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4" spans="1:26" x14ac:dyDescent="0.25">
      <c r="A94" t="s">
        <v>108</v>
      </c>
      <c r="B94" t="s">
        <v>491</v>
      </c>
      <c r="C94" s="2">
        <v>410</v>
      </c>
      <c r="D94">
        <f>RTD("tos.rtd", , "LAST", Main_S[[#This Row],[Symbol]])</f>
        <v>11.28</v>
      </c>
      <c r="E94">
        <v>1.29</v>
      </c>
      <c r="F94">
        <v>18.14</v>
      </c>
      <c r="G94">
        <v>0.26</v>
      </c>
      <c r="H94" s="1">
        <f>IF(ISNUMBER(Main_S[[#This Row],[Free CF]]),IF(Main_S[[#This Row],[Free CF]]&lt;&gt;0,Main_S[[#This Row],[Current Price]]/Main_S[[#This Row],[Free CF]],""),"")</f>
        <v>8.7441860465116275</v>
      </c>
      <c r="I94" s="1">
        <f>IF(ISNUMBER(Main_S[[#This Row],[BVPS]]),IF(Main_S[[#This Row],[BVPS]]&lt;&gt;0,Main_S[[#This Row],[Current Price]]/Main_S[[#This Row],[BVPS]],""),"")</f>
        <v>0.62183020948180812</v>
      </c>
      <c r="J94">
        <v>1.59</v>
      </c>
      <c r="K94">
        <v>1.94</v>
      </c>
      <c r="L94">
        <v>2.5499999999999998</v>
      </c>
      <c r="M94" s="1">
        <f>IF(ISNUMBER(Main_S[[#This Row],[EPS]]),IF(Main_S[[#This Row],[EPS]]&lt;&gt;0,Main_S[[#This Row],[Current Price]]/Main_S[[#This Row],[EPS]],""),"")</f>
        <v>43.38461538461538</v>
      </c>
      <c r="N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4" s="1">
        <f>(Main_S[[#This Row],[P/FCF]]-VLOOKUP(Main_S[[#This Row],[Industry]], Mean_PFCF_S, 2, FALSE))/(VLOOKUP(Main_S[[#This Row],[Industry]], Mean_PFCF_S, 3, FALSE))</f>
        <v>0.3006576800727922</v>
      </c>
      <c r="P94" s="1">
        <f>(Main_S[[#This Row],[P/B]]-VLOOKUP(Main_S[[#This Row],[Industry]], Mean_PB_S, 2, FALSE))/(VLOOKUP(Main_S[[#This Row],[Industry]], Mean_PB_S, 3, FALSE))</f>
        <v>-0.96751270176664994</v>
      </c>
      <c r="Q94" s="1">
        <f>(Main_S[[#This Row],[ROE]]-VLOOKUP(Main_S[[#This Row],[Industry]], Mean_ROE_S, 2, FALSE))/(VLOOKUP(Main_S[[#This Row],[Industry]], Mean_ROE_S, 3, FALSE))</f>
        <v>-1.5950867791500445</v>
      </c>
      <c r="R94" s="1">
        <f>(Main_S[[#This Row],[ROA]]-VLOOKUP(Main_S[[#This Row],[Industry]], Mean_ROA_S, 2, FALSE))/(VLOOKUP(Main_S[[#This Row],[Industry]], Mean_ROA_S, 3, FALSE))</f>
        <v>-1.458066514748823</v>
      </c>
      <c r="S94" s="1">
        <f>(Main_S[[#This Row],[A/E]]-VLOOKUP(Main_S[[#This Row],[Industry]], Mean_AE_S, 2, FALSE))/(VLOOKUP(Main_S[[#This Row],[Industry]], Mean_AE_S, 3, FALSE))</f>
        <v>0.67538620969618424</v>
      </c>
      <c r="T94" s="1">
        <f>(Main_S[[#This Row],[P/E]]-VLOOKUP(Main_S[[#This Row],[Industry]], Mean_PE_S, 2, FALSE))/(VLOOKUP(Main_S[[#This Row],[Industry]], Mean_PE_S, 3, FALSE))</f>
        <v>4.3589170891904345</v>
      </c>
      <c r="U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5" spans="1:26" x14ac:dyDescent="0.25">
      <c r="A95" t="s">
        <v>108</v>
      </c>
      <c r="B95" t="s">
        <v>343</v>
      </c>
      <c r="C95" s="2">
        <v>966</v>
      </c>
      <c r="D95">
        <f>RTD("tos.rtd", , "LAST", Main_S[[#This Row],[Symbol]])</f>
        <v>20.190000000000001</v>
      </c>
      <c r="E95">
        <v>-1.24</v>
      </c>
      <c r="F95">
        <v>8.5500000000000007</v>
      </c>
      <c r="G95">
        <v>0.24</v>
      </c>
      <c r="H95" s="1">
        <f>IF(ISNUMBER(Main_S[[#This Row],[Free CF]]),IF(Main_S[[#This Row],[Free CF]]&lt;&gt;0,Main_S[[#This Row],[Current Price]]/Main_S[[#This Row],[Free CF]],""),"")</f>
        <v>-16.282258064516132</v>
      </c>
      <c r="I95" s="1">
        <f>IF(ISNUMBER(Main_S[[#This Row],[BVPS]]),IF(Main_S[[#This Row],[BVPS]]&lt;&gt;0,Main_S[[#This Row],[Current Price]]/Main_S[[#This Row],[BVPS]],""),"")</f>
        <v>2.3614035087719296</v>
      </c>
      <c r="J95">
        <v>29.73</v>
      </c>
      <c r="K95">
        <v>16.09</v>
      </c>
      <c r="L95">
        <v>6.69</v>
      </c>
      <c r="M95" s="1">
        <f>IF(ISNUMBER(Main_S[[#This Row],[EPS]]),IF(Main_S[[#This Row],[EPS]]&lt;&gt;0,Main_S[[#This Row],[Current Price]]/Main_S[[#This Row],[EPS]],""),"")</f>
        <v>84.125000000000014</v>
      </c>
      <c r="N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5" s="1">
        <f>(Main_S[[#This Row],[P/FCF]]-VLOOKUP(Main_S[[#This Row],[Industry]], Mean_PFCF_S, 2, FALSE))/(VLOOKUP(Main_S[[#This Row],[Industry]], Mean_PFCF_S, 3, FALSE))</f>
        <v>-1.3431502164208784</v>
      </c>
      <c r="P95" s="1">
        <f>(Main_S[[#This Row],[P/B]]-VLOOKUP(Main_S[[#This Row],[Industry]], Mean_PB_S, 2, FALSE))/(VLOOKUP(Main_S[[#This Row],[Industry]], Mean_PB_S, 3, FALSE))</f>
        <v>1.6114158777087757</v>
      </c>
      <c r="Q95" s="1">
        <f>(Main_S[[#This Row],[ROE]]-VLOOKUP(Main_S[[#This Row],[Industry]], Mean_ROE_S, 2, FALSE))/(VLOOKUP(Main_S[[#This Row],[Industry]], Mean_ROE_S, 3, FALSE))</f>
        <v>2.8166496741498732</v>
      </c>
      <c r="R95" s="1">
        <f>(Main_S[[#This Row],[ROA]]-VLOOKUP(Main_S[[#This Row],[Industry]], Mean_ROA_S, 2, FALSE))/(VLOOKUP(Main_S[[#This Row],[Industry]], Mean_ROA_S, 3, FALSE))</f>
        <v>5.3286575588353369</v>
      </c>
      <c r="S95" s="1">
        <f>(Main_S[[#This Row],[A/E]]-VLOOKUP(Main_S[[#This Row],[Industry]], Mean_AE_S, 2, FALSE))/(VLOOKUP(Main_S[[#This Row],[Industry]], Mean_AE_S, 3, FALSE))</f>
        <v>7.1887613700940012</v>
      </c>
      <c r="T95" s="1">
        <f>(Main_S[[#This Row],[P/E]]-VLOOKUP(Main_S[[#This Row],[Industry]], Mean_PE_S, 2, FALSE))/(VLOOKUP(Main_S[[#This Row],[Industry]], Mean_PE_S, 3, FALSE))</f>
        <v>9.6238878940421859</v>
      </c>
      <c r="U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6" spans="1:26" x14ac:dyDescent="0.25">
      <c r="A96" t="s">
        <v>108</v>
      </c>
      <c r="B96" t="s">
        <v>333</v>
      </c>
      <c r="C96" s="2">
        <v>1234</v>
      </c>
      <c r="D96">
        <f>RTD("tos.rtd", , "LAST", Main_S[[#This Row],[Symbol]])</f>
        <v>10.46</v>
      </c>
      <c r="E96">
        <v>0.53</v>
      </c>
      <c r="F96">
        <v>3.19</v>
      </c>
      <c r="G96">
        <v>-0.56999999999999995</v>
      </c>
      <c r="H96" s="1">
        <f>IF(ISNUMBER(Main_S[[#This Row],[Free CF]]),IF(Main_S[[#This Row],[Free CF]]&lt;&gt;0,Main_S[[#This Row],[Current Price]]/Main_S[[#This Row],[Free CF]],""),"")</f>
        <v>19.735849056603776</v>
      </c>
      <c r="I96" s="1">
        <f>IF(ISNUMBER(Main_S[[#This Row],[BVPS]]),IF(Main_S[[#This Row],[BVPS]]&lt;&gt;0,Main_S[[#This Row],[Current Price]]/Main_S[[#This Row],[BVPS]],""),"")</f>
        <v>3.2789968652037622</v>
      </c>
      <c r="J96">
        <v>-15.8</v>
      </c>
      <c r="K96">
        <v>-2.5499999999999998</v>
      </c>
      <c r="L96">
        <v>2.0699999999999998</v>
      </c>
      <c r="M96" s="1">
        <f>IF(ISNUMBER(Main_S[[#This Row],[EPS]]),IF(Main_S[[#This Row],[EPS]]&lt;&gt;0,Main_S[[#This Row],[Current Price]]/Main_S[[#This Row],[EPS]],""),"")</f>
        <v>-18.350877192982459</v>
      </c>
      <c r="N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6" s="1">
        <f>(Main_S[[#This Row],[P/FCF]]-VLOOKUP(Main_S[[#This Row],[Industry]], Mean_PFCF_S, 2, FALSE))/(VLOOKUP(Main_S[[#This Row],[Industry]], Mean_PFCF_S, 3, FALSE))</f>
        <v>1.0226213106800355</v>
      </c>
      <c r="P96" s="1">
        <f>(Main_S[[#This Row],[P/B]]-VLOOKUP(Main_S[[#This Row],[Industry]], Mean_PB_S, 2, FALSE))/(VLOOKUP(Main_S[[#This Row],[Industry]], Mean_PB_S, 3, FALSE))</f>
        <v>2.9717539170454961</v>
      </c>
      <c r="Q96" s="1">
        <f>(Main_S[[#This Row],[ROE]]-VLOOKUP(Main_S[[#This Row],[Industry]], Mean_ROE_S, 2, FALSE))/(VLOOKUP(Main_S[[#This Row],[Industry]], Mean_ROE_S, 3, FALSE))</f>
        <v>-4.3214583826641011</v>
      </c>
      <c r="R96" s="1">
        <f>(Main_S[[#This Row],[ROA]]-VLOOKUP(Main_S[[#This Row],[Industry]], Mean_ROA_S, 2, FALSE))/(VLOOKUP(Main_S[[#This Row],[Industry]], Mean_ROA_S, 3, FALSE))</f>
        <v>-3.6115923868613939</v>
      </c>
      <c r="S96" s="1">
        <f>(Main_S[[#This Row],[A/E]]-VLOOKUP(Main_S[[#This Row],[Industry]], Mean_AE_S, 2, FALSE))/(VLOOKUP(Main_S[[#This Row],[Industry]], Mean_AE_S, 3, FALSE))</f>
        <v>-7.978772194414234E-2</v>
      </c>
      <c r="T96" s="1">
        <f>(Main_S[[#This Row],[P/E]]-VLOOKUP(Main_S[[#This Row],[Industry]], Mean_PE_S, 2, FALSE))/(VLOOKUP(Main_S[[#This Row],[Industry]], Mean_PE_S, 3, FALSE))</f>
        <v>-3.6192983624489852</v>
      </c>
      <c r="U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7" spans="1:26" x14ac:dyDescent="0.25">
      <c r="A97" t="s">
        <v>108</v>
      </c>
      <c r="B97" t="s">
        <v>335</v>
      </c>
      <c r="C97" s="2">
        <v>1224</v>
      </c>
      <c r="D97">
        <f>RTD("tos.rtd", , "LAST", Main_S[[#This Row],[Symbol]])</f>
        <v>9.25</v>
      </c>
      <c r="E97">
        <v>1.81</v>
      </c>
      <c r="F97">
        <v>5.53</v>
      </c>
      <c r="G97">
        <v>-3.73</v>
      </c>
      <c r="H97" s="1">
        <f>IF(ISNUMBER(Main_S[[#This Row],[Free CF]]),IF(Main_S[[#This Row],[Free CF]]&lt;&gt;0,Main_S[[#This Row],[Current Price]]/Main_S[[#This Row],[Free CF]],""),"")</f>
        <v>5.1104972375690609</v>
      </c>
      <c r="I97" s="1">
        <f>IF(ISNUMBER(Main_S[[#This Row],[BVPS]]),IF(Main_S[[#This Row],[BVPS]]&lt;&gt;0,Main_S[[#This Row],[Current Price]]/Main_S[[#This Row],[BVPS]],""),"")</f>
        <v>1.6726943942133814</v>
      </c>
      <c r="J97">
        <v>-50.31</v>
      </c>
      <c r="K97">
        <v>3.44</v>
      </c>
      <c r="L97">
        <v>5.0199999999999996</v>
      </c>
      <c r="M97" s="1">
        <f>IF(ISNUMBER(Main_S[[#This Row],[EPS]]),IF(Main_S[[#This Row],[EPS]]&lt;&gt;0,Main_S[[#This Row],[Current Price]]/Main_S[[#This Row],[EPS]],""),"")</f>
        <v>-2.479892761394102</v>
      </c>
      <c r="N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7" s="1">
        <f>(Main_S[[#This Row],[P/FCF]]-VLOOKUP(Main_S[[#This Row],[Industry]], Mean_PFCF_S, 2, FALSE))/(VLOOKUP(Main_S[[#This Row],[Industry]], Mean_PFCF_S, 3, FALSE))</f>
        <v>6.1986683464509945E-2</v>
      </c>
      <c r="P97" s="1">
        <f>(Main_S[[#This Row],[P/B]]-VLOOKUP(Main_S[[#This Row],[Industry]], Mean_PB_S, 2, FALSE))/(VLOOKUP(Main_S[[#This Row],[Industry]], Mean_PB_S, 3, FALSE))</f>
        <v>0.59040019575674063</v>
      </c>
      <c r="Q97" s="1">
        <f>(Main_S[[#This Row],[ROE]]-VLOOKUP(Main_S[[#This Row],[Industry]], Mean_ROE_S, 2, FALSE))/(VLOOKUP(Main_S[[#This Row],[Industry]], Mean_ROE_S, 3, FALSE))</f>
        <v>-9.7318714957906174</v>
      </c>
      <c r="R97" s="1">
        <f>(Main_S[[#This Row],[ROA]]-VLOOKUP(Main_S[[#This Row],[Industry]], Mean_ROA_S, 2, FALSE))/(VLOOKUP(Main_S[[#This Row],[Industry]], Mean_ROA_S, 3, FALSE))</f>
        <v>-0.738625800234601</v>
      </c>
      <c r="S97" s="1">
        <f>(Main_S[[#This Row],[A/E]]-VLOOKUP(Main_S[[#This Row],[Industry]], Mean_AE_S, 2, FALSE))/(VLOOKUP(Main_S[[#This Row],[Industry]], Mean_AE_S, 3, FALSE))</f>
        <v>4.5613853995953644</v>
      </c>
      <c r="T97" s="1">
        <f>(Main_S[[#This Row],[P/E]]-VLOOKUP(Main_S[[#This Row],[Industry]], Mean_PE_S, 2, FALSE))/(VLOOKUP(Main_S[[#This Row],[Industry]], Mean_PE_S, 3, FALSE))</f>
        <v>-1.5682556326016379</v>
      </c>
      <c r="U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8" spans="1:26" x14ac:dyDescent="0.25">
      <c r="A98" t="s">
        <v>109</v>
      </c>
      <c r="B98" t="s">
        <v>352</v>
      </c>
      <c r="C98" s="2">
        <v>599</v>
      </c>
      <c r="D98">
        <f>RTD("tos.rtd", , "LAST", Main_S[[#This Row],[Symbol]])</f>
        <v>37.26</v>
      </c>
      <c r="E98">
        <v>2.3199999999999998</v>
      </c>
      <c r="F98">
        <v>19.39</v>
      </c>
      <c r="G98">
        <v>1.83</v>
      </c>
      <c r="H98" s="1">
        <f>IF(ISNUMBER(Main_S[[#This Row],[Free CF]]),IF(Main_S[[#This Row],[Free CF]]&lt;&gt;0,Main_S[[#This Row],[Current Price]]/Main_S[[#This Row],[Free CF]],""),"")</f>
        <v>16.060344827586206</v>
      </c>
      <c r="I98" s="1">
        <f>IF(ISNUMBER(Main_S[[#This Row],[BVPS]]),IF(Main_S[[#This Row],[BVPS]]&lt;&gt;0,Main_S[[#This Row],[Current Price]]/Main_S[[#This Row],[BVPS]],""),"")</f>
        <v>1.9216090768437337</v>
      </c>
      <c r="J98">
        <v>9.56</v>
      </c>
      <c r="K98">
        <v>5.59</v>
      </c>
      <c r="L98">
        <v>1.18</v>
      </c>
      <c r="M98" s="1">
        <f>IF(ISNUMBER(Main_S[[#This Row],[EPS]]),IF(Main_S[[#This Row],[EPS]]&lt;&gt;0,Main_S[[#This Row],[Current Price]]/Main_S[[#This Row],[EPS]],""),"")</f>
        <v>20.360655737704917</v>
      </c>
      <c r="N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8" s="1">
        <f>(Main_S[[#This Row],[P/FCF]]-VLOOKUP(Main_S[[#This Row],[Industry]], Mean_PFCF_S, 2, FALSE))/(VLOOKUP(Main_S[[#This Row],[Industry]], Mean_PFCF_S, 3, FALSE))</f>
        <v>-0.39457754532582662</v>
      </c>
      <c r="P98" s="1">
        <f>(Main_S[[#This Row],[P/B]]-VLOOKUP(Main_S[[#This Row],[Industry]], Mean_PB_S, 2, FALSE))/(VLOOKUP(Main_S[[#This Row],[Industry]], Mean_PB_S, 3, FALSE))</f>
        <v>0.76036154922597532</v>
      </c>
      <c r="Q98" s="1">
        <f>(Main_S[[#This Row],[ROE]]-VLOOKUP(Main_S[[#This Row],[Industry]], Mean_ROE_S, 2, FALSE))/(VLOOKUP(Main_S[[#This Row],[Industry]], Mean_ROE_S, 3, FALSE))</f>
        <v>1.2391933764918168</v>
      </c>
      <c r="R98" s="1">
        <f>(Main_S[[#This Row],[ROA]]-VLOOKUP(Main_S[[#This Row],[Industry]], Mean_ROA_S, 2, FALSE))/(VLOOKUP(Main_S[[#This Row],[Industry]], Mean_ROA_S, 3, FALSE))</f>
        <v>1.3664529443650208</v>
      </c>
      <c r="S98" s="1">
        <f>(Main_S[[#This Row],[A/E]]-VLOOKUP(Main_S[[#This Row],[Industry]], Mean_AE_S, 2, FALSE))/(VLOOKUP(Main_S[[#This Row],[Industry]], Mean_AE_S, 3, FALSE))</f>
        <v>-1.1304593180330826</v>
      </c>
      <c r="T98" s="1">
        <f>(Main_S[[#This Row],[P/E]]-VLOOKUP(Main_S[[#This Row],[Industry]], Mean_PE_S, 2, FALSE))/(VLOOKUP(Main_S[[#This Row],[Industry]], Mean_PE_S, 3, FALSE))</f>
        <v>1.1713628550964463</v>
      </c>
      <c r="U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9" spans="1:26" x14ac:dyDescent="0.25">
      <c r="A99" t="s">
        <v>109</v>
      </c>
      <c r="B99" t="s">
        <v>350</v>
      </c>
      <c r="C99" s="2">
        <v>290</v>
      </c>
      <c r="D99">
        <f>RTD("tos.rtd", , "LAST", Main_S[[#This Row],[Symbol]])</f>
        <v>8.42</v>
      </c>
      <c r="E99">
        <v>0.59</v>
      </c>
      <c r="F99">
        <v>3.62</v>
      </c>
      <c r="G99">
        <v>0.43</v>
      </c>
      <c r="H99" s="1">
        <f>IF(ISNUMBER(Main_S[[#This Row],[Free CF]]),IF(Main_S[[#This Row],[Free CF]]&lt;&gt;0,Main_S[[#This Row],[Current Price]]/Main_S[[#This Row],[Free CF]],""),"")</f>
        <v>14.271186440677967</v>
      </c>
      <c r="I99" s="1">
        <f>IF(ISNUMBER(Main_S[[#This Row],[BVPS]]),IF(Main_S[[#This Row],[BVPS]]&lt;&gt;0,Main_S[[#This Row],[Current Price]]/Main_S[[#This Row],[BVPS]],""),"")</f>
        <v>2.325966850828729</v>
      </c>
      <c r="J99">
        <v>11.13</v>
      </c>
      <c r="K99">
        <v>5.01</v>
      </c>
      <c r="L99">
        <v>1.45</v>
      </c>
      <c r="M99" s="1">
        <f>IF(ISNUMBER(Main_S[[#This Row],[EPS]]),IF(Main_S[[#This Row],[EPS]]&lt;&gt;0,Main_S[[#This Row],[Current Price]]/Main_S[[#This Row],[EPS]],""),"")</f>
        <v>19.581395348837209</v>
      </c>
      <c r="N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9" s="1">
        <f>(Main_S[[#This Row],[P/FCF]]-VLOOKUP(Main_S[[#This Row],[Industry]], Mean_PFCF_S, 2, FALSE))/(VLOOKUP(Main_S[[#This Row],[Industry]], Mean_PFCF_S, 3, FALSE))</f>
        <v>-0.62041640592420433</v>
      </c>
      <c r="P99" s="1">
        <f>(Main_S[[#This Row],[P/B]]-VLOOKUP(Main_S[[#This Row],[Industry]], Mean_PB_S, 2, FALSE))/(VLOOKUP(Main_S[[#This Row],[Industry]], Mean_PB_S, 3, FALSE))</f>
        <v>1.4185675851703932</v>
      </c>
      <c r="Q99" s="1">
        <f>(Main_S[[#This Row],[ROE]]-VLOOKUP(Main_S[[#This Row],[Industry]], Mean_ROE_S, 2, FALSE))/(VLOOKUP(Main_S[[#This Row],[Industry]], Mean_ROE_S, 3, FALSE))</f>
        <v>1.4443102558900407</v>
      </c>
      <c r="R99" s="1">
        <f>(Main_S[[#This Row],[ROA]]-VLOOKUP(Main_S[[#This Row],[Industry]], Mean_ROA_S, 2, FALSE))/(VLOOKUP(Main_S[[#This Row],[Industry]], Mean_ROA_S, 3, FALSE))</f>
        <v>1.1837792876603128</v>
      </c>
      <c r="S99" s="1">
        <f>(Main_S[[#This Row],[A/E]]-VLOOKUP(Main_S[[#This Row],[Industry]], Mean_AE_S, 2, FALSE))/(VLOOKUP(Main_S[[#This Row],[Industry]], Mean_AE_S, 3, FALSE))</f>
        <v>-0.23712073500206093</v>
      </c>
      <c r="T99" s="1">
        <f>(Main_S[[#This Row],[P/E]]-VLOOKUP(Main_S[[#This Row],[Industry]], Mean_PE_S, 2, FALSE))/(VLOOKUP(Main_S[[#This Row],[Industry]], Mean_PE_S, 3, FALSE))</f>
        <v>1.1464367800079893</v>
      </c>
      <c r="U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0" spans="1:26" x14ac:dyDescent="0.25">
      <c r="A100" t="s">
        <v>109</v>
      </c>
      <c r="B100" t="s">
        <v>353</v>
      </c>
      <c r="C100" s="2">
        <v>657</v>
      </c>
      <c r="D100">
        <f>RTD("tos.rtd", , "LAST", Main_S[[#This Row],[Symbol]])</f>
        <v>5.94</v>
      </c>
      <c r="E100">
        <v>0.27</v>
      </c>
      <c r="F100">
        <v>3.28</v>
      </c>
      <c r="G100">
        <v>-0.14000000000000001</v>
      </c>
      <c r="H100" s="1">
        <f>IF(ISNUMBER(Main_S[[#This Row],[Free CF]]),IF(Main_S[[#This Row],[Free CF]]&lt;&gt;0,Main_S[[#This Row],[Current Price]]/Main_S[[#This Row],[Free CF]],""),"")</f>
        <v>22</v>
      </c>
      <c r="I100" s="1">
        <f>IF(ISNUMBER(Main_S[[#This Row],[BVPS]]),IF(Main_S[[#This Row],[BVPS]]&lt;&gt;0,Main_S[[#This Row],[Current Price]]/Main_S[[#This Row],[BVPS]],""),"")</f>
        <v>1.8109756097560978</v>
      </c>
      <c r="J100">
        <v>-4.13</v>
      </c>
      <c r="K100">
        <v>1.18</v>
      </c>
      <c r="L100">
        <v>2.16</v>
      </c>
      <c r="M100" s="1">
        <f>IF(ISNUMBER(Main_S[[#This Row],[EPS]]),IF(Main_S[[#This Row],[EPS]]&lt;&gt;0,Main_S[[#This Row],[Current Price]]/Main_S[[#This Row],[EPS]],""),"")</f>
        <v>-42.428571428571431</v>
      </c>
      <c r="N1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0" s="1">
        <f>(Main_S[[#This Row],[P/FCF]]-VLOOKUP(Main_S[[#This Row],[Industry]], Mean_PFCF_S, 2, FALSE))/(VLOOKUP(Main_S[[#This Row],[Industry]], Mean_PFCF_S, 3, FALSE))</f>
        <v>0.355163207812978</v>
      </c>
      <c r="P100" s="1">
        <f>(Main_S[[#This Row],[P/B]]-VLOOKUP(Main_S[[#This Row],[Industry]], Mean_PB_S, 2, FALSE))/(VLOOKUP(Main_S[[#This Row],[Industry]], Mean_PB_S, 3, FALSE))</f>
        <v>0.58027445680558276</v>
      </c>
      <c r="Q100" s="1">
        <f>(Main_S[[#This Row],[ROE]]-VLOOKUP(Main_S[[#This Row],[Industry]], Mean_ROE_S, 2, FALSE))/(VLOOKUP(Main_S[[#This Row],[Industry]], Mean_ROE_S, 3, FALSE))</f>
        <v>-0.54937355278314071</v>
      </c>
      <c r="R100" s="1">
        <f>(Main_S[[#This Row],[ROA]]-VLOOKUP(Main_S[[#This Row],[Industry]], Mean_ROA_S, 2, FALSE))/(VLOOKUP(Main_S[[#This Row],[Industry]], Mean_ROA_S, 3, FALSE))</f>
        <v>-2.2496755751811259E-2</v>
      </c>
      <c r="S100" s="1">
        <f>(Main_S[[#This Row],[A/E]]-VLOOKUP(Main_S[[#This Row],[Industry]], Mean_AE_S, 2, FALSE))/(VLOOKUP(Main_S[[#This Row],[Industry]], Mean_AE_S, 3, FALSE))</f>
        <v>2.1120288722276634</v>
      </c>
      <c r="T100" s="1">
        <f>(Main_S[[#This Row],[P/E]]-VLOOKUP(Main_S[[#This Row],[Industry]], Mean_PE_S, 2, FALSE))/(VLOOKUP(Main_S[[#This Row],[Industry]], Mean_PE_S, 3, FALSE))</f>
        <v>-0.83706592359062193</v>
      </c>
      <c r="U1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1" spans="1:26" x14ac:dyDescent="0.25">
      <c r="A101" t="s">
        <v>109</v>
      </c>
      <c r="B101" t="s">
        <v>347</v>
      </c>
      <c r="C101" s="2">
        <v>578</v>
      </c>
      <c r="D101">
        <f>RTD("tos.rtd", , "LAST", Main_S[[#This Row],[Symbol]])</f>
        <v>32.19</v>
      </c>
      <c r="E101">
        <v>0.95</v>
      </c>
      <c r="F101">
        <v>26.5</v>
      </c>
      <c r="G101">
        <v>-0.46</v>
      </c>
      <c r="H101" s="1">
        <f>IF(ISNUMBER(Main_S[[#This Row],[Free CF]]),IF(Main_S[[#This Row],[Free CF]]&lt;&gt;0,Main_S[[#This Row],[Current Price]]/Main_S[[#This Row],[Free CF]],""),"")</f>
        <v>33.88421052631579</v>
      </c>
      <c r="I101" s="1">
        <f>IF(ISNUMBER(Main_S[[#This Row],[BVPS]]),IF(Main_S[[#This Row],[BVPS]]&lt;&gt;0,Main_S[[#This Row],[Current Price]]/Main_S[[#This Row],[BVPS]],""),"")</f>
        <v>1.2147169811320755</v>
      </c>
      <c r="J101">
        <v>-1.69</v>
      </c>
      <c r="K101">
        <v>0.62</v>
      </c>
      <c r="L101">
        <v>1.48</v>
      </c>
      <c r="M101" s="1">
        <f>IF(ISNUMBER(Main_S[[#This Row],[EPS]]),IF(Main_S[[#This Row],[EPS]]&lt;&gt;0,Main_S[[#This Row],[Current Price]]/Main_S[[#This Row],[EPS]],""),"")</f>
        <v>-69.978260869565204</v>
      </c>
      <c r="N1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1" s="1">
        <f>(Main_S[[#This Row],[P/FCF]]-VLOOKUP(Main_S[[#This Row],[Industry]], Mean_PFCF_S, 2, FALSE))/(VLOOKUP(Main_S[[#This Row],[Industry]], Mean_PFCF_S, 3, FALSE))</f>
        <v>1.8552632459165668</v>
      </c>
      <c r="P101" s="1">
        <f>(Main_S[[#This Row],[P/B]]-VLOOKUP(Main_S[[#This Row],[Industry]], Mean_PB_S, 2, FALSE))/(VLOOKUP(Main_S[[#This Row],[Industry]], Mean_PB_S, 3, FALSE))</f>
        <v>-0.39030420791630749</v>
      </c>
      <c r="Q101" s="1">
        <f>(Main_S[[#This Row],[ROE]]-VLOOKUP(Main_S[[#This Row],[Industry]], Mean_ROE_S, 2, FALSE))/(VLOOKUP(Main_S[[#This Row],[Industry]], Mean_ROE_S, 3, FALSE))</f>
        <v>-0.23059317970564652</v>
      </c>
      <c r="R101" s="1">
        <f>(Main_S[[#This Row],[ROA]]-VLOOKUP(Main_S[[#This Row],[Industry]], Mean_ROA_S, 2, FALSE))/(VLOOKUP(Main_S[[#This Row],[Industry]], Mean_ROA_S, 3, FALSE))</f>
        <v>-0.19887132084601214</v>
      </c>
      <c r="S101" s="1">
        <f>(Main_S[[#This Row],[A/E]]-VLOOKUP(Main_S[[#This Row],[Industry]], Mean_AE_S, 2, FALSE))/(VLOOKUP(Main_S[[#This Row],[Industry]], Mean_AE_S, 3, FALSE))</f>
        <v>-0.13786089244305841</v>
      </c>
      <c r="T101" s="1">
        <f>(Main_S[[#This Row],[P/E]]-VLOOKUP(Main_S[[#This Row],[Industry]], Mean_PE_S, 2, FALSE))/(VLOOKUP(Main_S[[#This Row],[Industry]], Mean_PE_S, 3, FALSE))</f>
        <v>-1.7182933508793168</v>
      </c>
      <c r="U1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2" spans="1:26" x14ac:dyDescent="0.25">
      <c r="A102" t="s">
        <v>109</v>
      </c>
      <c r="B102" t="s">
        <v>348</v>
      </c>
      <c r="C102" s="2">
        <v>282</v>
      </c>
      <c r="D102">
        <f>RTD("tos.rtd", , "LAST", Main_S[[#This Row],[Symbol]])</f>
        <v>18.350000000000001</v>
      </c>
      <c r="E102">
        <v>-0.59</v>
      </c>
      <c r="F102">
        <v>10.89</v>
      </c>
      <c r="G102">
        <v>-0.54</v>
      </c>
      <c r="H102" s="1">
        <f>IF(ISNUMBER(Main_S[[#This Row],[Free CF]]),IF(Main_S[[#This Row],[Free CF]]&lt;&gt;0,Main_S[[#This Row],[Current Price]]/Main_S[[#This Row],[Free CF]],""),"")</f>
        <v>-31.101694915254242</v>
      </c>
      <c r="I102" s="1">
        <f>IF(ISNUMBER(Main_S[[#This Row],[BVPS]]),IF(Main_S[[#This Row],[BVPS]]&lt;&gt;0,Main_S[[#This Row],[Current Price]]/Main_S[[#This Row],[BVPS]],""),"")</f>
        <v>1.6850321395775942</v>
      </c>
      <c r="J102">
        <v>-4.72</v>
      </c>
      <c r="K102">
        <v>-0.75</v>
      </c>
      <c r="L102">
        <v>1.44</v>
      </c>
      <c r="M102" s="1">
        <f>IF(ISNUMBER(Main_S[[#This Row],[EPS]]),IF(Main_S[[#This Row],[EPS]]&lt;&gt;0,Main_S[[#This Row],[Current Price]]/Main_S[[#This Row],[EPS]],""),"")</f>
        <v>-33.981481481481481</v>
      </c>
      <c r="N1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2" s="1">
        <f>(Main_S[[#This Row],[P/FCF]]-VLOOKUP(Main_S[[#This Row],[Industry]], Mean_PFCF_S, 2, FALSE))/(VLOOKUP(Main_S[[#This Row],[Industry]], Mean_PFCF_S, 3, FALSE))</f>
        <v>-6.3476677786751647</v>
      </c>
      <c r="P102" s="1">
        <f>(Main_S[[#This Row],[P/B]]-VLOOKUP(Main_S[[#This Row],[Industry]], Mean_PB_S, 2, FALSE))/(VLOOKUP(Main_S[[#This Row],[Industry]], Mean_PB_S, 3, FALSE))</f>
        <v>0.37526602716091623</v>
      </c>
      <c r="Q102" s="1">
        <f>(Main_S[[#This Row],[ROE]]-VLOOKUP(Main_S[[#This Row],[Industry]], Mean_ROE_S, 2, FALSE))/(VLOOKUP(Main_S[[#This Row],[Industry]], Mean_ROE_S, 3, FALSE))</f>
        <v>-0.62645569217482988</v>
      </c>
      <c r="R102" s="1">
        <f>(Main_S[[#This Row],[ROA]]-VLOOKUP(Main_S[[#This Row],[Industry]], Mean_ROA_S, 2, FALSE))/(VLOOKUP(Main_S[[#This Row],[Industry]], Mean_ROA_S, 3, FALSE))</f>
        <v>-0.63035909616575359</v>
      </c>
      <c r="S102" s="1">
        <f>(Main_S[[#This Row],[A/E]]-VLOOKUP(Main_S[[#This Row],[Industry]], Mean_AE_S, 2, FALSE))/(VLOOKUP(Main_S[[#This Row],[Industry]], Mean_AE_S, 3, FALSE))</f>
        <v>-0.27020734918839512</v>
      </c>
      <c r="T102" s="1">
        <f>(Main_S[[#This Row],[P/E]]-VLOOKUP(Main_S[[#This Row],[Industry]], Mean_PE_S, 2, FALSE))/(VLOOKUP(Main_S[[#This Row],[Industry]], Mean_PE_S, 3, FALSE))</f>
        <v>-0.56687023379551549</v>
      </c>
      <c r="U1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3" spans="1:26" x14ac:dyDescent="0.25">
      <c r="A103" t="s">
        <v>109</v>
      </c>
      <c r="B103" t="s">
        <v>346</v>
      </c>
      <c r="C103" s="2">
        <v>282</v>
      </c>
      <c r="D103">
        <f>RTD("tos.rtd", , "LAST", Main_S[[#This Row],[Symbol]])</f>
        <v>28.64</v>
      </c>
      <c r="E103">
        <v>3.42</v>
      </c>
      <c r="F103">
        <v>43.15</v>
      </c>
      <c r="G103">
        <v>-4.45</v>
      </c>
      <c r="H103" s="1">
        <f>IF(ISNUMBER(Main_S[[#This Row],[Free CF]]),IF(Main_S[[#This Row],[Free CF]]&lt;&gt;0,Main_S[[#This Row],[Current Price]]/Main_S[[#This Row],[Free CF]],""),"")</f>
        <v>8.3742690058479532</v>
      </c>
      <c r="I103" s="1">
        <f>IF(ISNUMBER(Main_S[[#This Row],[BVPS]]),IF(Main_S[[#This Row],[BVPS]]&lt;&gt;0,Main_S[[#This Row],[Current Price]]/Main_S[[#This Row],[BVPS]],""),"")</f>
        <v>0.66373117033603712</v>
      </c>
      <c r="J103">
        <v>-9.6999999999999993</v>
      </c>
      <c r="K103">
        <v>-4.5</v>
      </c>
      <c r="L103">
        <v>1.42</v>
      </c>
      <c r="M103" s="1">
        <f>IF(ISNUMBER(Main_S[[#This Row],[EPS]]),IF(Main_S[[#This Row],[EPS]]&lt;&gt;0,Main_S[[#This Row],[Current Price]]/Main_S[[#This Row],[EPS]],""),"")</f>
        <v>-6.4359550561797754</v>
      </c>
      <c r="N1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3" s="1">
        <f>(Main_S[[#This Row],[P/FCF]]-VLOOKUP(Main_S[[#This Row],[Industry]], Mean_PFCF_S, 2, FALSE))/(VLOOKUP(Main_S[[#This Row],[Industry]], Mean_PFCF_S, 3, FALSE))</f>
        <v>-1.3647625321640724</v>
      </c>
      <c r="P103" s="1">
        <f>(Main_S[[#This Row],[P/B]]-VLOOKUP(Main_S[[#This Row],[Industry]], Mean_PB_S, 2, FALSE))/(VLOOKUP(Main_S[[#This Row],[Industry]], Mean_PB_S, 3, FALSE))</f>
        <v>-1.2871886249304811</v>
      </c>
      <c r="Q103" s="1">
        <f>(Main_S[[#This Row],[ROE]]-VLOOKUP(Main_S[[#This Row],[Industry]], Mean_ROE_S, 2, FALSE))/(VLOOKUP(Main_S[[#This Row],[Industry]], Mean_ROE_S, 3, FALSE))</f>
        <v>-1.2770812077182405</v>
      </c>
      <c r="R103" s="1">
        <f>(Main_S[[#This Row],[ROA]]-VLOOKUP(Main_S[[#This Row],[Industry]], Mean_ROA_S, 2, FALSE))/(VLOOKUP(Main_S[[#This Row],[Industry]], Mean_ROA_S, 3, FALSE))</f>
        <v>-1.811438773135849</v>
      </c>
      <c r="S103" s="1">
        <f>(Main_S[[#This Row],[A/E]]-VLOOKUP(Main_S[[#This Row],[Industry]], Mean_AE_S, 2, FALSE))/(VLOOKUP(Main_S[[#This Row],[Industry]], Mean_AE_S, 3, FALSE))</f>
        <v>-0.33638057756106343</v>
      </c>
      <c r="T103" s="1">
        <f>(Main_S[[#This Row],[P/E]]-VLOOKUP(Main_S[[#This Row],[Industry]], Mean_PE_S, 2, FALSE))/(VLOOKUP(Main_S[[#This Row],[Industry]], Mean_PE_S, 3, FALSE))</f>
        <v>0.31422403178854613</v>
      </c>
      <c r="U1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4" spans="1:26" x14ac:dyDescent="0.25">
      <c r="A104" t="s">
        <v>109</v>
      </c>
      <c r="B104" t="s">
        <v>349</v>
      </c>
      <c r="C104" s="2">
        <v>1165</v>
      </c>
      <c r="D104">
        <f>RTD("tos.rtd", , "LAST", Main_S[[#This Row],[Symbol]])</f>
        <v>7.39</v>
      </c>
      <c r="E104">
        <v>0.36</v>
      </c>
      <c r="F104">
        <v>13.21</v>
      </c>
      <c r="G104">
        <v>-7.91</v>
      </c>
      <c r="H104" s="1">
        <f>IF(ISNUMBER(Main_S[[#This Row],[Free CF]]),IF(Main_S[[#This Row],[Free CF]]&lt;&gt;0,Main_S[[#This Row],[Current Price]]/Main_S[[#This Row],[Free CF]],""),"")</f>
        <v>20.527777777777779</v>
      </c>
      <c r="I104" s="1">
        <f>IF(ISNUMBER(Main_S[[#This Row],[BVPS]]),IF(Main_S[[#This Row],[BVPS]]&lt;&gt;0,Main_S[[#This Row],[Current Price]]/Main_S[[#This Row],[BVPS]],""),"")</f>
        <v>0.55942467827403475</v>
      </c>
      <c r="J104">
        <v>-46</v>
      </c>
      <c r="K104">
        <v>1.61</v>
      </c>
      <c r="L104">
        <v>3.17</v>
      </c>
      <c r="M104" s="1">
        <f>IF(ISNUMBER(Main_S[[#This Row],[EPS]]),IF(Main_S[[#This Row],[EPS]]&lt;&gt;0,Main_S[[#This Row],[Current Price]]/Main_S[[#This Row],[EPS]],""),"")</f>
        <v>-0.93426042983565105</v>
      </c>
      <c r="N1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4" s="1">
        <f>(Main_S[[#This Row],[P/FCF]]-VLOOKUP(Main_S[[#This Row],[Industry]], Mean_PFCF_S, 2, FALSE))/(VLOOKUP(Main_S[[#This Row],[Industry]], Mean_PFCF_S, 3, FALSE))</f>
        <v>0.16933002968455646</v>
      </c>
      <c r="P104" s="1">
        <f>(Main_S[[#This Row],[P/B]]-VLOOKUP(Main_S[[#This Row],[Industry]], Mean_PB_S, 2, FALSE))/(VLOOKUP(Main_S[[#This Row],[Industry]], Mean_PB_S, 3, FALSE))</f>
        <v>-1.4569767855160771</v>
      </c>
      <c r="Q104" s="1">
        <f>(Main_S[[#This Row],[ROE]]-VLOOKUP(Main_S[[#This Row],[Industry]], Mean_ROE_S, 2, FALSE))/(VLOOKUP(Main_S[[#This Row],[Industry]], Mean_ROE_S, 3, FALSE))</f>
        <v>-6.019592495715389</v>
      </c>
      <c r="R104" s="1">
        <f>(Main_S[[#This Row],[ROA]]-VLOOKUP(Main_S[[#This Row],[Industry]], Mean_ROA_S, 2, FALSE))/(VLOOKUP(Main_S[[#This Row],[Industry]], Mean_ROA_S, 3, FALSE))</f>
        <v>0.11293371387409305</v>
      </c>
      <c r="S104" s="1">
        <f>(Main_S[[#This Row],[A/E]]-VLOOKUP(Main_S[[#This Row],[Industry]], Mean_AE_S, 2, FALSE))/(VLOOKUP(Main_S[[#This Row],[Industry]], Mean_AE_S, 3, FALSE))</f>
        <v>5.4537769050474108</v>
      </c>
      <c r="T104" s="1">
        <f>(Main_S[[#This Row],[P/E]]-VLOOKUP(Main_S[[#This Row],[Industry]], Mean_PE_S, 2, FALSE))/(VLOOKUP(Main_S[[#This Row],[Industry]], Mean_PE_S, 3, FALSE))</f>
        <v>0.49020584137247242</v>
      </c>
      <c r="U1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5" spans="1:26" x14ac:dyDescent="0.25">
      <c r="A105" t="s">
        <v>115</v>
      </c>
      <c r="B105" t="s">
        <v>483</v>
      </c>
      <c r="C105" s="2">
        <v>1295</v>
      </c>
      <c r="D105">
        <f>RTD("tos.rtd", , "LAST", Main_S[[#This Row],[Symbol]])</f>
        <v>11.56</v>
      </c>
      <c r="H105" s="1" t="str">
        <f>IF(ISNUMBER(Main_S[[#This Row],[Free CF]]),IF(Main_S[[#This Row],[Free CF]]&lt;&gt;0,Main_S[[#This Row],[Current Price]]/Main_S[[#This Row],[Free CF]],""),"")</f>
        <v/>
      </c>
      <c r="I105" s="1" t="str">
        <f>IF(ISNUMBER(Main_S[[#This Row],[BVPS]]),IF(Main_S[[#This Row],[BVPS]]&lt;&gt;0,Main_S[[#This Row],[Current Price]]/Main_S[[#This Row],[BVPS]],""),"")</f>
        <v/>
      </c>
      <c r="J105">
        <v>185.68</v>
      </c>
      <c r="K105">
        <v>23.31</v>
      </c>
      <c r="L105">
        <v>4.38</v>
      </c>
      <c r="M105" s="1" t="str">
        <f>IF(ISNUMBER(Main_S[[#This Row],[EPS]]),IF(Main_S[[#This Row],[EPS]]&lt;&gt;0,Main_S[[#This Row],[Current Price]]/Main_S[[#This Row],[EPS]],""),"")</f>
        <v/>
      </c>
      <c r="N1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5" s="1" t="e">
        <f>(Main_S[[#This Row],[P/FCF]]-VLOOKUP(Main_S[[#This Row],[Industry]], Mean_PFCF_S, 2, FALSE))/(VLOOKUP(Main_S[[#This Row],[Industry]], Mean_PFCF_S, 3, FALSE))</f>
        <v>#VALUE!</v>
      </c>
      <c r="P105" s="1" t="e">
        <f>(Main_S[[#This Row],[P/B]]-VLOOKUP(Main_S[[#This Row],[Industry]], Mean_PB_S, 2, FALSE))/(VLOOKUP(Main_S[[#This Row],[Industry]], Mean_PB_S, 3, FALSE))</f>
        <v>#VALUE!</v>
      </c>
      <c r="Q105" s="1">
        <f>(Main_S[[#This Row],[ROE]]-VLOOKUP(Main_S[[#This Row],[Industry]], Mean_ROE_S, 2, FALSE))/(VLOOKUP(Main_S[[#This Row],[Industry]], Mean_ROE_S, 3, FALSE))</f>
        <v>10.726783089008942</v>
      </c>
      <c r="R105" s="1">
        <f>(Main_S[[#This Row],[ROA]]-VLOOKUP(Main_S[[#This Row],[Industry]], Mean_ROA_S, 2, FALSE))/(VLOOKUP(Main_S[[#This Row],[Industry]], Mean_ROA_S, 3, FALSE))</f>
        <v>6.6222892233930164</v>
      </c>
      <c r="S105" s="1">
        <f>(Main_S[[#This Row],[A/E]]-VLOOKUP(Main_S[[#This Row],[Industry]], Mean_AE_S, 2, FALSE))/(VLOOKUP(Main_S[[#This Row],[Industry]], Mean_AE_S, 3, FALSE))</f>
        <v>1.1644621016462735</v>
      </c>
      <c r="T105" s="1" t="e">
        <f>(Main_S[[#This Row],[P/E]]-VLOOKUP(Main_S[[#This Row],[Industry]], Mean_PE_S, 2, FALSE))/(VLOOKUP(Main_S[[#This Row],[Industry]], Mean_PE_S, 3, FALSE))</f>
        <v>#VALUE!</v>
      </c>
      <c r="U1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06" spans="1:26" x14ac:dyDescent="0.25">
      <c r="A106" t="s">
        <v>115</v>
      </c>
      <c r="B106" t="s">
        <v>442</v>
      </c>
      <c r="C106" s="2">
        <v>370</v>
      </c>
      <c r="D106">
        <f>RTD("tos.rtd", , "LAST", Main_S[[#This Row],[Symbol]])</f>
        <v>18.5</v>
      </c>
      <c r="H106" s="1" t="str">
        <f>IF(ISNUMBER(Main_S[[#This Row],[Free CF]]),IF(Main_S[[#This Row],[Free CF]]&lt;&gt;0,Main_S[[#This Row],[Current Price]]/Main_S[[#This Row],[Free CF]],""),"")</f>
        <v/>
      </c>
      <c r="I106" s="1" t="str">
        <f>IF(ISNUMBER(Main_S[[#This Row],[BVPS]]),IF(Main_S[[#This Row],[BVPS]]&lt;&gt;0,Main_S[[#This Row],[Current Price]]/Main_S[[#This Row],[BVPS]],""),"")</f>
        <v/>
      </c>
      <c r="J106">
        <v>38</v>
      </c>
      <c r="K106">
        <v>18.55</v>
      </c>
      <c r="L106">
        <v>2.0499999999999998</v>
      </c>
      <c r="M106" s="1" t="str">
        <f>IF(ISNUMBER(Main_S[[#This Row],[EPS]]),IF(Main_S[[#This Row],[EPS]]&lt;&gt;0,Main_S[[#This Row],[Current Price]]/Main_S[[#This Row],[EPS]],""),"")</f>
        <v/>
      </c>
      <c r="N1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6" s="1" t="e">
        <f>(Main_S[[#This Row],[P/FCF]]-VLOOKUP(Main_S[[#This Row],[Industry]], Mean_PFCF_S, 2, FALSE))/(VLOOKUP(Main_S[[#This Row],[Industry]], Mean_PFCF_S, 3, FALSE))</f>
        <v>#VALUE!</v>
      </c>
      <c r="P106" s="1" t="e">
        <f>(Main_S[[#This Row],[P/B]]-VLOOKUP(Main_S[[#This Row],[Industry]], Mean_PB_S, 2, FALSE))/(VLOOKUP(Main_S[[#This Row],[Industry]], Mean_PB_S, 3, FALSE))</f>
        <v>#VALUE!</v>
      </c>
      <c r="Q106" s="1">
        <f>(Main_S[[#This Row],[ROE]]-VLOOKUP(Main_S[[#This Row],[Industry]], Mean_ROE_S, 2, FALSE))/(VLOOKUP(Main_S[[#This Row],[Industry]], Mean_ROE_S, 3, FALSE))</f>
        <v>1.9581910824948137</v>
      </c>
      <c r="R106" s="1">
        <f>(Main_S[[#This Row],[ROA]]-VLOOKUP(Main_S[[#This Row],[Industry]], Mean_ROA_S, 2, FALSE))/(VLOOKUP(Main_S[[#This Row],[Industry]], Mean_ROA_S, 3, FALSE))</f>
        <v>5.0639401234251133</v>
      </c>
      <c r="S106" s="1">
        <f>(Main_S[[#This Row],[A/E]]-VLOOKUP(Main_S[[#This Row],[Industry]], Mean_AE_S, 2, FALSE))/(VLOOKUP(Main_S[[#This Row],[Industry]], Mean_AE_S, 3, FALSE))</f>
        <v>-0.42246778453777684</v>
      </c>
      <c r="T106" s="1" t="e">
        <f>(Main_S[[#This Row],[P/E]]-VLOOKUP(Main_S[[#This Row],[Industry]], Mean_PE_S, 2, FALSE))/(VLOOKUP(Main_S[[#This Row],[Industry]], Mean_PE_S, 3, FALSE))</f>
        <v>#VALUE!</v>
      </c>
      <c r="U1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07" spans="1:26" x14ac:dyDescent="0.25">
      <c r="A107" t="s">
        <v>115</v>
      </c>
      <c r="B107" t="s">
        <v>445</v>
      </c>
      <c r="C107" s="2">
        <v>1500</v>
      </c>
      <c r="D107">
        <f>RTD("tos.rtd", , "LAST", Main_S[[#This Row],[Symbol]])</f>
        <v>416.72</v>
      </c>
      <c r="E107">
        <v>12.4</v>
      </c>
      <c r="F107">
        <v>-13.01</v>
      </c>
      <c r="G107">
        <v>11.19</v>
      </c>
      <c r="H107" s="1">
        <f>IF(ISNUMBER(Main_S[[#This Row],[Free CF]]),IF(Main_S[[#This Row],[Free CF]]&lt;&gt;0,Main_S[[#This Row],[Current Price]]/Main_S[[#This Row],[Free CF]],""),"")</f>
        <v>33.606451612903228</v>
      </c>
      <c r="I107" s="1">
        <f>IF(ISNUMBER(Main_S[[#This Row],[BVPS]]),IF(Main_S[[#This Row],[BVPS]]&lt;&gt;0,Main_S[[#This Row],[Current Price]]/Main_S[[#This Row],[BVPS]],""),"")</f>
        <v>-32.030745580322829</v>
      </c>
      <c r="J107">
        <v>-83.42</v>
      </c>
      <c r="K107">
        <v>90.04</v>
      </c>
      <c r="L107">
        <v>-0.81</v>
      </c>
      <c r="M107" s="1">
        <f>IF(ISNUMBER(Main_S[[#This Row],[EPS]]),IF(Main_S[[#This Row],[EPS]]&lt;&gt;0,Main_S[[#This Row],[Current Price]]/Main_S[[#This Row],[EPS]],""),"")</f>
        <v>37.240393208221633</v>
      </c>
      <c r="N1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7" s="1">
        <f>(Main_S[[#This Row],[P/FCF]]-VLOOKUP(Main_S[[#This Row],[Industry]], Mean_PFCF_S, 2, FALSE))/(VLOOKUP(Main_S[[#This Row],[Industry]], Mean_PFCF_S, 3, FALSE))</f>
        <v>1.3068101407568371</v>
      </c>
      <c r="P107" s="1">
        <f>(Main_S[[#This Row],[P/B]]-VLOOKUP(Main_S[[#This Row],[Industry]], Mean_PB_S, 2, FALSE))/(VLOOKUP(Main_S[[#This Row],[Industry]], Mean_PB_S, 3, FALSE))</f>
        <v>-33.685797288428212</v>
      </c>
      <c r="Q107" s="1">
        <f>(Main_S[[#This Row],[ROE]]-VLOOKUP(Main_S[[#This Row],[Industry]], Mean_ROE_S, 2, FALSE))/(VLOOKUP(Main_S[[#This Row],[Industry]], Mean_ROE_S, 3, FALSE))</f>
        <v>-5.251197063706063</v>
      </c>
      <c r="R107" s="1">
        <f>(Main_S[[#This Row],[ROA]]-VLOOKUP(Main_S[[#This Row],[Industry]], Mean_ROA_S, 2, FALSE))/(VLOOKUP(Main_S[[#This Row],[Industry]], Mean_ROA_S, 3, FALSE))</f>
        <v>28.468641206766595</v>
      </c>
      <c r="S107" s="1">
        <f>(Main_S[[#This Row],[A/E]]-VLOOKUP(Main_S[[#This Row],[Industry]], Mean_AE_S, 2, FALSE))/(VLOOKUP(Main_S[[#This Row],[Industry]], Mean_AE_S, 3, FALSE))</f>
        <v>-2.3703731383945938</v>
      </c>
      <c r="T107" s="1">
        <f>(Main_S[[#This Row],[P/E]]-VLOOKUP(Main_S[[#This Row],[Industry]], Mean_PE_S, 2, FALSE))/(VLOOKUP(Main_S[[#This Row],[Industry]], Mean_PE_S, 3, FALSE))</f>
        <v>1.4493425884479194</v>
      </c>
      <c r="U1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8" spans="1:26" x14ac:dyDescent="0.25">
      <c r="A108" t="s">
        <v>115</v>
      </c>
      <c r="B108" t="s">
        <v>436</v>
      </c>
      <c r="C108" s="2">
        <v>674</v>
      </c>
      <c r="D108">
        <f>RTD("tos.rtd", , "LAST", Main_S[[#This Row],[Symbol]])</f>
        <v>48.61</v>
      </c>
      <c r="E108">
        <v>2.0499999999999998</v>
      </c>
      <c r="F108">
        <v>11.37</v>
      </c>
      <c r="G108">
        <v>4.1500000000000004</v>
      </c>
      <c r="H108" s="1">
        <f>IF(ISNUMBER(Main_S[[#This Row],[Free CF]]),IF(Main_S[[#This Row],[Free CF]]&lt;&gt;0,Main_S[[#This Row],[Current Price]]/Main_S[[#This Row],[Free CF]],""),"")</f>
        <v>23.712195121951222</v>
      </c>
      <c r="I108" s="1">
        <f>IF(ISNUMBER(Main_S[[#This Row],[BVPS]]),IF(Main_S[[#This Row],[BVPS]]&lt;&gt;0,Main_S[[#This Row],[Current Price]]/Main_S[[#This Row],[BVPS]],""),"")</f>
        <v>4.2752858399296398</v>
      </c>
      <c r="J108">
        <v>40.17</v>
      </c>
      <c r="K108">
        <v>15.54</v>
      </c>
      <c r="L108">
        <v>2.0699999999999998</v>
      </c>
      <c r="M108" s="1">
        <f>IF(ISNUMBER(Main_S[[#This Row],[EPS]]),IF(Main_S[[#This Row],[EPS]]&lt;&gt;0,Main_S[[#This Row],[Current Price]]/Main_S[[#This Row],[EPS]],""),"")</f>
        <v>11.713253012048192</v>
      </c>
      <c r="N1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8" s="1">
        <f>(Main_S[[#This Row],[P/FCF]]-VLOOKUP(Main_S[[#This Row],[Industry]], Mean_PFCF_S, 2, FALSE))/(VLOOKUP(Main_S[[#This Row],[Industry]], Mean_PFCF_S, 3, FALSE))</f>
        <v>0.72365113652158197</v>
      </c>
      <c r="P108" s="1">
        <f>(Main_S[[#This Row],[P/B]]-VLOOKUP(Main_S[[#This Row],[Industry]], Mean_PB_S, 2, FALSE))/(VLOOKUP(Main_S[[#This Row],[Industry]], Mean_PB_S, 3, FALSE))</f>
        <v>2.544137379356223</v>
      </c>
      <c r="Q108" s="1">
        <f>(Main_S[[#This Row],[ROE]]-VLOOKUP(Main_S[[#This Row],[Industry]], Mean_ROE_S, 2, FALSE))/(VLOOKUP(Main_S[[#This Row],[Industry]], Mean_ROE_S, 3, FALSE))</f>
        <v>2.0870361844323519</v>
      </c>
      <c r="R108" s="1">
        <f>(Main_S[[#This Row],[ROA]]-VLOOKUP(Main_S[[#This Row],[Industry]], Mean_ROA_S, 2, FALSE))/(VLOOKUP(Main_S[[#This Row],[Industry]], Mean_ROA_S, 3, FALSE))</f>
        <v>4.0785134866807029</v>
      </c>
      <c r="S108" s="1">
        <f>(Main_S[[#This Row],[A/E]]-VLOOKUP(Main_S[[#This Row],[Industry]], Mean_AE_S, 2, FALSE))/(VLOOKUP(Main_S[[#This Row],[Industry]], Mean_AE_S, 3, FALSE))</f>
        <v>-0.40884606877654034</v>
      </c>
      <c r="T108" s="1">
        <f>(Main_S[[#This Row],[P/E]]-VLOOKUP(Main_S[[#This Row],[Industry]], Mean_PE_S, 2, FALSE))/(VLOOKUP(Main_S[[#This Row],[Industry]], Mean_PE_S, 3, FALSE))</f>
        <v>9.2361892683977834E-2</v>
      </c>
      <c r="U1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9" spans="1:26" x14ac:dyDescent="0.25">
      <c r="A109" t="s">
        <v>115</v>
      </c>
      <c r="B109" t="s">
        <v>429</v>
      </c>
      <c r="C109" s="2">
        <v>525</v>
      </c>
      <c r="D109">
        <f>RTD("tos.rtd", , "LAST", Main_S[[#This Row],[Symbol]])</f>
        <v>20.079999999999998</v>
      </c>
      <c r="E109">
        <v>2.56</v>
      </c>
      <c r="F109">
        <v>23.88</v>
      </c>
      <c r="G109">
        <v>2.68</v>
      </c>
      <c r="H109" s="1">
        <f>IF(ISNUMBER(Main_S[[#This Row],[Free CF]]),IF(Main_S[[#This Row],[Free CF]]&lt;&gt;0,Main_S[[#This Row],[Current Price]]/Main_S[[#This Row],[Free CF]],""),"")</f>
        <v>7.8437499999999991</v>
      </c>
      <c r="I109" s="1">
        <f>IF(ISNUMBER(Main_S[[#This Row],[BVPS]]),IF(Main_S[[#This Row],[BVPS]]&lt;&gt;0,Main_S[[#This Row],[Current Price]]/Main_S[[#This Row],[BVPS]],""),"")</f>
        <v>0.8408710217755444</v>
      </c>
      <c r="J109">
        <v>11.97</v>
      </c>
      <c r="K109">
        <v>5.26</v>
      </c>
      <c r="L109">
        <v>1.73</v>
      </c>
      <c r="M109" s="1">
        <f>IF(ISNUMBER(Main_S[[#This Row],[EPS]]),IF(Main_S[[#This Row],[EPS]]&lt;&gt;0,Main_S[[#This Row],[Current Price]]/Main_S[[#This Row],[EPS]],""),"")</f>
        <v>7.4925373134328348</v>
      </c>
      <c r="N1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09" s="1">
        <f>(Main_S[[#This Row],[P/FCF]]-VLOOKUP(Main_S[[#This Row],[Industry]], Mean_PFCF_S, 2, FALSE))/(VLOOKUP(Main_S[[#This Row],[Industry]], Mean_PFCF_S, 3, FALSE))</f>
        <v>-0.21162142938988449</v>
      </c>
      <c r="P109" s="1">
        <f>(Main_S[[#This Row],[P/B]]-VLOOKUP(Main_S[[#This Row],[Industry]], Mean_PB_S, 2, FALSE))/(VLOOKUP(Main_S[[#This Row],[Industry]], Mean_PB_S, 3, FALSE))</f>
        <v>-0.88307897055262541</v>
      </c>
      <c r="Q109" s="1">
        <f>(Main_S[[#This Row],[ROE]]-VLOOKUP(Main_S[[#This Row],[Industry]], Mean_ROE_S, 2, FALSE))/(VLOOKUP(Main_S[[#This Row],[Industry]], Mean_ROE_S, 3, FALSE))</f>
        <v>0.41264361547448081</v>
      </c>
      <c r="R109" s="1">
        <f>(Main_S[[#This Row],[ROA]]-VLOOKUP(Main_S[[#This Row],[Industry]], Mean_ROA_S, 2, FALSE))/(VLOOKUP(Main_S[[#This Row],[Industry]], Mean_ROA_S, 3, FALSE))</f>
        <v>0.71300324557354999</v>
      </c>
      <c r="S109" s="1">
        <f>(Main_S[[#This Row],[A/E]]-VLOOKUP(Main_S[[#This Row],[Industry]], Mean_AE_S, 2, FALSE))/(VLOOKUP(Main_S[[#This Row],[Industry]], Mean_AE_S, 3, FALSE))</f>
        <v>-0.6404152367175604</v>
      </c>
      <c r="T109" s="1">
        <f>(Main_S[[#This Row],[P/E]]-VLOOKUP(Main_S[[#This Row],[Industry]], Mean_PE_S, 2, FALSE))/(VLOOKUP(Main_S[[#This Row],[Industry]], Mean_PE_S, 3, FALSE))</f>
        <v>-0.13200439673638614</v>
      </c>
      <c r="U1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0" spans="1:26" x14ac:dyDescent="0.25">
      <c r="A110" t="s">
        <v>115</v>
      </c>
      <c r="B110" t="s">
        <v>440</v>
      </c>
      <c r="C110" s="2">
        <v>455</v>
      </c>
      <c r="D110">
        <f>RTD("tos.rtd", , "LAST", Main_S[[#This Row],[Symbol]])</f>
        <v>24.91</v>
      </c>
      <c r="E110">
        <v>-1.99</v>
      </c>
      <c r="F110">
        <v>44.81</v>
      </c>
      <c r="G110">
        <v>2.44</v>
      </c>
      <c r="H110" s="1">
        <f>IF(ISNUMBER(Main_S[[#This Row],[Free CF]]),IF(Main_S[[#This Row],[Free CF]]&lt;&gt;0,Main_S[[#This Row],[Current Price]]/Main_S[[#This Row],[Free CF]],""),"")</f>
        <v>-12.517587939698492</v>
      </c>
      <c r="I110" s="1">
        <f>IF(ISNUMBER(Main_S[[#This Row],[BVPS]]),IF(Main_S[[#This Row],[BVPS]]&lt;&gt;0,Main_S[[#This Row],[Current Price]]/Main_S[[#This Row],[BVPS]],""),"")</f>
        <v>0.55590270029011379</v>
      </c>
      <c r="J110">
        <v>5.94</v>
      </c>
      <c r="K110">
        <v>2.82</v>
      </c>
      <c r="L110">
        <v>2.69</v>
      </c>
      <c r="M110" s="1">
        <f>IF(ISNUMBER(Main_S[[#This Row],[EPS]]),IF(Main_S[[#This Row],[EPS]]&lt;&gt;0,Main_S[[#This Row],[Current Price]]/Main_S[[#This Row],[EPS]],""),"")</f>
        <v>10.209016393442623</v>
      </c>
      <c r="N1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0" s="1">
        <f>(Main_S[[#This Row],[P/FCF]]-VLOOKUP(Main_S[[#This Row],[Industry]], Mean_PFCF_S, 2, FALSE))/(VLOOKUP(Main_S[[#This Row],[Industry]], Mean_PFCF_S, 3, FALSE))</f>
        <v>-1.4117012503112851</v>
      </c>
      <c r="P110" s="1">
        <f>(Main_S[[#This Row],[P/B]]-VLOOKUP(Main_S[[#This Row],[Industry]], Mean_PB_S, 2, FALSE))/(VLOOKUP(Main_S[[#This Row],[Industry]], Mean_PB_S, 3, FALSE))</f>
        <v>-1.1674500038472786</v>
      </c>
      <c r="Q110" s="1">
        <f>(Main_S[[#This Row],[ROE]]-VLOOKUP(Main_S[[#This Row],[Industry]], Mean_ROE_S, 2, FALSE))/(VLOOKUP(Main_S[[#This Row],[Industry]], Mean_ROE_S, 3, FALSE))</f>
        <v>5.4608608707957328E-2</v>
      </c>
      <c r="R110" s="1">
        <f>(Main_S[[#This Row],[ROA]]-VLOOKUP(Main_S[[#This Row],[Industry]], Mean_ROA_S, 2, FALSE))/(VLOOKUP(Main_S[[#This Row],[Industry]], Mean_ROA_S, 3, FALSE))</f>
        <v>-8.5814360292350206E-2</v>
      </c>
      <c r="S110" s="1">
        <f>(Main_S[[#This Row],[A/E]]-VLOOKUP(Main_S[[#This Row],[Industry]], Mean_AE_S, 2, FALSE))/(VLOOKUP(Main_S[[#This Row],[Industry]], Mean_AE_S, 3, FALSE))</f>
        <v>1.3427119821790756E-2</v>
      </c>
      <c r="T110" s="1">
        <f>(Main_S[[#This Row],[P/E]]-VLOOKUP(Main_S[[#This Row],[Industry]], Mean_PE_S, 2, FALSE))/(VLOOKUP(Main_S[[#This Row],[Industry]], Mean_PE_S, 3, FALSE))</f>
        <v>1.2399153512162342E-2</v>
      </c>
      <c r="U1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1" spans="1:26" x14ac:dyDescent="0.25">
      <c r="A111" t="s">
        <v>115</v>
      </c>
      <c r="B111" t="s">
        <v>422</v>
      </c>
      <c r="C111" s="2">
        <v>459</v>
      </c>
      <c r="D111">
        <f>RTD("tos.rtd", , "LAST", Main_S[[#This Row],[Symbol]])</f>
        <v>14.3</v>
      </c>
      <c r="E111">
        <v>0.01</v>
      </c>
      <c r="F111">
        <v>18.61</v>
      </c>
      <c r="G111">
        <v>2.4300000000000002</v>
      </c>
      <c r="H111" s="1">
        <f>IF(ISNUMBER(Main_S[[#This Row],[Free CF]]),IF(Main_S[[#This Row],[Free CF]]&lt;&gt;0,Main_S[[#This Row],[Current Price]]/Main_S[[#This Row],[Free CF]],""),"")</f>
        <v>1430</v>
      </c>
      <c r="I111" s="1">
        <f>IF(ISNUMBER(Main_S[[#This Row],[BVPS]]),IF(Main_S[[#This Row],[BVPS]]&lt;&gt;0,Main_S[[#This Row],[Current Price]]/Main_S[[#This Row],[BVPS]],""),"")</f>
        <v>0.76840408382590009</v>
      </c>
      <c r="J111">
        <v>13.66</v>
      </c>
      <c r="K111">
        <v>4.3600000000000003</v>
      </c>
      <c r="L111">
        <v>3.15</v>
      </c>
      <c r="M111" s="1">
        <f>IF(ISNUMBER(Main_S[[#This Row],[EPS]]),IF(Main_S[[#This Row],[EPS]]&lt;&gt;0,Main_S[[#This Row],[Current Price]]/Main_S[[#This Row],[EPS]],""),"")</f>
        <v>5.8847736625514404</v>
      </c>
      <c r="N1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1" s="1">
        <f>(Main_S[[#This Row],[P/FCF]]-VLOOKUP(Main_S[[#This Row],[Industry]], Mean_PFCF_S, 2, FALSE))/(VLOOKUP(Main_S[[#This Row],[Industry]], Mean_PFCF_S, 3, FALSE))</f>
        <v>83.609050025342796</v>
      </c>
      <c r="P111" s="1">
        <f>(Main_S[[#This Row],[P/B]]-VLOOKUP(Main_S[[#This Row],[Industry]], Mean_PB_S, 2, FALSE))/(VLOOKUP(Main_S[[#This Row],[Industry]], Mean_PB_S, 3, FALSE))</f>
        <v>-0.95539401917634925</v>
      </c>
      <c r="Q111" s="1">
        <f>(Main_S[[#This Row],[ROE]]-VLOOKUP(Main_S[[#This Row],[Industry]], Mean_ROE_S, 2, FALSE))/(VLOOKUP(Main_S[[#This Row],[Industry]], Mean_ROE_S, 3, FALSE))</f>
        <v>0.51298841836592768</v>
      </c>
      <c r="R111" s="1">
        <f>(Main_S[[#This Row],[ROA]]-VLOOKUP(Main_S[[#This Row],[Industry]], Mean_ROA_S, 2, FALSE))/(VLOOKUP(Main_S[[#This Row],[Industry]], Mean_ROA_S, 3, FALSE))</f>
        <v>0.41835740734432469</v>
      </c>
      <c r="S111" s="1">
        <f>(Main_S[[#This Row],[A/E]]-VLOOKUP(Main_S[[#This Row],[Industry]], Mean_AE_S, 2, FALSE))/(VLOOKUP(Main_S[[#This Row],[Industry]], Mean_AE_S, 3, FALSE))</f>
        <v>0.32672658233022989</v>
      </c>
      <c r="T111" s="1">
        <f>(Main_S[[#This Row],[P/E]]-VLOOKUP(Main_S[[#This Row],[Industry]], Mean_PE_S, 2, FALSE))/(VLOOKUP(Main_S[[#This Row],[Industry]], Mean_PE_S, 3, FALSE))</f>
        <v>-0.21747046229762163</v>
      </c>
      <c r="U1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2" spans="1:26" x14ac:dyDescent="0.25">
      <c r="A112" t="s">
        <v>115</v>
      </c>
      <c r="B112" t="s">
        <v>444</v>
      </c>
      <c r="C112" s="2">
        <v>1327</v>
      </c>
      <c r="D112">
        <f>RTD("tos.rtd", , "LAST", Main_S[[#This Row],[Symbol]])</f>
        <v>25.97</v>
      </c>
      <c r="E112">
        <v>2.58</v>
      </c>
      <c r="F112">
        <v>11.75</v>
      </c>
      <c r="G112">
        <v>2.13</v>
      </c>
      <c r="H112" s="1">
        <f>IF(ISNUMBER(Main_S[[#This Row],[Free CF]]),IF(Main_S[[#This Row],[Free CF]]&lt;&gt;0,Main_S[[#This Row],[Current Price]]/Main_S[[#This Row],[Free CF]],""),"")</f>
        <v>10.065891472868216</v>
      </c>
      <c r="I112" s="1">
        <f>IF(ISNUMBER(Main_S[[#This Row],[BVPS]]),IF(Main_S[[#This Row],[BVPS]]&lt;&gt;0,Main_S[[#This Row],[Current Price]]/Main_S[[#This Row],[BVPS]],""),"")</f>
        <v>2.2102127659574466</v>
      </c>
      <c r="J112">
        <v>19.18</v>
      </c>
      <c r="K112">
        <v>7.39</v>
      </c>
      <c r="L112">
        <v>4.4800000000000004</v>
      </c>
      <c r="M112" s="1">
        <f>IF(ISNUMBER(Main_S[[#This Row],[EPS]]),IF(Main_S[[#This Row],[EPS]]&lt;&gt;0,Main_S[[#This Row],[Current Price]]/Main_S[[#This Row],[EPS]],""),"")</f>
        <v>12.192488262910798</v>
      </c>
      <c r="N1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2" s="1">
        <f>(Main_S[[#This Row],[P/FCF]]-VLOOKUP(Main_S[[#This Row],[Industry]], Mean_PFCF_S, 2, FALSE))/(VLOOKUP(Main_S[[#This Row],[Industry]], Mean_PFCF_S, 3, FALSE))</f>
        <v>-8.0650313998574558E-2</v>
      </c>
      <c r="P112" s="1">
        <f>(Main_S[[#This Row],[P/B]]-VLOOKUP(Main_S[[#This Row],[Industry]], Mean_PB_S, 2, FALSE))/(VLOOKUP(Main_S[[#This Row],[Industry]], Mean_PB_S, 3, FALSE))</f>
        <v>0.48339265933490555</v>
      </c>
      <c r="Q112" s="1">
        <f>(Main_S[[#This Row],[ROE]]-VLOOKUP(Main_S[[#This Row],[Industry]], Mean_ROE_S, 2, FALSE))/(VLOOKUP(Main_S[[#This Row],[Industry]], Mean_ROE_S, 3, FALSE))</f>
        <v>0.84074185739597906</v>
      </c>
      <c r="R112" s="1">
        <f>(Main_S[[#This Row],[ROA]]-VLOOKUP(Main_S[[#This Row],[Industry]], Mean_ROA_S, 2, FALSE))/(VLOOKUP(Main_S[[#This Row],[Industry]], Mean_ROA_S, 3, FALSE))</f>
        <v>1.4103317293827169</v>
      </c>
      <c r="S112" s="1">
        <f>(Main_S[[#This Row],[A/E]]-VLOOKUP(Main_S[[#This Row],[Industry]], Mean_AE_S, 2, FALSE))/(VLOOKUP(Main_S[[#This Row],[Industry]], Mean_AE_S, 3, FALSE))</f>
        <v>1.2325706804524563</v>
      </c>
      <c r="T112" s="1">
        <f>(Main_S[[#This Row],[P/E]]-VLOOKUP(Main_S[[#This Row],[Industry]], Mean_PE_S, 2, FALSE))/(VLOOKUP(Main_S[[#This Row],[Industry]], Mean_PE_S, 3, FALSE))</f>
        <v>0.11783724868361423</v>
      </c>
      <c r="U1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3" spans="1:26" x14ac:dyDescent="0.25">
      <c r="A113" t="s">
        <v>115</v>
      </c>
      <c r="B113" t="s">
        <v>432</v>
      </c>
      <c r="C113" s="2">
        <v>1693</v>
      </c>
      <c r="D113">
        <f>RTD("tos.rtd", , "LAST", Main_S[[#This Row],[Symbol]])</f>
        <v>22.72</v>
      </c>
      <c r="E113">
        <v>3.13</v>
      </c>
      <c r="F113">
        <v>8.1</v>
      </c>
      <c r="G113">
        <v>2.0499999999999998</v>
      </c>
      <c r="H113" s="1">
        <f>IF(ISNUMBER(Main_S[[#This Row],[Free CF]]),IF(Main_S[[#This Row],[Free CF]]&lt;&gt;0,Main_S[[#This Row],[Current Price]]/Main_S[[#This Row],[Free CF]],""),"")</f>
        <v>7.2587859424920129</v>
      </c>
      <c r="I113" s="1">
        <f>IF(ISNUMBER(Main_S[[#This Row],[BVPS]]),IF(Main_S[[#This Row],[BVPS]]&lt;&gt;0,Main_S[[#This Row],[Current Price]]/Main_S[[#This Row],[BVPS]],""),"")</f>
        <v>2.8049382716049385</v>
      </c>
      <c r="J113">
        <v>30.67</v>
      </c>
      <c r="K113">
        <v>4.4800000000000004</v>
      </c>
      <c r="L113">
        <v>7.08</v>
      </c>
      <c r="M113" s="1">
        <f>IF(ISNUMBER(Main_S[[#This Row],[EPS]]),IF(Main_S[[#This Row],[EPS]]&lt;&gt;0,Main_S[[#This Row],[Current Price]]/Main_S[[#This Row],[EPS]],""),"")</f>
        <v>11.082926829268294</v>
      </c>
      <c r="N1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3" s="1">
        <f>(Main_S[[#This Row],[P/FCF]]-VLOOKUP(Main_S[[#This Row],[Industry]], Mean_PFCF_S, 2, FALSE))/(VLOOKUP(Main_S[[#This Row],[Industry]], Mean_PFCF_S, 3, FALSE))</f>
        <v>-0.24609870998208683</v>
      </c>
      <c r="P113" s="1">
        <f>(Main_S[[#This Row],[P/B]]-VLOOKUP(Main_S[[#This Row],[Industry]], Mean_PB_S, 2, FALSE))/(VLOOKUP(Main_S[[#This Row],[Industry]], Mean_PB_S, 3, FALSE))</f>
        <v>1.0768716316153701</v>
      </c>
      <c r="Q113" s="1">
        <f>(Main_S[[#This Row],[ROE]]-VLOOKUP(Main_S[[#This Row],[Industry]], Mean_ROE_S, 2, FALSE))/(VLOOKUP(Main_S[[#This Row],[Industry]], Mean_ROE_S, 3, FALSE))</f>
        <v>1.5229677658117926</v>
      </c>
      <c r="R113" s="1">
        <f>(Main_S[[#This Row],[ROA]]-VLOOKUP(Main_S[[#This Row],[Industry]], Mean_ROA_S, 2, FALSE))/(VLOOKUP(Main_S[[#This Row],[Industry]], Mean_ROA_S, 3, FALSE))</f>
        <v>0.45764351910822143</v>
      </c>
      <c r="S113" s="1">
        <f>(Main_S[[#This Row],[A/E]]-VLOOKUP(Main_S[[#This Row],[Industry]], Mean_AE_S, 2, FALSE))/(VLOOKUP(Main_S[[#This Row],[Industry]], Mean_AE_S, 3, FALSE))</f>
        <v>3.0033937294131992</v>
      </c>
      <c r="T113" s="1">
        <f>(Main_S[[#This Row],[P/E]]-VLOOKUP(Main_S[[#This Row],[Industry]], Mean_PE_S, 2, FALSE))/(VLOOKUP(Main_S[[#This Row],[Industry]], Mean_PE_S, 3, FALSE))</f>
        <v>5.8854791790822855E-2</v>
      </c>
      <c r="U1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4" spans="1:26" x14ac:dyDescent="0.25">
      <c r="A114" t="s">
        <v>115</v>
      </c>
      <c r="B114" t="s">
        <v>443</v>
      </c>
      <c r="C114" s="2">
        <v>879</v>
      </c>
      <c r="D114">
        <f>RTD("tos.rtd", , "LAST", Main_S[[#This Row],[Symbol]])</f>
        <v>8.92</v>
      </c>
      <c r="E114">
        <v>1.44</v>
      </c>
      <c r="F114">
        <v>6.94</v>
      </c>
      <c r="G114">
        <v>1.76</v>
      </c>
      <c r="H114" s="1">
        <f>IF(ISNUMBER(Main_S[[#This Row],[Free CF]]),IF(Main_S[[#This Row],[Free CF]]&lt;&gt;0,Main_S[[#This Row],[Current Price]]/Main_S[[#This Row],[Free CF]],""),"")</f>
        <v>6.1944444444444446</v>
      </c>
      <c r="I114" s="1">
        <f>IF(ISNUMBER(Main_S[[#This Row],[BVPS]]),IF(Main_S[[#This Row],[BVPS]]&lt;&gt;0,Main_S[[#This Row],[Current Price]]/Main_S[[#This Row],[BVPS]],""),"")</f>
        <v>1.2853025936599423</v>
      </c>
      <c r="J114">
        <v>29.74</v>
      </c>
      <c r="K114">
        <v>7.43</v>
      </c>
      <c r="L114">
        <v>3.87</v>
      </c>
      <c r="M114" s="1">
        <f>IF(ISNUMBER(Main_S[[#This Row],[EPS]]),IF(Main_S[[#This Row],[EPS]]&lt;&gt;0,Main_S[[#This Row],[Current Price]]/Main_S[[#This Row],[EPS]],""),"")</f>
        <v>5.0681818181818183</v>
      </c>
      <c r="N1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4" s="1">
        <f>(Main_S[[#This Row],[P/FCF]]-VLOOKUP(Main_S[[#This Row],[Industry]], Mean_PFCF_S, 2, FALSE))/(VLOOKUP(Main_S[[#This Row],[Industry]], Mean_PFCF_S, 3, FALSE))</f>
        <v>-0.30883008638568754</v>
      </c>
      <c r="P114" s="1">
        <f>(Main_S[[#This Row],[P/B]]-VLOOKUP(Main_S[[#This Row],[Industry]], Mean_PB_S, 2, FALSE))/(VLOOKUP(Main_S[[#This Row],[Industry]], Mean_PB_S, 3, FALSE))</f>
        <v>-0.43957891880390954</v>
      </c>
      <c r="Q114" s="1">
        <f>(Main_S[[#This Row],[ROE]]-VLOOKUP(Main_S[[#This Row],[Industry]], Mean_ROE_S, 2, FALSE))/(VLOOKUP(Main_S[[#This Row],[Industry]], Mean_ROE_S, 3, FALSE))</f>
        <v>1.4677484364099902</v>
      </c>
      <c r="R114" s="1">
        <f>(Main_S[[#This Row],[ROA]]-VLOOKUP(Main_S[[#This Row],[Industry]], Mean_ROA_S, 2, FALSE))/(VLOOKUP(Main_S[[#This Row],[Industry]], Mean_ROA_S, 3, FALSE))</f>
        <v>1.4234270999706826</v>
      </c>
      <c r="S114" s="1">
        <f>(Main_S[[#This Row],[A/E]]-VLOOKUP(Main_S[[#This Row],[Industry]], Mean_AE_S, 2, FALSE))/(VLOOKUP(Main_S[[#This Row],[Industry]], Mean_AE_S, 3, FALSE))</f>
        <v>0.81710834973474344</v>
      </c>
      <c r="T114" s="1">
        <f>(Main_S[[#This Row],[P/E]]-VLOOKUP(Main_S[[#This Row],[Industry]], Mean_PE_S, 2, FALSE))/(VLOOKUP(Main_S[[#This Row],[Industry]], Mean_PE_S, 3, FALSE))</f>
        <v>-0.26087913873423851</v>
      </c>
      <c r="U1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5" spans="1:26" x14ac:dyDescent="0.25">
      <c r="A115" t="s">
        <v>115</v>
      </c>
      <c r="B115" t="s">
        <v>486</v>
      </c>
      <c r="C115" s="2">
        <v>1378</v>
      </c>
      <c r="D115">
        <f>RTD("tos.rtd", , "LAST", Main_S[[#This Row],[Symbol]])</f>
        <v>20.62</v>
      </c>
      <c r="E115">
        <v>2.9</v>
      </c>
      <c r="F115">
        <v>11.74</v>
      </c>
      <c r="G115">
        <v>1.61</v>
      </c>
      <c r="H115" s="1">
        <f>IF(ISNUMBER(Main_S[[#This Row],[Free CF]]),IF(Main_S[[#This Row],[Free CF]]&lt;&gt;0,Main_S[[#This Row],[Current Price]]/Main_S[[#This Row],[Free CF]],""),"")</f>
        <v>7.1103448275862071</v>
      </c>
      <c r="I115" s="1">
        <f>IF(ISNUMBER(Main_S[[#This Row],[BVPS]]),IF(Main_S[[#This Row],[BVPS]]&lt;&gt;0,Main_S[[#This Row],[Current Price]]/Main_S[[#This Row],[BVPS]],""),"")</f>
        <v>1.7563884156729133</v>
      </c>
      <c r="J115">
        <v>14.48</v>
      </c>
      <c r="K115">
        <v>5.59</v>
      </c>
      <c r="L115">
        <v>1.98</v>
      </c>
      <c r="M115" s="1">
        <f>IF(ISNUMBER(Main_S[[#This Row],[EPS]]),IF(Main_S[[#This Row],[EPS]]&lt;&gt;0,Main_S[[#This Row],[Current Price]]/Main_S[[#This Row],[EPS]],""),"")</f>
        <v>12.807453416149068</v>
      </c>
      <c r="N1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5" s="1">
        <f>(Main_S[[#This Row],[P/FCF]]-VLOOKUP(Main_S[[#This Row],[Industry]], Mean_PFCF_S, 2, FALSE))/(VLOOKUP(Main_S[[#This Row],[Industry]], Mean_PFCF_S, 3, FALSE))</f>
        <v>-0.25484770217116154</v>
      </c>
      <c r="P115" s="1">
        <f>(Main_S[[#This Row],[P/B]]-VLOOKUP(Main_S[[#This Row],[Industry]], Mean_PB_S, 2, FALSE))/(VLOOKUP(Main_S[[#This Row],[Industry]], Mean_PB_S, 3, FALSE))</f>
        <v>3.0519516271228172E-2</v>
      </c>
      <c r="Q115" s="1">
        <f>(Main_S[[#This Row],[ROE]]-VLOOKUP(Main_S[[#This Row],[Industry]], Mean_ROE_S, 2, FALSE))/(VLOOKUP(Main_S[[#This Row],[Industry]], Mean_ROE_S, 3, FALSE))</f>
        <v>0.56167642923633387</v>
      </c>
      <c r="R115" s="1">
        <f>(Main_S[[#This Row],[ROA]]-VLOOKUP(Main_S[[#This Row],[Industry]], Mean_ROA_S, 2, FALSE))/(VLOOKUP(Main_S[[#This Row],[Industry]], Mean_ROA_S, 3, FALSE))</f>
        <v>0.82104005292426607</v>
      </c>
      <c r="S115" s="1">
        <f>(Main_S[[#This Row],[A/E]]-VLOOKUP(Main_S[[#This Row],[Industry]], Mean_AE_S, 2, FALSE))/(VLOOKUP(Main_S[[#This Row],[Industry]], Mean_AE_S, 3, FALSE))</f>
        <v>-0.47014378970210441</v>
      </c>
      <c r="T115" s="1">
        <f>(Main_S[[#This Row],[P/E]]-VLOOKUP(Main_S[[#This Row],[Industry]], Mean_PE_S, 2, FALSE))/(VLOOKUP(Main_S[[#This Row],[Industry]], Mean_PE_S, 3, FALSE))</f>
        <v>0.15052778256633009</v>
      </c>
      <c r="U1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6" spans="1:26" x14ac:dyDescent="0.25">
      <c r="A116" t="s">
        <v>115</v>
      </c>
      <c r="B116" t="s">
        <v>441</v>
      </c>
      <c r="C116" s="2">
        <v>495</v>
      </c>
      <c r="D116">
        <f>RTD("tos.rtd", , "LAST", Main_S[[#This Row],[Symbol]])</f>
        <v>18.02</v>
      </c>
      <c r="E116">
        <v>1.89</v>
      </c>
      <c r="F116">
        <v>26.07</v>
      </c>
      <c r="G116">
        <v>1.43</v>
      </c>
      <c r="H116" s="1">
        <f>IF(ISNUMBER(Main_S[[#This Row],[Free CF]]),IF(Main_S[[#This Row],[Free CF]]&lt;&gt;0,Main_S[[#This Row],[Current Price]]/Main_S[[#This Row],[Free CF]],""),"")</f>
        <v>9.5343915343915349</v>
      </c>
      <c r="I116" s="1">
        <f>IF(ISNUMBER(Main_S[[#This Row],[BVPS]]),IF(Main_S[[#This Row],[BVPS]]&lt;&gt;0,Main_S[[#This Row],[Current Price]]/Main_S[[#This Row],[BVPS]],""),"")</f>
        <v>0.69121595703874184</v>
      </c>
      <c r="J116">
        <v>4.96</v>
      </c>
      <c r="K116">
        <v>3.7</v>
      </c>
      <c r="L116">
        <v>4.42</v>
      </c>
      <c r="M116" s="1">
        <f>IF(ISNUMBER(Main_S[[#This Row],[EPS]]),IF(Main_S[[#This Row],[EPS]]&lt;&gt;0,Main_S[[#This Row],[Current Price]]/Main_S[[#This Row],[EPS]],""),"")</f>
        <v>12.601398601398602</v>
      </c>
      <c r="N1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6" s="1">
        <f>(Main_S[[#This Row],[P/FCF]]-VLOOKUP(Main_S[[#This Row],[Industry]], Mean_PFCF_S, 2, FALSE))/(VLOOKUP(Main_S[[#This Row],[Industry]], Mean_PFCF_S, 3, FALSE))</f>
        <v>-0.11197646520120405</v>
      </c>
      <c r="P116" s="1">
        <f>(Main_S[[#This Row],[P/B]]-VLOOKUP(Main_S[[#This Row],[Industry]], Mean_PB_S, 2, FALSE))/(VLOOKUP(Main_S[[#This Row],[Industry]], Mean_PB_S, 3, FALSE))</f>
        <v>-1.0324203611154306</v>
      </c>
      <c r="Q116" s="1">
        <f>(Main_S[[#This Row],[ROE]]-VLOOKUP(Main_S[[#This Row],[Industry]], Mean_ROE_S, 2, FALSE))/(VLOOKUP(Main_S[[#This Row],[Industry]], Mean_ROE_S, 3, FALSE))</f>
        <v>-3.579501844479352E-3</v>
      </c>
      <c r="R116" s="1">
        <f>(Main_S[[#This Row],[ROA]]-VLOOKUP(Main_S[[#This Row],[Industry]], Mean_ROA_S, 2, FALSE))/(VLOOKUP(Main_S[[#This Row],[Industry]], Mean_ROA_S, 3, FALSE))</f>
        <v>0.20228379264289262</v>
      </c>
      <c r="S116" s="1">
        <f>(Main_S[[#This Row],[A/E]]-VLOOKUP(Main_S[[#This Row],[Industry]], Mean_AE_S, 2, FALSE))/(VLOOKUP(Main_S[[#This Row],[Industry]], Mean_AE_S, 3, FALSE))</f>
        <v>1.1917055331687465</v>
      </c>
      <c r="T116" s="1">
        <f>(Main_S[[#This Row],[P/E]]-VLOOKUP(Main_S[[#This Row],[Industry]], Mean_PE_S, 2, FALSE))/(VLOOKUP(Main_S[[#This Row],[Industry]], Mean_PE_S, 3, FALSE))</f>
        <v>0.13957424825983103</v>
      </c>
      <c r="U1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7" spans="1:26" x14ac:dyDescent="0.25">
      <c r="A117" t="s">
        <v>115</v>
      </c>
      <c r="B117" t="s">
        <v>458</v>
      </c>
      <c r="C117" s="2">
        <v>339</v>
      </c>
      <c r="D117">
        <f>RTD("tos.rtd", , "LAST", Main_S[[#This Row],[Symbol]])</f>
        <v>20.32</v>
      </c>
      <c r="E117">
        <v>1.85</v>
      </c>
      <c r="F117">
        <v>18.899999999999999</v>
      </c>
      <c r="G117">
        <v>1.28</v>
      </c>
      <c r="H117" s="1">
        <f>IF(ISNUMBER(Main_S[[#This Row],[Free CF]]),IF(Main_S[[#This Row],[Free CF]]&lt;&gt;0,Main_S[[#This Row],[Current Price]]/Main_S[[#This Row],[Free CF]],""),"")</f>
        <v>10.983783783783784</v>
      </c>
      <c r="I117" s="1">
        <f>IF(ISNUMBER(Main_S[[#This Row],[BVPS]]),IF(Main_S[[#This Row],[BVPS]]&lt;&gt;0,Main_S[[#This Row],[Current Price]]/Main_S[[#This Row],[BVPS]],""),"")</f>
        <v>1.0751322751322752</v>
      </c>
      <c r="J117">
        <v>6.97</v>
      </c>
      <c r="K117">
        <v>2.15</v>
      </c>
      <c r="L117">
        <v>2.1</v>
      </c>
      <c r="M117" s="1">
        <f>IF(ISNUMBER(Main_S[[#This Row],[EPS]]),IF(Main_S[[#This Row],[EPS]]&lt;&gt;0,Main_S[[#This Row],[Current Price]]/Main_S[[#This Row],[EPS]],""),"")</f>
        <v>15.875</v>
      </c>
      <c r="N1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7" s="1">
        <f>(Main_S[[#This Row],[P/FCF]]-VLOOKUP(Main_S[[#This Row],[Industry]], Mean_PFCF_S, 2, FALSE))/(VLOOKUP(Main_S[[#This Row],[Industry]], Mean_PFCF_S, 3, FALSE))</f>
        <v>-2.655052726692738E-2</v>
      </c>
      <c r="P117" s="1">
        <f>(Main_S[[#This Row],[P/B]]-VLOOKUP(Main_S[[#This Row],[Industry]], Mean_PB_S, 2, FALSE))/(VLOOKUP(Main_S[[#This Row],[Industry]], Mean_PB_S, 3, FALSE))</f>
        <v>-0.64930872433471387</v>
      </c>
      <c r="Q117" s="1">
        <f>(Main_S[[#This Row],[ROE]]-VLOOKUP(Main_S[[#This Row],[Industry]], Mean_ROE_S, 2, FALSE))/(VLOOKUP(Main_S[[#This Row],[Industry]], Mean_ROE_S, 3, FALSE))</f>
        <v>0.11576550041102847</v>
      </c>
      <c r="R117" s="1">
        <f>(Main_S[[#This Row],[ROA]]-VLOOKUP(Main_S[[#This Row],[Industry]], Mean_ROA_S, 2, FALSE))/(VLOOKUP(Main_S[[#This Row],[Industry]], Mean_ROA_S, 3, FALSE))</f>
        <v>-0.3051618176407736</v>
      </c>
      <c r="S117" s="1">
        <f>(Main_S[[#This Row],[A/E]]-VLOOKUP(Main_S[[#This Row],[Industry]], Mean_AE_S, 2, FALSE))/(VLOOKUP(Main_S[[#This Row],[Industry]], Mean_AE_S, 3, FALSE))</f>
        <v>-0.38841349513468543</v>
      </c>
      <c r="T117" s="1">
        <f>(Main_S[[#This Row],[P/E]]-VLOOKUP(Main_S[[#This Row],[Industry]], Mean_PE_S, 2, FALSE))/(VLOOKUP(Main_S[[#This Row],[Industry]], Mean_PE_S, 3, FALSE))</f>
        <v>0.31359350264516289</v>
      </c>
      <c r="U1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8" spans="1:26" x14ac:dyDescent="0.25">
      <c r="A118" t="s">
        <v>115</v>
      </c>
      <c r="B118" t="s">
        <v>488</v>
      </c>
      <c r="C118" s="2">
        <v>374</v>
      </c>
      <c r="D118">
        <f>RTD("tos.rtd", , "LAST", Main_S[[#This Row],[Symbol]])</f>
        <v>16.5</v>
      </c>
      <c r="E118">
        <v>0.55000000000000004</v>
      </c>
      <c r="F118">
        <v>13.99</v>
      </c>
      <c r="G118">
        <v>1.08</v>
      </c>
      <c r="H118" s="1">
        <f>IF(ISNUMBER(Main_S[[#This Row],[Free CF]]),IF(Main_S[[#This Row],[Free CF]]&lt;&gt;0,Main_S[[#This Row],[Current Price]]/Main_S[[#This Row],[Free CF]],""),"")</f>
        <v>29.999999999999996</v>
      </c>
      <c r="I118" s="1">
        <f>IF(ISNUMBER(Main_S[[#This Row],[BVPS]]),IF(Main_S[[#This Row],[BVPS]]&lt;&gt;0,Main_S[[#This Row],[Current Price]]/Main_S[[#This Row],[BVPS]],""),"")</f>
        <v>1.1794138670478913</v>
      </c>
      <c r="J118">
        <v>7.31</v>
      </c>
      <c r="K118">
        <v>2.99</v>
      </c>
      <c r="L118">
        <v>6.3</v>
      </c>
      <c r="M118" s="1">
        <f>IF(ISNUMBER(Main_S[[#This Row],[EPS]]),IF(Main_S[[#This Row],[EPS]]&lt;&gt;0,Main_S[[#This Row],[Current Price]]/Main_S[[#This Row],[EPS]],""),"")</f>
        <v>15.277777777777777</v>
      </c>
      <c r="N1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8" s="1">
        <f>(Main_S[[#This Row],[P/FCF]]-VLOOKUP(Main_S[[#This Row],[Industry]], Mean_PFCF_S, 2, FALSE))/(VLOOKUP(Main_S[[#This Row],[Industry]], Mean_PFCF_S, 3, FALSE))</f>
        <v>1.0942489712211039</v>
      </c>
      <c r="P118" s="1">
        <f>(Main_S[[#This Row],[P/B]]-VLOOKUP(Main_S[[#This Row],[Industry]], Mean_PB_S, 2, FALSE))/(VLOOKUP(Main_S[[#This Row],[Industry]], Mean_PB_S, 3, FALSE))</f>
        <v>-0.54524570465562561</v>
      </c>
      <c r="Q118" s="1">
        <f>(Main_S[[#This Row],[ROE]]-VLOOKUP(Main_S[[#This Row],[Industry]], Mean_ROE_S, 2, FALSE))/(VLOOKUP(Main_S[[#This Row],[Industry]], Mean_ROE_S, 3, FALSE))</f>
        <v>0.13595321223534321</v>
      </c>
      <c r="R118" s="1">
        <f>(Main_S[[#This Row],[ROA]]-VLOOKUP(Main_S[[#This Row],[Industry]], Mean_ROA_S, 2, FALSE))/(VLOOKUP(Main_S[[#This Row],[Industry]], Mean_ROA_S, 3, FALSE))</f>
        <v>-3.0159035293496384E-2</v>
      </c>
      <c r="S118" s="1">
        <f>(Main_S[[#This Row],[A/E]]-VLOOKUP(Main_S[[#This Row],[Industry]], Mean_AE_S, 2, FALSE))/(VLOOKUP(Main_S[[#This Row],[Industry]], Mean_AE_S, 3, FALSE))</f>
        <v>2.4721468147249759</v>
      </c>
      <c r="T118" s="1">
        <f>(Main_S[[#This Row],[P/E]]-VLOOKUP(Main_S[[#This Row],[Industry]], Mean_PE_S, 2, FALSE))/(VLOOKUP(Main_S[[#This Row],[Industry]], Mean_PE_S, 3, FALSE))</f>
        <v>0.28184615372911465</v>
      </c>
      <c r="U1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9" spans="1:26" x14ac:dyDescent="0.25">
      <c r="A119" t="s">
        <v>115</v>
      </c>
      <c r="B119" t="s">
        <v>452</v>
      </c>
      <c r="C119" s="2">
        <v>411</v>
      </c>
      <c r="D119">
        <f>RTD("tos.rtd", , "LAST", Main_S[[#This Row],[Symbol]])</f>
        <v>54.75</v>
      </c>
      <c r="E119">
        <v>-11.38</v>
      </c>
      <c r="F119">
        <v>67.56</v>
      </c>
      <c r="G119">
        <v>1.04</v>
      </c>
      <c r="H119" s="1">
        <f>IF(ISNUMBER(Main_S[[#This Row],[Free CF]]),IF(Main_S[[#This Row],[Free CF]]&lt;&gt;0,Main_S[[#This Row],[Current Price]]/Main_S[[#This Row],[Free CF]],""),"")</f>
        <v>-4.8110720562390155</v>
      </c>
      <c r="I119" s="1">
        <f>IF(ISNUMBER(Main_S[[#This Row],[BVPS]]),IF(Main_S[[#This Row],[BVPS]]&lt;&gt;0,Main_S[[#This Row],[Current Price]]/Main_S[[#This Row],[BVPS]],""),"")</f>
        <v>0.81039076376554176</v>
      </c>
      <c r="J119">
        <v>1.5</v>
      </c>
      <c r="K119">
        <v>3.34</v>
      </c>
      <c r="L119">
        <v>2.88</v>
      </c>
      <c r="M119" s="1">
        <f>IF(ISNUMBER(Main_S[[#This Row],[EPS]]),IF(Main_S[[#This Row],[EPS]]&lt;&gt;0,Main_S[[#This Row],[Current Price]]/Main_S[[#This Row],[EPS]],""),"")</f>
        <v>52.644230769230766</v>
      </c>
      <c r="N1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9" s="1">
        <f>(Main_S[[#This Row],[P/FCF]]-VLOOKUP(Main_S[[#This Row],[Industry]], Mean_PFCF_S, 2, FALSE))/(VLOOKUP(Main_S[[#This Row],[Industry]], Mean_PFCF_S, 3, FALSE))</f>
        <v>-0.95748580392265137</v>
      </c>
      <c r="P119" s="1">
        <f>(Main_S[[#This Row],[P/B]]-VLOOKUP(Main_S[[#This Row],[Industry]], Mean_PB_S, 2, FALSE))/(VLOOKUP(Main_S[[#This Row],[Industry]], Mean_PB_S, 3, FALSE))</f>
        <v>-0.91349534252060649</v>
      </c>
      <c r="Q119" s="1">
        <f>(Main_S[[#This Row],[ROE]]-VLOOKUP(Main_S[[#This Row],[Industry]], Mean_ROE_S, 2, FALSE))/(VLOOKUP(Main_S[[#This Row],[Industry]], Mean_ROE_S, 3, FALSE))</f>
        <v>-0.20901915746838834</v>
      </c>
      <c r="R119" s="1">
        <f>(Main_S[[#This Row],[ROA]]-VLOOKUP(Main_S[[#This Row],[Industry]], Mean_ROA_S, 2, FALSE))/(VLOOKUP(Main_S[[#This Row],[Industry]], Mean_ROA_S, 3, FALSE))</f>
        <v>8.4425457351202299E-2</v>
      </c>
      <c r="S119" s="1">
        <f>(Main_S[[#This Row],[A/E]]-VLOOKUP(Main_S[[#This Row],[Industry]], Mean_AE_S, 2, FALSE))/(VLOOKUP(Main_S[[#This Row],[Industry]], Mean_AE_S, 3, FALSE))</f>
        <v>0.14283341955353732</v>
      </c>
      <c r="T119" s="1">
        <f>(Main_S[[#This Row],[P/E]]-VLOOKUP(Main_S[[#This Row],[Industry]], Mean_PE_S, 2, FALSE))/(VLOOKUP(Main_S[[#This Row],[Industry]], Mean_PE_S, 3, FALSE))</f>
        <v>2.2681852026357108</v>
      </c>
      <c r="U1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0" spans="1:26" x14ac:dyDescent="0.25">
      <c r="A120" t="s">
        <v>115</v>
      </c>
      <c r="B120" t="s">
        <v>420</v>
      </c>
      <c r="C120" s="2">
        <v>1899</v>
      </c>
      <c r="D120">
        <f>RTD("tos.rtd", , "LAST", Main_S[[#This Row],[Symbol]])</f>
        <v>10.36</v>
      </c>
      <c r="E120">
        <v>1.32</v>
      </c>
      <c r="F120">
        <v>8.2100000000000009</v>
      </c>
      <c r="G120">
        <v>1.03</v>
      </c>
      <c r="H120" s="1">
        <f>IF(ISNUMBER(Main_S[[#This Row],[Free CF]]),IF(Main_S[[#This Row],[Free CF]]&lt;&gt;0,Main_S[[#This Row],[Current Price]]/Main_S[[#This Row],[Free CF]],""),"")</f>
        <v>7.8484848484848477</v>
      </c>
      <c r="I120" s="1">
        <f>IF(ISNUMBER(Main_S[[#This Row],[BVPS]]),IF(Main_S[[#This Row],[BVPS]]&lt;&gt;0,Main_S[[#This Row],[Current Price]]/Main_S[[#This Row],[BVPS]],""),"")</f>
        <v>1.2618757612667477</v>
      </c>
      <c r="J120">
        <v>12.19</v>
      </c>
      <c r="K120">
        <v>5.19</v>
      </c>
      <c r="L120">
        <v>2.56</v>
      </c>
      <c r="M120" s="1">
        <f>IF(ISNUMBER(Main_S[[#This Row],[EPS]]),IF(Main_S[[#This Row],[EPS]]&lt;&gt;0,Main_S[[#This Row],[Current Price]]/Main_S[[#This Row],[EPS]],""),"")</f>
        <v>10.058252427184465</v>
      </c>
      <c r="N1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20" s="1">
        <f>(Main_S[[#This Row],[P/FCF]]-VLOOKUP(Main_S[[#This Row],[Industry]], Mean_PFCF_S, 2, FALSE))/(VLOOKUP(Main_S[[#This Row],[Industry]], Mean_PFCF_S, 3, FALSE))</f>
        <v>-0.21134236147506399</v>
      </c>
      <c r="P120" s="1">
        <f>(Main_S[[#This Row],[P/B]]-VLOOKUP(Main_S[[#This Row],[Industry]], Mean_PB_S, 2, FALSE))/(VLOOKUP(Main_S[[#This Row],[Industry]], Mean_PB_S, 3, FALSE))</f>
        <v>-0.462956649001243</v>
      </c>
      <c r="Q120" s="1">
        <f>(Main_S[[#This Row],[ROE]]-VLOOKUP(Main_S[[#This Row],[Industry]], Mean_ROE_S, 2, FALSE))/(VLOOKUP(Main_S[[#This Row],[Industry]], Mean_ROE_S, 3, FALSE))</f>
        <v>0.42570625253727268</v>
      </c>
      <c r="R120" s="1">
        <f>(Main_S[[#This Row],[ROA]]-VLOOKUP(Main_S[[#This Row],[Industry]], Mean_ROA_S, 2, FALSE))/(VLOOKUP(Main_S[[#This Row],[Industry]], Mean_ROA_S, 3, FALSE))</f>
        <v>0.69008634704461047</v>
      </c>
      <c r="S120" s="1">
        <f>(Main_S[[#This Row],[A/E]]-VLOOKUP(Main_S[[#This Row],[Industry]], Mean_AE_S, 2, FALSE))/(VLOOKUP(Main_S[[#This Row],[Industry]], Mean_AE_S, 3, FALSE))</f>
        <v>-7.5114032626246316E-2</v>
      </c>
      <c r="T120" s="1">
        <f>(Main_S[[#This Row],[P/E]]-VLOOKUP(Main_S[[#This Row],[Industry]], Mean_PE_S, 2, FALSE))/(VLOOKUP(Main_S[[#This Row],[Industry]], Mean_PE_S, 3, FALSE))</f>
        <v>4.3847895741371441E-3</v>
      </c>
      <c r="U1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1" spans="1:26" x14ac:dyDescent="0.25">
      <c r="A121" t="s">
        <v>115</v>
      </c>
      <c r="B121" t="s">
        <v>425</v>
      </c>
      <c r="C121" s="2">
        <v>545</v>
      </c>
      <c r="D121">
        <f>RTD("tos.rtd", , "LAST", Main_S[[#This Row],[Symbol]])</f>
        <v>12.04</v>
      </c>
      <c r="E121">
        <v>0.69</v>
      </c>
      <c r="F121">
        <v>9.77</v>
      </c>
      <c r="G121">
        <v>0.77</v>
      </c>
      <c r="H121" s="1">
        <f>IF(ISNUMBER(Main_S[[#This Row],[Free CF]]),IF(Main_S[[#This Row],[Free CF]]&lt;&gt;0,Main_S[[#This Row],[Current Price]]/Main_S[[#This Row],[Free CF]],""),"")</f>
        <v>17.44927536231884</v>
      </c>
      <c r="I121" s="1">
        <f>IF(ISNUMBER(Main_S[[#This Row],[BVPS]]),IF(Main_S[[#This Row],[BVPS]]&lt;&gt;0,Main_S[[#This Row],[Current Price]]/Main_S[[#This Row],[BVPS]],""),"")</f>
        <v>1.232343909928352</v>
      </c>
      <c r="J121">
        <v>11.01</v>
      </c>
      <c r="K121">
        <v>4.18</v>
      </c>
      <c r="L121">
        <v>5.48</v>
      </c>
      <c r="M121" s="1">
        <f>IF(ISNUMBER(Main_S[[#This Row],[EPS]]),IF(Main_S[[#This Row],[EPS]]&lt;&gt;0,Main_S[[#This Row],[Current Price]]/Main_S[[#This Row],[EPS]],""),"")</f>
        <v>15.636363636363635</v>
      </c>
      <c r="N1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1" s="1">
        <f>(Main_S[[#This Row],[P/FCF]]-VLOOKUP(Main_S[[#This Row],[Industry]], Mean_PFCF_S, 2, FALSE))/(VLOOKUP(Main_S[[#This Row],[Industry]], Mean_PFCF_S, 3, FALSE))</f>
        <v>0.35452000939015793</v>
      </c>
      <c r="P121" s="1">
        <f>(Main_S[[#This Row],[P/B]]-VLOOKUP(Main_S[[#This Row],[Industry]], Mean_PB_S, 2, FALSE))/(VLOOKUP(Main_S[[#This Row],[Industry]], Mean_PB_S, 3, FALSE))</f>
        <v>-0.49242660213999229</v>
      </c>
      <c r="Q121" s="1">
        <f>(Main_S[[#This Row],[ROE]]-VLOOKUP(Main_S[[#This Row],[Industry]], Mean_ROE_S, 2, FALSE))/(VLOOKUP(Main_S[[#This Row],[Industry]], Mean_ROE_S, 3, FALSE))</f>
        <v>0.35564301738229792</v>
      </c>
      <c r="R121" s="1">
        <f>(Main_S[[#This Row],[ROA]]-VLOOKUP(Main_S[[#This Row],[Industry]], Mean_ROA_S, 2, FALSE))/(VLOOKUP(Main_S[[#This Row],[Industry]], Mean_ROA_S, 3, FALSE))</f>
        <v>0.35942823969847937</v>
      </c>
      <c r="S121" s="1">
        <f>(Main_S[[#This Row],[A/E]]-VLOOKUP(Main_S[[#This Row],[Industry]], Mean_AE_S, 2, FALSE))/(VLOOKUP(Main_S[[#This Row],[Industry]], Mean_AE_S, 3, FALSE))</f>
        <v>1.9136564685142805</v>
      </c>
      <c r="T121" s="1">
        <f>(Main_S[[#This Row],[P/E]]-VLOOKUP(Main_S[[#This Row],[Industry]], Mean_PE_S, 2, FALSE))/(VLOOKUP(Main_S[[#This Row],[Industry]], Mean_PE_S, 3, FALSE))</f>
        <v>0.30090798690492371</v>
      </c>
      <c r="U1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2" spans="1:26" x14ac:dyDescent="0.25">
      <c r="A122" t="s">
        <v>115</v>
      </c>
      <c r="B122" t="s">
        <v>435</v>
      </c>
      <c r="C122" s="2">
        <v>296</v>
      </c>
      <c r="D122">
        <f>RTD("tos.rtd", , "LAST", Main_S[[#This Row],[Symbol]])</f>
        <v>7.99</v>
      </c>
      <c r="E122">
        <v>1.55</v>
      </c>
      <c r="F122">
        <v>1.38</v>
      </c>
      <c r="G122">
        <v>0.74</v>
      </c>
      <c r="H122" s="1">
        <f>IF(ISNUMBER(Main_S[[#This Row],[Free CF]]),IF(Main_S[[#This Row],[Free CF]]&lt;&gt;0,Main_S[[#This Row],[Current Price]]/Main_S[[#This Row],[Free CF]],""),"")</f>
        <v>5.1548387096774198</v>
      </c>
      <c r="I122" s="1">
        <f>IF(ISNUMBER(Main_S[[#This Row],[BVPS]]),IF(Main_S[[#This Row],[BVPS]]&lt;&gt;0,Main_S[[#This Row],[Current Price]]/Main_S[[#This Row],[BVPS]],""),"")</f>
        <v>5.7898550724637685</v>
      </c>
      <c r="J122">
        <v>44.29</v>
      </c>
      <c r="K122">
        <v>8.4600000000000009</v>
      </c>
      <c r="L122">
        <v>10.130000000000001</v>
      </c>
      <c r="M122" s="1">
        <f>IF(ISNUMBER(Main_S[[#This Row],[EPS]]),IF(Main_S[[#This Row],[EPS]]&lt;&gt;0,Main_S[[#This Row],[Current Price]]/Main_S[[#This Row],[EPS]],""),"")</f>
        <v>10.797297297297298</v>
      </c>
      <c r="N1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2" s="1">
        <f>(Main_S[[#This Row],[P/FCF]]-VLOOKUP(Main_S[[#This Row],[Industry]], Mean_PFCF_S, 2, FALSE))/(VLOOKUP(Main_S[[#This Row],[Industry]], Mean_PFCF_S, 3, FALSE))</f>
        <v>-0.37010355808499112</v>
      </c>
      <c r="P122" s="1">
        <f>(Main_S[[#This Row],[P/B]]-VLOOKUP(Main_S[[#This Row],[Industry]], Mean_PB_S, 2, FALSE))/(VLOOKUP(Main_S[[#This Row],[Industry]], Mean_PB_S, 3, FALSE))</f>
        <v>4.0555321035380132</v>
      </c>
      <c r="Q122" s="1">
        <f>(Main_S[[#This Row],[ROE]]-VLOOKUP(Main_S[[#This Row],[Industry]], Mean_ROE_S, 2, FALSE))/(VLOOKUP(Main_S[[#This Row],[Industry]], Mean_ROE_S, 3, FALSE))</f>
        <v>2.3316637512446365</v>
      </c>
      <c r="R122" s="1">
        <f>(Main_S[[#This Row],[ROA]]-VLOOKUP(Main_S[[#This Row],[Industry]], Mean_ROA_S, 2, FALSE))/(VLOOKUP(Main_S[[#This Row],[Industry]], Mean_ROA_S, 3, FALSE))</f>
        <v>1.7606328926107966</v>
      </c>
      <c r="S122" s="1">
        <f>(Main_S[[#This Row],[A/E]]-VLOOKUP(Main_S[[#This Row],[Industry]], Mean_AE_S, 2, FALSE))/(VLOOKUP(Main_S[[#This Row],[Industry]], Mean_AE_S, 3, FALSE))</f>
        <v>5.0807053830017637</v>
      </c>
      <c r="T122" s="1">
        <f>(Main_S[[#This Row],[P/E]]-VLOOKUP(Main_S[[#This Row],[Industry]], Mean_PE_S, 2, FALSE))/(VLOOKUP(Main_S[[#This Row],[Industry]], Mean_PE_S, 3, FALSE))</f>
        <v>4.3671196682004865E-2</v>
      </c>
      <c r="U1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3" spans="1:26" x14ac:dyDescent="0.25">
      <c r="A123" t="s">
        <v>115</v>
      </c>
      <c r="B123" t="s">
        <v>428</v>
      </c>
      <c r="C123" s="2">
        <v>1469</v>
      </c>
      <c r="D123">
        <f>RTD("tos.rtd", , "LAST", Main_S[[#This Row],[Symbol]])</f>
        <v>22.53</v>
      </c>
      <c r="E123">
        <v>0.39</v>
      </c>
      <c r="F123">
        <v>6.37</v>
      </c>
      <c r="G123">
        <v>0.71</v>
      </c>
      <c r="H123" s="1">
        <f>IF(ISNUMBER(Main_S[[#This Row],[Free CF]]),IF(Main_S[[#This Row],[Free CF]]&lt;&gt;0,Main_S[[#This Row],[Current Price]]/Main_S[[#This Row],[Free CF]],""),"")</f>
        <v>57.769230769230774</v>
      </c>
      <c r="I123" s="1">
        <f>IF(ISNUMBER(Main_S[[#This Row],[BVPS]]),IF(Main_S[[#This Row],[BVPS]]&lt;&gt;0,Main_S[[#This Row],[Current Price]]/Main_S[[#This Row],[BVPS]],""),"")</f>
        <v>3.5368916797488228</v>
      </c>
      <c r="J123">
        <v>11.69</v>
      </c>
      <c r="K123">
        <v>5.47</v>
      </c>
      <c r="L123">
        <v>1.57</v>
      </c>
      <c r="M123" s="1">
        <f>IF(ISNUMBER(Main_S[[#This Row],[EPS]]),IF(Main_S[[#This Row],[EPS]]&lt;&gt;0,Main_S[[#This Row],[Current Price]]/Main_S[[#This Row],[EPS]],""),"")</f>
        <v>31.732394366197187</v>
      </c>
      <c r="N1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3" s="1">
        <f>(Main_S[[#This Row],[P/FCF]]-VLOOKUP(Main_S[[#This Row],[Industry]], Mean_PFCF_S, 2, FALSE))/(VLOOKUP(Main_S[[#This Row],[Industry]], Mean_PFCF_S, 3, FALSE))</f>
        <v>2.7309436514704415</v>
      </c>
      <c r="P123" s="1">
        <f>(Main_S[[#This Row],[P/B]]-VLOOKUP(Main_S[[#This Row],[Industry]], Mean_PB_S, 2, FALSE))/(VLOOKUP(Main_S[[#This Row],[Industry]], Mean_PB_S, 3, FALSE))</f>
        <v>1.8072908793143154</v>
      </c>
      <c r="Q123" s="1">
        <f>(Main_S[[#This Row],[ROE]]-VLOOKUP(Main_S[[#This Row],[Industry]], Mean_ROE_S, 2, FALSE))/(VLOOKUP(Main_S[[#This Row],[Industry]], Mean_ROE_S, 3, FALSE))</f>
        <v>0.39601844103092743</v>
      </c>
      <c r="R123" s="1">
        <f>(Main_S[[#This Row],[ROA]]-VLOOKUP(Main_S[[#This Row],[Industry]], Mean_ROA_S, 2, FALSE))/(VLOOKUP(Main_S[[#This Row],[Industry]], Mean_ROA_S, 3, FALSE))</f>
        <v>0.78175394116036923</v>
      </c>
      <c r="S123" s="1">
        <f>(Main_S[[#This Row],[A/E]]-VLOOKUP(Main_S[[#This Row],[Industry]], Mean_AE_S, 2, FALSE))/(VLOOKUP(Main_S[[#This Row],[Industry]], Mean_AE_S, 3, FALSE))</f>
        <v>-0.74938896280745226</v>
      </c>
      <c r="T123" s="1">
        <f>(Main_S[[#This Row],[P/E]]-VLOOKUP(Main_S[[#This Row],[Industry]], Mean_PE_S, 2, FALSE))/(VLOOKUP(Main_S[[#This Row],[Industry]], Mean_PE_S, 3, FALSE))</f>
        <v>1.1565464489869968</v>
      </c>
      <c r="U1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4" spans="1:26" x14ac:dyDescent="0.25">
      <c r="A124" t="s">
        <v>115</v>
      </c>
      <c r="B124" t="s">
        <v>457</v>
      </c>
      <c r="C124" s="2">
        <v>1266</v>
      </c>
      <c r="D124">
        <f>RTD("tos.rtd", , "LAST", Main_S[[#This Row],[Symbol]])</f>
        <v>8.83</v>
      </c>
      <c r="E124">
        <v>0.34</v>
      </c>
      <c r="F124">
        <v>2.48</v>
      </c>
      <c r="G124">
        <v>0.41</v>
      </c>
      <c r="H124" s="1">
        <f>IF(ISNUMBER(Main_S[[#This Row],[Free CF]]),IF(Main_S[[#This Row],[Free CF]]&lt;&gt;0,Main_S[[#This Row],[Current Price]]/Main_S[[#This Row],[Free CF]],""),"")</f>
        <v>25.970588235294116</v>
      </c>
      <c r="I124" s="1">
        <f>IF(ISNUMBER(Main_S[[#This Row],[BVPS]]),IF(Main_S[[#This Row],[BVPS]]&lt;&gt;0,Main_S[[#This Row],[Current Price]]/Main_S[[#This Row],[BVPS]],""),"")</f>
        <v>3.560483870967742</v>
      </c>
      <c r="J124">
        <v>18.39</v>
      </c>
      <c r="K124">
        <v>3.74</v>
      </c>
      <c r="L124">
        <v>3.63</v>
      </c>
      <c r="M124" s="1">
        <f>IF(ISNUMBER(Main_S[[#This Row],[EPS]]),IF(Main_S[[#This Row],[EPS]]&lt;&gt;0,Main_S[[#This Row],[Current Price]]/Main_S[[#This Row],[EPS]],""),"")</f>
        <v>21.536585365853661</v>
      </c>
      <c r="N1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4" s="1">
        <f>(Main_S[[#This Row],[P/FCF]]-VLOOKUP(Main_S[[#This Row],[Industry]], Mean_PFCF_S, 2, FALSE))/(VLOOKUP(Main_S[[#This Row],[Industry]], Mean_PFCF_S, 3, FALSE))</f>
        <v>0.85675889255693016</v>
      </c>
      <c r="P124" s="1">
        <f>(Main_S[[#This Row],[P/B]]-VLOOKUP(Main_S[[#This Row],[Industry]], Mean_PB_S, 2, FALSE))/(VLOOKUP(Main_S[[#This Row],[Industry]], Mean_PB_S, 3, FALSE))</f>
        <v>1.8308336217484147</v>
      </c>
      <c r="Q124" s="1">
        <f>(Main_S[[#This Row],[ROE]]-VLOOKUP(Main_S[[#This Row],[Industry]], Mean_ROE_S, 2, FALSE))/(VLOOKUP(Main_S[[#This Row],[Industry]], Mean_ROE_S, 3, FALSE))</f>
        <v>0.79383511521595362</v>
      </c>
      <c r="R124" s="1">
        <f>(Main_S[[#This Row],[ROA]]-VLOOKUP(Main_S[[#This Row],[Industry]], Mean_ROA_S, 2, FALSE))/(VLOOKUP(Main_S[[#This Row],[Industry]], Mean_ROA_S, 3, FALSE))</f>
        <v>0.21537916323085821</v>
      </c>
      <c r="S124" s="1">
        <f>(Main_S[[#This Row],[A/E]]-VLOOKUP(Main_S[[#This Row],[Industry]], Mean_AE_S, 2, FALSE))/(VLOOKUP(Main_S[[#This Row],[Industry]], Mean_AE_S, 3, FALSE))</f>
        <v>0.65364776059990548</v>
      </c>
      <c r="T124" s="1">
        <f>(Main_S[[#This Row],[P/E]]-VLOOKUP(Main_S[[#This Row],[Industry]], Mean_PE_S, 2, FALSE))/(VLOOKUP(Main_S[[#This Row],[Industry]], Mean_PE_S, 3, FALSE))</f>
        <v>0.61455404855209117</v>
      </c>
      <c r="U1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5" spans="1:26" x14ac:dyDescent="0.25">
      <c r="A125" t="s">
        <v>115</v>
      </c>
      <c r="B125" t="s">
        <v>493</v>
      </c>
      <c r="C125" s="2">
        <v>260</v>
      </c>
      <c r="D125">
        <f>RTD("tos.rtd", , "LAST", Main_S[[#This Row],[Symbol]])</f>
        <v>9.0399999999999991</v>
      </c>
      <c r="E125">
        <v>0.49</v>
      </c>
      <c r="F125">
        <v>7.76</v>
      </c>
      <c r="G125">
        <v>0.2</v>
      </c>
      <c r="H125" s="1">
        <f>IF(ISNUMBER(Main_S[[#This Row],[Free CF]]),IF(Main_S[[#This Row],[Free CF]]&lt;&gt;0,Main_S[[#This Row],[Current Price]]/Main_S[[#This Row],[Free CF]],""),"")</f>
        <v>18.448979591836732</v>
      </c>
      <c r="I125" s="1">
        <f>IF(ISNUMBER(Main_S[[#This Row],[BVPS]]),IF(Main_S[[#This Row],[BVPS]]&lt;&gt;0,Main_S[[#This Row],[Current Price]]/Main_S[[#This Row],[BVPS]],""),"")</f>
        <v>1.1649484536082473</v>
      </c>
      <c r="J125">
        <v>2.59</v>
      </c>
      <c r="K125">
        <v>4.78</v>
      </c>
      <c r="L125">
        <v>3.2</v>
      </c>
      <c r="M125" s="1">
        <f>IF(ISNUMBER(Main_S[[#This Row],[EPS]]),IF(Main_S[[#This Row],[EPS]]&lt;&gt;0,Main_S[[#This Row],[Current Price]]/Main_S[[#This Row],[EPS]],""),"")</f>
        <v>45.199999999999996</v>
      </c>
      <c r="N1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5" s="1">
        <f>(Main_S[[#This Row],[P/FCF]]-VLOOKUP(Main_S[[#This Row],[Industry]], Mean_PFCF_S, 2, FALSE))/(VLOOKUP(Main_S[[#This Row],[Industry]], Mean_PFCF_S, 3, FALSE))</f>
        <v>0.41344172054132428</v>
      </c>
      <c r="P125" s="1">
        <f>(Main_S[[#This Row],[P/B]]-VLOOKUP(Main_S[[#This Row],[Industry]], Mean_PB_S, 2, FALSE))/(VLOOKUP(Main_S[[#This Row],[Industry]], Mean_PB_S, 3, FALSE))</f>
        <v>-0.5596807988633733</v>
      </c>
      <c r="Q125" s="1">
        <f>(Main_S[[#This Row],[ROE]]-VLOOKUP(Main_S[[#This Row],[Industry]], Mean_ROE_S, 2, FALSE))/(VLOOKUP(Main_S[[#This Row],[Industry]], Mean_ROE_S, 3, FALSE))</f>
        <v>-0.14429972838455576</v>
      </c>
      <c r="R125" s="1">
        <f>(Main_S[[#This Row],[ROA]]-VLOOKUP(Main_S[[#This Row],[Industry]], Mean_ROA_S, 2, FALSE))/(VLOOKUP(Main_S[[#This Row],[Industry]], Mean_ROA_S, 3, FALSE))</f>
        <v>0.55585879851796327</v>
      </c>
      <c r="S125" s="1">
        <f>(Main_S[[#This Row],[A/E]]-VLOOKUP(Main_S[[#This Row],[Industry]], Mean_AE_S, 2, FALSE))/(VLOOKUP(Main_S[[#This Row],[Industry]], Mean_AE_S, 3, FALSE))</f>
        <v>0.36078087173332124</v>
      </c>
      <c r="T125" s="1">
        <f>(Main_S[[#This Row],[P/E]]-VLOOKUP(Main_S[[#This Row],[Industry]], Mean_PE_S, 2, FALSE))/(VLOOKUP(Main_S[[#This Row],[Industry]], Mean_PE_S, 3, FALSE))</f>
        <v>1.8724621654671221</v>
      </c>
      <c r="U1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6" spans="1:26" x14ac:dyDescent="0.25">
      <c r="A126" t="s">
        <v>115</v>
      </c>
      <c r="B126" t="s">
        <v>423</v>
      </c>
      <c r="C126" s="2">
        <v>542</v>
      </c>
      <c r="D126">
        <f>RTD("tos.rtd", , "LAST", Main_S[[#This Row],[Symbol]])</f>
        <v>4.91</v>
      </c>
      <c r="E126">
        <v>0.6</v>
      </c>
      <c r="F126">
        <v>-1.82</v>
      </c>
      <c r="G126">
        <v>0.15</v>
      </c>
      <c r="H126" s="1">
        <f>IF(ISNUMBER(Main_S[[#This Row],[Free CF]]),IF(Main_S[[#This Row],[Free CF]]&lt;&gt;0,Main_S[[#This Row],[Current Price]]/Main_S[[#This Row],[Free CF]],""),"")</f>
        <v>8.1833333333333336</v>
      </c>
      <c r="I126" s="1">
        <f>IF(ISNUMBER(Main_S[[#This Row],[BVPS]]),IF(Main_S[[#This Row],[BVPS]]&lt;&gt;0,Main_S[[#This Row],[Current Price]]/Main_S[[#This Row],[BVPS]],""),"")</f>
        <v>-2.697802197802198</v>
      </c>
      <c r="J126">
        <v>-8.1</v>
      </c>
      <c r="K126">
        <v>7.41</v>
      </c>
      <c r="L126">
        <v>-2.56</v>
      </c>
      <c r="M126" s="1">
        <f>IF(ISNUMBER(Main_S[[#This Row],[EPS]]),IF(Main_S[[#This Row],[EPS]]&lt;&gt;0,Main_S[[#This Row],[Current Price]]/Main_S[[#This Row],[EPS]],""),"")</f>
        <v>32.733333333333334</v>
      </c>
      <c r="N1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6" s="1">
        <f>(Main_S[[#This Row],[P/FCF]]-VLOOKUP(Main_S[[#This Row],[Industry]], Mean_PFCF_S, 2, FALSE))/(VLOOKUP(Main_S[[#This Row],[Industry]], Mean_PFCF_S, 3, FALSE))</f>
        <v>-0.19160667853895907</v>
      </c>
      <c r="P126" s="1">
        <f>(Main_S[[#This Row],[P/B]]-VLOOKUP(Main_S[[#This Row],[Industry]], Mean_PB_S, 2, FALSE))/(VLOOKUP(Main_S[[#This Row],[Industry]], Mean_PB_S, 3, FALSE))</f>
        <v>-4.4143351982554231</v>
      </c>
      <c r="Q126" s="1">
        <f>(Main_S[[#This Row],[ROE]]-VLOOKUP(Main_S[[#This Row],[Industry]], Mean_ROE_S, 2, FALSE))/(VLOOKUP(Main_S[[#This Row],[Industry]], Mean_ROE_S, 3, FALSE))</f>
        <v>-0.77902513839021681</v>
      </c>
      <c r="R126" s="1">
        <f>(Main_S[[#This Row],[ROA]]-VLOOKUP(Main_S[[#This Row],[Industry]], Mean_ROA_S, 2, FALSE))/(VLOOKUP(Main_S[[#This Row],[Industry]], Mean_ROA_S, 3, FALSE))</f>
        <v>1.4168794146766999</v>
      </c>
      <c r="S126" s="1">
        <f>(Main_S[[#This Row],[A/E]]-VLOOKUP(Main_S[[#This Row],[Industry]], Mean_AE_S, 2, FALSE))/(VLOOKUP(Main_S[[#This Row],[Industry]], Mean_AE_S, 3, FALSE))</f>
        <v>-3.5622732675027864</v>
      </c>
      <c r="T126" s="1">
        <f>(Main_S[[#This Row],[P/E]]-VLOOKUP(Main_S[[#This Row],[Industry]], Mean_PE_S, 2, FALSE))/(VLOOKUP(Main_S[[#This Row],[Industry]], Mean_PE_S, 3, FALSE))</f>
        <v>1.2097547146056131</v>
      </c>
      <c r="U1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7" spans="1:26" x14ac:dyDescent="0.25">
      <c r="A127" t="s">
        <v>115</v>
      </c>
      <c r="B127" t="s">
        <v>450</v>
      </c>
      <c r="C127" s="2">
        <v>363</v>
      </c>
      <c r="D127">
        <f>RTD("tos.rtd", , "LAST", Main_S[[#This Row],[Symbol]])</f>
        <v>2.17</v>
      </c>
      <c r="E127">
        <v>0.19</v>
      </c>
      <c r="F127">
        <v>1.19</v>
      </c>
      <c r="G127">
        <v>0.11</v>
      </c>
      <c r="H127" s="1">
        <f>IF(ISNUMBER(Main_S[[#This Row],[Free CF]]),IF(Main_S[[#This Row],[Free CF]]&lt;&gt;0,Main_S[[#This Row],[Current Price]]/Main_S[[#This Row],[Free CF]],""),"")</f>
        <v>11.421052631578947</v>
      </c>
      <c r="I127" s="1">
        <f>IF(ISNUMBER(Main_S[[#This Row],[BVPS]]),IF(Main_S[[#This Row],[BVPS]]&lt;&gt;0,Main_S[[#This Row],[Current Price]]/Main_S[[#This Row],[BVPS]],""),"")</f>
        <v>1.8235294117647058</v>
      </c>
      <c r="J127">
        <v>9.3699999999999992</v>
      </c>
      <c r="K127">
        <v>6.44</v>
      </c>
      <c r="L127">
        <v>2</v>
      </c>
      <c r="M127" s="1">
        <f>IF(ISNUMBER(Main_S[[#This Row],[EPS]]),IF(Main_S[[#This Row],[EPS]]&lt;&gt;0,Main_S[[#This Row],[Current Price]]/Main_S[[#This Row],[EPS]],""),"")</f>
        <v>19.727272727272727</v>
      </c>
      <c r="N1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7" s="1">
        <f>(Main_S[[#This Row],[P/FCF]]-VLOOKUP(Main_S[[#This Row],[Industry]], Mean_PFCF_S, 2, FALSE))/(VLOOKUP(Main_S[[#This Row],[Industry]], Mean_PFCF_S, 3, FALSE))</f>
        <v>-7.7827585051100444E-4</v>
      </c>
      <c r="P127" s="1">
        <f>(Main_S[[#This Row],[P/B]]-VLOOKUP(Main_S[[#This Row],[Industry]], Mean_PB_S, 2, FALSE))/(VLOOKUP(Main_S[[#This Row],[Industry]], Mean_PB_S, 3, FALSE))</f>
        <v>9.7519786110103882E-2</v>
      </c>
      <c r="Q127" s="1">
        <f>(Main_S[[#This Row],[ROE]]-VLOOKUP(Main_S[[#This Row],[Industry]], Mean_ROE_S, 2, FALSE))/(VLOOKUP(Main_S[[#This Row],[Industry]], Mean_ROE_S, 3, FALSE))</f>
        <v>0.25826699564148553</v>
      </c>
      <c r="R127" s="1">
        <f>(Main_S[[#This Row],[ROA]]-VLOOKUP(Main_S[[#This Row],[Industry]], Mean_ROA_S, 2, FALSE))/(VLOOKUP(Main_S[[#This Row],[Industry]], Mean_ROA_S, 3, FALSE))</f>
        <v>1.0993166779185348</v>
      </c>
      <c r="S127" s="1">
        <f>(Main_S[[#This Row],[A/E]]-VLOOKUP(Main_S[[#This Row],[Industry]], Mean_AE_S, 2, FALSE))/(VLOOKUP(Main_S[[#This Row],[Industry]], Mean_AE_S, 3, FALSE))</f>
        <v>-0.45652207394086791</v>
      </c>
      <c r="T127" s="1">
        <f>(Main_S[[#This Row],[P/E]]-VLOOKUP(Main_S[[#This Row],[Industry]], Mean_PE_S, 2, FALSE))/(VLOOKUP(Main_S[[#This Row],[Industry]], Mean_PE_S, 3, FALSE))</f>
        <v>0.51837397102330918</v>
      </c>
      <c r="U1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8" spans="1:26" x14ac:dyDescent="0.25">
      <c r="A128" t="s">
        <v>115</v>
      </c>
      <c r="B128" t="s">
        <v>494</v>
      </c>
      <c r="C128" s="2">
        <v>317</v>
      </c>
      <c r="D128">
        <f>RTD("tos.rtd", , "LAST", Main_S[[#This Row],[Symbol]])</f>
        <v>10.41</v>
      </c>
      <c r="E128">
        <v>0.14000000000000001</v>
      </c>
      <c r="F128">
        <v>1.32</v>
      </c>
      <c r="G128">
        <v>0.1</v>
      </c>
      <c r="H128" s="1">
        <f>IF(ISNUMBER(Main_S[[#This Row],[Free CF]]),IF(Main_S[[#This Row],[Free CF]]&lt;&gt;0,Main_S[[#This Row],[Current Price]]/Main_S[[#This Row],[Free CF]],""),"")</f>
        <v>74.357142857142847</v>
      </c>
      <c r="I128" s="1">
        <f>IF(ISNUMBER(Main_S[[#This Row],[BVPS]]),IF(Main_S[[#This Row],[BVPS]]&lt;&gt;0,Main_S[[#This Row],[Current Price]]/Main_S[[#This Row],[BVPS]],""),"")</f>
        <v>7.8863636363636358</v>
      </c>
      <c r="J128">
        <v>8.2100000000000009</v>
      </c>
      <c r="K128">
        <v>3.7</v>
      </c>
      <c r="L128">
        <v>1.66</v>
      </c>
      <c r="M128" s="1">
        <f>IF(ISNUMBER(Main_S[[#This Row],[EPS]]),IF(Main_S[[#This Row],[EPS]]&lt;&gt;0,Main_S[[#This Row],[Current Price]]/Main_S[[#This Row],[EPS]],""),"")</f>
        <v>104.1</v>
      </c>
      <c r="N1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8" s="1">
        <f>(Main_S[[#This Row],[P/FCF]]-VLOOKUP(Main_S[[#This Row],[Industry]], Mean_PFCF_S, 2, FALSE))/(VLOOKUP(Main_S[[#This Row],[Industry]], Mean_PFCF_S, 3, FALSE))</f>
        <v>3.7086209842113882</v>
      </c>
      <c r="P128" s="1">
        <f>(Main_S[[#This Row],[P/B]]-VLOOKUP(Main_S[[#This Row],[Industry]], Mean_PB_S, 2, FALSE))/(VLOOKUP(Main_S[[#This Row],[Industry]], Mean_PB_S, 3, FALSE))</f>
        <v>6.1476464252970224</v>
      </c>
      <c r="Q128" s="1">
        <f>(Main_S[[#This Row],[ROE]]-VLOOKUP(Main_S[[#This Row],[Industry]], Mean_ROE_S, 2, FALSE))/(VLOOKUP(Main_S[[#This Row],[Industry]], Mean_ROE_S, 3, FALSE))</f>
        <v>0.18939127294676469</v>
      </c>
      <c r="R128" s="1">
        <f>(Main_S[[#This Row],[ROA]]-VLOOKUP(Main_S[[#This Row],[Industry]], Mean_ROA_S, 2, FALSE))/(VLOOKUP(Main_S[[#This Row],[Industry]], Mean_ROA_S, 3, FALSE))</f>
        <v>0.20228379264289262</v>
      </c>
      <c r="S128" s="1">
        <f>(Main_S[[#This Row],[A/E]]-VLOOKUP(Main_S[[#This Row],[Industry]], Mean_AE_S, 2, FALSE))/(VLOOKUP(Main_S[[#This Row],[Industry]], Mean_AE_S, 3, FALSE))</f>
        <v>-0.68809124188188819</v>
      </c>
      <c r="T128" s="1">
        <f>(Main_S[[#This Row],[P/E]]-VLOOKUP(Main_S[[#This Row],[Industry]], Mean_PE_S, 2, FALSE))/(VLOOKUP(Main_S[[#This Row],[Industry]], Mean_PE_S, 3, FALSE))</f>
        <v>5.0034890790293867</v>
      </c>
      <c r="U1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9" spans="1:26" x14ac:dyDescent="0.25">
      <c r="A129" t="s">
        <v>115</v>
      </c>
      <c r="B129" t="s">
        <v>434</v>
      </c>
      <c r="C129" s="2">
        <v>573</v>
      </c>
      <c r="D129">
        <f>RTD("tos.rtd", , "LAST", Main_S[[#This Row],[Symbol]])</f>
        <v>2.69</v>
      </c>
      <c r="E129">
        <v>0.33</v>
      </c>
      <c r="F129">
        <v>2.13</v>
      </c>
      <c r="G129">
        <v>7.0000000000000007E-2</v>
      </c>
      <c r="H129" s="1">
        <f>IF(ISNUMBER(Main_S[[#This Row],[Free CF]]),IF(Main_S[[#This Row],[Free CF]]&lt;&gt;0,Main_S[[#This Row],[Current Price]]/Main_S[[#This Row],[Free CF]],""),"")</f>
        <v>8.1515151515151505</v>
      </c>
      <c r="I129" s="1">
        <f>IF(ISNUMBER(Main_S[[#This Row],[BVPS]]),IF(Main_S[[#This Row],[BVPS]]&lt;&gt;0,Main_S[[#This Row],[Current Price]]/Main_S[[#This Row],[BVPS]],""),"")</f>
        <v>1.2629107981220657</v>
      </c>
      <c r="J129">
        <v>3.44</v>
      </c>
      <c r="K129">
        <v>1.72</v>
      </c>
      <c r="L129">
        <v>1.43</v>
      </c>
      <c r="M129" s="1">
        <f>IF(ISNUMBER(Main_S[[#This Row],[EPS]]),IF(Main_S[[#This Row],[EPS]]&lt;&gt;0,Main_S[[#This Row],[Current Price]]/Main_S[[#This Row],[EPS]],""),"")</f>
        <v>38.428571428571423</v>
      </c>
      <c r="N1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9" s="1">
        <f>(Main_S[[#This Row],[P/FCF]]-VLOOKUP(Main_S[[#This Row],[Industry]], Mean_PFCF_S, 2, FALSE))/(VLOOKUP(Main_S[[#This Row],[Industry]], Mean_PFCF_S, 3, FALSE))</f>
        <v>-0.19348201492655281</v>
      </c>
      <c r="P129" s="1">
        <f>(Main_S[[#This Row],[P/B]]-VLOOKUP(Main_S[[#This Row],[Industry]], Mean_PB_S, 2, FALSE))/(VLOOKUP(Main_S[[#This Row],[Industry]], Mean_PB_S, 3, FALSE))</f>
        <v>-0.46192378156352015</v>
      </c>
      <c r="Q129" s="1">
        <f>(Main_S[[#This Row],[ROE]]-VLOOKUP(Main_S[[#This Row],[Industry]], Mean_ROE_S, 2, FALSE))/(VLOOKUP(Main_S[[#This Row],[Industry]], Mean_ROE_S, 3, FALSE))</f>
        <v>-9.3830448823768856E-2</v>
      </c>
      <c r="R129" s="1">
        <f>(Main_S[[#This Row],[ROA]]-VLOOKUP(Main_S[[#This Row],[Industry]], Mean_ROA_S, 2, FALSE))/(VLOOKUP(Main_S[[#This Row],[Industry]], Mean_ROA_S, 3, FALSE))</f>
        <v>-0.44593705146140356</v>
      </c>
      <c r="S129" s="1">
        <f>(Main_S[[#This Row],[A/E]]-VLOOKUP(Main_S[[#This Row],[Industry]], Mean_AE_S, 2, FALSE))/(VLOOKUP(Main_S[[#This Row],[Industry]], Mean_AE_S, 3, FALSE))</f>
        <v>-0.84474097313610774</v>
      </c>
      <c r="T129" s="1">
        <f>(Main_S[[#This Row],[P/E]]-VLOOKUP(Main_S[[#This Row],[Industry]], Mean_PE_S, 2, FALSE))/(VLOOKUP(Main_S[[#This Row],[Industry]], Mean_PE_S, 3, FALSE))</f>
        <v>1.5125041841359279</v>
      </c>
      <c r="U1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0" spans="1:26" x14ac:dyDescent="0.25">
      <c r="A130" t="s">
        <v>115</v>
      </c>
      <c r="B130" t="s">
        <v>433</v>
      </c>
      <c r="C130" s="2">
        <v>275</v>
      </c>
      <c r="D130">
        <f>RTD("tos.rtd", , "LAST", Main_S[[#This Row],[Symbol]])</f>
        <v>1.08</v>
      </c>
      <c r="E130">
        <v>0.13</v>
      </c>
      <c r="F130">
        <v>1.49</v>
      </c>
      <c r="G130">
        <v>0.05</v>
      </c>
      <c r="H130" s="1">
        <f>IF(ISNUMBER(Main_S[[#This Row],[Free CF]]),IF(Main_S[[#This Row],[Free CF]]&lt;&gt;0,Main_S[[#This Row],[Current Price]]/Main_S[[#This Row],[Free CF]],""),"")</f>
        <v>8.3076923076923084</v>
      </c>
      <c r="I130" s="1">
        <f>IF(ISNUMBER(Main_S[[#This Row],[BVPS]]),IF(Main_S[[#This Row],[BVPS]]&lt;&gt;0,Main_S[[#This Row],[Current Price]]/Main_S[[#This Row],[BVPS]],""),"")</f>
        <v>0.72483221476510074</v>
      </c>
      <c r="J130">
        <v>3.25</v>
      </c>
      <c r="K130">
        <v>-0.02</v>
      </c>
      <c r="L130">
        <v>1.61</v>
      </c>
      <c r="M130" s="1">
        <f>IF(ISNUMBER(Main_S[[#This Row],[EPS]]),IF(Main_S[[#This Row],[EPS]]&lt;&gt;0,Main_S[[#This Row],[Current Price]]/Main_S[[#This Row],[EPS]],""),"")</f>
        <v>21.6</v>
      </c>
      <c r="N1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0" s="1">
        <f>(Main_S[[#This Row],[P/FCF]]-VLOOKUP(Main_S[[#This Row],[Industry]], Mean_PFCF_S, 2, FALSE))/(VLOOKUP(Main_S[[#This Row],[Industry]], Mean_PFCF_S, 3, FALSE))</f>
        <v>-0.18427706709001235</v>
      </c>
      <c r="P130" s="1">
        <f>(Main_S[[#This Row],[P/B]]-VLOOKUP(Main_S[[#This Row],[Industry]], Mean_PB_S, 2, FALSE))/(VLOOKUP(Main_S[[#This Row],[Industry]], Mean_PB_S, 3, FALSE))</f>
        <v>-0.99887456242695161</v>
      </c>
      <c r="Q130" s="1">
        <f>(Main_S[[#This Row],[ROE]]-VLOOKUP(Main_S[[#This Row],[Industry]], Mean_ROE_S, 2, FALSE))/(VLOOKUP(Main_S[[#This Row],[Industry]], Mean_ROE_S, 3, FALSE))</f>
        <v>-0.10511181719618004</v>
      </c>
      <c r="R130" s="1">
        <f>(Main_S[[#This Row],[ROA]]-VLOOKUP(Main_S[[#This Row],[Industry]], Mean_ROA_S, 2, FALSE))/(VLOOKUP(Main_S[[#This Row],[Industry]], Mean_ROA_S, 3, FALSE))</f>
        <v>-1.0155856720379062</v>
      </c>
      <c r="S130" s="1">
        <f>(Main_S[[#This Row],[A/E]]-VLOOKUP(Main_S[[#This Row],[Industry]], Mean_AE_S, 2, FALSE))/(VLOOKUP(Main_S[[#This Row],[Industry]], Mean_AE_S, 3, FALSE))</f>
        <v>-0.72214553128497927</v>
      </c>
      <c r="T130" s="1">
        <f>(Main_S[[#This Row],[P/E]]-VLOOKUP(Main_S[[#This Row],[Industry]], Mean_PE_S, 2, FALSE))/(VLOOKUP(Main_S[[#This Row],[Industry]], Mean_PE_S, 3, FALSE))</f>
        <v>0.61792506597528118</v>
      </c>
      <c r="U1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1" spans="1:26" x14ac:dyDescent="0.25">
      <c r="A131" t="s">
        <v>115</v>
      </c>
      <c r="B131" t="s">
        <v>449</v>
      </c>
      <c r="C131" s="2">
        <v>488</v>
      </c>
      <c r="D131">
        <f>RTD("tos.rtd", , "LAST", Main_S[[#This Row],[Symbol]])</f>
        <v>4.58</v>
      </c>
      <c r="E131">
        <v>1.1599999999999999</v>
      </c>
      <c r="F131">
        <v>2.21</v>
      </c>
      <c r="G131">
        <v>0.03</v>
      </c>
      <c r="H131" s="1">
        <f>IF(ISNUMBER(Main_S[[#This Row],[Free CF]]),IF(Main_S[[#This Row],[Free CF]]&lt;&gt;0,Main_S[[#This Row],[Current Price]]/Main_S[[#This Row],[Free CF]],""),"")</f>
        <v>3.9482758620689657</v>
      </c>
      <c r="I131" s="1">
        <f>IF(ISNUMBER(Main_S[[#This Row],[BVPS]]),IF(Main_S[[#This Row],[BVPS]]&lt;&gt;0,Main_S[[#This Row],[Current Price]]/Main_S[[#This Row],[BVPS]],""),"")</f>
        <v>2.0723981900452491</v>
      </c>
      <c r="J131">
        <v>2.4500000000000002</v>
      </c>
      <c r="K131">
        <v>1.61</v>
      </c>
      <c r="L131">
        <v>14.12</v>
      </c>
      <c r="M131" s="1">
        <f>IF(ISNUMBER(Main_S[[#This Row],[EPS]]),IF(Main_S[[#This Row],[EPS]]&lt;&gt;0,Main_S[[#This Row],[Current Price]]/Main_S[[#This Row],[EPS]],""),"")</f>
        <v>152.66666666666669</v>
      </c>
      <c r="N1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1" s="1">
        <f>(Main_S[[#This Row],[P/FCF]]-VLOOKUP(Main_S[[#This Row],[Industry]], Mean_PFCF_S, 2, FALSE))/(VLOOKUP(Main_S[[#This Row],[Industry]], Mean_PFCF_S, 3, FALSE))</f>
        <v>-0.44121733903478122</v>
      </c>
      <c r="P131" s="1">
        <f>(Main_S[[#This Row],[P/B]]-VLOOKUP(Main_S[[#This Row],[Industry]], Mean_PB_S, 2, FALSE))/(VLOOKUP(Main_S[[#This Row],[Industry]], Mean_PB_S, 3, FALSE))</f>
        <v>0.34586694015695918</v>
      </c>
      <c r="Q131" s="1">
        <f>(Main_S[[#This Row],[ROE]]-VLOOKUP(Main_S[[#This Row],[Industry]], Mean_ROE_S, 2, FALSE))/(VLOOKUP(Main_S[[#This Row],[Industry]], Mean_ROE_S, 3, FALSE))</f>
        <v>-0.1526123156063324</v>
      </c>
      <c r="R131" s="1">
        <f>(Main_S[[#This Row],[ROA]]-VLOOKUP(Main_S[[#This Row],[Industry]], Mean_ROA_S, 2, FALSE))/(VLOOKUP(Main_S[[#This Row],[Industry]], Mean_ROA_S, 3, FALSE))</f>
        <v>-0.48194932057830886</v>
      </c>
      <c r="S131" s="1">
        <f>(Main_S[[#This Row],[A/E]]-VLOOKUP(Main_S[[#This Row],[Industry]], Mean_AE_S, 2, FALSE))/(VLOOKUP(Main_S[[#This Row],[Industry]], Mean_AE_S, 3, FALSE))</f>
        <v>7.7982376773684408</v>
      </c>
      <c r="T131" s="1">
        <f>(Main_S[[#This Row],[P/E]]-VLOOKUP(Main_S[[#This Row],[Industry]], Mean_PE_S, 2, FALSE))/(VLOOKUP(Main_S[[#This Row],[Industry]], Mean_PE_S, 3, FALSE))</f>
        <v>7.5852130253000274</v>
      </c>
      <c r="U1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2" spans="1:26" x14ac:dyDescent="0.25">
      <c r="A132" t="s">
        <v>115</v>
      </c>
      <c r="B132" t="s">
        <v>497</v>
      </c>
      <c r="C132" s="2">
        <v>285</v>
      </c>
      <c r="D132">
        <f>RTD("tos.rtd", , "LAST", Main_S[[#This Row],[Symbol]])</f>
        <v>6.28</v>
      </c>
      <c r="E132">
        <v>7.0000000000000007E-2</v>
      </c>
      <c r="F132">
        <v>2.75</v>
      </c>
      <c r="G132">
        <v>0.01</v>
      </c>
      <c r="H132" s="1">
        <f>IF(ISNUMBER(Main_S[[#This Row],[Free CF]]),IF(Main_S[[#This Row],[Free CF]]&lt;&gt;0,Main_S[[#This Row],[Current Price]]/Main_S[[#This Row],[Free CF]],""),"")</f>
        <v>89.714285714285708</v>
      </c>
      <c r="I132" s="1">
        <f>IF(ISNUMBER(Main_S[[#This Row],[BVPS]]),IF(Main_S[[#This Row],[BVPS]]&lt;&gt;0,Main_S[[#This Row],[Current Price]]/Main_S[[#This Row],[BVPS]],""),"")</f>
        <v>2.2836363636363637</v>
      </c>
      <c r="J132">
        <v>0.66</v>
      </c>
      <c r="K132">
        <v>0.45</v>
      </c>
      <c r="L132">
        <v>2.64</v>
      </c>
      <c r="M132" s="1">
        <f>IF(ISNUMBER(Main_S[[#This Row],[EPS]]),IF(Main_S[[#This Row],[EPS]]&lt;&gt;0,Main_S[[#This Row],[Current Price]]/Main_S[[#This Row],[EPS]],""),"")</f>
        <v>628</v>
      </c>
      <c r="N1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2" s="1">
        <f>(Main_S[[#This Row],[P/FCF]]-VLOOKUP(Main_S[[#This Row],[Industry]], Mean_PFCF_S, 2, FALSE))/(VLOOKUP(Main_S[[#This Row],[Industry]], Mean_PFCF_S, 3, FALSE))</f>
        <v>4.6137578325091519</v>
      </c>
      <c r="P132" s="1">
        <f>(Main_S[[#This Row],[P/B]]-VLOOKUP(Main_S[[#This Row],[Industry]], Mean_PB_S, 2, FALSE))/(VLOOKUP(Main_S[[#This Row],[Industry]], Mean_PB_S, 3, FALSE))</f>
        <v>0.55666236254727486</v>
      </c>
      <c r="Q132" s="1">
        <f>(Main_S[[#This Row],[ROE]]-VLOOKUP(Main_S[[#This Row],[Industry]], Mean_ROE_S, 2, FALSE))/(VLOOKUP(Main_S[[#This Row],[Industry]], Mean_ROE_S, 3, FALSE))</f>
        <v>-0.25889468079904832</v>
      </c>
      <c r="R132" s="1">
        <f>(Main_S[[#This Row],[ROA]]-VLOOKUP(Main_S[[#This Row],[Industry]], Mean_ROA_S, 2, FALSE))/(VLOOKUP(Main_S[[#This Row],[Industry]], Mean_ROA_S, 3, FALSE))</f>
        <v>-0.8617150676293106</v>
      </c>
      <c r="S132" s="1">
        <f>(Main_S[[#This Row],[A/E]]-VLOOKUP(Main_S[[#This Row],[Industry]], Mean_AE_S, 2, FALSE))/(VLOOKUP(Main_S[[#This Row],[Industry]], Mean_AE_S, 3, FALSE))</f>
        <v>-2.0627169581300332E-2</v>
      </c>
      <c r="T132" s="1">
        <f>(Main_S[[#This Row],[P/E]]-VLOOKUP(Main_S[[#This Row],[Industry]], Mean_PE_S, 2, FALSE))/(VLOOKUP(Main_S[[#This Row],[Industry]], Mean_PE_S, 3, FALSE))</f>
        <v>32.853149520714794</v>
      </c>
      <c r="U1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3" spans="1:26" x14ac:dyDescent="0.25">
      <c r="A133" t="s">
        <v>115</v>
      </c>
      <c r="B133" t="s">
        <v>451</v>
      </c>
      <c r="C133" s="2">
        <v>472</v>
      </c>
      <c r="D133">
        <f>RTD("tos.rtd", , "LAST", Main_S[[#This Row],[Symbol]])</f>
        <v>5.16</v>
      </c>
      <c r="E133">
        <v>-1.63</v>
      </c>
      <c r="F133">
        <v>5.13</v>
      </c>
      <c r="G133">
        <v>0</v>
      </c>
      <c r="H133" s="1">
        <f>IF(ISNUMBER(Main_S[[#This Row],[Free CF]]),IF(Main_S[[#This Row],[Free CF]]&lt;&gt;0,Main_S[[#This Row],[Current Price]]/Main_S[[#This Row],[Free CF]],""),"")</f>
        <v>-3.1656441717791415</v>
      </c>
      <c r="I133" s="1">
        <f>IF(ISNUMBER(Main_S[[#This Row],[BVPS]]),IF(Main_S[[#This Row],[BVPS]]&lt;&gt;0,Main_S[[#This Row],[Current Price]]/Main_S[[#This Row],[BVPS]],""),"")</f>
        <v>1.0058479532163742</v>
      </c>
      <c r="J133">
        <v>0.06</v>
      </c>
      <c r="K133">
        <v>1.63</v>
      </c>
      <c r="L133">
        <v>1.82</v>
      </c>
      <c r="M133" s="1" t="str">
        <f>IF(ISNUMBER(Main_S[[#This Row],[EPS]]),IF(Main_S[[#This Row],[EPS]]&lt;&gt;0,Main_S[[#This Row],[Current Price]]/Main_S[[#This Row],[EPS]],""),"")</f>
        <v/>
      </c>
      <c r="N1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3" s="1">
        <f>(Main_S[[#This Row],[P/FCF]]-VLOOKUP(Main_S[[#This Row],[Industry]], Mean_PFCF_S, 2, FALSE))/(VLOOKUP(Main_S[[#This Row],[Industry]], Mean_PFCF_S, 3, FALSE))</f>
        <v>-0.86050569354042938</v>
      </c>
      <c r="P133" s="1">
        <f>(Main_S[[#This Row],[P/B]]-VLOOKUP(Main_S[[#This Row],[Industry]], Mean_PB_S, 2, FALSE))/(VLOOKUP(Main_S[[#This Row],[Industry]], Mean_PB_S, 3, FALSE))</f>
        <v>-0.71844782762746862</v>
      </c>
      <c r="Q133" s="1">
        <f>(Main_S[[#This Row],[ROE]]-VLOOKUP(Main_S[[#This Row],[Industry]], Mean_ROE_S, 2, FALSE))/(VLOOKUP(Main_S[[#This Row],[Industry]], Mean_ROE_S, 3, FALSE))</f>
        <v>-0.29452005460666264</v>
      </c>
      <c r="R133" s="1">
        <f>(Main_S[[#This Row],[ROA]]-VLOOKUP(Main_S[[#This Row],[Industry]], Mean_ROA_S, 2, FALSE))/(VLOOKUP(Main_S[[#This Row],[Industry]], Mean_ROA_S, 3, FALSE))</f>
        <v>-0.47540163528432611</v>
      </c>
      <c r="S133" s="1">
        <f>(Main_S[[#This Row],[A/E]]-VLOOKUP(Main_S[[#This Row],[Industry]], Mean_AE_S, 2, FALSE))/(VLOOKUP(Main_S[[#This Row],[Industry]], Mean_AE_S, 3, FALSE))</f>
        <v>-0.57911751579199622</v>
      </c>
      <c r="T133" s="1" t="e">
        <f>(Main_S[[#This Row],[P/E]]-VLOOKUP(Main_S[[#This Row],[Industry]], Mean_PE_S, 2, FALSE))/(VLOOKUP(Main_S[[#This Row],[Industry]], Mean_PE_S, 3, FALSE))</f>
        <v>#VALUE!</v>
      </c>
      <c r="U1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4" spans="1:26" x14ac:dyDescent="0.25">
      <c r="A134" t="s">
        <v>115</v>
      </c>
      <c r="B134" t="s">
        <v>455</v>
      </c>
      <c r="C134" s="2">
        <v>459</v>
      </c>
      <c r="D134">
        <f>RTD("tos.rtd", , "LAST", Main_S[[#This Row],[Symbol]])</f>
        <v>17.260000000000002</v>
      </c>
      <c r="E134">
        <v>3.48</v>
      </c>
      <c r="F134">
        <v>20.72</v>
      </c>
      <c r="G134">
        <v>-0.22</v>
      </c>
      <c r="H134" s="1">
        <f>IF(ISNUMBER(Main_S[[#This Row],[Free CF]]),IF(Main_S[[#This Row],[Free CF]]&lt;&gt;0,Main_S[[#This Row],[Current Price]]/Main_S[[#This Row],[Free CF]],""),"")</f>
        <v>4.9597701149425291</v>
      </c>
      <c r="I134" s="1">
        <f>IF(ISNUMBER(Main_S[[#This Row],[BVPS]]),IF(Main_S[[#This Row],[BVPS]]&lt;&gt;0,Main_S[[#This Row],[Current Price]]/Main_S[[#This Row],[BVPS]],""),"")</f>
        <v>0.83301158301158318</v>
      </c>
      <c r="J134">
        <v>-0.81</v>
      </c>
      <c r="K134">
        <v>1.51</v>
      </c>
      <c r="L134">
        <v>2.64</v>
      </c>
      <c r="M134" s="1">
        <f>IF(ISNUMBER(Main_S[[#This Row],[EPS]]),IF(Main_S[[#This Row],[EPS]]&lt;&gt;0,Main_S[[#This Row],[Current Price]]/Main_S[[#This Row],[EPS]],""),"")</f>
        <v>-78.454545454545467</v>
      </c>
      <c r="N1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4" s="1">
        <f>(Main_S[[#This Row],[P/FCF]]-VLOOKUP(Main_S[[#This Row],[Industry]], Mean_PFCF_S, 2, FALSE))/(VLOOKUP(Main_S[[#This Row],[Industry]], Mean_PFCF_S, 3, FALSE))</f>
        <v>-0.38160073400388872</v>
      </c>
      <c r="P134" s="1">
        <f>(Main_S[[#This Row],[P/B]]-VLOOKUP(Main_S[[#This Row],[Industry]], Mean_PB_S, 2, FALSE))/(VLOOKUP(Main_S[[#This Row],[Industry]], Mean_PB_S, 3, FALSE))</f>
        <v>-0.89092193608217451</v>
      </c>
      <c r="Q134" s="1">
        <f>(Main_S[[#This Row],[ROE]]-VLOOKUP(Main_S[[#This Row],[Industry]], Mean_ROE_S, 2, FALSE))/(VLOOKUP(Main_S[[#This Row],[Industry]], Mean_ROE_S, 3, FALSE))</f>
        <v>-0.34617684662770337</v>
      </c>
      <c r="R134" s="1">
        <f>(Main_S[[#This Row],[ROA]]-VLOOKUP(Main_S[[#This Row],[Industry]], Mean_ROA_S, 2, FALSE))/(VLOOKUP(Main_S[[#This Row],[Industry]], Mean_ROA_S, 3, FALSE))</f>
        <v>-0.51468774704822284</v>
      </c>
      <c r="S134" s="1">
        <f>(Main_S[[#This Row],[A/E]]-VLOOKUP(Main_S[[#This Row],[Industry]], Mean_AE_S, 2, FALSE))/(VLOOKUP(Main_S[[#This Row],[Industry]], Mean_AE_S, 3, FALSE))</f>
        <v>-2.0627169581300332E-2</v>
      </c>
      <c r="T134" s="1">
        <f>(Main_S[[#This Row],[P/E]]-VLOOKUP(Main_S[[#This Row],[Industry]], Mean_PE_S, 2, FALSE))/(VLOOKUP(Main_S[[#This Row],[Industry]], Mean_PE_S, 3, FALSE))</f>
        <v>-4.700809647817942</v>
      </c>
      <c r="U1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5" spans="1:26" x14ac:dyDescent="0.25">
      <c r="A135" t="s">
        <v>115</v>
      </c>
      <c r="B135" t="s">
        <v>431</v>
      </c>
      <c r="C135" s="2">
        <v>851</v>
      </c>
      <c r="D135">
        <f>RTD("tos.rtd", , "LAST", Main_S[[#This Row],[Symbol]])</f>
        <v>7.66</v>
      </c>
      <c r="E135">
        <v>-0.02</v>
      </c>
      <c r="F135">
        <v>0.48</v>
      </c>
      <c r="G135">
        <v>-0.28999999999999998</v>
      </c>
      <c r="H135" s="1">
        <f>IF(ISNUMBER(Main_S[[#This Row],[Free CF]]),IF(Main_S[[#This Row],[Free CF]]&lt;&gt;0,Main_S[[#This Row],[Current Price]]/Main_S[[#This Row],[Free CF]],""),"")</f>
        <v>-383</v>
      </c>
      <c r="I135" s="1">
        <f>IF(ISNUMBER(Main_S[[#This Row],[BVPS]]),IF(Main_S[[#This Row],[BVPS]]&lt;&gt;0,Main_S[[#This Row],[Current Price]]/Main_S[[#This Row],[BVPS]],""),"")</f>
        <v>15.958333333333334</v>
      </c>
      <c r="J135">
        <v>-44.15</v>
      </c>
      <c r="K135">
        <v>-10.1</v>
      </c>
      <c r="L135">
        <v>3.08</v>
      </c>
      <c r="M135" s="1">
        <f>IF(ISNUMBER(Main_S[[#This Row],[EPS]]),IF(Main_S[[#This Row],[EPS]]&lt;&gt;0,Main_S[[#This Row],[Current Price]]/Main_S[[#This Row],[EPS]],""),"")</f>
        <v>-26.413793103448278</v>
      </c>
      <c r="N1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5" s="1">
        <f>(Main_S[[#This Row],[P/FCF]]-VLOOKUP(Main_S[[#This Row],[Industry]], Mean_PFCF_S, 2, FALSE))/(VLOOKUP(Main_S[[#This Row],[Industry]], Mean_PFCF_S, 3, FALSE))</f>
        <v>-23.247617339744796</v>
      </c>
      <c r="P135" s="1">
        <f>(Main_S[[#This Row],[P/B]]-VLOOKUP(Main_S[[#This Row],[Industry]], Mean_PB_S, 2, FALSE))/(VLOOKUP(Main_S[[#This Row],[Industry]], Mean_PB_S, 3, FALSE))</f>
        <v>14.20269742705463</v>
      </c>
      <c r="Q135" s="1">
        <f>(Main_S[[#This Row],[ROE]]-VLOOKUP(Main_S[[#This Row],[Industry]], Mean_ROE_S, 2, FALSE))/(VLOOKUP(Main_S[[#This Row],[Industry]], Mean_ROE_S, 3, FALSE))</f>
        <v>-2.9195163479977078</v>
      </c>
      <c r="R135" s="1">
        <f>(Main_S[[#This Row],[ROA]]-VLOOKUP(Main_S[[#This Row],[Industry]], Mean_ROA_S, 2, FALSE))/(VLOOKUP(Main_S[[#This Row],[Industry]], Mean_ROA_S, 3, FALSE))</f>
        <v>-4.3156190602052318</v>
      </c>
      <c r="S135" s="1">
        <f>(Main_S[[#This Row],[A/E]]-VLOOKUP(Main_S[[#This Row],[Industry]], Mean_AE_S, 2, FALSE))/(VLOOKUP(Main_S[[#This Row],[Industry]], Mean_AE_S, 3, FALSE))</f>
        <v>0.27905057716590226</v>
      </c>
      <c r="T135" s="1">
        <f>(Main_S[[#This Row],[P/E]]-VLOOKUP(Main_S[[#This Row],[Industry]], Mean_PE_S, 2, FALSE))/(VLOOKUP(Main_S[[#This Row],[Industry]], Mean_PE_S, 3, FALSE))</f>
        <v>-1.9344090329908785</v>
      </c>
      <c r="U1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6" spans="1:26" x14ac:dyDescent="0.25">
      <c r="A136" t="s">
        <v>115</v>
      </c>
      <c r="B136" t="s">
        <v>438</v>
      </c>
      <c r="C136" s="2">
        <v>1566</v>
      </c>
      <c r="D136">
        <f>RTD("tos.rtd", , "LAST", Main_S[[#This Row],[Symbol]])</f>
        <v>21.01</v>
      </c>
      <c r="E136">
        <v>0.59</v>
      </c>
      <c r="F136">
        <v>10.58</v>
      </c>
      <c r="G136">
        <v>-0.32</v>
      </c>
      <c r="H136" s="1">
        <f>IF(ISNUMBER(Main_S[[#This Row],[Free CF]]),IF(Main_S[[#This Row],[Free CF]]&lt;&gt;0,Main_S[[#This Row],[Current Price]]/Main_S[[#This Row],[Free CF]],""),"")</f>
        <v>35.610169491525426</v>
      </c>
      <c r="I136" s="1">
        <f>IF(ISNUMBER(Main_S[[#This Row],[BVPS]]),IF(Main_S[[#This Row],[BVPS]]&lt;&gt;0,Main_S[[#This Row],[Current Price]]/Main_S[[#This Row],[BVPS]],""),"")</f>
        <v>1.9858223062381855</v>
      </c>
      <c r="J136">
        <v>-2.95</v>
      </c>
      <c r="K136">
        <v>1.03</v>
      </c>
      <c r="L136">
        <v>2.4</v>
      </c>
      <c r="M136" s="1">
        <f>IF(ISNUMBER(Main_S[[#This Row],[EPS]]),IF(Main_S[[#This Row],[EPS]]&lt;&gt;0,Main_S[[#This Row],[Current Price]]/Main_S[[#This Row],[EPS]],""),"")</f>
        <v>-65.65625</v>
      </c>
      <c r="N1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6" s="1">
        <f>(Main_S[[#This Row],[P/FCF]]-VLOOKUP(Main_S[[#This Row],[Industry]], Mean_PFCF_S, 2, FALSE))/(VLOOKUP(Main_S[[#This Row],[Industry]], Mean_PFCF_S, 3, FALSE))</f>
        <v>1.4249075565590494</v>
      </c>
      <c r="P136" s="1">
        <f>(Main_S[[#This Row],[P/B]]-VLOOKUP(Main_S[[#This Row],[Industry]], Mean_PB_S, 2, FALSE))/(VLOOKUP(Main_S[[#This Row],[Industry]], Mean_PB_S, 3, FALSE))</f>
        <v>0.25947251775842872</v>
      </c>
      <c r="Q136" s="1">
        <f>(Main_S[[#This Row],[ROE]]-VLOOKUP(Main_S[[#This Row],[Industry]], Mean_ROE_S, 2, FALSE))/(VLOOKUP(Main_S[[#This Row],[Industry]], Mean_ROE_S, 3, FALSE))</f>
        <v>-0.4732406798748609</v>
      </c>
      <c r="R136" s="1">
        <f>(Main_S[[#This Row],[ROA]]-VLOOKUP(Main_S[[#This Row],[Industry]], Mean_ROA_S, 2, FALSE))/(VLOOKUP(Main_S[[#This Row],[Industry]], Mean_ROA_S, 3, FALSE))</f>
        <v>-0.67183219410380968</v>
      </c>
      <c r="S136" s="1">
        <f>(Main_S[[#This Row],[A/E]]-VLOOKUP(Main_S[[#This Row],[Industry]], Mean_AE_S, 2, FALSE))/(VLOOKUP(Main_S[[#This Row],[Industry]], Mean_AE_S, 3, FALSE))</f>
        <v>-0.18408775871613828</v>
      </c>
      <c r="T136" s="1">
        <f>(Main_S[[#This Row],[P/E]]-VLOOKUP(Main_S[[#This Row],[Industry]], Mean_PE_S, 2, FALSE))/(VLOOKUP(Main_S[[#This Row],[Industry]], Mean_PE_S, 3, FALSE))</f>
        <v>-4.0204733572253533</v>
      </c>
      <c r="U1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7" spans="1:26" x14ac:dyDescent="0.25">
      <c r="A137" t="s">
        <v>115</v>
      </c>
      <c r="B137" t="s">
        <v>446</v>
      </c>
      <c r="C137" s="2">
        <v>1018</v>
      </c>
      <c r="D137">
        <f>RTD("tos.rtd", , "LAST", Main_S[[#This Row],[Symbol]])</f>
        <v>2.64</v>
      </c>
      <c r="E137">
        <v>0.18</v>
      </c>
      <c r="F137">
        <v>4.0199999999999996</v>
      </c>
      <c r="G137">
        <v>-0.37</v>
      </c>
      <c r="H137" s="1">
        <f>IF(ISNUMBER(Main_S[[#This Row],[Free CF]]),IF(Main_S[[#This Row],[Free CF]]&lt;&gt;0,Main_S[[#This Row],[Current Price]]/Main_S[[#This Row],[Free CF]],""),"")</f>
        <v>14.666666666666668</v>
      </c>
      <c r="I137" s="1">
        <f>IF(ISNUMBER(Main_S[[#This Row],[BVPS]]),IF(Main_S[[#This Row],[BVPS]]&lt;&gt;0,Main_S[[#This Row],[Current Price]]/Main_S[[#This Row],[BVPS]],""),"")</f>
        <v>0.65671641791044788</v>
      </c>
      <c r="J137">
        <v>-8.86</v>
      </c>
      <c r="K137">
        <v>0.19</v>
      </c>
      <c r="L137">
        <v>4.66</v>
      </c>
      <c r="M137" s="1">
        <f>IF(ISNUMBER(Main_S[[#This Row],[EPS]]),IF(Main_S[[#This Row],[EPS]]&lt;&gt;0,Main_S[[#This Row],[Current Price]]/Main_S[[#This Row],[EPS]],""),"")</f>
        <v>-7.135135135135136</v>
      </c>
      <c r="N1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7" s="1">
        <f>(Main_S[[#This Row],[P/FCF]]-VLOOKUP(Main_S[[#This Row],[Industry]], Mean_PFCF_S, 2, FALSE))/(VLOOKUP(Main_S[[#This Row],[Industry]], Mean_PFCF_S, 3, FALSE))</f>
        <v>0.19051543586643788</v>
      </c>
      <c r="P137" s="1">
        <f>(Main_S[[#This Row],[P/B]]-VLOOKUP(Main_S[[#This Row],[Industry]], Mean_PB_S, 2, FALSE))/(VLOOKUP(Main_S[[#This Row],[Industry]], Mean_PB_S, 3, FALSE))</f>
        <v>-1.0668475898647984</v>
      </c>
      <c r="Q137" s="1">
        <f>(Main_S[[#This Row],[ROE]]-VLOOKUP(Main_S[[#This Row],[Industry]], Mean_ROE_S, 2, FALSE))/(VLOOKUP(Main_S[[#This Row],[Industry]], Mean_ROE_S, 3, FALSE))</f>
        <v>-0.82415061187986149</v>
      </c>
      <c r="R137" s="1">
        <f>(Main_S[[#This Row],[ROA]]-VLOOKUP(Main_S[[#This Row],[Industry]], Mean_ROA_S, 2, FALSE))/(VLOOKUP(Main_S[[#This Row],[Industry]], Mean_ROA_S, 3, FALSE))</f>
        <v>-0.94683497645108694</v>
      </c>
      <c r="S137" s="1">
        <f>(Main_S[[#This Row],[A/E]]-VLOOKUP(Main_S[[#This Row],[Industry]], Mean_AE_S, 2, FALSE))/(VLOOKUP(Main_S[[#This Row],[Industry]], Mean_AE_S, 3, FALSE))</f>
        <v>1.3551661223035845</v>
      </c>
      <c r="T137" s="1">
        <f>(Main_S[[#This Row],[P/E]]-VLOOKUP(Main_S[[#This Row],[Industry]], Mean_PE_S, 2, FALSE))/(VLOOKUP(Main_S[[#This Row],[Industry]], Mean_PE_S, 3, FALSE))</f>
        <v>-0.90958735292041915</v>
      </c>
      <c r="U1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8" spans="1:26" x14ac:dyDescent="0.25">
      <c r="A138" t="s">
        <v>115</v>
      </c>
      <c r="B138" t="s">
        <v>454</v>
      </c>
      <c r="C138" s="2">
        <v>530</v>
      </c>
      <c r="D138">
        <f>RTD("tos.rtd", , "LAST", Main_S[[#This Row],[Symbol]])</f>
        <v>4.1900000000000004</v>
      </c>
      <c r="E138">
        <v>-0.81</v>
      </c>
      <c r="F138">
        <v>-0.27</v>
      </c>
      <c r="G138">
        <v>-0.4</v>
      </c>
      <c r="H138" s="1">
        <f>IF(ISNUMBER(Main_S[[#This Row],[Free CF]]),IF(Main_S[[#This Row],[Free CF]]&lt;&gt;0,Main_S[[#This Row],[Current Price]]/Main_S[[#This Row],[Free CF]],""),"")</f>
        <v>-5.1728395061728394</v>
      </c>
      <c r="I138" s="1">
        <f>IF(ISNUMBER(Main_S[[#This Row],[BVPS]]),IF(Main_S[[#This Row],[BVPS]]&lt;&gt;0,Main_S[[#This Row],[Current Price]]/Main_S[[#This Row],[BVPS]],""),"")</f>
        <v>-15.518518518518519</v>
      </c>
      <c r="J138">
        <v>-26.54</v>
      </c>
      <c r="K138">
        <v>-9.74</v>
      </c>
      <c r="L138">
        <v>-23.28</v>
      </c>
      <c r="M138" s="1">
        <f>IF(ISNUMBER(Main_S[[#This Row],[EPS]]),IF(Main_S[[#This Row],[EPS]]&lt;&gt;0,Main_S[[#This Row],[Current Price]]/Main_S[[#This Row],[EPS]],""),"")</f>
        <v>-10.475</v>
      </c>
      <c r="N1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8" s="1">
        <f>(Main_S[[#This Row],[P/FCF]]-VLOOKUP(Main_S[[#This Row],[Industry]], Mean_PFCF_S, 2, FALSE))/(VLOOKUP(Main_S[[#This Row],[Industry]], Mean_PFCF_S, 3, FALSE))</f>
        <v>-0.97880806760775585</v>
      </c>
      <c r="P138" s="1">
        <f>(Main_S[[#This Row],[P/B]]-VLOOKUP(Main_S[[#This Row],[Industry]], Mean_PB_S, 2, FALSE))/(VLOOKUP(Main_S[[#This Row],[Industry]], Mean_PB_S, 3, FALSE))</f>
        <v>-17.208179541006778</v>
      </c>
      <c r="Q138" s="1">
        <f>(Main_S[[#This Row],[ROE]]-VLOOKUP(Main_S[[#This Row],[Industry]], Mean_ROE_S, 2, FALSE))/(VLOOKUP(Main_S[[#This Row],[Industry]], Mean_ROE_S, 3, FALSE))</f>
        <v>-1.8739116267442288</v>
      </c>
      <c r="R138" s="1">
        <f>(Main_S[[#This Row],[ROA]]-VLOOKUP(Main_S[[#This Row],[Industry]], Mean_ROA_S, 2, FALSE))/(VLOOKUP(Main_S[[#This Row],[Industry]], Mean_ROA_S, 3, FALSE))</f>
        <v>-4.1977607249135414</v>
      </c>
      <c r="S138" s="1">
        <f>(Main_S[[#This Row],[A/E]]-VLOOKUP(Main_S[[#This Row],[Industry]], Mean_AE_S, 2, FALSE))/(VLOOKUP(Main_S[[#This Row],[Industry]], Mean_AE_S, 3, FALSE))</f>
        <v>-17.674370796143783</v>
      </c>
      <c r="T138" s="1">
        <f>(Main_S[[#This Row],[P/E]]-VLOOKUP(Main_S[[#This Row],[Industry]], Mean_PE_S, 2, FALSE))/(VLOOKUP(Main_S[[#This Row],[Industry]], Mean_PE_S, 3, FALSE))</f>
        <v>-1.0871290639484816</v>
      </c>
      <c r="U1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9" spans="1:26" x14ac:dyDescent="0.25">
      <c r="A139" t="s">
        <v>115</v>
      </c>
      <c r="B139" t="s">
        <v>426</v>
      </c>
      <c r="C139" s="2">
        <v>1275</v>
      </c>
      <c r="D139">
        <f>RTD("tos.rtd", , "LAST", Main_S[[#This Row],[Symbol]])</f>
        <v>9.2799999999999994</v>
      </c>
      <c r="E139">
        <v>0.22</v>
      </c>
      <c r="F139">
        <v>5.15</v>
      </c>
      <c r="G139">
        <v>-0.46</v>
      </c>
      <c r="H139" s="1">
        <f>IF(ISNUMBER(Main_S[[#This Row],[Free CF]]),IF(Main_S[[#This Row],[Free CF]]&lt;&gt;0,Main_S[[#This Row],[Current Price]]/Main_S[[#This Row],[Free CF]],""),"")</f>
        <v>42.18181818181818</v>
      </c>
      <c r="I139" s="1">
        <f>IF(ISNUMBER(Main_S[[#This Row],[BVPS]]),IF(Main_S[[#This Row],[BVPS]]&lt;&gt;0,Main_S[[#This Row],[Current Price]]/Main_S[[#This Row],[BVPS]],""),"")</f>
        <v>1.8019417475728152</v>
      </c>
      <c r="J139">
        <v>-8.7100000000000009</v>
      </c>
      <c r="K139">
        <v>0.49</v>
      </c>
      <c r="L139">
        <v>1.67</v>
      </c>
      <c r="M139" s="1">
        <f>IF(ISNUMBER(Main_S[[#This Row],[EPS]]),IF(Main_S[[#This Row],[EPS]]&lt;&gt;0,Main_S[[#This Row],[Current Price]]/Main_S[[#This Row],[EPS]],""),"")</f>
        <v>-20.173913043478258</v>
      </c>
      <c r="N1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9" s="1">
        <f>(Main_S[[#This Row],[P/FCF]]-VLOOKUP(Main_S[[#This Row],[Industry]], Mean_PFCF_S, 2, FALSE))/(VLOOKUP(Main_S[[#This Row],[Industry]], Mean_PFCF_S, 3, FALSE))</f>
        <v>1.8122349024712539</v>
      </c>
      <c r="P139" s="1">
        <f>(Main_S[[#This Row],[P/B]]-VLOOKUP(Main_S[[#This Row],[Industry]], Mean_PB_S, 2, FALSE))/(VLOOKUP(Main_S[[#This Row],[Industry]], Mean_PB_S, 3, FALSE))</f>
        <v>7.5977369252447011E-2</v>
      </c>
      <c r="Q139" s="1">
        <f>(Main_S[[#This Row],[ROE]]-VLOOKUP(Main_S[[#This Row],[Industry]], Mean_ROE_S, 2, FALSE))/(VLOOKUP(Main_S[[#This Row],[Industry]], Mean_ROE_S, 3, FALSE))</f>
        <v>-0.81524426842795805</v>
      </c>
      <c r="R139" s="1">
        <f>(Main_S[[#This Row],[ROA]]-VLOOKUP(Main_S[[#This Row],[Industry]], Mean_ROA_S, 2, FALSE))/(VLOOKUP(Main_S[[#This Row],[Industry]], Mean_ROA_S, 3, FALSE))</f>
        <v>-0.84861969704134499</v>
      </c>
      <c r="S139" s="1">
        <f>(Main_S[[#This Row],[A/E]]-VLOOKUP(Main_S[[#This Row],[Industry]], Mean_AE_S, 2, FALSE))/(VLOOKUP(Main_S[[#This Row],[Industry]], Mean_AE_S, 3, FALSE))</f>
        <v>-0.68128038400126989</v>
      </c>
      <c r="T139" s="1">
        <f>(Main_S[[#This Row],[P/E]]-VLOOKUP(Main_S[[#This Row],[Industry]], Mean_PE_S, 2, FALSE))/(VLOOKUP(Main_S[[#This Row],[Industry]], Mean_PE_S, 3, FALSE))</f>
        <v>-1.6027072943632612</v>
      </c>
      <c r="U1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0" spans="1:26" x14ac:dyDescent="0.25">
      <c r="A140" t="s">
        <v>115</v>
      </c>
      <c r="B140" t="s">
        <v>453</v>
      </c>
      <c r="C140" s="2">
        <v>1017</v>
      </c>
      <c r="D140">
        <f>RTD("tos.rtd", , "LAST", Main_S[[#This Row],[Symbol]])</f>
        <v>17.88</v>
      </c>
      <c r="E140">
        <v>-0.15</v>
      </c>
      <c r="F140">
        <v>4.96</v>
      </c>
      <c r="G140">
        <v>-0.55000000000000004</v>
      </c>
      <c r="H140" s="1">
        <f>IF(ISNUMBER(Main_S[[#This Row],[Free CF]]),IF(Main_S[[#This Row],[Free CF]]&lt;&gt;0,Main_S[[#This Row],[Current Price]]/Main_S[[#This Row],[Free CF]],""),"")</f>
        <v>-119.2</v>
      </c>
      <c r="I140" s="1">
        <f>IF(ISNUMBER(Main_S[[#This Row],[BVPS]]),IF(Main_S[[#This Row],[BVPS]]&lt;&gt;0,Main_S[[#This Row],[Current Price]]/Main_S[[#This Row],[BVPS]],""),"")</f>
        <v>3.604838709677419</v>
      </c>
      <c r="J140">
        <v>-17.260000000000002</v>
      </c>
      <c r="K140">
        <v>2.2400000000000002</v>
      </c>
      <c r="L140">
        <v>16.579999999999998</v>
      </c>
      <c r="M140" s="1">
        <f>IF(ISNUMBER(Main_S[[#This Row],[EPS]]),IF(Main_S[[#This Row],[EPS]]&lt;&gt;0,Main_S[[#This Row],[Current Price]]/Main_S[[#This Row],[EPS]],""),"")</f>
        <v>-32.509090909090908</v>
      </c>
      <c r="N1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0" s="1">
        <f>(Main_S[[#This Row],[P/FCF]]-VLOOKUP(Main_S[[#This Row],[Industry]], Mean_PFCF_S, 2, FALSE))/(VLOOKUP(Main_S[[#This Row],[Industry]], Mean_PFCF_S, 3, FALSE))</f>
        <v>-7.6994712554038651</v>
      </c>
      <c r="P140" s="1">
        <f>(Main_S[[#This Row],[P/B]]-VLOOKUP(Main_S[[#This Row],[Industry]], Mean_PB_S, 2, FALSE))/(VLOOKUP(Main_S[[#This Row],[Industry]], Mean_PB_S, 3, FALSE))</f>
        <v>1.8750954935583781</v>
      </c>
      <c r="Q140" s="1">
        <f>(Main_S[[#This Row],[ROE]]-VLOOKUP(Main_S[[#This Row],[Industry]], Mean_ROE_S, 2, FALSE))/(VLOOKUP(Main_S[[#This Row],[Industry]], Mean_ROE_S, 3, FALSE))</f>
        <v>-1.3229058451864617</v>
      </c>
      <c r="R140" s="1">
        <f>(Main_S[[#This Row],[ROA]]-VLOOKUP(Main_S[[#This Row],[Industry]], Mean_ROA_S, 2, FALSE))/(VLOOKUP(Main_S[[#This Row],[Industry]], Mean_ROA_S, 3, FALSE))</f>
        <v>-0.27569723381785094</v>
      </c>
      <c r="S140" s="1">
        <f>(Main_S[[#This Row],[A/E]]-VLOOKUP(Main_S[[#This Row],[Industry]], Mean_AE_S, 2, FALSE))/(VLOOKUP(Main_S[[#This Row],[Industry]], Mean_AE_S, 3, FALSE))</f>
        <v>9.4737087160005284</v>
      </c>
      <c r="T140" s="1">
        <f>(Main_S[[#This Row],[P/E]]-VLOOKUP(Main_S[[#This Row],[Industry]], Mean_PE_S, 2, FALSE))/(VLOOKUP(Main_S[[#This Row],[Industry]], Mean_PE_S, 3, FALSE))</f>
        <v>-2.2584250172972298</v>
      </c>
      <c r="U1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1" spans="1:26" x14ac:dyDescent="0.25">
      <c r="A141" t="s">
        <v>115</v>
      </c>
      <c r="B141" t="s">
        <v>430</v>
      </c>
      <c r="C141" s="2">
        <v>569</v>
      </c>
      <c r="D141">
        <f>RTD("tos.rtd", , "LAST", Main_S[[#This Row],[Symbol]])</f>
        <v>4.7300000000000004</v>
      </c>
      <c r="E141">
        <v>0.1</v>
      </c>
      <c r="F141">
        <v>1.54</v>
      </c>
      <c r="G141">
        <v>-0.56999999999999995</v>
      </c>
      <c r="H141" s="1">
        <f>IF(ISNUMBER(Main_S[[#This Row],[Free CF]]),IF(Main_S[[#This Row],[Free CF]]&lt;&gt;0,Main_S[[#This Row],[Current Price]]/Main_S[[#This Row],[Free CF]],""),"")</f>
        <v>47.300000000000004</v>
      </c>
      <c r="I141" s="1">
        <f>IF(ISNUMBER(Main_S[[#This Row],[BVPS]]),IF(Main_S[[#This Row],[BVPS]]&lt;&gt;0,Main_S[[#This Row],[Current Price]]/Main_S[[#This Row],[BVPS]],""),"")</f>
        <v>3.0714285714285716</v>
      </c>
      <c r="J141">
        <v>-34.369999999999997</v>
      </c>
      <c r="K141">
        <v>-6.55</v>
      </c>
      <c r="L141">
        <v>2.39</v>
      </c>
      <c r="M141" s="1">
        <f>IF(ISNUMBER(Main_S[[#This Row],[EPS]]),IF(Main_S[[#This Row],[EPS]]&lt;&gt;0,Main_S[[#This Row],[Current Price]]/Main_S[[#This Row],[EPS]],""),"")</f>
        <v>-8.2982456140350891</v>
      </c>
      <c r="N1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1" s="1">
        <f>(Main_S[[#This Row],[P/FCF]]-VLOOKUP(Main_S[[#This Row],[Industry]], Mean_PFCF_S, 2, FALSE))/(VLOOKUP(Main_S[[#This Row],[Industry]], Mean_PFCF_S, 3, FALSE))</f>
        <v>2.113896155675608</v>
      </c>
      <c r="P141" s="1">
        <f>(Main_S[[#This Row],[P/B]]-VLOOKUP(Main_S[[#This Row],[Industry]], Mean_PB_S, 2, FALSE))/(VLOOKUP(Main_S[[#This Row],[Industry]], Mean_PB_S, 3, FALSE))</f>
        <v>1.3428033728307633</v>
      </c>
      <c r="Q141" s="1">
        <f>(Main_S[[#This Row],[ROE]]-VLOOKUP(Main_S[[#This Row],[Industry]], Mean_ROE_S, 2, FALSE))/(VLOOKUP(Main_S[[#This Row],[Industry]], Mean_ROE_S, 3, FALSE))</f>
        <v>-2.3388227549335951</v>
      </c>
      <c r="R141" s="1">
        <f>(Main_S[[#This Row],[ROA]]-VLOOKUP(Main_S[[#This Row],[Industry]], Mean_ROA_S, 2, FALSE))/(VLOOKUP(Main_S[[#This Row],[Industry]], Mean_ROA_S, 3, FALSE))</f>
        <v>-3.153404920523287</v>
      </c>
      <c r="S141" s="1">
        <f>(Main_S[[#This Row],[A/E]]-VLOOKUP(Main_S[[#This Row],[Industry]], Mean_AE_S, 2, FALSE))/(VLOOKUP(Main_S[[#This Row],[Industry]], Mean_AE_S, 3, FALSE))</f>
        <v>-0.19089861659675639</v>
      </c>
      <c r="T141" s="1">
        <f>(Main_S[[#This Row],[P/E]]-VLOOKUP(Main_S[[#This Row],[Industry]], Mean_PE_S, 2, FALSE))/(VLOOKUP(Main_S[[#This Row],[Industry]], Mean_PE_S, 3, FALSE))</f>
        <v>-0.97141638879277981</v>
      </c>
      <c r="U1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2" spans="1:26" x14ac:dyDescent="0.25">
      <c r="A142" t="s">
        <v>115</v>
      </c>
      <c r="B142" t="s">
        <v>427</v>
      </c>
      <c r="C142" s="2">
        <v>639</v>
      </c>
      <c r="D142">
        <f>RTD("tos.rtd", , "LAST", Main_S[[#This Row],[Symbol]])</f>
        <v>6.12</v>
      </c>
      <c r="E142">
        <v>-0.24</v>
      </c>
      <c r="F142">
        <v>-2.97</v>
      </c>
      <c r="G142">
        <v>-1.0900000000000001</v>
      </c>
      <c r="H142" s="1">
        <f>IF(ISNUMBER(Main_S[[#This Row],[Free CF]]),IF(Main_S[[#This Row],[Free CF]]&lt;&gt;0,Main_S[[#This Row],[Current Price]]/Main_S[[#This Row],[Free CF]],""),"")</f>
        <v>-25.5</v>
      </c>
      <c r="I142" s="1">
        <f>IF(ISNUMBER(Main_S[[#This Row],[BVPS]]),IF(Main_S[[#This Row],[BVPS]]&lt;&gt;0,Main_S[[#This Row],[Current Price]]/Main_S[[#This Row],[BVPS]],""),"")</f>
        <v>-2.0606060606060606</v>
      </c>
      <c r="J142">
        <v>12.28</v>
      </c>
      <c r="K142">
        <v>-7.71</v>
      </c>
      <c r="L142">
        <v>-1.19</v>
      </c>
      <c r="M142" s="1">
        <f>IF(ISNUMBER(Main_S[[#This Row],[EPS]]),IF(Main_S[[#This Row],[EPS]]&lt;&gt;0,Main_S[[#This Row],[Current Price]]/Main_S[[#This Row],[EPS]],""),"")</f>
        <v>-5.6146788990825689</v>
      </c>
      <c r="N1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2" s="1">
        <f>(Main_S[[#This Row],[P/FCF]]-VLOOKUP(Main_S[[#This Row],[Industry]], Mean_PFCF_S, 2, FALSE))/(VLOOKUP(Main_S[[#This Row],[Industry]], Mean_PFCF_S, 3, FALSE))</f>
        <v>-2.1768734991387202</v>
      </c>
      <c r="P142" s="1">
        <f>(Main_S[[#This Row],[P/B]]-VLOOKUP(Main_S[[#This Row],[Industry]], Mean_PB_S, 2, FALSE))/(VLOOKUP(Main_S[[#This Row],[Industry]], Mean_PB_S, 3, FALSE))</f>
        <v>-3.7784746120635955</v>
      </c>
      <c r="Q142" s="1">
        <f>(Main_S[[#This Row],[ROE]]-VLOOKUP(Main_S[[#This Row],[Industry]], Mean_ROE_S, 2, FALSE))/(VLOOKUP(Main_S[[#This Row],[Industry]], Mean_ROE_S, 3, FALSE))</f>
        <v>0.43105005860841478</v>
      </c>
      <c r="R142" s="1">
        <f>(Main_S[[#This Row],[ROA]]-VLOOKUP(Main_S[[#This Row],[Industry]], Mean_ROA_S, 2, FALSE))/(VLOOKUP(Main_S[[#This Row],[Industry]], Mean_ROA_S, 3, FALSE))</f>
        <v>-3.5331706675742889</v>
      </c>
      <c r="S142" s="1">
        <f>(Main_S[[#This Row],[A/E]]-VLOOKUP(Main_S[[#This Row],[Industry]], Mean_AE_S, 2, FALSE))/(VLOOKUP(Main_S[[#This Row],[Industry]], Mean_AE_S, 3, FALSE))</f>
        <v>-2.6291857378580872</v>
      </c>
      <c r="T142" s="1">
        <f>(Main_S[[#This Row],[P/E]]-VLOOKUP(Main_S[[#This Row],[Industry]], Mean_PE_S, 2, FALSE))/(VLOOKUP(Main_S[[#This Row],[Industry]], Mean_PE_S, 3, FALSE))</f>
        <v>-0.82876240562034842</v>
      </c>
      <c r="U1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3" spans="1:26" x14ac:dyDescent="0.25">
      <c r="A143" t="s">
        <v>115</v>
      </c>
      <c r="B143" t="s">
        <v>439</v>
      </c>
      <c r="C143" s="2">
        <v>313</v>
      </c>
      <c r="D143">
        <f>RTD("tos.rtd", , "LAST", Main_S[[#This Row],[Symbol]])</f>
        <v>5.15</v>
      </c>
      <c r="E143">
        <v>-0.76</v>
      </c>
      <c r="F143">
        <v>5</v>
      </c>
      <c r="G143">
        <v>-2.64</v>
      </c>
      <c r="H143" s="1">
        <f>IF(ISNUMBER(Main_S[[#This Row],[Free CF]]),IF(Main_S[[#This Row],[Free CF]]&lt;&gt;0,Main_S[[#This Row],[Current Price]]/Main_S[[#This Row],[Free CF]],""),"")</f>
        <v>-6.776315789473685</v>
      </c>
      <c r="I143" s="1">
        <f>IF(ISNUMBER(Main_S[[#This Row],[BVPS]]),IF(Main_S[[#This Row],[BVPS]]&lt;&gt;0,Main_S[[#This Row],[Current Price]]/Main_S[[#This Row],[BVPS]],""),"")</f>
        <v>1.03</v>
      </c>
      <c r="J143">
        <v>-42.08</v>
      </c>
      <c r="K143">
        <v>-3.32</v>
      </c>
      <c r="L143">
        <v>2.54</v>
      </c>
      <c r="M143" s="1">
        <f>IF(ISNUMBER(Main_S[[#This Row],[EPS]]),IF(Main_S[[#This Row],[EPS]]&lt;&gt;0,Main_S[[#This Row],[Current Price]]/Main_S[[#This Row],[EPS]],""),"")</f>
        <v>-1.9507575757575757</v>
      </c>
      <c r="N1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3" s="1">
        <f>(Main_S[[#This Row],[P/FCF]]-VLOOKUP(Main_S[[#This Row],[Industry]], Mean_PFCF_S, 2, FALSE))/(VLOOKUP(Main_S[[#This Row],[Industry]], Mean_PFCF_S, 3, FALSE))</f>
        <v>-1.0733155865445929</v>
      </c>
      <c r="P143" s="1">
        <f>(Main_S[[#This Row],[P/B]]-VLOOKUP(Main_S[[#This Row],[Industry]], Mean_PB_S, 2, FALSE))/(VLOOKUP(Main_S[[#This Row],[Industry]], Mean_PB_S, 3, FALSE))</f>
        <v>-0.69434640307529572</v>
      </c>
      <c r="Q143" s="1">
        <f>(Main_S[[#This Row],[ROE]]-VLOOKUP(Main_S[[#This Row],[Industry]], Mean_ROE_S, 2, FALSE))/(VLOOKUP(Main_S[[#This Row],[Industry]], Mean_ROE_S, 3, FALSE))</f>
        <v>-2.7966088083614387</v>
      </c>
      <c r="R143" s="1">
        <f>(Main_S[[#This Row],[ROA]]-VLOOKUP(Main_S[[#This Row],[Industry]], Mean_ROA_S, 2, FALSE))/(VLOOKUP(Main_S[[#This Row],[Industry]], Mean_ROA_S, 3, FALSE))</f>
        <v>-2.0959537455450663</v>
      </c>
      <c r="S143" s="1">
        <f>(Main_S[[#This Row],[A/E]]-VLOOKUP(Main_S[[#This Row],[Industry]], Mean_AE_S, 2, FALSE))/(VLOOKUP(Main_S[[#This Row],[Industry]], Mean_AE_S, 3, FALSE))</f>
        <v>-8.8735748387482813E-2</v>
      </c>
      <c r="T143" s="1">
        <f>(Main_S[[#This Row],[P/E]]-VLOOKUP(Main_S[[#This Row],[Industry]], Mean_PE_S, 2, FALSE))/(VLOOKUP(Main_S[[#This Row],[Industry]], Mean_PE_S, 3, FALSE))</f>
        <v>-0.63399438741143133</v>
      </c>
      <c r="U1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4" spans="1:26" x14ac:dyDescent="0.25">
      <c r="A144" t="s">
        <v>115</v>
      </c>
      <c r="B144" t="s">
        <v>456</v>
      </c>
      <c r="C144" s="2">
        <v>845</v>
      </c>
      <c r="D144">
        <f>RTD("tos.rtd", , "LAST", Main_S[[#This Row],[Symbol]])</f>
        <v>3.84</v>
      </c>
      <c r="E144">
        <v>-5.23</v>
      </c>
      <c r="F144">
        <v>-0.25</v>
      </c>
      <c r="G144">
        <v>-3.05</v>
      </c>
      <c r="H144" s="1">
        <f>IF(ISNUMBER(Main_S[[#This Row],[Free CF]]),IF(Main_S[[#This Row],[Free CF]]&lt;&gt;0,Main_S[[#This Row],[Current Price]]/Main_S[[#This Row],[Free CF]],""),"")</f>
        <v>-0.73422562141491388</v>
      </c>
      <c r="I144" s="1">
        <f>IF(ISNUMBER(Main_S[[#This Row],[BVPS]]),IF(Main_S[[#This Row],[BVPS]]&lt;&gt;0,Main_S[[#This Row],[Current Price]]/Main_S[[#This Row],[BVPS]],""),"")</f>
        <v>-15.36</v>
      </c>
      <c r="J144">
        <v>179.99</v>
      </c>
      <c r="K144">
        <v>-8.4</v>
      </c>
      <c r="L144">
        <v>-5.7</v>
      </c>
      <c r="M144" s="1">
        <f>IF(ISNUMBER(Main_S[[#This Row],[EPS]]),IF(Main_S[[#This Row],[EPS]]&lt;&gt;0,Main_S[[#This Row],[Current Price]]/Main_S[[#This Row],[EPS]],""),"")</f>
        <v>-1.2590163934426231</v>
      </c>
      <c r="N1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4" s="1">
        <f>(Main_S[[#This Row],[P/FCF]]-VLOOKUP(Main_S[[#This Row],[Industry]], Mean_PFCF_S, 2, FALSE))/(VLOOKUP(Main_S[[#This Row],[Industry]], Mean_PFCF_S, 3, FALSE))</f>
        <v>-0.71719996642428274</v>
      </c>
      <c r="P144" s="1">
        <f>(Main_S[[#This Row],[P/B]]-VLOOKUP(Main_S[[#This Row],[Industry]], Mean_PB_S, 2, FALSE))/(VLOOKUP(Main_S[[#This Row],[Industry]], Mean_PB_S, 3, FALSE))</f>
        <v>-17.04999327429308</v>
      </c>
      <c r="Q144" s="1">
        <f>(Main_S[[#This Row],[ROE]]-VLOOKUP(Main_S[[#This Row],[Industry]], Mean_ROE_S, 2, FALSE))/(VLOOKUP(Main_S[[#This Row],[Industry]], Mean_ROE_S, 3, FALSE))</f>
        <v>10.388935794066734</v>
      </c>
      <c r="R144" s="1">
        <f>(Main_S[[#This Row],[ROA]]-VLOOKUP(Main_S[[#This Row],[Industry]], Mean_ROA_S, 2, FALSE))/(VLOOKUP(Main_S[[#This Row],[Industry]], Mean_ROA_S, 3, FALSE))</f>
        <v>-3.7590658102166947</v>
      </c>
      <c r="S144" s="1">
        <f>(Main_S[[#This Row],[A/E]]-VLOOKUP(Main_S[[#This Row],[Industry]], Mean_AE_S, 2, FALSE))/(VLOOKUP(Main_S[[#This Row],[Industry]], Mean_AE_S, 3, FALSE))</f>
        <v>-5.7008826420169143</v>
      </c>
      <c r="T144" s="1">
        <f>(Main_S[[#This Row],[P/E]]-VLOOKUP(Main_S[[#This Row],[Industry]], Mean_PE_S, 2, FALSE))/(VLOOKUP(Main_S[[#This Row],[Industry]], Mean_PE_S, 3, FALSE))</f>
        <v>-0.59722256637497118</v>
      </c>
      <c r="U1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5" spans="1:26" x14ac:dyDescent="0.25">
      <c r="A145" t="s">
        <v>115</v>
      </c>
      <c r="B145" t="s">
        <v>437</v>
      </c>
      <c r="C145" s="2">
        <v>410</v>
      </c>
      <c r="D145">
        <f>RTD("tos.rtd", , "LAST", Main_S[[#This Row],[Symbol]])</f>
        <v>11.88</v>
      </c>
      <c r="E145">
        <v>-3.75</v>
      </c>
      <c r="F145">
        <v>8.32</v>
      </c>
      <c r="G145">
        <v>-3.83</v>
      </c>
      <c r="H145" s="1">
        <f>IF(ISNUMBER(Main_S[[#This Row],[Free CF]]),IF(Main_S[[#This Row],[Free CF]]&lt;&gt;0,Main_S[[#This Row],[Current Price]]/Main_S[[#This Row],[Free CF]],""),"")</f>
        <v>-3.1680000000000001</v>
      </c>
      <c r="I145" s="1">
        <f>IF(ISNUMBER(Main_S[[#This Row],[BVPS]]),IF(Main_S[[#This Row],[BVPS]]&lt;&gt;0,Main_S[[#This Row],[Current Price]]/Main_S[[#This Row],[BVPS]],""),"")</f>
        <v>1.4278846153846154</v>
      </c>
      <c r="J145">
        <v>-36.83</v>
      </c>
      <c r="K145">
        <v>1.85</v>
      </c>
      <c r="L145">
        <v>3.84</v>
      </c>
      <c r="M145" s="1">
        <f>IF(ISNUMBER(Main_S[[#This Row],[EPS]]),IF(Main_S[[#This Row],[EPS]]&lt;&gt;0,Main_S[[#This Row],[Current Price]]/Main_S[[#This Row],[EPS]],""),"")</f>
        <v>-3.1018276762402088</v>
      </c>
      <c r="N1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5" s="1">
        <f>(Main_S[[#This Row],[P/FCF]]-VLOOKUP(Main_S[[#This Row],[Industry]], Mean_PFCF_S, 2, FALSE))/(VLOOKUP(Main_S[[#This Row],[Industry]], Mean_PFCF_S, 3, FALSE))</f>
        <v>-0.86064454403825907</v>
      </c>
      <c r="P145" s="1">
        <f>(Main_S[[#This Row],[P/B]]-VLOOKUP(Main_S[[#This Row],[Industry]], Mean_PB_S, 2, FALSE))/(VLOOKUP(Main_S[[#This Row],[Industry]], Mean_PB_S, 3, FALSE))</f>
        <v>-0.29729574628938504</v>
      </c>
      <c r="Q145" s="1">
        <f>(Main_S[[#This Row],[ROE]]-VLOOKUP(Main_S[[#This Row],[Industry]], Mean_ROE_S, 2, FALSE))/(VLOOKUP(Main_S[[#This Row],[Industry]], Mean_ROE_S, 3, FALSE))</f>
        <v>-2.4848867875448137</v>
      </c>
      <c r="R145" s="1">
        <f>(Main_S[[#This Row],[ROA]]-VLOOKUP(Main_S[[#This Row],[Industry]], Mean_ROA_S, 2, FALSE))/(VLOOKUP(Main_S[[#This Row],[Industry]], Mean_ROA_S, 3, FALSE))</f>
        <v>-0.40337709705051539</v>
      </c>
      <c r="S145" s="1">
        <f>(Main_S[[#This Row],[A/E]]-VLOOKUP(Main_S[[#This Row],[Industry]], Mean_AE_S, 2, FALSE))/(VLOOKUP(Main_S[[#This Row],[Industry]], Mean_AE_S, 3, FALSE))</f>
        <v>0.79667577609288853</v>
      </c>
      <c r="T145" s="1">
        <f>(Main_S[[#This Row],[P/E]]-VLOOKUP(Main_S[[#This Row],[Industry]], Mean_PE_S, 2, FALSE))/(VLOOKUP(Main_S[[#This Row],[Industry]], Mean_PE_S, 3, FALSE))</f>
        <v>-0.69518337661360352</v>
      </c>
      <c r="U1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6" spans="1:26" x14ac:dyDescent="0.25">
      <c r="A146" t="s">
        <v>115</v>
      </c>
      <c r="B146" t="s">
        <v>501</v>
      </c>
      <c r="C146" s="2">
        <v>370</v>
      </c>
      <c r="D146">
        <f>RTD("tos.rtd", , "LAST", Main_S[[#This Row],[Symbol]])</f>
        <v>6.63</v>
      </c>
      <c r="E146">
        <v>-4.05</v>
      </c>
      <c r="F146">
        <v>2.52</v>
      </c>
      <c r="G146">
        <v>-4.63</v>
      </c>
      <c r="H146" s="1">
        <f>IF(ISNUMBER(Main_S[[#This Row],[Free CF]]),IF(Main_S[[#This Row],[Free CF]]&lt;&gt;0,Main_S[[#This Row],[Current Price]]/Main_S[[#This Row],[Free CF]],""),"")</f>
        <v>-1.6370370370370371</v>
      </c>
      <c r="I146" s="1">
        <f>IF(ISNUMBER(Main_S[[#This Row],[BVPS]]),IF(Main_S[[#This Row],[BVPS]]&lt;&gt;0,Main_S[[#This Row],[Current Price]]/Main_S[[#This Row],[BVPS]],""),"")</f>
        <v>2.6309523809523809</v>
      </c>
      <c r="J146">
        <v>-104.28</v>
      </c>
      <c r="K146">
        <v>-20.86</v>
      </c>
      <c r="L146">
        <v>2.54</v>
      </c>
      <c r="M146" s="1">
        <f>IF(ISNUMBER(Main_S[[#This Row],[EPS]]),IF(Main_S[[#This Row],[EPS]]&lt;&gt;0,Main_S[[#This Row],[Current Price]]/Main_S[[#This Row],[EPS]],""),"")</f>
        <v>-1.4319654427645789</v>
      </c>
      <c r="N1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6" s="1">
        <f>(Main_S[[#This Row],[P/FCF]]-VLOOKUP(Main_S[[#This Row],[Industry]], Mean_PFCF_S, 2, FALSE))/(VLOOKUP(Main_S[[#This Row],[Industry]], Mean_PFCF_S, 3, FALSE))</f>
        <v>-0.77041089810246088</v>
      </c>
      <c r="P146" s="1">
        <f>(Main_S[[#This Row],[P/B]]-VLOOKUP(Main_S[[#This Row],[Industry]], Mean_PB_S, 2, FALSE))/(VLOOKUP(Main_S[[#This Row],[Industry]], Mean_PB_S, 3, FALSE))</f>
        <v>0.90325041208592882</v>
      </c>
      <c r="Q146" s="1">
        <f>(Main_S[[#This Row],[ROE]]-VLOOKUP(Main_S[[#This Row],[Industry]], Mean_ROE_S, 2, FALSE))/(VLOOKUP(Main_S[[#This Row],[Industry]], Mean_ROE_S, 3, FALSE))</f>
        <v>-6.4897725597507856</v>
      </c>
      <c r="R146" s="1">
        <f>(Main_S[[#This Row],[ROA]]-VLOOKUP(Main_S[[#This Row],[Industry]], Mean_ROA_S, 2, FALSE))/(VLOOKUP(Main_S[[#This Row],[Industry]], Mean_ROA_S, 3, FALSE))</f>
        <v>-7.8382737483679721</v>
      </c>
      <c r="S146" s="1">
        <f>(Main_S[[#This Row],[A/E]]-VLOOKUP(Main_S[[#This Row],[Industry]], Mean_AE_S, 2, FALSE))/(VLOOKUP(Main_S[[#This Row],[Industry]], Mean_AE_S, 3, FALSE))</f>
        <v>-8.8735748387482813E-2</v>
      </c>
      <c r="T146" s="1">
        <f>(Main_S[[#This Row],[P/E]]-VLOOKUP(Main_S[[#This Row],[Industry]], Mean_PE_S, 2, FALSE))/(VLOOKUP(Main_S[[#This Row],[Industry]], Mean_PE_S, 3, FALSE))</f>
        <v>-0.60641625276040501</v>
      </c>
      <c r="U1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7" spans="1:26" x14ac:dyDescent="0.25">
      <c r="A147" t="s">
        <v>110</v>
      </c>
      <c r="B147" t="s">
        <v>362</v>
      </c>
      <c r="C147" s="2">
        <v>798</v>
      </c>
      <c r="D147">
        <f>RTD("tos.rtd", , "LAST", Main_S[[#This Row],[Symbol]])</f>
        <v>55.03</v>
      </c>
      <c r="E147">
        <v>3.82</v>
      </c>
      <c r="F147">
        <v>39.64</v>
      </c>
      <c r="G147">
        <v>5.87</v>
      </c>
      <c r="H147" s="1">
        <f>IF(ISNUMBER(Main_S[[#This Row],[Free CF]]),IF(Main_S[[#This Row],[Free CF]]&lt;&gt;0,Main_S[[#This Row],[Current Price]]/Main_S[[#This Row],[Free CF]],""),"")</f>
        <v>14.405759162303665</v>
      </c>
      <c r="I147" s="1">
        <f>IF(ISNUMBER(Main_S[[#This Row],[BVPS]]),IF(Main_S[[#This Row],[BVPS]]&lt;&gt;0,Main_S[[#This Row],[Current Price]]/Main_S[[#This Row],[BVPS]],""),"")</f>
        <v>1.3882441977800202</v>
      </c>
      <c r="J147">
        <v>15.71</v>
      </c>
      <c r="K147">
        <v>6.39</v>
      </c>
      <c r="L147">
        <v>2.0699999999999998</v>
      </c>
      <c r="M147" s="1">
        <f>IF(ISNUMBER(Main_S[[#This Row],[EPS]]),IF(Main_S[[#This Row],[EPS]]&lt;&gt;0,Main_S[[#This Row],[Current Price]]/Main_S[[#This Row],[EPS]],""),"")</f>
        <v>9.3747870528109036</v>
      </c>
      <c r="N1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7" s="1">
        <f>(Main_S[[#This Row],[P/FCF]]-VLOOKUP(Main_S[[#This Row],[Industry]], Mean_PFCF_S, 2, FALSE))/(VLOOKUP(Main_S[[#This Row],[Industry]], Mean_PFCF_S, 3, FALSE))</f>
        <v>0.84280431142963375</v>
      </c>
      <c r="P147" s="1">
        <f>(Main_S[[#This Row],[P/B]]-VLOOKUP(Main_S[[#This Row],[Industry]], Mean_PB_S, 2, FALSE))/(VLOOKUP(Main_S[[#This Row],[Industry]], Mean_PB_S, 3, FALSE))</f>
        <v>-0.63274119626436842</v>
      </c>
      <c r="Q147" s="1">
        <f>(Main_S[[#This Row],[ROE]]-VLOOKUP(Main_S[[#This Row],[Industry]], Mean_ROE_S, 2, FALSE))/(VLOOKUP(Main_S[[#This Row],[Industry]], Mean_ROE_S, 3, FALSE))</f>
        <v>0.4670548169911814</v>
      </c>
      <c r="R147" s="1">
        <f>(Main_S[[#This Row],[ROA]]-VLOOKUP(Main_S[[#This Row],[Industry]], Mean_ROA_S, 2, FALSE))/(VLOOKUP(Main_S[[#This Row],[Industry]], Mean_ROA_S, 3, FALSE))</f>
        <v>0.42720841784941277</v>
      </c>
      <c r="S147" s="1">
        <f>(Main_S[[#This Row],[A/E]]-VLOOKUP(Main_S[[#This Row],[Industry]], Mean_AE_S, 2, FALSE))/(VLOOKUP(Main_S[[#This Row],[Industry]], Mean_AE_S, 3, FALSE))</f>
        <v>0.29752683208941361</v>
      </c>
      <c r="T147" s="1">
        <f>(Main_S[[#This Row],[P/E]]-VLOOKUP(Main_S[[#This Row],[Industry]], Mean_PE_S, 2, FALSE))/(VLOOKUP(Main_S[[#This Row],[Industry]], Mean_PE_S, 3, FALSE))</f>
        <v>-0.25727052979963949</v>
      </c>
      <c r="U1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8" spans="1:26" x14ac:dyDescent="0.25">
      <c r="A148" t="s">
        <v>110</v>
      </c>
      <c r="B148" t="s">
        <v>355</v>
      </c>
      <c r="C148" s="2">
        <v>1143</v>
      </c>
      <c r="D148">
        <f>RTD("tos.rtd", , "LAST", Main_S[[#This Row],[Symbol]])</f>
        <v>31.88</v>
      </c>
      <c r="E148">
        <v>6.25</v>
      </c>
      <c r="F148">
        <v>23.38</v>
      </c>
      <c r="G148">
        <v>4.51</v>
      </c>
      <c r="H148" s="1">
        <f>IF(ISNUMBER(Main_S[[#This Row],[Free CF]]),IF(Main_S[[#This Row],[Free CF]]&lt;&gt;0,Main_S[[#This Row],[Current Price]]/Main_S[[#This Row],[Free CF]],""),"")</f>
        <v>5.1007999999999996</v>
      </c>
      <c r="I148" s="1">
        <f>IF(ISNUMBER(Main_S[[#This Row],[BVPS]]),IF(Main_S[[#This Row],[BVPS]]&lt;&gt;0,Main_S[[#This Row],[Current Price]]/Main_S[[#This Row],[BVPS]],""),"")</f>
        <v>1.3635585970915312</v>
      </c>
      <c r="J148">
        <v>19.309999999999999</v>
      </c>
      <c r="K148">
        <v>6.95</v>
      </c>
      <c r="L148">
        <v>2.75</v>
      </c>
      <c r="M148" s="1">
        <f>IF(ISNUMBER(Main_S[[#This Row],[EPS]]),IF(Main_S[[#This Row],[EPS]]&lt;&gt;0,Main_S[[#This Row],[Current Price]]/Main_S[[#This Row],[EPS]],""),"")</f>
        <v>7.0687361419068742</v>
      </c>
      <c r="N1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8" s="1">
        <f>(Main_S[[#This Row],[P/FCF]]-VLOOKUP(Main_S[[#This Row],[Industry]], Mean_PFCF_S, 2, FALSE))/(VLOOKUP(Main_S[[#This Row],[Industry]], Mean_PFCF_S, 3, FALSE))</f>
        <v>-0.64021331012872118</v>
      </c>
      <c r="P148" s="1">
        <f>(Main_S[[#This Row],[P/B]]-VLOOKUP(Main_S[[#This Row],[Industry]], Mean_PB_S, 2, FALSE))/(VLOOKUP(Main_S[[#This Row],[Industry]], Mean_PB_S, 3, FALSE))</f>
        <v>-0.64967147613993892</v>
      </c>
      <c r="Q148" s="1">
        <f>(Main_S[[#This Row],[ROE]]-VLOOKUP(Main_S[[#This Row],[Industry]], Mean_ROE_S, 2, FALSE))/(VLOOKUP(Main_S[[#This Row],[Industry]], Mean_ROE_S, 3, FALSE))</f>
        <v>0.70205095132636686</v>
      </c>
      <c r="R148" s="1">
        <f>(Main_S[[#This Row],[ROA]]-VLOOKUP(Main_S[[#This Row],[Industry]], Mean_ROA_S, 2, FALSE))/(VLOOKUP(Main_S[[#This Row],[Industry]], Mean_ROA_S, 3, FALSE))</f>
        <v>0.56876860364566806</v>
      </c>
      <c r="S148" s="1">
        <f>(Main_S[[#This Row],[A/E]]-VLOOKUP(Main_S[[#This Row],[Industry]], Mean_AE_S, 2, FALSE))/(VLOOKUP(Main_S[[#This Row],[Industry]], Mean_AE_S, 3, FALSE))</f>
        <v>1.4137654297214213</v>
      </c>
      <c r="T148" s="1">
        <f>(Main_S[[#This Row],[P/E]]-VLOOKUP(Main_S[[#This Row],[Industry]], Mean_PE_S, 2, FALSE))/(VLOOKUP(Main_S[[#This Row],[Industry]], Mean_PE_S, 3, FALSE))</f>
        <v>-0.57158360645156625</v>
      </c>
      <c r="U1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9" spans="1:26" x14ac:dyDescent="0.25">
      <c r="A149" t="s">
        <v>110</v>
      </c>
      <c r="B149" t="s">
        <v>357</v>
      </c>
      <c r="C149" s="2">
        <v>1258</v>
      </c>
      <c r="D149">
        <f>RTD("tos.rtd", , "LAST", Main_S[[#This Row],[Symbol]])</f>
        <v>22.16</v>
      </c>
      <c r="E149">
        <v>6.18</v>
      </c>
      <c r="F149">
        <v>38.270000000000003</v>
      </c>
      <c r="G149">
        <v>4.2</v>
      </c>
      <c r="H149" s="1">
        <f>IF(ISNUMBER(Main_S[[#This Row],[Free CF]]),IF(Main_S[[#This Row],[Free CF]]&lt;&gt;0,Main_S[[#This Row],[Current Price]]/Main_S[[#This Row],[Free CF]],""),"")</f>
        <v>3.5857605177993528</v>
      </c>
      <c r="I149" s="1">
        <f>IF(ISNUMBER(Main_S[[#This Row],[BVPS]]),IF(Main_S[[#This Row],[BVPS]]&lt;&gt;0,Main_S[[#This Row],[Current Price]]/Main_S[[#This Row],[BVPS]],""),"")</f>
        <v>0.5790436373138228</v>
      </c>
      <c r="J149">
        <v>11.98</v>
      </c>
      <c r="K149">
        <v>7.29</v>
      </c>
      <c r="L149">
        <v>1.48</v>
      </c>
      <c r="M149" s="1">
        <f>IF(ISNUMBER(Main_S[[#This Row],[EPS]]),IF(Main_S[[#This Row],[EPS]]&lt;&gt;0,Main_S[[#This Row],[Current Price]]/Main_S[[#This Row],[EPS]],""),"")</f>
        <v>5.2761904761904761</v>
      </c>
      <c r="N1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49" s="1">
        <f>(Main_S[[#This Row],[P/FCF]]-VLOOKUP(Main_S[[#This Row],[Industry]], Mean_PFCF_S, 2, FALSE))/(VLOOKUP(Main_S[[#This Row],[Industry]], Mean_PFCF_S, 3, FALSE))</f>
        <v>-0.8816792005500983</v>
      </c>
      <c r="P149" s="1">
        <f>(Main_S[[#This Row],[P/B]]-VLOOKUP(Main_S[[#This Row],[Industry]], Mean_PB_S, 2, FALSE))/(VLOOKUP(Main_S[[#This Row],[Industry]], Mean_PB_S, 3, FALSE))</f>
        <v>-1.1877202764594708</v>
      </c>
      <c r="Q149" s="1">
        <f>(Main_S[[#This Row],[ROE]]-VLOOKUP(Main_S[[#This Row],[Industry]], Mean_ROE_S, 2, FALSE))/(VLOOKUP(Main_S[[#This Row],[Industry]], Mean_ROE_S, 3, FALSE))</f>
        <v>0.22357271113833624</v>
      </c>
      <c r="R149" s="1">
        <f>(Main_S[[#This Row],[ROA]]-VLOOKUP(Main_S[[#This Row],[Industry]], Mean_ROA_S, 2, FALSE))/(VLOOKUP(Main_S[[#This Row],[Industry]], Mean_ROA_S, 3, FALSE))</f>
        <v>0.65471585930768006</v>
      </c>
      <c r="S149" s="1">
        <f>(Main_S[[#This Row],[A/E]]-VLOOKUP(Main_S[[#This Row],[Industry]], Mean_AE_S, 2, FALSE))/(VLOOKUP(Main_S[[#This Row],[Industry]], Mean_AE_S, 3, FALSE))</f>
        <v>-0.67097430409129843</v>
      </c>
      <c r="T149" s="1">
        <f>(Main_S[[#This Row],[P/E]]-VLOOKUP(Main_S[[#This Row],[Industry]], Mean_PE_S, 2, FALSE))/(VLOOKUP(Main_S[[#This Row],[Industry]], Mean_PE_S, 3, FALSE))</f>
        <v>-0.81590628838642532</v>
      </c>
      <c r="U1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0" spans="1:26" x14ac:dyDescent="0.25">
      <c r="A150" t="s">
        <v>110</v>
      </c>
      <c r="B150" t="s">
        <v>363</v>
      </c>
      <c r="C150" s="2">
        <v>1790</v>
      </c>
      <c r="D150">
        <f>RTD("tos.rtd", , "LAST", Main_S[[#This Row],[Symbol]])</f>
        <v>26.1</v>
      </c>
      <c r="E150">
        <v>2.2999999999999998</v>
      </c>
      <c r="F150">
        <v>12.06</v>
      </c>
      <c r="G150">
        <v>2.3199999999999998</v>
      </c>
      <c r="H150" s="1">
        <f>IF(ISNUMBER(Main_S[[#This Row],[Free CF]]),IF(Main_S[[#This Row],[Free CF]]&lt;&gt;0,Main_S[[#This Row],[Current Price]]/Main_S[[#This Row],[Free CF]],""),"")</f>
        <v>11.347826086956523</v>
      </c>
      <c r="I150" s="1">
        <f>IF(ISNUMBER(Main_S[[#This Row],[BVPS]]),IF(Main_S[[#This Row],[BVPS]]&lt;&gt;0,Main_S[[#This Row],[Current Price]]/Main_S[[#This Row],[BVPS]],""),"")</f>
        <v>2.1641791044776117</v>
      </c>
      <c r="J150">
        <v>19.760000000000002</v>
      </c>
      <c r="K150">
        <v>11.38</v>
      </c>
      <c r="L150">
        <v>1.63</v>
      </c>
      <c r="M150" s="1">
        <f>IF(ISNUMBER(Main_S[[#This Row],[EPS]]),IF(Main_S[[#This Row],[EPS]]&lt;&gt;0,Main_S[[#This Row],[Current Price]]/Main_S[[#This Row],[EPS]],""),"")</f>
        <v>11.250000000000002</v>
      </c>
      <c r="N1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0" s="1">
        <f>(Main_S[[#This Row],[P/FCF]]-VLOOKUP(Main_S[[#This Row],[Industry]], Mean_PFCF_S, 2, FALSE))/(VLOOKUP(Main_S[[#This Row],[Industry]], Mean_PFCF_S, 3, FALSE))</f>
        <v>0.35543316264930919</v>
      </c>
      <c r="P150" s="1">
        <f>(Main_S[[#This Row],[P/B]]-VLOOKUP(Main_S[[#This Row],[Industry]], Mean_PB_S, 2, FALSE))/(VLOOKUP(Main_S[[#This Row],[Industry]], Mean_PB_S, 3, FALSE))</f>
        <v>-0.10057690739856688</v>
      </c>
      <c r="Q150" s="1">
        <f>(Main_S[[#This Row],[ROE]]-VLOOKUP(Main_S[[#This Row],[Industry]], Mean_ROE_S, 2, FALSE))/(VLOOKUP(Main_S[[#This Row],[Industry]], Mean_ROE_S, 3, FALSE))</f>
        <v>0.73142546811826525</v>
      </c>
      <c r="R150" s="1">
        <f>(Main_S[[#This Row],[ROA]]-VLOOKUP(Main_S[[#This Row],[Industry]], Mean_ROA_S, 2, FALSE))/(VLOOKUP(Main_S[[#This Row],[Industry]], Mean_ROA_S, 3, FALSE))</f>
        <v>1.6886107877124723</v>
      </c>
      <c r="S150" s="1">
        <f>(Main_S[[#This Row],[A/E]]-VLOOKUP(Main_S[[#This Row],[Industry]], Mean_AE_S, 2, FALSE))/(VLOOKUP(Main_S[[#This Row],[Industry]], Mean_AE_S, 3, FALSE))</f>
        <v>-0.42474520167247343</v>
      </c>
      <c r="T150" s="1">
        <f>(Main_S[[#This Row],[P/E]]-VLOOKUP(Main_S[[#This Row],[Industry]], Mean_PE_S, 2, FALSE))/(VLOOKUP(Main_S[[#This Row],[Industry]], Mean_PE_S, 3, FALSE))</f>
        <v>-1.680356997482507E-3</v>
      </c>
      <c r="U1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1" spans="1:26" x14ac:dyDescent="0.25">
      <c r="A151" t="s">
        <v>110</v>
      </c>
      <c r="B151" t="s">
        <v>364</v>
      </c>
      <c r="C151" s="2">
        <v>1383</v>
      </c>
      <c r="D151">
        <f>RTD("tos.rtd", , "LAST", Main_S[[#This Row],[Symbol]])</f>
        <v>18.63</v>
      </c>
      <c r="E151">
        <v>1.38</v>
      </c>
      <c r="F151">
        <v>3.83</v>
      </c>
      <c r="G151">
        <v>0.9</v>
      </c>
      <c r="H151" s="1">
        <f>IF(ISNUMBER(Main_S[[#This Row],[Free CF]]),IF(Main_S[[#This Row],[Free CF]]&lt;&gt;0,Main_S[[#This Row],[Current Price]]/Main_S[[#This Row],[Free CF]],""),"")</f>
        <v>13.5</v>
      </c>
      <c r="I151" s="1">
        <f>IF(ISNUMBER(Main_S[[#This Row],[BVPS]]),IF(Main_S[[#This Row],[BVPS]]&lt;&gt;0,Main_S[[#This Row],[Current Price]]/Main_S[[#This Row],[BVPS]],""),"")</f>
        <v>4.8642297650130546</v>
      </c>
      <c r="J151">
        <v>26.65</v>
      </c>
      <c r="K151">
        <v>4.22</v>
      </c>
      <c r="L151">
        <v>5.42</v>
      </c>
      <c r="M151" s="1">
        <f>IF(ISNUMBER(Main_S[[#This Row],[EPS]]),IF(Main_S[[#This Row],[EPS]]&lt;&gt;0,Main_S[[#This Row],[Current Price]]/Main_S[[#This Row],[EPS]],""),"")</f>
        <v>20.7</v>
      </c>
      <c r="N1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1" s="1">
        <f>(Main_S[[#This Row],[P/FCF]]-VLOOKUP(Main_S[[#This Row],[Industry]], Mean_PFCF_S, 2, FALSE))/(VLOOKUP(Main_S[[#This Row],[Industry]], Mean_PFCF_S, 3, FALSE))</f>
        <v>0.69844507511765896</v>
      </c>
      <c r="P151" s="1">
        <f>(Main_S[[#This Row],[P/B]]-VLOOKUP(Main_S[[#This Row],[Industry]], Mean_PB_S, 2, FALSE))/(VLOOKUP(Main_S[[#This Row],[Industry]], Mean_PB_S, 3, FALSE))</f>
        <v>1.7512157201310505</v>
      </c>
      <c r="Q151" s="1">
        <f>(Main_S[[#This Row],[ROE]]-VLOOKUP(Main_S[[#This Row],[Industry]], Mean_ROE_S, 2, FALSE))/(VLOOKUP(Main_S[[#This Row],[Industry]], Mean_ROE_S, 3, FALSE))</f>
        <v>1.1811819585542176</v>
      </c>
      <c r="R151" s="1">
        <f>(Main_S[[#This Row],[ROA]]-VLOOKUP(Main_S[[#This Row],[Industry]], Mean_ROA_S, 2, FALSE))/(VLOOKUP(Main_S[[#This Row],[Industry]], Mean_ROA_S, 3, FALSE))</f>
        <v>-0.12133730211107596</v>
      </c>
      <c r="S151" s="1">
        <f>(Main_S[[#This Row],[A/E]]-VLOOKUP(Main_S[[#This Row],[Industry]], Mean_AE_S, 2, FALSE))/(VLOOKUP(Main_S[[#This Row],[Industry]], Mean_AE_S, 3, FALSE))</f>
        <v>5.7966434527765092</v>
      </c>
      <c r="T151" s="1">
        <f>(Main_S[[#This Row],[P/E]]-VLOOKUP(Main_S[[#This Row],[Industry]], Mean_PE_S, 2, FALSE))/(VLOOKUP(Main_S[[#This Row],[Industry]], Mean_PE_S, 3, FALSE))</f>
        <v>1.2863478302016853</v>
      </c>
      <c r="U1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2" spans="1:26" x14ac:dyDescent="0.25">
      <c r="A152" t="s">
        <v>110</v>
      </c>
      <c r="B152" t="s">
        <v>361</v>
      </c>
      <c r="C152" s="2">
        <v>360</v>
      </c>
      <c r="D152">
        <f>RTD("tos.rtd", , "LAST", Main_S[[#This Row],[Symbol]])</f>
        <v>16.07</v>
      </c>
      <c r="E152">
        <v>0.06</v>
      </c>
      <c r="F152">
        <v>22.18</v>
      </c>
      <c r="G152">
        <v>0.78</v>
      </c>
      <c r="H152" s="1">
        <f>IF(ISNUMBER(Main_S[[#This Row],[Free CF]]),IF(Main_S[[#This Row],[Free CF]]&lt;&gt;0,Main_S[[#This Row],[Current Price]]/Main_S[[#This Row],[Free CF]],""),"")</f>
        <v>267.83333333333337</v>
      </c>
      <c r="I152" s="1">
        <f>IF(ISNUMBER(Main_S[[#This Row],[BVPS]]),IF(Main_S[[#This Row],[BVPS]]&lt;&gt;0,Main_S[[#This Row],[Current Price]]/Main_S[[#This Row],[BVPS]],""),"")</f>
        <v>0.72452660054102802</v>
      </c>
      <c r="J152">
        <v>3.67</v>
      </c>
      <c r="K152">
        <v>1.61</v>
      </c>
      <c r="L152">
        <v>1.51</v>
      </c>
      <c r="M152" s="1">
        <f>IF(ISNUMBER(Main_S[[#This Row],[EPS]]),IF(Main_S[[#This Row],[EPS]]&lt;&gt;0,Main_S[[#This Row],[Current Price]]/Main_S[[#This Row],[EPS]],""),"")</f>
        <v>20.602564102564102</v>
      </c>
      <c r="N1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2" s="1">
        <f>(Main_S[[#This Row],[P/FCF]]-VLOOKUP(Main_S[[#This Row],[Industry]], Mean_PFCF_S, 2, FALSE))/(VLOOKUP(Main_S[[#This Row],[Industry]], Mean_PFCF_S, 3, FALSE))</f>
        <v>41.233906704121537</v>
      </c>
      <c r="P152" s="1">
        <f>(Main_S[[#This Row],[P/B]]-VLOOKUP(Main_S[[#This Row],[Industry]], Mean_PB_S, 2, FALSE))/(VLOOKUP(Main_S[[#This Row],[Industry]], Mean_PB_S, 3, FALSE))</f>
        <v>-1.087942786106058</v>
      </c>
      <c r="Q152" s="1">
        <f>(Main_S[[#This Row],[ROE]]-VLOOKUP(Main_S[[#This Row],[Industry]], Mean_ROE_S, 2, FALSE))/(VLOOKUP(Main_S[[#This Row],[Industry]], Mean_ROE_S, 3, FALSE))</f>
        <v>-0.31887669895205062</v>
      </c>
      <c r="R152" s="1">
        <f>(Main_S[[#This Row],[ROA]]-VLOOKUP(Main_S[[#This Row],[Industry]], Mean_ROA_S, 2, FALSE))/(VLOOKUP(Main_S[[#This Row],[Industry]], Mean_ROA_S, 3, FALSE))</f>
        <v>-0.78110888234005071</v>
      </c>
      <c r="S152" s="1">
        <f>(Main_S[[#This Row],[A/E]]-VLOOKUP(Main_S[[#This Row],[Industry]], Mean_AE_S, 2, FALSE))/(VLOOKUP(Main_S[[#This Row],[Industry]], Mean_AE_S, 3, FALSE))</f>
        <v>-0.62172848360753341</v>
      </c>
      <c r="T152" s="1">
        <f>(Main_S[[#This Row],[P/E]]-VLOOKUP(Main_S[[#This Row],[Industry]], Mean_PE_S, 2, FALSE))/(VLOOKUP(Main_S[[#This Row],[Industry]], Mean_PE_S, 3, FALSE))</f>
        <v>1.2730673876257612</v>
      </c>
      <c r="U1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3" spans="1:26" x14ac:dyDescent="0.25">
      <c r="A153" t="s">
        <v>110</v>
      </c>
      <c r="B153" t="s">
        <v>358</v>
      </c>
      <c r="C153" s="2">
        <v>1169</v>
      </c>
      <c r="D153">
        <f>RTD("tos.rtd", , "LAST", Main_S[[#This Row],[Symbol]])</f>
        <v>11.74</v>
      </c>
      <c r="E153">
        <v>1.98</v>
      </c>
      <c r="F153">
        <v>3.9</v>
      </c>
      <c r="G153">
        <v>0.68</v>
      </c>
      <c r="H153" s="1">
        <f>IF(ISNUMBER(Main_S[[#This Row],[Free CF]]),IF(Main_S[[#This Row],[Free CF]]&lt;&gt;0,Main_S[[#This Row],[Current Price]]/Main_S[[#This Row],[Free CF]],""),"")</f>
        <v>5.9292929292929291</v>
      </c>
      <c r="I153" s="1">
        <f>IF(ISNUMBER(Main_S[[#This Row],[BVPS]]),IF(Main_S[[#This Row],[BVPS]]&lt;&gt;0,Main_S[[#This Row],[Current Price]]/Main_S[[#This Row],[BVPS]],""),"")</f>
        <v>3.0102564102564102</v>
      </c>
      <c r="J153">
        <v>21.14</v>
      </c>
      <c r="K153">
        <v>6.5</v>
      </c>
      <c r="L153">
        <v>2.99</v>
      </c>
      <c r="M153" s="1">
        <f>IF(ISNUMBER(Main_S[[#This Row],[EPS]]),IF(Main_S[[#This Row],[EPS]]&lt;&gt;0,Main_S[[#This Row],[Current Price]]/Main_S[[#This Row],[EPS]],""),"")</f>
        <v>17.264705882352942</v>
      </c>
      <c r="N1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3" s="1">
        <f>(Main_S[[#This Row],[P/FCF]]-VLOOKUP(Main_S[[#This Row],[Industry]], Mean_PFCF_S, 2, FALSE))/(VLOOKUP(Main_S[[#This Row],[Industry]], Mean_PFCF_S, 3, FALSE))</f>
        <v>-0.50816870981972551</v>
      </c>
      <c r="P153" s="1">
        <f>(Main_S[[#This Row],[P/B]]-VLOOKUP(Main_S[[#This Row],[Industry]], Mean_PB_S, 2, FALSE))/(VLOOKUP(Main_S[[#This Row],[Industry]], Mean_PB_S, 3, FALSE))</f>
        <v>0.47969358161907216</v>
      </c>
      <c r="Q153" s="1">
        <f>(Main_S[[#This Row],[ROE]]-VLOOKUP(Main_S[[#This Row],[Industry]], Mean_ROE_S, 2, FALSE))/(VLOOKUP(Main_S[[#This Row],[Industry]], Mean_ROE_S, 3, FALSE))</f>
        <v>0.82150731961341972</v>
      </c>
      <c r="R153" s="1">
        <f>(Main_S[[#This Row],[ROA]]-VLOOKUP(Main_S[[#This Row],[Industry]], Mean_ROA_S, 2, FALSE))/(VLOOKUP(Main_S[[#This Row],[Industry]], Mean_ROA_S, 3, FALSE))</f>
        <v>0.45501488291653441</v>
      </c>
      <c r="S153" s="1">
        <f>(Main_S[[#This Row],[A/E]]-VLOOKUP(Main_S[[#This Row],[Industry]], Mean_AE_S, 2, FALSE))/(VLOOKUP(Main_S[[#This Row],[Industry]], Mean_AE_S, 3, FALSE))</f>
        <v>1.8077319935915419</v>
      </c>
      <c r="T153" s="1">
        <f>(Main_S[[#This Row],[P/E]]-VLOOKUP(Main_S[[#This Row],[Industry]], Mean_PE_S, 2, FALSE))/(VLOOKUP(Main_S[[#This Row],[Industry]], Mean_PE_S, 3, FALSE))</f>
        <v>0.81811971857746257</v>
      </c>
      <c r="U1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4" spans="1:26" x14ac:dyDescent="0.25">
      <c r="A154" t="s">
        <v>110</v>
      </c>
      <c r="B154" t="s">
        <v>356</v>
      </c>
      <c r="C154" s="2">
        <v>707</v>
      </c>
      <c r="D154">
        <f>RTD("tos.rtd", , "LAST", Main_S[[#This Row],[Symbol]])</f>
        <v>5.16</v>
      </c>
      <c r="E154">
        <v>0.36</v>
      </c>
      <c r="F154">
        <v>2.35</v>
      </c>
      <c r="G154">
        <v>0.01</v>
      </c>
      <c r="H154" s="1">
        <f>IF(ISNUMBER(Main_S[[#This Row],[Free CF]]),IF(Main_S[[#This Row],[Free CF]]&lt;&gt;0,Main_S[[#This Row],[Current Price]]/Main_S[[#This Row],[Free CF]],""),"")</f>
        <v>14.333333333333334</v>
      </c>
      <c r="I154" s="1">
        <f>IF(ISNUMBER(Main_S[[#This Row],[BVPS]]),IF(Main_S[[#This Row],[BVPS]]&lt;&gt;0,Main_S[[#This Row],[Current Price]]/Main_S[[#This Row],[BVPS]],""),"")</f>
        <v>2.1957446808510639</v>
      </c>
      <c r="J154">
        <v>0.31</v>
      </c>
      <c r="K154">
        <v>0.19</v>
      </c>
      <c r="L154">
        <v>1.37</v>
      </c>
      <c r="M154" s="1">
        <f>IF(ISNUMBER(Main_S[[#This Row],[EPS]]),IF(Main_S[[#This Row],[EPS]]&lt;&gt;0,Main_S[[#This Row],[Current Price]]/Main_S[[#This Row],[EPS]],""),"")</f>
        <v>516</v>
      </c>
      <c r="N1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4" s="1">
        <f>(Main_S[[#This Row],[P/FCF]]-VLOOKUP(Main_S[[#This Row],[Industry]], Mean_PFCF_S, 2, FALSE))/(VLOOKUP(Main_S[[#This Row],[Industry]], Mean_PFCF_S, 3, FALSE))</f>
        <v>0.83126113550102698</v>
      </c>
      <c r="P154" s="1">
        <f>(Main_S[[#This Row],[P/B]]-VLOOKUP(Main_S[[#This Row],[Industry]], Mean_PB_S, 2, FALSE))/(VLOOKUP(Main_S[[#This Row],[Industry]], Mean_PB_S, 3, FALSE))</f>
        <v>-7.8928090779514973E-2</v>
      </c>
      <c r="Q154" s="1">
        <f>(Main_S[[#This Row],[ROE]]-VLOOKUP(Main_S[[#This Row],[Industry]], Mean_ROE_S, 2, FALSE))/(VLOOKUP(Main_S[[#This Row],[Industry]], Mean_ROE_S, 3, FALSE))</f>
        <v>-0.53820642433155719</v>
      </c>
      <c r="R154" s="1">
        <f>(Main_S[[#This Row],[ROA]]-VLOOKUP(Main_S[[#This Row],[Industry]], Mean_ROA_S, 2, FALSE))/(VLOOKUP(Main_S[[#This Row],[Industry]], Mean_ROA_S, 3, FALSE))</f>
        <v>-1.1400650677519835</v>
      </c>
      <c r="S154" s="1">
        <f>(Main_S[[#This Row],[A/E]]-VLOOKUP(Main_S[[#This Row],[Industry]], Mean_AE_S, 2, FALSE))/(VLOOKUP(Main_S[[#This Row],[Industry]], Mean_AE_S, 3, FALSE))</f>
        <v>-0.85154231253177004</v>
      </c>
      <c r="T154" s="1">
        <f>(Main_S[[#This Row],[P/E]]-VLOOKUP(Main_S[[#This Row],[Industry]], Mean_PE_S, 2, FALSE))/(VLOOKUP(Main_S[[#This Row],[Industry]], Mean_PE_S, 3, FALSE))</f>
        <v>68.795380752926349</v>
      </c>
      <c r="U1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5" spans="1:26" x14ac:dyDescent="0.25">
      <c r="A155" t="s">
        <v>110</v>
      </c>
      <c r="B155" t="s">
        <v>359</v>
      </c>
      <c r="C155" s="2">
        <v>1751</v>
      </c>
      <c r="D155">
        <f>RTD("tos.rtd", , "LAST", Main_S[[#This Row],[Symbol]])</f>
        <v>4.97</v>
      </c>
      <c r="E155">
        <v>0.28999999999999998</v>
      </c>
      <c r="F155">
        <v>0.12</v>
      </c>
      <c r="G155">
        <v>-0.15</v>
      </c>
      <c r="H155" s="1">
        <f>IF(ISNUMBER(Main_S[[#This Row],[Free CF]]),IF(Main_S[[#This Row],[Free CF]]&lt;&gt;0,Main_S[[#This Row],[Current Price]]/Main_S[[#This Row],[Free CF]],""),"")</f>
        <v>17.137931034482758</v>
      </c>
      <c r="I155" s="1">
        <f>IF(ISNUMBER(Main_S[[#This Row],[BVPS]]),IF(Main_S[[#This Row],[BVPS]]&lt;&gt;0,Main_S[[#This Row],[Current Price]]/Main_S[[#This Row],[BVPS]],""),"")</f>
        <v>41.416666666666664</v>
      </c>
      <c r="J155">
        <v>-26.75</v>
      </c>
      <c r="K155">
        <v>5.7</v>
      </c>
      <c r="L155">
        <v>87.95</v>
      </c>
      <c r="M155" s="1">
        <f>IF(ISNUMBER(Main_S[[#This Row],[EPS]]),IF(Main_S[[#This Row],[EPS]]&lt;&gt;0,Main_S[[#This Row],[Current Price]]/Main_S[[#This Row],[EPS]],""),"")</f>
        <v>-33.133333333333333</v>
      </c>
      <c r="N1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5" s="1">
        <f>(Main_S[[#This Row],[P/FCF]]-VLOOKUP(Main_S[[#This Row],[Industry]], Mean_PFCF_S, 2, FALSE))/(VLOOKUP(Main_S[[#This Row],[Industry]], Mean_PFCF_S, 3, FALSE))</f>
        <v>1.278255876653327</v>
      </c>
      <c r="P155" s="1">
        <f>(Main_S[[#This Row],[P/B]]-VLOOKUP(Main_S[[#This Row],[Industry]], Mean_PB_S, 2, FALSE))/(VLOOKUP(Main_S[[#This Row],[Industry]], Mean_PB_S, 3, FALSE))</f>
        <v>26.820202077335431</v>
      </c>
      <c r="Q155" s="1">
        <f>(Main_S[[#This Row],[ROE]]-VLOOKUP(Main_S[[#This Row],[Industry]], Mean_ROE_S, 2, FALSE))/(VLOOKUP(Main_S[[#This Row],[Industry]], Mean_ROE_S, 3, FALSE))</f>
        <v>-2.3045940340843689</v>
      </c>
      <c r="R155" s="1">
        <f>(Main_S[[#This Row],[ROA]]-VLOOKUP(Main_S[[#This Row],[Industry]], Mean_ROA_S, 2, FALSE))/(VLOOKUP(Main_S[[#This Row],[Industry]], Mean_ROA_S, 3, FALSE))</f>
        <v>0.25278604606474137</v>
      </c>
      <c r="S155" s="1">
        <f>(Main_S[[#This Row],[A/E]]-VLOOKUP(Main_S[[#This Row],[Industry]], Mean_AE_S, 2, FALSE))/(VLOOKUP(Main_S[[#This Row],[Industry]], Mean_AE_S, 3, FALSE))</f>
        <v>141.2718956036141</v>
      </c>
      <c r="T155" s="1">
        <f>(Main_S[[#This Row],[P/E]]-VLOOKUP(Main_S[[#This Row],[Industry]], Mean_PE_S, 2, FALSE))/(VLOOKUP(Main_S[[#This Row],[Industry]], Mean_PE_S, 3, FALSE))</f>
        <v>-6.0510966929963983</v>
      </c>
      <c r="U1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6" spans="1:26" x14ac:dyDescent="0.25">
      <c r="A156" t="s">
        <v>110</v>
      </c>
      <c r="B156" t="s">
        <v>498</v>
      </c>
      <c r="C156" s="2">
        <v>329</v>
      </c>
      <c r="D156">
        <f>RTD("tos.rtd", , "LAST", Main_S[[#This Row],[Symbol]])</f>
        <v>26.46</v>
      </c>
      <c r="E156">
        <v>-7.0000000000000007E-2</v>
      </c>
      <c r="F156">
        <v>5.87</v>
      </c>
      <c r="G156">
        <v>-0.39</v>
      </c>
      <c r="H156" s="1">
        <f>IF(ISNUMBER(Main_S[[#This Row],[Free CF]]),IF(Main_S[[#This Row],[Free CF]]&lt;&gt;0,Main_S[[#This Row],[Current Price]]/Main_S[[#This Row],[Free CF]],""),"")</f>
        <v>-378</v>
      </c>
      <c r="I156" s="1">
        <f>IF(ISNUMBER(Main_S[[#This Row],[BVPS]]),IF(Main_S[[#This Row],[BVPS]]&lt;&gt;0,Main_S[[#This Row],[Current Price]]/Main_S[[#This Row],[BVPS]],""),"")</f>
        <v>4.5076660988074959</v>
      </c>
      <c r="J156">
        <v>-6.23</v>
      </c>
      <c r="K156">
        <v>-3.23</v>
      </c>
      <c r="L156">
        <v>1.31</v>
      </c>
      <c r="M156" s="1">
        <f>IF(ISNUMBER(Main_S[[#This Row],[EPS]]),IF(Main_S[[#This Row],[EPS]]&lt;&gt;0,Main_S[[#This Row],[Current Price]]/Main_S[[#This Row],[EPS]],""),"")</f>
        <v>-67.84615384615384</v>
      </c>
      <c r="N1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6" s="1">
        <f>(Main_S[[#This Row],[P/FCF]]-VLOOKUP(Main_S[[#This Row],[Industry]], Mean_PFCF_S, 2, FALSE))/(VLOOKUP(Main_S[[#This Row],[Industry]], Mean_PFCF_S, 3, FALSE))</f>
        <v>-61.698540092988566</v>
      </c>
      <c r="P156" s="1">
        <f>(Main_S[[#This Row],[P/B]]-VLOOKUP(Main_S[[#This Row],[Industry]], Mean_PB_S, 2, FALSE))/(VLOOKUP(Main_S[[#This Row],[Industry]], Mean_PB_S, 3, FALSE))</f>
        <v>1.5066714313977994</v>
      </c>
      <c r="Q156" s="1">
        <f>(Main_S[[#This Row],[ROE]]-VLOOKUP(Main_S[[#This Row],[Industry]], Mean_ROE_S, 2, FALSE))/(VLOOKUP(Main_S[[#This Row],[Industry]], Mean_ROE_S, 3, FALSE))</f>
        <v>-0.96511606837381103</v>
      </c>
      <c r="R156" s="1">
        <f>(Main_S[[#This Row],[ROA]]-VLOOKUP(Main_S[[#This Row],[Industry]], Mean_ROA_S, 2, FALSE))/(VLOOKUP(Main_S[[#This Row],[Industry]], Mean_ROA_S, 3, FALSE))</f>
        <v>-2.0045933452933991</v>
      </c>
      <c r="S156" s="1">
        <f>(Main_S[[#This Row],[A/E]]-VLOOKUP(Main_S[[#This Row],[Industry]], Mean_AE_S, 2, FALSE))/(VLOOKUP(Main_S[[#This Row],[Industry]], Mean_AE_S, 3, FALSE))</f>
        <v>-0.9500339534993002</v>
      </c>
      <c r="T156" s="1">
        <f>(Main_S[[#This Row],[P/E]]-VLOOKUP(Main_S[[#This Row],[Industry]], Mean_PE_S, 2, FALSE))/(VLOOKUP(Main_S[[#This Row],[Industry]], Mean_PE_S, 3, FALSE))</f>
        <v>-10.782429103334842</v>
      </c>
      <c r="U1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7" spans="1:26" x14ac:dyDescent="0.25">
      <c r="A157" t="s">
        <v>110</v>
      </c>
      <c r="B157" t="s">
        <v>360</v>
      </c>
      <c r="C157" s="2">
        <v>316</v>
      </c>
      <c r="D157">
        <f>RTD("tos.rtd", , "LAST", Main_S[[#This Row],[Symbol]])</f>
        <v>2.1</v>
      </c>
      <c r="E157">
        <v>-0.64</v>
      </c>
      <c r="F157">
        <v>-0.04</v>
      </c>
      <c r="G157">
        <v>-1.46</v>
      </c>
      <c r="H157" s="1">
        <f>IF(ISNUMBER(Main_S[[#This Row],[Free CF]]),IF(Main_S[[#This Row],[Free CF]]&lt;&gt;0,Main_S[[#This Row],[Current Price]]/Main_S[[#This Row],[Free CF]],""),"")</f>
        <v>-3.28125</v>
      </c>
      <c r="I157" s="1">
        <f>IF(ISNUMBER(Main_S[[#This Row],[BVPS]]),IF(Main_S[[#This Row],[BVPS]]&lt;&gt;0,Main_S[[#This Row],[Current Price]]/Main_S[[#This Row],[BVPS]],""),"")</f>
        <v>-52.5</v>
      </c>
      <c r="J157">
        <v>-285.26</v>
      </c>
      <c r="K157">
        <v>-12.32</v>
      </c>
      <c r="L157">
        <v>-139.37</v>
      </c>
      <c r="M157" s="1">
        <f>IF(ISNUMBER(Main_S[[#This Row],[EPS]]),IF(Main_S[[#This Row],[EPS]]&lt;&gt;0,Main_S[[#This Row],[Current Price]]/Main_S[[#This Row],[EPS]],""),"")</f>
        <v>-1.4383561643835618</v>
      </c>
      <c r="N1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7" s="1">
        <f>(Main_S[[#This Row],[P/FCF]]-VLOOKUP(Main_S[[#This Row],[Industry]], Mean_PFCF_S, 2, FALSE))/(VLOOKUP(Main_S[[#This Row],[Industry]], Mean_PFCF_S, 3, FALSE))</f>
        <v>-1.9761383408524116</v>
      </c>
      <c r="P157" s="1">
        <f>(Main_S[[#This Row],[P/B]]-VLOOKUP(Main_S[[#This Row],[Industry]], Mean_PB_S, 2, FALSE))/(VLOOKUP(Main_S[[#This Row],[Industry]], Mean_PB_S, 3, FALSE))</f>
        <v>-37.591252669591888</v>
      </c>
      <c r="Q157" s="1">
        <f>(Main_S[[#This Row],[ROE]]-VLOOKUP(Main_S[[#This Row],[Industry]], Mean_ROE_S, 2, FALSE))/(VLOOKUP(Main_S[[#This Row],[Industry]], Mean_ROE_S, 3, FALSE))</f>
        <v>-19.179274780470156</v>
      </c>
      <c r="R157" s="1">
        <f>(Main_S[[#This Row],[ROA]]-VLOOKUP(Main_S[[#This Row],[Industry]], Mean_ROA_S, 2, FALSE))/(VLOOKUP(Main_S[[#This Row],[Industry]], Mean_ROA_S, 3, FALSE))</f>
        <v>-4.3024185040218974</v>
      </c>
      <c r="S157" s="1">
        <f>(Main_S[[#This Row],[A/E]]-VLOOKUP(Main_S[[#This Row],[Industry]], Mean_AE_S, 2, FALSE))/(VLOOKUP(Main_S[[#This Row],[Industry]], Mean_AE_S, 3, FALSE))</f>
        <v>-231.88010147536809</v>
      </c>
      <c r="T157" s="1">
        <f>(Main_S[[#This Row],[P/E]]-VLOOKUP(Main_S[[#This Row],[Industry]], Mean_PE_S, 2, FALSE))/(VLOOKUP(Main_S[[#This Row],[Industry]], Mean_PE_S, 3, FALSE))</f>
        <v>-1.7310941547697949</v>
      </c>
      <c r="U1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40"/>
  <sheetViews>
    <sheetView topLeftCell="A5" workbookViewId="0">
      <selection activeCell="B24" sqref="B24"/>
    </sheetView>
  </sheetViews>
  <sheetFormatPr defaultRowHeight="15" x14ac:dyDescent="0.25"/>
  <cols>
    <col min="1" max="1" width="30" bestFit="1" customWidth="1"/>
    <col min="2" max="3" width="60.140625" bestFit="1" customWidth="1"/>
    <col min="4" max="4" width="45.140625" bestFit="1" customWidth="1"/>
    <col min="5" max="5" width="45.42578125" bestFit="1" customWidth="1"/>
    <col min="6" max="7" width="58" bestFit="1" customWidth="1"/>
    <col min="8" max="8" width="39" bestFit="1" customWidth="1"/>
    <col min="9" max="9" width="39.28515625" bestFit="1" customWidth="1"/>
    <col min="10" max="11" width="58.7109375" bestFit="1" customWidth="1"/>
    <col min="12" max="12" width="40.7109375" bestFit="1" customWidth="1"/>
    <col min="13" max="13" width="41" bestFit="1" customWidth="1"/>
    <col min="14" max="15" width="58.85546875" bestFit="1" customWidth="1"/>
    <col min="16" max="16" width="41.140625" bestFit="1" customWidth="1"/>
    <col min="17" max="17" width="41.42578125" bestFit="1" customWidth="1"/>
    <col min="18" max="19" width="57.85546875" bestFit="1" customWidth="1"/>
    <col min="20" max="20" width="38.5703125" bestFit="1" customWidth="1"/>
    <col min="21" max="21" width="38.85546875" bestFit="1" customWidth="1"/>
    <col min="22" max="23" width="57.8554687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111</v>
      </c>
      <c r="B3" s="1" cm="1">
        <f t="array" ref="B3">_xlfn.QUARTILE.INC(IF(Quartile_L[[#This Row],[Industry]]=Main_L[Industry],Main_L[P/FCF]),1)</f>
        <v>20.706913218798853</v>
      </c>
      <c r="C3" s="1" cm="1">
        <f t="array" ref="C3">_xlfn.QUARTILE.INC(IF(Quartile_L[[#This Row],[Industry]]=Main_L[Industry],Main_L[P/FCF]),3)</f>
        <v>36.56922769853098</v>
      </c>
      <c r="D3" s="1">
        <f>Quartile_L[[#This Row],[P/FCF Q1]]-1.5*(Quartile_L[[#This Row],[P/FCF Q3]]-Quartile_L[[#This Row],[P/FCF Q1]])</f>
        <v>-3.0865585007993381</v>
      </c>
      <c r="E3" s="1">
        <f>Quartile_L[[#This Row],[P/FCF Q3]]+1.5*(Quartile_L[[#This Row],[P/FCF Q3]]-Quartile_L[[#This Row],[P/FCF Q1]])</f>
        <v>60.362699418129168</v>
      </c>
      <c r="F3" s="1" cm="1">
        <f t="array" ref="F3">_xlfn.QUARTILE.INC(IF(Quartile_L[[#This Row],[Industry]]=Main_L[Industry],Main_L[P/B]),1)</f>
        <v>-4.8480584643253755</v>
      </c>
      <c r="G3" s="1" cm="1">
        <f t="array" ref="G3">_xlfn.QUARTILE.INC(IF(Quartile_L[[#This Row],[Industry]]=Main_L[Industry],Main_L[P/B]),3)</f>
        <v>9.3769902313987767</v>
      </c>
      <c r="H3" s="1">
        <f>Quartile_L[[#This Row],[P/B Q1]]-1.5*(Quartile_L[[#This Row],[P/B Q3]]-Quartile_L[[#This Row],[P/B Q1]])</f>
        <v>-26.185631507911602</v>
      </c>
      <c r="I3" s="1">
        <f>Quartile_L[[#This Row],[P/B Q3]]+1.5*(Quartile_L[[#This Row],[P/B Q3]]-Quartile_L[[#This Row],[P/B Q1]])</f>
        <v>30.714563274985004</v>
      </c>
      <c r="J3" s="1" cm="1">
        <f t="array" ref="J3">_xlfn.QUARTILE.INC(IF(Quartile_L[[#This Row],[Industry]]=Main_L[Industry],Main_L[ROE]),1)</f>
        <v>-18.145</v>
      </c>
      <c r="K3" s="1" cm="1">
        <f t="array" ref="K3">_xlfn.QUARTILE.INC(IF(Quartile_L[[#This Row],[Industry]]=Main_L[Industry],Main_L[ROE]),3)</f>
        <v>28.664999999999999</v>
      </c>
      <c r="L3" s="1">
        <f>Quartile_L[[#This Row],[ROE Q1]]-1.5*(Quartile_L[[#This Row],[ROE Q3]]-Quartile_L[[#This Row],[ROE Q1]])</f>
        <v>-88.36</v>
      </c>
      <c r="M3" s="1">
        <f>Quartile_L[[#This Row],[ROE Q3]]+1.5*(Quartile_L[[#This Row],[ROE Q3]]-Quartile_L[[#This Row],[ROE Q1]])</f>
        <v>98.88</v>
      </c>
      <c r="N3" s="1" cm="1">
        <f t="array" ref="N3">_xlfn.QUARTILE.INC(IF(Quartile_L[[#This Row],[Industry]]=Main_L[Industry],Main_L[ROA]),1)</f>
        <v>4.4275000000000002</v>
      </c>
      <c r="O3" s="1" cm="1">
        <f t="array" ref="O3">_xlfn.QUARTILE.INC(IF(Quartile_L[[#This Row],[Industry]]=Main_L[Industry],Main_L[ROA]),3)</f>
        <v>10.434999999999999</v>
      </c>
      <c r="P3" s="1">
        <f>Quartile_L[[#This Row],[ROA Q1]]-1.5*(Quartile_L[[#This Row],[ROA Q3]]-Quartile_L[[#This Row],[ROA Q1]])</f>
        <v>-4.5837499999999967</v>
      </c>
      <c r="Q3" s="1">
        <f>Quartile_L[[#This Row],[ROA Q3]]+1.5*(Quartile_L[[#This Row],[ROA Q3]]-Quartile_L[[#This Row],[ROA Q1]])</f>
        <v>19.446249999999996</v>
      </c>
      <c r="R3" s="1" cm="1">
        <f t="array" ref="R3">_xlfn.QUARTILE.INC(IF(Quartile_L[[#This Row],[Industry]]=Main_L[Industry],Main_L[P/E]),1)</f>
        <v>21.025728576714005</v>
      </c>
      <c r="S3" s="1" cm="1">
        <f t="array" ref="S3">_xlfn.QUARTILE.INC(IF(Quartile_L[[#This Row],[Industry]]=Main_L[Industry],Main_L[P/E]),3)</f>
        <v>32.328181818181818</v>
      </c>
      <c r="T3" s="1">
        <f>Quartile_L[[#This Row],[P/E Q1]]-1.5*(Quartile_L[[#This Row],[P/E Q3]]-Quartile_L[[#This Row],[P/E Q1]])</f>
        <v>4.0720487145122881</v>
      </c>
      <c r="U3" s="1">
        <f>Quartile_L[[#This Row],[P/E Q3]]+1.5*(Quartile_L[[#This Row],[P/E Q3]]-Quartile_L[[#This Row],[P/E Q1]])</f>
        <v>49.281861680383535</v>
      </c>
      <c r="V3" s="1" cm="1">
        <f t="array" ref="V3">_xlfn.QUARTILE.INC(IF(Quartile_L[[#This Row],[Industry]]=Main_L[Industry],Main_L[A/E]),1)</f>
        <v>-0.75749999999999995</v>
      </c>
      <c r="W3" s="1" cm="1">
        <f t="array" ref="W3">_xlfn.QUARTILE.INC(IF(Quartile_L[[#This Row],[Industry]]=Main_L[Industry],Main_L[A/E]),3)</f>
        <v>5.26</v>
      </c>
      <c r="X3" s="1">
        <f>Quartile_L[[#This Row],[A/E Q1]]-1.5*(Quartile_L[[#This Row],[A/E Q3]]-Quartile_L[[#This Row],[A/E Q1]])</f>
        <v>-9.7837500000000013</v>
      </c>
      <c r="Y3" s="1">
        <f>Quartile_L[[#This Row],[A/E Q3]]+1.5*(Quartile_L[[#This Row],[A/E Q3]]-Quartile_L[[#This Row],[A/E Q1]])</f>
        <v>14.286250000000001</v>
      </c>
    </row>
    <row r="4" spans="1:25" x14ac:dyDescent="0.25">
      <c r="A4" t="s">
        <v>115</v>
      </c>
      <c r="B4" s="1" cm="1">
        <f t="array" ref="B4">_xlfn.QUARTILE.INC(IF(Quartile_L[[#This Row],[Industry]]=Main_L[Industry],Main_L[P/FCF]),1)</f>
        <v>19.002139118284951</v>
      </c>
      <c r="C4" s="1" cm="1">
        <f t="array" ref="C4">_xlfn.QUARTILE.INC(IF(Quartile_L[[#This Row],[Industry]]=Main_L[Industry],Main_L[P/FCF]),3)</f>
        <v>42.169604143779821</v>
      </c>
      <c r="D4" s="1">
        <f>Quartile_L[[#This Row],[P/FCF Q1]]-1.5*(Quartile_L[[#This Row],[P/FCF Q3]]-Quartile_L[[#This Row],[P/FCF Q1]])</f>
        <v>-15.749058419957358</v>
      </c>
      <c r="E4" s="1">
        <f>Quartile_L[[#This Row],[P/FCF Q3]]+1.5*(Quartile_L[[#This Row],[P/FCF Q3]]-Quartile_L[[#This Row],[P/FCF Q1]])</f>
        <v>76.92080168202213</v>
      </c>
      <c r="F4" s="1" cm="1">
        <f t="array" ref="F4">_xlfn.QUARTILE.INC(IF(Quartile_L[[#This Row],[Industry]]=Main_L[Industry],Main_L[P/B]),1)</f>
        <v>2.2362364763515137</v>
      </c>
      <c r="G4" s="1" cm="1">
        <f t="array" ref="G4">_xlfn.QUARTILE.INC(IF(Quartile_L[[#This Row],[Industry]]=Main_L[Industry],Main_L[P/B]),3)</f>
        <v>15.617581941417775</v>
      </c>
      <c r="H4" s="1">
        <f>Quartile_L[[#This Row],[P/B Q1]]-1.5*(Quartile_L[[#This Row],[P/B Q3]]-Quartile_L[[#This Row],[P/B Q1]])</f>
        <v>-17.835781721247876</v>
      </c>
      <c r="I4" s="1">
        <f>Quartile_L[[#This Row],[P/B Q3]]+1.5*(Quartile_L[[#This Row],[P/B Q3]]-Quartile_L[[#This Row],[P/B Q1]])</f>
        <v>35.689600139017166</v>
      </c>
      <c r="J4" s="1" cm="1">
        <f t="array" ref="J4">_xlfn.QUARTILE.INC(IF(Quartile_L[[#This Row],[Industry]]=Main_L[Industry],Main_L[ROE]),1)</f>
        <v>10.834999999999999</v>
      </c>
      <c r="K4" s="1" cm="1">
        <f t="array" ref="K4">_xlfn.QUARTILE.INC(IF(Quartile_L[[#This Row],[Industry]]=Main_L[Industry],Main_L[ROE]),3)</f>
        <v>50.37</v>
      </c>
      <c r="L4" s="1">
        <f>Quartile_L[[#This Row],[ROE Q1]]-1.5*(Quartile_L[[#This Row],[ROE Q3]]-Quartile_L[[#This Row],[ROE Q1]])</f>
        <v>-48.467499999999994</v>
      </c>
      <c r="M4" s="1">
        <f>Quartile_L[[#This Row],[ROE Q3]]+1.5*(Quartile_L[[#This Row],[ROE Q3]]-Quartile_L[[#This Row],[ROE Q1]])</f>
        <v>109.67249999999999</v>
      </c>
      <c r="N4" s="1" cm="1">
        <f t="array" ref="N4">_xlfn.QUARTILE.INC(IF(Quartile_L[[#This Row],[Industry]]=Main_L[Industry],Main_L[ROA]),1)</f>
        <v>6.2349999999999994</v>
      </c>
      <c r="O4" s="1" cm="1">
        <f t="array" ref="O4">_xlfn.QUARTILE.INC(IF(Quartile_L[[#This Row],[Industry]]=Main_L[Industry],Main_L[ROA]),3)</f>
        <v>14.262499999999999</v>
      </c>
      <c r="P4" s="1">
        <f>Quartile_L[[#This Row],[ROA Q1]]-1.5*(Quartile_L[[#This Row],[ROA Q3]]-Quartile_L[[#This Row],[ROA Q1]])</f>
        <v>-5.8062500000000004</v>
      </c>
      <c r="Q4" s="1">
        <f>Quartile_L[[#This Row],[ROA Q3]]+1.5*(Quartile_L[[#This Row],[ROA Q3]]-Quartile_L[[#This Row],[ROA Q1]])</f>
        <v>26.303750000000001</v>
      </c>
      <c r="R4" s="1" cm="1">
        <f t="array" ref="R4">_xlfn.QUARTILE.INC(IF(Quartile_L[[#This Row],[Industry]]=Main_L[Industry],Main_L[P/E]),1)</f>
        <v>18.155075048701239</v>
      </c>
      <c r="S4" s="1" cm="1">
        <f t="array" ref="S4">_xlfn.QUARTILE.INC(IF(Quartile_L[[#This Row],[Industry]]=Main_L[Industry],Main_L[P/E]),3)</f>
        <v>32.322542177987742</v>
      </c>
      <c r="T4" s="1">
        <f>Quartile_L[[#This Row],[P/E Q1]]-1.5*(Quartile_L[[#This Row],[P/E Q3]]-Quartile_L[[#This Row],[P/E Q1]])</f>
        <v>-3.0961256452285149</v>
      </c>
      <c r="U4" s="1">
        <f>Quartile_L[[#This Row],[P/E Q3]]+1.5*(Quartile_L[[#This Row],[P/E Q3]]-Quartile_L[[#This Row],[P/E Q1]])</f>
        <v>53.573742871917496</v>
      </c>
      <c r="V4" s="1" cm="1">
        <f t="array" ref="V4">_xlfn.QUARTILE.INC(IF(Quartile_L[[#This Row],[Industry]]=Main_L[Industry],Main_L[A/E]),1)</f>
        <v>1.3924999999999998</v>
      </c>
      <c r="W4" s="1" cm="1">
        <f t="array" ref="W4">_xlfn.QUARTILE.INC(IF(Quartile_L[[#This Row],[Industry]]=Main_L[Industry],Main_L[A/E]),3)</f>
        <v>4.9924999999999997</v>
      </c>
      <c r="X4" s="1">
        <f>Quartile_L[[#This Row],[A/E Q1]]-1.5*(Quartile_L[[#This Row],[A/E Q3]]-Quartile_L[[#This Row],[A/E Q1]])</f>
        <v>-4.0074999999999994</v>
      </c>
      <c r="Y4" s="1">
        <f>Quartile_L[[#This Row],[A/E Q3]]+1.5*(Quartile_L[[#This Row],[A/E Q3]]-Quartile_L[[#This Row],[A/E Q1]])</f>
        <v>10.392499999999998</v>
      </c>
    </row>
    <row r="5" spans="1:25" x14ac:dyDescent="0.25">
      <c r="A5" t="s">
        <v>108</v>
      </c>
      <c r="B5" s="1" cm="1">
        <f t="array" ref="B5">_xlfn.QUARTILE.INC(IF(Quartile_L[[#This Row],[Industry]]=Main_L[Industry],Main_L[P/FCF]),1)</f>
        <v>14.395590578786333</v>
      </c>
      <c r="C5" s="1" cm="1">
        <f t="array" ref="C5">_xlfn.QUARTILE.INC(IF(Quartile_L[[#This Row],[Industry]]=Main_L[Industry],Main_L[P/FCF]),3)</f>
        <v>30.005770794030582</v>
      </c>
      <c r="D5" s="1">
        <f>Quartile_L[[#This Row],[P/FCF Q1]]-1.5*(Quartile_L[[#This Row],[P/FCF Q3]]-Quartile_L[[#This Row],[P/FCF Q1]])</f>
        <v>-9.0196797440800403</v>
      </c>
      <c r="E5" s="1">
        <f>Quartile_L[[#This Row],[P/FCF Q3]]+1.5*(Quartile_L[[#This Row],[P/FCF Q3]]-Quartile_L[[#This Row],[P/FCF Q1]])</f>
        <v>53.421041116896959</v>
      </c>
      <c r="F5" s="1" cm="1">
        <f t="array" ref="F5">_xlfn.QUARTILE.INC(IF(Quartile_L[[#This Row],[Industry]]=Main_L[Industry],Main_L[P/B]),1)</f>
        <v>1.4052859840992089</v>
      </c>
      <c r="G5" s="1" cm="1">
        <f t="array" ref="G5">_xlfn.QUARTILE.INC(IF(Quartile_L[[#This Row],[Industry]]=Main_L[Industry],Main_L[P/B]),3)</f>
        <v>4.9849583510860356</v>
      </c>
      <c r="H5" s="1">
        <f>Quartile_L[[#This Row],[P/B Q1]]-1.5*(Quartile_L[[#This Row],[P/B Q3]]-Quartile_L[[#This Row],[P/B Q1]])</f>
        <v>-3.9642225663810309</v>
      </c>
      <c r="I5" s="1">
        <f>Quartile_L[[#This Row],[P/B Q3]]+1.5*(Quartile_L[[#This Row],[P/B Q3]]-Quartile_L[[#This Row],[P/B Q1]])</f>
        <v>10.354466901566276</v>
      </c>
      <c r="J5" s="1" cm="1">
        <f t="array" ref="J5">_xlfn.QUARTILE.INC(IF(Quartile_L[[#This Row],[Industry]]=Main_L[Industry],Main_L[ROE]),1)</f>
        <v>16.225000000000001</v>
      </c>
      <c r="K5" s="1" cm="1">
        <f t="array" ref="K5">_xlfn.QUARTILE.INC(IF(Quartile_L[[#This Row],[Industry]]=Main_L[Industry],Main_L[ROE]),3)</f>
        <v>19.5</v>
      </c>
      <c r="L5" s="1">
        <f>Quartile_L[[#This Row],[ROE Q1]]-1.5*(Quartile_L[[#This Row],[ROE Q3]]-Quartile_L[[#This Row],[ROE Q1]])</f>
        <v>11.312500000000004</v>
      </c>
      <c r="M5" s="1">
        <f>Quartile_L[[#This Row],[ROE Q3]]+1.5*(Quartile_L[[#This Row],[ROE Q3]]-Quartile_L[[#This Row],[ROE Q1]])</f>
        <v>24.412499999999998</v>
      </c>
      <c r="N5" s="1" cm="1">
        <f t="array" ref="N5">_xlfn.QUARTILE.INC(IF(Quartile_L[[#This Row],[Industry]]=Main_L[Industry],Main_L[ROA]),1)</f>
        <v>4.5299999999999994</v>
      </c>
      <c r="O5" s="1" cm="1">
        <f t="array" ref="O5">_xlfn.QUARTILE.INC(IF(Quartile_L[[#This Row],[Industry]]=Main_L[Industry],Main_L[ROA]),3)</f>
        <v>10.47</v>
      </c>
      <c r="P5" s="1">
        <f>Quartile_L[[#This Row],[ROA Q1]]-1.5*(Quartile_L[[#This Row],[ROA Q3]]-Quartile_L[[#This Row],[ROA Q1]])</f>
        <v>-4.3800000000000026</v>
      </c>
      <c r="Q5" s="1">
        <f>Quartile_L[[#This Row],[ROA Q3]]+1.5*(Quartile_L[[#This Row],[ROA Q3]]-Quartile_L[[#This Row],[ROA Q1]])</f>
        <v>19.380000000000003</v>
      </c>
      <c r="R5" s="1" cm="1">
        <f t="array" ref="R5">_xlfn.QUARTILE.INC(IF(Quartile_L[[#This Row],[Industry]]=Main_L[Industry],Main_L[P/E]),1)</f>
        <v>8.3997064989517831</v>
      </c>
      <c r="S5" s="1" cm="1">
        <f t="array" ref="S5">_xlfn.QUARTILE.INC(IF(Quartile_L[[#This Row],[Industry]]=Main_L[Industry],Main_L[P/E]),3)</f>
        <v>25.900015810276681</v>
      </c>
      <c r="T5" s="1">
        <f>Quartile_L[[#This Row],[P/E Q1]]-1.5*(Quartile_L[[#This Row],[P/E Q3]]-Quartile_L[[#This Row],[P/E Q1]])</f>
        <v>-17.850757468035564</v>
      </c>
      <c r="U5" s="1">
        <f>Quartile_L[[#This Row],[P/E Q3]]+1.5*(Quartile_L[[#This Row],[P/E Q3]]-Quartile_L[[#This Row],[P/E Q1]])</f>
        <v>52.150479777264025</v>
      </c>
      <c r="V5" s="1" cm="1">
        <f t="array" ref="V5">_xlfn.QUARTILE.INC(IF(Quartile_L[[#This Row],[Industry]]=Main_L[Industry],Main_L[A/E]),1)</f>
        <v>1.5049999999999999</v>
      </c>
      <c r="W5" s="1" cm="1">
        <f t="array" ref="W5">_xlfn.QUARTILE.INC(IF(Quartile_L[[#This Row],[Industry]]=Main_L[Industry],Main_L[A/E]),3)</f>
        <v>2.625</v>
      </c>
      <c r="X5" s="1">
        <f>Quartile_L[[#This Row],[A/E Q1]]-1.5*(Quartile_L[[#This Row],[A/E Q3]]-Quartile_L[[#This Row],[A/E Q1]])</f>
        <v>-0.17500000000000027</v>
      </c>
      <c r="Y5" s="1">
        <f>Quartile_L[[#This Row],[A/E Q3]]+1.5*(Quartile_L[[#This Row],[A/E Q3]]-Quartile_L[[#This Row],[A/E Q1]])</f>
        <v>4.3049999999999997</v>
      </c>
    </row>
    <row r="6" spans="1:25" x14ac:dyDescent="0.25">
      <c r="A6" t="s">
        <v>112</v>
      </c>
      <c r="B6" s="1" cm="1">
        <f t="array" ref="B6">_xlfn.QUARTILE.INC(IF(Quartile_L[[#This Row],[Industry]]=Main_L[Industry],Main_L[P/FCF]),1)</f>
        <v>16.85640672492401</v>
      </c>
      <c r="C6" s="1" cm="1">
        <f t="array" ref="C6">_xlfn.QUARTILE.INC(IF(Quartile_L[[#This Row],[Industry]]=Main_L[Industry],Main_L[P/FCF]),3)</f>
        <v>46.919521878407849</v>
      </c>
      <c r="D6" s="1">
        <f>Quartile_L[[#This Row],[P/FCF Q1]]-1.5*(Quartile_L[[#This Row],[P/FCF Q3]]-Quartile_L[[#This Row],[P/FCF Q1]])</f>
        <v>-28.23826600530175</v>
      </c>
      <c r="E6" s="1">
        <f>Quartile_L[[#This Row],[P/FCF Q3]]+1.5*(Quartile_L[[#This Row],[P/FCF Q3]]-Quartile_L[[#This Row],[P/FCF Q1]])</f>
        <v>92.014194608633602</v>
      </c>
      <c r="F6" s="1" cm="1">
        <f t="array" ref="F6">_xlfn.QUARTILE.INC(IF(Quartile_L[[#This Row],[Industry]]=Main_L[Industry],Main_L[P/B]),1)</f>
        <v>4.4477384868421055</v>
      </c>
      <c r="G6" s="1" cm="1">
        <f t="array" ref="G6">_xlfn.QUARTILE.INC(IF(Quartile_L[[#This Row],[Industry]]=Main_L[Industry],Main_L[P/B]),3)</f>
        <v>16.115504319105689</v>
      </c>
      <c r="H6" s="1">
        <f>Quartile_L[[#This Row],[P/B Q1]]-1.5*(Quartile_L[[#This Row],[P/B Q3]]-Quartile_L[[#This Row],[P/B Q1]])</f>
        <v>-13.05391026155327</v>
      </c>
      <c r="I6" s="1">
        <f>Quartile_L[[#This Row],[P/B Q3]]+1.5*(Quartile_L[[#This Row],[P/B Q3]]-Quartile_L[[#This Row],[P/B Q1]])</f>
        <v>33.617153067501064</v>
      </c>
      <c r="J6" s="1" cm="1">
        <f t="array" ref="J6">_xlfn.QUARTILE.INC(IF(Quartile_L[[#This Row],[Industry]]=Main_L[Industry],Main_L[ROE]),1)</f>
        <v>11.440000000000001</v>
      </c>
      <c r="K6" s="1" cm="1">
        <f t="array" ref="K6">_xlfn.QUARTILE.INC(IF(Quartile_L[[#This Row],[Industry]]=Main_L[Industry],Main_L[ROE]),3)</f>
        <v>22.39</v>
      </c>
      <c r="L6" s="1">
        <f>Quartile_L[[#This Row],[ROE Q1]]-1.5*(Quartile_L[[#This Row],[ROE Q3]]-Quartile_L[[#This Row],[ROE Q1]])</f>
        <v>-4.9849999999999959</v>
      </c>
      <c r="M6" s="1">
        <f>Quartile_L[[#This Row],[ROE Q3]]+1.5*(Quartile_L[[#This Row],[ROE Q3]]-Quartile_L[[#This Row],[ROE Q1]])</f>
        <v>38.814999999999998</v>
      </c>
      <c r="N6" s="1" cm="1">
        <f t="array" ref="N6">_xlfn.QUARTILE.INC(IF(Quartile_L[[#This Row],[Industry]]=Main_L[Industry],Main_L[ROA]),1)</f>
        <v>3.5350000000000001</v>
      </c>
      <c r="O6" s="1" cm="1">
        <f t="array" ref="O6">_xlfn.QUARTILE.INC(IF(Quartile_L[[#This Row],[Industry]]=Main_L[Industry],Main_L[ROA]),3)</f>
        <v>4.3900000000000006</v>
      </c>
      <c r="P6" s="1">
        <f>Quartile_L[[#This Row],[ROA Q1]]-1.5*(Quartile_L[[#This Row],[ROA Q3]]-Quartile_L[[#This Row],[ROA Q1]])</f>
        <v>2.2524999999999995</v>
      </c>
      <c r="Q6" s="1">
        <f>Quartile_L[[#This Row],[ROA Q3]]+1.5*(Quartile_L[[#This Row],[ROA Q3]]-Quartile_L[[#This Row],[ROA Q1]])</f>
        <v>5.6725000000000012</v>
      </c>
      <c r="R6" s="1" cm="1">
        <f t="array" ref="R6">_xlfn.QUARTILE.INC(IF(Quartile_L[[#This Row],[Industry]]=Main_L[Industry],Main_L[P/E]),1)</f>
        <v>20.36374309392265</v>
      </c>
      <c r="S6" s="1" cm="1">
        <f t="array" ref="S6">_xlfn.QUARTILE.INC(IF(Quartile_L[[#This Row],[Industry]]=Main_L[Industry],Main_L[P/E]),3)</f>
        <v>133.06790976058932</v>
      </c>
      <c r="T6" s="1">
        <f>Quartile_L[[#This Row],[P/E Q1]]-1.5*(Quartile_L[[#This Row],[P/E Q3]]-Quartile_L[[#This Row],[P/E Q1]])</f>
        <v>-148.69250690607737</v>
      </c>
      <c r="U6" s="1">
        <f>Quartile_L[[#This Row],[P/E Q3]]+1.5*(Quartile_L[[#This Row],[P/E Q3]]-Quartile_L[[#This Row],[P/E Q1]])</f>
        <v>302.12415976058935</v>
      </c>
      <c r="V6" s="1" cm="1">
        <f t="array" ref="V6">_xlfn.QUARTILE.INC(IF(Quartile_L[[#This Row],[Industry]]=Main_L[Industry],Main_L[A/E]),1)</f>
        <v>1.6400000000000001</v>
      </c>
      <c r="W6" s="1" cm="1">
        <f t="array" ref="W6">_xlfn.QUARTILE.INC(IF(Quartile_L[[#This Row],[Industry]]=Main_L[Industry],Main_L[A/E]),3)</f>
        <v>6.1000000000000005</v>
      </c>
      <c r="X6" s="1">
        <f>Quartile_L[[#This Row],[A/E Q1]]-1.5*(Quartile_L[[#This Row],[A/E Q3]]-Quartile_L[[#This Row],[A/E Q1]])</f>
        <v>-5.0500000000000007</v>
      </c>
      <c r="Y6" s="1">
        <f>Quartile_L[[#This Row],[A/E Q3]]+1.5*(Quartile_L[[#This Row],[A/E Q3]]-Quartile_L[[#This Row],[A/E Q1]])</f>
        <v>12.790000000000003</v>
      </c>
    </row>
    <row r="7" spans="1:25" x14ac:dyDescent="0.25">
      <c r="A7" t="s">
        <v>114</v>
      </c>
      <c r="B7" s="1" cm="1">
        <f t="array" ref="B7">_xlfn.QUARTILE.INC(IF(Quartile_L[[#This Row],[Industry]]=Main_L[Industry],Main_L[P/FCF]),1)</f>
        <v>18.037499999999998</v>
      </c>
      <c r="C7" s="1" cm="1">
        <f t="array" ref="C7">_xlfn.QUARTILE.INC(IF(Quartile_L[[#This Row],[Industry]]=Main_L[Industry],Main_L[P/FCF]),3)</f>
        <v>37.609329446064137</v>
      </c>
      <c r="D7" s="1">
        <f>Quartile_L[[#This Row],[P/FCF Q1]]-1.5*(Quartile_L[[#This Row],[P/FCF Q3]]-Quartile_L[[#This Row],[P/FCF Q1]])</f>
        <v>-11.32024416909621</v>
      </c>
      <c r="E7" s="1">
        <f>Quartile_L[[#This Row],[P/FCF Q3]]+1.5*(Quartile_L[[#This Row],[P/FCF Q3]]-Quartile_L[[#This Row],[P/FCF Q1]])</f>
        <v>66.967073615160345</v>
      </c>
      <c r="F7" s="1" cm="1">
        <f t="array" ref="F7">_xlfn.QUARTILE.INC(IF(Quartile_L[[#This Row],[Industry]]=Main_L[Industry],Main_L[P/B]),1)</f>
        <v>2.01827546104004</v>
      </c>
      <c r="G7" s="1" cm="1">
        <f t="array" ref="G7">_xlfn.QUARTILE.INC(IF(Quartile_L[[#This Row],[Industry]]=Main_L[Industry],Main_L[P/B]),3)</f>
        <v>11.764462809917354</v>
      </c>
      <c r="H7" s="1">
        <f>Quartile_L[[#This Row],[P/B Q1]]-1.5*(Quartile_L[[#This Row],[P/B Q3]]-Quartile_L[[#This Row],[P/B Q1]])</f>
        <v>-12.60100556227593</v>
      </c>
      <c r="I7" s="1">
        <f>Quartile_L[[#This Row],[P/B Q3]]+1.5*(Quartile_L[[#This Row],[P/B Q3]]-Quartile_L[[#This Row],[P/B Q1]])</f>
        <v>26.383743833233325</v>
      </c>
      <c r="J7" s="1" cm="1">
        <f t="array" ref="J7">_xlfn.QUARTILE.INC(IF(Quartile_L[[#This Row],[Industry]]=Main_L[Industry],Main_L[ROE]),1)</f>
        <v>16.28</v>
      </c>
      <c r="K7" s="1" cm="1">
        <f t="array" ref="K7">_xlfn.QUARTILE.INC(IF(Quartile_L[[#This Row],[Industry]]=Main_L[Industry],Main_L[ROE]),3)</f>
        <v>36.479999999999997</v>
      </c>
      <c r="L7" s="1">
        <f>Quartile_L[[#This Row],[ROE Q1]]-1.5*(Quartile_L[[#This Row],[ROE Q3]]-Quartile_L[[#This Row],[ROE Q1]])</f>
        <v>-14.019999999999992</v>
      </c>
      <c r="M7" s="1">
        <f>Quartile_L[[#This Row],[ROE Q3]]+1.5*(Quartile_L[[#This Row],[ROE Q3]]-Quartile_L[[#This Row],[ROE Q1]])</f>
        <v>66.779999999999987</v>
      </c>
      <c r="N7" s="1" cm="1">
        <f t="array" ref="N7">_xlfn.QUARTILE.INC(IF(Quartile_L[[#This Row],[Industry]]=Main_L[Industry],Main_L[ROA]),1)</f>
        <v>4.1399999999999997</v>
      </c>
      <c r="O7" s="1" cm="1">
        <f t="array" ref="O7">_xlfn.QUARTILE.INC(IF(Quartile_L[[#This Row],[Industry]]=Main_L[Industry],Main_L[ROA]),3)</f>
        <v>7.74</v>
      </c>
      <c r="P7" s="1">
        <f>Quartile_L[[#This Row],[ROA Q1]]-1.5*(Quartile_L[[#This Row],[ROA Q3]]-Quartile_L[[#This Row],[ROA Q1]])</f>
        <v>-1.2600000000000007</v>
      </c>
      <c r="Q7" s="1">
        <f>Quartile_L[[#This Row],[ROA Q3]]+1.5*(Quartile_L[[#This Row],[ROA Q3]]-Quartile_L[[#This Row],[ROA Q1]])</f>
        <v>13.14</v>
      </c>
      <c r="R7" s="1" cm="1">
        <f t="array" ref="R7">_xlfn.QUARTILE.INC(IF(Quartile_L[[#This Row],[Industry]]=Main_L[Industry],Main_L[P/E]),1)</f>
        <v>11.009750812567715</v>
      </c>
      <c r="S7" s="1" cm="1">
        <f t="array" ref="S7">_xlfn.QUARTILE.INC(IF(Quartile_L[[#This Row],[Industry]]=Main_L[Industry],Main_L[P/E]),3)</f>
        <v>45.104895104895107</v>
      </c>
      <c r="T7" s="1">
        <f>Quartile_L[[#This Row],[P/E Q1]]-1.5*(Quartile_L[[#This Row],[P/E Q3]]-Quartile_L[[#This Row],[P/E Q1]])</f>
        <v>-40.132965625923369</v>
      </c>
      <c r="U7" s="1">
        <f>Quartile_L[[#This Row],[P/E Q3]]+1.5*(Quartile_L[[#This Row],[P/E Q3]]-Quartile_L[[#This Row],[P/E Q1]])</f>
        <v>96.247611543386199</v>
      </c>
      <c r="V7" s="1" cm="1">
        <f t="array" ref="V7">_xlfn.QUARTILE.INC(IF(Quartile_L[[#This Row],[Industry]]=Main_L[Industry],Main_L[A/E]),1)</f>
        <v>1.79</v>
      </c>
      <c r="W7" s="1" cm="1">
        <f t="array" ref="W7">_xlfn.QUARTILE.INC(IF(Quartile_L[[#This Row],[Industry]]=Main_L[Industry],Main_L[A/E]),3)</f>
        <v>3.83</v>
      </c>
      <c r="X7" s="1">
        <f>Quartile_L[[#This Row],[A/E Q1]]-1.5*(Quartile_L[[#This Row],[A/E Q3]]-Quartile_L[[#This Row],[A/E Q1]])</f>
        <v>-1.27</v>
      </c>
      <c r="Y7" s="1">
        <f>Quartile_L[[#This Row],[A/E Q3]]+1.5*(Quartile_L[[#This Row],[A/E Q3]]-Quartile_L[[#This Row],[A/E Q1]])</f>
        <v>6.8900000000000006</v>
      </c>
    </row>
    <row r="8" spans="1:25" x14ac:dyDescent="0.25">
      <c r="A8" t="s">
        <v>110</v>
      </c>
      <c r="B8" s="1" cm="1">
        <f t="array" ref="B8">_xlfn.QUARTILE.INC(IF(Quartile_L[[#This Row],[Industry]]=Main_L[Industry],Main_L[P/FCF]),1)</f>
        <v>17.576862123613314</v>
      </c>
      <c r="C8" s="1" cm="1">
        <f t="array" ref="C8">_xlfn.QUARTILE.INC(IF(Quartile_L[[#This Row],[Industry]]=Main_L[Industry],Main_L[P/FCF]),3)</f>
        <v>30.655737704918032</v>
      </c>
      <c r="D8" s="1">
        <f>Quartile_L[[#This Row],[P/FCF Q1]]-1.5*(Quartile_L[[#This Row],[P/FCF Q3]]-Quartile_L[[#This Row],[P/FCF Q1]])</f>
        <v>-2.0414512483437655</v>
      </c>
      <c r="E8" s="1">
        <f>Quartile_L[[#This Row],[P/FCF Q3]]+1.5*(Quartile_L[[#This Row],[P/FCF Q3]]-Quartile_L[[#This Row],[P/FCF Q1]])</f>
        <v>50.274051076875111</v>
      </c>
      <c r="F8" s="1" cm="1">
        <f t="array" ref="F8">_xlfn.QUARTILE.INC(IF(Quartile_L[[#This Row],[Industry]]=Main_L[Industry],Main_L[P/B]),1)</f>
        <v>4.4555717407137649</v>
      </c>
      <c r="G8" s="1" cm="1">
        <f t="array" ref="G8">_xlfn.QUARTILE.INC(IF(Quartile_L[[#This Row],[Industry]]=Main_L[Industry],Main_L[P/B]),3)</f>
        <v>7.2661991584852741</v>
      </c>
      <c r="H8" s="1">
        <f>Quartile_L[[#This Row],[P/B Q1]]-1.5*(Quartile_L[[#This Row],[P/B Q3]]-Quartile_L[[#This Row],[P/B Q1]])</f>
        <v>0.23963061405650166</v>
      </c>
      <c r="I8" s="1">
        <f>Quartile_L[[#This Row],[P/B Q3]]+1.5*(Quartile_L[[#This Row],[P/B Q3]]-Quartile_L[[#This Row],[P/B Q1]])</f>
        <v>11.482140285142538</v>
      </c>
      <c r="J8" s="1" cm="1">
        <f t="array" ref="J8">_xlfn.QUARTILE.INC(IF(Quartile_L[[#This Row],[Industry]]=Main_L[Industry],Main_L[ROE]),1)</f>
        <v>15.73</v>
      </c>
      <c r="K8" s="1" cm="1">
        <f t="array" ref="K8">_xlfn.QUARTILE.INC(IF(Quartile_L[[#This Row],[Industry]]=Main_L[Industry],Main_L[ROE]),3)</f>
        <v>40.270000000000003</v>
      </c>
      <c r="L8" s="1">
        <f>Quartile_L[[#This Row],[ROE Q1]]-1.5*(Quartile_L[[#This Row],[ROE Q3]]-Quartile_L[[#This Row],[ROE Q1]])</f>
        <v>-21.080000000000002</v>
      </c>
      <c r="M8" s="1">
        <f>Quartile_L[[#This Row],[ROE Q3]]+1.5*(Quartile_L[[#This Row],[ROE Q3]]-Quartile_L[[#This Row],[ROE Q1]])</f>
        <v>77.080000000000013</v>
      </c>
      <c r="N8" s="1" cm="1">
        <f t="array" ref="N8">_xlfn.QUARTILE.INC(IF(Quartile_L[[#This Row],[Industry]]=Main_L[Industry],Main_L[ROA]),1)</f>
        <v>7.25</v>
      </c>
      <c r="O8" s="1" cm="1">
        <f t="array" ref="O8">_xlfn.QUARTILE.INC(IF(Quartile_L[[#This Row],[Industry]]=Main_L[Industry],Main_L[ROA]),3)</f>
        <v>10.91</v>
      </c>
      <c r="P8" s="1">
        <f>Quartile_L[[#This Row],[ROA Q1]]-1.5*(Quartile_L[[#This Row],[ROA Q3]]-Quartile_L[[#This Row],[ROA Q1]])</f>
        <v>1.7599999999999998</v>
      </c>
      <c r="Q8" s="1">
        <f>Quartile_L[[#This Row],[ROA Q3]]+1.5*(Quartile_L[[#This Row],[ROA Q3]]-Quartile_L[[#This Row],[ROA Q1]])</f>
        <v>16.399999999999999</v>
      </c>
      <c r="R8" s="1" cm="1">
        <f t="array" ref="R8">_xlfn.QUARTILE.INC(IF(Quartile_L[[#This Row],[Industry]]=Main_L[Industry],Main_L[P/E]),1)</f>
        <v>20.568106312292358</v>
      </c>
      <c r="S8" s="1" cm="1">
        <f t="array" ref="S8">_xlfn.QUARTILE.INC(IF(Quartile_L[[#This Row],[Industry]]=Main_L[Industry],Main_L[P/E]),3)</f>
        <v>38.689655172413794</v>
      </c>
      <c r="T8" s="1">
        <f>Quartile_L[[#This Row],[P/E Q1]]-1.5*(Quartile_L[[#This Row],[P/E Q3]]-Quartile_L[[#This Row],[P/E Q1]])</f>
        <v>-6.6142169778897966</v>
      </c>
      <c r="U8" s="1">
        <f>Quartile_L[[#This Row],[P/E Q3]]+1.5*(Quartile_L[[#This Row],[P/E Q3]]-Quartile_L[[#This Row],[P/E Q1]])</f>
        <v>65.871978462595948</v>
      </c>
      <c r="V8" s="1" cm="1">
        <f t="array" ref="V8">_xlfn.QUARTILE.INC(IF(Quartile_L[[#This Row],[Industry]]=Main_L[Industry],Main_L[A/E]),1)</f>
        <v>1.63</v>
      </c>
      <c r="W8" s="1" cm="1">
        <f t="array" ref="W8">_xlfn.QUARTILE.INC(IF(Quartile_L[[#This Row],[Industry]]=Main_L[Industry],Main_L[A/E]),3)</f>
        <v>2.7</v>
      </c>
      <c r="X8" s="1">
        <f>Quartile_L[[#This Row],[A/E Q1]]-1.5*(Quartile_L[[#This Row],[A/E Q3]]-Quartile_L[[#This Row],[A/E Q1]])</f>
        <v>2.4999999999999467E-2</v>
      </c>
      <c r="Y8" s="1">
        <f>Quartile_L[[#This Row],[A/E Q3]]+1.5*(Quartile_L[[#This Row],[A/E Q3]]-Quartile_L[[#This Row],[A/E Q1]])</f>
        <v>4.3050000000000006</v>
      </c>
    </row>
    <row r="9" spans="1:25" x14ac:dyDescent="0.25">
      <c r="A9" t="s">
        <v>113</v>
      </c>
      <c r="B9" s="1" cm="1">
        <f t="array" ref="B9">_xlfn.QUARTILE.INC(IF(Quartile_L[[#This Row],[Industry]]=Main_L[Industry],Main_L[P/FCF]),1)</f>
        <v>20.715741462428912</v>
      </c>
      <c r="C9" s="1" cm="1">
        <f t="array" ref="C9">_xlfn.QUARTILE.INC(IF(Quartile_L[[#This Row],[Industry]]=Main_L[Industry],Main_L[P/FCF]),3)</f>
        <v>38.733538480225931</v>
      </c>
      <c r="D9" s="1">
        <f>Quartile_L[[#This Row],[P/FCF Q1]]-1.5*(Quartile_L[[#This Row],[P/FCF Q3]]-Quartile_L[[#This Row],[P/FCF Q1]])</f>
        <v>-6.310954064266614</v>
      </c>
      <c r="E9" s="1">
        <f>Quartile_L[[#This Row],[P/FCF Q3]]+1.5*(Quartile_L[[#This Row],[P/FCF Q3]]-Quartile_L[[#This Row],[P/FCF Q1]])</f>
        <v>65.760234006921451</v>
      </c>
      <c r="F9" s="1" cm="1">
        <f t="array" ref="F9">_xlfn.QUARTILE.INC(IF(Quartile_L[[#This Row],[Industry]]=Main_L[Industry],Main_L[P/B]),1)</f>
        <v>2.7751260058937612</v>
      </c>
      <c r="G9" s="1" cm="1">
        <f t="array" ref="G9">_xlfn.QUARTILE.INC(IF(Quartile_L[[#This Row],[Industry]]=Main_L[Industry],Main_L[P/B]),3)</f>
        <v>6.4874215873361489</v>
      </c>
      <c r="H9" s="1">
        <f>Quartile_L[[#This Row],[P/B Q1]]-1.5*(Quartile_L[[#This Row],[P/B Q3]]-Quartile_L[[#This Row],[P/B Q1]])</f>
        <v>-2.7933173662698207</v>
      </c>
      <c r="I9" s="1">
        <f>Quartile_L[[#This Row],[P/B Q3]]+1.5*(Quartile_L[[#This Row],[P/B Q3]]-Quartile_L[[#This Row],[P/B Q1]])</f>
        <v>12.055864959499731</v>
      </c>
      <c r="J9" s="1" cm="1">
        <f t="array" ref="J9">_xlfn.QUARTILE.INC(IF(Quartile_L[[#This Row],[Industry]]=Main_L[Industry],Main_L[ROE]),1)</f>
        <v>15.26</v>
      </c>
      <c r="K9" s="1" cm="1">
        <f t="array" ref="K9">_xlfn.QUARTILE.INC(IF(Quartile_L[[#This Row],[Industry]]=Main_L[Industry],Main_L[ROE]),3)</f>
        <v>25.39</v>
      </c>
      <c r="L9" s="1">
        <f>Quartile_L[[#This Row],[ROE Q1]]-1.5*(Quartile_L[[#This Row],[ROE Q3]]-Quartile_L[[#This Row],[ROE Q1]])</f>
        <v>6.4999999999999503E-2</v>
      </c>
      <c r="M9" s="1">
        <f>Quartile_L[[#This Row],[ROE Q3]]+1.5*(Quartile_L[[#This Row],[ROE Q3]]-Quartile_L[[#This Row],[ROE Q1]])</f>
        <v>40.585000000000001</v>
      </c>
      <c r="N9" s="1" cm="1">
        <f t="array" ref="N9">_xlfn.QUARTILE.INC(IF(Quartile_L[[#This Row],[Industry]]=Main_L[Industry],Main_L[ROA]),1)</f>
        <v>5.09</v>
      </c>
      <c r="O9" s="1" cm="1">
        <f t="array" ref="O9">_xlfn.QUARTILE.INC(IF(Quartile_L[[#This Row],[Industry]]=Main_L[Industry],Main_L[ROA]),3)</f>
        <v>7.58</v>
      </c>
      <c r="P9" s="1">
        <f>Quartile_L[[#This Row],[ROA Q1]]-1.5*(Quartile_L[[#This Row],[ROA Q3]]-Quartile_L[[#This Row],[ROA Q1]])</f>
        <v>1.3549999999999995</v>
      </c>
      <c r="Q9" s="1">
        <f>Quartile_L[[#This Row],[ROA Q3]]+1.5*(Quartile_L[[#This Row],[ROA Q3]]-Quartile_L[[#This Row],[ROA Q1]])</f>
        <v>11.315000000000001</v>
      </c>
      <c r="R9" s="1" cm="1">
        <f t="array" ref="R9">_xlfn.QUARTILE.INC(IF(Quartile_L[[#This Row],[Industry]]=Main_L[Industry],Main_L[P/E]),1)</f>
        <v>17.611609440482319</v>
      </c>
      <c r="S9" s="1" cm="1">
        <f t="array" ref="S9">_xlfn.QUARTILE.INC(IF(Quartile_L[[#This Row],[Industry]]=Main_L[Industry],Main_L[P/E]),3)</f>
        <v>24.220167119377564</v>
      </c>
      <c r="T9" s="1">
        <f>Quartile_L[[#This Row],[P/E Q1]]-1.5*(Quartile_L[[#This Row],[P/E Q3]]-Quartile_L[[#This Row],[P/E Q1]])</f>
        <v>7.698772922139451</v>
      </c>
      <c r="U9" s="1">
        <f>Quartile_L[[#This Row],[P/E Q3]]+1.5*(Quartile_L[[#This Row],[P/E Q3]]-Quartile_L[[#This Row],[P/E Q1]])</f>
        <v>34.133003637720435</v>
      </c>
      <c r="V9" s="1" cm="1">
        <f t="array" ref="V9">_xlfn.QUARTILE.INC(IF(Quartile_L[[#This Row],[Industry]]=Main_L[Industry],Main_L[A/E]),1)</f>
        <v>2.7549999999999999</v>
      </c>
      <c r="W9" s="1" cm="1">
        <f t="array" ref="W9">_xlfn.QUARTILE.INC(IF(Quartile_L[[#This Row],[Industry]]=Main_L[Industry],Main_L[A/E]),3)</f>
        <v>3.7250000000000001</v>
      </c>
      <c r="X9" s="1">
        <f>Quartile_L[[#This Row],[A/E Q1]]-1.5*(Quartile_L[[#This Row],[A/E Q3]]-Quartile_L[[#This Row],[A/E Q1]])</f>
        <v>1.2999999999999996</v>
      </c>
      <c r="Y9" s="1">
        <f>Quartile_L[[#This Row],[A/E Q3]]+1.5*(Quartile_L[[#This Row],[A/E Q3]]-Quartile_L[[#This Row],[A/E Q1]])</f>
        <v>5.1800000000000006</v>
      </c>
    </row>
    <row r="10" spans="1:25" x14ac:dyDescent="0.25">
      <c r="A10" t="s">
        <v>106</v>
      </c>
      <c r="B10" s="1" cm="1">
        <f t="array" ref="B10">_xlfn.QUARTILE.INC(IF(Quartile_L[[#This Row],[Industry]]=Main_L[Industry],Main_L[P/FCF]),1)</f>
        <v>8.3605409581845382</v>
      </c>
      <c r="C10" s="1" cm="1">
        <f t="array" ref="C10">_xlfn.QUARTILE.INC(IF(Quartile_L[[#This Row],[Industry]]=Main_L[Industry],Main_L[P/FCF]),3)</f>
        <v>21.285743481942131</v>
      </c>
      <c r="D10" s="1">
        <f>Quartile_L[[#This Row],[P/FCF Q1]]-1.5*(Quartile_L[[#This Row],[P/FCF Q3]]-Quartile_L[[#This Row],[P/FCF Q1]])</f>
        <v>-11.027262827451851</v>
      </c>
      <c r="E10" s="1">
        <f>Quartile_L[[#This Row],[P/FCF Q3]]+1.5*(Quartile_L[[#This Row],[P/FCF Q3]]-Quartile_L[[#This Row],[P/FCF Q1]])</f>
        <v>40.67354726757852</v>
      </c>
      <c r="F10" s="1" cm="1">
        <f t="array" ref="F10">_xlfn.QUARTILE.INC(IF(Quartile_L[[#This Row],[Industry]]=Main_L[Industry],Main_L[P/B]),1)</f>
        <v>0.99110170916784868</v>
      </c>
      <c r="G10" s="1" cm="1">
        <f t="array" ref="G10">_xlfn.QUARTILE.INC(IF(Quartile_L[[#This Row],[Industry]]=Main_L[Industry],Main_L[P/B]),3)</f>
        <v>1.3831734303432417</v>
      </c>
      <c r="H10" s="1">
        <f>Quartile_L[[#This Row],[P/B Q1]]-1.5*(Quartile_L[[#This Row],[P/B Q3]]-Quartile_L[[#This Row],[P/B Q1]])</f>
        <v>0.40299412740475915</v>
      </c>
      <c r="I10" s="1">
        <f>Quartile_L[[#This Row],[P/B Q3]]+1.5*(Quartile_L[[#This Row],[P/B Q3]]-Quartile_L[[#This Row],[P/B Q1]])</f>
        <v>1.9712810121063313</v>
      </c>
      <c r="J10" s="1" cm="1">
        <f t="array" ref="J10">_xlfn.QUARTILE.INC(IF(Quartile_L[[#This Row],[Industry]]=Main_L[Industry],Main_L[ROE]),1)</f>
        <v>-6.0150000000000006</v>
      </c>
      <c r="K10" s="1" cm="1">
        <f t="array" ref="K10">_xlfn.QUARTILE.INC(IF(Quartile_L[[#This Row],[Industry]]=Main_L[Industry],Main_L[ROE]),3)</f>
        <v>12.695</v>
      </c>
      <c r="L10" s="1">
        <f>Quartile_L[[#This Row],[ROE Q1]]-1.5*(Quartile_L[[#This Row],[ROE Q3]]-Quartile_L[[#This Row],[ROE Q1]])</f>
        <v>-34.08</v>
      </c>
      <c r="M10" s="1">
        <f>Quartile_L[[#This Row],[ROE Q3]]+1.5*(Quartile_L[[#This Row],[ROE Q3]]-Quartile_L[[#This Row],[ROE Q1]])</f>
        <v>40.760000000000005</v>
      </c>
      <c r="N10" s="1" cm="1">
        <f t="array" ref="N10">_xlfn.QUARTILE.INC(IF(Quartile_L[[#This Row],[Industry]]=Main_L[Industry],Main_L[ROA]),1)</f>
        <v>1.0349999999999999</v>
      </c>
      <c r="O10" s="1" cm="1">
        <f t="array" ref="O10">_xlfn.QUARTILE.INC(IF(Quartile_L[[#This Row],[Industry]]=Main_L[Industry],Main_L[ROA]),3)</f>
        <v>4.8100000000000005</v>
      </c>
      <c r="P10" s="1">
        <f>Quartile_L[[#This Row],[ROA Q1]]-1.5*(Quartile_L[[#This Row],[ROA Q3]]-Quartile_L[[#This Row],[ROA Q1]])</f>
        <v>-4.6275000000000004</v>
      </c>
      <c r="Q10" s="1">
        <f>Quartile_L[[#This Row],[ROA Q3]]+1.5*(Quartile_L[[#This Row],[ROA Q3]]-Quartile_L[[#This Row],[ROA Q1]])</f>
        <v>10.4725</v>
      </c>
      <c r="R10" s="1" cm="1">
        <f t="array" ref="R10">_xlfn.QUARTILE.INC(IF(Quartile_L[[#This Row],[Industry]]=Main_L[Industry],Main_L[P/E]),1)</f>
        <v>2.4443659244259921</v>
      </c>
      <c r="S10" s="1" cm="1">
        <f t="array" ref="S10">_xlfn.QUARTILE.INC(IF(Quartile_L[[#This Row],[Industry]]=Main_L[Industry],Main_L[P/E]),3)</f>
        <v>9.9351895850923881</v>
      </c>
      <c r="T10" s="1">
        <f>Quartile_L[[#This Row],[P/E Q1]]-1.5*(Quartile_L[[#This Row],[P/E Q3]]-Quartile_L[[#This Row],[P/E Q1]])</f>
        <v>-8.7918695665736024</v>
      </c>
      <c r="U10" s="1">
        <f>Quartile_L[[#This Row],[P/E Q3]]+1.5*(Quartile_L[[#This Row],[P/E Q3]]-Quartile_L[[#This Row],[P/E Q1]])</f>
        <v>21.171425076091982</v>
      </c>
      <c r="V10" s="1" cm="1">
        <f t="array" ref="V10">_xlfn.QUARTILE.INC(IF(Quartile_L[[#This Row],[Industry]]=Main_L[Industry],Main_L[A/E]),1)</f>
        <v>1.81</v>
      </c>
      <c r="W10" s="1" cm="1">
        <f t="array" ref="W10">_xlfn.QUARTILE.INC(IF(Quartile_L[[#This Row],[Industry]]=Main_L[Industry],Main_L[A/E]),3)</f>
        <v>2.6550000000000002</v>
      </c>
      <c r="X10" s="1">
        <f>Quartile_L[[#This Row],[A/E Q1]]-1.5*(Quartile_L[[#This Row],[A/E Q3]]-Quartile_L[[#This Row],[A/E Q1]])</f>
        <v>0.54249999999999976</v>
      </c>
      <c r="Y10" s="1">
        <f>Quartile_L[[#This Row],[A/E Q3]]+1.5*(Quartile_L[[#This Row],[A/E Q3]]-Quartile_L[[#This Row],[A/E Q1]])</f>
        <v>3.9225000000000003</v>
      </c>
    </row>
    <row r="11" spans="1:25" x14ac:dyDescent="0.25">
      <c r="A11" t="s">
        <v>107</v>
      </c>
      <c r="B11" s="1" cm="1">
        <f t="array" ref="B11">_xlfn.QUARTILE.INC(IF(Quartile_L[[#This Row],[Industry]]=Main_L[Industry],Main_L[P/FCF]),1)</f>
        <v>-32.865506329113927</v>
      </c>
      <c r="C11" s="1" cm="1">
        <f t="array" ref="C11">_xlfn.QUARTILE.INC(IF(Quartile_L[[#This Row],[Industry]]=Main_L[Industry],Main_L[P/FCF]),3)</f>
        <v>4.032021701606392</v>
      </c>
      <c r="D11" s="1">
        <f>Quartile_L[[#This Row],[P/FCF Q1]]-1.5*(Quartile_L[[#This Row],[P/FCF Q3]]-Quartile_L[[#This Row],[P/FCF Q1]])</f>
        <v>-88.211798375194405</v>
      </c>
      <c r="E11" s="1">
        <f>Quartile_L[[#This Row],[P/FCF Q3]]+1.5*(Quartile_L[[#This Row],[P/FCF Q3]]-Quartile_L[[#This Row],[P/FCF Q1]])</f>
        <v>59.378313747686867</v>
      </c>
      <c r="F11" s="1" cm="1">
        <f t="array" ref="F11">_xlfn.QUARTILE.INC(IF(Quartile_L[[#This Row],[Industry]]=Main_L[Industry],Main_L[P/B]),1)</f>
        <v>0.62417980296270992</v>
      </c>
      <c r="G11" s="1" cm="1">
        <f t="array" ref="G11">_xlfn.QUARTILE.INC(IF(Quartile_L[[#This Row],[Industry]]=Main_L[Industry],Main_L[P/B]),3)</f>
        <v>5.9023824386183943</v>
      </c>
      <c r="H11" s="1">
        <f>Quartile_L[[#This Row],[P/B Q1]]-1.5*(Quartile_L[[#This Row],[P/B Q3]]-Quartile_L[[#This Row],[P/B Q1]])</f>
        <v>-7.2931241505208178</v>
      </c>
      <c r="I11" s="1">
        <f>Quartile_L[[#This Row],[P/B Q3]]+1.5*(Quartile_L[[#This Row],[P/B Q3]]-Quartile_L[[#This Row],[P/B Q1]])</f>
        <v>13.819686392101922</v>
      </c>
      <c r="J11" s="1" cm="1">
        <f t="array" ref="J11">_xlfn.QUARTILE.INC(IF(Quartile_L[[#This Row],[Industry]]=Main_L[Industry],Main_L[ROE]),1)</f>
        <v>6.9674999999999994</v>
      </c>
      <c r="K11" s="1" cm="1">
        <f t="array" ref="K11">_xlfn.QUARTILE.INC(IF(Quartile_L[[#This Row],[Industry]]=Main_L[Industry],Main_L[ROE]),3)</f>
        <v>11.945</v>
      </c>
      <c r="L11" s="1">
        <f>Quartile_L[[#This Row],[ROE Q1]]-1.5*(Quartile_L[[#This Row],[ROE Q3]]-Quartile_L[[#This Row],[ROE Q1]])</f>
        <v>-0.49875000000000203</v>
      </c>
      <c r="M11" s="1">
        <f>Quartile_L[[#This Row],[ROE Q3]]+1.5*(Quartile_L[[#This Row],[ROE Q3]]-Quartile_L[[#This Row],[ROE Q1]])</f>
        <v>19.411250000000003</v>
      </c>
      <c r="N11" s="1" cm="1">
        <f t="array" ref="N11">_xlfn.QUARTILE.INC(IF(Quartile_L[[#This Row],[Industry]]=Main_L[Industry],Main_L[ROA]),1)</f>
        <v>1.6850000000000001</v>
      </c>
      <c r="O11" s="1" cm="1">
        <f t="array" ref="O11">_xlfn.QUARTILE.INC(IF(Quartile_L[[#This Row],[Industry]]=Main_L[Industry],Main_L[ROA]),3)</f>
        <v>3.375</v>
      </c>
      <c r="P11" s="1">
        <f>Quartile_L[[#This Row],[ROA Q1]]-1.5*(Quartile_L[[#This Row],[ROA Q3]]-Quartile_L[[#This Row],[ROA Q1]])</f>
        <v>-0.85000000000000009</v>
      </c>
      <c r="Q11" s="1">
        <f>Quartile_L[[#This Row],[ROA Q3]]+1.5*(Quartile_L[[#This Row],[ROA Q3]]-Quartile_L[[#This Row],[ROA Q1]])</f>
        <v>5.91</v>
      </c>
      <c r="R11" s="1" cm="1">
        <f t="array" ref="R11">_xlfn.QUARTILE.INC(IF(Quartile_L[[#This Row],[Industry]]=Main_L[Industry],Main_L[P/E]),1)</f>
        <v>4.1971467251822201</v>
      </c>
      <c r="S11" s="1" cm="1">
        <f t="array" ref="S11">_xlfn.QUARTILE.INC(IF(Quartile_L[[#This Row],[Industry]]=Main_L[Industry],Main_L[P/E]),3)</f>
        <v>37.563778011204484</v>
      </c>
      <c r="T11" s="1">
        <f>Quartile_L[[#This Row],[P/E Q1]]-1.5*(Quartile_L[[#This Row],[P/E Q3]]-Quartile_L[[#This Row],[P/E Q1]])</f>
        <v>-45.852800203851174</v>
      </c>
      <c r="U11" s="1">
        <f>Quartile_L[[#This Row],[P/E Q3]]+1.5*(Quartile_L[[#This Row],[P/E Q3]]-Quartile_L[[#This Row],[P/E Q1]])</f>
        <v>87.613724940237887</v>
      </c>
      <c r="V11" s="1" cm="1">
        <f t="array" ref="V11">_xlfn.QUARTILE.INC(IF(Quartile_L[[#This Row],[Industry]]=Main_L[Industry],Main_L[A/E]),1)</f>
        <v>2.4424999999999999</v>
      </c>
      <c r="W11" s="1" cm="1">
        <f t="array" ref="W11">_xlfn.QUARTILE.INC(IF(Quartile_L[[#This Row],[Industry]]=Main_L[Industry],Main_L[A/E]),3)</f>
        <v>3.2625000000000002</v>
      </c>
      <c r="X11" s="1">
        <f>Quartile_L[[#This Row],[A/E Q1]]-1.5*(Quartile_L[[#This Row],[A/E Q3]]-Quartile_L[[#This Row],[A/E Q1]])</f>
        <v>1.2124999999999995</v>
      </c>
      <c r="Y11" s="1">
        <f>Quartile_L[[#This Row],[A/E Q3]]+1.5*(Quartile_L[[#This Row],[A/E Q3]]-Quartile_L[[#This Row],[A/E Q1]])</f>
        <v>4.4925000000000006</v>
      </c>
    </row>
    <row r="12" spans="1:25" x14ac:dyDescent="0.25">
      <c r="A12" t="s">
        <v>109</v>
      </c>
      <c r="B12" s="1" t="e" cm="1">
        <f t="array" ref="B12">_xlfn.QUARTILE.INC(IF(Quartile_L[[#This Row],[Industry]]=Main_L[Industry],Main_L[P/FCF]),1)</f>
        <v>#NUM!</v>
      </c>
      <c r="C12" s="1" t="e" cm="1">
        <f t="array" ref="C12">_xlfn.QUARTILE.INC(IF(Quartile_L[[#This Row],[Industry]]=Main_L[Industry],Main_L[P/FCF]),3)</f>
        <v>#NUM!</v>
      </c>
      <c r="D12" s="1" t="e">
        <f>Quartile_L[[#This Row],[P/FCF Q1]]-1.5*(Quartile_L[[#This Row],[P/FCF Q3]]-Quartile_L[[#This Row],[P/FCF Q1]])</f>
        <v>#NUM!</v>
      </c>
      <c r="E12" s="1" t="e">
        <f>Quartile_L[[#This Row],[P/FCF Q3]]+1.5*(Quartile_L[[#This Row],[P/FCF Q3]]-Quartile_L[[#This Row],[P/FCF Q1]])</f>
        <v>#NUM!</v>
      </c>
      <c r="F12" s="1" t="e" cm="1">
        <f t="array" ref="F12">_xlfn.QUARTILE.INC(IF(Quartile_L[[#This Row],[Industry]]=Main_L[Industry],Main_L[P/B]),1)</f>
        <v>#NUM!</v>
      </c>
      <c r="G12" s="1" t="e" cm="1">
        <f t="array" ref="G12">_xlfn.QUARTILE.INC(IF(Quartile_L[[#This Row],[Industry]]=Main_L[Industry],Main_L[P/B]),3)</f>
        <v>#NUM!</v>
      </c>
      <c r="H12" s="1" t="e">
        <f>Quartile_L[[#This Row],[P/B Q1]]-1.5*(Quartile_L[[#This Row],[P/B Q3]]-Quartile_L[[#This Row],[P/B Q1]])</f>
        <v>#NUM!</v>
      </c>
      <c r="I12" s="1" t="e">
        <f>Quartile_L[[#This Row],[P/B Q3]]+1.5*(Quartile_L[[#This Row],[P/B Q3]]-Quartile_L[[#This Row],[P/B Q1]])</f>
        <v>#NUM!</v>
      </c>
      <c r="J12" s="1" t="e" cm="1">
        <f t="array" ref="J12">_xlfn.QUARTILE.INC(IF(Quartile_L[[#This Row],[Industry]]=Main_L[Industry],Main_L[ROE]),1)</f>
        <v>#NUM!</v>
      </c>
      <c r="K12" s="1" t="e" cm="1">
        <f t="array" ref="K12">_xlfn.QUARTILE.INC(IF(Quartile_L[[#This Row],[Industry]]=Main_L[Industry],Main_L[ROE]),3)</f>
        <v>#NUM!</v>
      </c>
      <c r="L12" s="1" t="e">
        <f>Quartile_L[[#This Row],[ROE Q1]]-1.5*(Quartile_L[[#This Row],[ROE Q3]]-Quartile_L[[#This Row],[ROE Q1]])</f>
        <v>#NUM!</v>
      </c>
      <c r="M12" s="1" t="e">
        <f>Quartile_L[[#This Row],[ROE Q3]]+1.5*(Quartile_L[[#This Row],[ROE Q3]]-Quartile_L[[#This Row],[ROE Q1]])</f>
        <v>#NUM!</v>
      </c>
      <c r="N12" s="1" t="e" cm="1">
        <f t="array" ref="N12">_xlfn.QUARTILE.INC(IF(Quartile_L[[#This Row],[Industry]]=Main_L[Industry],Main_L[ROA]),1)</f>
        <v>#NUM!</v>
      </c>
      <c r="O12" s="1" t="e" cm="1">
        <f t="array" ref="O12">_xlfn.QUARTILE.INC(IF(Quartile_L[[#This Row],[Industry]]=Main_L[Industry],Main_L[ROA]),3)</f>
        <v>#NUM!</v>
      </c>
      <c r="P12" s="1" t="e">
        <f>Quartile_L[[#This Row],[ROA Q1]]-1.5*(Quartile_L[[#This Row],[ROA Q3]]-Quartile_L[[#This Row],[ROA Q1]])</f>
        <v>#NUM!</v>
      </c>
      <c r="Q12" s="1" t="e">
        <f>Quartile_L[[#This Row],[ROA Q3]]+1.5*(Quartile_L[[#This Row],[ROA Q3]]-Quartile_L[[#This Row],[ROA Q1]])</f>
        <v>#NUM!</v>
      </c>
      <c r="R12" s="1" t="e" cm="1">
        <f t="array" ref="R12">_xlfn.QUARTILE.INC(IF(Quartile_L[[#This Row],[Industry]]=Main_L[Industry],Main_L[P/E]),1)</f>
        <v>#NUM!</v>
      </c>
      <c r="S12" s="1" t="e" cm="1">
        <f t="array" ref="S12">_xlfn.QUARTILE.INC(IF(Quartile_L[[#This Row],[Industry]]=Main_L[Industry],Main_L[P/E]),3)</f>
        <v>#NUM!</v>
      </c>
      <c r="T12" s="1" t="e">
        <f>Quartile_L[[#This Row],[P/E Q1]]-1.5*(Quartile_L[[#This Row],[P/E Q3]]-Quartile_L[[#This Row],[P/E Q1]])</f>
        <v>#NUM!</v>
      </c>
      <c r="U12" s="1" t="e">
        <f>Quartile_L[[#This Row],[P/E Q3]]+1.5*(Quartile_L[[#This Row],[P/E Q3]]-Quartile_L[[#This Row],[P/E Q1]])</f>
        <v>#NUM!</v>
      </c>
      <c r="V12" s="1" t="e" cm="1">
        <f t="array" ref="V12">_xlfn.QUARTILE.INC(IF(Quartile_L[[#This Row],[Industry]]=Main_L[Industry],Main_L[A/E]),1)</f>
        <v>#NUM!</v>
      </c>
      <c r="W12" s="1" t="e" cm="1">
        <f t="array" ref="W12">_xlfn.QUARTILE.INC(IF(Quartile_L[[#This Row],[Industry]]=Main_L[Industry],Main_L[A/E]),3)</f>
        <v>#NUM!</v>
      </c>
      <c r="X12" s="1" t="e">
        <f>Quartile_L[[#This Row],[A/E Q1]]-1.5*(Quartile_L[[#This Row],[A/E Q3]]-Quartile_L[[#This Row],[A/E Q1]])</f>
        <v>#NUM!</v>
      </c>
      <c r="Y12" s="1" t="e">
        <f>Quartile_L[[#This Row],[A/E Q3]]+1.5*(Quartile_L[[#This Row],[A/E Q3]]-Quartile_L[[#This Row],[A/E Q1]])</f>
        <v>#NUM!</v>
      </c>
    </row>
    <row r="15" spans="1:25" x14ac:dyDescent="0.25">
      <c r="A15" t="s">
        <v>22</v>
      </c>
    </row>
    <row r="16" spans="1:25" x14ac:dyDescent="0.25">
      <c r="A16" t="s">
        <v>1</v>
      </c>
      <c r="B16" t="s">
        <v>2</v>
      </c>
      <c r="C16" t="s">
        <v>3</v>
      </c>
      <c r="D16" t="s">
        <v>4</v>
      </c>
      <c r="E16" t="s">
        <v>5</v>
      </c>
      <c r="F16" t="s">
        <v>72</v>
      </c>
      <c r="G16" t="s">
        <v>73</v>
      </c>
      <c r="H16" t="s">
        <v>74</v>
      </c>
      <c r="I16" t="s">
        <v>75</v>
      </c>
      <c r="J16" t="s">
        <v>6</v>
      </c>
      <c r="K16" t="s">
        <v>7</v>
      </c>
      <c r="L16" t="s">
        <v>8</v>
      </c>
      <c r="M16" t="s">
        <v>9</v>
      </c>
      <c r="N16" t="s">
        <v>10</v>
      </c>
      <c r="O16" t="s">
        <v>11</v>
      </c>
      <c r="P16" t="s">
        <v>12</v>
      </c>
      <c r="Q16" t="s">
        <v>13</v>
      </c>
      <c r="R16" t="s">
        <v>14</v>
      </c>
      <c r="S16" t="s">
        <v>15</v>
      </c>
      <c r="T16" t="s">
        <v>16</v>
      </c>
      <c r="U16" t="s">
        <v>17</v>
      </c>
      <c r="V16" t="s">
        <v>18</v>
      </c>
      <c r="W16" t="s">
        <v>19</v>
      </c>
      <c r="X16" t="s">
        <v>20</v>
      </c>
      <c r="Y16" t="s">
        <v>21</v>
      </c>
    </row>
    <row r="17" spans="1:25" x14ac:dyDescent="0.25">
      <c r="A17" t="s">
        <v>111</v>
      </c>
      <c r="B17" s="1" cm="1">
        <f t="array" ref="B17">_xlfn.QUARTILE.INC(IF(Quartile_M[[#This Row],[Industry]]=Main_M[Industry],Main_M[P/FCF]),1)</f>
        <v>8.2529792746114001</v>
      </c>
      <c r="C17" s="1" cm="1">
        <f t="array" ref="C17">_xlfn.QUARTILE.INC(IF(Quartile_M[[#This Row],[Industry]]=Main_M[Industry],Main_M[P/FCF]),3)</f>
        <v>27.82557500087988</v>
      </c>
      <c r="D17" s="1">
        <f>Quartile_M[[#This Row],[P/FCF Q1]]-1.5*(Quartile_M[[#This Row],[P/FCF Q3]]-Quartile_M[[#This Row],[P/FCF Q1]])</f>
        <v>-21.10591431479132</v>
      </c>
      <c r="E17" s="1">
        <f>Quartile_M[[#This Row],[P/FCF Q3]]+1.5*(Quartile_M[[#This Row],[P/FCF Q3]]-Quartile_M[[#This Row],[P/FCF Q1]])</f>
        <v>57.184468590282606</v>
      </c>
      <c r="F17" s="1" cm="1">
        <f t="array" ref="F17">_xlfn.QUARTILE.INC(IF(Quartile_M[[#This Row],[Industry]]=Main_M[Industry],Main_M[P/B]),1)</f>
        <v>0.84340333862455252</v>
      </c>
      <c r="G17" s="1" cm="1">
        <f t="array" ref="G17">_xlfn.QUARTILE.INC(IF(Quartile_M[[#This Row],[Industry]]=Main_M[Industry],Main_M[P/B]),3)</f>
        <v>10.3166383460776</v>
      </c>
      <c r="H17" s="1">
        <f>Quartile_M[[#This Row],[P/B Q1]]-1.5*(Quartile_M[[#This Row],[P/B Q3]]-Quartile_M[[#This Row],[P/B Q1]])</f>
        <v>-13.366449172555017</v>
      </c>
      <c r="I17" s="1">
        <f>Quartile_M[[#This Row],[P/B Q3]]+1.5*(Quartile_M[[#This Row],[P/B Q3]]-Quartile_M[[#This Row],[P/B Q1]])</f>
        <v>24.526490857257169</v>
      </c>
      <c r="J17" s="1" cm="1">
        <f t="array" ref="J17">_xlfn.QUARTILE.INC(IF(Quartile_M[[#This Row],[Industry]]=Main_M[Industry],Main_M[ROE]),1)</f>
        <v>-5.51</v>
      </c>
      <c r="K17" s="1" cm="1">
        <f t="array" ref="K17">_xlfn.QUARTILE.INC(IF(Quartile_M[[#This Row],[Industry]]=Main_M[Industry],Main_M[ROE]),3)</f>
        <v>44.614999999999995</v>
      </c>
      <c r="L17" s="1">
        <f>Quartile_M[[#This Row],[ROE Q1]]-1.5*(Quartile_M[[#This Row],[ROE Q3]]-Quartile_M[[#This Row],[ROE Q1]])</f>
        <v>-80.697499999999991</v>
      </c>
      <c r="M17" s="1">
        <f>Quartile_M[[#This Row],[ROE Q3]]+1.5*(Quartile_M[[#This Row],[ROE Q3]]-Quartile_M[[#This Row],[ROE Q1]])</f>
        <v>119.80249999999998</v>
      </c>
      <c r="N17" s="1" cm="1">
        <f t="array" ref="N17">_xlfn.QUARTILE.INC(IF(Quartile_M[[#This Row],[Industry]]=Main_M[Industry],Main_M[ROA]),1)</f>
        <v>3.2800000000000002</v>
      </c>
      <c r="O17" s="1" cm="1">
        <f t="array" ref="O17">_xlfn.QUARTILE.INC(IF(Quartile_M[[#This Row],[Industry]]=Main_M[Industry],Main_M[ROA]),3)</f>
        <v>9.129999999999999</v>
      </c>
      <c r="P17" s="1">
        <f>Quartile_M[[#This Row],[ROA Q1]]-1.5*(Quartile_M[[#This Row],[ROA Q3]]-Quartile_M[[#This Row],[ROA Q1]])</f>
        <v>-5.4949999999999983</v>
      </c>
      <c r="Q17" s="1">
        <f>Quartile_M[[#This Row],[ROA Q3]]+1.5*(Quartile_M[[#This Row],[ROA Q3]]-Quartile_M[[#This Row],[ROA Q1]])</f>
        <v>17.904999999999998</v>
      </c>
      <c r="R17" s="1" cm="1">
        <f t="array" ref="R17">_xlfn.QUARTILE.INC(IF(Quartile_M[[#This Row],[Industry]]=Main_M[Industry],Main_M[P/E]),1)</f>
        <v>9.5637775268210063</v>
      </c>
      <c r="S17" s="1" cm="1">
        <f t="array" ref="S17">_xlfn.QUARTILE.INC(IF(Quartile_M[[#This Row],[Industry]]=Main_M[Industry],Main_M[P/E]),3)</f>
        <v>32.940972222222221</v>
      </c>
      <c r="T17" s="1">
        <f>Quartile_M[[#This Row],[P/E Q1]]-1.5*(Quartile_M[[#This Row],[P/E Q3]]-Quartile_M[[#This Row],[P/E Q1]])</f>
        <v>-25.502014516280816</v>
      </c>
      <c r="U17" s="1">
        <f>Quartile_M[[#This Row],[P/E Q3]]+1.5*(Quartile_M[[#This Row],[P/E Q3]]-Quartile_M[[#This Row],[P/E Q1]])</f>
        <v>68.006764265324051</v>
      </c>
      <c r="V17" s="1" cm="1">
        <f t="array" ref="V17">_xlfn.QUARTILE.INC(IF(Quartile_M[[#This Row],[Industry]]=Main_M[Industry],Main_M[A/E]),1)</f>
        <v>1.6850000000000001</v>
      </c>
      <c r="W17" s="1" cm="1">
        <f t="array" ref="W17">_xlfn.QUARTILE.INC(IF(Quartile_M[[#This Row],[Industry]]=Main_M[Industry],Main_M[A/E]),3)</f>
        <v>7.3949999999999996</v>
      </c>
      <c r="X17" s="1">
        <f>Quartile_M[[#This Row],[A/E Q1]]-1.5*(Quartile_M[[#This Row],[A/E Q3]]-Quartile_M[[#This Row],[A/E Q1]])</f>
        <v>-6.8799999999999972</v>
      </c>
      <c r="Y17" s="1">
        <f>Quartile_M[[#This Row],[A/E Q3]]+1.5*(Quartile_M[[#This Row],[A/E Q3]]-Quartile_M[[#This Row],[A/E Q1]])</f>
        <v>15.959999999999997</v>
      </c>
    </row>
    <row r="18" spans="1:25" x14ac:dyDescent="0.25">
      <c r="A18" t="s">
        <v>115</v>
      </c>
      <c r="B18" s="1" cm="1">
        <f t="array" ref="B18">_xlfn.QUARTILE.INC(IF(Quartile_M[[#This Row],[Industry]]=Main_M[Industry],Main_M[P/FCF]),1)</f>
        <v>7.6934402240953439</v>
      </c>
      <c r="C18" s="1" cm="1">
        <f t="array" ref="C18">_xlfn.QUARTILE.INC(IF(Quartile_M[[#This Row],[Industry]]=Main_M[Industry],Main_M[P/FCF]),3)</f>
        <v>45.128181818181815</v>
      </c>
      <c r="D18" s="1">
        <f>Quartile_M[[#This Row],[P/FCF Q1]]-1.5*(Quartile_M[[#This Row],[P/FCF Q3]]-Quartile_M[[#This Row],[P/FCF Q1]])</f>
        <v>-48.458672167034365</v>
      </c>
      <c r="E18" s="1">
        <f>Quartile_M[[#This Row],[P/FCF Q3]]+1.5*(Quartile_M[[#This Row],[P/FCF Q3]]-Quartile_M[[#This Row],[P/FCF Q1]])</f>
        <v>101.28029420931153</v>
      </c>
      <c r="F18" s="1" cm="1">
        <f t="array" ref="F18">_xlfn.QUARTILE.INC(IF(Quartile_M[[#This Row],[Industry]]=Main_M[Industry],Main_M[P/B]),1)</f>
        <v>1.4417510947172387</v>
      </c>
      <c r="G18" s="1" cm="1">
        <f t="array" ref="G18">_xlfn.QUARTILE.INC(IF(Quartile_M[[#This Row],[Industry]]=Main_M[Industry],Main_M[P/B]),3)</f>
        <v>3.7841269513778464</v>
      </c>
      <c r="H18" s="1">
        <f>Quartile_M[[#This Row],[P/B Q1]]-1.5*(Quartile_M[[#This Row],[P/B Q3]]-Quartile_M[[#This Row],[P/B Q1]])</f>
        <v>-2.0718126902736733</v>
      </c>
      <c r="I18" s="1">
        <f>Quartile_M[[#This Row],[P/B Q3]]+1.5*(Quartile_M[[#This Row],[P/B Q3]]-Quartile_M[[#This Row],[P/B Q1]])</f>
        <v>7.2976907363687582</v>
      </c>
      <c r="J18" s="1" cm="1">
        <f t="array" ref="J18">_xlfn.QUARTILE.INC(IF(Quartile_M[[#This Row],[Industry]]=Main_M[Industry],Main_M[ROE]),1)</f>
        <v>8.5325000000000006</v>
      </c>
      <c r="K18" s="1" cm="1">
        <f t="array" ref="K18">_xlfn.QUARTILE.INC(IF(Quartile_M[[#This Row],[Industry]]=Main_M[Industry],Main_M[ROE]),3)</f>
        <v>23.852499999999999</v>
      </c>
      <c r="L18" s="1">
        <f>Quartile_M[[#This Row],[ROE Q1]]-1.5*(Quartile_M[[#This Row],[ROE Q3]]-Quartile_M[[#This Row],[ROE Q1]])</f>
        <v>-14.447499999999996</v>
      </c>
      <c r="M18" s="1">
        <f>Quartile_M[[#This Row],[ROE Q3]]+1.5*(Quartile_M[[#This Row],[ROE Q3]]-Quartile_M[[#This Row],[ROE Q1]])</f>
        <v>46.832499999999996</v>
      </c>
      <c r="N18" s="1" cm="1">
        <f t="array" ref="N18">_xlfn.QUARTILE.INC(IF(Quartile_M[[#This Row],[Industry]]=Main_M[Industry],Main_M[ROA]),1)</f>
        <v>4.6074999999999999</v>
      </c>
      <c r="O18" s="1" cm="1">
        <f t="array" ref="O18">_xlfn.QUARTILE.INC(IF(Quartile_M[[#This Row],[Industry]]=Main_M[Industry],Main_M[ROA]),3)</f>
        <v>7.6950000000000003</v>
      </c>
      <c r="P18" s="1">
        <f>Quartile_M[[#This Row],[ROA Q1]]-1.5*(Quartile_M[[#This Row],[ROA Q3]]-Quartile_M[[#This Row],[ROA Q1]])</f>
        <v>-2.3750000000000604E-2</v>
      </c>
      <c r="Q18" s="1">
        <f>Quartile_M[[#This Row],[ROA Q3]]+1.5*(Quartile_M[[#This Row],[ROA Q3]]-Quartile_M[[#This Row],[ROA Q1]])</f>
        <v>12.326250000000002</v>
      </c>
      <c r="R18" s="1" cm="1">
        <f t="array" ref="R18">_xlfn.QUARTILE.INC(IF(Quartile_M[[#This Row],[Industry]]=Main_M[Industry],Main_M[P/E]),1)</f>
        <v>7.8208529196967662</v>
      </c>
      <c r="S18" s="1" cm="1">
        <f t="array" ref="S18">_xlfn.QUARTILE.INC(IF(Quartile_M[[#This Row],[Industry]]=Main_M[Industry],Main_M[P/E]),3)</f>
        <v>17.739240095126018</v>
      </c>
      <c r="T18" s="1">
        <f>Quartile_M[[#This Row],[P/E Q1]]-1.5*(Quartile_M[[#This Row],[P/E Q3]]-Quartile_M[[#This Row],[P/E Q1]])</f>
        <v>-7.0567278434471126</v>
      </c>
      <c r="U18" s="1">
        <f>Quartile_M[[#This Row],[P/E Q3]]+1.5*(Quartile_M[[#This Row],[P/E Q3]]-Quartile_M[[#This Row],[P/E Q1]])</f>
        <v>32.616820858269897</v>
      </c>
      <c r="V18" s="1" cm="1">
        <f t="array" ref="V18">_xlfn.QUARTILE.INC(IF(Quartile_M[[#This Row],[Industry]]=Main_M[Industry],Main_M[A/E]),1)</f>
        <v>2.2025000000000001</v>
      </c>
      <c r="W18" s="1" cm="1">
        <f t="array" ref="W18">_xlfn.QUARTILE.INC(IF(Quartile_M[[#This Row],[Industry]]=Main_M[Industry],Main_M[A/E]),3)</f>
        <v>3.4775</v>
      </c>
      <c r="X18" s="1">
        <f>Quartile_M[[#This Row],[A/E Q1]]-1.5*(Quartile_M[[#This Row],[A/E Q3]]-Quartile_M[[#This Row],[A/E Q1]])</f>
        <v>0.29000000000000026</v>
      </c>
      <c r="Y18" s="1">
        <f>Quartile_M[[#This Row],[A/E Q3]]+1.5*(Quartile_M[[#This Row],[A/E Q3]]-Quartile_M[[#This Row],[A/E Q1]])</f>
        <v>5.39</v>
      </c>
    </row>
    <row r="19" spans="1:25" x14ac:dyDescent="0.25">
      <c r="A19" t="s">
        <v>108</v>
      </c>
      <c r="B19" s="1" cm="1">
        <f t="array" ref="B19">_xlfn.QUARTILE.INC(IF(Quartile_M[[#This Row],[Industry]]=Main_M[Industry],Main_M[P/FCF]),1)</f>
        <v>7.4981189542624467</v>
      </c>
      <c r="C19" s="1" cm="1">
        <f t="array" ref="C19">_xlfn.QUARTILE.INC(IF(Quartile_M[[#This Row],[Industry]]=Main_M[Industry],Main_M[P/FCF]),3)</f>
        <v>20.261893514340642</v>
      </c>
      <c r="D19" s="1">
        <f>Quartile_M[[#This Row],[P/FCF Q1]]-1.5*(Quartile_M[[#This Row],[P/FCF Q3]]-Quartile_M[[#This Row],[P/FCF Q1]])</f>
        <v>-11.647542885854845</v>
      </c>
      <c r="E19" s="1">
        <f>Quartile_M[[#This Row],[P/FCF Q3]]+1.5*(Quartile_M[[#This Row],[P/FCF Q3]]-Quartile_M[[#This Row],[P/FCF Q1]])</f>
        <v>39.407555354457934</v>
      </c>
      <c r="F19" s="1" cm="1">
        <f t="array" ref="F19">_xlfn.QUARTILE.INC(IF(Quartile_M[[#This Row],[Industry]]=Main_M[Industry],Main_M[P/B]),1)</f>
        <v>0.92176362917174037</v>
      </c>
      <c r="G19" s="1" cm="1">
        <f t="array" ref="G19">_xlfn.QUARTILE.INC(IF(Quartile_M[[#This Row],[Industry]]=Main_M[Industry],Main_M[P/B]),3)</f>
        <v>2.603936712228589</v>
      </c>
      <c r="H19" s="1">
        <f>Quartile_M[[#This Row],[P/B Q1]]-1.5*(Quartile_M[[#This Row],[P/B Q3]]-Quartile_M[[#This Row],[P/B Q1]])</f>
        <v>-1.6014959954135324</v>
      </c>
      <c r="I19" s="1">
        <f>Quartile_M[[#This Row],[P/B Q3]]+1.5*(Quartile_M[[#This Row],[P/B Q3]]-Quartile_M[[#This Row],[P/B Q1]])</f>
        <v>5.1271963368138618</v>
      </c>
      <c r="J19" s="1" cm="1">
        <f t="array" ref="J19">_xlfn.QUARTILE.INC(IF(Quartile_M[[#This Row],[Industry]]=Main_M[Industry],Main_M[ROE]),1)</f>
        <v>13.512499999999999</v>
      </c>
      <c r="K19" s="1" cm="1">
        <f t="array" ref="K19">_xlfn.QUARTILE.INC(IF(Quartile_M[[#This Row],[Industry]]=Main_M[Industry],Main_M[ROE]),3)</f>
        <v>20.412500000000001</v>
      </c>
      <c r="L19" s="1">
        <f>Quartile_M[[#This Row],[ROE Q1]]-1.5*(Quartile_M[[#This Row],[ROE Q3]]-Quartile_M[[#This Row],[ROE Q1]])</f>
        <v>3.1624999999999961</v>
      </c>
      <c r="M19" s="1">
        <f>Quartile_M[[#This Row],[ROE Q3]]+1.5*(Quartile_M[[#This Row],[ROE Q3]]-Quartile_M[[#This Row],[ROE Q1]])</f>
        <v>30.762500000000003</v>
      </c>
      <c r="N19" s="1" cm="1">
        <f t="array" ref="N19">_xlfn.QUARTILE.INC(IF(Quartile_M[[#This Row],[Industry]]=Main_M[Industry],Main_M[ROA]),1)</f>
        <v>7.1099999999999994</v>
      </c>
      <c r="O19" s="1" cm="1">
        <f t="array" ref="O19">_xlfn.QUARTILE.INC(IF(Quartile_M[[#This Row],[Industry]]=Main_M[Industry],Main_M[ROA]),3)</f>
        <v>9.8500000000000014</v>
      </c>
      <c r="P19" s="1">
        <f>Quartile_M[[#This Row],[ROA Q1]]-1.5*(Quartile_M[[#This Row],[ROA Q3]]-Quartile_M[[#This Row],[ROA Q1]])</f>
        <v>2.9999999999999964</v>
      </c>
      <c r="Q19" s="1">
        <f>Quartile_M[[#This Row],[ROA Q3]]+1.5*(Quartile_M[[#This Row],[ROA Q3]]-Quartile_M[[#This Row],[ROA Q1]])</f>
        <v>13.960000000000004</v>
      </c>
      <c r="R19" s="1" cm="1">
        <f t="array" ref="R19">_xlfn.QUARTILE.INC(IF(Quartile_M[[#This Row],[Industry]]=Main_M[Industry],Main_M[P/E]),1)</f>
        <v>6.7039307381193129</v>
      </c>
      <c r="S19" s="1" cm="1">
        <f t="array" ref="S19">_xlfn.QUARTILE.INC(IF(Quartile_M[[#This Row],[Industry]]=Main_M[Industry],Main_M[P/E]),3)</f>
        <v>19.06261739199936</v>
      </c>
      <c r="T19" s="1">
        <f>Quartile_M[[#This Row],[P/E Q1]]-1.5*(Quartile_M[[#This Row],[P/E Q3]]-Quartile_M[[#This Row],[P/E Q1]])</f>
        <v>-11.834099242700757</v>
      </c>
      <c r="U19" s="1">
        <f>Quartile_M[[#This Row],[P/E Q3]]+1.5*(Quartile_M[[#This Row],[P/E Q3]]-Quartile_M[[#This Row],[P/E Q1]])</f>
        <v>37.600647372819431</v>
      </c>
      <c r="V19" s="1" cm="1">
        <f t="array" ref="V19">_xlfn.QUARTILE.INC(IF(Quartile_M[[#This Row],[Industry]]=Main_M[Industry],Main_M[A/E]),1)</f>
        <v>1.4324999999999999</v>
      </c>
      <c r="W19" s="1" cm="1">
        <f t="array" ref="W19">_xlfn.QUARTILE.INC(IF(Quartile_M[[#This Row],[Industry]]=Main_M[Industry],Main_M[A/E]),3)</f>
        <v>1.825</v>
      </c>
      <c r="X19" s="1">
        <f>Quartile_M[[#This Row],[A/E Q1]]-1.5*(Quartile_M[[#This Row],[A/E Q3]]-Quartile_M[[#This Row],[A/E Q1]])</f>
        <v>0.84374999999999978</v>
      </c>
      <c r="Y19" s="1">
        <f>Quartile_M[[#This Row],[A/E Q3]]+1.5*(Quartile_M[[#This Row],[A/E Q3]]-Quartile_M[[#This Row],[A/E Q1]])</f>
        <v>2.4137500000000003</v>
      </c>
    </row>
    <row r="20" spans="1:25" x14ac:dyDescent="0.25">
      <c r="A20" t="s">
        <v>112</v>
      </c>
      <c r="B20" s="1" cm="1">
        <f t="array" ref="B20">_xlfn.QUARTILE.INC(IF(Quartile_M[[#This Row],[Industry]]=Main_M[Industry],Main_M[P/FCF]),1)</f>
        <v>11.883720930232558</v>
      </c>
      <c r="C20" s="1" cm="1">
        <f t="array" ref="C20">_xlfn.QUARTILE.INC(IF(Quartile_M[[#This Row],[Industry]]=Main_M[Industry],Main_M[P/FCF]),3)</f>
        <v>16.996023856858844</v>
      </c>
      <c r="D20" s="1">
        <f>Quartile_M[[#This Row],[P/FCF Q1]]-1.5*(Quartile_M[[#This Row],[P/FCF Q3]]-Quartile_M[[#This Row],[P/FCF Q1]])</f>
        <v>4.2152665402931282</v>
      </c>
      <c r="E20" s="1">
        <f>Quartile_M[[#This Row],[P/FCF Q3]]+1.5*(Quartile_M[[#This Row],[P/FCF Q3]]-Quartile_M[[#This Row],[P/FCF Q1]])</f>
        <v>24.664478246798275</v>
      </c>
      <c r="F20" s="1" cm="1">
        <f t="array" ref="F20">_xlfn.QUARTILE.INC(IF(Quartile_M[[#This Row],[Industry]]=Main_M[Industry],Main_M[P/B]),1)</f>
        <v>1.7467741935483871</v>
      </c>
      <c r="G20" s="1" cm="1">
        <f t="array" ref="G20">_xlfn.QUARTILE.INC(IF(Quartile_M[[#This Row],[Industry]]=Main_M[Industry],Main_M[P/B]),3)</f>
        <v>4.2729198184568835</v>
      </c>
      <c r="H20" s="1">
        <f>Quartile_M[[#This Row],[P/B Q1]]-1.5*(Quartile_M[[#This Row],[P/B Q3]]-Quartile_M[[#This Row],[P/B Q1]])</f>
        <v>-2.0424442438143569</v>
      </c>
      <c r="I20" s="1">
        <f>Quartile_M[[#This Row],[P/B Q3]]+1.5*(Quartile_M[[#This Row],[P/B Q3]]-Quartile_M[[#This Row],[P/B Q1]])</f>
        <v>8.0621382558196277</v>
      </c>
      <c r="J20" s="1" cm="1">
        <f t="array" ref="J20">_xlfn.QUARTILE.INC(IF(Quartile_M[[#This Row],[Industry]]=Main_M[Industry],Main_M[ROE]),1)</f>
        <v>8.2100000000000009</v>
      </c>
      <c r="K20" s="1" cm="1">
        <f t="array" ref="K20">_xlfn.QUARTILE.INC(IF(Quartile_M[[#This Row],[Industry]]=Main_M[Industry],Main_M[ROE]),3)</f>
        <v>23.76</v>
      </c>
      <c r="L20" s="1">
        <f>Quartile_M[[#This Row],[ROE Q1]]-1.5*(Quartile_M[[#This Row],[ROE Q3]]-Quartile_M[[#This Row],[ROE Q1]])</f>
        <v>-15.115000000000002</v>
      </c>
      <c r="M20" s="1">
        <f>Quartile_M[[#This Row],[ROE Q3]]+1.5*(Quartile_M[[#This Row],[ROE Q3]]-Quartile_M[[#This Row],[ROE Q1]])</f>
        <v>47.085000000000008</v>
      </c>
      <c r="N20" s="1" cm="1">
        <f t="array" ref="N20">_xlfn.QUARTILE.INC(IF(Quartile_M[[#This Row],[Industry]]=Main_M[Industry],Main_M[ROA]),1)</f>
        <v>4.82</v>
      </c>
      <c r="O20" s="1" cm="1">
        <f t="array" ref="O20">_xlfn.QUARTILE.INC(IF(Quartile_M[[#This Row],[Industry]]=Main_M[Industry],Main_M[ROA]),3)</f>
        <v>11.49</v>
      </c>
      <c r="P20" s="1">
        <f>Quartile_M[[#This Row],[ROA Q1]]-1.5*(Quartile_M[[#This Row],[ROA Q3]]-Quartile_M[[#This Row],[ROA Q1]])</f>
        <v>-5.1849999999999987</v>
      </c>
      <c r="Q20" s="1">
        <f>Quartile_M[[#This Row],[ROA Q3]]+1.5*(Quartile_M[[#This Row],[ROA Q3]]-Quartile_M[[#This Row],[ROA Q1]])</f>
        <v>21.494999999999997</v>
      </c>
      <c r="R20" s="1" cm="1">
        <f t="array" ref="R20">_xlfn.QUARTILE.INC(IF(Quartile_M[[#This Row],[Industry]]=Main_M[Industry],Main_M[P/E]),1)</f>
        <v>13.810810810810811</v>
      </c>
      <c r="S20" s="1" cm="1">
        <f t="array" ref="S20">_xlfn.QUARTILE.INC(IF(Quartile_M[[#This Row],[Industry]]=Main_M[Industry],Main_M[P/E]),3)</f>
        <v>23.367758186397982</v>
      </c>
      <c r="T20" s="1">
        <f>Quartile_M[[#This Row],[P/E Q1]]-1.5*(Quartile_M[[#This Row],[P/E Q3]]-Quartile_M[[#This Row],[P/E Q1]])</f>
        <v>-0.52461025256994631</v>
      </c>
      <c r="U20" s="1">
        <f>Quartile_M[[#This Row],[P/E Q3]]+1.5*(Quartile_M[[#This Row],[P/E Q3]]-Quartile_M[[#This Row],[P/E Q1]])</f>
        <v>37.703179249778742</v>
      </c>
      <c r="V20" s="1" cm="1">
        <f t="array" ref="V20">_xlfn.QUARTILE.INC(IF(Quartile_M[[#This Row],[Industry]]=Main_M[Industry],Main_M[A/E]),1)</f>
        <v>1.46</v>
      </c>
      <c r="W20" s="1" cm="1">
        <f t="array" ref="W20">_xlfn.QUARTILE.INC(IF(Quartile_M[[#This Row],[Industry]]=Main_M[Industry],Main_M[A/E]),3)</f>
        <v>2.89</v>
      </c>
      <c r="X20" s="1">
        <f>Quartile_M[[#This Row],[A/E Q1]]-1.5*(Quartile_M[[#This Row],[A/E Q3]]-Quartile_M[[#This Row],[A/E Q1]])</f>
        <v>-0.6850000000000005</v>
      </c>
      <c r="Y20" s="1">
        <f>Quartile_M[[#This Row],[A/E Q3]]+1.5*(Quartile_M[[#This Row],[A/E Q3]]-Quartile_M[[#This Row],[A/E Q1]])</f>
        <v>5.0350000000000001</v>
      </c>
    </row>
    <row r="21" spans="1:25" x14ac:dyDescent="0.25">
      <c r="A21" t="s">
        <v>114</v>
      </c>
      <c r="B21" s="1" cm="1">
        <f t="array" ref="B21">_xlfn.QUARTILE.INC(IF(Quartile_M[[#This Row],[Industry]]=Main_M[Industry],Main_M[P/FCF]),1)</f>
        <v>10.454991816693944</v>
      </c>
      <c r="C21" s="1" cm="1">
        <f t="array" ref="C21">_xlfn.QUARTILE.INC(IF(Quartile_M[[#This Row],[Industry]]=Main_M[Industry],Main_M[P/FCF]),3)</f>
        <v>29.758064516129032</v>
      </c>
      <c r="D21" s="1">
        <f>Quartile_M[[#This Row],[P/FCF Q1]]-1.5*(Quartile_M[[#This Row],[P/FCF Q3]]-Quartile_M[[#This Row],[P/FCF Q1]])</f>
        <v>-18.499617232458686</v>
      </c>
      <c r="E21" s="1">
        <f>Quartile_M[[#This Row],[P/FCF Q3]]+1.5*(Quartile_M[[#This Row],[P/FCF Q3]]-Quartile_M[[#This Row],[P/FCF Q1]])</f>
        <v>58.712673565281662</v>
      </c>
      <c r="F21" s="1" cm="1">
        <f t="array" ref="F21">_xlfn.QUARTILE.INC(IF(Quartile_M[[#This Row],[Industry]]=Main_M[Industry],Main_M[P/B]),1)</f>
        <v>1.3986988847583643</v>
      </c>
      <c r="G21" s="1" cm="1">
        <f t="array" ref="G21">_xlfn.QUARTILE.INC(IF(Quartile_M[[#This Row],[Industry]]=Main_M[Industry],Main_M[P/B]),3)</f>
        <v>3.8598326359832633</v>
      </c>
      <c r="H21" s="1">
        <f>Quartile_M[[#This Row],[P/B Q1]]-1.5*(Quartile_M[[#This Row],[P/B Q3]]-Quartile_M[[#This Row],[P/B Q1]])</f>
        <v>-2.2930017420789839</v>
      </c>
      <c r="I21" s="1">
        <f>Quartile_M[[#This Row],[P/B Q3]]+1.5*(Quartile_M[[#This Row],[P/B Q3]]-Quartile_M[[#This Row],[P/B Q1]])</f>
        <v>7.5515332628206115</v>
      </c>
      <c r="J21" s="1" cm="1">
        <f t="array" ref="J21">_xlfn.QUARTILE.INC(IF(Quartile_M[[#This Row],[Industry]]=Main_M[Industry],Main_M[ROE]),1)</f>
        <v>12.47</v>
      </c>
      <c r="K21" s="1" cm="1">
        <f t="array" ref="K21">_xlfn.QUARTILE.INC(IF(Quartile_M[[#This Row],[Industry]]=Main_M[Industry],Main_M[ROE]),3)</f>
        <v>18.52</v>
      </c>
      <c r="L21" s="1">
        <f>Quartile_M[[#This Row],[ROE Q1]]-1.5*(Quartile_M[[#This Row],[ROE Q3]]-Quartile_M[[#This Row],[ROE Q1]])</f>
        <v>3.3950000000000014</v>
      </c>
      <c r="M21" s="1">
        <f>Quartile_M[[#This Row],[ROE Q3]]+1.5*(Quartile_M[[#This Row],[ROE Q3]]-Quartile_M[[#This Row],[ROE Q1]])</f>
        <v>27.594999999999999</v>
      </c>
      <c r="N21" s="1" cm="1">
        <f t="array" ref="N21">_xlfn.QUARTILE.INC(IF(Quartile_M[[#This Row],[Industry]]=Main_M[Industry],Main_M[ROA]),1)</f>
        <v>3.78</v>
      </c>
      <c r="O21" s="1" cm="1">
        <f t="array" ref="O21">_xlfn.QUARTILE.INC(IF(Quartile_M[[#This Row],[Industry]]=Main_M[Industry],Main_M[ROA]),3)</f>
        <v>9.6999999999999993</v>
      </c>
      <c r="P21" s="1">
        <f>Quartile_M[[#This Row],[ROA Q1]]-1.5*(Quartile_M[[#This Row],[ROA Q3]]-Quartile_M[[#This Row],[ROA Q1]])</f>
        <v>-5.0999999999999996</v>
      </c>
      <c r="Q21" s="1">
        <f>Quartile_M[[#This Row],[ROA Q3]]+1.5*(Quartile_M[[#This Row],[ROA Q3]]-Quartile_M[[#This Row],[ROA Q1]])</f>
        <v>18.579999999999998</v>
      </c>
      <c r="R21" s="1" cm="1">
        <f t="array" ref="R21">_xlfn.QUARTILE.INC(IF(Quartile_M[[#This Row],[Industry]]=Main_M[Industry],Main_M[P/E]),1)</f>
        <v>7.8795811518324612</v>
      </c>
      <c r="S21" s="1" cm="1">
        <f t="array" ref="S21">_xlfn.QUARTILE.INC(IF(Quartile_M[[#This Row],[Industry]]=Main_M[Industry],Main_M[P/E]),3)</f>
        <v>21.21824480369515</v>
      </c>
      <c r="T21" s="1">
        <f>Quartile_M[[#This Row],[P/E Q1]]-1.5*(Quartile_M[[#This Row],[P/E Q3]]-Quartile_M[[#This Row],[P/E Q1]])</f>
        <v>-12.128414325961572</v>
      </c>
      <c r="U21" s="1">
        <f>Quartile_M[[#This Row],[P/E Q3]]+1.5*(Quartile_M[[#This Row],[P/E Q3]]-Quartile_M[[#This Row],[P/E Q1]])</f>
        <v>41.226240281489183</v>
      </c>
      <c r="V21" s="1" cm="1">
        <f t="array" ref="V21">_xlfn.QUARTILE.INC(IF(Quartile_M[[#This Row],[Industry]]=Main_M[Industry],Main_M[A/E]),1)</f>
        <v>1.51</v>
      </c>
      <c r="W21" s="1" cm="1">
        <f t="array" ref="W21">_xlfn.QUARTILE.INC(IF(Quartile_M[[#This Row],[Industry]]=Main_M[Industry],Main_M[A/E]),3)</f>
        <v>3.61</v>
      </c>
      <c r="X21" s="1">
        <f>Quartile_M[[#This Row],[A/E Q1]]-1.5*(Quartile_M[[#This Row],[A/E Q3]]-Quartile_M[[#This Row],[A/E Q1]])</f>
        <v>-1.6399999999999995</v>
      </c>
      <c r="Y21" s="1">
        <f>Quartile_M[[#This Row],[A/E Q3]]+1.5*(Quartile_M[[#This Row],[A/E Q3]]-Quartile_M[[#This Row],[A/E Q1]])</f>
        <v>6.76</v>
      </c>
    </row>
    <row r="22" spans="1:25" x14ac:dyDescent="0.25">
      <c r="A22" t="s">
        <v>110</v>
      </c>
      <c r="B22" s="1" cm="1">
        <f t="array" ref="B22">_xlfn.QUARTILE.INC(IF(Quartile_M[[#This Row],[Industry]]=Main_M[Industry],Main_M[P/FCF]),1)</f>
        <v>6.6249055575275078</v>
      </c>
      <c r="C22" s="1" cm="1">
        <f t="array" ref="C22">_xlfn.QUARTILE.INC(IF(Quartile_M[[#This Row],[Industry]]=Main_M[Industry],Main_M[P/FCF]),3)</f>
        <v>15.170083876980428</v>
      </c>
      <c r="D22" s="1">
        <f>Quartile_M[[#This Row],[P/FCF Q1]]-1.5*(Quartile_M[[#This Row],[P/FCF Q3]]-Quartile_M[[#This Row],[P/FCF Q1]])</f>
        <v>-6.192861921651871</v>
      </c>
      <c r="E22" s="1">
        <f>Quartile_M[[#This Row],[P/FCF Q3]]+1.5*(Quartile_M[[#This Row],[P/FCF Q3]]-Quartile_M[[#This Row],[P/FCF Q1]])</f>
        <v>27.987851356159808</v>
      </c>
      <c r="F22" s="1" cm="1">
        <f t="array" ref="F22">_xlfn.QUARTILE.INC(IF(Quartile_M[[#This Row],[Industry]]=Main_M[Industry],Main_M[P/B]),1)</f>
        <v>1.8866019334920594</v>
      </c>
      <c r="G22" s="1" cm="1">
        <f t="array" ref="G22">_xlfn.QUARTILE.INC(IF(Quartile_M[[#This Row],[Industry]]=Main_M[Industry],Main_M[P/B]),3)</f>
        <v>3.8458840156165373</v>
      </c>
      <c r="H22" s="1">
        <f>Quartile_M[[#This Row],[P/B Q1]]-1.5*(Quartile_M[[#This Row],[P/B Q3]]-Quartile_M[[#This Row],[P/B Q1]])</f>
        <v>-1.0523211896946574</v>
      </c>
      <c r="I22" s="1">
        <f>Quartile_M[[#This Row],[P/B Q3]]+1.5*(Quartile_M[[#This Row],[P/B Q3]]-Quartile_M[[#This Row],[P/B Q1]])</f>
        <v>6.784807138803254</v>
      </c>
      <c r="J22" s="1" cm="1">
        <f t="array" ref="J22">_xlfn.QUARTILE.INC(IF(Quartile_M[[#This Row],[Industry]]=Main_M[Industry],Main_M[ROE]),1)</f>
        <v>0.82000000000000028</v>
      </c>
      <c r="K22" s="1" cm="1">
        <f t="array" ref="K22">_xlfn.QUARTILE.INC(IF(Quartile_M[[#This Row],[Industry]]=Main_M[Industry],Main_M[ROE]),3)</f>
        <v>19.585000000000001</v>
      </c>
      <c r="L22" s="1">
        <f>Quartile_M[[#This Row],[ROE Q1]]-1.5*(Quartile_M[[#This Row],[ROE Q3]]-Quartile_M[[#This Row],[ROE Q1]])</f>
        <v>-27.327500000000001</v>
      </c>
      <c r="M22" s="1">
        <f>Quartile_M[[#This Row],[ROE Q3]]+1.5*(Quartile_M[[#This Row],[ROE Q3]]-Quartile_M[[#This Row],[ROE Q1]])</f>
        <v>47.732500000000002</v>
      </c>
      <c r="N22" s="1" cm="1">
        <f t="array" ref="N22">_xlfn.QUARTILE.INC(IF(Quartile_M[[#This Row],[Industry]]=Main_M[Industry],Main_M[ROA]),1)</f>
        <v>2.7974999999999999</v>
      </c>
      <c r="O22" s="1" cm="1">
        <f t="array" ref="O22">_xlfn.QUARTILE.INC(IF(Quartile_M[[#This Row],[Industry]]=Main_M[Industry],Main_M[ROA]),3)</f>
        <v>8.4224999999999994</v>
      </c>
      <c r="P22" s="1">
        <f>Quartile_M[[#This Row],[ROA Q1]]-1.5*(Quartile_M[[#This Row],[ROA Q3]]-Quartile_M[[#This Row],[ROA Q1]])</f>
        <v>-5.6400000000000006</v>
      </c>
      <c r="Q22" s="1">
        <f>Quartile_M[[#This Row],[ROA Q3]]+1.5*(Quartile_M[[#This Row],[ROA Q3]]-Quartile_M[[#This Row],[ROA Q1]])</f>
        <v>16.86</v>
      </c>
      <c r="R22" s="1" cm="1">
        <f t="array" ref="R22">_xlfn.QUARTILE.INC(IF(Quartile_M[[#This Row],[Industry]]=Main_M[Industry],Main_M[P/E]),1)</f>
        <v>4.2039545454545451</v>
      </c>
      <c r="S22" s="1" cm="1">
        <f t="array" ref="S22">_xlfn.QUARTILE.INC(IF(Quartile_M[[#This Row],[Industry]]=Main_M[Industry],Main_M[P/E]),3)</f>
        <v>18.891080729166667</v>
      </c>
      <c r="T22" s="1">
        <f>Quartile_M[[#This Row],[P/E Q1]]-1.5*(Quartile_M[[#This Row],[P/E Q3]]-Quartile_M[[#This Row],[P/E Q1]])</f>
        <v>-17.826734730113635</v>
      </c>
      <c r="U22" s="1">
        <f>Quartile_M[[#This Row],[P/E Q3]]+1.5*(Quartile_M[[#This Row],[P/E Q3]]-Quartile_M[[#This Row],[P/E Q1]])</f>
        <v>40.921770004734853</v>
      </c>
      <c r="V22" s="1" cm="1">
        <f t="array" ref="V22">_xlfn.QUARTILE.INC(IF(Quartile_M[[#This Row],[Industry]]=Main_M[Industry],Main_M[A/E]),1)</f>
        <v>2.2474999999999996</v>
      </c>
      <c r="W22" s="1" cm="1">
        <f t="array" ref="W22">_xlfn.QUARTILE.INC(IF(Quartile_M[[#This Row],[Industry]]=Main_M[Industry],Main_M[A/E]),3)</f>
        <v>3.3</v>
      </c>
      <c r="X22" s="1">
        <f>Quartile_M[[#This Row],[A/E Q1]]-1.5*(Quartile_M[[#This Row],[A/E Q3]]-Quartile_M[[#This Row],[A/E Q1]])</f>
        <v>0.66874999999999929</v>
      </c>
      <c r="Y22" s="1">
        <f>Quartile_M[[#This Row],[A/E Q3]]+1.5*(Quartile_M[[#This Row],[A/E Q3]]-Quartile_M[[#This Row],[A/E Q1]])</f>
        <v>4.8787500000000001</v>
      </c>
    </row>
    <row r="23" spans="1:25" x14ac:dyDescent="0.25">
      <c r="A23" t="s">
        <v>113</v>
      </c>
      <c r="B23" s="1" t="e" cm="1">
        <f t="array" ref="B23">_xlfn.QUARTILE.INC(IF(Quartile_M[[#This Row],[Industry]]=Main_M[Industry],Main_M[P/FCF]),1)</f>
        <v>#NUM!</v>
      </c>
      <c r="C23" s="1" t="e" cm="1">
        <f t="array" ref="C23">_xlfn.QUARTILE.INC(IF(Quartile_M[[#This Row],[Industry]]=Main_M[Industry],Main_M[P/FCF]),3)</f>
        <v>#NUM!</v>
      </c>
      <c r="D23" s="1" t="e">
        <f>Quartile_M[[#This Row],[P/FCF Q1]]-1.5*(Quartile_M[[#This Row],[P/FCF Q3]]-Quartile_M[[#This Row],[P/FCF Q1]])</f>
        <v>#NUM!</v>
      </c>
      <c r="E23" s="1" t="e">
        <f>Quartile_M[[#This Row],[P/FCF Q3]]+1.5*(Quartile_M[[#This Row],[P/FCF Q3]]-Quartile_M[[#This Row],[P/FCF Q1]])</f>
        <v>#NUM!</v>
      </c>
      <c r="F23" s="1" t="e" cm="1">
        <f t="array" ref="F23">_xlfn.QUARTILE.INC(IF(Quartile_M[[#This Row],[Industry]]=Main_M[Industry],Main_M[P/B]),1)</f>
        <v>#NUM!</v>
      </c>
      <c r="G23" s="1" t="e" cm="1">
        <f t="array" ref="G23">_xlfn.QUARTILE.INC(IF(Quartile_M[[#This Row],[Industry]]=Main_M[Industry],Main_M[P/B]),3)</f>
        <v>#NUM!</v>
      </c>
      <c r="H23" s="1" t="e">
        <f>Quartile_M[[#This Row],[P/B Q1]]-1.5*(Quartile_M[[#This Row],[P/B Q3]]-Quartile_M[[#This Row],[P/B Q1]])</f>
        <v>#NUM!</v>
      </c>
      <c r="I23" s="1" t="e">
        <f>Quartile_M[[#This Row],[P/B Q3]]+1.5*(Quartile_M[[#This Row],[P/B Q3]]-Quartile_M[[#This Row],[P/B Q1]])</f>
        <v>#NUM!</v>
      </c>
      <c r="J23" s="1" t="e" cm="1">
        <f t="array" ref="J23">_xlfn.QUARTILE.INC(IF(Quartile_M[[#This Row],[Industry]]=Main_M[Industry],Main_M[ROE]),1)</f>
        <v>#NUM!</v>
      </c>
      <c r="K23" s="1" t="e" cm="1">
        <f t="array" ref="K23">_xlfn.QUARTILE.INC(IF(Quartile_M[[#This Row],[Industry]]=Main_M[Industry],Main_M[ROE]),3)</f>
        <v>#NUM!</v>
      </c>
      <c r="L23" s="1" t="e">
        <f>Quartile_M[[#This Row],[ROE Q1]]-1.5*(Quartile_M[[#This Row],[ROE Q3]]-Quartile_M[[#This Row],[ROE Q1]])</f>
        <v>#NUM!</v>
      </c>
      <c r="M23" s="1" t="e">
        <f>Quartile_M[[#This Row],[ROE Q3]]+1.5*(Quartile_M[[#This Row],[ROE Q3]]-Quartile_M[[#This Row],[ROE Q1]])</f>
        <v>#NUM!</v>
      </c>
      <c r="N23" s="1" t="e" cm="1">
        <f t="array" ref="N23">_xlfn.QUARTILE.INC(IF(Quartile_M[[#This Row],[Industry]]=Main_M[Industry],Main_M[ROA]),1)</f>
        <v>#NUM!</v>
      </c>
      <c r="O23" s="1" t="e" cm="1">
        <f t="array" ref="O23">_xlfn.QUARTILE.INC(IF(Quartile_M[[#This Row],[Industry]]=Main_M[Industry],Main_M[ROA]),3)</f>
        <v>#NUM!</v>
      </c>
      <c r="P23" s="1" t="e">
        <f>Quartile_M[[#This Row],[ROA Q1]]-1.5*(Quartile_M[[#This Row],[ROA Q3]]-Quartile_M[[#This Row],[ROA Q1]])</f>
        <v>#NUM!</v>
      </c>
      <c r="Q23" s="1" t="e">
        <f>Quartile_M[[#This Row],[ROA Q3]]+1.5*(Quartile_M[[#This Row],[ROA Q3]]-Quartile_M[[#This Row],[ROA Q1]])</f>
        <v>#NUM!</v>
      </c>
      <c r="R23" s="1" t="e" cm="1">
        <f t="array" ref="R23">_xlfn.QUARTILE.INC(IF(Quartile_M[[#This Row],[Industry]]=Main_M[Industry],Main_M[P/E]),1)</f>
        <v>#NUM!</v>
      </c>
      <c r="S23" s="1" t="e" cm="1">
        <f t="array" ref="S23">_xlfn.QUARTILE.INC(IF(Quartile_M[[#This Row],[Industry]]=Main_M[Industry],Main_M[P/E]),3)</f>
        <v>#NUM!</v>
      </c>
      <c r="T23" s="1" t="e">
        <f>Quartile_M[[#This Row],[P/E Q1]]-1.5*(Quartile_M[[#This Row],[P/E Q3]]-Quartile_M[[#This Row],[P/E Q1]])</f>
        <v>#NUM!</v>
      </c>
      <c r="U23" s="1" t="e">
        <f>Quartile_M[[#This Row],[P/E Q3]]+1.5*(Quartile_M[[#This Row],[P/E Q3]]-Quartile_M[[#This Row],[P/E Q1]])</f>
        <v>#NUM!</v>
      </c>
      <c r="V23" s="1" t="e" cm="1">
        <f t="array" ref="V23">_xlfn.QUARTILE.INC(IF(Quartile_M[[#This Row],[Industry]]=Main_M[Industry],Main_M[A/E]),1)</f>
        <v>#NUM!</v>
      </c>
      <c r="W23" s="1" t="e" cm="1">
        <f t="array" ref="W23">_xlfn.QUARTILE.INC(IF(Quartile_M[[#This Row],[Industry]]=Main_M[Industry],Main_M[A/E]),3)</f>
        <v>#NUM!</v>
      </c>
      <c r="X23" s="1" t="e">
        <f>Quartile_M[[#This Row],[A/E Q1]]-1.5*(Quartile_M[[#This Row],[A/E Q3]]-Quartile_M[[#This Row],[A/E Q1]])</f>
        <v>#NUM!</v>
      </c>
      <c r="Y23" s="1" t="e">
        <f>Quartile_M[[#This Row],[A/E Q3]]+1.5*(Quartile_M[[#This Row],[A/E Q3]]-Quartile_M[[#This Row],[A/E Q1]])</f>
        <v>#NUM!</v>
      </c>
    </row>
    <row r="24" spans="1:25" x14ac:dyDescent="0.25">
      <c r="A24" t="s">
        <v>106</v>
      </c>
      <c r="B24" s="1" cm="1">
        <f t="array" ref="B24">_xlfn.QUARTILE.INC(IF(Quartile_M[[#This Row],[Industry]]=Main_M[Industry],Main_M[P/FCF]),1)</f>
        <v>5.8259697324591864</v>
      </c>
      <c r="C24" s="1" cm="1">
        <f t="array" ref="C24">_xlfn.QUARTILE.INC(IF(Quartile_M[[#This Row],[Industry]]=Main_M[Industry],Main_M[P/FCF]),3)</f>
        <v>18.042434957138301</v>
      </c>
      <c r="D24" s="1">
        <f>Quartile_M[[#This Row],[P/FCF Q1]]-1.5*(Quartile_M[[#This Row],[P/FCF Q3]]-Quartile_M[[#This Row],[P/FCF Q1]])</f>
        <v>-12.49872810455949</v>
      </c>
      <c r="E24" s="1">
        <f>Quartile_M[[#This Row],[P/FCF Q3]]+1.5*(Quartile_M[[#This Row],[P/FCF Q3]]-Quartile_M[[#This Row],[P/FCF Q1]])</f>
        <v>36.367132794156973</v>
      </c>
      <c r="F24" s="1" cm="1">
        <f t="array" ref="F24">_xlfn.QUARTILE.INC(IF(Quartile_M[[#This Row],[Industry]]=Main_M[Industry],Main_M[P/B]),1)</f>
        <v>1.1998358549377051</v>
      </c>
      <c r="G24" s="1" cm="1">
        <f t="array" ref="G24">_xlfn.QUARTILE.INC(IF(Quartile_M[[#This Row],[Industry]]=Main_M[Industry],Main_M[P/B]),3)</f>
        <v>2.7955519841411776</v>
      </c>
      <c r="H24" s="1">
        <f>Quartile_M[[#This Row],[P/B Q1]]-1.5*(Quartile_M[[#This Row],[P/B Q3]]-Quartile_M[[#This Row],[P/B Q1]])</f>
        <v>-1.1937383388675038</v>
      </c>
      <c r="I24" s="1">
        <f>Quartile_M[[#This Row],[P/B Q3]]+1.5*(Quartile_M[[#This Row],[P/B Q3]]-Quartile_M[[#This Row],[P/B Q1]])</f>
        <v>5.1891261779463864</v>
      </c>
      <c r="J24" s="1" cm="1">
        <f t="array" ref="J24">_xlfn.QUARTILE.INC(IF(Quartile_M[[#This Row],[Industry]]=Main_M[Industry],Main_M[ROE]),1)</f>
        <v>-5.3699999999999992</v>
      </c>
      <c r="K24" s="1" cm="1">
        <f t="array" ref="K24">_xlfn.QUARTILE.INC(IF(Quartile_M[[#This Row],[Industry]]=Main_M[Industry],Main_M[ROE]),3)</f>
        <v>13.68</v>
      </c>
      <c r="L24" s="1">
        <f>Quartile_M[[#This Row],[ROE Q1]]-1.5*(Quartile_M[[#This Row],[ROE Q3]]-Quartile_M[[#This Row],[ROE Q1]])</f>
        <v>-33.944999999999993</v>
      </c>
      <c r="M24" s="1">
        <f>Quartile_M[[#This Row],[ROE Q3]]+1.5*(Quartile_M[[#This Row],[ROE Q3]]-Quartile_M[[#This Row],[ROE Q1]])</f>
        <v>42.254999999999995</v>
      </c>
      <c r="N24" s="1" cm="1">
        <f t="array" ref="N24">_xlfn.QUARTILE.INC(IF(Quartile_M[[#This Row],[Industry]]=Main_M[Industry],Main_M[ROA]),1)</f>
        <v>2.36</v>
      </c>
      <c r="O24" s="1" cm="1">
        <f t="array" ref="O24">_xlfn.QUARTILE.INC(IF(Quartile_M[[#This Row],[Industry]]=Main_M[Industry],Main_M[ROA]),3)</f>
        <v>8.08</v>
      </c>
      <c r="P24" s="1">
        <f>Quartile_M[[#This Row],[ROA Q1]]-1.5*(Quartile_M[[#This Row],[ROA Q3]]-Quartile_M[[#This Row],[ROA Q1]])</f>
        <v>-6.2200000000000024</v>
      </c>
      <c r="Q24" s="1">
        <f>Quartile_M[[#This Row],[ROA Q3]]+1.5*(Quartile_M[[#This Row],[ROA Q3]]-Quartile_M[[#This Row],[ROA Q1]])</f>
        <v>16.660000000000004</v>
      </c>
      <c r="R24" s="1" cm="1">
        <f t="array" ref="R24">_xlfn.QUARTILE.INC(IF(Quartile_M[[#This Row],[Industry]]=Main_M[Industry],Main_M[P/E]),1)</f>
        <v>4.9151311910377364</v>
      </c>
      <c r="S24" s="1" cm="1">
        <f t="array" ref="S24">_xlfn.QUARTILE.INC(IF(Quartile_M[[#This Row],[Industry]]=Main_M[Industry],Main_M[P/E]),3)</f>
        <v>19.204305367785011</v>
      </c>
      <c r="T24" s="1">
        <f>Quartile_M[[#This Row],[P/E Q1]]-1.5*(Quartile_M[[#This Row],[P/E Q3]]-Quartile_M[[#This Row],[P/E Q1]])</f>
        <v>-16.518630074083173</v>
      </c>
      <c r="U24" s="1">
        <f>Quartile_M[[#This Row],[P/E Q3]]+1.5*(Quartile_M[[#This Row],[P/E Q3]]-Quartile_M[[#This Row],[P/E Q1]])</f>
        <v>40.638066632905918</v>
      </c>
      <c r="V24" s="1" cm="1">
        <f t="array" ref="V24">_xlfn.QUARTILE.INC(IF(Quartile_M[[#This Row],[Industry]]=Main_M[Industry],Main_M[A/E]),1)</f>
        <v>1.65</v>
      </c>
      <c r="W24" s="1" cm="1">
        <f t="array" ref="W24">_xlfn.QUARTILE.INC(IF(Quartile_M[[#This Row],[Industry]]=Main_M[Industry],Main_M[A/E]),3)</f>
        <v>3.2175000000000002</v>
      </c>
      <c r="X24" s="1">
        <f>Quartile_M[[#This Row],[A/E Q1]]-1.5*(Quartile_M[[#This Row],[A/E Q3]]-Quartile_M[[#This Row],[A/E Q1]])</f>
        <v>-0.70125000000000037</v>
      </c>
      <c r="Y24" s="1">
        <f>Quartile_M[[#This Row],[A/E Q3]]+1.5*(Quartile_M[[#This Row],[A/E Q3]]-Quartile_M[[#This Row],[A/E Q1]])</f>
        <v>5.5687500000000005</v>
      </c>
    </row>
    <row r="25" spans="1:25" x14ac:dyDescent="0.25">
      <c r="A25" t="s">
        <v>107</v>
      </c>
      <c r="B25" s="1" cm="1">
        <f t="array" ref="B25">_xlfn.QUARTILE.INC(IF(Quartile_M[[#This Row],[Industry]]=Main_M[Industry],Main_M[P/FCF]),1)</f>
        <v>-2.3742903656703955</v>
      </c>
      <c r="C25" s="1" cm="1">
        <f t="array" ref="C25">_xlfn.QUARTILE.INC(IF(Quartile_M[[#This Row],[Industry]]=Main_M[Industry],Main_M[P/FCF]),3)</f>
        <v>14.006801333061281</v>
      </c>
      <c r="D25" s="1">
        <f>Quartile_M[[#This Row],[P/FCF Q1]]-1.5*(Quartile_M[[#This Row],[P/FCF Q3]]-Quartile_M[[#This Row],[P/FCF Q1]])</f>
        <v>-26.94592791376791</v>
      </c>
      <c r="E25" s="1">
        <f>Quartile_M[[#This Row],[P/FCF Q3]]+1.5*(Quartile_M[[#This Row],[P/FCF Q3]]-Quartile_M[[#This Row],[P/FCF Q1]])</f>
        <v>38.578438881158796</v>
      </c>
      <c r="F25" s="1" cm="1">
        <f t="array" ref="F25">_xlfn.QUARTILE.INC(IF(Quartile_M[[#This Row],[Industry]]=Main_M[Industry],Main_M[P/B]),1)</f>
        <v>-0.82178728673637869</v>
      </c>
      <c r="G25" s="1" cm="1">
        <f t="array" ref="G25">_xlfn.QUARTILE.INC(IF(Quartile_M[[#This Row],[Industry]]=Main_M[Industry],Main_M[P/B]),3)</f>
        <v>1.4215585000621349</v>
      </c>
      <c r="H25" s="1">
        <f>Quartile_M[[#This Row],[P/B Q1]]-1.5*(Quartile_M[[#This Row],[P/B Q3]]-Quartile_M[[#This Row],[P/B Q1]])</f>
        <v>-4.1868059669341484</v>
      </c>
      <c r="I25" s="1">
        <f>Quartile_M[[#This Row],[P/B Q3]]+1.5*(Quartile_M[[#This Row],[P/B Q3]]-Quartile_M[[#This Row],[P/B Q1]])</f>
        <v>4.7865771802599051</v>
      </c>
      <c r="J25" s="1" cm="1">
        <f t="array" ref="J25">_xlfn.QUARTILE.INC(IF(Quartile_M[[#This Row],[Industry]]=Main_M[Industry],Main_M[ROE]),1)</f>
        <v>-8.697499999999998</v>
      </c>
      <c r="K25" s="1" cm="1">
        <f t="array" ref="K25">_xlfn.QUARTILE.INC(IF(Quartile_M[[#This Row],[Industry]]=Main_M[Industry],Main_M[ROE]),3)</f>
        <v>41.864999999999995</v>
      </c>
      <c r="L25" s="1">
        <f>Quartile_M[[#This Row],[ROE Q1]]-1.5*(Quartile_M[[#This Row],[ROE Q3]]-Quartile_M[[#This Row],[ROE Q1]])</f>
        <v>-84.541249999999991</v>
      </c>
      <c r="M25" s="1">
        <f>Quartile_M[[#This Row],[ROE Q3]]+1.5*(Quartile_M[[#This Row],[ROE Q3]]-Quartile_M[[#This Row],[ROE Q1]])</f>
        <v>117.70874999999998</v>
      </c>
      <c r="N25" s="1" cm="1">
        <f t="array" ref="N25">_xlfn.QUARTILE.INC(IF(Quartile_M[[#This Row],[Industry]]=Main_M[Industry],Main_M[ROA]),1)</f>
        <v>-20.91</v>
      </c>
      <c r="O25" s="1" cm="1">
        <f t="array" ref="O25">_xlfn.QUARTILE.INC(IF(Quartile_M[[#This Row],[Industry]]=Main_M[Industry],Main_M[ROA]),3)</f>
        <v>2.1399999999999997</v>
      </c>
      <c r="P25" s="1">
        <f>Quartile_M[[#This Row],[ROA Q1]]-1.5*(Quartile_M[[#This Row],[ROA Q3]]-Quartile_M[[#This Row],[ROA Q1]])</f>
        <v>-55.484999999999999</v>
      </c>
      <c r="Q25" s="1">
        <f>Quartile_M[[#This Row],[ROA Q3]]+1.5*(Quartile_M[[#This Row],[ROA Q3]]-Quartile_M[[#This Row],[ROA Q1]])</f>
        <v>36.715000000000003</v>
      </c>
      <c r="R25" s="1" cm="1">
        <f t="array" ref="R25">_xlfn.QUARTILE.INC(IF(Quartile_M[[#This Row],[Industry]]=Main_M[Industry],Main_M[P/E]),1)</f>
        <v>-2.4746179317371371</v>
      </c>
      <c r="S25" s="1" cm="1">
        <f t="array" ref="S25">_xlfn.QUARTILE.INC(IF(Quartile_M[[#This Row],[Industry]]=Main_M[Industry],Main_M[P/E]),3)</f>
        <v>8.5867569930069916</v>
      </c>
      <c r="T25" s="1">
        <f>Quartile_M[[#This Row],[P/E Q1]]-1.5*(Quartile_M[[#This Row],[P/E Q3]]-Quartile_M[[#This Row],[P/E Q1]])</f>
        <v>-19.066680318853329</v>
      </c>
      <c r="U25" s="1">
        <f>Quartile_M[[#This Row],[P/E Q3]]+1.5*(Quartile_M[[#This Row],[P/E Q3]]-Quartile_M[[#This Row],[P/E Q1]])</f>
        <v>25.178819380123187</v>
      </c>
      <c r="V25" s="1" cm="1">
        <f t="array" ref="V25">_xlfn.QUARTILE.INC(IF(Quartile_M[[#This Row],[Industry]]=Main_M[Industry],Main_M[A/E]),1)</f>
        <v>-1.0175000000000001</v>
      </c>
      <c r="W25" s="1" cm="1">
        <f t="array" ref="W25">_xlfn.QUARTILE.INC(IF(Quartile_M[[#This Row],[Industry]]=Main_M[Industry],Main_M[A/E]),3)</f>
        <v>3.1475</v>
      </c>
      <c r="X25" s="1">
        <f>Quartile_M[[#This Row],[A/E Q1]]-1.5*(Quartile_M[[#This Row],[A/E Q3]]-Quartile_M[[#This Row],[A/E Q1]])</f>
        <v>-7.2650000000000006</v>
      </c>
      <c r="Y25" s="1">
        <f>Quartile_M[[#This Row],[A/E Q3]]+1.5*(Quartile_M[[#This Row],[A/E Q3]]-Quartile_M[[#This Row],[A/E Q1]])</f>
        <v>9.3949999999999996</v>
      </c>
    </row>
    <row r="26" spans="1:25" x14ac:dyDescent="0.25">
      <c r="A26" t="s">
        <v>109</v>
      </c>
      <c r="B26" s="1" cm="1">
        <f t="array" ref="B26">_xlfn.QUARTILE.INC(IF(Quartile_M[[#This Row],[Industry]]=Main_M[Industry],Main_M[P/FCF]),1)</f>
        <v>11.017341040462426</v>
      </c>
      <c r="C26" s="1" cm="1">
        <f t="array" ref="C26">_xlfn.QUARTILE.INC(IF(Quartile_M[[#This Row],[Industry]]=Main_M[Industry],Main_M[P/FCF]),3)</f>
        <v>13.913043478260869</v>
      </c>
      <c r="D26" s="1">
        <f>Quartile_M[[#This Row],[P/FCF Q1]]-1.5*(Quartile_M[[#This Row],[P/FCF Q3]]-Quartile_M[[#This Row],[P/FCF Q1]])</f>
        <v>6.6737873837647621</v>
      </c>
      <c r="E26" s="1">
        <f>Quartile_M[[#This Row],[P/FCF Q3]]+1.5*(Quartile_M[[#This Row],[P/FCF Q3]]-Quartile_M[[#This Row],[P/FCF Q1]])</f>
        <v>18.256597134958533</v>
      </c>
      <c r="F26" s="1" cm="1">
        <f t="array" ref="F26">_xlfn.QUARTILE.INC(IF(Quartile_M[[#This Row],[Industry]]=Main_M[Industry],Main_M[P/B]),1)</f>
        <v>1.9290780141843971</v>
      </c>
      <c r="G26" s="1" cm="1">
        <f t="array" ref="G26">_xlfn.QUARTILE.INC(IF(Quartile_M[[#This Row],[Industry]]=Main_M[Industry],Main_M[P/B]),3)</f>
        <v>5.5140898705255141</v>
      </c>
      <c r="H26" s="1">
        <f>Quartile_M[[#This Row],[P/B Q1]]-1.5*(Quartile_M[[#This Row],[P/B Q3]]-Quartile_M[[#This Row],[P/B Q1]])</f>
        <v>-3.448439770327278</v>
      </c>
      <c r="I26" s="1">
        <f>Quartile_M[[#This Row],[P/B Q3]]+1.5*(Quartile_M[[#This Row],[P/B Q3]]-Quartile_M[[#This Row],[P/B Q1]])</f>
        <v>10.891607655037189</v>
      </c>
      <c r="J26" s="1" cm="1">
        <f t="array" ref="J26">_xlfn.QUARTILE.INC(IF(Quartile_M[[#This Row],[Industry]]=Main_M[Industry],Main_M[ROE]),1)</f>
        <v>14.34</v>
      </c>
      <c r="K26" s="1" cm="1">
        <f t="array" ref="K26">_xlfn.QUARTILE.INC(IF(Quartile_M[[#This Row],[Industry]]=Main_M[Industry],Main_M[ROE]),3)</f>
        <v>31.62</v>
      </c>
      <c r="L26" s="1">
        <f>Quartile_M[[#This Row],[ROE Q1]]-1.5*(Quartile_M[[#This Row],[ROE Q3]]-Quartile_M[[#This Row],[ROE Q1]])</f>
        <v>-11.580000000000002</v>
      </c>
      <c r="M26" s="1">
        <f>Quartile_M[[#This Row],[ROE Q3]]+1.5*(Quartile_M[[#This Row],[ROE Q3]]-Quartile_M[[#This Row],[ROE Q1]])</f>
        <v>57.540000000000006</v>
      </c>
      <c r="N26" s="1" cm="1">
        <f t="array" ref="N26">_xlfn.QUARTILE.INC(IF(Quartile_M[[#This Row],[Industry]]=Main_M[Industry],Main_M[ROA]),1)</f>
        <v>3.69</v>
      </c>
      <c r="O26" s="1" cm="1">
        <f t="array" ref="O26">_xlfn.QUARTILE.INC(IF(Quartile_M[[#This Row],[Industry]]=Main_M[Industry],Main_M[ROA]),3)</f>
        <v>7.73</v>
      </c>
      <c r="P26" s="1">
        <f>Quartile_M[[#This Row],[ROA Q1]]-1.5*(Quartile_M[[#This Row],[ROA Q3]]-Quartile_M[[#This Row],[ROA Q1]])</f>
        <v>-2.3700000000000014</v>
      </c>
      <c r="Q26" s="1">
        <f>Quartile_M[[#This Row],[ROA Q3]]+1.5*(Quartile_M[[#This Row],[ROA Q3]]-Quartile_M[[#This Row],[ROA Q1]])</f>
        <v>13.790000000000003</v>
      </c>
      <c r="R26" s="1" cm="1">
        <f t="array" ref="R26">_xlfn.QUARTILE.INC(IF(Quartile_M[[#This Row],[Industry]]=Main_M[Industry],Main_M[P/E]),1)</f>
        <v>13.333333333333332</v>
      </c>
      <c r="S26" s="1" cm="1">
        <f t="array" ref="S26">_xlfn.QUARTILE.INC(IF(Quartile_M[[#This Row],[Industry]]=Main_M[Industry],Main_M[P/E]),3)</f>
        <v>26.35754189944134</v>
      </c>
      <c r="T26" s="1">
        <f>Quartile_M[[#This Row],[P/E Q1]]-1.5*(Quartile_M[[#This Row],[P/E Q3]]-Quartile_M[[#This Row],[P/E Q1]])</f>
        <v>-6.2029795158286802</v>
      </c>
      <c r="U26" s="1">
        <f>Quartile_M[[#This Row],[P/E Q3]]+1.5*(Quartile_M[[#This Row],[P/E Q3]]-Quartile_M[[#This Row],[P/E Q1]])</f>
        <v>45.893854748603353</v>
      </c>
      <c r="V26" s="1" cm="1">
        <f t="array" ref="V26">_xlfn.QUARTILE.INC(IF(Quartile_M[[#This Row],[Industry]]=Main_M[Industry],Main_M[A/E]),1)</f>
        <v>1.94</v>
      </c>
      <c r="W26" s="1" cm="1">
        <f t="array" ref="W26">_xlfn.QUARTILE.INC(IF(Quartile_M[[#This Row],[Industry]]=Main_M[Industry],Main_M[A/E]),3)</f>
        <v>4.4400000000000004</v>
      </c>
      <c r="X26" s="1">
        <f>Quartile_M[[#This Row],[A/E Q1]]-1.5*(Quartile_M[[#This Row],[A/E Q3]]-Quartile_M[[#This Row],[A/E Q1]])</f>
        <v>-1.8100000000000009</v>
      </c>
      <c r="Y26" s="1">
        <f>Quartile_M[[#This Row],[A/E Q3]]+1.5*(Quartile_M[[#This Row],[A/E Q3]]-Quartile_M[[#This Row],[A/E Q1]])</f>
        <v>8.1900000000000013</v>
      </c>
    </row>
    <row r="29" spans="1:25" x14ac:dyDescent="0.25">
      <c r="A29" t="s">
        <v>23</v>
      </c>
    </row>
    <row r="30" spans="1:25" x14ac:dyDescent="0.25">
      <c r="A30" t="s">
        <v>1</v>
      </c>
      <c r="B30" t="s">
        <v>2</v>
      </c>
      <c r="C30" t="s">
        <v>3</v>
      </c>
      <c r="D30" t="s">
        <v>4</v>
      </c>
      <c r="E30" t="s">
        <v>5</v>
      </c>
      <c r="F30" t="s">
        <v>72</v>
      </c>
      <c r="G30" t="s">
        <v>73</v>
      </c>
      <c r="H30" t="s">
        <v>74</v>
      </c>
      <c r="I30" t="s">
        <v>75</v>
      </c>
      <c r="J30" t="s">
        <v>6</v>
      </c>
      <c r="K30" t="s">
        <v>7</v>
      </c>
      <c r="L30" t="s">
        <v>8</v>
      </c>
      <c r="M30" t="s">
        <v>9</v>
      </c>
      <c r="N30" t="s">
        <v>10</v>
      </c>
      <c r="O30" t="s">
        <v>11</v>
      </c>
      <c r="P30" t="s">
        <v>12</v>
      </c>
      <c r="Q30" t="s">
        <v>13</v>
      </c>
      <c r="R30" t="s">
        <v>14</v>
      </c>
      <c r="S30" t="s">
        <v>15</v>
      </c>
      <c r="T30" t="s">
        <v>16</v>
      </c>
      <c r="U30" t="s">
        <v>17</v>
      </c>
      <c r="V30" t="s">
        <v>18</v>
      </c>
      <c r="W30" t="s">
        <v>19</v>
      </c>
      <c r="X30" t="s">
        <v>20</v>
      </c>
      <c r="Y30" t="s">
        <v>21</v>
      </c>
    </row>
    <row r="31" spans="1:25" x14ac:dyDescent="0.25">
      <c r="A31" t="s">
        <v>111</v>
      </c>
      <c r="B31" s="1" cm="1">
        <f t="array" ref="B31">_xlfn.QUARTILE.INC(IF(Quartile_S[[#This Row],[Industry]]=Main_S[Industry],Main_S[P/FCF]),1)</f>
        <v>-3.9369863564786609</v>
      </c>
      <c r="C31" s="1" cm="1">
        <f t="array" ref="C31">_xlfn.QUARTILE.INC(IF(Quartile_S[[#This Row],[Industry]]=Main_S[Industry],Main_S[P/FCF]),3)</f>
        <v>30.026501741563411</v>
      </c>
      <c r="D31" s="1">
        <f>Quartile_S[[#This Row],[P/FCF Q1]]-1.5*(Quartile_S[[#This Row],[P/FCF Q3]]-Quartile_S[[#This Row],[P/FCF Q1]])</f>
        <v>-54.882218503541772</v>
      </c>
      <c r="E31" s="1">
        <f>Quartile_S[[#This Row],[P/FCF Q3]]+1.5*(Quartile_S[[#This Row],[P/FCF Q3]]-Quartile_S[[#This Row],[P/FCF Q1]])</f>
        <v>80.971733888626517</v>
      </c>
      <c r="F31" s="1" cm="1">
        <f t="array" ref="F31">_xlfn.QUARTILE.INC(IF(Quartile_S[[#This Row],[Industry]]=Main_S[Industry],Main_S[P/B]),1)</f>
        <v>0.5001381524194507</v>
      </c>
      <c r="G31" s="1" cm="1">
        <f t="array" ref="G31">_xlfn.QUARTILE.INC(IF(Quartile_S[[#This Row],[Industry]]=Main_S[Industry],Main_S[P/B]),3)</f>
        <v>3.7930038310762653</v>
      </c>
      <c r="H31" s="1">
        <f>Quartile_S[[#This Row],[P/B Q1]]-1.5*(Quartile_S[[#This Row],[P/B Q3]]-Quartile_S[[#This Row],[P/B Q1]])</f>
        <v>-4.4391603655657708</v>
      </c>
      <c r="I31" s="1">
        <f>Quartile_S[[#This Row],[P/B Q3]]+1.5*(Quartile_S[[#This Row],[P/B Q3]]-Quartile_S[[#This Row],[P/B Q1]])</f>
        <v>8.7323023490614879</v>
      </c>
      <c r="J31" s="1" cm="1">
        <f t="array" ref="J31">_xlfn.QUARTILE.INC(IF(Quartile_S[[#This Row],[Industry]]=Main_S[Industry],Main_S[ROE]),1)</f>
        <v>-9.0625</v>
      </c>
      <c r="K31" s="1" cm="1">
        <f t="array" ref="K31">_xlfn.QUARTILE.INC(IF(Quartile_S[[#This Row],[Industry]]=Main_S[Industry],Main_S[ROE]),3)</f>
        <v>13.795</v>
      </c>
      <c r="L31" s="1">
        <f>Quartile_S[[#This Row],[ROE Q1]]-1.5*(Quartile_S[[#This Row],[ROE Q3]]-Quartile_S[[#This Row],[ROE Q1]])</f>
        <v>-43.348750000000003</v>
      </c>
      <c r="M31" s="1">
        <f>Quartile_S[[#This Row],[ROE Q3]]+1.5*(Quartile_S[[#This Row],[ROE Q3]]-Quartile_S[[#This Row],[ROE Q1]])</f>
        <v>48.081250000000004</v>
      </c>
      <c r="N31" s="1" cm="1">
        <f t="array" ref="N31">_xlfn.QUARTILE.INC(IF(Quartile_S[[#This Row],[Industry]]=Main_S[Industry],Main_S[ROA]),1)</f>
        <v>1.4324999999999999</v>
      </c>
      <c r="O31" s="1" cm="1">
        <f t="array" ref="O31">_xlfn.QUARTILE.INC(IF(Quartile_S[[#This Row],[Industry]]=Main_S[Industry],Main_S[ROA]),3)</f>
        <v>5.74</v>
      </c>
      <c r="P31" s="1">
        <f>Quartile_S[[#This Row],[ROA Q1]]-1.5*(Quartile_S[[#This Row],[ROA Q3]]-Quartile_S[[#This Row],[ROA Q1]])</f>
        <v>-5.0287499999999996</v>
      </c>
      <c r="Q31" s="1">
        <f>Quartile_S[[#This Row],[ROA Q3]]+1.5*(Quartile_S[[#This Row],[ROA Q3]]-Quartile_S[[#This Row],[ROA Q1]])</f>
        <v>12.20125</v>
      </c>
      <c r="R31" s="1" cm="1">
        <f t="array" ref="R31">_xlfn.QUARTILE.INC(IF(Quartile_S[[#This Row],[Industry]]=Main_S[Industry],Main_S[P/E]),1)</f>
        <v>-5.2284791965566715</v>
      </c>
      <c r="S31" s="1" cm="1">
        <f t="array" ref="S31">_xlfn.QUARTILE.INC(IF(Quartile_S[[#This Row],[Industry]]=Main_S[Industry],Main_S[P/E]),3)</f>
        <v>27.493118177503561</v>
      </c>
      <c r="T31" s="1">
        <f>Quartile_S[[#This Row],[P/E Q1]]-1.5*(Quartile_S[[#This Row],[P/E Q3]]-Quartile_S[[#This Row],[P/E Q1]])</f>
        <v>-54.31087525764702</v>
      </c>
      <c r="U31" s="1">
        <f>Quartile_S[[#This Row],[P/E Q3]]+1.5*(Quartile_S[[#This Row],[P/E Q3]]-Quartile_S[[#This Row],[P/E Q1]])</f>
        <v>76.575514238593911</v>
      </c>
      <c r="V31" s="1" cm="1">
        <f t="array" ref="V31">_xlfn.QUARTILE.INC(IF(Quartile_S[[#This Row],[Industry]]=Main_S[Industry],Main_S[A/E]),1)</f>
        <v>1.33</v>
      </c>
      <c r="W31" s="1" cm="1">
        <f t="array" ref="W31">_xlfn.QUARTILE.INC(IF(Quartile_S[[#This Row],[Industry]]=Main_S[Industry],Main_S[A/E]),3)</f>
        <v>3.9849999999999999</v>
      </c>
      <c r="X31" s="1">
        <f>Quartile_S[[#This Row],[A/E Q1]]-1.5*(Quartile_S[[#This Row],[A/E Q3]]-Quartile_S[[#This Row],[A/E Q1]])</f>
        <v>-2.6524999999999999</v>
      </c>
      <c r="Y31" s="1">
        <f>Quartile_S[[#This Row],[A/E Q3]]+1.5*(Quartile_S[[#This Row],[A/E Q3]]-Quartile_S[[#This Row],[A/E Q1]])</f>
        <v>7.9674999999999994</v>
      </c>
    </row>
    <row r="32" spans="1:25" x14ac:dyDescent="0.25">
      <c r="A32" t="s">
        <v>115</v>
      </c>
      <c r="B32" s="1" cm="1">
        <f t="array" ref="B32">_xlfn.QUARTILE.INC(IF(Quartile_S[[#This Row],[Industry]]=Main_S[Industry],Main_S[P/FCF]),1)</f>
        <v>-0.95992847532044467</v>
      </c>
      <c r="C32" s="1" cm="1">
        <f t="array" ref="C32">_xlfn.QUARTILE.INC(IF(Quartile_S[[#This Row],[Industry]]=Main_S[Industry],Main_S[P/FCF]),3)</f>
        <v>24.276793400286945</v>
      </c>
      <c r="D32" s="1">
        <f>Quartile_S[[#This Row],[P/FCF Q1]]-1.5*(Quartile_S[[#This Row],[P/FCF Q3]]-Quartile_S[[#This Row],[P/FCF Q1]])</f>
        <v>-38.815011288731533</v>
      </c>
      <c r="E32" s="1">
        <f>Quartile_S[[#This Row],[P/FCF Q3]]+1.5*(Quartile_S[[#This Row],[P/FCF Q3]]-Quartile_S[[#This Row],[P/FCF Q1]])</f>
        <v>62.131876213698035</v>
      </c>
      <c r="F32" s="1" cm="1">
        <f t="array" ref="F32">_xlfn.QUARTILE.INC(IF(Quartile_S[[#This Row],[Industry]]=Main_S[Industry],Main_S[P/B]),1)</f>
        <v>0.79989409378063137</v>
      </c>
      <c r="G32" s="1" cm="1">
        <f t="array" ref="G32">_xlfn.QUARTILE.INC(IF(Quartile_S[[#This Row],[Industry]]=Main_S[Industry],Main_S[P/B]),3)</f>
        <v>2.3704653679653678</v>
      </c>
      <c r="H32" s="1">
        <f>Quartile_S[[#This Row],[P/B Q1]]-1.5*(Quartile_S[[#This Row],[P/B Q3]]-Quartile_S[[#This Row],[P/B Q1]])</f>
        <v>-1.5559628174964732</v>
      </c>
      <c r="I32" s="1">
        <f>Quartile_S[[#This Row],[P/B Q3]]+1.5*(Quartile_S[[#This Row],[P/B Q3]]-Quartile_S[[#This Row],[P/B Q1]])</f>
        <v>4.7263222792424724</v>
      </c>
      <c r="J32" s="1" cm="1">
        <f t="array" ref="J32">_xlfn.QUARTILE.INC(IF(Quartile_S[[#This Row],[Industry]]=Main_S[Industry],Main_S[ROE]),1)</f>
        <v>-6.8125</v>
      </c>
      <c r="K32" s="1" cm="1">
        <f t="array" ref="K32">_xlfn.QUARTILE.INC(IF(Quartile_S[[#This Row],[Industry]]=Main_S[Industry],Main_S[ROE]),3)</f>
        <v>13.315</v>
      </c>
      <c r="L32" s="1">
        <f>Quartile_S[[#This Row],[ROE Q1]]-1.5*(Quartile_S[[#This Row],[ROE Q3]]-Quartile_S[[#This Row],[ROE Q1]])</f>
        <v>-37.003749999999997</v>
      </c>
      <c r="M32" s="1">
        <f>Quartile_S[[#This Row],[ROE Q3]]+1.5*(Quartile_S[[#This Row],[ROE Q3]]-Quartile_S[[#This Row],[ROE Q1]])</f>
        <v>43.506249999999994</v>
      </c>
      <c r="N32" s="1" cm="1">
        <f t="array" ref="N32">_xlfn.QUARTILE.INC(IF(Quartile_S[[#This Row],[Industry]]=Main_S[Industry],Main_S[ROA]),1)</f>
        <v>0.625</v>
      </c>
      <c r="O32" s="1" cm="1">
        <f t="array" ref="O32">_xlfn.QUARTILE.INC(IF(Quartile_S[[#This Row],[Industry]]=Main_S[Industry],Main_S[ROA]),3)</f>
        <v>5.4174999999999995</v>
      </c>
      <c r="P32" s="1">
        <f>Quartile_S[[#This Row],[ROA Q1]]-1.5*(Quartile_S[[#This Row],[ROA Q3]]-Quartile_S[[#This Row],[ROA Q1]])</f>
        <v>-6.5637499999999989</v>
      </c>
      <c r="Q32" s="1">
        <f>Quartile_S[[#This Row],[ROA Q3]]+1.5*(Quartile_S[[#This Row],[ROA Q3]]-Quartile_S[[#This Row],[ROA Q1]])</f>
        <v>12.606249999999999</v>
      </c>
      <c r="R32" s="1" cm="1">
        <f t="array" ref="R32">_xlfn.QUARTILE.INC(IF(Quartile_S[[#This Row],[Industry]]=Main_S[Industry],Main_S[P/E]),1)</f>
        <v>-2.5262926259988925</v>
      </c>
      <c r="S32" s="1" cm="1">
        <f t="array" ref="S32">_xlfn.QUARTILE.INC(IF(Quartile_S[[#This Row],[Industry]]=Main_S[Industry],Main_S[P/E]),3)</f>
        <v>21.568292682926831</v>
      </c>
      <c r="T32" s="1">
        <f>Quartile_S[[#This Row],[P/E Q1]]-1.5*(Quartile_S[[#This Row],[P/E Q3]]-Quartile_S[[#This Row],[P/E Q1]])</f>
        <v>-38.668170589387472</v>
      </c>
      <c r="U32" s="1">
        <f>Quartile_S[[#This Row],[P/E Q3]]+1.5*(Quartile_S[[#This Row],[P/E Q3]]-Quartile_S[[#This Row],[P/E Q1]])</f>
        <v>57.710170646315412</v>
      </c>
      <c r="V32" s="1" cm="1">
        <f t="array" ref="V32">_xlfn.QUARTILE.INC(IF(Quartile_S[[#This Row],[Industry]]=Main_S[Industry],Main_S[A/E]),1)</f>
        <v>1.7524999999999999</v>
      </c>
      <c r="W32" s="1" cm="1">
        <f t="array" ref="W32">_xlfn.QUARTILE.INC(IF(Quartile_S[[#This Row],[Industry]]=Main_S[Industry],Main_S[A/E]),3)</f>
        <v>3.8624999999999998</v>
      </c>
      <c r="X32" s="1">
        <f>Quartile_S[[#This Row],[A/E Q1]]-1.5*(Quartile_S[[#This Row],[A/E Q3]]-Quartile_S[[#This Row],[A/E Q1]])</f>
        <v>-1.4125000000000001</v>
      </c>
      <c r="Y32" s="1">
        <f>Quartile_S[[#This Row],[A/E Q3]]+1.5*(Quartile_S[[#This Row],[A/E Q3]]-Quartile_S[[#This Row],[A/E Q1]])</f>
        <v>7.0274999999999999</v>
      </c>
    </row>
    <row r="33" spans="1:25" x14ac:dyDescent="0.25">
      <c r="A33" t="s">
        <v>108</v>
      </c>
      <c r="B33" s="1" cm="1">
        <f t="array" ref="B33">_xlfn.QUARTILE.INC(IF(Quartile_S[[#This Row],[Industry]]=Main_S[Industry],Main_S[P/FCF]),1)</f>
        <v>-7.3679904808344645</v>
      </c>
      <c r="C33" s="1" cm="1">
        <f t="array" ref="C33">_xlfn.QUARTILE.INC(IF(Quartile_S[[#This Row],[Industry]]=Main_S[Industry],Main_S[P/FCF]),3)</f>
        <v>16.010277174820505</v>
      </c>
      <c r="D33" s="1">
        <f>Quartile_S[[#This Row],[P/FCF Q1]]-1.5*(Quartile_S[[#This Row],[P/FCF Q3]]-Quartile_S[[#This Row],[P/FCF Q1]])</f>
        <v>-42.435391964316921</v>
      </c>
      <c r="E33" s="1">
        <f>Quartile_S[[#This Row],[P/FCF Q3]]+1.5*(Quartile_S[[#This Row],[P/FCF Q3]]-Quartile_S[[#This Row],[P/FCF Q1]])</f>
        <v>51.077678658302958</v>
      </c>
      <c r="F33" s="1" cm="1">
        <f t="array" ref="F33">_xlfn.QUARTILE.INC(IF(Quartile_S[[#This Row],[Industry]]=Main_S[Industry],Main_S[P/B]),1)</f>
        <v>0.63303722302558774</v>
      </c>
      <c r="G33" s="1" cm="1">
        <f t="array" ref="G33">_xlfn.QUARTILE.INC(IF(Quartile_S[[#This Row],[Industry]]=Main_S[Industry],Main_S[P/B]),3)</f>
        <v>1.6757834952246224</v>
      </c>
      <c r="H33" s="1">
        <f>Quartile_S[[#This Row],[P/B Q1]]-1.5*(Quartile_S[[#This Row],[P/B Q3]]-Quartile_S[[#This Row],[P/B Q1]])</f>
        <v>-0.93108218527296416</v>
      </c>
      <c r="I33" s="1">
        <f>Quartile_S[[#This Row],[P/B Q3]]+1.5*(Quartile_S[[#This Row],[P/B Q3]]-Quartile_S[[#This Row],[P/B Q1]])</f>
        <v>3.2399029035231743</v>
      </c>
      <c r="J33" s="1" cm="1">
        <f t="array" ref="J33">_xlfn.QUARTILE.INC(IF(Quartile_S[[#This Row],[Industry]]=Main_S[Industry],Main_S[ROE]),1)</f>
        <v>6.92</v>
      </c>
      <c r="K33" s="1" cm="1">
        <f t="array" ref="K33">_xlfn.QUARTILE.INC(IF(Quartile_S[[#This Row],[Industry]]=Main_S[Industry],Main_S[ROE]),3)</f>
        <v>15.1175</v>
      </c>
      <c r="L33" s="1">
        <f>Quartile_S[[#This Row],[ROE Q1]]-1.5*(Quartile_S[[#This Row],[ROE Q3]]-Quartile_S[[#This Row],[ROE Q1]])</f>
        <v>-5.3762500000000006</v>
      </c>
      <c r="M33" s="1">
        <f>Quartile_S[[#This Row],[ROE Q3]]+1.5*(Quartile_S[[#This Row],[ROE Q3]]-Quartile_S[[#This Row],[ROE Q1]])</f>
        <v>27.41375</v>
      </c>
      <c r="N33" s="1" cm="1">
        <f t="array" ref="N33">_xlfn.QUARTILE.INC(IF(Quartile_S[[#This Row],[Industry]]=Main_S[Industry],Main_S[ROA]),1)</f>
        <v>3.13</v>
      </c>
      <c r="O33" s="1" cm="1">
        <f t="array" ref="O33">_xlfn.QUARTILE.INC(IF(Quartile_S[[#This Row],[Industry]]=Main_S[Industry],Main_S[ROA]),3)</f>
        <v>6.4874999999999998</v>
      </c>
      <c r="P33" s="1">
        <f>Quartile_S[[#This Row],[ROA Q1]]-1.5*(Quartile_S[[#This Row],[ROA Q3]]-Quartile_S[[#This Row],[ROA Q1]])</f>
        <v>-1.90625</v>
      </c>
      <c r="Q33" s="1">
        <f>Quartile_S[[#This Row],[ROA Q3]]+1.5*(Quartile_S[[#This Row],[ROA Q3]]-Quartile_S[[#This Row],[ROA Q1]])</f>
        <v>11.52375</v>
      </c>
      <c r="R33" s="1" cm="1">
        <f t="array" ref="R33">_xlfn.QUARTILE.INC(IF(Quartile_S[[#This Row],[Industry]]=Main_S[Industry],Main_S[P/E]),1)</f>
        <v>5.5036931981800388</v>
      </c>
      <c r="S33" s="1" cm="1">
        <f t="array" ref="S33">_xlfn.QUARTILE.INC(IF(Quartile_S[[#This Row],[Industry]]=Main_S[Industry],Main_S[P/E]),3)</f>
        <v>15.637096774193548</v>
      </c>
      <c r="T33" s="1">
        <f>Quartile_S[[#This Row],[P/E Q1]]-1.5*(Quartile_S[[#This Row],[P/E Q3]]-Quartile_S[[#This Row],[P/E Q1]])</f>
        <v>-9.6964121658402256</v>
      </c>
      <c r="U33" s="1">
        <f>Quartile_S[[#This Row],[P/E Q3]]+1.5*(Quartile_S[[#This Row],[P/E Q3]]-Quartile_S[[#This Row],[P/E Q1]])</f>
        <v>30.837202138213812</v>
      </c>
      <c r="V33" s="1" cm="1">
        <f t="array" ref="V33">_xlfn.QUARTILE.INC(IF(Quartile_S[[#This Row],[Industry]]=Main_S[Industry],Main_S[A/E]),1)</f>
        <v>1.8375000000000001</v>
      </c>
      <c r="W33" s="1" cm="1">
        <f t="array" ref="W33">_xlfn.QUARTILE.INC(IF(Quartile_S[[#This Row],[Industry]]=Main_S[Industry],Main_S[A/E]),3)</f>
        <v>2.5950000000000002</v>
      </c>
      <c r="X33" s="1">
        <f>Quartile_S[[#This Row],[A/E Q1]]-1.5*(Quartile_S[[#This Row],[A/E Q3]]-Quartile_S[[#This Row],[A/E Q1]])</f>
        <v>0.70125000000000015</v>
      </c>
      <c r="Y33" s="1">
        <f>Quartile_S[[#This Row],[A/E Q3]]+1.5*(Quartile_S[[#This Row],[A/E Q3]]-Quartile_S[[#This Row],[A/E Q1]])</f>
        <v>3.7312500000000002</v>
      </c>
    </row>
    <row r="34" spans="1:25" x14ac:dyDescent="0.25">
      <c r="A34" t="s">
        <v>112</v>
      </c>
      <c r="B34" s="1" cm="1">
        <f t="array" ref="B34">_xlfn.QUARTILE.INC(IF(Quartile_S[[#This Row],[Industry]]=Main_S[Industry],Main_S[P/FCF]),1)</f>
        <v>8.5199868938401053</v>
      </c>
      <c r="C34" s="1" cm="1">
        <f t="array" ref="C34">_xlfn.QUARTILE.INC(IF(Quartile_S[[#This Row],[Industry]]=Main_S[Industry],Main_S[P/FCF]),3)</f>
        <v>37.30098684210526</v>
      </c>
      <c r="D34" s="1">
        <f>Quartile_S[[#This Row],[P/FCF Q1]]-1.5*(Quartile_S[[#This Row],[P/FCF Q3]]-Quartile_S[[#This Row],[P/FCF Q1]])</f>
        <v>-34.651513028557623</v>
      </c>
      <c r="E34" s="1">
        <f>Quartile_S[[#This Row],[P/FCF Q3]]+1.5*(Quartile_S[[#This Row],[P/FCF Q3]]-Quartile_S[[#This Row],[P/FCF Q1]])</f>
        <v>80.472486764502989</v>
      </c>
      <c r="F34" s="1" cm="1">
        <f t="array" ref="F34">_xlfn.QUARTILE.INC(IF(Quartile_S[[#This Row],[Industry]]=Main_S[Industry],Main_S[P/B]),1)</f>
        <v>1.8681617174915988</v>
      </c>
      <c r="G34" s="1" cm="1">
        <f t="array" ref="G34">_xlfn.QUARTILE.INC(IF(Quartile_S[[#This Row],[Industry]]=Main_S[Industry],Main_S[P/B]),3)</f>
        <v>4.0800320350164938</v>
      </c>
      <c r="H34" s="1">
        <f>Quartile_S[[#This Row],[P/B Q1]]-1.5*(Quartile_S[[#This Row],[P/B Q3]]-Quartile_S[[#This Row],[P/B Q1]])</f>
        <v>-1.449643758795744</v>
      </c>
      <c r="I34" s="1">
        <f>Quartile_S[[#This Row],[P/B Q3]]+1.5*(Quartile_S[[#This Row],[P/B Q3]]-Quartile_S[[#This Row],[P/B Q1]])</f>
        <v>7.3978375113038366</v>
      </c>
      <c r="J34" s="1" cm="1">
        <f t="array" ref="J34">_xlfn.QUARTILE.INC(IF(Quartile_S[[#This Row],[Industry]]=Main_S[Industry],Main_S[ROE]),1)</f>
        <v>-22.17</v>
      </c>
      <c r="K34" s="1" cm="1">
        <f t="array" ref="K34">_xlfn.QUARTILE.INC(IF(Quartile_S[[#This Row],[Industry]]=Main_S[Industry],Main_S[ROE]),3)</f>
        <v>14.805</v>
      </c>
      <c r="L34" s="1">
        <f>Quartile_S[[#This Row],[ROE Q1]]-1.5*(Quartile_S[[#This Row],[ROE Q3]]-Quartile_S[[#This Row],[ROE Q1]])</f>
        <v>-77.632500000000007</v>
      </c>
      <c r="M34" s="1">
        <f>Quartile_S[[#This Row],[ROE Q3]]+1.5*(Quartile_S[[#This Row],[ROE Q3]]-Quartile_S[[#This Row],[ROE Q1]])</f>
        <v>70.267500000000013</v>
      </c>
      <c r="N34" s="1" cm="1">
        <f t="array" ref="N34">_xlfn.QUARTILE.INC(IF(Quartile_S[[#This Row],[Industry]]=Main_S[Industry],Main_S[ROA]),1)</f>
        <v>-5.4550000000000001</v>
      </c>
      <c r="O34" s="1" cm="1">
        <f t="array" ref="O34">_xlfn.QUARTILE.INC(IF(Quartile_S[[#This Row],[Industry]]=Main_S[Industry],Main_S[ROA]),3)</f>
        <v>6.8650000000000002</v>
      </c>
      <c r="P34" s="1">
        <f>Quartile_S[[#This Row],[ROA Q1]]-1.5*(Quartile_S[[#This Row],[ROA Q3]]-Quartile_S[[#This Row],[ROA Q1]])</f>
        <v>-23.935000000000002</v>
      </c>
      <c r="Q34" s="1">
        <f>Quartile_S[[#This Row],[ROA Q3]]+1.5*(Quartile_S[[#This Row],[ROA Q3]]-Quartile_S[[#This Row],[ROA Q1]])</f>
        <v>25.344999999999999</v>
      </c>
      <c r="R34" s="1" cm="1">
        <f t="array" ref="R34">_xlfn.QUARTILE.INC(IF(Quartile_S[[#This Row],[Industry]]=Main_S[Industry],Main_S[P/E]),1)</f>
        <v>-8.7649459783913564</v>
      </c>
      <c r="S34" s="1" cm="1">
        <f t="array" ref="S34">_xlfn.QUARTILE.INC(IF(Quartile_S[[#This Row],[Industry]]=Main_S[Industry],Main_S[P/E]),3)</f>
        <v>29.968137254901961</v>
      </c>
      <c r="T34" s="1">
        <f>Quartile_S[[#This Row],[P/E Q1]]-1.5*(Quartile_S[[#This Row],[P/E Q3]]-Quartile_S[[#This Row],[P/E Q1]])</f>
        <v>-66.864570828331324</v>
      </c>
      <c r="U34" s="1">
        <f>Quartile_S[[#This Row],[P/E Q3]]+1.5*(Quartile_S[[#This Row],[P/E Q3]]-Quartile_S[[#This Row],[P/E Q1]])</f>
        <v>88.067762104841933</v>
      </c>
      <c r="V34" s="1" cm="1">
        <f t="array" ref="V34">_xlfn.QUARTILE.INC(IF(Quartile_S[[#This Row],[Industry]]=Main_S[Industry],Main_S[A/E]),1)</f>
        <v>1.8149999999999999</v>
      </c>
      <c r="W34" s="1" cm="1">
        <f t="array" ref="W34">_xlfn.QUARTILE.INC(IF(Quartile_S[[#This Row],[Industry]]=Main_S[Industry],Main_S[A/E]),3)</f>
        <v>3.625</v>
      </c>
      <c r="X34" s="1">
        <f>Quartile_S[[#This Row],[A/E Q1]]-1.5*(Quartile_S[[#This Row],[A/E Q3]]-Quartile_S[[#This Row],[A/E Q1]])</f>
        <v>-0.89999999999999991</v>
      </c>
      <c r="Y34" s="1">
        <f>Quartile_S[[#This Row],[A/E Q3]]+1.5*(Quartile_S[[#This Row],[A/E Q3]]-Quartile_S[[#This Row],[A/E Q1]])</f>
        <v>6.34</v>
      </c>
    </row>
    <row r="35" spans="1:25" x14ac:dyDescent="0.25">
      <c r="A35" t="s">
        <v>114</v>
      </c>
      <c r="B35" s="1" cm="1">
        <f t="array" ref="B35">_xlfn.QUARTILE.INC(IF(Quartile_S[[#This Row],[Industry]]=Main_S[Industry],Main_S[P/FCF]),1)</f>
        <v>1.8948365703458077</v>
      </c>
      <c r="C35" s="1" cm="1">
        <f t="array" ref="C35">_xlfn.QUARTILE.INC(IF(Quartile_S[[#This Row],[Industry]]=Main_S[Industry],Main_S[P/FCF]),3)</f>
        <v>24.636363636363637</v>
      </c>
      <c r="D35" s="1">
        <f>Quartile_S[[#This Row],[P/FCF Q1]]-1.5*(Quartile_S[[#This Row],[P/FCF Q3]]-Quartile_S[[#This Row],[P/FCF Q1]])</f>
        <v>-32.21745402868094</v>
      </c>
      <c r="E35" s="1">
        <f>Quartile_S[[#This Row],[P/FCF Q3]]+1.5*(Quartile_S[[#This Row],[P/FCF Q3]]-Quartile_S[[#This Row],[P/FCF Q1]])</f>
        <v>58.74865423539039</v>
      </c>
      <c r="F35" s="1" cm="1">
        <f t="array" ref="F35">_xlfn.QUARTILE.INC(IF(Quartile_S[[#This Row],[Industry]]=Main_S[Industry],Main_S[P/B]),1)</f>
        <v>0.26461086637298092</v>
      </c>
      <c r="G35" s="1" cm="1">
        <f t="array" ref="G35">_xlfn.QUARTILE.INC(IF(Quartile_S[[#This Row],[Industry]]=Main_S[Industry],Main_S[P/B]),3)</f>
        <v>4.830985915492958</v>
      </c>
      <c r="H35" s="1">
        <f>Quartile_S[[#This Row],[P/B Q1]]-1.5*(Quartile_S[[#This Row],[P/B Q3]]-Quartile_S[[#This Row],[P/B Q1]])</f>
        <v>-6.5849517073069856</v>
      </c>
      <c r="I35" s="1">
        <f>Quartile_S[[#This Row],[P/B Q3]]+1.5*(Quartile_S[[#This Row],[P/B Q3]]-Quartile_S[[#This Row],[P/B Q1]])</f>
        <v>11.680548489172924</v>
      </c>
      <c r="J35" s="1" cm="1">
        <f t="array" ref="J35">_xlfn.QUARTILE.INC(IF(Quartile_S[[#This Row],[Industry]]=Main_S[Industry],Main_S[ROE]),1)</f>
        <v>-50.56</v>
      </c>
      <c r="K35" s="1" cm="1">
        <f t="array" ref="K35">_xlfn.QUARTILE.INC(IF(Quartile_S[[#This Row],[Industry]]=Main_S[Industry],Main_S[ROE]),3)</f>
        <v>6.13</v>
      </c>
      <c r="L35" s="1">
        <f>Quartile_S[[#This Row],[ROE Q1]]-1.5*(Quartile_S[[#This Row],[ROE Q3]]-Quartile_S[[#This Row],[ROE Q1]])</f>
        <v>-135.59500000000003</v>
      </c>
      <c r="M35" s="1">
        <f>Quartile_S[[#This Row],[ROE Q3]]+1.5*(Quartile_S[[#This Row],[ROE Q3]]-Quartile_S[[#This Row],[ROE Q1]])</f>
        <v>91.165000000000006</v>
      </c>
      <c r="N35" s="1" cm="1">
        <f t="array" ref="N35">_xlfn.QUARTILE.INC(IF(Quartile_S[[#This Row],[Industry]]=Main_S[Industry],Main_S[ROA]),1)</f>
        <v>-1.06</v>
      </c>
      <c r="O35" s="1" cm="1">
        <f t="array" ref="O35">_xlfn.QUARTILE.INC(IF(Quartile_S[[#This Row],[Industry]]=Main_S[Industry],Main_S[ROA]),3)</f>
        <v>3.94</v>
      </c>
      <c r="P35" s="1">
        <f>Quartile_S[[#This Row],[ROA Q1]]-1.5*(Quartile_S[[#This Row],[ROA Q3]]-Quartile_S[[#This Row],[ROA Q1]])</f>
        <v>-8.56</v>
      </c>
      <c r="Q35" s="1">
        <f>Quartile_S[[#This Row],[ROA Q3]]+1.5*(Quartile_S[[#This Row],[ROA Q3]]-Quartile_S[[#This Row],[ROA Q1]])</f>
        <v>11.44</v>
      </c>
      <c r="R35" s="1" cm="1">
        <f t="array" ref="R35">_xlfn.QUARTILE.INC(IF(Quartile_S[[#This Row],[Industry]]=Main_S[Industry],Main_S[P/E]),1)</f>
        <v>-3.8111111111111113</v>
      </c>
      <c r="S35" s="1" cm="1">
        <f t="array" ref="S35">_xlfn.QUARTILE.INC(IF(Quartile_S[[#This Row],[Industry]]=Main_S[Industry],Main_S[P/E]),3)</f>
        <v>8.2660550458715587</v>
      </c>
      <c r="T35" s="1">
        <f>Quartile_S[[#This Row],[P/E Q1]]-1.5*(Quartile_S[[#This Row],[P/E Q3]]-Quartile_S[[#This Row],[P/E Q1]])</f>
        <v>-21.926860346585116</v>
      </c>
      <c r="U35" s="1">
        <f>Quartile_S[[#This Row],[P/E Q3]]+1.5*(Quartile_S[[#This Row],[P/E Q3]]-Quartile_S[[#This Row],[P/E Q1]])</f>
        <v>26.381804281345566</v>
      </c>
      <c r="V35" s="1" cm="1">
        <f t="array" ref="V35">_xlfn.QUARTILE.INC(IF(Quartile_S[[#This Row],[Industry]]=Main_S[Industry],Main_S[A/E]),1)</f>
        <v>2.54</v>
      </c>
      <c r="W35" s="1" cm="1">
        <f t="array" ref="W35">_xlfn.QUARTILE.INC(IF(Quartile_S[[#This Row],[Industry]]=Main_S[Industry],Main_S[A/E]),3)</f>
        <v>4.49</v>
      </c>
      <c r="X35" s="1">
        <f>Quartile_S[[#This Row],[A/E Q1]]-1.5*(Quartile_S[[#This Row],[A/E Q3]]-Quartile_S[[#This Row],[A/E Q1]])</f>
        <v>-0.38500000000000023</v>
      </c>
      <c r="Y35" s="1">
        <f>Quartile_S[[#This Row],[A/E Q3]]+1.5*(Quartile_S[[#This Row],[A/E Q3]]-Quartile_S[[#This Row],[A/E Q1]])</f>
        <v>7.4150000000000009</v>
      </c>
    </row>
    <row r="36" spans="1:25" x14ac:dyDescent="0.25">
      <c r="A36" t="s">
        <v>110</v>
      </c>
      <c r="B36" s="1" cm="1">
        <f t="array" ref="B36">_xlfn.QUARTILE.INC(IF(Quartile_S[[#This Row],[Industry]]=Main_S[Industry],Main_S[P/FCF]),1)</f>
        <v>4.3432802588996759</v>
      </c>
      <c r="C36" s="1" cm="1">
        <f t="array" ref="C36">_xlfn.QUARTILE.INC(IF(Quartile_S[[#This Row],[Industry]]=Main_S[Industry],Main_S[P/FCF]),3)</f>
        <v>14.3695462478185</v>
      </c>
      <c r="D36" s="1">
        <f>Quartile_S[[#This Row],[P/FCF Q1]]-1.5*(Quartile_S[[#This Row],[P/FCF Q3]]-Quartile_S[[#This Row],[P/FCF Q1]])</f>
        <v>-10.696118724478559</v>
      </c>
      <c r="E36" s="1">
        <f>Quartile_S[[#This Row],[P/FCF Q3]]+1.5*(Quartile_S[[#This Row],[P/FCF Q3]]-Quartile_S[[#This Row],[P/FCF Q1]])</f>
        <v>29.408945231196732</v>
      </c>
      <c r="F36" s="1" cm="1">
        <f t="array" ref="F36">_xlfn.QUARTILE.INC(IF(Quartile_S[[#This Row],[Industry]]=Main_S[Industry],Main_S[P/B]),1)</f>
        <v>1.0440425988162796</v>
      </c>
      <c r="G36" s="1" cm="1">
        <f t="array" ref="G36">_xlfn.QUARTILE.INC(IF(Quartile_S[[#This Row],[Industry]]=Main_S[Industry],Main_S[P/B]),3)</f>
        <v>3.7589612545319531</v>
      </c>
      <c r="H36" s="1">
        <f>Quartile_S[[#This Row],[P/B Q1]]-1.5*(Quartile_S[[#This Row],[P/B Q3]]-Quartile_S[[#This Row],[P/B Q1]])</f>
        <v>-3.0283353847572307</v>
      </c>
      <c r="I36" s="1">
        <f>Quartile_S[[#This Row],[P/B Q3]]+1.5*(Quartile_S[[#This Row],[P/B Q3]]-Quartile_S[[#This Row],[P/B Q1]])</f>
        <v>7.8313392381054632</v>
      </c>
      <c r="J36" s="1" cm="1">
        <f t="array" ref="J36">_xlfn.QUARTILE.INC(IF(Quartile_S[[#This Row],[Industry]]=Main_S[Industry],Main_S[ROE]),1)</f>
        <v>-2.9600000000000004</v>
      </c>
      <c r="K36" s="1" cm="1">
        <f t="array" ref="K36">_xlfn.QUARTILE.INC(IF(Quartile_S[[#This Row],[Industry]]=Main_S[Industry],Main_S[ROE]),3)</f>
        <v>19.535</v>
      </c>
      <c r="L36" s="1">
        <f>Quartile_S[[#This Row],[ROE Q1]]-1.5*(Quartile_S[[#This Row],[ROE Q3]]-Quartile_S[[#This Row],[ROE Q1]])</f>
        <v>-36.702500000000001</v>
      </c>
      <c r="M36" s="1">
        <f>Quartile_S[[#This Row],[ROE Q3]]+1.5*(Quartile_S[[#This Row],[ROE Q3]]-Quartile_S[[#This Row],[ROE Q1]])</f>
        <v>53.277500000000003</v>
      </c>
      <c r="N36" s="1" cm="1">
        <f t="array" ref="N36">_xlfn.QUARTILE.INC(IF(Quartile_S[[#This Row],[Industry]]=Main_S[Industry],Main_S[ROA]),1)</f>
        <v>0.90000000000000013</v>
      </c>
      <c r="O36" s="1" cm="1">
        <f t="array" ref="O36">_xlfn.QUARTILE.INC(IF(Quartile_S[[#This Row],[Industry]]=Main_S[Industry],Main_S[ROA]),3)</f>
        <v>6.7249999999999996</v>
      </c>
      <c r="P36" s="1">
        <f>Quartile_S[[#This Row],[ROA Q1]]-1.5*(Quartile_S[[#This Row],[ROA Q3]]-Quartile_S[[#This Row],[ROA Q1]])</f>
        <v>-7.8374999999999986</v>
      </c>
      <c r="Q36" s="1">
        <f>Quartile_S[[#This Row],[ROA Q3]]+1.5*(Quartile_S[[#This Row],[ROA Q3]]-Quartile_S[[#This Row],[ROA Q1]])</f>
        <v>15.462499999999999</v>
      </c>
      <c r="R36" s="1" cm="1">
        <f t="array" ref="R36">_xlfn.QUARTILE.INC(IF(Quartile_S[[#This Row],[Industry]]=Main_S[Industry],Main_S[P/E]),1)</f>
        <v>1.918917155903457</v>
      </c>
      <c r="S36" s="1" cm="1">
        <f t="array" ref="S36">_xlfn.QUARTILE.INC(IF(Quartile_S[[#This Row],[Industry]]=Main_S[Industry],Main_S[P/E]),3)</f>
        <v>18.933634992458522</v>
      </c>
      <c r="T36" s="1">
        <f>Quartile_S[[#This Row],[P/E Q1]]-1.5*(Quartile_S[[#This Row],[P/E Q3]]-Quartile_S[[#This Row],[P/E Q1]])</f>
        <v>-23.603159598929139</v>
      </c>
      <c r="U36" s="1">
        <f>Quartile_S[[#This Row],[P/E Q3]]+1.5*(Quartile_S[[#This Row],[P/E Q3]]-Quartile_S[[#This Row],[P/E Q1]])</f>
        <v>44.455711747291119</v>
      </c>
      <c r="V36" s="1" cm="1">
        <f t="array" ref="V36">_xlfn.QUARTILE.INC(IF(Quartile_S[[#This Row],[Industry]]=Main_S[Industry],Main_S[A/E]),1)</f>
        <v>1.425</v>
      </c>
      <c r="W36" s="1" cm="1">
        <f t="array" ref="W36">_xlfn.QUARTILE.INC(IF(Quartile_S[[#This Row],[Industry]]=Main_S[Industry],Main_S[A/E]),3)</f>
        <v>2.87</v>
      </c>
      <c r="X36" s="1">
        <f>Quartile_S[[#This Row],[A/E Q1]]-1.5*(Quartile_S[[#This Row],[A/E Q3]]-Quartile_S[[#This Row],[A/E Q1]])</f>
        <v>-0.74249999999999994</v>
      </c>
      <c r="Y36" s="1">
        <f>Quartile_S[[#This Row],[A/E Q3]]+1.5*(Quartile_S[[#This Row],[A/E Q3]]-Quartile_S[[#This Row],[A/E Q1]])</f>
        <v>5.0374999999999996</v>
      </c>
    </row>
    <row r="37" spans="1:25" x14ac:dyDescent="0.25">
      <c r="A37" t="s">
        <v>113</v>
      </c>
      <c r="B37" s="1" cm="1">
        <f t="array" ref="B37">_xlfn.QUARTILE.INC(IF(Quartile_S[[#This Row],[Industry]]=Main_S[Industry],Main_S[P/FCF]),1)</f>
        <v>5.2380308807834428</v>
      </c>
      <c r="C37" s="1" cm="1">
        <f t="array" ref="C37">_xlfn.QUARTILE.INC(IF(Quartile_S[[#This Row],[Industry]]=Main_S[Industry],Main_S[P/FCF]),3)</f>
        <v>9.4798320274162151</v>
      </c>
      <c r="D37" s="1">
        <f>Quartile_S[[#This Row],[P/FCF Q1]]-1.5*(Quartile_S[[#This Row],[P/FCF Q3]]-Quartile_S[[#This Row],[P/FCF Q1]])</f>
        <v>-1.1246708391657156</v>
      </c>
      <c r="E37" s="1">
        <f>Quartile_S[[#This Row],[P/FCF Q3]]+1.5*(Quartile_S[[#This Row],[P/FCF Q3]]-Quartile_S[[#This Row],[P/FCF Q1]])</f>
        <v>15.842533747365373</v>
      </c>
      <c r="F37" s="1" cm="1">
        <f t="array" ref="F37">_xlfn.QUARTILE.INC(IF(Quartile_S[[#This Row],[Industry]]=Main_S[Industry],Main_S[P/B]),1)</f>
        <v>0.91466434198756108</v>
      </c>
      <c r="G37" s="1" cm="1">
        <f t="array" ref="G37">_xlfn.QUARTILE.INC(IF(Quartile_S[[#This Row],[Industry]]=Main_S[Industry],Main_S[P/B]),3)</f>
        <v>1.1144484411942177</v>
      </c>
      <c r="H37" s="1">
        <f>Quartile_S[[#This Row],[P/B Q1]]-1.5*(Quartile_S[[#This Row],[P/B Q3]]-Quartile_S[[#This Row],[P/B Q1]])</f>
        <v>0.61498819317757614</v>
      </c>
      <c r="I37" s="1">
        <f>Quartile_S[[#This Row],[P/B Q3]]+1.5*(Quartile_S[[#This Row],[P/B Q3]]-Quartile_S[[#This Row],[P/B Q1]])</f>
        <v>1.4141245900042025</v>
      </c>
      <c r="J37" s="1" cm="1">
        <f t="array" ref="J37">_xlfn.QUARTILE.INC(IF(Quartile_S[[#This Row],[Industry]]=Main_S[Industry],Main_S[ROE]),1)</f>
        <v>7.2149999999999999</v>
      </c>
      <c r="K37" s="1" cm="1">
        <f t="array" ref="K37">_xlfn.QUARTILE.INC(IF(Quartile_S[[#This Row],[Industry]]=Main_S[Industry],Main_S[ROE]),3)</f>
        <v>10.245000000000001</v>
      </c>
      <c r="L37" s="1">
        <f>Quartile_S[[#This Row],[ROE Q1]]-1.5*(Quartile_S[[#This Row],[ROE Q3]]-Quartile_S[[#This Row],[ROE Q1]])</f>
        <v>2.6699999999999982</v>
      </c>
      <c r="M37" s="1">
        <f>Quartile_S[[#This Row],[ROE Q3]]+1.5*(Quartile_S[[#This Row],[ROE Q3]]-Quartile_S[[#This Row],[ROE Q1]])</f>
        <v>14.790000000000003</v>
      </c>
      <c r="N37" s="1" cm="1">
        <f t="array" ref="N37">_xlfn.QUARTILE.INC(IF(Quartile_S[[#This Row],[Industry]]=Main_S[Industry],Main_S[ROA]),1)</f>
        <v>3.1025</v>
      </c>
      <c r="O37" s="1" cm="1">
        <f t="array" ref="O37">_xlfn.QUARTILE.INC(IF(Quartile_S[[#This Row],[Industry]]=Main_S[Industry],Main_S[ROA]),3)</f>
        <v>5.9074999999999998</v>
      </c>
      <c r="P37" s="1">
        <f>Quartile_S[[#This Row],[ROA Q1]]-1.5*(Quartile_S[[#This Row],[ROA Q3]]-Quartile_S[[#This Row],[ROA Q1]])</f>
        <v>-1.1049999999999995</v>
      </c>
      <c r="Q37" s="1">
        <f>Quartile_S[[#This Row],[ROA Q3]]+1.5*(Quartile_S[[#This Row],[ROA Q3]]-Quartile_S[[#This Row],[ROA Q1]])</f>
        <v>10.114999999999998</v>
      </c>
      <c r="R37" s="1" cm="1">
        <f t="array" ref="R37">_xlfn.QUARTILE.INC(IF(Quartile_S[[#This Row],[Industry]]=Main_S[Industry],Main_S[P/E]),1)</f>
        <v>11.203449756956084</v>
      </c>
      <c r="S37" s="1" cm="1">
        <f t="array" ref="S37">_xlfn.QUARTILE.INC(IF(Quartile_S[[#This Row],[Industry]]=Main_S[Industry],Main_S[P/E]),3)</f>
        <v>12.774822955078779</v>
      </c>
      <c r="T37" s="1">
        <f>Quartile_S[[#This Row],[P/E Q1]]-1.5*(Quartile_S[[#This Row],[P/E Q3]]-Quartile_S[[#This Row],[P/E Q1]])</f>
        <v>8.8463899597720435</v>
      </c>
      <c r="U37" s="1">
        <f>Quartile_S[[#This Row],[P/E Q3]]+1.5*(Quartile_S[[#This Row],[P/E Q3]]-Quartile_S[[#This Row],[P/E Q1]])</f>
        <v>15.131882752262822</v>
      </c>
      <c r="V37" s="1" cm="1">
        <f t="array" ref="V37">_xlfn.QUARTILE.INC(IF(Quartile_S[[#This Row],[Industry]]=Main_S[Industry],Main_S[A/E]),1)</f>
        <v>1.7475000000000001</v>
      </c>
      <c r="W37" s="1" cm="1">
        <f t="array" ref="W37">_xlfn.QUARTILE.INC(IF(Quartile_S[[#This Row],[Industry]]=Main_S[Industry],Main_S[A/E]),3)</f>
        <v>2.8425000000000002</v>
      </c>
      <c r="X37" s="1">
        <f>Quartile_S[[#This Row],[A/E Q1]]-1.5*(Quartile_S[[#This Row],[A/E Q3]]-Quartile_S[[#This Row],[A/E Q1]])</f>
        <v>0.10499999999999976</v>
      </c>
      <c r="Y37" s="1">
        <f>Quartile_S[[#This Row],[A/E Q3]]+1.5*(Quartile_S[[#This Row],[A/E Q3]]-Quartile_S[[#This Row],[A/E Q1]])</f>
        <v>4.4850000000000003</v>
      </c>
    </row>
    <row r="38" spans="1:25" x14ac:dyDescent="0.25">
      <c r="A38" t="s">
        <v>106</v>
      </c>
      <c r="B38" s="1" cm="1">
        <f t="array" ref="B38">_xlfn.QUARTILE.INC(IF(Quartile_S[[#This Row],[Industry]]=Main_S[Industry],Main_S[P/FCF]),1)</f>
        <v>5.1290291598165609</v>
      </c>
      <c r="C38" s="1" cm="1">
        <f t="array" ref="C38">_xlfn.QUARTILE.INC(IF(Quartile_S[[#This Row],[Industry]]=Main_S[Industry],Main_S[P/FCF]),3)</f>
        <v>20.133458376156216</v>
      </c>
      <c r="D38" s="1">
        <f>Quartile_S[[#This Row],[P/FCF Q1]]-1.5*(Quartile_S[[#This Row],[P/FCF Q3]]-Quartile_S[[#This Row],[P/FCF Q1]])</f>
        <v>-17.377614664692921</v>
      </c>
      <c r="E38" s="1">
        <f>Quartile_S[[#This Row],[P/FCF Q3]]+1.5*(Quartile_S[[#This Row],[P/FCF Q3]]-Quartile_S[[#This Row],[P/FCF Q1]])</f>
        <v>42.640102200665694</v>
      </c>
      <c r="F38" s="1" cm="1">
        <f t="array" ref="F38">_xlfn.QUARTILE.INC(IF(Quartile_S[[#This Row],[Industry]]=Main_S[Industry],Main_S[P/B]),1)</f>
        <v>0.53441066684879701</v>
      </c>
      <c r="G38" s="1" cm="1">
        <f t="array" ref="G38">_xlfn.QUARTILE.INC(IF(Quartile_S[[#This Row],[Industry]]=Main_S[Industry],Main_S[P/B]),3)</f>
        <v>1.1893411736953681</v>
      </c>
      <c r="H38" s="1">
        <f>Quartile_S[[#This Row],[P/B Q1]]-1.5*(Quartile_S[[#This Row],[P/B Q3]]-Quartile_S[[#This Row],[P/B Q1]])</f>
        <v>-0.44798509342105952</v>
      </c>
      <c r="I38" s="1">
        <f>Quartile_S[[#This Row],[P/B Q3]]+1.5*(Quartile_S[[#This Row],[P/B Q3]]-Quartile_S[[#This Row],[P/B Q1]])</f>
        <v>2.1717369339652244</v>
      </c>
      <c r="J38" s="1" cm="1">
        <f t="array" ref="J38">_xlfn.QUARTILE.INC(IF(Quartile_S[[#This Row],[Industry]]=Main_S[Industry],Main_S[ROE]),1)</f>
        <v>-2.15</v>
      </c>
      <c r="K38" s="1" cm="1">
        <f t="array" ref="K38">_xlfn.QUARTILE.INC(IF(Quartile_S[[#This Row],[Industry]]=Main_S[Industry],Main_S[ROE]),3)</f>
        <v>19.094999999999999</v>
      </c>
      <c r="L38" s="1">
        <f>Quartile_S[[#This Row],[ROE Q1]]-1.5*(Quartile_S[[#This Row],[ROE Q3]]-Quartile_S[[#This Row],[ROE Q1]])</f>
        <v>-34.017499999999998</v>
      </c>
      <c r="M38" s="1">
        <f>Quartile_S[[#This Row],[ROE Q3]]+1.5*(Quartile_S[[#This Row],[ROE Q3]]-Quartile_S[[#This Row],[ROE Q1]])</f>
        <v>50.962499999999991</v>
      </c>
      <c r="N38" s="1" cm="1">
        <f t="array" ref="N38">_xlfn.QUARTILE.INC(IF(Quartile_S[[#This Row],[Industry]]=Main_S[Industry],Main_S[ROA]),1)</f>
        <v>2.8224999999999998</v>
      </c>
      <c r="O38" s="1" cm="1">
        <f t="array" ref="O38">_xlfn.QUARTILE.INC(IF(Quartile_S[[#This Row],[Industry]]=Main_S[Industry],Main_S[ROA]),3)</f>
        <v>5.4275000000000002</v>
      </c>
      <c r="P38" s="1">
        <f>Quartile_S[[#This Row],[ROA Q1]]-1.5*(Quartile_S[[#This Row],[ROA Q3]]-Quartile_S[[#This Row],[ROA Q1]])</f>
        <v>-1.0850000000000009</v>
      </c>
      <c r="Q38" s="1">
        <f>Quartile_S[[#This Row],[ROA Q3]]+1.5*(Quartile_S[[#This Row],[ROA Q3]]-Quartile_S[[#This Row],[ROA Q1]])</f>
        <v>9.3350000000000009</v>
      </c>
      <c r="R38" s="1" cm="1">
        <f t="array" ref="R38">_xlfn.QUARTILE.INC(IF(Quartile_S[[#This Row],[Industry]]=Main_S[Industry],Main_S[P/E]),1)</f>
        <v>-5.2365708341214301</v>
      </c>
      <c r="S38" s="1" cm="1">
        <f t="array" ref="S38">_xlfn.QUARTILE.INC(IF(Quartile_S[[#This Row],[Industry]]=Main_S[Industry],Main_S[P/E]),3)</f>
        <v>20.843801721284343</v>
      </c>
      <c r="T38" s="1">
        <f>Quartile_S[[#This Row],[P/E Q1]]-1.5*(Quartile_S[[#This Row],[P/E Q3]]-Quartile_S[[#This Row],[P/E Q1]])</f>
        <v>-44.35712966723009</v>
      </c>
      <c r="U38" s="1">
        <f>Quartile_S[[#This Row],[P/E Q3]]+1.5*(Quartile_S[[#This Row],[P/E Q3]]-Quartile_S[[#This Row],[P/E Q1]])</f>
        <v>59.964360554393004</v>
      </c>
      <c r="V38" s="1" cm="1">
        <f t="array" ref="V38">_xlfn.QUARTILE.INC(IF(Quartile_S[[#This Row],[Industry]]=Main_S[Industry],Main_S[A/E]),1)</f>
        <v>1.4525000000000001</v>
      </c>
      <c r="W38" s="1" cm="1">
        <f t="array" ref="W38">_xlfn.QUARTILE.INC(IF(Quartile_S[[#This Row],[Industry]]=Main_S[Industry],Main_S[A/E]),3)</f>
        <v>2.9224999999999999</v>
      </c>
      <c r="X38" s="1">
        <f>Quartile_S[[#This Row],[A/E Q1]]-1.5*(Quartile_S[[#This Row],[A/E Q3]]-Quartile_S[[#This Row],[A/E Q1]])</f>
        <v>-0.7524999999999995</v>
      </c>
      <c r="Y38" s="1">
        <f>Quartile_S[[#This Row],[A/E Q3]]+1.5*(Quartile_S[[#This Row],[A/E Q3]]-Quartile_S[[#This Row],[A/E Q1]])</f>
        <v>5.1274999999999995</v>
      </c>
    </row>
    <row r="39" spans="1:25" x14ac:dyDescent="0.25">
      <c r="A39" t="s">
        <v>107</v>
      </c>
      <c r="B39" s="1" cm="1">
        <f t="array" ref="B39">_xlfn.QUARTILE.INC(IF(Quartile_S[[#This Row],[Industry]]=Main_S[Industry],Main_S[P/FCF]),1)</f>
        <v>-10.55</v>
      </c>
      <c r="C39" s="1" cm="1">
        <f t="array" ref="C39">_xlfn.QUARTILE.INC(IF(Quartile_S[[#This Row],[Industry]]=Main_S[Industry],Main_S[P/FCF]),3)</f>
        <v>6.4821428571428559</v>
      </c>
      <c r="D39" s="1">
        <f>Quartile_S[[#This Row],[P/FCF Q1]]-1.5*(Quartile_S[[#This Row],[P/FCF Q3]]-Quartile_S[[#This Row],[P/FCF Q1]])</f>
        <v>-36.098214285714292</v>
      </c>
      <c r="E39" s="1">
        <f>Quartile_S[[#This Row],[P/FCF Q3]]+1.5*(Quartile_S[[#This Row],[P/FCF Q3]]-Quartile_S[[#This Row],[P/FCF Q1]])</f>
        <v>32.030357142857142</v>
      </c>
      <c r="F39" s="1" cm="1">
        <f t="array" ref="F39">_xlfn.QUARTILE.INC(IF(Quartile_S[[#This Row],[Industry]]=Main_S[Industry],Main_S[P/B]),1)</f>
        <v>1.1380613972553912</v>
      </c>
      <c r="G39" s="1" cm="1">
        <f t="array" ref="G39">_xlfn.QUARTILE.INC(IF(Quartile_S[[#This Row],[Industry]]=Main_S[Industry],Main_S[P/B]),3)</f>
        <v>9.9563737623762378</v>
      </c>
      <c r="H39" s="1">
        <f>Quartile_S[[#This Row],[P/B Q1]]-1.5*(Quartile_S[[#This Row],[P/B Q3]]-Quartile_S[[#This Row],[P/B Q1]])</f>
        <v>-12.089407150425878</v>
      </c>
      <c r="I39" s="1">
        <f>Quartile_S[[#This Row],[P/B Q3]]+1.5*(Quartile_S[[#This Row],[P/B Q3]]-Quartile_S[[#This Row],[P/B Q1]])</f>
        <v>23.183842310057507</v>
      </c>
      <c r="J39" s="1" cm="1">
        <f t="array" ref="J39">_xlfn.QUARTILE.INC(IF(Quartile_S[[#This Row],[Industry]]=Main_S[Industry],Main_S[ROE]),1)</f>
        <v>-52.3675</v>
      </c>
      <c r="K39" s="1" cm="1">
        <f t="array" ref="K39">_xlfn.QUARTILE.INC(IF(Quartile_S[[#This Row],[Industry]]=Main_S[Industry],Main_S[ROE]),3)</f>
        <v>8.2874999999999996</v>
      </c>
      <c r="L39" s="1">
        <f>Quartile_S[[#This Row],[ROE Q1]]-1.5*(Quartile_S[[#This Row],[ROE Q3]]-Quartile_S[[#This Row],[ROE Q1]])</f>
        <v>-143.35</v>
      </c>
      <c r="M39" s="1">
        <f>Quartile_S[[#This Row],[ROE Q3]]+1.5*(Quartile_S[[#This Row],[ROE Q3]]-Quartile_S[[#This Row],[ROE Q1]])</f>
        <v>99.27</v>
      </c>
      <c r="N39" s="1" cm="1">
        <f t="array" ref="N39">_xlfn.QUARTILE.INC(IF(Quartile_S[[#This Row],[Industry]]=Main_S[Industry],Main_S[ROA]),1)</f>
        <v>-30.980000000000004</v>
      </c>
      <c r="O39" s="1" cm="1">
        <f t="array" ref="O39">_xlfn.QUARTILE.INC(IF(Quartile_S[[#This Row],[Industry]]=Main_S[Industry],Main_S[ROA]),3)</f>
        <v>-0.18499999999999961</v>
      </c>
      <c r="P39" s="1">
        <f>Quartile_S[[#This Row],[ROA Q1]]-1.5*(Quartile_S[[#This Row],[ROA Q3]]-Quartile_S[[#This Row],[ROA Q1]])</f>
        <v>-77.172500000000014</v>
      </c>
      <c r="Q39" s="1">
        <f>Quartile_S[[#This Row],[ROA Q3]]+1.5*(Quartile_S[[#This Row],[ROA Q3]]-Quartile_S[[#This Row],[ROA Q1]])</f>
        <v>46.007500000000007</v>
      </c>
      <c r="R39" s="1" cm="1">
        <f t="array" ref="R39">_xlfn.QUARTILE.INC(IF(Quartile_S[[#This Row],[Industry]]=Main_S[Industry],Main_S[P/E]),1)</f>
        <v>-12.991568914956012</v>
      </c>
      <c r="S39" s="1" cm="1">
        <f t="array" ref="S39">_xlfn.QUARTILE.INC(IF(Quartile_S[[#This Row],[Industry]]=Main_S[Industry],Main_S[P/E]),3)</f>
        <v>-1.4998428661219361</v>
      </c>
      <c r="T39" s="1">
        <f>Quartile_S[[#This Row],[P/E Q1]]-1.5*(Quartile_S[[#This Row],[P/E Q3]]-Quartile_S[[#This Row],[P/E Q1]])</f>
        <v>-30.229157988207128</v>
      </c>
      <c r="U39" s="1">
        <f>Quartile_S[[#This Row],[P/E Q3]]+1.5*(Quartile_S[[#This Row],[P/E Q3]]-Quartile_S[[#This Row],[P/E Q1]])</f>
        <v>15.737746207129179</v>
      </c>
      <c r="V39" s="1" cm="1">
        <f t="array" ref="V39">_xlfn.QUARTILE.INC(IF(Quartile_S[[#This Row],[Industry]]=Main_S[Industry],Main_S[A/E]),1)</f>
        <v>1.44</v>
      </c>
      <c r="W39" s="1" cm="1">
        <f t="array" ref="W39">_xlfn.QUARTILE.INC(IF(Quartile_S[[#This Row],[Industry]]=Main_S[Industry],Main_S[A/E]),3)</f>
        <v>2.8825000000000003</v>
      </c>
      <c r="X39" s="1">
        <f>Quartile_S[[#This Row],[A/E Q1]]-1.5*(Quartile_S[[#This Row],[A/E Q3]]-Quartile_S[[#This Row],[A/E Q1]])</f>
        <v>-0.72375000000000034</v>
      </c>
      <c r="Y39" s="1">
        <f>Quartile_S[[#This Row],[A/E Q3]]+1.5*(Quartile_S[[#This Row],[A/E Q3]]-Quartile_S[[#This Row],[A/E Q1]])</f>
        <v>5.0462500000000006</v>
      </c>
    </row>
    <row r="40" spans="1:25" x14ac:dyDescent="0.25">
      <c r="A40" t="s">
        <v>109</v>
      </c>
      <c r="B40" s="1" cm="1">
        <f t="array" ref="B40">_xlfn.QUARTILE.INC(IF(Quartile_S[[#This Row],[Industry]]=Main_S[Industry],Main_S[P/FCF]),1)</f>
        <v>11.322727723262961</v>
      </c>
      <c r="C40" s="1" cm="1">
        <f t="array" ref="C40">_xlfn.QUARTILE.INC(IF(Quartile_S[[#This Row],[Industry]]=Main_S[Industry],Main_S[P/FCF]),3)</f>
        <v>21.263888888888889</v>
      </c>
      <c r="D40" s="1">
        <f>Quartile_S[[#This Row],[P/FCF Q1]]-1.5*(Quartile_S[[#This Row],[P/FCF Q3]]-Quartile_S[[#This Row],[P/FCF Q1]])</f>
        <v>-3.5890140251759313</v>
      </c>
      <c r="E40" s="1">
        <f>Quartile_S[[#This Row],[P/FCF Q3]]+1.5*(Quartile_S[[#This Row],[P/FCF Q3]]-Quartile_S[[#This Row],[P/FCF Q1]])</f>
        <v>36.175630637327785</v>
      </c>
      <c r="F40" s="1" cm="1">
        <f t="array" ref="F40">_xlfn.QUARTILE.INC(IF(Quartile_S[[#This Row],[Industry]]=Main_S[Industry],Main_S[P/B]),1)</f>
        <v>0.93922407573405631</v>
      </c>
      <c r="G40" s="1" cm="1">
        <f t="array" ref="G40">_xlfn.QUARTILE.INC(IF(Quartile_S[[#This Row],[Industry]]=Main_S[Industry],Main_S[P/B]),3)</f>
        <v>1.8662923432999157</v>
      </c>
      <c r="H40" s="1">
        <f>Quartile_S[[#This Row],[P/B Q1]]-1.5*(Quartile_S[[#This Row],[P/B Q3]]-Quartile_S[[#This Row],[P/B Q1]])</f>
        <v>-0.45137832561473268</v>
      </c>
      <c r="I40" s="1">
        <f>Quartile_S[[#This Row],[P/B Q3]]+1.5*(Quartile_S[[#This Row],[P/B Q3]]-Quartile_S[[#This Row],[P/B Q1]])</f>
        <v>3.2568947446487044</v>
      </c>
      <c r="J40" s="1" cm="1">
        <f t="array" ref="J40">_xlfn.QUARTILE.INC(IF(Quartile_S[[#This Row],[Industry]]=Main_S[Industry],Main_S[ROE]),1)</f>
        <v>-7.2099999999999991</v>
      </c>
      <c r="K40" s="1" cm="1">
        <f t="array" ref="K40">_xlfn.QUARTILE.INC(IF(Quartile_S[[#This Row],[Industry]]=Main_S[Industry],Main_S[ROE]),3)</f>
        <v>3.9350000000000001</v>
      </c>
      <c r="L40" s="1">
        <f>Quartile_S[[#This Row],[ROE Q1]]-1.5*(Quartile_S[[#This Row],[ROE Q3]]-Quartile_S[[#This Row],[ROE Q1]])</f>
        <v>-23.927500000000002</v>
      </c>
      <c r="M40" s="1">
        <f>Quartile_S[[#This Row],[ROE Q3]]+1.5*(Quartile_S[[#This Row],[ROE Q3]]-Quartile_S[[#This Row],[ROE Q1]])</f>
        <v>20.6525</v>
      </c>
      <c r="N40" s="1" cm="1">
        <f t="array" ref="N40">_xlfn.QUARTILE.INC(IF(Quartile_S[[#This Row],[Industry]]=Main_S[Industry],Main_S[ROA]),1)</f>
        <v>-6.4999999999999947E-2</v>
      </c>
      <c r="O40" s="1" cm="1">
        <f t="array" ref="O40">_xlfn.QUARTILE.INC(IF(Quartile_S[[#This Row],[Industry]]=Main_S[Industry],Main_S[ROA]),3)</f>
        <v>3.3099999999999996</v>
      </c>
      <c r="P40" s="1">
        <f>Quartile_S[[#This Row],[ROA Q1]]-1.5*(Quartile_S[[#This Row],[ROA Q3]]-Quartile_S[[#This Row],[ROA Q1]])</f>
        <v>-5.1274999999999995</v>
      </c>
      <c r="Q40" s="1">
        <f>Quartile_S[[#This Row],[ROA Q3]]+1.5*(Quartile_S[[#This Row],[ROA Q3]]-Quartile_S[[#This Row],[ROA Q1]])</f>
        <v>8.3724999999999987</v>
      </c>
      <c r="R40" s="1" cm="1">
        <f t="array" ref="R40">_xlfn.QUARTILE.INC(IF(Quartile_S[[#This Row],[Industry]]=Main_S[Industry],Main_S[P/E]),1)</f>
        <v>-38.205026455026456</v>
      </c>
      <c r="S40" s="1" cm="1">
        <f t="array" ref="S40">_xlfn.QUARTILE.INC(IF(Quartile_S[[#This Row],[Industry]]=Main_S[Industry],Main_S[P/E]),3)</f>
        <v>9.3235674595007776</v>
      </c>
      <c r="T40" s="1">
        <f>Quartile_S[[#This Row],[P/E Q1]]-1.5*(Quartile_S[[#This Row],[P/E Q3]]-Quartile_S[[#This Row],[P/E Q1]])</f>
        <v>-109.49791732681732</v>
      </c>
      <c r="U40" s="1">
        <f>Quartile_S[[#This Row],[P/E Q3]]+1.5*(Quartile_S[[#This Row],[P/E Q3]]-Quartile_S[[#This Row],[P/E Q1]])</f>
        <v>80.616458331291639</v>
      </c>
      <c r="V40" s="1" cm="1">
        <f t="array" ref="V40">_xlfn.QUARTILE.INC(IF(Quartile_S[[#This Row],[Industry]]=Main_S[Industry],Main_S[A/E]),1)</f>
        <v>1.43</v>
      </c>
      <c r="W40" s="1" cm="1">
        <f t="array" ref="W40">_xlfn.QUARTILE.INC(IF(Quartile_S[[#This Row],[Industry]]=Main_S[Industry],Main_S[A/E]),3)</f>
        <v>1.82</v>
      </c>
      <c r="X40" s="1">
        <f>Quartile_S[[#This Row],[A/E Q1]]-1.5*(Quartile_S[[#This Row],[A/E Q3]]-Quartile_S[[#This Row],[A/E Q1]])</f>
        <v>0.84499999999999975</v>
      </c>
      <c r="Y40" s="1">
        <f>Quartile_S[[#This Row],[A/E Q3]]+1.5*(Quartile_S[[#This Row],[A/E Q3]]-Quartile_S[[#This Row],[A/E Q1]])</f>
        <v>2.4050000000000002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33"/>
  <sheetViews>
    <sheetView workbookViewId="0">
      <selection activeCell="M25" sqref="M25"/>
    </sheetView>
  </sheetViews>
  <sheetFormatPr defaultRowHeight="15" x14ac:dyDescent="0.25"/>
  <cols>
    <col min="1" max="1" width="30" bestFit="1" customWidth="1"/>
    <col min="2" max="2" width="16.28515625" bestFit="1" customWidth="1"/>
    <col min="3" max="3" width="16.85546875" bestFit="1" customWidth="1"/>
    <col min="5" max="5" width="30" bestFit="1" customWidth="1"/>
    <col min="6" max="6" width="14" bestFit="1" customWidth="1"/>
    <col min="7" max="7" width="14.5703125" bestFit="1" customWidth="1"/>
    <col min="9" max="9" width="30" bestFit="1" customWidth="1"/>
    <col min="10" max="10" width="14" bestFit="1" customWidth="1"/>
    <col min="11" max="11" width="14.5703125" bestFit="1" customWidth="1"/>
  </cols>
  <sheetData>
    <row r="1" spans="1:11" x14ac:dyDescent="0.25">
      <c r="A1" s="24" t="s">
        <v>55</v>
      </c>
      <c r="B1" s="24"/>
      <c r="C1" s="24"/>
      <c r="E1" s="24" t="s">
        <v>80</v>
      </c>
      <c r="F1" s="24"/>
      <c r="G1" s="24"/>
      <c r="I1" s="24" t="s">
        <v>56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16.560088529946153</v>
      </c>
      <c r="C5" s="1">
        <v>11.640866235841617</v>
      </c>
      <c r="E5" s="6" t="s">
        <v>106</v>
      </c>
      <c r="F5" s="1">
        <v>1.220091782135875</v>
      </c>
      <c r="G5" s="1">
        <v>0.3334186516565722</v>
      </c>
      <c r="I5" s="6" t="s">
        <v>106</v>
      </c>
      <c r="J5" s="1">
        <v>1.0700000000000003</v>
      </c>
      <c r="K5" s="1">
        <v>16.571036982237011</v>
      </c>
    </row>
    <row r="6" spans="1:11" x14ac:dyDescent="0.25">
      <c r="A6" s="6" t="s">
        <v>107</v>
      </c>
      <c r="B6" s="1">
        <v>-10.428867603318666</v>
      </c>
      <c r="C6" s="1">
        <v>17.123419396623351</v>
      </c>
      <c r="E6" s="6" t="s">
        <v>107</v>
      </c>
      <c r="F6" s="1">
        <v>3.9454258843333534</v>
      </c>
      <c r="G6" s="1">
        <v>4.7100907661046412</v>
      </c>
      <c r="I6" s="6" t="s">
        <v>107</v>
      </c>
      <c r="J6" s="1">
        <v>9.9342857142857124</v>
      </c>
      <c r="K6" s="1">
        <v>2.6570975418562961</v>
      </c>
    </row>
    <row r="7" spans="1:11" x14ac:dyDescent="0.25">
      <c r="A7" s="6" t="s">
        <v>114</v>
      </c>
      <c r="B7" s="1">
        <v>25.072296623045176</v>
      </c>
      <c r="C7" s="1">
        <v>12.9803719961703</v>
      </c>
      <c r="E7" s="6" t="s">
        <v>114</v>
      </c>
      <c r="F7" s="1">
        <v>7.3725462257614938</v>
      </c>
      <c r="G7" s="1">
        <v>7.4795636363078009</v>
      </c>
      <c r="I7" s="6" t="s">
        <v>114</v>
      </c>
      <c r="J7" s="1">
        <v>24.695</v>
      </c>
      <c r="K7" s="1">
        <v>13.941338709033646</v>
      </c>
    </row>
    <row r="8" spans="1:11" x14ac:dyDescent="0.25">
      <c r="A8" s="6" t="s">
        <v>113</v>
      </c>
      <c r="B8" s="1">
        <v>31.884087381879016</v>
      </c>
      <c r="C8" s="1">
        <v>15.929000110946296</v>
      </c>
      <c r="E8" s="6" t="s">
        <v>113</v>
      </c>
      <c r="F8" s="1">
        <v>4.8727859396745874</v>
      </c>
      <c r="G8" s="1">
        <v>3.1070968085915576</v>
      </c>
      <c r="I8" s="6" t="s">
        <v>113</v>
      </c>
      <c r="J8" s="1">
        <v>20.723333333333333</v>
      </c>
      <c r="K8" s="1">
        <v>8.3474919719770959</v>
      </c>
    </row>
    <row r="9" spans="1:11" x14ac:dyDescent="0.25">
      <c r="A9" s="6" t="s">
        <v>112</v>
      </c>
      <c r="B9" s="1">
        <v>36.577553592697434</v>
      </c>
      <c r="C9" s="1">
        <v>27.900990010563163</v>
      </c>
      <c r="E9" s="6" t="s">
        <v>112</v>
      </c>
      <c r="F9" s="1">
        <v>11.398932703965196</v>
      </c>
      <c r="G9" s="1">
        <v>10.037176695877916</v>
      </c>
      <c r="I9" s="6" t="s">
        <v>112</v>
      </c>
      <c r="J9" s="1">
        <v>18.533333333333335</v>
      </c>
      <c r="K9" s="1">
        <v>10.0442531938528</v>
      </c>
    </row>
    <row r="10" spans="1:11" x14ac:dyDescent="0.25">
      <c r="A10" s="6" t="s">
        <v>111</v>
      </c>
      <c r="B10" s="1">
        <v>28.398317667892837</v>
      </c>
      <c r="C10" s="1">
        <v>11.651437229775388</v>
      </c>
      <c r="E10" s="6" t="s">
        <v>111</v>
      </c>
      <c r="F10" s="1">
        <v>4.7980706718072161</v>
      </c>
      <c r="G10" s="1">
        <v>10.207959671086273</v>
      </c>
      <c r="I10" s="6" t="s">
        <v>111</v>
      </c>
      <c r="J10" s="1">
        <v>13.458695652173912</v>
      </c>
      <c r="K10" s="1">
        <v>28.43153535506837</v>
      </c>
    </row>
    <row r="11" spans="1:11" x14ac:dyDescent="0.25">
      <c r="A11" s="6" t="s">
        <v>108</v>
      </c>
      <c r="B11" s="1">
        <v>21.389422108622313</v>
      </c>
      <c r="C11" s="1">
        <v>10.792864318667011</v>
      </c>
      <c r="E11" s="6" t="s">
        <v>108</v>
      </c>
      <c r="F11" s="1">
        <v>3.1600860793754721</v>
      </c>
      <c r="G11" s="1">
        <v>2.0384738081646572</v>
      </c>
      <c r="I11" s="6" t="s">
        <v>108</v>
      </c>
      <c r="J11" s="1">
        <v>17.408750000000001</v>
      </c>
      <c r="K11" s="1">
        <v>1.7673598777554946</v>
      </c>
    </row>
    <row r="12" spans="1:11" x14ac:dyDescent="0.25">
      <c r="A12" s="6" t="s">
        <v>115</v>
      </c>
      <c r="B12" s="1">
        <v>29.355170453228087</v>
      </c>
      <c r="C12" s="1">
        <v>17.439778277727083</v>
      </c>
      <c r="E12" s="6" t="s">
        <v>115</v>
      </c>
      <c r="F12" s="1">
        <v>7.873738996327087</v>
      </c>
      <c r="G12" s="1">
        <v>11.517588253217763</v>
      </c>
      <c r="I12" s="6" t="s">
        <v>115</v>
      </c>
      <c r="J12" s="1">
        <v>45.181428571428569</v>
      </c>
      <c r="K12" s="1">
        <v>27.509041333751366</v>
      </c>
    </row>
    <row r="13" spans="1:11" x14ac:dyDescent="0.25">
      <c r="A13" s="6" t="s">
        <v>110</v>
      </c>
      <c r="B13" s="1">
        <v>23.572929196169007</v>
      </c>
      <c r="C13" s="1">
        <v>9.5285818134581284</v>
      </c>
      <c r="E13" s="6" t="s">
        <v>110</v>
      </c>
      <c r="F13" s="1">
        <v>6.782007791641786</v>
      </c>
      <c r="G13" s="1">
        <v>2.6288156538610452</v>
      </c>
      <c r="I13" s="6" t="s">
        <v>110</v>
      </c>
      <c r="J13" s="1">
        <v>26.048888888888889</v>
      </c>
      <c r="K13" s="1">
        <v>13.594151883515899</v>
      </c>
    </row>
    <row r="21" spans="1:11" x14ac:dyDescent="0.25">
      <c r="A21" s="24" t="s">
        <v>57</v>
      </c>
      <c r="B21" s="24"/>
      <c r="C21" s="24"/>
      <c r="E21" s="24" t="s">
        <v>58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2.6</v>
      </c>
      <c r="C25" s="1">
        <v>3.2144154471173554</v>
      </c>
      <c r="E25" s="6" t="s">
        <v>106</v>
      </c>
      <c r="F25" s="1">
        <v>2.1166666666666667</v>
      </c>
      <c r="G25" s="1">
        <v>0.76377716354677394</v>
      </c>
      <c r="I25" s="6" t="s">
        <v>106</v>
      </c>
      <c r="J25" s="1">
        <v>5.1566114036855701</v>
      </c>
      <c r="K25" s="1">
        <v>6.7784772932711483</v>
      </c>
    </row>
    <row r="26" spans="1:11" x14ac:dyDescent="0.25">
      <c r="A26" s="6" t="s">
        <v>107</v>
      </c>
      <c r="B26" s="1">
        <v>2.5249999999999999</v>
      </c>
      <c r="C26" s="1">
        <v>0.89225837065280567</v>
      </c>
      <c r="E26" s="6" t="s">
        <v>107</v>
      </c>
      <c r="F26" s="1">
        <v>2.6957142857142857</v>
      </c>
      <c r="G26" s="1">
        <v>0.77065569749508234</v>
      </c>
      <c r="I26" s="6" t="s">
        <v>107</v>
      </c>
      <c r="J26" s="1">
        <v>13.637701279453262</v>
      </c>
      <c r="K26" s="1">
        <v>29.425024891620613</v>
      </c>
    </row>
    <row r="27" spans="1:11" x14ac:dyDescent="0.25">
      <c r="A27" s="6" t="s">
        <v>114</v>
      </c>
      <c r="B27" s="1">
        <v>4.8485714285714279</v>
      </c>
      <c r="C27" s="1">
        <v>2.6553473196090756</v>
      </c>
      <c r="E27" s="6" t="s">
        <v>114</v>
      </c>
      <c r="F27" s="1">
        <v>3.1455555555555557</v>
      </c>
      <c r="G27" s="1">
        <v>1.4921357631939751</v>
      </c>
      <c r="I27" s="6" t="s">
        <v>114</v>
      </c>
      <c r="J27" s="1">
        <v>25.064067653621922</v>
      </c>
      <c r="K27" s="1">
        <v>18.489402627197755</v>
      </c>
    </row>
    <row r="28" spans="1:11" x14ac:dyDescent="0.25">
      <c r="A28" s="6" t="s">
        <v>113</v>
      </c>
      <c r="B28" s="1">
        <v>6.66</v>
      </c>
      <c r="C28" s="1">
        <v>2.2312328430712927</v>
      </c>
      <c r="E28" s="6" t="s">
        <v>113</v>
      </c>
      <c r="F28" s="1">
        <v>3.3200000000000003</v>
      </c>
      <c r="G28" s="1">
        <v>0.82369088052901662</v>
      </c>
      <c r="I28" s="6" t="s">
        <v>113</v>
      </c>
      <c r="J28" s="1">
        <v>21.032350218888524</v>
      </c>
      <c r="K28" s="1">
        <v>5.4059100494426255</v>
      </c>
    </row>
    <row r="29" spans="1:11" x14ac:dyDescent="0.25">
      <c r="A29" s="6" t="s">
        <v>112</v>
      </c>
      <c r="B29" s="1">
        <v>4.0866666666666669</v>
      </c>
      <c r="C29" s="1">
        <v>0.78146585906800015</v>
      </c>
      <c r="E29" s="6" t="s">
        <v>112</v>
      </c>
      <c r="F29" s="1">
        <v>4.59</v>
      </c>
      <c r="G29" s="1">
        <v>4.1723214960818478</v>
      </c>
      <c r="I29" s="6" t="s">
        <v>112</v>
      </c>
      <c r="J29" s="1">
        <v>94.936939840392881</v>
      </c>
      <c r="K29" s="1">
        <v>105.47143964821485</v>
      </c>
    </row>
    <row r="30" spans="1:11" x14ac:dyDescent="0.25">
      <c r="A30" s="6" t="s">
        <v>111</v>
      </c>
      <c r="B30" s="1">
        <v>7.370000000000001</v>
      </c>
      <c r="C30" s="1">
        <v>4.1416285391765522</v>
      </c>
      <c r="E30" s="6" t="s">
        <v>111</v>
      </c>
      <c r="F30" s="1">
        <v>2.3313043478260873</v>
      </c>
      <c r="G30" s="1">
        <v>4.0389605898675009</v>
      </c>
      <c r="I30" s="6" t="s">
        <v>111</v>
      </c>
      <c r="J30" s="1">
        <v>25.423361114994162</v>
      </c>
      <c r="K30" s="1">
        <v>7.4051406640514497</v>
      </c>
    </row>
    <row r="31" spans="1:11" x14ac:dyDescent="0.25">
      <c r="A31" s="6" t="s">
        <v>108</v>
      </c>
      <c r="B31" s="1">
        <v>7.0579999999999998</v>
      </c>
      <c r="C31" s="1">
        <v>3.6148521408212564</v>
      </c>
      <c r="E31" s="6" t="s">
        <v>108</v>
      </c>
      <c r="F31" s="1">
        <v>2.0350000000000001</v>
      </c>
      <c r="G31" s="1">
        <v>0.83976484803783003</v>
      </c>
      <c r="I31" s="6" t="s">
        <v>108</v>
      </c>
      <c r="J31" s="1">
        <v>19.068936380315431</v>
      </c>
      <c r="K31" s="1">
        <v>13.189527779473424</v>
      </c>
    </row>
    <row r="32" spans="1:11" x14ac:dyDescent="0.25">
      <c r="A32" s="6" t="s">
        <v>115</v>
      </c>
      <c r="B32" s="1">
        <v>10.559444444444445</v>
      </c>
      <c r="C32" s="1">
        <v>5.4223031927014427</v>
      </c>
      <c r="E32" s="6" t="s">
        <v>115</v>
      </c>
      <c r="F32" s="1">
        <v>2.8757142857142854</v>
      </c>
      <c r="G32" s="1">
        <v>2.3544720800022674</v>
      </c>
      <c r="I32" s="6" t="s">
        <v>115</v>
      </c>
      <c r="J32" s="1">
        <v>22.723483484794151</v>
      </c>
      <c r="K32" s="1">
        <v>10.807041677635622</v>
      </c>
    </row>
    <row r="33" spans="1:11" x14ac:dyDescent="0.25">
      <c r="A33" s="6" t="s">
        <v>110</v>
      </c>
      <c r="B33" s="1">
        <v>7.6914285714285722</v>
      </c>
      <c r="C33" s="1">
        <v>1.8745927448871849</v>
      </c>
      <c r="E33" s="6" t="s">
        <v>110</v>
      </c>
      <c r="F33" s="1">
        <v>1.9025000000000001</v>
      </c>
      <c r="G33" s="1">
        <v>0.47955057084733022</v>
      </c>
      <c r="I33" s="6" t="s">
        <v>110</v>
      </c>
      <c r="J33" s="1">
        <v>23.391586291569684</v>
      </c>
      <c r="K33" s="1">
        <v>6.7390526567412827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33"/>
  <sheetViews>
    <sheetView workbookViewId="0">
      <selection activeCell="O27" sqref="O27"/>
    </sheetView>
  </sheetViews>
  <sheetFormatPr defaultRowHeight="15" x14ac:dyDescent="0.25"/>
  <cols>
    <col min="1" max="1" width="30" bestFit="1" customWidth="1"/>
    <col min="2" max="2" width="16.28515625" bestFit="1" customWidth="1"/>
    <col min="3" max="3" width="16.85546875" bestFit="1" customWidth="1"/>
    <col min="5" max="5" width="30" bestFit="1" customWidth="1"/>
    <col min="6" max="6" width="14" bestFit="1" customWidth="1"/>
    <col min="7" max="7" width="14.5703125" bestFit="1" customWidth="1"/>
    <col min="9" max="9" width="30" bestFit="1" customWidth="1"/>
    <col min="10" max="10" width="14" bestFit="1" customWidth="1"/>
    <col min="11" max="11" width="14.5703125" bestFit="1" customWidth="1"/>
  </cols>
  <sheetData>
    <row r="1" spans="1:11" x14ac:dyDescent="0.25">
      <c r="A1" s="24" t="s">
        <v>60</v>
      </c>
      <c r="B1" s="24"/>
      <c r="C1" s="24"/>
      <c r="E1" s="24" t="s">
        <v>79</v>
      </c>
      <c r="F1" s="24"/>
      <c r="G1" s="24"/>
      <c r="I1" s="24" t="s">
        <v>62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7.7842446208776126</v>
      </c>
      <c r="C5" s="1">
        <v>9.2854579281233605</v>
      </c>
      <c r="E5" s="6" t="s">
        <v>106</v>
      </c>
      <c r="F5" s="1">
        <v>1.9083775694155871</v>
      </c>
      <c r="G5" s="1">
        <v>0.83675894304815424</v>
      </c>
      <c r="I5" s="6" t="s">
        <v>106</v>
      </c>
      <c r="J5" s="1">
        <v>6.377142857142859</v>
      </c>
      <c r="K5" s="1">
        <v>16.429339360933984</v>
      </c>
    </row>
    <row r="6" spans="1:11" x14ac:dyDescent="0.25">
      <c r="A6" s="6" t="s">
        <v>107</v>
      </c>
      <c r="B6" s="1">
        <v>4.3950719959121178</v>
      </c>
      <c r="C6" s="1">
        <v>11.302700273137988</v>
      </c>
      <c r="E6" s="6" t="s">
        <v>107</v>
      </c>
      <c r="F6" s="1">
        <v>0.14720525672201987</v>
      </c>
      <c r="G6" s="1">
        <v>1.3959450161764939</v>
      </c>
      <c r="I6" s="6" t="s">
        <v>107</v>
      </c>
      <c r="J6" s="1">
        <v>10.377500000000001</v>
      </c>
      <c r="K6" s="1">
        <v>61.923857427892848</v>
      </c>
    </row>
    <row r="7" spans="1:11" x14ac:dyDescent="0.25">
      <c r="A7" s="6" t="s">
        <v>114</v>
      </c>
      <c r="B7" s="1">
        <v>16.752294313665406</v>
      </c>
      <c r="C7" s="1">
        <v>10.333140157620861</v>
      </c>
      <c r="E7" s="6" t="s">
        <v>114</v>
      </c>
      <c r="F7" s="1">
        <v>3.0341850902091516</v>
      </c>
      <c r="G7" s="1">
        <v>1.7588639609725354</v>
      </c>
      <c r="I7" s="6" t="s">
        <v>114</v>
      </c>
      <c r="J7" s="1">
        <v>10.646666666666667</v>
      </c>
      <c r="K7" s="1">
        <v>15.996445438492474</v>
      </c>
    </row>
    <row r="8" spans="1:11" x14ac:dyDescent="0.25">
      <c r="A8" s="6" t="s">
        <v>112</v>
      </c>
      <c r="B8" s="1">
        <v>15.022607769254758</v>
      </c>
      <c r="C8" s="1">
        <v>3.5803566074646143</v>
      </c>
      <c r="E8" s="6" t="s">
        <v>112</v>
      </c>
      <c r="F8" s="1">
        <v>3.0084306428543659</v>
      </c>
      <c r="G8" s="1">
        <v>1.7344483079108077</v>
      </c>
      <c r="I8" s="6" t="s">
        <v>112</v>
      </c>
      <c r="J8" s="1">
        <v>-3.6400000000000023</v>
      </c>
      <c r="K8" s="1">
        <v>105.45807916674029</v>
      </c>
    </row>
    <row r="9" spans="1:11" x14ac:dyDescent="0.25">
      <c r="A9" s="6" t="s">
        <v>111</v>
      </c>
      <c r="B9" s="1">
        <v>16.920057193696927</v>
      </c>
      <c r="C9" s="1">
        <v>12.332289912064466</v>
      </c>
      <c r="E9" s="6" t="s">
        <v>111</v>
      </c>
      <c r="F9" s="1">
        <v>5.5238015857027394</v>
      </c>
      <c r="G9" s="1">
        <v>5.5216180658502365</v>
      </c>
      <c r="I9" s="6" t="s">
        <v>111</v>
      </c>
      <c r="J9" s="1">
        <v>-17.058437500000004</v>
      </c>
      <c r="K9" s="1">
        <v>205.23938135000697</v>
      </c>
    </row>
    <row r="10" spans="1:11" x14ac:dyDescent="0.25">
      <c r="A10" s="6" t="s">
        <v>108</v>
      </c>
      <c r="B10" s="1">
        <v>16.969267149900592</v>
      </c>
      <c r="C10" s="1">
        <v>7.0782102264140487</v>
      </c>
      <c r="E10" s="6" t="s">
        <v>108</v>
      </c>
      <c r="F10" s="1">
        <v>1.6830437073635423</v>
      </c>
      <c r="G10" s="1">
        <v>1.0497694715204202</v>
      </c>
      <c r="I10" s="6" t="s">
        <v>108</v>
      </c>
      <c r="J10" s="1">
        <v>16.08909090909091</v>
      </c>
      <c r="K10" s="1">
        <v>8.7854584963868305</v>
      </c>
    </row>
    <row r="11" spans="1:11" x14ac:dyDescent="0.25">
      <c r="A11" s="6" t="s">
        <v>109</v>
      </c>
      <c r="B11" s="1">
        <v>12.072833312714248</v>
      </c>
      <c r="C11" s="1">
        <v>2.1046983064578328</v>
      </c>
      <c r="E11" s="6" t="s">
        <v>109</v>
      </c>
      <c r="F11" s="1">
        <v>4.5324000728604092</v>
      </c>
      <c r="G11" s="1">
        <v>2.9447705098219861</v>
      </c>
      <c r="I11" s="6" t="s">
        <v>109</v>
      </c>
      <c r="J11" s="1">
        <v>22.364444444444448</v>
      </c>
      <c r="K11" s="1">
        <v>11.632039193643948</v>
      </c>
    </row>
    <row r="12" spans="1:11" x14ac:dyDescent="0.25">
      <c r="A12" s="6" t="s">
        <v>115</v>
      </c>
      <c r="B12" s="1">
        <v>24.26862593316979</v>
      </c>
      <c r="C12" s="1">
        <v>27.111307388475435</v>
      </c>
      <c r="E12" s="6" t="s">
        <v>115</v>
      </c>
      <c r="F12" s="1">
        <v>2.4037896715439016</v>
      </c>
      <c r="G12" s="1">
        <v>1.1495650851598576</v>
      </c>
      <c r="I12" s="6" t="s">
        <v>115</v>
      </c>
      <c r="J12" s="1">
        <v>23.233000000000004</v>
      </c>
      <c r="K12" s="1">
        <v>38.98249133906144</v>
      </c>
    </row>
    <row r="13" spans="1:11" x14ac:dyDescent="0.25">
      <c r="A13" s="6" t="s">
        <v>110</v>
      </c>
      <c r="B13" s="1">
        <v>11.684515694581073</v>
      </c>
      <c r="C13" s="1">
        <v>3.3714328203987867</v>
      </c>
      <c r="E13" s="6" t="s">
        <v>110</v>
      </c>
      <c r="F13" s="1">
        <v>2.7679165782000683</v>
      </c>
      <c r="G13" s="1">
        <v>1.4614173357747791</v>
      </c>
      <c r="I13" s="6" t="s">
        <v>110</v>
      </c>
      <c r="J13" s="1">
        <v>5.4858333333333364</v>
      </c>
      <c r="K13" s="1">
        <v>42.553000571509507</v>
      </c>
    </row>
    <row r="21" spans="1:11" x14ac:dyDescent="0.25">
      <c r="A21" s="24" t="s">
        <v>64</v>
      </c>
      <c r="B21" s="24"/>
      <c r="C21" s="24"/>
      <c r="E21" s="24" t="s">
        <v>66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5.6646153846153844</v>
      </c>
      <c r="C25" s="1">
        <v>2.7502240898477144</v>
      </c>
      <c r="E25" s="6" t="s">
        <v>106</v>
      </c>
      <c r="F25" s="1">
        <v>2.4950000000000001</v>
      </c>
      <c r="G25" s="1">
        <v>1.2102523349639589</v>
      </c>
      <c r="I25" s="6" t="s">
        <v>106</v>
      </c>
      <c r="J25" s="1">
        <v>11.481106871271768</v>
      </c>
      <c r="K25" s="1">
        <v>10.207095977284213</v>
      </c>
    </row>
    <row r="26" spans="1:11" x14ac:dyDescent="0.25">
      <c r="A26" s="6" t="s">
        <v>107</v>
      </c>
      <c r="B26" s="1">
        <v>-9.925714285714287</v>
      </c>
      <c r="C26" s="1">
        <v>12.157045995920999</v>
      </c>
      <c r="E26" s="6" t="s">
        <v>107</v>
      </c>
      <c r="F26" s="1">
        <v>0.90571428571428569</v>
      </c>
      <c r="G26" s="1">
        <v>2.2833925708587786</v>
      </c>
      <c r="I26" s="6" t="s">
        <v>107</v>
      </c>
      <c r="J26" s="1">
        <v>2.9257993041474313</v>
      </c>
      <c r="K26" s="1">
        <v>9.5103273887825548</v>
      </c>
    </row>
    <row r="27" spans="1:11" x14ac:dyDescent="0.25">
      <c r="A27" s="6" t="s">
        <v>114</v>
      </c>
      <c r="B27" s="1">
        <v>5.7166666666666659</v>
      </c>
      <c r="C27" s="1">
        <v>2.3250639178788672</v>
      </c>
      <c r="E27" s="6" t="s">
        <v>114</v>
      </c>
      <c r="F27" s="1">
        <v>2.5587499999999999</v>
      </c>
      <c r="G27" s="1">
        <v>0.96787702602138492</v>
      </c>
      <c r="I27" s="6" t="s">
        <v>114</v>
      </c>
      <c r="J27" s="1">
        <v>15.908690395397102</v>
      </c>
      <c r="K27" s="1">
        <v>9.4401739351547302</v>
      </c>
    </row>
    <row r="28" spans="1:11" x14ac:dyDescent="0.25">
      <c r="A28" s="6" t="s">
        <v>112</v>
      </c>
      <c r="B28" s="1">
        <v>7.1418181818181816</v>
      </c>
      <c r="C28" s="1">
        <v>4.4700311534033741</v>
      </c>
      <c r="E28" s="6" t="s">
        <v>112</v>
      </c>
      <c r="F28" s="1">
        <v>2.15</v>
      </c>
      <c r="G28" s="1">
        <v>0.89150536632250221</v>
      </c>
      <c r="I28" s="6" t="s">
        <v>112</v>
      </c>
      <c r="J28" s="1">
        <v>17.832234273008531</v>
      </c>
      <c r="K28" s="1">
        <v>5.7747114266974373</v>
      </c>
    </row>
    <row r="29" spans="1:11" x14ac:dyDescent="0.25">
      <c r="A29" s="6" t="s">
        <v>111</v>
      </c>
      <c r="B29" s="1">
        <v>7.0890624999999998</v>
      </c>
      <c r="C29" s="1">
        <v>7.7022968811967862</v>
      </c>
      <c r="E29" s="6" t="s">
        <v>111</v>
      </c>
      <c r="F29" s="1">
        <v>4.475862068965518</v>
      </c>
      <c r="G29" s="1">
        <v>4.2748119678279854</v>
      </c>
      <c r="I29" s="6" t="s">
        <v>111</v>
      </c>
      <c r="J29" s="1">
        <v>20.803062633039001</v>
      </c>
      <c r="K29" s="1">
        <v>19.100108293363707</v>
      </c>
    </row>
    <row r="30" spans="1:11" x14ac:dyDescent="0.25">
      <c r="A30" s="6" t="s">
        <v>108</v>
      </c>
      <c r="B30" s="1">
        <v>8.5689999999999991</v>
      </c>
      <c r="C30" s="1">
        <v>2.6450839306154399</v>
      </c>
      <c r="E30" s="6" t="s">
        <v>108</v>
      </c>
      <c r="F30" s="1">
        <v>1.5700000000000003</v>
      </c>
      <c r="G30" s="1">
        <v>0.23706539182259107</v>
      </c>
      <c r="I30" s="6" t="s">
        <v>108</v>
      </c>
      <c r="J30" s="1">
        <v>11.537459850528798</v>
      </c>
      <c r="K30" s="1">
        <v>5.729554458264877</v>
      </c>
    </row>
    <row r="31" spans="1:11" x14ac:dyDescent="0.25">
      <c r="A31" s="6" t="s">
        <v>109</v>
      </c>
      <c r="B31" s="1">
        <v>6.0433333333333321</v>
      </c>
      <c r="C31" s="1">
        <v>3.7650438982242398</v>
      </c>
      <c r="E31" s="6" t="s">
        <v>109</v>
      </c>
      <c r="F31" s="1">
        <v>3.1828571428571428</v>
      </c>
      <c r="G31" s="1">
        <v>1.1689154226487566</v>
      </c>
      <c r="I31" s="6" t="s">
        <v>109</v>
      </c>
      <c r="J31" s="1">
        <v>21.119744096476751</v>
      </c>
      <c r="K31" s="1">
        <v>8.3893337520588176</v>
      </c>
    </row>
    <row r="32" spans="1:11" x14ac:dyDescent="0.25">
      <c r="A32" s="6" t="s">
        <v>115</v>
      </c>
      <c r="B32" s="1">
        <v>5.335</v>
      </c>
      <c r="C32" s="1">
        <v>4.0897585503303242</v>
      </c>
      <c r="E32" s="6" t="s">
        <v>115</v>
      </c>
      <c r="F32" s="1">
        <v>2.9394999999999998</v>
      </c>
      <c r="G32" s="1">
        <v>0.9708834894053967</v>
      </c>
      <c r="I32" s="6" t="s">
        <v>115</v>
      </c>
      <c r="J32" s="1">
        <v>11.861630194251216</v>
      </c>
      <c r="K32" s="1">
        <v>8.32541152682108</v>
      </c>
    </row>
    <row r="33" spans="1:11" x14ac:dyDescent="0.25">
      <c r="A33" s="6" t="s">
        <v>110</v>
      </c>
      <c r="B33" s="1">
        <v>5.3900000000000006</v>
      </c>
      <c r="C33" s="1">
        <v>2.720951630914775</v>
      </c>
      <c r="E33" s="6" t="s">
        <v>110</v>
      </c>
      <c r="F33" s="1">
        <v>2.5640000000000001</v>
      </c>
      <c r="G33" s="1">
        <v>0.64386644577893482</v>
      </c>
      <c r="I33" s="6" t="s">
        <v>110</v>
      </c>
      <c r="J33" s="1">
        <v>8.7899594684667548</v>
      </c>
      <c r="K33" s="1">
        <v>13.090076713337513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34"/>
  <sheetViews>
    <sheetView workbookViewId="0">
      <selection activeCell="O25" sqref="O25"/>
    </sheetView>
  </sheetViews>
  <sheetFormatPr defaultRowHeight="15" x14ac:dyDescent="0.25"/>
  <cols>
    <col min="1" max="1" width="30" bestFit="1" customWidth="1"/>
    <col min="2" max="2" width="16.28515625" bestFit="1" customWidth="1"/>
    <col min="3" max="3" width="16.85546875" bestFit="1" customWidth="1"/>
    <col min="5" max="5" width="30" bestFit="1" customWidth="1"/>
    <col min="6" max="6" width="14" bestFit="1" customWidth="1"/>
    <col min="7" max="7" width="14.5703125" bestFit="1" customWidth="1"/>
    <col min="9" max="9" width="30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61</v>
      </c>
      <c r="B1" s="24"/>
      <c r="C1" s="24"/>
      <c r="E1" s="24" t="s">
        <v>81</v>
      </c>
      <c r="F1" s="24"/>
      <c r="G1" s="24"/>
      <c r="I1" s="24" t="s">
        <v>63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12.945318709500881</v>
      </c>
      <c r="C5" s="1">
        <v>12.277752184345649</v>
      </c>
      <c r="E5" s="6" t="s">
        <v>106</v>
      </c>
      <c r="F5" s="1">
        <v>0.9740660212725718</v>
      </c>
      <c r="G5" s="1">
        <v>0.27635750518946461</v>
      </c>
      <c r="I5" s="6" t="s">
        <v>106</v>
      </c>
      <c r="J5" s="1">
        <v>5.3677777777777784</v>
      </c>
      <c r="K5" s="1">
        <v>16.332779431273089</v>
      </c>
    </row>
    <row r="6" spans="1:11" x14ac:dyDescent="0.25">
      <c r="A6" s="6" t="s">
        <v>107</v>
      </c>
      <c r="B6" s="1">
        <v>-4.037962962962963</v>
      </c>
      <c r="C6" s="1">
        <v>14.028548622517105</v>
      </c>
      <c r="E6" s="6" t="s">
        <v>107</v>
      </c>
      <c r="F6" s="1">
        <v>5.1196899161468634</v>
      </c>
      <c r="G6" s="1">
        <v>6.1124607525583672</v>
      </c>
      <c r="I6" s="6" t="s">
        <v>107</v>
      </c>
      <c r="J6" s="1">
        <v>-17.810000000000002</v>
      </c>
      <c r="K6" s="1">
        <v>28.516259397052764</v>
      </c>
    </row>
    <row r="7" spans="1:11" x14ac:dyDescent="0.25">
      <c r="A7" s="6" t="s">
        <v>114</v>
      </c>
      <c r="B7" s="1">
        <v>15.051720937257565</v>
      </c>
      <c r="C7" s="1">
        <v>18.56182278442137</v>
      </c>
      <c r="E7" s="6" t="s">
        <v>114</v>
      </c>
      <c r="F7" s="1">
        <v>3.7706501318014007</v>
      </c>
      <c r="G7" s="1">
        <v>3.7301258623182916</v>
      </c>
      <c r="I7" s="6" t="s">
        <v>114</v>
      </c>
      <c r="J7" s="1">
        <v>-13.746666666666668</v>
      </c>
      <c r="K7" s="1">
        <v>26.05861384562801</v>
      </c>
    </row>
    <row r="8" spans="1:11" x14ac:dyDescent="0.25">
      <c r="A8" s="6" t="s">
        <v>113</v>
      </c>
      <c r="B8" s="1">
        <v>7.3589314540998298</v>
      </c>
      <c r="C8" s="1">
        <v>4.2418011466327732</v>
      </c>
      <c r="E8" s="6" t="s">
        <v>113</v>
      </c>
      <c r="F8" s="1">
        <v>1.0145563915908893</v>
      </c>
      <c r="G8" s="1">
        <v>0.19978409920665702</v>
      </c>
      <c r="I8" s="6" t="s">
        <v>113</v>
      </c>
      <c r="J8" s="1">
        <v>8.73</v>
      </c>
      <c r="K8" s="1">
        <v>3.0299999999999989</v>
      </c>
    </row>
    <row r="9" spans="1:11" x14ac:dyDescent="0.25">
      <c r="A9" s="6" t="s">
        <v>112</v>
      </c>
      <c r="B9" s="1">
        <v>23.368113128827261</v>
      </c>
      <c r="C9" s="1">
        <v>19.944023200466358</v>
      </c>
      <c r="E9" s="6" t="s">
        <v>112</v>
      </c>
      <c r="F9" s="1">
        <v>3.302180341327579</v>
      </c>
      <c r="G9" s="1">
        <v>1.4231980601328982</v>
      </c>
      <c r="I9" s="6" t="s">
        <v>112</v>
      </c>
      <c r="J9" s="1">
        <v>-1.5008333333333341</v>
      </c>
      <c r="K9" s="1">
        <v>18.597822210469221</v>
      </c>
    </row>
    <row r="10" spans="1:11" x14ac:dyDescent="0.25">
      <c r="A10" s="6" t="s">
        <v>111</v>
      </c>
      <c r="B10" s="1">
        <v>8.6748378060228841</v>
      </c>
      <c r="C10" s="1">
        <v>24.330149665173721</v>
      </c>
      <c r="E10" s="6" t="s">
        <v>111</v>
      </c>
      <c r="F10" s="1">
        <v>1.6759515178258146</v>
      </c>
      <c r="G10" s="1">
        <v>2.3897582008015141</v>
      </c>
      <c r="I10" s="6" t="s">
        <v>111</v>
      </c>
      <c r="J10" s="1">
        <v>3.5470270270270294</v>
      </c>
      <c r="K10" s="1">
        <v>17.510355062210333</v>
      </c>
    </row>
    <row r="11" spans="1:11" x14ac:dyDescent="0.25">
      <c r="A11" s="6" t="s">
        <v>108</v>
      </c>
      <c r="B11" s="1">
        <v>4.1667700096724527</v>
      </c>
      <c r="C11" s="1">
        <v>15.224676900756158</v>
      </c>
      <c r="E11" s="6" t="s">
        <v>108</v>
      </c>
      <c r="F11" s="1">
        <v>1.2744497803036019</v>
      </c>
      <c r="G11" s="1">
        <v>0.67453333649277114</v>
      </c>
      <c r="I11" s="6" t="s">
        <v>108</v>
      </c>
      <c r="J11" s="1">
        <v>11.764166666666668</v>
      </c>
      <c r="K11" s="1">
        <v>6.3784408470165239</v>
      </c>
    </row>
    <row r="12" spans="1:11" x14ac:dyDescent="0.25">
      <c r="A12" s="6" t="s">
        <v>109</v>
      </c>
      <c r="B12" s="1">
        <v>19.186298096367619</v>
      </c>
      <c r="C12" s="1">
        <v>7.9222786643880685</v>
      </c>
      <c r="E12" s="6" t="s">
        <v>109</v>
      </c>
      <c r="F12" s="1">
        <v>1.4544937866783287</v>
      </c>
      <c r="G12" s="1">
        <v>0.61433312960250819</v>
      </c>
      <c r="I12" s="6" t="s">
        <v>109</v>
      </c>
      <c r="J12" s="1">
        <v>7.5000000000000469E-2</v>
      </c>
      <c r="K12" s="1">
        <v>7.6541726093244939</v>
      </c>
    </row>
    <row r="13" spans="1:11" x14ac:dyDescent="0.25">
      <c r="A13" s="6" t="s">
        <v>115</v>
      </c>
      <c r="B13" s="1">
        <v>11.434257367902564</v>
      </c>
      <c r="C13" s="1">
        <v>16.966653038183246</v>
      </c>
      <c r="E13" s="6" t="s">
        <v>115</v>
      </c>
      <c r="F13" s="1">
        <v>1.7258047967170838</v>
      </c>
      <c r="G13" s="1">
        <v>1.0021003833753999</v>
      </c>
      <c r="I13" s="6" t="s">
        <v>115</v>
      </c>
      <c r="J13" s="1">
        <v>5.0202857142857145</v>
      </c>
      <c r="K13" s="1">
        <v>16.841928543406915</v>
      </c>
    </row>
    <row r="14" spans="1:11" x14ac:dyDescent="0.25">
      <c r="A14" s="6" t="s">
        <v>110</v>
      </c>
      <c r="B14" s="1">
        <v>9.1177170071298406</v>
      </c>
      <c r="C14" s="1">
        <v>6.274341603929166</v>
      </c>
      <c r="E14" s="6" t="s">
        <v>110</v>
      </c>
      <c r="F14" s="1">
        <v>2.3108276769035592</v>
      </c>
      <c r="G14" s="1">
        <v>1.4580739875487265</v>
      </c>
      <c r="I14" s="6" t="s">
        <v>110</v>
      </c>
      <c r="J14" s="1">
        <v>8.5550000000000015</v>
      </c>
      <c r="K14" s="1">
        <v>15.319400934762429</v>
      </c>
    </row>
    <row r="21" spans="1:11" x14ac:dyDescent="0.25">
      <c r="A21" s="24" t="s">
        <v>65</v>
      </c>
      <c r="B21" s="24"/>
      <c r="C21" s="24"/>
      <c r="E21" s="24" t="s">
        <v>67</v>
      </c>
      <c r="F21" s="24"/>
      <c r="G21" s="24"/>
      <c r="I21" s="24" t="s">
        <v>68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3.9575</v>
      </c>
      <c r="C25" s="1">
        <v>1.2980056818057475</v>
      </c>
      <c r="E25" s="6" t="s">
        <v>106</v>
      </c>
      <c r="F25" s="1">
        <v>2.2466666666666666</v>
      </c>
      <c r="G25" s="1">
        <v>0.55352406351385386</v>
      </c>
      <c r="I25" s="6" t="s">
        <v>106</v>
      </c>
      <c r="J25" s="1">
        <v>6.5247091073303167</v>
      </c>
      <c r="K25" s="1">
        <v>13.926912119227158</v>
      </c>
    </row>
    <row r="26" spans="1:11" x14ac:dyDescent="0.25">
      <c r="A26" s="6" t="s">
        <v>107</v>
      </c>
      <c r="B26" s="1">
        <v>-17.98</v>
      </c>
      <c r="C26" s="1">
        <v>20.365631179350501</v>
      </c>
      <c r="E26" s="6" t="s">
        <v>107</v>
      </c>
      <c r="F26" s="1">
        <v>2.6280000000000001</v>
      </c>
      <c r="G26" s="1">
        <v>1.0329259411981091</v>
      </c>
      <c r="I26" s="6" t="s">
        <v>107</v>
      </c>
      <c r="J26" s="1">
        <v>-7.056422351902472</v>
      </c>
      <c r="K26" s="1">
        <v>5.4117214096668542</v>
      </c>
    </row>
    <row r="27" spans="1:11" x14ac:dyDescent="0.25">
      <c r="A27" s="6" t="s">
        <v>114</v>
      </c>
      <c r="B27" s="1">
        <v>2.3924999999999996</v>
      </c>
      <c r="C27" s="1">
        <v>2.1372572961625376</v>
      </c>
      <c r="E27" s="6" t="s">
        <v>114</v>
      </c>
      <c r="F27" s="1">
        <v>3.5466666666666669</v>
      </c>
      <c r="G27" s="1">
        <v>0.79734280930823864</v>
      </c>
      <c r="I27" s="6" t="s">
        <v>114</v>
      </c>
      <c r="J27" s="1">
        <v>-3.7828071024822321</v>
      </c>
      <c r="K27" s="1">
        <v>10.00456333032901</v>
      </c>
    </row>
    <row r="28" spans="1:11" x14ac:dyDescent="0.25">
      <c r="A28" s="6" t="s">
        <v>113</v>
      </c>
      <c r="B28" s="1">
        <v>4.5049999999999999</v>
      </c>
      <c r="C28" s="1">
        <v>2.8049999999999997</v>
      </c>
      <c r="E28" s="6" t="s">
        <v>113</v>
      </c>
      <c r="F28" s="1">
        <v>2.2949999999999999</v>
      </c>
      <c r="G28" s="1">
        <v>1.0950000000000004</v>
      </c>
      <c r="I28" s="6" t="s">
        <v>113</v>
      </c>
      <c r="J28" s="1">
        <v>11.989136356017433</v>
      </c>
      <c r="K28" s="1">
        <v>1.5713731981226835</v>
      </c>
    </row>
    <row r="29" spans="1:11" x14ac:dyDescent="0.25">
      <c r="A29" s="6" t="s">
        <v>112</v>
      </c>
      <c r="B29" s="1">
        <v>0.65466666666666684</v>
      </c>
      <c r="C29" s="1">
        <v>10.267297513086012</v>
      </c>
      <c r="E29" s="6" t="s">
        <v>112</v>
      </c>
      <c r="F29" s="1">
        <v>2.583076923076923</v>
      </c>
      <c r="G29" s="1">
        <v>1.5344825467858971</v>
      </c>
      <c r="I29" s="6" t="s">
        <v>112</v>
      </c>
      <c r="J29" s="1">
        <v>11.397081473788893</v>
      </c>
      <c r="K29" s="1">
        <v>24.580527561115499</v>
      </c>
    </row>
    <row r="30" spans="1:11" x14ac:dyDescent="0.25">
      <c r="A30" s="6" t="s">
        <v>111</v>
      </c>
      <c r="B30" s="1">
        <v>3.6345945945945943</v>
      </c>
      <c r="C30" s="1">
        <v>2.8611333934484642</v>
      </c>
      <c r="E30" s="6" t="s">
        <v>111</v>
      </c>
      <c r="F30" s="1">
        <v>2.3145454545454549</v>
      </c>
      <c r="G30" s="1">
        <v>2.1964959572824454</v>
      </c>
      <c r="I30" s="6" t="s">
        <v>111</v>
      </c>
      <c r="J30" s="1">
        <v>11.172698377325279</v>
      </c>
      <c r="K30" s="1">
        <v>20.745974399765423</v>
      </c>
    </row>
    <row r="31" spans="1:11" x14ac:dyDescent="0.25">
      <c r="A31" s="6" t="s">
        <v>108</v>
      </c>
      <c r="B31" s="1">
        <v>4.9799999999999995</v>
      </c>
      <c r="C31" s="1">
        <v>2.084952894294875</v>
      </c>
      <c r="E31" s="6" t="s">
        <v>108</v>
      </c>
      <c r="F31" s="1">
        <v>2.120714285714286</v>
      </c>
      <c r="G31" s="1">
        <v>0.63561516081121017</v>
      </c>
      <c r="I31" s="6" t="s">
        <v>108</v>
      </c>
      <c r="J31" s="1">
        <v>9.6552813954231063</v>
      </c>
      <c r="K31" s="1">
        <v>7.738007697562491</v>
      </c>
    </row>
    <row r="32" spans="1:11" x14ac:dyDescent="0.25">
      <c r="A32" s="6" t="s">
        <v>109</v>
      </c>
      <c r="B32" s="1">
        <v>1.2514285714285711</v>
      </c>
      <c r="C32" s="1">
        <v>3.1750609828628429</v>
      </c>
      <c r="E32" s="6" t="s">
        <v>109</v>
      </c>
      <c r="F32" s="1">
        <v>1.5216666666666665</v>
      </c>
      <c r="G32" s="1">
        <v>0.30223702986600331</v>
      </c>
      <c r="I32" s="6" t="s">
        <v>109</v>
      </c>
      <c r="J32" s="1">
        <v>-16.259496882727344</v>
      </c>
      <c r="K32" s="1">
        <v>31.262859720284606</v>
      </c>
    </row>
    <row r="33" spans="1:11" x14ac:dyDescent="0.25">
      <c r="A33" s="6" t="s">
        <v>115</v>
      </c>
      <c r="B33" s="1">
        <v>3.082121212121212</v>
      </c>
      <c r="C33" s="1">
        <v>3.0545145501082129</v>
      </c>
      <c r="E33" s="6" t="s">
        <v>115</v>
      </c>
      <c r="F33" s="1">
        <v>2.6702857142857135</v>
      </c>
      <c r="G33" s="1">
        <v>1.4682438211575588</v>
      </c>
      <c r="I33" s="6" t="s">
        <v>115</v>
      </c>
      <c r="J33" s="1">
        <v>9.9757669957121298</v>
      </c>
      <c r="K33" s="1">
        <v>18.811719485664746</v>
      </c>
    </row>
    <row r="34" spans="1:11" x14ac:dyDescent="0.25">
      <c r="A34" s="6" t="s">
        <v>110</v>
      </c>
      <c r="B34" s="1">
        <v>4.7</v>
      </c>
      <c r="C34" s="1">
        <v>3.9559145592391154</v>
      </c>
      <c r="E34" s="6" t="s">
        <v>110</v>
      </c>
      <c r="F34" s="1">
        <v>1.8887499999999999</v>
      </c>
      <c r="G34" s="1">
        <v>0.60918875358955915</v>
      </c>
      <c r="I34" s="6" t="s">
        <v>110</v>
      </c>
      <c r="J34" s="1">
        <v>11.262328436430217</v>
      </c>
      <c r="K34" s="1">
        <v>7.336795959837751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18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J29" sqref="J29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Large Cap"</f>
        <v>Consumer Discretionary - Large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x14ac:dyDescent="0.25">
      <c r="C2" s="34" t="s">
        <v>104</v>
      </c>
      <c r="D2" s="35"/>
      <c r="E2" s="35"/>
      <c r="F2" s="35"/>
      <c r="G2" s="35"/>
      <c r="H2" s="36"/>
      <c r="I2" s="42" t="s">
        <v>69</v>
      </c>
      <c r="J2" s="43"/>
      <c r="K2" s="43"/>
      <c r="L2" s="43"/>
      <c r="M2" s="44"/>
      <c r="N2" s="45" t="s">
        <v>86</v>
      </c>
      <c r="O2" s="46"/>
      <c r="P2" s="46"/>
      <c r="Q2" s="46"/>
      <c r="R2" s="46"/>
      <c r="S2" s="47"/>
      <c r="T2" s="40" t="str">
        <f>"Max Score:"&amp;IFERROR(CHAR(10)&amp;MAX($T$9:$T$1048576)&amp;"/5", CHAR(10)&amp;"0/5")</f>
        <v>Max Score:
5/5</v>
      </c>
    </row>
    <row r="3" spans="1:20" s="10" customFormat="1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459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10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8">_xlfn._xlws.FILTER(_xlfn._xlws.FILTER(Main_L[], Main_L[Preliminary Criteria]="YES"), COUNTIF($A$8:$S$8,Main_L[#Headers]))</f>
        <v>Broadline Retail</v>
      </c>
      <c r="B9" t="str">
        <v>PDD</v>
      </c>
      <c r="C9" s="9">
        <v>137010</v>
      </c>
      <c r="D9" s="1">
        <v>101.62</v>
      </c>
      <c r="E9" s="1">
        <v>11.46</v>
      </c>
      <c r="F9" s="1">
        <v>32.630000000000003</v>
      </c>
      <c r="G9" s="1">
        <v>9.23</v>
      </c>
      <c r="H9" s="1">
        <v>8.8673647469458992</v>
      </c>
      <c r="I9" s="1">
        <v>3.1143119828378794</v>
      </c>
      <c r="J9" s="1">
        <v>36.17</v>
      </c>
      <c r="K9" s="1">
        <v>13.56</v>
      </c>
      <c r="L9" s="1">
        <v>1.61</v>
      </c>
      <c r="M9" s="1">
        <v>11.009750812567715</v>
      </c>
      <c r="N9" s="1">
        <v>-1.2484181409346622</v>
      </c>
      <c r="O9" s="1">
        <v>-0.5693158652000776</v>
      </c>
      <c r="P9" s="1">
        <v>0.8230916872111057</v>
      </c>
      <c r="Q9" s="1">
        <v>3.2807115314433082</v>
      </c>
      <c r="R9" s="1">
        <v>-1.02909908966235</v>
      </c>
      <c r="S9" s="1">
        <v>-0.76012822720299389</v>
      </c>
      <c r="T9">
        <f t="shared" ref="T9:T18" si="0">SUM(IF($I9&lt;(0.7*VLOOKUP($A9, Mean_PB_L, 2, FALSE)),1,0), IF($J9&gt;VLOOKUP($A9, Mean_ROE_L, 2, FALSE),1,0), IF($K9&gt;VLOOKUP($A9, Mean_ROA_L, 2,FALSE),1,0), IF($M9&lt;VLOOKUP($A9, Mean_PE_L, 2, FALSE),1,0), IF(AND($M9&gt;1,$M9&lt;25),1,0))</f>
        <v>5</v>
      </c>
    </row>
    <row r="10" spans="1:20" x14ac:dyDescent="0.25">
      <c r="A10" t="str">
        <v>Distributors</v>
      </c>
      <c r="B10" t="str">
        <v>LKQ</v>
      </c>
      <c r="C10" s="2">
        <v>10447</v>
      </c>
      <c r="D10" s="1">
        <v>39.28</v>
      </c>
      <c r="E10" s="1">
        <v>2.16</v>
      </c>
      <c r="F10" s="1">
        <v>23.9</v>
      </c>
      <c r="G10" s="1">
        <v>2.68</v>
      </c>
      <c r="H10" s="1">
        <v>18.185185185185183</v>
      </c>
      <c r="I10" s="1">
        <v>1.6435146443514645</v>
      </c>
      <c r="J10" s="1">
        <v>11.39</v>
      </c>
      <c r="K10" s="1">
        <v>5.36</v>
      </c>
      <c r="L10" s="1">
        <v>2.5099999999999998</v>
      </c>
      <c r="M10" s="1">
        <v>14.656716417910447</v>
      </c>
      <c r="N10" s="1">
        <v>-0.85999762077219433</v>
      </c>
      <c r="O10" s="1">
        <v>-1.0393211072129249</v>
      </c>
      <c r="P10" s="1">
        <v>-1.1181003066149389</v>
      </c>
      <c r="Q10" s="1">
        <v>-0.58263753334257551</v>
      </c>
      <c r="R10" s="1">
        <v>-0.98337861829886575</v>
      </c>
      <c r="S10" s="1">
        <v>-1.1793821470698416</v>
      </c>
      <c r="T10">
        <f t="shared" si="0"/>
        <v>3</v>
      </c>
    </row>
    <row r="11" spans="1:20" x14ac:dyDescent="0.25">
      <c r="A11" t="str">
        <v>Diversified Consumer Services</v>
      </c>
      <c r="B11" t="str">
        <v>PSO</v>
      </c>
      <c r="C11" s="2">
        <v>10510</v>
      </c>
      <c r="D11" s="1">
        <v>14.94</v>
      </c>
      <c r="E11" s="1">
        <v>0.94</v>
      </c>
      <c r="F11" s="1">
        <v>7.6</v>
      </c>
      <c r="G11" s="1">
        <v>0.8</v>
      </c>
      <c r="H11" s="1">
        <v>15.893617021276595</v>
      </c>
      <c r="I11" s="1">
        <v>1.9657894736842105</v>
      </c>
      <c r="J11" s="1">
        <v>10.82</v>
      </c>
      <c r="K11" s="1">
        <v>5.19</v>
      </c>
      <c r="L11" s="1">
        <v>1.71</v>
      </c>
      <c r="M11" s="1">
        <v>18.674999999999997</v>
      </c>
      <c r="N11" s="1">
        <v>-0.7413334280823014</v>
      </c>
      <c r="O11" s="1">
        <v>-0.93982038137826185</v>
      </c>
      <c r="P11" s="1">
        <v>-0.76793497579829872</v>
      </c>
      <c r="Q11" s="1">
        <v>1.4118765657263674</v>
      </c>
      <c r="R11" s="1">
        <v>-0.69026320304045508</v>
      </c>
      <c r="S11" s="1">
        <v>-0.72305773102892923</v>
      </c>
      <c r="T11">
        <f t="shared" si="0"/>
        <v>4</v>
      </c>
    </row>
    <row r="12" spans="1:20" x14ac:dyDescent="0.25">
      <c r="A12" t="str">
        <v>Hotels, Restaurants &amp; Leisure</v>
      </c>
      <c r="B12" t="str">
        <v>YUMC</v>
      </c>
      <c r="C12" s="2">
        <v>16245</v>
      </c>
      <c r="D12" s="1">
        <v>44.24</v>
      </c>
      <c r="E12" s="1">
        <v>2.0299999999999998</v>
      </c>
      <c r="F12" s="1">
        <v>15.38</v>
      </c>
      <c r="G12" s="1">
        <v>2.38</v>
      </c>
      <c r="H12" s="1">
        <v>21.793103448275865</v>
      </c>
      <c r="I12" s="1">
        <v>2.8764629388816645</v>
      </c>
      <c r="J12" s="1">
        <v>15.14</v>
      </c>
      <c r="K12" s="1">
        <v>6.9</v>
      </c>
      <c r="L12" s="1">
        <v>1.9</v>
      </c>
      <c r="M12" s="1">
        <v>18.588235294117649</v>
      </c>
      <c r="N12" s="1">
        <v>-0.56690124053857216</v>
      </c>
      <c r="O12" s="1">
        <v>-0.18824601534902666</v>
      </c>
      <c r="P12" s="1">
        <v>5.9135193609105241E-2</v>
      </c>
      <c r="Q12" s="1">
        <v>-0.11348193000752479</v>
      </c>
      <c r="R12" s="1">
        <v>-0.10678597580478903</v>
      </c>
      <c r="S12" s="1">
        <v>-0.92302444085335256</v>
      </c>
      <c r="T12">
        <f t="shared" si="0"/>
        <v>4</v>
      </c>
    </row>
    <row r="13" spans="1:20" x14ac:dyDescent="0.25">
      <c r="A13" t="str">
        <v>Household Durables</v>
      </c>
      <c r="B13" t="str">
        <v>PHM</v>
      </c>
      <c r="C13" s="2">
        <v>19648</v>
      </c>
      <c r="D13" s="1">
        <v>101.47</v>
      </c>
      <c r="E13" s="1">
        <v>7.06</v>
      </c>
      <c r="F13" s="1">
        <v>61.33</v>
      </c>
      <c r="G13" s="1">
        <v>14.2</v>
      </c>
      <c r="H13" s="1">
        <v>14.372521246458923</v>
      </c>
      <c r="I13" s="1">
        <v>1.6544920919615196</v>
      </c>
      <c r="J13" s="1">
        <v>25.52</v>
      </c>
      <c r="K13" s="1">
        <v>13.89</v>
      </c>
      <c r="L13" s="1">
        <v>1.41</v>
      </c>
      <c r="M13" s="1">
        <v>7.1457746478873245</v>
      </c>
      <c r="N13" s="1">
        <v>-0.65014259931232254</v>
      </c>
      <c r="O13" s="1">
        <v>-0.73858883120481011</v>
      </c>
      <c r="P13" s="1">
        <v>4.5894727509040738</v>
      </c>
      <c r="Q13" s="1">
        <v>1.8899804843602379</v>
      </c>
      <c r="R13" s="1">
        <v>-0.74425596815627248</v>
      </c>
      <c r="S13" s="1">
        <v>-0.90398700634179363</v>
      </c>
      <c r="T13">
        <f t="shared" si="0"/>
        <v>5</v>
      </c>
    </row>
    <row r="14" spans="1:20" x14ac:dyDescent="0.25">
      <c r="A14" t="str">
        <v>Household Durables</v>
      </c>
      <c r="B14" t="str">
        <v>LEN</v>
      </c>
      <c r="C14" s="2">
        <v>27983</v>
      </c>
      <c r="D14" s="1">
        <v>110.37</v>
      </c>
      <c r="E14" s="1">
        <v>5.93</v>
      </c>
      <c r="F14" s="1">
        <v>86.16</v>
      </c>
      <c r="G14" s="1">
        <v>13.77</v>
      </c>
      <c r="H14" s="1">
        <v>18.612141652613829</v>
      </c>
      <c r="I14" s="1">
        <v>1.2809888579387188</v>
      </c>
      <c r="J14" s="1">
        <v>15.21</v>
      </c>
      <c r="K14" s="1">
        <v>8.2200000000000006</v>
      </c>
      <c r="L14" s="1">
        <v>1.54</v>
      </c>
      <c r="M14" s="1">
        <v>8.0152505446623099</v>
      </c>
      <c r="N14" s="1">
        <v>-0.2573256157037927</v>
      </c>
      <c r="O14" s="1">
        <v>-0.92181572993994032</v>
      </c>
      <c r="P14" s="1">
        <v>-1.2440873121960656</v>
      </c>
      <c r="Q14" s="1">
        <v>0.32145159877438489</v>
      </c>
      <c r="R14" s="1">
        <v>-0.58945072677976773</v>
      </c>
      <c r="S14" s="1">
        <v>-0.8380653212509801</v>
      </c>
      <c r="T14">
        <f t="shared" si="0"/>
        <v>4</v>
      </c>
    </row>
    <row r="15" spans="1:20" x14ac:dyDescent="0.25">
      <c r="A15" t="str">
        <v>Household Durables</v>
      </c>
      <c r="B15" t="str">
        <v>TOL</v>
      </c>
      <c r="C15" s="2">
        <v>10235</v>
      </c>
      <c r="D15" s="1">
        <v>109.54</v>
      </c>
      <c r="E15" s="1">
        <v>7.98</v>
      </c>
      <c r="F15" s="1">
        <v>80.84</v>
      </c>
      <c r="G15" s="1">
        <v>13.5</v>
      </c>
      <c r="H15" s="1">
        <v>13.726817042606516</v>
      </c>
      <c r="I15" s="1">
        <v>1.355022266204849</v>
      </c>
      <c r="J15" s="1">
        <v>18.059999999999999</v>
      </c>
      <c r="K15" s="1">
        <v>8.3699999999999992</v>
      </c>
      <c r="L15" s="1">
        <v>1.79</v>
      </c>
      <c r="M15" s="1">
        <v>8.1140740740740753</v>
      </c>
      <c r="N15" s="1">
        <v>-0.70996955393600081</v>
      </c>
      <c r="O15" s="1">
        <v>-0.88549767278874925</v>
      </c>
      <c r="P15" s="1">
        <v>0.36848748701202244</v>
      </c>
      <c r="Q15" s="1">
        <v>0.36294707193803138</v>
      </c>
      <c r="R15" s="1">
        <v>-0.29174833951725881</v>
      </c>
      <c r="S15" s="1">
        <v>-0.83057274600006303</v>
      </c>
      <c r="T15">
        <f t="shared" si="0"/>
        <v>5</v>
      </c>
    </row>
    <row r="16" spans="1:20" x14ac:dyDescent="0.25">
      <c r="A16" t="str">
        <v>Household Durables</v>
      </c>
      <c r="B16" t="str">
        <v>DHI</v>
      </c>
      <c r="C16" s="2">
        <v>36266</v>
      </c>
      <c r="D16" s="1">
        <v>122.65</v>
      </c>
      <c r="E16" s="1">
        <v>8.48</v>
      </c>
      <c r="F16" s="1">
        <v>78.819999999999993</v>
      </c>
      <c r="G16" s="1">
        <v>13.25</v>
      </c>
      <c r="H16" s="1">
        <v>14.463443396226415</v>
      </c>
      <c r="I16" s="1">
        <v>1.5560771377822891</v>
      </c>
      <c r="J16" s="1">
        <v>17.649999999999999</v>
      </c>
      <c r="K16" s="1">
        <v>9.89</v>
      </c>
      <c r="L16" s="1">
        <v>1.47</v>
      </c>
      <c r="M16" s="1">
        <v>9.2566037735849065</v>
      </c>
      <c r="N16" s="1">
        <v>-0.64171831572244775</v>
      </c>
      <c r="O16" s="1">
        <v>-0.78686757473590241</v>
      </c>
      <c r="P16" s="1">
        <v>0.13650304221366569</v>
      </c>
      <c r="Q16" s="1">
        <v>0.78343453332965374</v>
      </c>
      <c r="R16" s="1">
        <v>-0.67280739521327027</v>
      </c>
      <c r="S16" s="1">
        <v>-0.74394874257752008</v>
      </c>
      <c r="T16">
        <f t="shared" si="0"/>
        <v>5</v>
      </c>
    </row>
    <row r="17" spans="1:20" x14ac:dyDescent="0.25">
      <c r="A17" t="str">
        <v>Textiles, Apparel &amp; Luxury Goods</v>
      </c>
      <c r="B17" t="str">
        <v>DECK</v>
      </c>
      <c r="C17" s="2">
        <v>15768</v>
      </c>
      <c r="D17" s="1">
        <v>110.91</v>
      </c>
      <c r="E17" s="1">
        <v>6.31</v>
      </c>
      <c r="F17" s="1">
        <v>16.73</v>
      </c>
      <c r="G17" s="1">
        <v>6.33</v>
      </c>
      <c r="H17" s="1">
        <v>17.576862123613314</v>
      </c>
      <c r="I17" s="1">
        <v>6.6294082486551105</v>
      </c>
      <c r="J17" s="1">
        <v>41.82</v>
      </c>
      <c r="K17" s="1">
        <v>22.06</v>
      </c>
      <c r="L17" s="1">
        <v>1.42</v>
      </c>
      <c r="M17" s="1">
        <v>17.521327014218009</v>
      </c>
      <c r="N17" s="1">
        <v>-0.62927172059192205</v>
      </c>
      <c r="O17" s="1">
        <v>-5.8048780545926291E-2</v>
      </c>
      <c r="P17" s="1">
        <v>1.1601393927513026</v>
      </c>
      <c r="Q17" s="1">
        <v>7.6649029330560774</v>
      </c>
      <c r="R17" s="1">
        <v>-1.0061504027561858</v>
      </c>
      <c r="S17" s="1">
        <v>-0.87108078484584517</v>
      </c>
      <c r="T17">
        <f t="shared" si="0"/>
        <v>4</v>
      </c>
    </row>
    <row r="18" spans="1:20" x14ac:dyDescent="0.25">
      <c r="A18" t="str">
        <v>Textiles, Apparel &amp; Luxury Goods</v>
      </c>
      <c r="B18" t="str">
        <v>MONRY</v>
      </c>
      <c r="C18" s="2">
        <v>16986</v>
      </c>
      <c r="D18" s="1">
        <v>61.174999999999997</v>
      </c>
      <c r="E18" s="1">
        <v>3.04</v>
      </c>
      <c r="F18" s="1">
        <v>13.73</v>
      </c>
      <c r="G18" s="1">
        <v>2.44</v>
      </c>
      <c r="H18" s="1">
        <v>20.123355263157894</v>
      </c>
      <c r="I18" s="1">
        <v>4.4555717407137649</v>
      </c>
      <c r="J18" s="1">
        <v>18.809999999999999</v>
      </c>
      <c r="K18" s="1">
        <v>10.91</v>
      </c>
      <c r="L18" s="1">
        <v>1.53</v>
      </c>
      <c r="M18" s="1">
        <v>25.071721311475411</v>
      </c>
      <c r="N18" s="1">
        <v>-0.36202385628246897</v>
      </c>
      <c r="O18" s="1">
        <v>-0.88497496867499736</v>
      </c>
      <c r="P18" s="1">
        <v>-0.53250022148617293</v>
      </c>
      <c r="Q18" s="1">
        <v>1.7169443535668465</v>
      </c>
      <c r="R18" s="1">
        <v>-0.77676896378586358</v>
      </c>
      <c r="S18" s="1">
        <v>0.24931323518076917</v>
      </c>
      <c r="T18">
        <f t="shared" si="0"/>
        <v>2</v>
      </c>
    </row>
  </sheetData>
  <autoFilter ref="A8:T8" xr:uid="{97C29769-BCC2-47EA-9108-B1B7CE962C71}"/>
  <mergeCells count="15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  <mergeCell ref="L4:L6"/>
  </mergeCells>
  <phoneticPr fontId="6" type="noConversion"/>
  <conditionalFormatting sqref="I9:I1048576">
    <cfRule type="expression" dxfId="137" priority="1">
      <formula>$I9 &lt; (0.7*VLOOKUP($A9, Mean_PB_L, 2, FALSE))</formula>
    </cfRule>
  </conditionalFormatting>
  <conditionalFormatting sqref="J9:J1048576">
    <cfRule type="expression" dxfId="136" priority="3">
      <formula>$J9 &gt; VLOOKUP($A9, Mean_ROE_L, 2, FALSE)</formula>
    </cfRule>
  </conditionalFormatting>
  <conditionalFormatting sqref="K9:K1048576">
    <cfRule type="expression" dxfId="135" priority="4">
      <formula>$K9 &gt; VLOOKUP($A9, Mean_ROA_L, 2, FALSE)</formula>
    </cfRule>
  </conditionalFormatting>
  <conditionalFormatting sqref="M9:M1048576">
    <cfRule type="expression" dxfId="134" priority="5">
      <formula>AND($M9&gt;1, $M9&lt;25, $M9 &lt; VLOOKUP($A9, Mean_PE_L, 2, FALSE))</formula>
    </cfRule>
    <cfRule type="expression" dxfId="133" priority="6">
      <formula>AND($M9&gt;1, $M9&lt;25)</formula>
    </cfRule>
    <cfRule type="expression" dxfId="132" priority="9">
      <formula xml:space="preserve"> $M9 &lt; VLOOKUP($A9, Mean_PE_L, 2, FALSE)</formula>
    </cfRule>
  </conditionalFormatting>
  <conditionalFormatting sqref="N9:N1048576">
    <cfRule type="expression" dxfId="131" priority="10">
      <formula>$N9&lt;0</formula>
    </cfRule>
  </conditionalFormatting>
  <conditionalFormatting sqref="O9:O1048576">
    <cfRule type="expression" dxfId="130" priority="11">
      <formula>$O9&lt;0</formula>
    </cfRule>
  </conditionalFormatting>
  <conditionalFormatting sqref="P9:P1048576">
    <cfRule type="expression" dxfId="129" priority="12">
      <formula>$P9&gt;0</formula>
    </cfRule>
  </conditionalFormatting>
  <conditionalFormatting sqref="Q9:Q1048576">
    <cfRule type="expression" dxfId="128" priority="14">
      <formula>$Q9&gt;0</formula>
    </cfRule>
  </conditionalFormatting>
  <conditionalFormatting sqref="R9:R1048576">
    <cfRule type="expression" dxfId="127" priority="15">
      <formula>$R9&lt;0</formula>
    </cfRule>
  </conditionalFormatting>
  <conditionalFormatting sqref="S9:S1048576">
    <cfRule type="expression" dxfId="126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17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J21" sqref="J2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Mid Cap"</f>
        <v>Consumer Discretionary - Mid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7" t="s">
        <v>88</v>
      </c>
      <c r="D2" s="58"/>
      <c r="E2" s="58"/>
      <c r="F2" s="58"/>
      <c r="G2" s="58"/>
      <c r="H2" s="59"/>
      <c r="I2" s="60" t="s">
        <v>69</v>
      </c>
      <c r="J2" s="61"/>
      <c r="K2" s="61"/>
      <c r="L2" s="61"/>
      <c r="M2" s="62"/>
      <c r="N2" s="64" t="s">
        <v>86</v>
      </c>
      <c r="O2" s="65"/>
      <c r="P2" s="65"/>
      <c r="Q2" s="65"/>
      <c r="R2" s="65"/>
      <c r="S2" s="66"/>
      <c r="T2" s="63" t="str">
        <f>"Max Score:"&amp;IFERROR(CHAR(10)&amp;MAX($T$9:$T$1048576)&amp;"/5", CHAR(10)&amp;"0/5")</f>
        <v>Max Score:
5/5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459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9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7">_xlfn._xlws.FILTER(_xlfn._xlws.FILTER(Main_M[], Main_M[Preliminary Criteria]="YES"), COUNTIF($A$8:$S$8,Main_M[#Headers]))</f>
        <v>Broadline Retail</v>
      </c>
      <c r="B9" t="str">
        <v>VIPS</v>
      </c>
      <c r="C9" s="2">
        <v>7100</v>
      </c>
      <c r="D9" s="1">
        <v>15.05</v>
      </c>
      <c r="E9" s="1">
        <v>1.44</v>
      </c>
      <c r="F9" s="1">
        <v>10.76</v>
      </c>
      <c r="G9" s="1">
        <v>1.91</v>
      </c>
      <c r="H9" s="1">
        <v>10.451388888888889</v>
      </c>
      <c r="I9" s="1">
        <v>1.3986988847583643</v>
      </c>
      <c r="J9" s="1">
        <v>18.52</v>
      </c>
      <c r="K9" s="1">
        <v>7.34</v>
      </c>
      <c r="L9" s="1">
        <v>1.85</v>
      </c>
      <c r="M9" s="1">
        <v>7.8795811518324612</v>
      </c>
      <c r="N9" s="1">
        <v>-0.60977644052659974</v>
      </c>
      <c r="O9" s="1">
        <v>-0.92985372475678651</v>
      </c>
      <c r="P9" s="1">
        <v>0.49219267890525348</v>
      </c>
      <c r="Q9" s="1">
        <v>0.69818869100780889</v>
      </c>
      <c r="R9" s="1">
        <v>-0.73227277943917246</v>
      </c>
      <c r="S9" s="1">
        <v>-0.85052556221073894</v>
      </c>
      <c r="T9">
        <f t="shared" ref="T9:T17" si="0">SUM(IF($I9 &lt; (0.7*VLOOKUP($A9, Mean_PB_M, 2, FALSE)),1,0), IF($J9&gt;VLOOKUP($A9, Mean_ROE_M, 2, FALSE),1,0), IF($K9&gt;VLOOKUP($A9, Mean_ROA_M, 2,FALSE),1,0), IF($M9&lt;VLOOKUP($A9, Mean_PE_M, 2, FALSE),1,0), IF(AND($M9&gt;1,$M9&lt;25),1,0))</f>
        <v>5</v>
      </c>
    </row>
    <row r="10" spans="1:20" x14ac:dyDescent="0.25">
      <c r="A10" t="str">
        <v>Diversified Consumer Services</v>
      </c>
      <c r="B10" t="str">
        <v>GHC</v>
      </c>
      <c r="C10" s="2">
        <v>4161</v>
      </c>
      <c r="D10" s="1">
        <v>946</v>
      </c>
      <c r="E10" s="1">
        <v>86.28</v>
      </c>
      <c r="F10" s="1">
        <v>984.96</v>
      </c>
      <c r="G10" s="1">
        <v>141.53</v>
      </c>
      <c r="H10" s="1">
        <v>10.96430227167362</v>
      </c>
      <c r="I10" s="1">
        <v>0.96044509421702395</v>
      </c>
      <c r="J10" s="1">
        <v>14.86</v>
      </c>
      <c r="K10" s="1">
        <v>8.9499999999999993</v>
      </c>
      <c r="L10" s="1">
        <v>1.77</v>
      </c>
      <c r="M10" s="1">
        <v>6.6840952448244186</v>
      </c>
      <c r="N10" s="1">
        <v>-1.1334919792961566</v>
      </c>
      <c r="O10" s="1">
        <v>-1.180770588144076</v>
      </c>
      <c r="P10" s="1">
        <v>0.17542515610159709</v>
      </c>
      <c r="Q10" s="1">
        <v>0.40451212891550242</v>
      </c>
      <c r="R10" s="1">
        <v>-0.42624533104889334</v>
      </c>
      <c r="S10" s="1">
        <v>-1.9305101509738543</v>
      </c>
      <c r="T10">
        <f t="shared" si="0"/>
        <v>5</v>
      </c>
    </row>
    <row r="11" spans="1:20" x14ac:dyDescent="0.25">
      <c r="A11" t="str">
        <v>Hotels, Restaurants &amp; Leisure</v>
      </c>
      <c r="B11" t="str">
        <v>GOFPY</v>
      </c>
      <c r="C11" s="2">
        <v>7875</v>
      </c>
      <c r="D11" s="1">
        <v>10.85</v>
      </c>
      <c r="E11" s="1">
        <v>2.21</v>
      </c>
      <c r="F11" s="1">
        <v>2.12</v>
      </c>
      <c r="G11" s="1">
        <v>1.49</v>
      </c>
      <c r="H11" s="1">
        <v>4.9095022624434392</v>
      </c>
      <c r="I11" s="1">
        <v>5.1179245283018862</v>
      </c>
      <c r="J11" s="1">
        <v>64.27</v>
      </c>
      <c r="K11" s="1">
        <v>21.06</v>
      </c>
      <c r="L11" s="1">
        <v>2.99</v>
      </c>
      <c r="M11" s="1">
        <v>7.2818791946308723</v>
      </c>
      <c r="N11" s="1">
        <v>-0.97391117277447148</v>
      </c>
      <c r="O11" s="1">
        <v>-7.3506905504945486E-2</v>
      </c>
      <c r="P11" s="1">
        <v>0.39626136546039264</v>
      </c>
      <c r="Q11" s="1">
        <v>1.813866397971041</v>
      </c>
      <c r="R11" s="1">
        <v>-0.34758536285292524</v>
      </c>
      <c r="S11" s="1">
        <v>-0.7079113495448629</v>
      </c>
      <c r="T11">
        <f t="shared" si="0"/>
        <v>4</v>
      </c>
    </row>
    <row r="12" spans="1:20" x14ac:dyDescent="0.25">
      <c r="A12" t="str">
        <v>Household Durables</v>
      </c>
      <c r="B12" t="str">
        <v>TPH</v>
      </c>
      <c r="C12" s="2">
        <v>2673</v>
      </c>
      <c r="D12" s="1">
        <v>30.63</v>
      </c>
      <c r="E12" s="1">
        <v>5.32</v>
      </c>
      <c r="F12" s="1">
        <v>36.64</v>
      </c>
      <c r="G12" s="1">
        <v>4.51</v>
      </c>
      <c r="H12" s="1">
        <v>5.757518796992481</v>
      </c>
      <c r="I12" s="1">
        <v>0.83597161572052403</v>
      </c>
      <c r="J12" s="1">
        <v>13.28</v>
      </c>
      <c r="K12" s="1">
        <v>6.93</v>
      </c>
      <c r="L12" s="1">
        <v>1.45</v>
      </c>
      <c r="M12" s="1">
        <v>6.7915742793791578</v>
      </c>
      <c r="N12" s="1">
        <v>-1.5839806948752053</v>
      </c>
      <c r="O12" s="1">
        <v>-0.80691248376290858</v>
      </c>
      <c r="P12" s="1">
        <v>-0.31974323369078539</v>
      </c>
      <c r="Q12" s="1">
        <v>-0.61964007305380597</v>
      </c>
      <c r="R12" s="1">
        <v>-0.50618944873152494</v>
      </c>
      <c r="S12" s="1">
        <v>-0.82831668774937717</v>
      </c>
      <c r="T12">
        <f t="shared" si="0"/>
        <v>3</v>
      </c>
    </row>
    <row r="13" spans="1:20" x14ac:dyDescent="0.25">
      <c r="A13" t="str">
        <v>Leisure Products</v>
      </c>
      <c r="B13" t="str">
        <v>MAT</v>
      </c>
      <c r="C13" s="2">
        <v>6116</v>
      </c>
      <c r="D13" s="1">
        <v>19.059999999999999</v>
      </c>
      <c r="E13" s="1">
        <v>1.73</v>
      </c>
      <c r="F13" s="1">
        <v>6.19</v>
      </c>
      <c r="G13" s="1">
        <v>1.57</v>
      </c>
      <c r="H13" s="1">
        <v>11.017341040462426</v>
      </c>
      <c r="I13" s="1">
        <v>3.0791599353796442</v>
      </c>
      <c r="J13" s="1">
        <v>25.5</v>
      </c>
      <c r="K13" s="1">
        <v>7.52</v>
      </c>
      <c r="L13" s="1">
        <v>2.91</v>
      </c>
      <c r="M13" s="1">
        <v>12.140127388535031</v>
      </c>
      <c r="N13" s="1">
        <v>-0.5014933822169485</v>
      </c>
      <c r="O13" s="1">
        <v>-0.49349860460556388</v>
      </c>
      <c r="P13" s="1">
        <v>0.26956198335962467</v>
      </c>
      <c r="Q13" s="1">
        <v>0.39220436908136141</v>
      </c>
      <c r="R13" s="1">
        <v>-0.2334276180896388</v>
      </c>
      <c r="S13" s="1">
        <v>-1.0703611244144438</v>
      </c>
      <c r="T13">
        <f t="shared" si="0"/>
        <v>5</v>
      </c>
    </row>
    <row r="14" spans="1:20" x14ac:dyDescent="0.25">
      <c r="A14" t="str">
        <v>Leisure Products</v>
      </c>
      <c r="B14" t="str">
        <v>THUPY</v>
      </c>
      <c r="C14" s="2">
        <v>2765</v>
      </c>
      <c r="D14" s="1">
        <v>13.6</v>
      </c>
      <c r="E14" s="1">
        <v>1.51</v>
      </c>
      <c r="F14" s="1">
        <v>7.05</v>
      </c>
      <c r="G14" s="1">
        <v>1.02</v>
      </c>
      <c r="H14" s="1">
        <v>9.0066225165562912</v>
      </c>
      <c r="I14" s="1">
        <v>1.9290780141843971</v>
      </c>
      <c r="J14" s="1">
        <v>14.34</v>
      </c>
      <c r="K14" s="1">
        <v>7.51</v>
      </c>
      <c r="L14" s="1">
        <v>1.94</v>
      </c>
      <c r="M14" s="1">
        <v>13.333333333333332</v>
      </c>
      <c r="N14" s="1">
        <v>-1.4568410050741816</v>
      </c>
      <c r="O14" s="1">
        <v>-0.88404921537786829</v>
      </c>
      <c r="P14" s="1">
        <v>-0.6898570672654899</v>
      </c>
      <c r="Q14" s="1">
        <v>0.38954835755259376</v>
      </c>
      <c r="R14" s="1">
        <v>-1.0632566897276747</v>
      </c>
      <c r="S14" s="1">
        <v>-0.92813219658027835</v>
      </c>
      <c r="T14">
        <f t="shared" si="0"/>
        <v>4</v>
      </c>
    </row>
    <row r="15" spans="1:20" x14ac:dyDescent="0.25">
      <c r="A15" t="str">
        <v>Specialty Retail</v>
      </c>
      <c r="B15" t="str">
        <v>ABG</v>
      </c>
      <c r="C15" s="2">
        <v>4481</v>
      </c>
      <c r="D15" s="1">
        <v>237.48</v>
      </c>
      <c r="E15" s="1">
        <v>28.43</v>
      </c>
      <c r="F15" s="1">
        <v>184.32</v>
      </c>
      <c r="G15" s="1">
        <v>20.94</v>
      </c>
      <c r="H15" s="1">
        <v>8.3531480830109039</v>
      </c>
      <c r="I15" s="1">
        <v>1.2884114583333333</v>
      </c>
      <c r="J15" s="1">
        <v>11.92</v>
      </c>
      <c r="K15" s="1">
        <v>6.05</v>
      </c>
      <c r="L15" s="1">
        <v>2.82</v>
      </c>
      <c r="M15" s="1">
        <v>11.340974212034382</v>
      </c>
      <c r="N15" s="1">
        <v>-0.58704206411396787</v>
      </c>
      <c r="O15" s="1">
        <v>-0.97026103837823563</v>
      </c>
      <c r="P15" s="1">
        <v>-0.29020720870818467</v>
      </c>
      <c r="Q15" s="1">
        <v>0.17482694667690107</v>
      </c>
      <c r="R15" s="1">
        <v>-0.12308376989002662</v>
      </c>
      <c r="S15" s="1">
        <v>-6.2538167697715905E-2</v>
      </c>
      <c r="T15">
        <f t="shared" si="0"/>
        <v>4</v>
      </c>
    </row>
    <row r="16" spans="1:20" x14ac:dyDescent="0.25">
      <c r="A16" t="str">
        <v>Specialty Retail</v>
      </c>
      <c r="B16" t="str">
        <v>ASO</v>
      </c>
      <c r="C16" s="2">
        <v>2722</v>
      </c>
      <c r="D16" s="1">
        <v>44.37</v>
      </c>
      <c r="E16" s="1">
        <v>4.59</v>
      </c>
      <c r="F16" s="1">
        <v>29.33</v>
      </c>
      <c r="G16" s="1">
        <v>5.73</v>
      </c>
      <c r="H16" s="1">
        <v>9.6666666666666661</v>
      </c>
      <c r="I16" s="1">
        <v>1.5127855438117968</v>
      </c>
      <c r="J16" s="1">
        <v>21.14</v>
      </c>
      <c r="K16" s="1">
        <v>6.94</v>
      </c>
      <c r="L16" s="1">
        <v>2.4500000000000002</v>
      </c>
      <c r="M16" s="1">
        <v>7.7434554973821976</v>
      </c>
      <c r="N16" s="1">
        <v>-0.53859295891832104</v>
      </c>
      <c r="O16" s="1">
        <v>-0.77507932281033265</v>
      </c>
      <c r="P16" s="1">
        <v>-5.3690770602513149E-2</v>
      </c>
      <c r="Q16" s="1">
        <v>0.39244370547751939</v>
      </c>
      <c r="R16" s="1">
        <v>-0.50417996118132224</v>
      </c>
      <c r="S16" s="1">
        <v>-0.49465118734394559</v>
      </c>
      <c r="T16">
        <f t="shared" si="0"/>
        <v>4</v>
      </c>
    </row>
    <row r="17" spans="1:20" x14ac:dyDescent="0.25">
      <c r="A17" t="str">
        <v>Specialty Retail</v>
      </c>
      <c r="B17" t="str">
        <v>FHNGY</v>
      </c>
      <c r="C17" s="2">
        <v>2495</v>
      </c>
      <c r="D17" s="1">
        <v>7.49</v>
      </c>
      <c r="E17" s="1">
        <v>1.02</v>
      </c>
      <c r="F17" s="1">
        <v>4.32</v>
      </c>
      <c r="G17" s="1">
        <v>0.53</v>
      </c>
      <c r="H17" s="1">
        <v>7.3431372549019605</v>
      </c>
      <c r="I17" s="1">
        <v>1.7337962962962963</v>
      </c>
      <c r="J17" s="1">
        <v>12.66</v>
      </c>
      <c r="K17" s="1">
        <v>6.84</v>
      </c>
      <c r="L17" s="1">
        <v>2.2599999999999998</v>
      </c>
      <c r="M17" s="1">
        <v>14.132075471698112</v>
      </c>
      <c r="N17" s="1">
        <v>-0.62429629216120253</v>
      </c>
      <c r="O17" s="1">
        <v>-0.58282335110624606</v>
      </c>
      <c r="P17" s="1">
        <v>-0.27122432755870562</v>
      </c>
      <c r="Q17" s="1">
        <v>0.36799238426396663</v>
      </c>
      <c r="R17" s="1">
        <v>-0.6998780053579341</v>
      </c>
      <c r="S17" s="1">
        <v>0.27271267854236964</v>
      </c>
      <c r="T17">
        <f t="shared" si="0"/>
        <v>2</v>
      </c>
    </row>
  </sheetData>
  <autoFilter ref="A8:T8" xr:uid="{0BF3C1E5-2754-4118-8E3A-5ED7654E3417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125" priority="1">
      <formula>$I9 &lt; (0.7*VLOOKUP($A9, Mean_PB_M, 2, FALSE))</formula>
    </cfRule>
  </conditionalFormatting>
  <conditionalFormatting sqref="J9:J1048576">
    <cfRule type="expression" dxfId="124" priority="3">
      <formula>$J9 &gt; VLOOKUP($A9, Mean_ROE_M, 2, FALSE)</formula>
    </cfRule>
  </conditionalFormatting>
  <conditionalFormatting sqref="K9:K1048576">
    <cfRule type="expression" dxfId="123" priority="4">
      <formula>$K9 &gt; VLOOKUP($A9, Mean_ROA_M, 2, FALSE)</formula>
    </cfRule>
  </conditionalFormatting>
  <conditionalFormatting sqref="M9:M1048576">
    <cfRule type="expression" dxfId="122" priority="5">
      <formula>AND($M9&gt;1, $M9&lt;25, $M9 &lt; VLOOKUP($A9, Mean_PE_M, 2, FALSE))</formula>
    </cfRule>
    <cfRule type="expression" dxfId="121" priority="6">
      <formula>AND($M9&gt;1, $M9&lt;25)</formula>
    </cfRule>
    <cfRule type="expression" dxfId="120" priority="7">
      <formula xml:space="preserve"> $M9 &lt; VLOOKUP($A9, Mean_PE_M, 2, FALSE)</formula>
    </cfRule>
  </conditionalFormatting>
  <conditionalFormatting sqref="N9:N1048576">
    <cfRule type="expression" dxfId="119" priority="8">
      <formula>$N9&lt;0</formula>
    </cfRule>
  </conditionalFormatting>
  <conditionalFormatting sqref="O9:O1048576">
    <cfRule type="expression" dxfId="118" priority="9">
      <formula>$O9&lt;0</formula>
    </cfRule>
  </conditionalFormatting>
  <conditionalFormatting sqref="P9:P1048576">
    <cfRule type="expression" dxfId="117" priority="10">
      <formula>$P9&gt;0</formula>
    </cfRule>
  </conditionalFormatting>
  <conditionalFormatting sqref="Q9:Q1048576">
    <cfRule type="expression" dxfId="116" priority="11">
      <formula>$Q9&gt;0</formula>
    </cfRule>
  </conditionalFormatting>
  <conditionalFormatting sqref="R9:R1048576">
    <cfRule type="expression" dxfId="115" priority="12">
      <formula>$R9&lt;0</formula>
    </cfRule>
  </conditionalFormatting>
  <conditionalFormatting sqref="S9:S1048576">
    <cfRule type="expression" dxfId="11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12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I21" sqref="I2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Small Cap"</f>
        <v>Consumer Discretionary - Small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7" t="s">
        <v>89</v>
      </c>
      <c r="D2" s="58"/>
      <c r="E2" s="58"/>
      <c r="F2" s="58"/>
      <c r="G2" s="58"/>
      <c r="H2" s="59"/>
      <c r="I2" s="60" t="s">
        <v>69</v>
      </c>
      <c r="J2" s="61"/>
      <c r="K2" s="61"/>
      <c r="L2" s="61"/>
      <c r="M2" s="62"/>
      <c r="N2" s="64" t="s">
        <v>86</v>
      </c>
      <c r="O2" s="65"/>
      <c r="P2" s="65"/>
      <c r="Q2" s="65"/>
      <c r="R2" s="65"/>
      <c r="S2" s="66"/>
      <c r="T2" s="63" t="str">
        <f>"Max Score:"&amp;IFERROR(CHAR(10)&amp;MAX($T$9:$T$1048576)&amp;"/5", CHAR(10)&amp;"0/5")</f>
        <v>Max Score:
5/5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459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4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2">_xlfn._xlws.FILTER(_xlfn._xlws.FILTER(Main_S[], Main_S[Preliminary Criteria]="YES"), COUNTIF($A$8:$S$8,Main_S[#Headers]))</f>
        <v>Diversified Consumer Services</v>
      </c>
      <c r="B9" t="str">
        <v>AFYA</v>
      </c>
      <c r="C9">
        <v>1648</v>
      </c>
      <c r="D9">
        <v>17.55</v>
      </c>
      <c r="E9">
        <v>2.1800000000000002</v>
      </c>
      <c r="F9">
        <v>8.5399999999999991</v>
      </c>
      <c r="G9">
        <v>1.32</v>
      </c>
      <c r="H9" s="1">
        <v>8.0504587155963296</v>
      </c>
      <c r="I9" s="1">
        <v>2.055035128805621</v>
      </c>
      <c r="J9" s="1">
        <v>16.809999999999999</v>
      </c>
      <c r="K9" s="1">
        <v>8.16</v>
      </c>
      <c r="L9" s="1">
        <v>2.0699999999999998</v>
      </c>
      <c r="M9" s="1">
        <v>13.295454545454545</v>
      </c>
      <c r="N9" s="1">
        <v>-0.76803232022277002</v>
      </c>
      <c r="O9" s="1">
        <v>-0.87629771811626811</v>
      </c>
      <c r="P9" s="1">
        <v>0.98456868369381789</v>
      </c>
      <c r="Q9" s="1">
        <v>0.7309940443205758</v>
      </c>
      <c r="R9" s="1">
        <v>-0.33436478254614627</v>
      </c>
      <c r="S9" s="1">
        <v>7.7230770045339972E-2</v>
      </c>
      <c r="T9">
        <f t="shared" ref="T9:T12" si="0">SUM(IF($I9 &lt; (0.7*VLOOKUP($A9, Mean_PB_S, 2, FALSE)),1,0), IF($J9&gt;VLOOKUP($A9, Mean_ROE_S, 2, FALSE),1,0), IF($K9&gt;VLOOKUP($A9, Mean_ROA_S, 2,FALSE),1,0), IF($M9&lt;VLOOKUP($A9, Mean_PE_S, 2, FALSE),1,0), IF(AND($M9&gt;1,$M9&lt;25),1,0))</f>
        <v>4</v>
      </c>
    </row>
    <row r="10" spans="1:20" x14ac:dyDescent="0.25">
      <c r="A10" t="str">
        <v>Specialty Retail</v>
      </c>
      <c r="B10" t="str">
        <v>SCVL</v>
      </c>
      <c r="C10">
        <v>525</v>
      </c>
      <c r="D10">
        <v>20.079999999999998</v>
      </c>
      <c r="E10">
        <v>2.56</v>
      </c>
      <c r="F10">
        <v>23.88</v>
      </c>
      <c r="G10">
        <v>2.68</v>
      </c>
      <c r="H10" s="1">
        <v>7.8437499999999991</v>
      </c>
      <c r="I10" s="1">
        <v>0.8408710217755444</v>
      </c>
      <c r="J10" s="1">
        <v>11.97</v>
      </c>
      <c r="K10" s="1">
        <v>5.26</v>
      </c>
      <c r="L10" s="1">
        <v>1.73</v>
      </c>
      <c r="M10" s="1">
        <v>7.4925373134328348</v>
      </c>
      <c r="N10" s="1">
        <v>-0.21162142938988449</v>
      </c>
      <c r="O10" s="1">
        <v>-0.88307897055262541</v>
      </c>
      <c r="P10" s="1">
        <v>0.41264361547448081</v>
      </c>
      <c r="Q10" s="1">
        <v>0.71300324557354999</v>
      </c>
      <c r="R10" s="1">
        <v>-0.6404152367175604</v>
      </c>
      <c r="S10" s="1">
        <v>-0.13200439673638614</v>
      </c>
      <c r="T10">
        <f t="shared" si="0"/>
        <v>5</v>
      </c>
    </row>
    <row r="11" spans="1:20" x14ac:dyDescent="0.25">
      <c r="A11" t="str">
        <v>Specialty Retail</v>
      </c>
      <c r="B11" t="str">
        <v>AEO</v>
      </c>
      <c r="C11">
        <v>1899</v>
      </c>
      <c r="D11">
        <v>10.36</v>
      </c>
      <c r="E11">
        <v>1.32</v>
      </c>
      <c r="F11">
        <v>8.2100000000000009</v>
      </c>
      <c r="G11">
        <v>1.03</v>
      </c>
      <c r="H11" s="1">
        <v>7.8484848484848477</v>
      </c>
      <c r="I11" s="1">
        <v>1.2618757612667477</v>
      </c>
      <c r="J11" s="1">
        <v>12.19</v>
      </c>
      <c r="K11" s="1">
        <v>5.19</v>
      </c>
      <c r="L11" s="1">
        <v>2.56</v>
      </c>
      <c r="M11" s="1">
        <v>10.058252427184465</v>
      </c>
      <c r="N11" s="1">
        <v>-0.21134236147506399</v>
      </c>
      <c r="O11" s="1">
        <v>-0.462956649001243</v>
      </c>
      <c r="P11" s="1">
        <v>0.42570625253727268</v>
      </c>
      <c r="Q11" s="1">
        <v>0.69008634704461047</v>
      </c>
      <c r="R11" s="1">
        <v>-7.5114032626246316E-2</v>
      </c>
      <c r="S11" s="1">
        <v>4.3847895741371441E-3</v>
      </c>
      <c r="T11">
        <f t="shared" si="0"/>
        <v>3</v>
      </c>
    </row>
    <row r="12" spans="1:20" x14ac:dyDescent="0.25">
      <c r="A12" t="str">
        <v>Textiles, Apparel &amp; Luxury Goods</v>
      </c>
      <c r="B12" t="str">
        <v>GIII</v>
      </c>
      <c r="C12">
        <v>1258</v>
      </c>
      <c r="D12">
        <v>22.16</v>
      </c>
      <c r="E12">
        <v>6.18</v>
      </c>
      <c r="F12">
        <v>38.270000000000003</v>
      </c>
      <c r="G12">
        <v>4.2</v>
      </c>
      <c r="H12" s="1">
        <v>3.5857605177993528</v>
      </c>
      <c r="I12" s="1">
        <v>0.5790436373138228</v>
      </c>
      <c r="J12" s="1">
        <v>11.98</v>
      </c>
      <c r="K12" s="1">
        <v>7.29</v>
      </c>
      <c r="L12" s="1">
        <v>1.48</v>
      </c>
      <c r="M12" s="1">
        <v>5.2761904761904761</v>
      </c>
      <c r="N12" s="1">
        <v>-0.8816792005500983</v>
      </c>
      <c r="O12" s="1">
        <v>-1.1877202764594708</v>
      </c>
      <c r="P12" s="1">
        <v>0.22357271113833624</v>
      </c>
      <c r="Q12" s="1">
        <v>0.65471585930768006</v>
      </c>
      <c r="R12" s="1">
        <v>-0.67097430409129843</v>
      </c>
      <c r="S12" s="1">
        <v>-0.81590628838642532</v>
      </c>
      <c r="T12">
        <f t="shared" si="0"/>
        <v>5</v>
      </c>
    </row>
  </sheetData>
  <autoFilter ref="A8:T8" xr:uid="{F6F40F71-5FB0-44DA-81D2-9D55F6DCA29E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113" priority="1">
      <formula>$I9 &lt; (0.7*VLOOKUP($A9, Mean_PB_S, 2, FALSE))</formula>
    </cfRule>
  </conditionalFormatting>
  <conditionalFormatting sqref="J9:J1048576">
    <cfRule type="expression" dxfId="112" priority="3">
      <formula>$J9 &gt; VLOOKUP($A9, Mean_ROE_S, 2, FALSE)</formula>
    </cfRule>
  </conditionalFormatting>
  <conditionalFormatting sqref="K9:K1048576">
    <cfRule type="expression" dxfId="111" priority="4">
      <formula>$K9 &gt; VLOOKUP($A9, Mean_ROA_S, 2, FALSE)</formula>
    </cfRule>
  </conditionalFormatting>
  <conditionalFormatting sqref="M9:M1048576">
    <cfRule type="expression" dxfId="110" priority="5">
      <formula>AND($M9&gt;1, $M9&lt;25, $M9 &lt; VLOOKUP($A9, Mean_PE_S, 2, FALSE))</formula>
    </cfRule>
    <cfRule type="expression" dxfId="109" priority="6">
      <formula>AND($M9&gt;1, $M9&lt;25)</formula>
    </cfRule>
    <cfRule type="expression" dxfId="108" priority="7">
      <formula xml:space="preserve"> $M9 &lt; VLOOKUP($A9, Mean_PE_S, 2, FALSE)</formula>
    </cfRule>
  </conditionalFormatting>
  <conditionalFormatting sqref="N9:N1048576">
    <cfRule type="expression" dxfId="107" priority="8">
      <formula>$N9&lt;0</formula>
    </cfRule>
  </conditionalFormatting>
  <conditionalFormatting sqref="O9:O1048576">
    <cfRule type="expression" dxfId="106" priority="9">
      <formula>$O9&lt;0</formula>
    </cfRule>
  </conditionalFormatting>
  <conditionalFormatting sqref="P9:P1048576">
    <cfRule type="expression" dxfId="105" priority="10">
      <formula>$P9&gt;0</formula>
    </cfRule>
  </conditionalFormatting>
  <conditionalFormatting sqref="Q9:Q1048576">
    <cfRule type="expression" dxfId="104" priority="11">
      <formula>$Q9&gt;0</formula>
    </cfRule>
  </conditionalFormatting>
  <conditionalFormatting sqref="R9:R1048576">
    <cfRule type="expression" dxfId="103" priority="12">
      <formula>$R9&lt;0</formula>
    </cfRule>
  </conditionalFormatting>
  <conditionalFormatting sqref="S9:S1048576">
    <cfRule type="expression" dxfId="102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Khoi Le</cp:lastModifiedBy>
  <dcterms:created xsi:type="dcterms:W3CDTF">2024-11-08T05:29:25Z</dcterms:created>
  <dcterms:modified xsi:type="dcterms:W3CDTF">2025-06-09T20:16:47Z</dcterms:modified>
</cp:coreProperties>
</file>
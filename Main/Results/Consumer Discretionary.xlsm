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7FE50E54-C0AD-4393-9DFE-553831093AE3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Main_L!$A$1:$M$86</definedName>
    <definedName name="ExternalData_1" localSheetId="2" hidden="1">Main_M!$A$1:$M$129</definedName>
    <definedName name="ExternalData_1" localSheetId="3" hidden="1">Main_S!$A$1:$M$150</definedName>
    <definedName name="ExternalData_5" localSheetId="4" hidden="1">'Quartile Tables'!$A$2:$Y$12</definedName>
    <definedName name="ExternalData_6" localSheetId="4" hidden="1">'Quartile Tables'!$A$16:$Y$26</definedName>
    <definedName name="ExternalData_7" localSheetId="4" hidden="1">'Quartile Tables'!$A$30:$Y$40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0" i="1" l="1"/>
  <c r="Y39" i="1"/>
  <c r="Y38" i="1"/>
  <c r="Y37" i="1"/>
  <c r="Y36" i="1"/>
  <c r="Y42" i="4" s="1"/>
  <c r="Y35" i="1"/>
  <c r="Y34" i="1"/>
  <c r="Y99" i="4" s="1"/>
  <c r="Y33" i="1"/>
  <c r="Y32" i="1"/>
  <c r="Y31" i="1"/>
  <c r="X40" i="1"/>
  <c r="Y107" i="4" s="1"/>
  <c r="X39" i="1"/>
  <c r="X38" i="1"/>
  <c r="X37" i="1"/>
  <c r="X36" i="1"/>
  <c r="X35" i="1"/>
  <c r="X34" i="1"/>
  <c r="X33" i="1"/>
  <c r="X32" i="1"/>
  <c r="X31" i="1"/>
  <c r="W40" i="1" a="1"/>
  <c r="W40" i="1" s="1"/>
  <c r="W39" i="1" a="1"/>
  <c r="W39" i="1" s="1"/>
  <c r="W38" i="1" a="1"/>
  <c r="W38" i="1"/>
  <c r="W37" i="1" a="1"/>
  <c r="W37" i="1" s="1"/>
  <c r="W36" i="1" a="1"/>
  <c r="W36" i="1" s="1"/>
  <c r="W35" i="1" a="1"/>
  <c r="W35" i="1" s="1"/>
  <c r="W34" i="1" a="1"/>
  <c r="W34" i="1"/>
  <c r="W33" i="1" a="1"/>
  <c r="W33" i="1" s="1"/>
  <c r="W32" i="1" a="1"/>
  <c r="W32" i="1" s="1"/>
  <c r="W31" i="1" a="1"/>
  <c r="W31" i="1" s="1"/>
  <c r="V40" i="1" a="1"/>
  <c r="V40" i="1" s="1"/>
  <c r="V39" i="1" a="1"/>
  <c r="V39" i="1" s="1"/>
  <c r="V38" i="1" a="1"/>
  <c r="V38" i="1" s="1"/>
  <c r="V37" i="1" a="1"/>
  <c r="V37" i="1" s="1"/>
  <c r="V36" i="1" a="1"/>
  <c r="V36" i="1" s="1"/>
  <c r="V35" i="1" a="1"/>
  <c r="V35" i="1" s="1"/>
  <c r="V34" i="1" a="1"/>
  <c r="V34" i="1" s="1"/>
  <c r="V33" i="1" a="1"/>
  <c r="V33" i="1" s="1"/>
  <c r="V32" i="1" a="1"/>
  <c r="V32" i="1" s="1"/>
  <c r="V31" i="1" a="1"/>
  <c r="V31" i="1" s="1"/>
  <c r="Q40" i="1"/>
  <c r="Q39" i="1"/>
  <c r="Q38" i="1"/>
  <c r="Q37" i="1"/>
  <c r="Q36" i="1"/>
  <c r="X52" i="4" s="1"/>
  <c r="Q35" i="1"/>
  <c r="X142" i="4" s="1"/>
  <c r="Q34" i="1"/>
  <c r="Q33" i="1"/>
  <c r="X80" i="4" s="1"/>
  <c r="Q32" i="1"/>
  <c r="X15" i="4" s="1"/>
  <c r="Q31" i="1"/>
  <c r="P40" i="1"/>
  <c r="P39" i="1"/>
  <c r="P38" i="1"/>
  <c r="P37" i="1"/>
  <c r="P36" i="1"/>
  <c r="P35" i="1"/>
  <c r="P34" i="1"/>
  <c r="P33" i="1"/>
  <c r="X90" i="4" s="1"/>
  <c r="P32" i="1"/>
  <c r="P31" i="1"/>
  <c r="O40" i="1" a="1"/>
  <c r="O40" i="1"/>
  <c r="O39" i="1" a="1"/>
  <c r="O39" i="1" s="1"/>
  <c r="O38" i="1" a="1"/>
  <c r="O38" i="1" s="1"/>
  <c r="O37" i="1" a="1"/>
  <c r="O37" i="1" s="1"/>
  <c r="O36" i="1" a="1"/>
  <c r="O36" i="1"/>
  <c r="O35" i="1" a="1"/>
  <c r="O35" i="1" s="1"/>
  <c r="O34" i="1" a="1"/>
  <c r="O34" i="1" s="1"/>
  <c r="O33" i="1" a="1"/>
  <c r="O33" i="1" s="1"/>
  <c r="O32" i="1" a="1"/>
  <c r="O32" i="1" s="1"/>
  <c r="O31" i="1" a="1"/>
  <c r="O31" i="1" s="1"/>
  <c r="N40" i="1" a="1"/>
  <c r="N40" i="1" s="1"/>
  <c r="N39" i="1" a="1"/>
  <c r="N39" i="1" s="1"/>
  <c r="N38" i="1" a="1"/>
  <c r="N38" i="1" s="1"/>
  <c r="N37" i="1" a="1"/>
  <c r="N37" i="1" s="1"/>
  <c r="N36" i="1" a="1"/>
  <c r="N36" i="1" s="1"/>
  <c r="N35" i="1" a="1"/>
  <c r="N35" i="1" s="1"/>
  <c r="N34" i="1" a="1"/>
  <c r="N34" i="1" s="1"/>
  <c r="N33" i="1" a="1"/>
  <c r="N33" i="1" s="1"/>
  <c r="N32" i="1" a="1"/>
  <c r="N32" i="1" s="1"/>
  <c r="N31" i="1" a="1"/>
  <c r="N31" i="1" s="1"/>
  <c r="M40" i="1"/>
  <c r="M39" i="1"/>
  <c r="M38" i="1"/>
  <c r="M37" i="1"/>
  <c r="M36" i="1"/>
  <c r="M35" i="1"/>
  <c r="M34" i="1"/>
  <c r="M33" i="1"/>
  <c r="M32" i="1"/>
  <c r="M31" i="1"/>
  <c r="L40" i="1"/>
  <c r="L39" i="1"/>
  <c r="L38" i="1"/>
  <c r="L37" i="1"/>
  <c r="L36" i="1"/>
  <c r="L35" i="1"/>
  <c r="L34" i="1"/>
  <c r="W95" i="4" s="1"/>
  <c r="L33" i="1"/>
  <c r="L32" i="1"/>
  <c r="L31" i="1"/>
  <c r="K40" i="1" a="1"/>
  <c r="K40" i="1" s="1"/>
  <c r="K39" i="1" a="1"/>
  <c r="K39" i="1" s="1"/>
  <c r="K38" i="1" a="1"/>
  <c r="K38" i="1" s="1"/>
  <c r="K37" i="1" a="1"/>
  <c r="K37" i="1" s="1"/>
  <c r="K36" i="1" a="1"/>
  <c r="K36" i="1" s="1"/>
  <c r="K35" i="1" a="1"/>
  <c r="K35" i="1" s="1"/>
  <c r="K34" i="1" a="1"/>
  <c r="K34" i="1" s="1"/>
  <c r="K33" i="1" a="1"/>
  <c r="K33" i="1" s="1"/>
  <c r="K32" i="1" a="1"/>
  <c r="K32" i="1" s="1"/>
  <c r="K31" i="1" a="1"/>
  <c r="K31" i="1" s="1"/>
  <c r="J40" i="1" a="1"/>
  <c r="J40" i="1" s="1"/>
  <c r="J39" i="1" a="1"/>
  <c r="J39" i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Y26" i="1"/>
  <c r="Y25" i="1"/>
  <c r="Y24" i="1"/>
  <c r="Y23" i="1"/>
  <c r="Y22" i="1"/>
  <c r="Y64" i="3" s="1"/>
  <c r="Y21" i="1"/>
  <c r="Y20" i="1"/>
  <c r="Y19" i="1"/>
  <c r="Y18" i="1"/>
  <c r="Y17" i="1"/>
  <c r="X26" i="1"/>
  <c r="X25" i="1"/>
  <c r="X24" i="1"/>
  <c r="X23" i="1"/>
  <c r="X22" i="1"/>
  <c r="X21" i="1"/>
  <c r="X20" i="1"/>
  <c r="X19" i="1"/>
  <c r="X18" i="1"/>
  <c r="X17" i="1"/>
  <c r="Y8" i="3" s="1"/>
  <c r="W26" i="1" a="1"/>
  <c r="W26" i="1" s="1"/>
  <c r="W25" i="1" a="1"/>
  <c r="W25" i="1" s="1"/>
  <c r="W24" i="1" a="1"/>
  <c r="W24" i="1" s="1"/>
  <c r="W23" i="1" a="1"/>
  <c r="W23" i="1" s="1"/>
  <c r="W22" i="1" a="1"/>
  <c r="W22" i="1" s="1"/>
  <c r="W21" i="1" a="1"/>
  <c r="W21" i="1" s="1"/>
  <c r="W20" i="1" a="1"/>
  <c r="W20" i="1" s="1"/>
  <c r="W19" i="1" a="1"/>
  <c r="W19" i="1" s="1"/>
  <c r="W18" i="1" a="1"/>
  <c r="W18" i="1" s="1"/>
  <c r="W17" i="1" a="1"/>
  <c r="W17" i="1" s="1"/>
  <c r="V26" i="1" a="1"/>
  <c r="V26" i="1" s="1"/>
  <c r="V25" i="1" a="1"/>
  <c r="V25" i="1" s="1"/>
  <c r="V24" i="1" a="1"/>
  <c r="V24" i="1" s="1"/>
  <c r="V23" i="1" a="1"/>
  <c r="V23" i="1" s="1"/>
  <c r="V22" i="1" a="1"/>
  <c r="V22" i="1" s="1"/>
  <c r="V21" i="1" a="1"/>
  <c r="V21" i="1" s="1"/>
  <c r="V20" i="1" a="1"/>
  <c r="V20" i="1" s="1"/>
  <c r="V19" i="1" a="1"/>
  <c r="V19" i="1" s="1"/>
  <c r="V18" i="1" a="1"/>
  <c r="V18" i="1" s="1"/>
  <c r="V17" i="1" a="1"/>
  <c r="V17" i="1" s="1"/>
  <c r="Q26" i="1"/>
  <c r="Q25" i="1"/>
  <c r="Q24" i="1"/>
  <c r="Q23" i="1"/>
  <c r="Q22" i="1"/>
  <c r="W50" i="3" s="1"/>
  <c r="Q21" i="1"/>
  <c r="Q20" i="1"/>
  <c r="Q19" i="1"/>
  <c r="Q18" i="1"/>
  <c r="Q17" i="1"/>
  <c r="P26" i="1"/>
  <c r="P25" i="1"/>
  <c r="P24" i="1"/>
  <c r="P23" i="1"/>
  <c r="P22" i="1"/>
  <c r="W61" i="3" s="1"/>
  <c r="P21" i="1"/>
  <c r="W123" i="3" s="1"/>
  <c r="P20" i="1"/>
  <c r="P19" i="1"/>
  <c r="P18" i="1"/>
  <c r="P17" i="1"/>
  <c r="O26" i="1" a="1"/>
  <c r="O26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N26" i="1" a="1"/>
  <c r="N26" i="1" s="1"/>
  <c r="N25" i="1" a="1"/>
  <c r="N25" i="1" s="1"/>
  <c r="N24" i="1" a="1"/>
  <c r="N24" i="1" s="1"/>
  <c r="N23" i="1" a="1"/>
  <c r="N23" i="1" s="1"/>
  <c r="N22" i="1" a="1"/>
  <c r="N22" i="1" s="1"/>
  <c r="N21" i="1" a="1"/>
  <c r="N21" i="1" s="1"/>
  <c r="N20" i="1" a="1"/>
  <c r="N20" i="1" s="1"/>
  <c r="N19" i="1" a="1"/>
  <c r="N19" i="1" s="1"/>
  <c r="N18" i="1" a="1"/>
  <c r="N18" i="1" s="1"/>
  <c r="N17" i="1" a="1"/>
  <c r="N17" i="1" s="1"/>
  <c r="M26" i="1"/>
  <c r="M25" i="1"/>
  <c r="M24" i="1"/>
  <c r="M23" i="1"/>
  <c r="M22" i="1"/>
  <c r="M21" i="1"/>
  <c r="X126" i="3" s="1"/>
  <c r="M20" i="1"/>
  <c r="M19" i="1"/>
  <c r="X90" i="3" s="1"/>
  <c r="M18" i="1"/>
  <c r="M17" i="1"/>
  <c r="L26" i="1"/>
  <c r="L25" i="1"/>
  <c r="L24" i="1"/>
  <c r="L23" i="1"/>
  <c r="X45" i="3" s="1"/>
  <c r="L22" i="1"/>
  <c r="X52" i="3" s="1"/>
  <c r="L21" i="1"/>
  <c r="L20" i="1"/>
  <c r="L19" i="1"/>
  <c r="L18" i="1"/>
  <c r="L17" i="1"/>
  <c r="K26" i="1" a="1"/>
  <c r="K26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J26" i="1" a="1"/>
  <c r="J26" i="1" s="1"/>
  <c r="J25" i="1" a="1"/>
  <c r="J25" i="1" s="1"/>
  <c r="J24" i="1" a="1"/>
  <c r="J24" i="1" s="1"/>
  <c r="J23" i="1" a="1"/>
  <c r="J23" i="1" s="1"/>
  <c r="J22" i="1" a="1"/>
  <c r="J22" i="1"/>
  <c r="J21" i="1" a="1"/>
  <c r="J21" i="1" s="1"/>
  <c r="J20" i="1" a="1"/>
  <c r="J20" i="1" s="1"/>
  <c r="J19" i="1" a="1"/>
  <c r="J19" i="1" s="1"/>
  <c r="J18" i="1" a="1"/>
  <c r="J18" i="1"/>
  <c r="J17" i="1" a="1"/>
  <c r="J17" i="1" s="1"/>
  <c r="Y12" i="1"/>
  <c r="Y67" i="2" s="1"/>
  <c r="Y11" i="1"/>
  <c r="Y10" i="1"/>
  <c r="Y9" i="1"/>
  <c r="Y8" i="1"/>
  <c r="Y7" i="1"/>
  <c r="Y6" i="1"/>
  <c r="Y5" i="1"/>
  <c r="Y4" i="1"/>
  <c r="Y3" i="1"/>
  <c r="X12" i="1"/>
  <c r="Y77" i="2" s="1"/>
  <c r="X11" i="1"/>
  <c r="X10" i="1"/>
  <c r="X9" i="1"/>
  <c r="X8" i="1"/>
  <c r="X7" i="1"/>
  <c r="X6" i="1"/>
  <c r="X5" i="1"/>
  <c r="X4" i="1"/>
  <c r="X3" i="1"/>
  <c r="W12" i="1" a="1"/>
  <c r="W12" i="1" s="1"/>
  <c r="W11" i="1" a="1"/>
  <c r="W11" i="1" s="1"/>
  <c r="W10" i="1" a="1"/>
  <c r="W10" i="1" s="1"/>
  <c r="W9" i="1" a="1"/>
  <c r="W9" i="1" s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12" i="1" a="1"/>
  <c r="V12" i="1" s="1"/>
  <c r="V11" i="1" a="1"/>
  <c r="V11" i="1"/>
  <c r="V10" i="1" a="1"/>
  <c r="V10" i="1" s="1"/>
  <c r="V9" i="1" a="1"/>
  <c r="V9" i="1" s="1"/>
  <c r="V8" i="1" a="1"/>
  <c r="V8" i="1" s="1"/>
  <c r="V7" i="1" a="1"/>
  <c r="V7" i="1"/>
  <c r="V6" i="1" a="1"/>
  <c r="V6" i="1" s="1"/>
  <c r="V5" i="1" a="1"/>
  <c r="V5" i="1" s="1"/>
  <c r="V4" i="1" a="1"/>
  <c r="V4" i="1" s="1"/>
  <c r="V3" i="1" a="1"/>
  <c r="V3" i="1" s="1"/>
  <c r="Q12" i="1"/>
  <c r="Q11" i="1"/>
  <c r="X14" i="2" s="1"/>
  <c r="Q10" i="1"/>
  <c r="Q9" i="1"/>
  <c r="Q8" i="1"/>
  <c r="Q7" i="1"/>
  <c r="Q6" i="1"/>
  <c r="Q5" i="1"/>
  <c r="Q4" i="1"/>
  <c r="X5" i="2" s="1"/>
  <c r="Q3" i="1"/>
  <c r="P12" i="1"/>
  <c r="P11" i="1"/>
  <c r="P10" i="1"/>
  <c r="P9" i="1"/>
  <c r="P8" i="1"/>
  <c r="P7" i="1"/>
  <c r="P6" i="1"/>
  <c r="P5" i="1"/>
  <c r="X56" i="2" s="1"/>
  <c r="P4" i="1"/>
  <c r="P3" i="1"/>
  <c r="O12" i="1" a="1"/>
  <c r="O12" i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12" i="1"/>
  <c r="M11" i="1"/>
  <c r="M10" i="1"/>
  <c r="M9" i="1"/>
  <c r="M8" i="1"/>
  <c r="M7" i="1"/>
  <c r="W85" i="2" s="1"/>
  <c r="M6" i="1"/>
  <c r="M5" i="1"/>
  <c r="M4" i="1"/>
  <c r="M3" i="1"/>
  <c r="L12" i="1"/>
  <c r="L11" i="1"/>
  <c r="L10" i="1"/>
  <c r="L9" i="1"/>
  <c r="L8" i="1"/>
  <c r="L7" i="1"/>
  <c r="L6" i="1"/>
  <c r="L5" i="1"/>
  <c r="L4" i="1"/>
  <c r="L3" i="1"/>
  <c r="K12" i="1" a="1"/>
  <c r="K12" i="1" s="1"/>
  <c r="K11" i="1" a="1"/>
  <c r="K11" i="1"/>
  <c r="K10" i="1" a="1"/>
  <c r="K10" i="1"/>
  <c r="K9" i="1" a="1"/>
  <c r="K9" i="1" s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12" i="1" a="1"/>
  <c r="J12" i="1" s="1"/>
  <c r="J11" i="1" a="1"/>
  <c r="J11" i="1"/>
  <c r="J10" i="1" a="1"/>
  <c r="J10" i="1" s="1"/>
  <c r="J9" i="1" a="1"/>
  <c r="J9" i="1" s="1"/>
  <c r="J8" i="1" a="1"/>
  <c r="J8" i="1"/>
  <c r="J7" i="1" a="1"/>
  <c r="J7" i="1" s="1"/>
  <c r="J6" i="1" a="1"/>
  <c r="J6" i="1" s="1"/>
  <c r="J5" i="1" a="1"/>
  <c r="J5" i="1" s="1"/>
  <c r="J4" i="1" a="1"/>
  <c r="J4" i="1" s="1"/>
  <c r="J3" i="1" a="1"/>
  <c r="J3" i="1" s="1"/>
  <c r="M149" i="4"/>
  <c r="M148" i="4"/>
  <c r="M136" i="4"/>
  <c r="M135" i="4"/>
  <c r="M133" i="4"/>
  <c r="M132" i="4"/>
  <c r="M131" i="4"/>
  <c r="M123" i="4"/>
  <c r="M115" i="4"/>
  <c r="M114" i="4"/>
  <c r="T114" i="4" s="1"/>
  <c r="M113" i="4"/>
  <c r="M111" i="4"/>
  <c r="M110" i="4"/>
  <c r="M109" i="4"/>
  <c r="M108" i="4"/>
  <c r="M94" i="4"/>
  <c r="T94" i="4" s="1"/>
  <c r="M93" i="4"/>
  <c r="T93" i="4" s="1"/>
  <c r="M92" i="4"/>
  <c r="T92" i="4" s="1"/>
  <c r="M90" i="4"/>
  <c r="T90" i="4" s="1"/>
  <c r="M89" i="4"/>
  <c r="M88" i="4"/>
  <c r="M87" i="4"/>
  <c r="M80" i="4"/>
  <c r="T80" i="4" s="1"/>
  <c r="M77" i="4"/>
  <c r="M73" i="4"/>
  <c r="M71" i="4"/>
  <c r="M69" i="4"/>
  <c r="M67" i="4"/>
  <c r="M57" i="4"/>
  <c r="M54" i="4"/>
  <c r="T54" i="4" s="1"/>
  <c r="M53" i="4"/>
  <c r="T53" i="4" s="1"/>
  <c r="M50" i="4"/>
  <c r="M49" i="4"/>
  <c r="M48" i="4"/>
  <c r="M33" i="4"/>
  <c r="T33" i="4" s="1"/>
  <c r="M32" i="4"/>
  <c r="M30" i="4"/>
  <c r="T30" i="4" s="1"/>
  <c r="M28" i="4"/>
  <c r="T28" i="4" s="1"/>
  <c r="M20" i="4"/>
  <c r="T20" i="4" s="1"/>
  <c r="M17" i="4"/>
  <c r="T17" i="4" s="1"/>
  <c r="M16" i="4"/>
  <c r="T16" i="4" s="1"/>
  <c r="M13" i="4"/>
  <c r="M12" i="4"/>
  <c r="M8" i="4"/>
  <c r="T8" i="4" s="1"/>
  <c r="M7" i="4"/>
  <c r="I149" i="4"/>
  <c r="P149" i="4" s="1"/>
  <c r="I148" i="4"/>
  <c r="P148" i="4" s="1"/>
  <c r="I145" i="4"/>
  <c r="I129" i="4"/>
  <c r="I123" i="4"/>
  <c r="P123" i="4" s="1"/>
  <c r="I105" i="4"/>
  <c r="P105" i="4" s="1"/>
  <c r="I89" i="4"/>
  <c r="P89" i="4" s="1"/>
  <c r="I88" i="4"/>
  <c r="P88" i="4" s="1"/>
  <c r="I86" i="4"/>
  <c r="I83" i="4"/>
  <c r="I82" i="4"/>
  <c r="I81" i="4"/>
  <c r="I80" i="4"/>
  <c r="N80" i="4" s="1"/>
  <c r="I79" i="4"/>
  <c r="P79" i="4" s="1"/>
  <c r="I78" i="4"/>
  <c r="P78" i="4" s="1"/>
  <c r="I77" i="4"/>
  <c r="I69" i="4"/>
  <c r="N69" i="4" s="1"/>
  <c r="I60" i="4"/>
  <c r="I59" i="4"/>
  <c r="I43" i="4"/>
  <c r="P43" i="4" s="1"/>
  <c r="I30" i="4"/>
  <c r="I28" i="4"/>
  <c r="I25" i="4"/>
  <c r="P25" i="4" s="1"/>
  <c r="I21" i="4"/>
  <c r="P21" i="4" s="1"/>
  <c r="I20" i="4"/>
  <c r="I18" i="4"/>
  <c r="P18" i="4" s="1"/>
  <c r="I17" i="4"/>
  <c r="P17" i="4" s="1"/>
  <c r="I16" i="4"/>
  <c r="I9" i="4"/>
  <c r="I5" i="4"/>
  <c r="H150" i="4"/>
  <c r="H148" i="4"/>
  <c r="H146" i="4"/>
  <c r="O146" i="4" s="1"/>
  <c r="H133" i="4"/>
  <c r="O133" i="4" s="1"/>
  <c r="H132" i="4"/>
  <c r="O132" i="4" s="1"/>
  <c r="H131" i="4"/>
  <c r="H129" i="4"/>
  <c r="H125" i="4"/>
  <c r="H123" i="4"/>
  <c r="H117" i="4"/>
  <c r="N117" i="4" s="1"/>
  <c r="H115" i="4"/>
  <c r="H114" i="4"/>
  <c r="O114" i="4" s="1"/>
  <c r="H113" i="4"/>
  <c r="H112" i="4"/>
  <c r="N112" i="4" s="1"/>
  <c r="H111" i="4"/>
  <c r="H108" i="4"/>
  <c r="H106" i="4"/>
  <c r="O106" i="4" s="1"/>
  <c r="H93" i="4"/>
  <c r="O93" i="4" s="1"/>
  <c r="H92" i="4"/>
  <c r="O92" i="4" s="1"/>
  <c r="H89" i="4"/>
  <c r="H86" i="4"/>
  <c r="H78" i="4"/>
  <c r="H77" i="4"/>
  <c r="H74" i="4"/>
  <c r="H73" i="4"/>
  <c r="H72" i="4"/>
  <c r="H71" i="4"/>
  <c r="H70" i="4"/>
  <c r="H69" i="4"/>
  <c r="O69" i="4" s="1"/>
  <c r="H68" i="4"/>
  <c r="O68" i="4" s="1"/>
  <c r="H53" i="4"/>
  <c r="N53" i="4" s="1"/>
  <c r="H47" i="4"/>
  <c r="H33" i="4"/>
  <c r="H32" i="4"/>
  <c r="H31" i="4"/>
  <c r="N31" i="4" s="1"/>
  <c r="H30" i="4"/>
  <c r="H29" i="4"/>
  <c r="O29" i="4" s="1"/>
  <c r="H28" i="4"/>
  <c r="N28" i="4" s="1"/>
  <c r="H25" i="4"/>
  <c r="H14" i="4"/>
  <c r="H13" i="4"/>
  <c r="H12" i="4"/>
  <c r="H8" i="4"/>
  <c r="H5" i="4"/>
  <c r="N5" i="4" s="1"/>
  <c r="D150" i="4"/>
  <c r="I150" i="4" s="1"/>
  <c r="D149" i="4"/>
  <c r="H149" i="4" s="1"/>
  <c r="D148" i="4"/>
  <c r="D147" i="4"/>
  <c r="M147" i="4" s="1"/>
  <c r="D146" i="4"/>
  <c r="D145" i="4"/>
  <c r="M145" i="4" s="1"/>
  <c r="D144" i="4"/>
  <c r="D143" i="4"/>
  <c r="D142" i="4"/>
  <c r="D141" i="4"/>
  <c r="D140" i="4"/>
  <c r="H140" i="4" s="1"/>
  <c r="D139" i="4"/>
  <c r="D138" i="4"/>
  <c r="D137" i="4"/>
  <c r="D136" i="4"/>
  <c r="D135" i="4"/>
  <c r="D134" i="4"/>
  <c r="I134" i="4" s="1"/>
  <c r="D133" i="4"/>
  <c r="I133" i="4" s="1"/>
  <c r="D132" i="4"/>
  <c r="I132" i="4" s="1"/>
  <c r="P132" i="4" s="1"/>
  <c r="D131" i="4"/>
  <c r="I131" i="4" s="1"/>
  <c r="D130" i="4"/>
  <c r="I130" i="4" s="1"/>
  <c r="P130" i="4" s="1"/>
  <c r="D129" i="4"/>
  <c r="M129" i="4" s="1"/>
  <c r="T129" i="4" s="1"/>
  <c r="D128" i="4"/>
  <c r="M128" i="4" s="1"/>
  <c r="T128" i="4" s="1"/>
  <c r="D127" i="4"/>
  <c r="M127" i="4" s="1"/>
  <c r="T127" i="4" s="1"/>
  <c r="D126" i="4"/>
  <c r="D125" i="4"/>
  <c r="M125" i="4" s="1"/>
  <c r="T125" i="4" s="1"/>
  <c r="D124" i="4"/>
  <c r="D123" i="4"/>
  <c r="D122" i="4"/>
  <c r="I122" i="4" s="1"/>
  <c r="D121" i="4"/>
  <c r="I121" i="4" s="1"/>
  <c r="D120" i="4"/>
  <c r="I120" i="4" s="1"/>
  <c r="D119" i="4"/>
  <c r="M119" i="4" s="1"/>
  <c r="T119" i="4" s="1"/>
  <c r="D118" i="4"/>
  <c r="M118" i="4" s="1"/>
  <c r="T118" i="4" s="1"/>
  <c r="D117" i="4"/>
  <c r="I117" i="4" s="1"/>
  <c r="D116" i="4"/>
  <c r="D115" i="4"/>
  <c r="I115" i="4" s="1"/>
  <c r="D114" i="4"/>
  <c r="I114" i="4" s="1"/>
  <c r="D113" i="4"/>
  <c r="I113" i="4" s="1"/>
  <c r="D112" i="4"/>
  <c r="I112" i="4" s="1"/>
  <c r="D111" i="4"/>
  <c r="I111" i="4" s="1"/>
  <c r="P111" i="4" s="1"/>
  <c r="D110" i="4"/>
  <c r="I110" i="4" s="1"/>
  <c r="D109" i="4"/>
  <c r="H109" i="4" s="1"/>
  <c r="D108" i="4"/>
  <c r="I108" i="4" s="1"/>
  <c r="P108" i="4" s="1"/>
  <c r="D107" i="4"/>
  <c r="H107" i="4" s="1"/>
  <c r="D106" i="4"/>
  <c r="M106" i="4" s="1"/>
  <c r="D105" i="4"/>
  <c r="M105" i="4" s="1"/>
  <c r="T105" i="4" s="1"/>
  <c r="D104" i="4"/>
  <c r="I104" i="4" s="1"/>
  <c r="D103" i="4"/>
  <c r="I103" i="4" s="1"/>
  <c r="D102" i="4"/>
  <c r="D101" i="4"/>
  <c r="D100" i="4"/>
  <c r="D99" i="4"/>
  <c r="D98" i="4"/>
  <c r="D97" i="4"/>
  <c r="D96" i="4"/>
  <c r="D95" i="4"/>
  <c r="M95" i="4" s="1"/>
  <c r="T95" i="4" s="1"/>
  <c r="D94" i="4"/>
  <c r="I94" i="4" s="1"/>
  <c r="D93" i="4"/>
  <c r="I93" i="4" s="1"/>
  <c r="D92" i="4"/>
  <c r="I92" i="4" s="1"/>
  <c r="D91" i="4"/>
  <c r="I91" i="4" s="1"/>
  <c r="D90" i="4"/>
  <c r="I90" i="4" s="1"/>
  <c r="D89" i="4"/>
  <c r="D88" i="4"/>
  <c r="H88" i="4" s="1"/>
  <c r="D87" i="4"/>
  <c r="D86" i="4"/>
  <c r="M86" i="4" s="1"/>
  <c r="D85" i="4"/>
  <c r="M85" i="4" s="1"/>
  <c r="T85" i="4" s="1"/>
  <c r="D84" i="4"/>
  <c r="I84" i="4" s="1"/>
  <c r="P84" i="4" s="1"/>
  <c r="D83" i="4"/>
  <c r="D82" i="4"/>
  <c r="D81" i="4"/>
  <c r="D80" i="4"/>
  <c r="H80" i="4" s="1"/>
  <c r="O80" i="4" s="1"/>
  <c r="D79" i="4"/>
  <c r="H79" i="4" s="1"/>
  <c r="D78" i="4"/>
  <c r="M78" i="4" s="1"/>
  <c r="D77" i="4"/>
  <c r="D76" i="4"/>
  <c r="D75" i="4"/>
  <c r="H75" i="4" s="1"/>
  <c r="D74" i="4"/>
  <c r="I74" i="4" s="1"/>
  <c r="D73" i="4"/>
  <c r="I73" i="4" s="1"/>
  <c r="D72" i="4"/>
  <c r="I72" i="4" s="1"/>
  <c r="D71" i="4"/>
  <c r="I71" i="4" s="1"/>
  <c r="D70" i="4"/>
  <c r="I70" i="4" s="1"/>
  <c r="D69" i="4"/>
  <c r="D68" i="4"/>
  <c r="I68" i="4" s="1"/>
  <c r="P68" i="4" s="1"/>
  <c r="D67" i="4"/>
  <c r="D66" i="4"/>
  <c r="D65" i="4"/>
  <c r="M65" i="4" s="1"/>
  <c r="T65" i="4" s="1"/>
  <c r="D64" i="4"/>
  <c r="D63" i="4"/>
  <c r="D62" i="4"/>
  <c r="D61" i="4"/>
  <c r="D60" i="4"/>
  <c r="H60" i="4" s="1"/>
  <c r="D59" i="4"/>
  <c r="D58" i="4"/>
  <c r="D57" i="4"/>
  <c r="D56" i="4"/>
  <c r="H56" i="4" s="1"/>
  <c r="D55" i="4"/>
  <c r="D54" i="4"/>
  <c r="I54" i="4" s="1"/>
  <c r="D53" i="4"/>
  <c r="I53" i="4" s="1"/>
  <c r="D52" i="4"/>
  <c r="I52" i="4" s="1"/>
  <c r="D51" i="4"/>
  <c r="I51" i="4" s="1"/>
  <c r="D50" i="4"/>
  <c r="I50" i="4" s="1"/>
  <c r="D49" i="4"/>
  <c r="H49" i="4" s="1"/>
  <c r="D48" i="4"/>
  <c r="H48" i="4" s="1"/>
  <c r="D47" i="4"/>
  <c r="D46" i="4"/>
  <c r="M46" i="4" s="1"/>
  <c r="T46" i="4" s="1"/>
  <c r="D45" i="4"/>
  <c r="M45" i="4" s="1"/>
  <c r="T45" i="4" s="1"/>
  <c r="D44" i="4"/>
  <c r="I44" i="4" s="1"/>
  <c r="P44" i="4" s="1"/>
  <c r="D43" i="4"/>
  <c r="D42" i="4"/>
  <c r="I42" i="4" s="1"/>
  <c r="D41" i="4"/>
  <c r="I41" i="4" s="1"/>
  <c r="D40" i="4"/>
  <c r="D39" i="4"/>
  <c r="D38" i="4"/>
  <c r="H38" i="4" s="1"/>
  <c r="D37" i="4"/>
  <c r="H37" i="4" s="1"/>
  <c r="D36" i="4"/>
  <c r="D35" i="4"/>
  <c r="D34" i="4"/>
  <c r="I34" i="4" s="1"/>
  <c r="D33" i="4"/>
  <c r="I33" i="4" s="1"/>
  <c r="D32" i="4"/>
  <c r="I32" i="4" s="1"/>
  <c r="D31" i="4"/>
  <c r="I31" i="4" s="1"/>
  <c r="D30" i="4"/>
  <c r="D29" i="4"/>
  <c r="M29" i="4" s="1"/>
  <c r="T29" i="4" s="1"/>
  <c r="D28" i="4"/>
  <c r="D27" i="4"/>
  <c r="I27" i="4" s="1"/>
  <c r="D26" i="4"/>
  <c r="I26" i="4" s="1"/>
  <c r="D25" i="4"/>
  <c r="M25" i="4" s="1"/>
  <c r="D24" i="4"/>
  <c r="D23" i="4"/>
  <c r="D22" i="4"/>
  <c r="D21" i="4"/>
  <c r="D20" i="4"/>
  <c r="H20" i="4" s="1"/>
  <c r="D19" i="4"/>
  <c r="D18" i="4"/>
  <c r="M18" i="4" s="1"/>
  <c r="T18" i="4" s="1"/>
  <c r="D17" i="4"/>
  <c r="H17" i="4" s="1"/>
  <c r="D16" i="4"/>
  <c r="H16" i="4" s="1"/>
  <c r="D15" i="4"/>
  <c r="M15" i="4" s="1"/>
  <c r="D14" i="4"/>
  <c r="I14" i="4" s="1"/>
  <c r="P14" i="4" s="1"/>
  <c r="D13" i="4"/>
  <c r="I13" i="4" s="1"/>
  <c r="D12" i="4"/>
  <c r="I12" i="4" s="1"/>
  <c r="D11" i="4"/>
  <c r="I11" i="4" s="1"/>
  <c r="D10" i="4"/>
  <c r="I10" i="4" s="1"/>
  <c r="P10" i="4" s="1"/>
  <c r="D9" i="4"/>
  <c r="M9" i="4" s="1"/>
  <c r="T9" i="4" s="1"/>
  <c r="D8" i="4"/>
  <c r="I8" i="4" s="1"/>
  <c r="D7" i="4"/>
  <c r="D6" i="4"/>
  <c r="D5" i="4"/>
  <c r="M5" i="4" s="1"/>
  <c r="D4" i="4"/>
  <c r="D3" i="4"/>
  <c r="D2" i="4"/>
  <c r="M128" i="3"/>
  <c r="T128" i="3" s="1"/>
  <c r="M111" i="3"/>
  <c r="M108" i="3"/>
  <c r="T108" i="3" s="1"/>
  <c r="M105" i="3"/>
  <c r="M91" i="3"/>
  <c r="T91" i="3" s="1"/>
  <c r="M90" i="3"/>
  <c r="M89" i="3"/>
  <c r="T89" i="3" s="1"/>
  <c r="M84" i="3"/>
  <c r="M83" i="3"/>
  <c r="T83" i="3" s="1"/>
  <c r="M82" i="3"/>
  <c r="T82" i="3" s="1"/>
  <c r="M72" i="3"/>
  <c r="M71" i="3"/>
  <c r="M70" i="3"/>
  <c r="M69" i="3"/>
  <c r="T69" i="3" s="1"/>
  <c r="M68" i="3"/>
  <c r="M64" i="3"/>
  <c r="T64" i="3" s="1"/>
  <c r="M63" i="3"/>
  <c r="T63" i="3" s="1"/>
  <c r="M45" i="3"/>
  <c r="T45" i="3" s="1"/>
  <c r="M32" i="3"/>
  <c r="M31" i="3"/>
  <c r="T31" i="3" s="1"/>
  <c r="M30" i="3"/>
  <c r="M25" i="3"/>
  <c r="M11" i="3"/>
  <c r="M10" i="3"/>
  <c r="M9" i="3"/>
  <c r="T9" i="3" s="1"/>
  <c r="M8" i="3"/>
  <c r="M5" i="3"/>
  <c r="T5" i="3" s="1"/>
  <c r="I123" i="3"/>
  <c r="P123" i="3" s="1"/>
  <c r="I122" i="3"/>
  <c r="P122" i="3" s="1"/>
  <c r="I117" i="3"/>
  <c r="P117" i="3" s="1"/>
  <c r="I111" i="3"/>
  <c r="I110" i="3"/>
  <c r="P110" i="3" s="1"/>
  <c r="I98" i="3"/>
  <c r="P98" i="3" s="1"/>
  <c r="I97" i="3"/>
  <c r="I91" i="3"/>
  <c r="I77" i="3"/>
  <c r="N77" i="3" s="1"/>
  <c r="I76" i="3"/>
  <c r="P76" i="3" s="1"/>
  <c r="I73" i="3"/>
  <c r="P73" i="3" s="1"/>
  <c r="I72" i="3"/>
  <c r="P72" i="3" s="1"/>
  <c r="I71" i="3"/>
  <c r="P71" i="3" s="1"/>
  <c r="I70" i="3"/>
  <c r="I54" i="3"/>
  <c r="I53" i="3"/>
  <c r="I38" i="3"/>
  <c r="I37" i="3"/>
  <c r="I18" i="3"/>
  <c r="P18" i="3" s="1"/>
  <c r="I15" i="3"/>
  <c r="P15" i="3" s="1"/>
  <c r="I14" i="3"/>
  <c r="P14" i="3" s="1"/>
  <c r="I13" i="3"/>
  <c r="P13" i="3" s="1"/>
  <c r="I10" i="3"/>
  <c r="P10" i="3" s="1"/>
  <c r="H111" i="3"/>
  <c r="O111" i="3" s="1"/>
  <c r="H110" i="3"/>
  <c r="H101" i="3"/>
  <c r="H91" i="3"/>
  <c r="N91" i="3" s="1"/>
  <c r="H85" i="3"/>
  <c r="O85" i="3" s="1"/>
  <c r="H78" i="3"/>
  <c r="O78" i="3" s="1"/>
  <c r="H71" i="3"/>
  <c r="H70" i="3"/>
  <c r="H65" i="3"/>
  <c r="O65" i="3" s="1"/>
  <c r="H51" i="3"/>
  <c r="H50" i="3"/>
  <c r="O50" i="3" s="1"/>
  <c r="H40" i="3"/>
  <c r="H26" i="3"/>
  <c r="H25" i="3"/>
  <c r="H24" i="3"/>
  <c r="H10" i="3"/>
  <c r="D129" i="3"/>
  <c r="M129" i="3" s="1"/>
  <c r="T129" i="3" s="1"/>
  <c r="D128" i="3"/>
  <c r="I128" i="3" s="1"/>
  <c r="P128" i="3" s="1"/>
  <c r="D127" i="3"/>
  <c r="D126" i="3"/>
  <c r="D125" i="3"/>
  <c r="I125" i="3" s="1"/>
  <c r="P125" i="3" s="1"/>
  <c r="D124" i="3"/>
  <c r="I124" i="3" s="1"/>
  <c r="P124" i="3" s="1"/>
  <c r="D123" i="3"/>
  <c r="H123" i="3" s="1"/>
  <c r="O123" i="3" s="1"/>
  <c r="D122" i="3"/>
  <c r="M122" i="3" s="1"/>
  <c r="T122" i="3" s="1"/>
  <c r="D121" i="3"/>
  <c r="M121" i="3" s="1"/>
  <c r="T121" i="3" s="1"/>
  <c r="D120" i="3"/>
  <c r="M120" i="3" s="1"/>
  <c r="T120" i="3" s="1"/>
  <c r="D119" i="3"/>
  <c r="H119" i="3" s="1"/>
  <c r="O119" i="3" s="1"/>
  <c r="D118" i="3"/>
  <c r="D117" i="3"/>
  <c r="H117" i="3" s="1"/>
  <c r="D116" i="3"/>
  <c r="D115" i="3"/>
  <c r="D114" i="3"/>
  <c r="D113" i="3"/>
  <c r="I113" i="3" s="1"/>
  <c r="P113" i="3" s="1"/>
  <c r="D112" i="3"/>
  <c r="H112" i="3" s="1"/>
  <c r="D111" i="3"/>
  <c r="D110" i="3"/>
  <c r="M110" i="3" s="1"/>
  <c r="D109" i="3"/>
  <c r="M109" i="3" s="1"/>
  <c r="D108" i="3"/>
  <c r="I108" i="3" s="1"/>
  <c r="P108" i="3" s="1"/>
  <c r="D107" i="3"/>
  <c r="I107" i="3" s="1"/>
  <c r="D106" i="3"/>
  <c r="H106" i="3" s="1"/>
  <c r="D105" i="3"/>
  <c r="I105" i="3" s="1"/>
  <c r="D104" i="3"/>
  <c r="I104" i="3" s="1"/>
  <c r="P104" i="3" s="1"/>
  <c r="D103" i="3"/>
  <c r="M103" i="3" s="1"/>
  <c r="T103" i="3" s="1"/>
  <c r="D102" i="3"/>
  <c r="M102" i="3" s="1"/>
  <c r="T102" i="3" s="1"/>
  <c r="D101" i="3"/>
  <c r="M101" i="3" s="1"/>
  <c r="T101" i="3" s="1"/>
  <c r="D100" i="3"/>
  <c r="M100" i="3" s="1"/>
  <c r="T100" i="3" s="1"/>
  <c r="D99" i="3"/>
  <c r="I99" i="3" s="1"/>
  <c r="P99" i="3" s="1"/>
  <c r="D98" i="3"/>
  <c r="D97" i="3"/>
  <c r="H97" i="3" s="1"/>
  <c r="D96" i="3"/>
  <c r="I96" i="3" s="1"/>
  <c r="P96" i="3" s="1"/>
  <c r="D95" i="3"/>
  <c r="D94" i="3"/>
  <c r="D93" i="3"/>
  <c r="I93" i="3" s="1"/>
  <c r="D92" i="3"/>
  <c r="H92" i="3" s="1"/>
  <c r="O92" i="3" s="1"/>
  <c r="D91" i="3"/>
  <c r="D90" i="3"/>
  <c r="I90" i="3" s="1"/>
  <c r="D89" i="3"/>
  <c r="D88" i="3"/>
  <c r="I88" i="3" s="1"/>
  <c r="D87" i="3"/>
  <c r="D86" i="3"/>
  <c r="D85" i="3"/>
  <c r="I85" i="3" s="1"/>
  <c r="D84" i="3"/>
  <c r="I84" i="3" s="1"/>
  <c r="P84" i="3" s="1"/>
  <c r="D83" i="3"/>
  <c r="I83" i="3" s="1"/>
  <c r="P83" i="3" s="1"/>
  <c r="D82" i="3"/>
  <c r="H82" i="3" s="1"/>
  <c r="O82" i="3" s="1"/>
  <c r="D81" i="3"/>
  <c r="M81" i="3" s="1"/>
  <c r="T81" i="3" s="1"/>
  <c r="D80" i="3"/>
  <c r="M80" i="3" s="1"/>
  <c r="T80" i="3" s="1"/>
  <c r="D79" i="3"/>
  <c r="M79" i="3" s="1"/>
  <c r="D78" i="3"/>
  <c r="D77" i="3"/>
  <c r="H77" i="3" s="1"/>
  <c r="D76" i="3"/>
  <c r="D75" i="3"/>
  <c r="M75" i="3" s="1"/>
  <c r="T75" i="3" s="1"/>
  <c r="D74" i="3"/>
  <c r="M74" i="3" s="1"/>
  <c r="T74" i="3" s="1"/>
  <c r="D73" i="3"/>
  <c r="D72" i="3"/>
  <c r="H72" i="3" s="1"/>
  <c r="D71" i="3"/>
  <c r="D70" i="3"/>
  <c r="D69" i="3"/>
  <c r="D68" i="3"/>
  <c r="I68" i="3" s="1"/>
  <c r="D67" i="3"/>
  <c r="D66" i="3"/>
  <c r="D65" i="3"/>
  <c r="I65" i="3" s="1"/>
  <c r="D64" i="3"/>
  <c r="I64" i="3" s="1"/>
  <c r="P64" i="3" s="1"/>
  <c r="D63" i="3"/>
  <c r="I63" i="3" s="1"/>
  <c r="P63" i="3" s="1"/>
  <c r="D62" i="3"/>
  <c r="I62" i="3" s="1"/>
  <c r="P62" i="3" s="1"/>
  <c r="D61" i="3"/>
  <c r="M61" i="3" s="1"/>
  <c r="T61" i="3" s="1"/>
  <c r="D60" i="3"/>
  <c r="M60" i="3" s="1"/>
  <c r="T60" i="3" s="1"/>
  <c r="D59" i="3"/>
  <c r="H59" i="3" s="1"/>
  <c r="O59" i="3" s="1"/>
  <c r="D58" i="3"/>
  <c r="D57" i="3"/>
  <c r="H57" i="3" s="1"/>
  <c r="D56" i="3"/>
  <c r="D55" i="3"/>
  <c r="D54" i="3"/>
  <c r="D53" i="3"/>
  <c r="D52" i="3"/>
  <c r="H52" i="3" s="1"/>
  <c r="D51" i="3"/>
  <c r="M51" i="3" s="1"/>
  <c r="T51" i="3" s="1"/>
  <c r="D50" i="3"/>
  <c r="M50" i="3" s="1"/>
  <c r="D49" i="3"/>
  <c r="M49" i="3" s="1"/>
  <c r="D48" i="3"/>
  <c r="I48" i="3" s="1"/>
  <c r="D47" i="3"/>
  <c r="M47" i="3" s="1"/>
  <c r="D46" i="3"/>
  <c r="D45" i="3"/>
  <c r="I45" i="3" s="1"/>
  <c r="D44" i="3"/>
  <c r="I44" i="3" s="1"/>
  <c r="P44" i="3" s="1"/>
  <c r="D43" i="3"/>
  <c r="M43" i="3" s="1"/>
  <c r="D42" i="3"/>
  <c r="I42" i="3" s="1"/>
  <c r="P42" i="3" s="1"/>
  <c r="D41" i="3"/>
  <c r="M41" i="3" s="1"/>
  <c r="T41" i="3" s="1"/>
  <c r="D40" i="3"/>
  <c r="M40" i="3" s="1"/>
  <c r="D39" i="3"/>
  <c r="D38" i="3"/>
  <c r="D37" i="3"/>
  <c r="H37" i="3" s="1"/>
  <c r="N37" i="3" s="1"/>
  <c r="D36" i="3"/>
  <c r="D35" i="3"/>
  <c r="M35" i="3" s="1"/>
  <c r="T35" i="3" s="1"/>
  <c r="D34" i="3"/>
  <c r="M34" i="3" s="1"/>
  <c r="T34" i="3" s="1"/>
  <c r="D33" i="3"/>
  <c r="D32" i="3"/>
  <c r="H32" i="3" s="1"/>
  <c r="D31" i="3"/>
  <c r="I31" i="3" s="1"/>
  <c r="D30" i="3"/>
  <c r="I30" i="3" s="1"/>
  <c r="P30" i="3" s="1"/>
  <c r="D29" i="3"/>
  <c r="M29" i="3" s="1"/>
  <c r="T29" i="3" s="1"/>
  <c r="D28" i="3"/>
  <c r="I28" i="3" s="1"/>
  <c r="P28" i="3" s="1"/>
  <c r="D27" i="3"/>
  <c r="D26" i="3"/>
  <c r="D25" i="3"/>
  <c r="I25" i="3" s="1"/>
  <c r="P25" i="3" s="1"/>
  <c r="D24" i="3"/>
  <c r="I24" i="3" s="1"/>
  <c r="D23" i="3"/>
  <c r="H23" i="3" s="1"/>
  <c r="D22" i="3"/>
  <c r="H22" i="3" s="1"/>
  <c r="D21" i="3"/>
  <c r="M21" i="3" s="1"/>
  <c r="T21" i="3" s="1"/>
  <c r="D20" i="3"/>
  <c r="M20" i="3" s="1"/>
  <c r="D19" i="3"/>
  <c r="M19" i="3" s="1"/>
  <c r="T19" i="3" s="1"/>
  <c r="D18" i="3"/>
  <c r="M18" i="3" s="1"/>
  <c r="D17" i="3"/>
  <c r="H17" i="3" s="1"/>
  <c r="D16" i="3"/>
  <c r="I16" i="3" s="1"/>
  <c r="P16" i="3" s="1"/>
  <c r="D15" i="3"/>
  <c r="D14" i="3"/>
  <c r="D13" i="3"/>
  <c r="D12" i="3"/>
  <c r="H12" i="3" s="1"/>
  <c r="D11" i="3"/>
  <c r="I11" i="3" s="1"/>
  <c r="P11" i="3" s="1"/>
  <c r="D10" i="3"/>
  <c r="D9" i="3"/>
  <c r="D8" i="3"/>
  <c r="I8" i="3" s="1"/>
  <c r="P8" i="3" s="1"/>
  <c r="D7" i="3"/>
  <c r="D6" i="3"/>
  <c r="D5" i="3"/>
  <c r="I5" i="3" s="1"/>
  <c r="D4" i="3"/>
  <c r="I4" i="3" s="1"/>
  <c r="P4" i="3" s="1"/>
  <c r="D3" i="3"/>
  <c r="I3" i="3" s="1"/>
  <c r="P3" i="3" s="1"/>
  <c r="D2" i="3"/>
  <c r="I2" i="3" s="1"/>
  <c r="P2" i="3" s="1"/>
  <c r="M83" i="2"/>
  <c r="T83" i="2" s="1"/>
  <c r="M81" i="2"/>
  <c r="T81" i="2" s="1"/>
  <c r="M80" i="2"/>
  <c r="M60" i="2"/>
  <c r="M58" i="2"/>
  <c r="T58" i="2" s="1"/>
  <c r="M56" i="2"/>
  <c r="M44" i="2"/>
  <c r="T44" i="2" s="1"/>
  <c r="M41" i="2"/>
  <c r="T41" i="2" s="1"/>
  <c r="M37" i="2"/>
  <c r="M24" i="2"/>
  <c r="M23" i="2"/>
  <c r="M21" i="2"/>
  <c r="T21" i="2" s="1"/>
  <c r="M20" i="2"/>
  <c r="M19" i="2"/>
  <c r="T19" i="2" s="1"/>
  <c r="M18" i="2"/>
  <c r="M16" i="2"/>
  <c r="M3" i="2"/>
  <c r="T3" i="2" s="1"/>
  <c r="I86" i="2"/>
  <c r="P86" i="2" s="1"/>
  <c r="I83" i="2"/>
  <c r="I80" i="2"/>
  <c r="P80" i="2" s="1"/>
  <c r="I79" i="2"/>
  <c r="P79" i="2" s="1"/>
  <c r="I77" i="2"/>
  <c r="N77" i="2" s="1"/>
  <c r="I66" i="2"/>
  <c r="P66" i="2" s="1"/>
  <c r="I63" i="2"/>
  <c r="P63" i="2" s="1"/>
  <c r="I62" i="2"/>
  <c r="I60" i="2"/>
  <c r="P60" i="2" s="1"/>
  <c r="I46" i="2"/>
  <c r="P46" i="2" s="1"/>
  <c r="I45" i="2"/>
  <c r="I44" i="2"/>
  <c r="I43" i="2"/>
  <c r="P43" i="2" s="1"/>
  <c r="I42" i="2"/>
  <c r="I40" i="2"/>
  <c r="P40" i="2" s="1"/>
  <c r="I39" i="2"/>
  <c r="I37" i="2"/>
  <c r="I25" i="2"/>
  <c r="I20" i="2"/>
  <c r="N20" i="2" s="1"/>
  <c r="I6" i="2"/>
  <c r="P6" i="2" s="1"/>
  <c r="I3" i="2"/>
  <c r="P3" i="2" s="1"/>
  <c r="I2" i="2"/>
  <c r="H85" i="2"/>
  <c r="O85" i="2" s="1"/>
  <c r="H83" i="2"/>
  <c r="O83" i="2" s="1"/>
  <c r="H82" i="2"/>
  <c r="O82" i="2" s="1"/>
  <c r="H81" i="2"/>
  <c r="H65" i="2"/>
  <c r="O65" i="2" s="1"/>
  <c r="H64" i="2"/>
  <c r="O64" i="2" s="1"/>
  <c r="H45" i="2"/>
  <c r="H44" i="2"/>
  <c r="H42" i="2"/>
  <c r="H41" i="2"/>
  <c r="H25" i="2"/>
  <c r="H24" i="2"/>
  <c r="O24" i="2" s="1"/>
  <c r="H23" i="2"/>
  <c r="O23" i="2" s="1"/>
  <c r="H22" i="2"/>
  <c r="O22" i="2" s="1"/>
  <c r="H21" i="2"/>
  <c r="N21" i="2" s="1"/>
  <c r="H6" i="2"/>
  <c r="D86" i="2"/>
  <c r="M86" i="2" s="1"/>
  <c r="D85" i="2"/>
  <c r="M85" i="2" s="1"/>
  <c r="D84" i="2"/>
  <c r="I84" i="2" s="1"/>
  <c r="D83" i="2"/>
  <c r="D82" i="2"/>
  <c r="M82" i="2" s="1"/>
  <c r="D81" i="2"/>
  <c r="I81" i="2" s="1"/>
  <c r="P81" i="2" s="1"/>
  <c r="D80" i="2"/>
  <c r="H80" i="2" s="1"/>
  <c r="D79" i="2"/>
  <c r="H79" i="2" s="1"/>
  <c r="D78" i="2"/>
  <c r="D77" i="2"/>
  <c r="H77" i="2" s="1"/>
  <c r="O77" i="2" s="1"/>
  <c r="D76" i="2"/>
  <c r="H76" i="2" s="1"/>
  <c r="O76" i="2" s="1"/>
  <c r="D75" i="2"/>
  <c r="D74" i="2"/>
  <c r="D73" i="2"/>
  <c r="D72" i="2"/>
  <c r="D71" i="2"/>
  <c r="D70" i="2"/>
  <c r="D69" i="2"/>
  <c r="D68" i="2"/>
  <c r="D67" i="2"/>
  <c r="D66" i="2"/>
  <c r="M66" i="2" s="1"/>
  <c r="D65" i="2"/>
  <c r="M65" i="2" s="1"/>
  <c r="D64" i="2"/>
  <c r="M64" i="2" s="1"/>
  <c r="T64" i="2" s="1"/>
  <c r="D63" i="2"/>
  <c r="M63" i="2" s="1"/>
  <c r="T63" i="2" s="1"/>
  <c r="D62" i="2"/>
  <c r="M62" i="2" s="1"/>
  <c r="D61" i="2"/>
  <c r="H61" i="2" s="1"/>
  <c r="D60" i="2"/>
  <c r="H60" i="2" s="1"/>
  <c r="D59" i="2"/>
  <c r="D58" i="2"/>
  <c r="D57" i="2"/>
  <c r="H57" i="2" s="1"/>
  <c r="O57" i="2" s="1"/>
  <c r="D56" i="2"/>
  <c r="D55" i="2"/>
  <c r="M55" i="2" s="1"/>
  <c r="T55" i="2" s="1"/>
  <c r="D54" i="2"/>
  <c r="M54" i="2" s="1"/>
  <c r="T54" i="2" s="1"/>
  <c r="D53" i="2"/>
  <c r="M53" i="2" s="1"/>
  <c r="T53" i="2" s="1"/>
  <c r="D52" i="2"/>
  <c r="M52" i="2" s="1"/>
  <c r="T52" i="2" s="1"/>
  <c r="D51" i="2"/>
  <c r="M51" i="2" s="1"/>
  <c r="T51" i="2" s="1"/>
  <c r="D50" i="2"/>
  <c r="D49" i="2"/>
  <c r="D48" i="2"/>
  <c r="H48" i="2" s="1"/>
  <c r="O48" i="2" s="1"/>
  <c r="D47" i="2"/>
  <c r="D46" i="2"/>
  <c r="M46" i="2" s="1"/>
  <c r="D45" i="2"/>
  <c r="M45" i="2" s="1"/>
  <c r="D44" i="2"/>
  <c r="D43" i="2"/>
  <c r="H43" i="2" s="1"/>
  <c r="O43" i="2" s="1"/>
  <c r="D42" i="2"/>
  <c r="M42" i="2" s="1"/>
  <c r="T42" i="2" s="1"/>
  <c r="D41" i="2"/>
  <c r="I41" i="2" s="1"/>
  <c r="P41" i="2" s="1"/>
  <c r="D40" i="2"/>
  <c r="H40" i="2" s="1"/>
  <c r="O40" i="2" s="1"/>
  <c r="D39" i="2"/>
  <c r="D38" i="2"/>
  <c r="D37" i="2"/>
  <c r="H37" i="2" s="1"/>
  <c r="D36" i="2"/>
  <c r="D35" i="2"/>
  <c r="D34" i="2"/>
  <c r="H34" i="2" s="1"/>
  <c r="O34" i="2" s="1"/>
  <c r="D33" i="2"/>
  <c r="H33" i="2" s="1"/>
  <c r="D32" i="2"/>
  <c r="D31" i="2"/>
  <c r="H31" i="2" s="1"/>
  <c r="D30" i="2"/>
  <c r="D29" i="2"/>
  <c r="D28" i="2"/>
  <c r="D27" i="2"/>
  <c r="D26" i="2"/>
  <c r="M26" i="2" s="1"/>
  <c r="D25" i="2"/>
  <c r="M25" i="2" s="1"/>
  <c r="D24" i="2"/>
  <c r="I24" i="2" s="1"/>
  <c r="P24" i="2" s="1"/>
  <c r="D23" i="2"/>
  <c r="I23" i="2" s="1"/>
  <c r="D22" i="2"/>
  <c r="M22" i="2" s="1"/>
  <c r="T22" i="2" s="1"/>
  <c r="D21" i="2"/>
  <c r="I21" i="2" s="1"/>
  <c r="P21" i="2" s="1"/>
  <c r="D20" i="2"/>
  <c r="H20" i="2" s="1"/>
  <c r="D19" i="2"/>
  <c r="H19" i="2" s="1"/>
  <c r="D18" i="2"/>
  <c r="D17" i="2"/>
  <c r="H17" i="2" s="1"/>
  <c r="D16" i="2"/>
  <c r="H16" i="2" s="1"/>
  <c r="D15" i="2"/>
  <c r="M15" i="2" s="1"/>
  <c r="T15" i="2" s="1"/>
  <c r="D14" i="2"/>
  <c r="D13" i="2"/>
  <c r="D12" i="2"/>
  <c r="D11" i="2"/>
  <c r="D10" i="2"/>
  <c r="D9" i="2"/>
  <c r="D8" i="2"/>
  <c r="D7" i="2"/>
  <c r="D6" i="2"/>
  <c r="M6" i="2" s="1"/>
  <c r="D5" i="2"/>
  <c r="M5" i="2" s="1"/>
  <c r="T5" i="2" s="1"/>
  <c r="D4" i="2"/>
  <c r="I4" i="2" s="1"/>
  <c r="P4" i="2" s="1"/>
  <c r="D3" i="2"/>
  <c r="H3" i="2" s="1"/>
  <c r="D2" i="2"/>
  <c r="M2" i="2" s="1"/>
  <c r="N30" i="4"/>
  <c r="N32" i="4"/>
  <c r="N123" i="4"/>
  <c r="N133" i="4"/>
  <c r="O5" i="4"/>
  <c r="O8" i="4"/>
  <c r="O53" i="4"/>
  <c r="O56" i="4"/>
  <c r="O60" i="4"/>
  <c r="O30" i="4"/>
  <c r="O32" i="4"/>
  <c r="O33" i="4"/>
  <c r="O20" i="4"/>
  <c r="O108" i="4"/>
  <c r="O123" i="4"/>
  <c r="O125" i="4"/>
  <c r="O129" i="4"/>
  <c r="P5" i="4"/>
  <c r="P11" i="4"/>
  <c r="P12" i="4"/>
  <c r="P13" i="4"/>
  <c r="P90" i="4"/>
  <c r="P91" i="4"/>
  <c r="P92" i="4"/>
  <c r="P93" i="4"/>
  <c r="P94" i="4"/>
  <c r="P150" i="4"/>
  <c r="P50" i="4"/>
  <c r="P51" i="4"/>
  <c r="P52" i="4"/>
  <c r="P53" i="4"/>
  <c r="P54" i="4"/>
  <c r="P69" i="4"/>
  <c r="P70" i="4"/>
  <c r="P71" i="4"/>
  <c r="P72" i="4"/>
  <c r="P73" i="4"/>
  <c r="P74" i="4"/>
  <c r="P77" i="4"/>
  <c r="P30" i="4"/>
  <c r="P31" i="4"/>
  <c r="P32" i="4"/>
  <c r="P33" i="4"/>
  <c r="P34" i="4"/>
  <c r="P16" i="4"/>
  <c r="P110" i="4"/>
  <c r="P112" i="4"/>
  <c r="P113" i="4"/>
  <c r="P114" i="4"/>
  <c r="P129" i="4"/>
  <c r="P131" i="4"/>
  <c r="P133" i="4"/>
  <c r="P134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40" i="4"/>
  <c r="Q141" i="4"/>
  <c r="Q142" i="4"/>
  <c r="Q143" i="4"/>
  <c r="Q144" i="4"/>
  <c r="Q145" i="4"/>
  <c r="Q146" i="4"/>
  <c r="Q147" i="4"/>
  <c r="Q148" i="4"/>
  <c r="Q149" i="4"/>
  <c r="Q150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21" i="4"/>
  <c r="Q22" i="4"/>
  <c r="Q16" i="4"/>
  <c r="Q17" i="4"/>
  <c r="Q18" i="4"/>
  <c r="Q19" i="4"/>
  <c r="Q2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40" i="4"/>
  <c r="R141" i="4"/>
  <c r="R142" i="4"/>
  <c r="R143" i="4"/>
  <c r="R144" i="4"/>
  <c r="R145" i="4"/>
  <c r="R146" i="4"/>
  <c r="R147" i="4"/>
  <c r="R148" i="4"/>
  <c r="R149" i="4"/>
  <c r="R150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21" i="4"/>
  <c r="R22" i="4"/>
  <c r="R16" i="4"/>
  <c r="R17" i="4"/>
  <c r="R18" i="4"/>
  <c r="R19" i="4"/>
  <c r="R2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40" i="4"/>
  <c r="S141" i="4"/>
  <c r="S142" i="4"/>
  <c r="S143" i="4"/>
  <c r="S144" i="4"/>
  <c r="S145" i="4"/>
  <c r="S146" i="4"/>
  <c r="S147" i="4"/>
  <c r="S148" i="4"/>
  <c r="S149" i="4"/>
  <c r="S150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21" i="4"/>
  <c r="S22" i="4"/>
  <c r="S16" i="4"/>
  <c r="S17" i="4"/>
  <c r="S18" i="4"/>
  <c r="S19" i="4"/>
  <c r="S2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T5" i="4"/>
  <c r="T12" i="4"/>
  <c r="T13" i="4"/>
  <c r="T86" i="4"/>
  <c r="T89" i="4"/>
  <c r="T145" i="4"/>
  <c r="T148" i="4"/>
  <c r="T149" i="4"/>
  <c r="T48" i="4"/>
  <c r="T49" i="4"/>
  <c r="T50" i="4"/>
  <c r="T67" i="4"/>
  <c r="T69" i="4"/>
  <c r="T71" i="4"/>
  <c r="T73" i="4"/>
  <c r="T77" i="4"/>
  <c r="T25" i="4"/>
  <c r="T32" i="4"/>
  <c r="T106" i="4"/>
  <c r="T108" i="4"/>
  <c r="T109" i="4"/>
  <c r="T110" i="4"/>
  <c r="T111" i="4"/>
  <c r="T113" i="4"/>
  <c r="T115" i="4"/>
  <c r="T123" i="4"/>
  <c r="T131" i="4"/>
  <c r="T132" i="4"/>
  <c r="T133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6" i="4"/>
  <c r="W98" i="4"/>
  <c r="W99" i="4"/>
  <c r="W100" i="4"/>
  <c r="W140" i="4"/>
  <c r="W141" i="4"/>
  <c r="W142" i="4"/>
  <c r="W143" i="4"/>
  <c r="W144" i="4"/>
  <c r="W145" i="4"/>
  <c r="W146" i="4"/>
  <c r="W147" i="4"/>
  <c r="W148" i="4"/>
  <c r="W149" i="4"/>
  <c r="W150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21" i="4"/>
  <c r="W22" i="4"/>
  <c r="W16" i="4"/>
  <c r="W17" i="4"/>
  <c r="W18" i="4"/>
  <c r="W19" i="4"/>
  <c r="W2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79" i="4"/>
  <c r="X81" i="4"/>
  <c r="X82" i="4"/>
  <c r="X83" i="4"/>
  <c r="X85" i="4"/>
  <c r="X86" i="4"/>
  <c r="X87" i="4"/>
  <c r="X88" i="4"/>
  <c r="X89" i="4"/>
  <c r="X92" i="4"/>
  <c r="X93" i="4"/>
  <c r="X94" i="4"/>
  <c r="X95" i="4"/>
  <c r="X96" i="4"/>
  <c r="X97" i="4"/>
  <c r="X98" i="4"/>
  <c r="X99" i="4"/>
  <c r="X100" i="4"/>
  <c r="X140" i="4"/>
  <c r="X141" i="4"/>
  <c r="X144" i="4"/>
  <c r="X145" i="4"/>
  <c r="X146" i="4"/>
  <c r="X147" i="4"/>
  <c r="X148" i="4"/>
  <c r="X149" i="4"/>
  <c r="X150" i="4"/>
  <c r="X40" i="4"/>
  <c r="X41" i="4"/>
  <c r="X42" i="4"/>
  <c r="X43" i="4"/>
  <c r="X44" i="4"/>
  <c r="X45" i="4"/>
  <c r="X46" i="4"/>
  <c r="X47" i="4"/>
  <c r="X48" i="4"/>
  <c r="X49" i="4"/>
  <c r="X50" i="4"/>
  <c r="X51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4" i="4"/>
  <c r="X75" i="4"/>
  <c r="X76" i="4"/>
  <c r="X77" i="4"/>
  <c r="X78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21" i="4"/>
  <c r="X22" i="4"/>
  <c r="X16" i="4"/>
  <c r="X17" i="4"/>
  <c r="X18" i="4"/>
  <c r="X19" i="4"/>
  <c r="X2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100" i="4"/>
  <c r="Y140" i="4"/>
  <c r="Y141" i="4"/>
  <c r="Y142" i="4"/>
  <c r="Y143" i="4"/>
  <c r="Y144" i="4"/>
  <c r="Y145" i="4"/>
  <c r="Y146" i="4"/>
  <c r="Y147" i="4"/>
  <c r="Y148" i="4"/>
  <c r="Y149" i="4"/>
  <c r="Y150" i="4"/>
  <c r="Y40" i="4"/>
  <c r="Y41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21" i="4"/>
  <c r="Y22" i="4"/>
  <c r="Y16" i="4"/>
  <c r="Y17" i="4"/>
  <c r="Y18" i="4"/>
  <c r="Y19" i="4"/>
  <c r="Y20" i="4"/>
  <c r="Y101" i="4"/>
  <c r="Y102" i="4"/>
  <c r="Y103" i="4"/>
  <c r="Y104" i="4"/>
  <c r="Y105" i="4"/>
  <c r="Y106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N117" i="3"/>
  <c r="O10" i="3"/>
  <c r="O12" i="3"/>
  <c r="O17" i="3"/>
  <c r="O91" i="3"/>
  <c r="O97" i="3"/>
  <c r="O51" i="3"/>
  <c r="O52" i="3"/>
  <c r="O57" i="3"/>
  <c r="O72" i="3"/>
  <c r="O77" i="3"/>
  <c r="O37" i="3"/>
  <c r="O40" i="3"/>
  <c r="O32" i="3"/>
  <c r="O110" i="3"/>
  <c r="O112" i="3"/>
  <c r="O117" i="3"/>
  <c r="P24" i="3"/>
  <c r="P88" i="3"/>
  <c r="P90" i="3"/>
  <c r="P91" i="3"/>
  <c r="P93" i="3"/>
  <c r="P48" i="3"/>
  <c r="P68" i="3"/>
  <c r="P77" i="3"/>
  <c r="P37" i="3"/>
  <c r="P38" i="3"/>
  <c r="P31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25" i="3"/>
  <c r="Q26" i="3"/>
  <c r="Q27" i="3"/>
  <c r="Q28" i="3"/>
  <c r="Q29" i="3"/>
  <c r="Q30" i="3"/>
  <c r="Q31" i="3"/>
  <c r="Q32" i="3"/>
  <c r="Q33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25" i="3"/>
  <c r="R26" i="3"/>
  <c r="R27" i="3"/>
  <c r="R28" i="3"/>
  <c r="R29" i="3"/>
  <c r="R30" i="3"/>
  <c r="R31" i="3"/>
  <c r="R32" i="3"/>
  <c r="R33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25" i="3"/>
  <c r="S26" i="3"/>
  <c r="S27" i="3"/>
  <c r="S28" i="3"/>
  <c r="S29" i="3"/>
  <c r="S30" i="3"/>
  <c r="S31" i="3"/>
  <c r="S32" i="3"/>
  <c r="S33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T8" i="3"/>
  <c r="T10" i="3"/>
  <c r="T11" i="3"/>
  <c r="T18" i="3"/>
  <c r="T20" i="3"/>
  <c r="T84" i="3"/>
  <c r="T71" i="3"/>
  <c r="T72" i="3"/>
  <c r="T79" i="3"/>
  <c r="T40" i="3"/>
  <c r="T25" i="3"/>
  <c r="T30" i="3"/>
  <c r="T32" i="3"/>
  <c r="T111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18" i="3"/>
  <c r="W119" i="3"/>
  <c r="W120" i="3"/>
  <c r="W121" i="3"/>
  <c r="W122" i="3"/>
  <c r="W125" i="3"/>
  <c r="W126" i="3"/>
  <c r="W127" i="3"/>
  <c r="W128" i="3"/>
  <c r="W129" i="3"/>
  <c r="W47" i="3"/>
  <c r="W48" i="3"/>
  <c r="W49" i="3"/>
  <c r="W51" i="3"/>
  <c r="W52" i="3"/>
  <c r="W53" i="3"/>
  <c r="W54" i="3"/>
  <c r="W55" i="3"/>
  <c r="W56" i="3"/>
  <c r="W57" i="3"/>
  <c r="W58" i="3"/>
  <c r="W59" i="3"/>
  <c r="W60" i="3"/>
  <c r="W62" i="3"/>
  <c r="W63" i="3"/>
  <c r="W64" i="3"/>
  <c r="W65" i="3"/>
  <c r="W66" i="3"/>
  <c r="W67" i="3"/>
  <c r="W68" i="3"/>
  <c r="W69" i="3"/>
  <c r="W70" i="3"/>
  <c r="W72" i="3"/>
  <c r="W73" i="3"/>
  <c r="W74" i="3"/>
  <c r="W75" i="3"/>
  <c r="W76" i="3"/>
  <c r="W77" i="3"/>
  <c r="W78" i="3"/>
  <c r="W79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25" i="3"/>
  <c r="W26" i="3"/>
  <c r="W27" i="3"/>
  <c r="W28" i="3"/>
  <c r="W29" i="3"/>
  <c r="W30" i="3"/>
  <c r="W31" i="3"/>
  <c r="W32" i="3"/>
  <c r="W33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80" i="3"/>
  <c r="X81" i="3"/>
  <c r="X82" i="3"/>
  <c r="X83" i="3"/>
  <c r="X84" i="3"/>
  <c r="X85" i="3"/>
  <c r="X86" i="3"/>
  <c r="X87" i="3"/>
  <c r="X88" i="3"/>
  <c r="X89" i="3"/>
  <c r="X91" i="3"/>
  <c r="X92" i="3"/>
  <c r="X93" i="3"/>
  <c r="X94" i="3"/>
  <c r="X95" i="3"/>
  <c r="X96" i="3"/>
  <c r="X97" i="3"/>
  <c r="X98" i="3"/>
  <c r="X99" i="3"/>
  <c r="X100" i="3"/>
  <c r="X118" i="3"/>
  <c r="X119" i="3"/>
  <c r="X120" i="3"/>
  <c r="X121" i="3"/>
  <c r="X122" i="3"/>
  <c r="X123" i="3"/>
  <c r="X124" i="3"/>
  <c r="X125" i="3"/>
  <c r="X128" i="3"/>
  <c r="X129" i="3"/>
  <c r="X47" i="3"/>
  <c r="X48" i="3"/>
  <c r="X49" i="3"/>
  <c r="X50" i="3"/>
  <c r="X51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3" i="3"/>
  <c r="X74" i="3"/>
  <c r="X75" i="3"/>
  <c r="X76" i="3"/>
  <c r="X77" i="3"/>
  <c r="X78" i="3"/>
  <c r="X79" i="3"/>
  <c r="X34" i="3"/>
  <c r="X35" i="3"/>
  <c r="X36" i="3"/>
  <c r="X37" i="3"/>
  <c r="X38" i="3"/>
  <c r="X39" i="3"/>
  <c r="X40" i="3"/>
  <c r="X41" i="3"/>
  <c r="X42" i="3"/>
  <c r="X43" i="3"/>
  <c r="X44" i="3"/>
  <c r="X46" i="3"/>
  <c r="X25" i="3"/>
  <c r="X26" i="3"/>
  <c r="X27" i="3"/>
  <c r="X28" i="3"/>
  <c r="X29" i="3"/>
  <c r="X30" i="3"/>
  <c r="X31" i="3"/>
  <c r="X32" i="3"/>
  <c r="X33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Y2" i="3"/>
  <c r="Y3" i="3"/>
  <c r="Y4" i="3"/>
  <c r="Y5" i="3"/>
  <c r="Y6" i="3"/>
  <c r="Y7" i="3"/>
  <c r="Y9" i="3"/>
  <c r="Y10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5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25" i="3"/>
  <c r="Y26" i="3"/>
  <c r="Y27" i="3"/>
  <c r="Y28" i="3"/>
  <c r="Y29" i="3"/>
  <c r="Y30" i="3"/>
  <c r="Y31" i="3"/>
  <c r="Y32" i="3"/>
  <c r="Y33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N60" i="2"/>
  <c r="N37" i="2"/>
  <c r="O60" i="2"/>
  <c r="O80" i="2"/>
  <c r="O37" i="2"/>
  <c r="O44" i="2"/>
  <c r="O45" i="2"/>
  <c r="O20" i="2"/>
  <c r="O16" i="2"/>
  <c r="O17" i="2"/>
  <c r="O19" i="2"/>
  <c r="O79" i="2"/>
  <c r="P2" i="2"/>
  <c r="P83" i="2"/>
  <c r="P37" i="2"/>
  <c r="P39" i="2"/>
  <c r="P25" i="2"/>
  <c r="P62" i="2"/>
  <c r="P77" i="2"/>
  <c r="Q2" i="2"/>
  <c r="Q3" i="2"/>
  <c r="Q4" i="2"/>
  <c r="Q5" i="2"/>
  <c r="Q6" i="2"/>
  <c r="Q7" i="2"/>
  <c r="Q8" i="2"/>
  <c r="Q9" i="2"/>
  <c r="Q10" i="2"/>
  <c r="Q11" i="2"/>
  <c r="Q12" i="2"/>
  <c r="Q54" i="2"/>
  <c r="Q55" i="2"/>
  <c r="Q56" i="2"/>
  <c r="Q57" i="2"/>
  <c r="Q58" i="2"/>
  <c r="Q59" i="2"/>
  <c r="Q60" i="2"/>
  <c r="Q61" i="2"/>
  <c r="Q80" i="2"/>
  <c r="Q81" i="2"/>
  <c r="Q82" i="2"/>
  <c r="Q83" i="2"/>
  <c r="Q84" i="2"/>
  <c r="Q85" i="2"/>
  <c r="Q86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23" i="2"/>
  <c r="Q24" i="2"/>
  <c r="Q25" i="2"/>
  <c r="Q20" i="2"/>
  <c r="Q21" i="2"/>
  <c r="Q22" i="2"/>
  <c r="Q13" i="2"/>
  <c r="Q14" i="2"/>
  <c r="Q15" i="2"/>
  <c r="Q16" i="2"/>
  <c r="Q17" i="2"/>
  <c r="Q18" i="2"/>
  <c r="Q19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R2" i="2"/>
  <c r="R3" i="2"/>
  <c r="R4" i="2"/>
  <c r="R5" i="2"/>
  <c r="R6" i="2"/>
  <c r="R7" i="2"/>
  <c r="R8" i="2"/>
  <c r="R9" i="2"/>
  <c r="R10" i="2"/>
  <c r="R11" i="2"/>
  <c r="R12" i="2"/>
  <c r="R54" i="2"/>
  <c r="R55" i="2"/>
  <c r="R56" i="2"/>
  <c r="R57" i="2"/>
  <c r="R58" i="2"/>
  <c r="R59" i="2"/>
  <c r="R60" i="2"/>
  <c r="R61" i="2"/>
  <c r="R80" i="2"/>
  <c r="R81" i="2"/>
  <c r="R82" i="2"/>
  <c r="R83" i="2"/>
  <c r="R84" i="2"/>
  <c r="R85" i="2"/>
  <c r="R86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23" i="2"/>
  <c r="R24" i="2"/>
  <c r="R25" i="2"/>
  <c r="R20" i="2"/>
  <c r="R21" i="2"/>
  <c r="R22" i="2"/>
  <c r="R13" i="2"/>
  <c r="R14" i="2"/>
  <c r="R15" i="2"/>
  <c r="R16" i="2"/>
  <c r="R17" i="2"/>
  <c r="R18" i="2"/>
  <c r="R19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S2" i="2"/>
  <c r="S3" i="2"/>
  <c r="S4" i="2"/>
  <c r="S5" i="2"/>
  <c r="S6" i="2"/>
  <c r="S7" i="2"/>
  <c r="S8" i="2"/>
  <c r="S9" i="2"/>
  <c r="S10" i="2"/>
  <c r="S11" i="2"/>
  <c r="S12" i="2"/>
  <c r="S54" i="2"/>
  <c r="S55" i="2"/>
  <c r="S56" i="2"/>
  <c r="S57" i="2"/>
  <c r="S58" i="2"/>
  <c r="S59" i="2"/>
  <c r="S60" i="2"/>
  <c r="S61" i="2"/>
  <c r="S80" i="2"/>
  <c r="S81" i="2"/>
  <c r="S82" i="2"/>
  <c r="S83" i="2"/>
  <c r="S84" i="2"/>
  <c r="S85" i="2"/>
  <c r="S86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23" i="2"/>
  <c r="S24" i="2"/>
  <c r="S25" i="2"/>
  <c r="S20" i="2"/>
  <c r="S21" i="2"/>
  <c r="S22" i="2"/>
  <c r="S13" i="2"/>
  <c r="S14" i="2"/>
  <c r="S15" i="2"/>
  <c r="S16" i="2"/>
  <c r="S17" i="2"/>
  <c r="S18" i="2"/>
  <c r="S19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T2" i="2"/>
  <c r="T6" i="2"/>
  <c r="T60" i="2"/>
  <c r="T80" i="2"/>
  <c r="T82" i="2"/>
  <c r="T85" i="2"/>
  <c r="T86" i="2"/>
  <c r="T26" i="2"/>
  <c r="T37" i="2"/>
  <c r="T45" i="2"/>
  <c r="T46" i="2"/>
  <c r="T23" i="2"/>
  <c r="T24" i="2"/>
  <c r="T25" i="2"/>
  <c r="T20" i="2"/>
  <c r="T62" i="2"/>
  <c r="T65" i="2"/>
  <c r="T66" i="2"/>
  <c r="W2" i="2"/>
  <c r="W3" i="2"/>
  <c r="W4" i="2"/>
  <c r="W5" i="2"/>
  <c r="W6" i="2"/>
  <c r="W7" i="2"/>
  <c r="W8" i="2"/>
  <c r="W9" i="2"/>
  <c r="W10" i="2"/>
  <c r="W11" i="2"/>
  <c r="W12" i="2"/>
  <c r="W54" i="2"/>
  <c r="W55" i="2"/>
  <c r="W56" i="2"/>
  <c r="W57" i="2"/>
  <c r="W58" i="2"/>
  <c r="W59" i="2"/>
  <c r="W60" i="2"/>
  <c r="W61" i="2"/>
  <c r="W80" i="2"/>
  <c r="W81" i="2"/>
  <c r="W82" i="2"/>
  <c r="W83" i="2"/>
  <c r="W84" i="2"/>
  <c r="W86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23" i="2"/>
  <c r="W24" i="2"/>
  <c r="W25" i="2"/>
  <c r="W20" i="2"/>
  <c r="W21" i="2"/>
  <c r="W22" i="2"/>
  <c r="W13" i="2"/>
  <c r="W14" i="2"/>
  <c r="W15" i="2"/>
  <c r="W16" i="2"/>
  <c r="W17" i="2"/>
  <c r="W18" i="2"/>
  <c r="W19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X2" i="2"/>
  <c r="X3" i="2"/>
  <c r="X4" i="2"/>
  <c r="X6" i="2"/>
  <c r="X8" i="2"/>
  <c r="X9" i="2"/>
  <c r="X10" i="2"/>
  <c r="X11" i="2"/>
  <c r="X12" i="2"/>
  <c r="X54" i="2"/>
  <c r="X55" i="2"/>
  <c r="X57" i="2"/>
  <c r="X58" i="2"/>
  <c r="X60" i="2"/>
  <c r="X61" i="2"/>
  <c r="X80" i="2"/>
  <c r="X81" i="2"/>
  <c r="X82" i="2"/>
  <c r="X83" i="2"/>
  <c r="X84" i="2"/>
  <c r="X85" i="2"/>
  <c r="X86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23" i="2"/>
  <c r="X24" i="2"/>
  <c r="X25" i="2"/>
  <c r="X20" i="2"/>
  <c r="X21" i="2"/>
  <c r="X22" i="2"/>
  <c r="X13" i="2"/>
  <c r="X15" i="2"/>
  <c r="X16" i="2"/>
  <c r="X17" i="2"/>
  <c r="X18" i="2"/>
  <c r="X19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Y2" i="2"/>
  <c r="Y3" i="2"/>
  <c r="Y4" i="2"/>
  <c r="Y5" i="2"/>
  <c r="Y6" i="2"/>
  <c r="Y7" i="2"/>
  <c r="Y8" i="2"/>
  <c r="Y9" i="2"/>
  <c r="Y10" i="2"/>
  <c r="Y11" i="2"/>
  <c r="Y12" i="2"/>
  <c r="Y54" i="2"/>
  <c r="Y55" i="2"/>
  <c r="Y56" i="2"/>
  <c r="Y57" i="2"/>
  <c r="Y58" i="2"/>
  <c r="Y59" i="2"/>
  <c r="Y60" i="2"/>
  <c r="Y61" i="2"/>
  <c r="Y80" i="2"/>
  <c r="Y81" i="2"/>
  <c r="Y82" i="2"/>
  <c r="Y83" i="2"/>
  <c r="Y84" i="2"/>
  <c r="Y85" i="2"/>
  <c r="Y86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23" i="2"/>
  <c r="Y24" i="2"/>
  <c r="Y25" i="2"/>
  <c r="Y20" i="2"/>
  <c r="Y21" i="2"/>
  <c r="Y22" i="2"/>
  <c r="Y13" i="2"/>
  <c r="Y14" i="2"/>
  <c r="Y15" i="2"/>
  <c r="Y16" i="2"/>
  <c r="Y17" i="2"/>
  <c r="Y18" i="2"/>
  <c r="Y19" i="2"/>
  <c r="Y62" i="2"/>
  <c r="Y63" i="2"/>
  <c r="Y64" i="2"/>
  <c r="Y65" i="2"/>
  <c r="Y66" i="2"/>
  <c r="Y68" i="2"/>
  <c r="Y69" i="2"/>
  <c r="Y70" i="2"/>
  <c r="Y71" i="2"/>
  <c r="Y72" i="2"/>
  <c r="Y73" i="2"/>
  <c r="Y74" i="2"/>
  <c r="Y75" i="2"/>
  <c r="Y76" i="2"/>
  <c r="Y78" i="2"/>
  <c r="Y79" i="2"/>
  <c r="C1" i="12" a="1"/>
  <c r="C1" i="12" s="1"/>
  <c r="C1" i="11" a="1"/>
  <c r="C1" i="11" s="1"/>
  <c r="C1" i="9" a="1"/>
  <c r="C1" i="9" s="1"/>
  <c r="H84" i="2" l="1"/>
  <c r="O84" i="2" s="1"/>
  <c r="I85" i="2"/>
  <c r="P85" i="2" s="1"/>
  <c r="M84" i="2"/>
  <c r="T84" i="2" s="1"/>
  <c r="H4" i="2"/>
  <c r="M4" i="2"/>
  <c r="T4" i="2" s="1"/>
  <c r="H5" i="2"/>
  <c r="O5" i="2" s="1"/>
  <c r="I5" i="2"/>
  <c r="M40" i="2"/>
  <c r="T40" i="2" s="1"/>
  <c r="M52" i="4"/>
  <c r="T52" i="4" s="1"/>
  <c r="O23" i="3"/>
  <c r="N109" i="4"/>
  <c r="O109" i="4"/>
  <c r="P8" i="4"/>
  <c r="N8" i="4"/>
  <c r="N23" i="2"/>
  <c r="P23" i="2"/>
  <c r="N84" i="2"/>
  <c r="P84" i="2"/>
  <c r="H103" i="3"/>
  <c r="H44" i="3"/>
  <c r="N44" i="3" s="1"/>
  <c r="H118" i="4"/>
  <c r="H108" i="3"/>
  <c r="O108" i="3" s="1"/>
  <c r="I22" i="3"/>
  <c r="P22" i="3" s="1"/>
  <c r="I79" i="3"/>
  <c r="N125" i="4"/>
  <c r="I29" i="4"/>
  <c r="M11" i="4"/>
  <c r="T11" i="4" s="1"/>
  <c r="M150" i="4"/>
  <c r="T150" i="4" s="1"/>
  <c r="M2" i="3"/>
  <c r="T2" i="3" s="1"/>
  <c r="H104" i="3"/>
  <c r="M123" i="3"/>
  <c r="T123" i="3" s="1"/>
  <c r="H45" i="3"/>
  <c r="O45" i="3" s="1"/>
  <c r="I23" i="3"/>
  <c r="P23" i="3" s="1"/>
  <c r="I80" i="3"/>
  <c r="P80" i="3" s="1"/>
  <c r="N129" i="4"/>
  <c r="M56" i="4"/>
  <c r="M43" i="2"/>
  <c r="T43" i="2" s="1"/>
  <c r="H60" i="3"/>
  <c r="M12" i="3"/>
  <c r="T12" i="3" s="1"/>
  <c r="M14" i="4"/>
  <c r="T14" i="4" s="1"/>
  <c r="N29" i="4"/>
  <c r="I22" i="2"/>
  <c r="P22" i="2" s="1"/>
  <c r="H2" i="3"/>
  <c r="H63" i="3"/>
  <c r="H120" i="3"/>
  <c r="O120" i="3" s="1"/>
  <c r="I40" i="3"/>
  <c r="P40" i="3" s="1"/>
  <c r="M22" i="3"/>
  <c r="T22" i="3" s="1"/>
  <c r="H45" i="4"/>
  <c r="N45" i="4" s="1"/>
  <c r="I45" i="4"/>
  <c r="P45" i="4" s="1"/>
  <c r="M68" i="4"/>
  <c r="T68" i="4" s="1"/>
  <c r="N72" i="3"/>
  <c r="N68" i="4"/>
  <c r="I82" i="2"/>
  <c r="P82" i="2" s="1"/>
  <c r="H5" i="3"/>
  <c r="O5" i="3" s="1"/>
  <c r="H64" i="3"/>
  <c r="H121" i="3"/>
  <c r="I43" i="3"/>
  <c r="P43" i="3" s="1"/>
  <c r="M23" i="3"/>
  <c r="T23" i="3" s="1"/>
  <c r="H145" i="4"/>
  <c r="I48" i="4"/>
  <c r="N48" i="4" s="1"/>
  <c r="M112" i="4"/>
  <c r="T112" i="4" s="1"/>
  <c r="H102" i="3"/>
  <c r="O102" i="3" s="1"/>
  <c r="N105" i="3"/>
  <c r="H8" i="3"/>
  <c r="H122" i="3"/>
  <c r="I50" i="3"/>
  <c r="P50" i="3" s="1"/>
  <c r="M24" i="3"/>
  <c r="T24" i="3" s="1"/>
  <c r="H90" i="4"/>
  <c r="O90" i="4" s="1"/>
  <c r="I49" i="4"/>
  <c r="P49" i="4" s="1"/>
  <c r="I109" i="4"/>
  <c r="P109" i="4" s="1"/>
  <c r="M70" i="4"/>
  <c r="T70" i="4" s="1"/>
  <c r="N79" i="2"/>
  <c r="O31" i="4"/>
  <c r="H68" i="3"/>
  <c r="O68" i="3" s="1"/>
  <c r="I51" i="3"/>
  <c r="I102" i="3"/>
  <c r="P102" i="3" s="1"/>
  <c r="M85" i="3"/>
  <c r="T85" i="3" s="1"/>
  <c r="I56" i="4"/>
  <c r="P56" i="4" s="1"/>
  <c r="I118" i="4"/>
  <c r="P118" i="4" s="1"/>
  <c r="H62" i="2"/>
  <c r="H11" i="3"/>
  <c r="O11" i="3" s="1"/>
  <c r="H128" i="3"/>
  <c r="O128" i="3" s="1"/>
  <c r="I52" i="3"/>
  <c r="N52" i="3" s="1"/>
  <c r="I103" i="3"/>
  <c r="P103" i="3" s="1"/>
  <c r="M28" i="3"/>
  <c r="T28" i="3" s="1"/>
  <c r="H50" i="4"/>
  <c r="N50" i="4" s="1"/>
  <c r="M27" i="4"/>
  <c r="T27" i="4" s="1"/>
  <c r="M72" i="4"/>
  <c r="T72" i="4" s="1"/>
  <c r="H105" i="3"/>
  <c r="O105" i="3" s="1"/>
  <c r="H63" i="2"/>
  <c r="H19" i="3"/>
  <c r="O19" i="3" s="1"/>
  <c r="H52" i="4"/>
  <c r="H43" i="3"/>
  <c r="O21" i="2"/>
  <c r="I19" i="3"/>
  <c r="P19" i="3" s="1"/>
  <c r="N108" i="4"/>
  <c r="I65" i="4"/>
  <c r="P65" i="4" s="1"/>
  <c r="N123" i="3"/>
  <c r="I20" i="3"/>
  <c r="P20" i="3" s="1"/>
  <c r="N22" i="2"/>
  <c r="O28" i="4"/>
  <c r="H20" i="3"/>
  <c r="M77" i="2"/>
  <c r="T77" i="2" s="1"/>
  <c r="H79" i="3"/>
  <c r="O79" i="3" s="1"/>
  <c r="I57" i="3"/>
  <c r="I112" i="3"/>
  <c r="H11" i="4"/>
  <c r="N11" i="4" s="1"/>
  <c r="H54" i="4"/>
  <c r="O54" i="4" s="1"/>
  <c r="M79" i="4"/>
  <c r="T79" i="4" s="1"/>
  <c r="H66" i="2"/>
  <c r="H80" i="3"/>
  <c r="O80" i="3" s="1"/>
  <c r="I12" i="3"/>
  <c r="P12" i="3" s="1"/>
  <c r="I60" i="3"/>
  <c r="P60" i="3" s="1"/>
  <c r="H65" i="4"/>
  <c r="I125" i="4"/>
  <c r="P125" i="4" s="1"/>
  <c r="M31" i="4"/>
  <c r="T31" i="4" s="1"/>
  <c r="M104" i="3"/>
  <c r="T104" i="3" s="1"/>
  <c r="I120" i="3"/>
  <c r="P120" i="3" s="1"/>
  <c r="M44" i="3"/>
  <c r="T44" i="3" s="1"/>
  <c r="I140" i="4"/>
  <c r="P140" i="4" s="1"/>
  <c r="O61" i="2"/>
  <c r="O3" i="2"/>
  <c r="N3" i="2"/>
  <c r="N64" i="2"/>
  <c r="H41" i="3"/>
  <c r="O41" i="3" s="1"/>
  <c r="H42" i="3"/>
  <c r="H81" i="3"/>
  <c r="O81" i="3" s="1"/>
  <c r="H124" i="3"/>
  <c r="I82" i="3"/>
  <c r="P82" i="3" s="1"/>
  <c r="M4" i="3"/>
  <c r="T4" i="3" s="1"/>
  <c r="H46" i="4"/>
  <c r="N46" i="4" s="1"/>
  <c r="H85" i="4"/>
  <c r="O85" i="4" s="1"/>
  <c r="N85" i="2"/>
  <c r="H83" i="3"/>
  <c r="M62" i="3"/>
  <c r="T62" i="3" s="1"/>
  <c r="H128" i="4"/>
  <c r="I128" i="4"/>
  <c r="P128" i="4" s="1"/>
  <c r="M3" i="3"/>
  <c r="T3" i="3" s="1"/>
  <c r="I57" i="2"/>
  <c r="P57" i="2" s="1"/>
  <c r="M57" i="2"/>
  <c r="T57" i="2" s="1"/>
  <c r="H84" i="3"/>
  <c r="N83" i="2"/>
  <c r="N93" i="4"/>
  <c r="H3" i="3"/>
  <c r="H48" i="3"/>
  <c r="H9" i="4"/>
  <c r="H130" i="4"/>
  <c r="O130" i="4" s="1"/>
  <c r="M117" i="4"/>
  <c r="T117" i="4" s="1"/>
  <c r="N80" i="2"/>
  <c r="N42" i="2"/>
  <c r="I61" i="2"/>
  <c r="P61" i="2" s="1"/>
  <c r="M17" i="2"/>
  <c r="T17" i="2" s="1"/>
  <c r="H4" i="3"/>
  <c r="M65" i="3"/>
  <c r="T65" i="3" s="1"/>
  <c r="H10" i="4"/>
  <c r="N10" i="4" s="1"/>
  <c r="H51" i="4"/>
  <c r="H91" i="4"/>
  <c r="N4" i="2"/>
  <c r="M42" i="3"/>
  <c r="T42" i="3" s="1"/>
  <c r="M61" i="2"/>
  <c r="T61" i="2" s="1"/>
  <c r="H100" i="3"/>
  <c r="O100" i="3" s="1"/>
  <c r="M48" i="3"/>
  <c r="N44" i="2"/>
  <c r="I17" i="2"/>
  <c r="P17" i="2" s="1"/>
  <c r="I100" i="3"/>
  <c r="P100" i="3" s="1"/>
  <c r="I85" i="4"/>
  <c r="P85" i="4" s="1"/>
  <c r="M34" i="4"/>
  <c r="I64" i="2"/>
  <c r="P64" i="2" s="1"/>
  <c r="H105" i="4"/>
  <c r="H134" i="4"/>
  <c r="N134" i="4" s="1"/>
  <c r="H46" i="2"/>
  <c r="I65" i="2"/>
  <c r="M76" i="2"/>
  <c r="T76" i="2" s="1"/>
  <c r="H61" i="3"/>
  <c r="O61" i="3" s="1"/>
  <c r="M124" i="3"/>
  <c r="T124" i="3" s="1"/>
  <c r="H62" i="3"/>
  <c r="O62" i="3" s="1"/>
  <c r="M125" i="3"/>
  <c r="T125" i="3" s="1"/>
  <c r="I46" i="4"/>
  <c r="P46" i="4" s="1"/>
  <c r="M130" i="4"/>
  <c r="T130" i="4" s="1"/>
  <c r="H125" i="3"/>
  <c r="O125" i="3" s="1"/>
  <c r="O4" i="2"/>
  <c r="H2" i="2"/>
  <c r="O2" i="2" s="1"/>
  <c r="I76" i="2"/>
  <c r="M10" i="4"/>
  <c r="T10" i="4" s="1"/>
  <c r="M51" i="4"/>
  <c r="M91" i="4"/>
  <c r="H21" i="3"/>
  <c r="I17" i="3"/>
  <c r="H110" i="4"/>
  <c r="M92" i="3"/>
  <c r="T92" i="3" s="1"/>
  <c r="O106" i="3"/>
  <c r="T47" i="3"/>
  <c r="O107" i="4"/>
  <c r="T147" i="4"/>
  <c r="O38" i="4"/>
  <c r="N77" i="4"/>
  <c r="O77" i="4"/>
  <c r="P121" i="4"/>
  <c r="N82" i="2"/>
  <c r="P5" i="2"/>
  <c r="T48" i="3"/>
  <c r="O78" i="4"/>
  <c r="N78" i="4"/>
  <c r="O118" i="4"/>
  <c r="N118" i="4"/>
  <c r="O31" i="2"/>
  <c r="N111" i="4"/>
  <c r="O111" i="4"/>
  <c r="P107" i="3"/>
  <c r="T136" i="4"/>
  <c r="M67" i="2"/>
  <c r="I67" i="2"/>
  <c r="H67" i="2"/>
  <c r="P20" i="4"/>
  <c r="P5" i="3"/>
  <c r="N5" i="3"/>
  <c r="I46" i="3"/>
  <c r="M46" i="3"/>
  <c r="H46" i="3"/>
  <c r="P42" i="4"/>
  <c r="O37" i="4"/>
  <c r="M7" i="2"/>
  <c r="I7" i="2"/>
  <c r="M27" i="2"/>
  <c r="I27" i="2"/>
  <c r="H27" i="2"/>
  <c r="M47" i="2"/>
  <c r="I47" i="2"/>
  <c r="O42" i="2"/>
  <c r="N125" i="3"/>
  <c r="M8" i="2"/>
  <c r="I8" i="2"/>
  <c r="M28" i="2"/>
  <c r="T28" i="2" s="1"/>
  <c r="H28" i="2"/>
  <c r="I28" i="2"/>
  <c r="M48" i="2"/>
  <c r="I48" i="2"/>
  <c r="M68" i="2"/>
  <c r="H68" i="2"/>
  <c r="I68" i="2"/>
  <c r="P97" i="3"/>
  <c r="N97" i="3"/>
  <c r="O47" i="4"/>
  <c r="H47" i="2"/>
  <c r="T105" i="3"/>
  <c r="N88" i="4"/>
  <c r="O88" i="4"/>
  <c r="M50" i="2"/>
  <c r="T50" i="2" s="1"/>
  <c r="I50" i="2"/>
  <c r="H50" i="2"/>
  <c r="O26" i="3"/>
  <c r="N85" i="3"/>
  <c r="P85" i="3"/>
  <c r="N81" i="2"/>
  <c r="M29" i="2"/>
  <c r="I29" i="2"/>
  <c r="H29" i="2"/>
  <c r="N102" i="3"/>
  <c r="N89" i="4"/>
  <c r="O89" i="4"/>
  <c r="I11" i="2"/>
  <c r="M11" i="2"/>
  <c r="H11" i="2"/>
  <c r="I31" i="2"/>
  <c r="N31" i="2" s="1"/>
  <c r="M31" i="2"/>
  <c r="I51" i="2"/>
  <c r="H51" i="2"/>
  <c r="I71" i="2"/>
  <c r="P71" i="2" s="1"/>
  <c r="M71" i="2"/>
  <c r="H71" i="2"/>
  <c r="O71" i="2" s="1"/>
  <c r="O6" i="2"/>
  <c r="N6" i="2"/>
  <c r="P54" i="3"/>
  <c r="T68" i="3"/>
  <c r="O50" i="4"/>
  <c r="I126" i="3"/>
  <c r="H126" i="3"/>
  <c r="M126" i="3"/>
  <c r="P48" i="4"/>
  <c r="O113" i="4"/>
  <c r="N113" i="4"/>
  <c r="T49" i="3"/>
  <c r="O115" i="4"/>
  <c r="N115" i="4"/>
  <c r="P53" i="3"/>
  <c r="N49" i="4"/>
  <c r="N43" i="2"/>
  <c r="T50" i="3"/>
  <c r="T56" i="2"/>
  <c r="I12" i="2"/>
  <c r="H12" i="2"/>
  <c r="M12" i="2"/>
  <c r="I32" i="2"/>
  <c r="P32" i="2" s="1"/>
  <c r="H32" i="2"/>
  <c r="M32" i="2"/>
  <c r="I52" i="2"/>
  <c r="H52" i="2"/>
  <c r="I72" i="2"/>
  <c r="H72" i="2"/>
  <c r="M72" i="2"/>
  <c r="H7" i="2"/>
  <c r="O104" i="3"/>
  <c r="N104" i="3"/>
  <c r="T109" i="3"/>
  <c r="O10" i="4"/>
  <c r="O51" i="4"/>
  <c r="P42" i="2"/>
  <c r="N65" i="3"/>
  <c r="I66" i="3"/>
  <c r="H66" i="3"/>
  <c r="M66" i="3"/>
  <c r="T66" i="3" s="1"/>
  <c r="N150" i="4"/>
  <c r="O150" i="4"/>
  <c r="I87" i="3"/>
  <c r="M87" i="3"/>
  <c r="H87" i="3"/>
  <c r="P45" i="2"/>
  <c r="N73" i="4"/>
  <c r="O73" i="4"/>
  <c r="O41" i="2"/>
  <c r="P9" i="4"/>
  <c r="O75" i="4"/>
  <c r="O117" i="4"/>
  <c r="M70" i="2"/>
  <c r="I70" i="2"/>
  <c r="H70" i="2"/>
  <c r="M107" i="3"/>
  <c r="N41" i="2"/>
  <c r="P80" i="4"/>
  <c r="I13" i="2"/>
  <c r="M13" i="2"/>
  <c r="H13" i="2"/>
  <c r="I33" i="2"/>
  <c r="M33" i="2"/>
  <c r="I53" i="2"/>
  <c r="H53" i="2"/>
  <c r="I73" i="2"/>
  <c r="M73" i="2"/>
  <c r="T73" i="2" s="1"/>
  <c r="H8" i="2"/>
  <c r="O21" i="3"/>
  <c r="I15" i="4"/>
  <c r="H15" i="4"/>
  <c r="I35" i="4"/>
  <c r="H35" i="4"/>
  <c r="M35" i="4"/>
  <c r="I55" i="4"/>
  <c r="H55" i="4"/>
  <c r="M55" i="4"/>
  <c r="I75" i="4"/>
  <c r="N75" i="4" s="1"/>
  <c r="M75" i="4"/>
  <c r="I95" i="4"/>
  <c r="H95" i="4"/>
  <c r="P115" i="4"/>
  <c r="I135" i="4"/>
  <c r="H135" i="4"/>
  <c r="N71" i="3"/>
  <c r="T91" i="4"/>
  <c r="I86" i="3"/>
  <c r="M86" i="3"/>
  <c r="H86" i="3"/>
  <c r="P44" i="2"/>
  <c r="I47" i="3"/>
  <c r="H47" i="3"/>
  <c r="O121" i="3"/>
  <c r="N72" i="4"/>
  <c r="O72" i="4"/>
  <c r="T135" i="4"/>
  <c r="N43" i="3"/>
  <c r="O43" i="3"/>
  <c r="T51" i="4"/>
  <c r="O74" i="4"/>
  <c r="T57" i="4"/>
  <c r="P120" i="4"/>
  <c r="M9" i="2"/>
  <c r="I9" i="2"/>
  <c r="O101" i="3"/>
  <c r="O112" i="4"/>
  <c r="I14" i="2"/>
  <c r="M14" i="2"/>
  <c r="H14" i="2"/>
  <c r="I34" i="2"/>
  <c r="M34" i="2"/>
  <c r="I54" i="2"/>
  <c r="H54" i="2"/>
  <c r="I74" i="2"/>
  <c r="M74" i="2"/>
  <c r="H74" i="2"/>
  <c r="H9" i="2"/>
  <c r="N22" i="3"/>
  <c r="O22" i="3"/>
  <c r="O16" i="4"/>
  <c r="N16" i="4"/>
  <c r="H36" i="4"/>
  <c r="M36" i="4"/>
  <c r="I36" i="4"/>
  <c r="N56" i="4"/>
  <c r="H76" i="4"/>
  <c r="I76" i="4"/>
  <c r="M76" i="4"/>
  <c r="H96" i="4"/>
  <c r="M96" i="4"/>
  <c r="I96" i="4"/>
  <c r="H116" i="4"/>
  <c r="I116" i="4"/>
  <c r="M116" i="4"/>
  <c r="H136" i="4"/>
  <c r="I136" i="4"/>
  <c r="O12" i="4"/>
  <c r="N12" i="4"/>
  <c r="T34" i="4"/>
  <c r="I67" i="3"/>
  <c r="M67" i="3"/>
  <c r="N42" i="3"/>
  <c r="O42" i="3"/>
  <c r="P59" i="4"/>
  <c r="P60" i="4"/>
  <c r="N45" i="2"/>
  <c r="M10" i="2"/>
  <c r="I10" i="2"/>
  <c r="H10" i="2"/>
  <c r="P20" i="2"/>
  <c r="H67" i="3"/>
  <c r="H107" i="3"/>
  <c r="N17" i="4"/>
  <c r="M37" i="4"/>
  <c r="I37" i="4"/>
  <c r="H57" i="4"/>
  <c r="I57" i="4"/>
  <c r="H97" i="4"/>
  <c r="M97" i="4"/>
  <c r="I97" i="4"/>
  <c r="P97" i="4" s="1"/>
  <c r="P117" i="4"/>
  <c r="H137" i="4"/>
  <c r="M137" i="4"/>
  <c r="T137" i="4" s="1"/>
  <c r="I137" i="4"/>
  <c r="T7" i="4"/>
  <c r="T88" i="4"/>
  <c r="P103" i="4"/>
  <c r="P45" i="3"/>
  <c r="N45" i="3"/>
  <c r="P41" i="4"/>
  <c r="I106" i="3"/>
  <c r="N106" i="3" s="1"/>
  <c r="M106" i="3"/>
  <c r="N33" i="2"/>
  <c r="O33" i="2"/>
  <c r="I27" i="3"/>
  <c r="M27" i="3"/>
  <c r="H27" i="3"/>
  <c r="T56" i="4"/>
  <c r="T15" i="4"/>
  <c r="M69" i="2"/>
  <c r="H69" i="2"/>
  <c r="I69" i="2"/>
  <c r="N2" i="2"/>
  <c r="N78" i="3"/>
  <c r="M30" i="2"/>
  <c r="I30" i="2"/>
  <c r="H30" i="2"/>
  <c r="T18" i="2"/>
  <c r="O81" i="2"/>
  <c r="P65" i="3"/>
  <c r="T87" i="4"/>
  <c r="N24" i="3"/>
  <c r="O24" i="3"/>
  <c r="N68" i="3"/>
  <c r="N108" i="3"/>
  <c r="N70" i="3"/>
  <c r="P70" i="3"/>
  <c r="P105" i="3"/>
  <c r="I6" i="3"/>
  <c r="P6" i="3" s="1"/>
  <c r="M6" i="3"/>
  <c r="H6" i="3"/>
  <c r="I26" i="3"/>
  <c r="N26" i="3" s="1"/>
  <c r="M26" i="3"/>
  <c r="N120" i="3"/>
  <c r="I7" i="3"/>
  <c r="M7" i="3"/>
  <c r="H7" i="3"/>
  <c r="O44" i="3"/>
  <c r="T110" i="3"/>
  <c r="M49" i="2"/>
  <c r="I49" i="2"/>
  <c r="H49" i="2"/>
  <c r="T16" i="2"/>
  <c r="P104" i="4"/>
  <c r="H73" i="2"/>
  <c r="N25" i="3"/>
  <c r="O25" i="3"/>
  <c r="I127" i="3"/>
  <c r="H127" i="3"/>
  <c r="N40" i="3"/>
  <c r="O70" i="3"/>
  <c r="N110" i="3"/>
  <c r="T70" i="3"/>
  <c r="O9" i="4"/>
  <c r="N9" i="4"/>
  <c r="O48" i="4"/>
  <c r="N86" i="4"/>
  <c r="O86" i="4"/>
  <c r="P122" i="4"/>
  <c r="O13" i="4"/>
  <c r="N13" i="4"/>
  <c r="N131" i="4"/>
  <c r="O131" i="4"/>
  <c r="I15" i="2"/>
  <c r="H15" i="2"/>
  <c r="I35" i="2"/>
  <c r="H35" i="2"/>
  <c r="M35" i="2"/>
  <c r="I55" i="2"/>
  <c r="H55" i="2"/>
  <c r="I75" i="2"/>
  <c r="H75" i="2"/>
  <c r="M75" i="2"/>
  <c r="M38" i="4"/>
  <c r="I38" i="4"/>
  <c r="M58" i="4"/>
  <c r="H58" i="4"/>
  <c r="I58" i="4"/>
  <c r="T78" i="4"/>
  <c r="M98" i="4"/>
  <c r="I98" i="4"/>
  <c r="H98" i="4"/>
  <c r="M138" i="4"/>
  <c r="H138" i="4"/>
  <c r="O14" i="4"/>
  <c r="P82" i="4"/>
  <c r="N52" i="4"/>
  <c r="O52" i="4"/>
  <c r="M127" i="3"/>
  <c r="H19" i="4"/>
  <c r="M19" i="4"/>
  <c r="I19" i="4"/>
  <c r="H39" i="4"/>
  <c r="I39" i="4"/>
  <c r="P39" i="4" s="1"/>
  <c r="M39" i="4"/>
  <c r="H59" i="4"/>
  <c r="M59" i="4"/>
  <c r="O79" i="4"/>
  <c r="N79" i="4"/>
  <c r="H99" i="4"/>
  <c r="I99" i="4"/>
  <c r="M99" i="4"/>
  <c r="H119" i="4"/>
  <c r="O119" i="4" s="1"/>
  <c r="I119" i="4"/>
  <c r="P119" i="4" s="1"/>
  <c r="H139" i="4"/>
  <c r="M139" i="4"/>
  <c r="I139" i="4"/>
  <c r="N54" i="4"/>
  <c r="P83" i="4"/>
  <c r="H14" i="3"/>
  <c r="M14" i="3"/>
  <c r="H34" i="3"/>
  <c r="I34" i="3"/>
  <c r="H54" i="3"/>
  <c r="M54" i="3"/>
  <c r="H74" i="3"/>
  <c r="I74" i="3"/>
  <c r="H94" i="3"/>
  <c r="I94" i="3"/>
  <c r="M94" i="3"/>
  <c r="H114" i="3"/>
  <c r="M114" i="3"/>
  <c r="I114" i="3"/>
  <c r="H18" i="4"/>
  <c r="I138" i="4"/>
  <c r="H18" i="2"/>
  <c r="O18" i="2" s="1"/>
  <c r="I18" i="2"/>
  <c r="H38" i="2"/>
  <c r="I38" i="2"/>
  <c r="M38" i="2"/>
  <c r="H58" i="2"/>
  <c r="I58" i="2"/>
  <c r="H78" i="2"/>
  <c r="M78" i="2"/>
  <c r="I78" i="2"/>
  <c r="N24" i="2"/>
  <c r="H15" i="3"/>
  <c r="M15" i="3"/>
  <c r="H35" i="3"/>
  <c r="I35" i="3"/>
  <c r="H55" i="3"/>
  <c r="M55" i="3"/>
  <c r="I55" i="3"/>
  <c r="H75" i="3"/>
  <c r="I75" i="3"/>
  <c r="H95" i="3"/>
  <c r="M95" i="3"/>
  <c r="H115" i="3"/>
  <c r="M115" i="3"/>
  <c r="I115" i="3"/>
  <c r="H21" i="4"/>
  <c r="M21" i="4"/>
  <c r="H41" i="4"/>
  <c r="M41" i="4"/>
  <c r="H61" i="4"/>
  <c r="M61" i="4"/>
  <c r="I61" i="4"/>
  <c r="H81" i="4"/>
  <c r="M81" i="4"/>
  <c r="H101" i="4"/>
  <c r="M101" i="4"/>
  <c r="I101" i="4"/>
  <c r="H121" i="4"/>
  <c r="M121" i="4"/>
  <c r="H141" i="4"/>
  <c r="M141" i="4"/>
  <c r="N25" i="4"/>
  <c r="O25" i="4"/>
  <c r="T43" i="3"/>
  <c r="H2" i="4"/>
  <c r="M2" i="4"/>
  <c r="I2" i="4"/>
  <c r="H22" i="4"/>
  <c r="M22" i="4"/>
  <c r="I22" i="4"/>
  <c r="H42" i="4"/>
  <c r="M42" i="4"/>
  <c r="H62" i="4"/>
  <c r="M62" i="4"/>
  <c r="I62" i="4"/>
  <c r="H82" i="4"/>
  <c r="M82" i="4"/>
  <c r="H102" i="4"/>
  <c r="M102" i="4"/>
  <c r="I102" i="4"/>
  <c r="H122" i="4"/>
  <c r="M122" i="4"/>
  <c r="H142" i="4"/>
  <c r="M142" i="4"/>
  <c r="I142" i="4"/>
  <c r="P86" i="4"/>
  <c r="I141" i="4"/>
  <c r="N14" i="4"/>
  <c r="I95" i="3"/>
  <c r="T90" i="3"/>
  <c r="N148" i="4"/>
  <c r="O148" i="4"/>
  <c r="P29" i="4"/>
  <c r="N110" i="4"/>
  <c r="O110" i="4"/>
  <c r="O149" i="4"/>
  <c r="N149" i="4"/>
  <c r="H36" i="2"/>
  <c r="I36" i="2"/>
  <c r="M36" i="2"/>
  <c r="H56" i="2"/>
  <c r="I56" i="2"/>
  <c r="N20" i="4"/>
  <c r="H40" i="4"/>
  <c r="I40" i="4"/>
  <c r="M40" i="4"/>
  <c r="N60" i="4"/>
  <c r="H100" i="4"/>
  <c r="I100" i="4"/>
  <c r="M100" i="4"/>
  <c r="H120" i="4"/>
  <c r="M120" i="4"/>
  <c r="N140" i="4"/>
  <c r="O140" i="4"/>
  <c r="M60" i="4"/>
  <c r="H39" i="2"/>
  <c r="M39" i="2"/>
  <c r="T39" i="2" s="1"/>
  <c r="H59" i="2"/>
  <c r="M59" i="2"/>
  <c r="H16" i="3"/>
  <c r="M16" i="3"/>
  <c r="H36" i="3"/>
  <c r="M36" i="3"/>
  <c r="H56" i="3"/>
  <c r="M56" i="3"/>
  <c r="I56" i="3"/>
  <c r="H76" i="3"/>
  <c r="M76" i="3"/>
  <c r="H96" i="3"/>
  <c r="M96" i="3"/>
  <c r="T96" i="3" s="1"/>
  <c r="H116" i="3"/>
  <c r="M116" i="3"/>
  <c r="I116" i="3"/>
  <c r="P116" i="3" s="1"/>
  <c r="N111" i="3"/>
  <c r="H3" i="4"/>
  <c r="M3" i="4"/>
  <c r="I3" i="4"/>
  <c r="H23" i="4"/>
  <c r="N23" i="4" s="1"/>
  <c r="M23" i="4"/>
  <c r="H43" i="4"/>
  <c r="M43" i="4"/>
  <c r="H63" i="4"/>
  <c r="M63" i="4"/>
  <c r="I63" i="4"/>
  <c r="P63" i="4" s="1"/>
  <c r="H83" i="4"/>
  <c r="M83" i="4"/>
  <c r="H103" i="4"/>
  <c r="M103" i="4"/>
  <c r="H143" i="4"/>
  <c r="M143" i="4"/>
  <c r="H27" i="4"/>
  <c r="M79" i="2"/>
  <c r="N10" i="3"/>
  <c r="N50" i="3"/>
  <c r="H4" i="4"/>
  <c r="M4" i="4"/>
  <c r="I4" i="4"/>
  <c r="H24" i="4"/>
  <c r="M24" i="4"/>
  <c r="H44" i="4"/>
  <c r="M44" i="4"/>
  <c r="H64" i="4"/>
  <c r="M64" i="4"/>
  <c r="I64" i="4"/>
  <c r="H84" i="4"/>
  <c r="M84" i="4"/>
  <c r="H104" i="4"/>
  <c r="M104" i="4"/>
  <c r="H124" i="4"/>
  <c r="M124" i="4"/>
  <c r="I124" i="4"/>
  <c r="H144" i="4"/>
  <c r="M144" i="4"/>
  <c r="N105" i="4"/>
  <c r="O105" i="4"/>
  <c r="I23" i="4"/>
  <c r="I106" i="4"/>
  <c r="I143" i="4"/>
  <c r="I16" i="2"/>
  <c r="M38" i="3"/>
  <c r="H38" i="3"/>
  <c r="M58" i="3"/>
  <c r="I58" i="3"/>
  <c r="M78" i="3"/>
  <c r="I78" i="3"/>
  <c r="M98" i="3"/>
  <c r="H98" i="3"/>
  <c r="M118" i="3"/>
  <c r="I118" i="3"/>
  <c r="H118" i="3"/>
  <c r="N11" i="3"/>
  <c r="I36" i="3"/>
  <c r="O134" i="4"/>
  <c r="I24" i="4"/>
  <c r="P24" i="4" s="1"/>
  <c r="I144" i="4"/>
  <c r="M140" i="4"/>
  <c r="M39" i="3"/>
  <c r="H39" i="3"/>
  <c r="M59" i="3"/>
  <c r="I59" i="3"/>
  <c r="M99" i="3"/>
  <c r="H99" i="3"/>
  <c r="N99" i="3" s="1"/>
  <c r="M119" i="3"/>
  <c r="I119" i="3"/>
  <c r="H18" i="3"/>
  <c r="H58" i="3"/>
  <c r="M6" i="4"/>
  <c r="I6" i="4"/>
  <c r="H6" i="4"/>
  <c r="M26" i="4"/>
  <c r="H26" i="4"/>
  <c r="M66" i="4"/>
  <c r="I66" i="4"/>
  <c r="H66" i="4"/>
  <c r="M126" i="4"/>
  <c r="I126" i="4"/>
  <c r="H126" i="4"/>
  <c r="M146" i="4"/>
  <c r="I146" i="4"/>
  <c r="P145" i="4"/>
  <c r="I7" i="4"/>
  <c r="H7" i="4"/>
  <c r="P27" i="4"/>
  <c r="I47" i="4"/>
  <c r="N47" i="4" s="1"/>
  <c r="M47" i="4"/>
  <c r="I67" i="4"/>
  <c r="H67" i="4"/>
  <c r="I87" i="4"/>
  <c r="H87" i="4"/>
  <c r="I107" i="4"/>
  <c r="M107" i="4"/>
  <c r="I127" i="4"/>
  <c r="H127" i="4"/>
  <c r="I147" i="4"/>
  <c r="H147" i="4"/>
  <c r="O70" i="4"/>
  <c r="N70" i="4"/>
  <c r="P26" i="4"/>
  <c r="I19" i="2"/>
  <c r="I59" i="2"/>
  <c r="I39" i="3"/>
  <c r="O71" i="4"/>
  <c r="N71" i="4"/>
  <c r="P28" i="4"/>
  <c r="I26" i="2"/>
  <c r="N128" i="3"/>
  <c r="H88" i="3"/>
  <c r="I9" i="3"/>
  <c r="H9" i="3"/>
  <c r="I29" i="3"/>
  <c r="H29" i="3"/>
  <c r="I49" i="3"/>
  <c r="H49" i="3"/>
  <c r="I69" i="3"/>
  <c r="H69" i="3"/>
  <c r="I89" i="3"/>
  <c r="H89" i="3"/>
  <c r="I109" i="3"/>
  <c r="H109" i="3"/>
  <c r="I129" i="3"/>
  <c r="H129" i="3"/>
  <c r="H28" i="3"/>
  <c r="H90" i="3"/>
  <c r="N25" i="2"/>
  <c r="H86" i="2"/>
  <c r="H30" i="3"/>
  <c r="M112" i="3"/>
  <c r="N51" i="4"/>
  <c r="N114" i="4"/>
  <c r="H26" i="2"/>
  <c r="H31" i="3"/>
  <c r="I92" i="3"/>
  <c r="M52" i="3"/>
  <c r="N92" i="4"/>
  <c r="N33" i="4"/>
  <c r="H94" i="4"/>
  <c r="I32" i="3"/>
  <c r="H34" i="4"/>
  <c r="H13" i="3"/>
  <c r="M13" i="3"/>
  <c r="H33" i="3"/>
  <c r="M33" i="3"/>
  <c r="H53" i="3"/>
  <c r="M53" i="3"/>
  <c r="H73" i="3"/>
  <c r="M73" i="3"/>
  <c r="H93" i="3"/>
  <c r="M93" i="3"/>
  <c r="H113" i="3"/>
  <c r="M113" i="3"/>
  <c r="I33" i="3"/>
  <c r="M88" i="3"/>
  <c r="T88" i="3" s="1"/>
  <c r="M74" i="4"/>
  <c r="M134" i="4"/>
  <c r="I21" i="3"/>
  <c r="I41" i="3"/>
  <c r="N41" i="3" s="1"/>
  <c r="I61" i="3"/>
  <c r="I81" i="3"/>
  <c r="I101" i="3"/>
  <c r="N101" i="3" s="1"/>
  <c r="I121" i="3"/>
  <c r="M17" i="3"/>
  <c r="M37" i="3"/>
  <c r="M57" i="3"/>
  <c r="M77" i="3"/>
  <c r="M97" i="3"/>
  <c r="M117" i="3"/>
  <c r="Y62" i="4"/>
  <c r="Y127" i="4"/>
  <c r="X73" i="4"/>
  <c r="X53" i="4"/>
  <c r="X72" i="4"/>
  <c r="X143" i="4"/>
  <c r="X84" i="4"/>
  <c r="X91" i="4"/>
  <c r="W97" i="4"/>
  <c r="Y66" i="3"/>
  <c r="Y11" i="3"/>
  <c r="W71" i="3"/>
  <c r="W124" i="3"/>
  <c r="X127" i="3"/>
  <c r="X72" i="3"/>
  <c r="X7" i="2"/>
  <c r="X59" i="2"/>
  <c r="P81" i="4"/>
  <c r="N132" i="4"/>
  <c r="N130" i="4"/>
  <c r="N74" i="4"/>
  <c r="O49" i="4"/>
  <c r="O22" i="4"/>
  <c r="O21" i="4"/>
  <c r="O17" i="4"/>
  <c r="P112" i="3"/>
  <c r="N112" i="3"/>
  <c r="P111" i="3"/>
  <c r="N93" i="3"/>
  <c r="P79" i="3"/>
  <c r="N62" i="3"/>
  <c r="N12" i="3"/>
  <c r="N82" i="3"/>
  <c r="O71" i="3"/>
  <c r="N71" i="2"/>
  <c r="N40" i="2"/>
  <c r="O25" i="2"/>
  <c r="A2" i="15" a="1"/>
  <c r="A2" i="15" s="1"/>
  <c r="N19" i="3" l="1"/>
  <c r="N5" i="2"/>
  <c r="N17" i="2"/>
  <c r="O11" i="4"/>
  <c r="N57" i="3"/>
  <c r="P57" i="3"/>
  <c r="N122" i="3"/>
  <c r="O122" i="3"/>
  <c r="N8" i="3"/>
  <c r="O8" i="3"/>
  <c r="N63" i="3"/>
  <c r="O63" i="3"/>
  <c r="N2" i="3"/>
  <c r="O2" i="3"/>
  <c r="O45" i="4"/>
  <c r="O20" i="3"/>
  <c r="N20" i="3"/>
  <c r="N90" i="4"/>
  <c r="N62" i="2"/>
  <c r="O62" i="2"/>
  <c r="N145" i="4"/>
  <c r="O145" i="4"/>
  <c r="N103" i="3"/>
  <c r="O103" i="3"/>
  <c r="N60" i="3"/>
  <c r="O60" i="3"/>
  <c r="F23" i="1" a="1"/>
  <c r="F23" i="1" s="1"/>
  <c r="N51" i="3"/>
  <c r="P51" i="3"/>
  <c r="O64" i="3"/>
  <c r="N64" i="3"/>
  <c r="O65" i="4"/>
  <c r="N65" i="4"/>
  <c r="N80" i="3"/>
  <c r="P52" i="3"/>
  <c r="O66" i="2"/>
  <c r="N66" i="2"/>
  <c r="O63" i="2"/>
  <c r="N63" i="2"/>
  <c r="N79" i="3"/>
  <c r="N121" i="3"/>
  <c r="R6" i="1" a="1"/>
  <c r="R6" i="1" s="1"/>
  <c r="N23" i="3"/>
  <c r="B6" i="1" a="1"/>
  <c r="B6" i="1" s="1"/>
  <c r="N91" i="4"/>
  <c r="O91" i="4"/>
  <c r="C26" i="1" a="1"/>
  <c r="C26" i="1" s="1"/>
  <c r="N128" i="4"/>
  <c r="O128" i="4"/>
  <c r="O46" i="4"/>
  <c r="N83" i="3"/>
  <c r="O83" i="3"/>
  <c r="N65" i="2"/>
  <c r="P65" i="2"/>
  <c r="N4" i="3"/>
  <c r="O4" i="3"/>
  <c r="O46" i="2"/>
  <c r="N46" i="2"/>
  <c r="N85" i="4"/>
  <c r="G4" i="1" a="1"/>
  <c r="G4" i="1" s="1"/>
  <c r="N94" i="3"/>
  <c r="P17" i="3"/>
  <c r="N17" i="3"/>
  <c r="S11" i="1" a="1"/>
  <c r="S11" i="1" s="1"/>
  <c r="C25" i="1" a="1"/>
  <c r="C25" i="1" s="1"/>
  <c r="N57" i="2"/>
  <c r="O124" i="3"/>
  <c r="N124" i="3"/>
  <c r="G20" i="1" a="1"/>
  <c r="G20" i="1" s="1"/>
  <c r="G23" i="1" a="1"/>
  <c r="G23" i="1" s="1"/>
  <c r="R11" i="1" a="1"/>
  <c r="R11" i="1" s="1"/>
  <c r="U11" i="1" s="1"/>
  <c r="O48" i="3"/>
  <c r="N48" i="3"/>
  <c r="S17" i="1" a="1"/>
  <c r="S17" i="1" s="1"/>
  <c r="N76" i="2"/>
  <c r="P76" i="2"/>
  <c r="N3" i="3"/>
  <c r="O3" i="3"/>
  <c r="S12" i="1" a="1"/>
  <c r="S12" i="1" s="1"/>
  <c r="F22" i="1" a="1"/>
  <c r="F22" i="1" s="1"/>
  <c r="N47" i="3"/>
  <c r="N100" i="3"/>
  <c r="N84" i="3"/>
  <c r="O84" i="3"/>
  <c r="N61" i="2"/>
  <c r="F26" i="1" a="1"/>
  <c r="F26" i="1" s="1"/>
  <c r="R10" i="1" a="1"/>
  <c r="R10" i="1" s="1"/>
  <c r="R26" i="1" a="1"/>
  <c r="R26" i="1" s="1"/>
  <c r="S18" i="1" a="1"/>
  <c r="S18" i="1" s="1"/>
  <c r="F3" i="1" a="1"/>
  <c r="F3" i="1" s="1"/>
  <c r="R4" i="1" a="1"/>
  <c r="R4" i="1" s="1"/>
  <c r="S9" i="1" a="1"/>
  <c r="S9" i="1" s="1"/>
  <c r="R5" i="1" a="1"/>
  <c r="R5" i="1" s="1"/>
  <c r="G18" i="1" a="1"/>
  <c r="G18" i="1" s="1"/>
  <c r="O82" i="4"/>
  <c r="N82" i="4"/>
  <c r="T141" i="4"/>
  <c r="P115" i="3"/>
  <c r="N58" i="2"/>
  <c r="O58" i="2"/>
  <c r="T54" i="3"/>
  <c r="N99" i="4"/>
  <c r="O99" i="4"/>
  <c r="O58" i="4"/>
  <c r="N58" i="4"/>
  <c r="P30" i="2"/>
  <c r="T97" i="4"/>
  <c r="T116" i="4"/>
  <c r="O9" i="2"/>
  <c r="N9" i="2"/>
  <c r="O86" i="3"/>
  <c r="N86" i="3"/>
  <c r="O55" i="4"/>
  <c r="N55" i="4"/>
  <c r="N13" i="2"/>
  <c r="O13" i="2"/>
  <c r="T12" i="2"/>
  <c r="T29" i="2"/>
  <c r="B10" i="1" a="1"/>
  <c r="B10" i="1" s="1"/>
  <c r="G11" i="1" a="1"/>
  <c r="G11" i="1" s="1"/>
  <c r="T16" i="3"/>
  <c r="P62" i="4"/>
  <c r="N141" i="4"/>
  <c r="O141" i="4"/>
  <c r="T115" i="3"/>
  <c r="T38" i="2"/>
  <c r="O54" i="3"/>
  <c r="N54" i="3"/>
  <c r="T58" i="4"/>
  <c r="N127" i="3"/>
  <c r="O127" i="3"/>
  <c r="T30" i="2"/>
  <c r="N97" i="4"/>
  <c r="O97" i="4"/>
  <c r="P116" i="4"/>
  <c r="O74" i="2"/>
  <c r="N74" i="2"/>
  <c r="T86" i="3"/>
  <c r="P55" i="4"/>
  <c r="T13" i="2"/>
  <c r="N12" i="2"/>
  <c r="O12" i="2"/>
  <c r="C3" i="1" a="1"/>
  <c r="C3" i="1" s="1"/>
  <c r="G12" i="1" a="1"/>
  <c r="G12" i="1" s="1"/>
  <c r="N63" i="4"/>
  <c r="N33" i="3"/>
  <c r="O33" i="3"/>
  <c r="O26" i="2"/>
  <c r="N26" i="2"/>
  <c r="N129" i="3"/>
  <c r="P129" i="3"/>
  <c r="N147" i="4"/>
  <c r="O147" i="4"/>
  <c r="T38" i="3"/>
  <c r="N61" i="3"/>
  <c r="P61" i="3"/>
  <c r="T13" i="3"/>
  <c r="F25" i="1" a="1"/>
  <c r="F25" i="1" s="1"/>
  <c r="P147" i="4"/>
  <c r="P126" i="4"/>
  <c r="T39" i="3"/>
  <c r="P16" i="2"/>
  <c r="N16" i="2"/>
  <c r="T24" i="4"/>
  <c r="N43" i="4"/>
  <c r="O43" i="4"/>
  <c r="O16" i="3"/>
  <c r="N16" i="3"/>
  <c r="T62" i="4"/>
  <c r="T121" i="4"/>
  <c r="O115" i="3"/>
  <c r="N115" i="3"/>
  <c r="P38" i="2"/>
  <c r="P34" i="3"/>
  <c r="P38" i="4"/>
  <c r="P127" i="3"/>
  <c r="P57" i="4"/>
  <c r="O116" i="4"/>
  <c r="N116" i="4"/>
  <c r="T74" i="2"/>
  <c r="P86" i="3"/>
  <c r="T35" i="4"/>
  <c r="P13" i="2"/>
  <c r="P12" i="2"/>
  <c r="T71" i="2"/>
  <c r="P47" i="2"/>
  <c r="C4" i="1" a="1"/>
  <c r="C4" i="1" s="1"/>
  <c r="N126" i="4"/>
  <c r="O126" i="4"/>
  <c r="O39" i="3"/>
  <c r="N39" i="3"/>
  <c r="N44" i="4"/>
  <c r="O44" i="4"/>
  <c r="T43" i="4"/>
  <c r="N109" i="3"/>
  <c r="O109" i="3"/>
  <c r="O63" i="4"/>
  <c r="P41" i="3"/>
  <c r="N13" i="3"/>
  <c r="O13" i="3"/>
  <c r="R9" i="1" a="1"/>
  <c r="R9" i="1" s="1"/>
  <c r="P109" i="3"/>
  <c r="N127" i="4"/>
  <c r="O127" i="4"/>
  <c r="T126" i="4"/>
  <c r="P143" i="4"/>
  <c r="N24" i="4"/>
  <c r="O24" i="4"/>
  <c r="T23" i="4"/>
  <c r="T59" i="2"/>
  <c r="P56" i="2"/>
  <c r="N62" i="4"/>
  <c r="O62" i="4"/>
  <c r="N121" i="4"/>
  <c r="O121" i="4"/>
  <c r="T95" i="3"/>
  <c r="N38" i="2"/>
  <c r="N34" i="3"/>
  <c r="O34" i="3"/>
  <c r="T59" i="4"/>
  <c r="T38" i="4"/>
  <c r="G7" i="1" a="1"/>
  <c r="G7" i="1" s="1"/>
  <c r="S24" i="1" a="1"/>
  <c r="S24" i="1" s="1"/>
  <c r="N57" i="4"/>
  <c r="O57" i="4"/>
  <c r="P96" i="4"/>
  <c r="P74" i="2"/>
  <c r="O35" i="4"/>
  <c r="N35" i="4"/>
  <c r="T47" i="2"/>
  <c r="C5" i="1" a="1"/>
  <c r="C5" i="1" s="1"/>
  <c r="F7" i="1" a="1"/>
  <c r="F7" i="1" s="1"/>
  <c r="O36" i="3"/>
  <c r="N36" i="3"/>
  <c r="P21" i="3"/>
  <c r="O89" i="3"/>
  <c r="N89" i="3"/>
  <c r="P127" i="4"/>
  <c r="T140" i="4"/>
  <c r="P4" i="4"/>
  <c r="O59" i="2"/>
  <c r="T42" i="4"/>
  <c r="P18" i="2"/>
  <c r="O59" i="4"/>
  <c r="N59" i="4"/>
  <c r="N7" i="3"/>
  <c r="O7" i="3"/>
  <c r="P69" i="2"/>
  <c r="P37" i="4"/>
  <c r="T96" i="4"/>
  <c r="N54" i="2"/>
  <c r="O54" i="2"/>
  <c r="P35" i="4"/>
  <c r="O51" i="2"/>
  <c r="N51" i="2"/>
  <c r="P68" i="2"/>
  <c r="O27" i="2"/>
  <c r="N27" i="2"/>
  <c r="C12" i="1" a="1"/>
  <c r="C12" i="1" s="1"/>
  <c r="C6" i="1" a="1"/>
  <c r="C6" i="1" s="1"/>
  <c r="E6" i="1" s="1"/>
  <c r="F8" i="1" a="1"/>
  <c r="F8" i="1" s="1"/>
  <c r="C11" i="1" a="1"/>
  <c r="C11" i="1" s="1"/>
  <c r="P81" i="3"/>
  <c r="N56" i="2"/>
  <c r="O56" i="2"/>
  <c r="B17" i="1" a="1"/>
  <c r="B17" i="1" s="1"/>
  <c r="P89" i="3"/>
  <c r="G24" i="1" a="1"/>
  <c r="G24" i="1" s="1"/>
  <c r="T107" i="4"/>
  <c r="O66" i="4"/>
  <c r="N66" i="4"/>
  <c r="P144" i="4"/>
  <c r="P23" i="4"/>
  <c r="T4" i="4"/>
  <c r="P3" i="4"/>
  <c r="T36" i="2"/>
  <c r="P95" i="3"/>
  <c r="N42" i="4"/>
  <c r="O42" i="4"/>
  <c r="T101" i="4"/>
  <c r="P75" i="3"/>
  <c r="N18" i="2"/>
  <c r="O14" i="3"/>
  <c r="N14" i="3"/>
  <c r="T39" i="4"/>
  <c r="T7" i="3"/>
  <c r="O69" i="2"/>
  <c r="N69" i="2"/>
  <c r="T37" i="4"/>
  <c r="N96" i="4"/>
  <c r="O96" i="4"/>
  <c r="P54" i="2"/>
  <c r="O15" i="4"/>
  <c r="N15" i="4"/>
  <c r="O87" i="3"/>
  <c r="N87" i="3"/>
  <c r="T126" i="3"/>
  <c r="P51" i="2"/>
  <c r="N68" i="2"/>
  <c r="O68" i="2"/>
  <c r="P27" i="2"/>
  <c r="C7" i="1" a="1"/>
  <c r="C7" i="1" s="1"/>
  <c r="P106" i="4"/>
  <c r="N106" i="4"/>
  <c r="N34" i="4"/>
  <c r="O34" i="4"/>
  <c r="T112" i="3"/>
  <c r="O69" i="3"/>
  <c r="N69" i="3"/>
  <c r="N4" i="4"/>
  <c r="O4" i="4"/>
  <c r="O39" i="2"/>
  <c r="N39" i="2"/>
  <c r="P36" i="2"/>
  <c r="P22" i="4"/>
  <c r="O75" i="3"/>
  <c r="N75" i="3"/>
  <c r="S25" i="1" a="1"/>
  <c r="S25" i="1" s="1"/>
  <c r="N81" i="3"/>
  <c r="P7" i="3"/>
  <c r="T69" i="2"/>
  <c r="T76" i="4"/>
  <c r="T34" i="2"/>
  <c r="P15" i="4"/>
  <c r="T87" i="3"/>
  <c r="N126" i="3"/>
  <c r="O126" i="3"/>
  <c r="T31" i="2"/>
  <c r="T68" i="2"/>
  <c r="T27" i="2"/>
  <c r="O67" i="2"/>
  <c r="N67" i="2"/>
  <c r="O23" i="4"/>
  <c r="P101" i="4"/>
  <c r="O95" i="3"/>
  <c r="N95" i="3"/>
  <c r="T14" i="3"/>
  <c r="F5" i="1" a="1"/>
  <c r="F5" i="1" s="1"/>
  <c r="F24" i="1" a="1"/>
  <c r="F24" i="1" s="1"/>
  <c r="P107" i="4"/>
  <c r="P66" i="4"/>
  <c r="T3" i="4"/>
  <c r="O101" i="4"/>
  <c r="N101" i="4"/>
  <c r="F6" i="1" a="1"/>
  <c r="F6" i="1" s="1"/>
  <c r="P69" i="3"/>
  <c r="O88" i="3"/>
  <c r="N88" i="3"/>
  <c r="G17" i="1" a="1"/>
  <c r="G17" i="1" s="1"/>
  <c r="N87" i="4"/>
  <c r="O87" i="4"/>
  <c r="T66" i="4"/>
  <c r="N3" i="4"/>
  <c r="O3" i="4"/>
  <c r="T60" i="4"/>
  <c r="O36" i="2"/>
  <c r="N36" i="2"/>
  <c r="T22" i="4"/>
  <c r="T81" i="4"/>
  <c r="P55" i="3"/>
  <c r="P138" i="4"/>
  <c r="G26" i="1" a="1"/>
  <c r="G26" i="1" s="1"/>
  <c r="I26" i="1" s="1"/>
  <c r="O39" i="4"/>
  <c r="N39" i="4"/>
  <c r="T75" i="2"/>
  <c r="F19" i="1" a="1"/>
  <c r="F19" i="1" s="1"/>
  <c r="P76" i="4"/>
  <c r="P34" i="2"/>
  <c r="F9" i="1" a="1"/>
  <c r="F9" i="1" s="1"/>
  <c r="T107" i="3"/>
  <c r="P87" i="3"/>
  <c r="P126" i="3"/>
  <c r="P31" i="2"/>
  <c r="P48" i="2"/>
  <c r="N48" i="2"/>
  <c r="P7" i="2"/>
  <c r="P67" i="2"/>
  <c r="N70" i="2"/>
  <c r="O70" i="2"/>
  <c r="N11" i="2"/>
  <c r="O11" i="2"/>
  <c r="T48" i="2"/>
  <c r="T7" i="2"/>
  <c r="S7" i="1" a="1"/>
  <c r="S7" i="1" s="1"/>
  <c r="S6" i="1" a="1"/>
  <c r="S6" i="1" s="1"/>
  <c r="R12" i="1" a="1"/>
  <c r="R12" i="1" s="1"/>
  <c r="R7" i="1" a="1"/>
  <c r="R7" i="1" s="1"/>
  <c r="S5" i="1" a="1"/>
  <c r="S5" i="1" s="1"/>
  <c r="S4" i="1" a="1"/>
  <c r="S4" i="1" s="1"/>
  <c r="S3" i="1" a="1"/>
  <c r="S3" i="1" s="1"/>
  <c r="B3" i="1" a="1"/>
  <c r="B3" i="1" s="1"/>
  <c r="T67" i="2"/>
  <c r="T33" i="3"/>
  <c r="T59" i="3"/>
  <c r="O30" i="3"/>
  <c r="N30" i="3"/>
  <c r="P141" i="4"/>
  <c r="O81" i="4"/>
  <c r="N81" i="4"/>
  <c r="O18" i="4"/>
  <c r="O75" i="2"/>
  <c r="N75" i="2"/>
  <c r="N14" i="2"/>
  <c r="O14" i="2"/>
  <c r="T74" i="4"/>
  <c r="C17" i="1" a="1"/>
  <c r="C17" i="1" s="1"/>
  <c r="E17" i="1" s="1"/>
  <c r="P49" i="3"/>
  <c r="P26" i="2"/>
  <c r="G19" i="1" a="1"/>
  <c r="G19" i="1" s="1"/>
  <c r="O67" i="4"/>
  <c r="N67" i="4"/>
  <c r="T26" i="4"/>
  <c r="P36" i="3"/>
  <c r="N144" i="4"/>
  <c r="O144" i="4"/>
  <c r="T79" i="2"/>
  <c r="F38" i="1" a="1"/>
  <c r="F38" i="1" s="1"/>
  <c r="F37" i="1" a="1"/>
  <c r="F37" i="1" s="1"/>
  <c r="H37" i="1" s="1"/>
  <c r="F36" i="1" a="1"/>
  <c r="F36" i="1" s="1"/>
  <c r="F35" i="1" a="1"/>
  <c r="F35" i="1" s="1"/>
  <c r="F34" i="1" a="1"/>
  <c r="F34" i="1" s="1"/>
  <c r="P2" i="4"/>
  <c r="F33" i="1" a="1"/>
  <c r="F33" i="1" s="1"/>
  <c r="G39" i="1" a="1"/>
  <c r="G39" i="1" s="1"/>
  <c r="F31" i="1" a="1"/>
  <c r="F31" i="1" s="1"/>
  <c r="G36" i="1" a="1"/>
  <c r="G36" i="1" s="1"/>
  <c r="G35" i="1" a="1"/>
  <c r="G35" i="1" s="1"/>
  <c r="G32" i="1" a="1"/>
  <c r="G32" i="1" s="1"/>
  <c r="G31" i="1" a="1"/>
  <c r="G31" i="1" s="1"/>
  <c r="F40" i="1" a="1"/>
  <c r="F40" i="1" s="1"/>
  <c r="F39" i="1" a="1"/>
  <c r="F39" i="1" s="1"/>
  <c r="F32" i="1" a="1"/>
  <c r="F32" i="1" s="1"/>
  <c r="G40" i="1" a="1"/>
  <c r="G40" i="1" s="1"/>
  <c r="G38" i="1" a="1"/>
  <c r="G38" i="1" s="1"/>
  <c r="G37" i="1" a="1"/>
  <c r="G37" i="1" s="1"/>
  <c r="G34" i="1" a="1"/>
  <c r="G34" i="1" s="1"/>
  <c r="G33" i="1" a="1"/>
  <c r="G33" i="1" s="1"/>
  <c r="P61" i="4"/>
  <c r="O55" i="3"/>
  <c r="N55" i="3"/>
  <c r="T19" i="4"/>
  <c r="P75" i="2"/>
  <c r="O73" i="2"/>
  <c r="N73" i="2"/>
  <c r="T14" i="2"/>
  <c r="N34" i="2"/>
  <c r="P70" i="2"/>
  <c r="T11" i="2"/>
  <c r="O50" i="2"/>
  <c r="N50" i="2"/>
  <c r="P28" i="2"/>
  <c r="B5" i="1" a="1"/>
  <c r="B5" i="1" s="1"/>
  <c r="P87" i="4"/>
  <c r="N26" i="4"/>
  <c r="O26" i="4"/>
  <c r="T144" i="4"/>
  <c r="N22" i="4"/>
  <c r="T55" i="3"/>
  <c r="N19" i="4"/>
  <c r="P19" i="4"/>
  <c r="G6" i="1" a="1"/>
  <c r="G6" i="1" s="1"/>
  <c r="N76" i="4"/>
  <c r="O76" i="4"/>
  <c r="N18" i="4"/>
  <c r="F4" i="1" a="1"/>
  <c r="F4" i="1" s="1"/>
  <c r="C19" i="1" a="1"/>
  <c r="C19" i="1" s="1"/>
  <c r="O29" i="3"/>
  <c r="N29" i="3"/>
  <c r="G10" i="1" a="1"/>
  <c r="G10" i="1" s="1"/>
  <c r="P67" i="4"/>
  <c r="N6" i="4"/>
  <c r="O6" i="4"/>
  <c r="P124" i="4"/>
  <c r="T116" i="3"/>
  <c r="T120" i="4"/>
  <c r="S40" i="1" a="1"/>
  <c r="S40" i="1" s="1"/>
  <c r="S39" i="1" a="1"/>
  <c r="S39" i="1" s="1"/>
  <c r="U39" i="1" s="1"/>
  <c r="R31" i="1" a="1"/>
  <c r="R31" i="1" s="1"/>
  <c r="T31" i="1" s="1"/>
  <c r="S38" i="1" a="1"/>
  <c r="S38" i="1" s="1"/>
  <c r="U38" i="1" s="1"/>
  <c r="S37" i="1" a="1"/>
  <c r="S37" i="1" s="1"/>
  <c r="S36" i="1" a="1"/>
  <c r="S36" i="1" s="1"/>
  <c r="S35" i="1" a="1"/>
  <c r="S35" i="1" s="1"/>
  <c r="S34" i="1" a="1"/>
  <c r="S34" i="1" s="1"/>
  <c r="S32" i="1" a="1"/>
  <c r="S32" i="1" s="1"/>
  <c r="R39" i="1" a="1"/>
  <c r="R39" i="1" s="1"/>
  <c r="R38" i="1" a="1"/>
  <c r="R38" i="1" s="1"/>
  <c r="R40" i="1" a="1"/>
  <c r="R40" i="1" s="1"/>
  <c r="S33" i="1" a="1"/>
  <c r="S33" i="1" s="1"/>
  <c r="T2" i="4"/>
  <c r="S31" i="1" a="1"/>
  <c r="S31" i="1" s="1"/>
  <c r="R37" i="1" a="1"/>
  <c r="R37" i="1" s="1"/>
  <c r="R36" i="1" a="1"/>
  <c r="R36" i="1" s="1"/>
  <c r="R35" i="1" a="1"/>
  <c r="R35" i="1" s="1"/>
  <c r="R34" i="1" a="1"/>
  <c r="R34" i="1" s="1"/>
  <c r="R33" i="1" a="1"/>
  <c r="R33" i="1" s="1"/>
  <c r="R32" i="1" a="1"/>
  <c r="R32" i="1" s="1"/>
  <c r="T61" i="4"/>
  <c r="P35" i="3"/>
  <c r="O19" i="4"/>
  <c r="N55" i="2"/>
  <c r="O55" i="2"/>
  <c r="T26" i="3"/>
  <c r="T67" i="3"/>
  <c r="P14" i="2"/>
  <c r="T70" i="2"/>
  <c r="P11" i="2"/>
  <c r="P50" i="2"/>
  <c r="N28" i="2"/>
  <c r="O28" i="2"/>
  <c r="P67" i="3"/>
  <c r="P36" i="4"/>
  <c r="N135" i="4"/>
  <c r="O135" i="4"/>
  <c r="N21" i="3"/>
  <c r="O7" i="2"/>
  <c r="N7" i="2"/>
  <c r="N37" i="4"/>
  <c r="B7" i="1" a="1"/>
  <c r="B7" i="1" s="1"/>
  <c r="N66" i="3"/>
  <c r="O66" i="3"/>
  <c r="T72" i="2"/>
  <c r="P8" i="2"/>
  <c r="C10" i="1" a="1"/>
  <c r="C10" i="1" s="1"/>
  <c r="O38" i="3"/>
  <c r="N38" i="3"/>
  <c r="T134" i="4"/>
  <c r="N32" i="3"/>
  <c r="P32" i="3"/>
  <c r="O49" i="3"/>
  <c r="N49" i="3"/>
  <c r="P33" i="3"/>
  <c r="P29" i="3"/>
  <c r="T47" i="4"/>
  <c r="N118" i="3"/>
  <c r="O118" i="3"/>
  <c r="N27" i="4"/>
  <c r="O27" i="4"/>
  <c r="N120" i="4"/>
  <c r="O120" i="4"/>
  <c r="P142" i="4"/>
  <c r="O61" i="4"/>
  <c r="N61" i="4"/>
  <c r="G22" i="1" a="1"/>
  <c r="G22" i="1" s="1"/>
  <c r="P47" i="4"/>
  <c r="T6" i="4"/>
  <c r="N124" i="4"/>
  <c r="O124" i="4"/>
  <c r="T100" i="4"/>
  <c r="P114" i="3"/>
  <c r="B19" i="1" a="1"/>
  <c r="B19" i="1" s="1"/>
  <c r="B18" i="1" a="1"/>
  <c r="B18" i="1" s="1"/>
  <c r="B22" i="1" a="1"/>
  <c r="B22" i="1" s="1"/>
  <c r="B21" i="1" a="1"/>
  <c r="B21" i="1" s="1"/>
  <c r="B20" i="1" a="1"/>
  <c r="B20" i="1" s="1"/>
  <c r="N6" i="3"/>
  <c r="C24" i="1" a="1"/>
  <c r="C24" i="1" s="1"/>
  <c r="C23" i="1" a="1"/>
  <c r="C23" i="1" s="1"/>
  <c r="O6" i="3"/>
  <c r="C18" i="1" a="1"/>
  <c r="C18" i="1" s="1"/>
  <c r="B26" i="1" a="1"/>
  <c r="B26" i="1" s="1"/>
  <c r="B25" i="1" a="1"/>
  <c r="B25" i="1" s="1"/>
  <c r="B24" i="1" a="1"/>
  <c r="B24" i="1" s="1"/>
  <c r="B23" i="1" a="1"/>
  <c r="B23" i="1" s="1"/>
  <c r="O27" i="3"/>
  <c r="N27" i="3"/>
  <c r="N67" i="3"/>
  <c r="O67" i="3"/>
  <c r="P135" i="4"/>
  <c r="T117" i="3"/>
  <c r="N113" i="3"/>
  <c r="O113" i="3"/>
  <c r="S26" i="1" a="1"/>
  <c r="S26" i="1" s="1"/>
  <c r="T138" i="4"/>
  <c r="N35" i="2"/>
  <c r="O35" i="2"/>
  <c r="O49" i="2"/>
  <c r="N49" i="2"/>
  <c r="S22" i="1" a="1"/>
  <c r="S22" i="1" s="1"/>
  <c r="S21" i="1" a="1"/>
  <c r="S21" i="1" s="1"/>
  <c r="S20" i="1" a="1"/>
  <c r="S20" i="1" s="1"/>
  <c r="S19" i="1" a="1"/>
  <c r="S19" i="1" s="1"/>
  <c r="T6" i="3"/>
  <c r="R23" i="1" a="1"/>
  <c r="R23" i="1" s="1"/>
  <c r="R20" i="1" a="1"/>
  <c r="R20" i="1" s="1"/>
  <c r="R22" i="1" a="1"/>
  <c r="R22" i="1" s="1"/>
  <c r="T27" i="3"/>
  <c r="O36" i="4"/>
  <c r="N36" i="4"/>
  <c r="O8" i="2"/>
  <c r="N8" i="2"/>
  <c r="P66" i="3"/>
  <c r="O72" i="2"/>
  <c r="N72" i="2"/>
  <c r="T8" i="2"/>
  <c r="B4" i="1" a="1"/>
  <c r="B4" i="1" s="1"/>
  <c r="N38" i="4"/>
  <c r="G21" i="1" a="1"/>
  <c r="G21" i="1" s="1"/>
  <c r="T124" i="4"/>
  <c r="N2" i="4"/>
  <c r="B39" i="1" a="1"/>
  <c r="B39" i="1" s="1"/>
  <c r="B38" i="1" a="1"/>
  <c r="B38" i="1" s="1"/>
  <c r="B37" i="1" a="1"/>
  <c r="B37" i="1" s="1"/>
  <c r="B36" i="1" a="1"/>
  <c r="B36" i="1" s="1"/>
  <c r="B35" i="1" a="1"/>
  <c r="B35" i="1" s="1"/>
  <c r="B34" i="1" a="1"/>
  <c r="B34" i="1" s="1"/>
  <c r="B31" i="1" a="1"/>
  <c r="B31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34" i="1" a="1"/>
  <c r="C34" i="1" s="1"/>
  <c r="E34" i="1" s="1"/>
  <c r="C32" i="1" a="1"/>
  <c r="C32" i="1" s="1"/>
  <c r="C31" i="1" a="1"/>
  <c r="C31" i="1" s="1"/>
  <c r="B40" i="1" a="1"/>
  <c r="B40" i="1" s="1"/>
  <c r="C33" i="1" a="1"/>
  <c r="C33" i="1" s="1"/>
  <c r="B33" i="1" a="1"/>
  <c r="B33" i="1" s="1"/>
  <c r="B32" i="1" a="1"/>
  <c r="B32" i="1" s="1"/>
  <c r="O2" i="4"/>
  <c r="C40" i="1" a="1"/>
  <c r="C40" i="1" s="1"/>
  <c r="O35" i="3"/>
  <c r="N35" i="3"/>
  <c r="T127" i="3"/>
  <c r="C21" i="1" a="1"/>
  <c r="C21" i="1" s="1"/>
  <c r="O9" i="3"/>
  <c r="N9" i="3"/>
  <c r="S23" i="1" a="1"/>
  <c r="S23" i="1" s="1"/>
  <c r="C22" i="1" a="1"/>
  <c r="C22" i="1" s="1"/>
  <c r="P9" i="3"/>
  <c r="T118" i="3"/>
  <c r="T104" i="4"/>
  <c r="O143" i="4"/>
  <c r="N143" i="4"/>
  <c r="P100" i="4"/>
  <c r="P19" i="2"/>
  <c r="N19" i="2"/>
  <c r="O98" i="3"/>
  <c r="N98" i="3"/>
  <c r="T76" i="3"/>
  <c r="O100" i="4"/>
  <c r="N100" i="4"/>
  <c r="T122" i="4"/>
  <c r="T21" i="4"/>
  <c r="O114" i="3"/>
  <c r="N114" i="3"/>
  <c r="T139" i="4"/>
  <c r="R17" i="1" a="1"/>
  <c r="R17" i="1" s="1"/>
  <c r="N98" i="4"/>
  <c r="O98" i="4"/>
  <c r="P35" i="2"/>
  <c r="P49" i="2"/>
  <c r="P27" i="3"/>
  <c r="P137" i="4"/>
  <c r="P72" i="2"/>
  <c r="N46" i="3"/>
  <c r="O46" i="3"/>
  <c r="B8" i="1" a="1"/>
  <c r="B8" i="1" s="1"/>
  <c r="O129" i="3"/>
  <c r="T44" i="4"/>
  <c r="O116" i="3"/>
  <c r="N116" i="3"/>
  <c r="P118" i="3"/>
  <c r="T143" i="4"/>
  <c r="T142" i="4"/>
  <c r="T41" i="4"/>
  <c r="T15" i="3"/>
  <c r="O138" i="4"/>
  <c r="N138" i="4"/>
  <c r="T35" i="2"/>
  <c r="G5" i="1" a="1"/>
  <c r="G5" i="1" s="1"/>
  <c r="T36" i="4"/>
  <c r="N59" i="2"/>
  <c r="P59" i="2"/>
  <c r="N58" i="3"/>
  <c r="O58" i="3"/>
  <c r="T77" i="3"/>
  <c r="O93" i="3"/>
  <c r="N92" i="3"/>
  <c r="P92" i="3"/>
  <c r="S8" i="1" a="1"/>
  <c r="S8" i="1" s="1"/>
  <c r="O7" i="4"/>
  <c r="N7" i="4"/>
  <c r="N119" i="3"/>
  <c r="P119" i="3"/>
  <c r="T98" i="3"/>
  <c r="T84" i="4"/>
  <c r="N103" i="4"/>
  <c r="O103" i="4"/>
  <c r="O76" i="3"/>
  <c r="N76" i="3"/>
  <c r="N122" i="4"/>
  <c r="O122" i="4"/>
  <c r="N21" i="4"/>
  <c r="T94" i="3"/>
  <c r="O139" i="4"/>
  <c r="N139" i="4"/>
  <c r="R18" i="1" a="1"/>
  <c r="R18" i="1" s="1"/>
  <c r="P98" i="4"/>
  <c r="N15" i="2"/>
  <c r="O15" i="2"/>
  <c r="T49" i="2"/>
  <c r="N10" i="2"/>
  <c r="O10" i="2"/>
  <c r="O95" i="4"/>
  <c r="P73" i="2"/>
  <c r="O52" i="2"/>
  <c r="N52" i="2"/>
  <c r="T46" i="3"/>
  <c r="B9" i="1" a="1"/>
  <c r="B9" i="1" s="1"/>
  <c r="P101" i="3"/>
  <c r="C20" i="1" a="1"/>
  <c r="C20" i="1" s="1"/>
  <c r="P6" i="4"/>
  <c r="P55" i="2"/>
  <c r="P26" i="3"/>
  <c r="N107" i="3"/>
  <c r="O107" i="3"/>
  <c r="T113" i="3"/>
  <c r="O96" i="3"/>
  <c r="N96" i="3"/>
  <c r="N142" i="4"/>
  <c r="O142" i="4"/>
  <c r="O41" i="4"/>
  <c r="N41" i="4"/>
  <c r="O15" i="3"/>
  <c r="N15" i="3"/>
  <c r="T114" i="3"/>
  <c r="P139" i="4"/>
  <c r="O38" i="2"/>
  <c r="T97" i="3"/>
  <c r="T93" i="3"/>
  <c r="T52" i="3"/>
  <c r="N86" i="2"/>
  <c r="O86" i="2"/>
  <c r="N18" i="3"/>
  <c r="O18" i="3"/>
  <c r="N104" i="4"/>
  <c r="O104" i="4"/>
  <c r="T103" i="4"/>
  <c r="T57" i="3"/>
  <c r="T73" i="3"/>
  <c r="O31" i="3"/>
  <c r="N31" i="3"/>
  <c r="R8" i="1" a="1"/>
  <c r="R8" i="1" s="1"/>
  <c r="R3" i="1" a="1"/>
  <c r="R3" i="1" s="1"/>
  <c r="P7" i="4"/>
  <c r="T119" i="3"/>
  <c r="P78" i="3"/>
  <c r="O84" i="4"/>
  <c r="N84" i="4"/>
  <c r="T83" i="4"/>
  <c r="P56" i="3"/>
  <c r="P102" i="4"/>
  <c r="P78" i="2"/>
  <c r="P94" i="3"/>
  <c r="N119" i="4"/>
  <c r="R19" i="1" a="1"/>
  <c r="R19" i="1" s="1"/>
  <c r="T98" i="4"/>
  <c r="P15" i="2"/>
  <c r="O137" i="4"/>
  <c r="N137" i="4"/>
  <c r="P10" i="2"/>
  <c r="P9" i="2"/>
  <c r="O47" i="3"/>
  <c r="N95" i="4"/>
  <c r="P95" i="4"/>
  <c r="N53" i="2"/>
  <c r="O53" i="2"/>
  <c r="P52" i="2"/>
  <c r="N47" i="2"/>
  <c r="O47" i="2"/>
  <c r="P46" i="3"/>
  <c r="B11" i="1" a="1"/>
  <c r="B11" i="1" s="1"/>
  <c r="F17" i="1" a="1"/>
  <c r="F17" i="1" s="1"/>
  <c r="B12" i="1" a="1"/>
  <c r="B12" i="1" s="1"/>
  <c r="F10" i="1" a="1"/>
  <c r="F10" i="1" s="1"/>
  <c r="N107" i="4"/>
  <c r="T146" i="4"/>
  <c r="T37" i="3"/>
  <c r="F11" i="1" a="1"/>
  <c r="F11" i="1" s="1"/>
  <c r="O99" i="3"/>
  <c r="P64" i="4"/>
  <c r="P47" i="3"/>
  <c r="T17" i="3"/>
  <c r="T53" i="3"/>
  <c r="P39" i="3"/>
  <c r="T99" i="3"/>
  <c r="P58" i="3"/>
  <c r="T64" i="4"/>
  <c r="O56" i="3"/>
  <c r="N56" i="3"/>
  <c r="P40" i="4"/>
  <c r="N102" i="4"/>
  <c r="O102" i="4"/>
  <c r="N78" i="2"/>
  <c r="O78" i="2"/>
  <c r="P74" i="3"/>
  <c r="T99" i="4"/>
  <c r="R24" i="1" a="1"/>
  <c r="R24" i="1" s="1"/>
  <c r="T24" i="1" s="1"/>
  <c r="F20" i="1" a="1"/>
  <c r="F20" i="1" s="1"/>
  <c r="H20" i="1" s="1"/>
  <c r="T106" i="3"/>
  <c r="P136" i="4"/>
  <c r="P75" i="4"/>
  <c r="T33" i="2"/>
  <c r="N32" i="2"/>
  <c r="O32" i="2"/>
  <c r="N29" i="2"/>
  <c r="O29" i="2"/>
  <c r="F21" i="1" a="1"/>
  <c r="F21" i="1" s="1"/>
  <c r="C8" i="1" a="1"/>
  <c r="C8" i="1" s="1"/>
  <c r="G8" i="1" a="1"/>
  <c r="G8" i="1" s="1"/>
  <c r="O94" i="4"/>
  <c r="N94" i="4"/>
  <c r="O73" i="3"/>
  <c r="N73" i="3"/>
  <c r="T78" i="3"/>
  <c r="O83" i="4"/>
  <c r="N83" i="4"/>
  <c r="T56" i="3"/>
  <c r="T40" i="4"/>
  <c r="T102" i="4"/>
  <c r="T78" i="2"/>
  <c r="O94" i="3"/>
  <c r="R21" i="1" a="1"/>
  <c r="R21" i="1" s="1"/>
  <c r="T10" i="2"/>
  <c r="T9" i="2"/>
  <c r="T75" i="4"/>
  <c r="P53" i="2"/>
  <c r="T32" i="2"/>
  <c r="F12" i="1" a="1"/>
  <c r="F12" i="1" s="1"/>
  <c r="N90" i="3"/>
  <c r="O90" i="3"/>
  <c r="P121" i="3"/>
  <c r="O53" i="3"/>
  <c r="N53" i="3"/>
  <c r="G3" i="1" a="1"/>
  <c r="G3" i="1" s="1"/>
  <c r="O28" i="3"/>
  <c r="N28" i="3"/>
  <c r="S10" i="1" a="1"/>
  <c r="S10" i="1" s="1"/>
  <c r="F18" i="1" a="1"/>
  <c r="F18" i="1" s="1"/>
  <c r="N146" i="4"/>
  <c r="P146" i="4"/>
  <c r="N59" i="3"/>
  <c r="P59" i="3"/>
  <c r="T58" i="3"/>
  <c r="N64" i="4"/>
  <c r="O64" i="4"/>
  <c r="T63" i="4"/>
  <c r="T36" i="3"/>
  <c r="O40" i="4"/>
  <c r="N40" i="4"/>
  <c r="T82" i="4"/>
  <c r="P58" i="2"/>
  <c r="O74" i="3"/>
  <c r="N74" i="3"/>
  <c r="P99" i="4"/>
  <c r="R25" i="1" a="1"/>
  <c r="R25" i="1" s="1"/>
  <c r="P58" i="4"/>
  <c r="N30" i="2"/>
  <c r="O30" i="2"/>
  <c r="P106" i="3"/>
  <c r="O136" i="4"/>
  <c r="N136" i="4"/>
  <c r="T55" i="4"/>
  <c r="P33" i="2"/>
  <c r="P29" i="2"/>
  <c r="G25" i="1" a="1"/>
  <c r="G25" i="1" s="1"/>
  <c r="C9" i="1" a="1"/>
  <c r="C9" i="1" s="1"/>
  <c r="G9" i="1" a="1"/>
  <c r="G9" i="1" s="1"/>
  <c r="H23" i="1" l="1"/>
  <c r="D38" i="1"/>
  <c r="D25" i="1"/>
  <c r="I3" i="1"/>
  <c r="H17" i="1"/>
  <c r="U10" i="1"/>
  <c r="T18" i="1"/>
  <c r="U34" i="1"/>
  <c r="I9" i="1"/>
  <c r="T3" i="1"/>
  <c r="H18" i="1"/>
  <c r="E20" i="1"/>
  <c r="T17" i="1"/>
  <c r="D4" i="1"/>
  <c r="D11" i="1"/>
  <c r="U26" i="1"/>
  <c r="D5" i="1"/>
  <c r="I23" i="1"/>
  <c r="V35" i="3" s="1"/>
  <c r="T8" i="1"/>
  <c r="D23" i="1"/>
  <c r="E33" i="1"/>
  <c r="U40" i="1"/>
  <c r="T33" i="1"/>
  <c r="Z82" i="4" s="1"/>
  <c r="T35" i="1"/>
  <c r="Z148" i="4" s="1"/>
  <c r="I8" i="1"/>
  <c r="E36" i="1"/>
  <c r="E8" i="1"/>
  <c r="E39" i="1"/>
  <c r="I35" i="1"/>
  <c r="D31" i="1"/>
  <c r="U3" i="4" s="1"/>
  <c r="T11" i="1"/>
  <c r="Z17" i="2" s="1"/>
  <c r="U6" i="1"/>
  <c r="H21" i="1"/>
  <c r="T20" i="1"/>
  <c r="I39" i="1"/>
  <c r="I33" i="1"/>
  <c r="H38" i="1"/>
  <c r="E32" i="1"/>
  <c r="I40" i="1"/>
  <c r="E35" i="1"/>
  <c r="T36" i="1"/>
  <c r="U9" i="1"/>
  <c r="I25" i="1"/>
  <c r="I32" i="1"/>
  <c r="I36" i="1"/>
  <c r="T12" i="1"/>
  <c r="H4" i="1"/>
  <c r="H31" i="1"/>
  <c r="U32" i="1"/>
  <c r="I22" i="1"/>
  <c r="D37" i="1"/>
  <c r="U30" i="4" s="1"/>
  <c r="H34" i="1"/>
  <c r="E40" i="1"/>
  <c r="D26" i="1"/>
  <c r="U37" i="1"/>
  <c r="E3" i="1"/>
  <c r="I11" i="1"/>
  <c r="I5" i="1"/>
  <c r="E22" i="1"/>
  <c r="U23" i="1"/>
  <c r="I10" i="1"/>
  <c r="U4" i="1"/>
  <c r="D9" i="1"/>
  <c r="I19" i="1"/>
  <c r="U5" i="1"/>
  <c r="H26" i="1"/>
  <c r="V116" i="3" s="1"/>
  <c r="H12" i="1"/>
  <c r="E10" i="1"/>
  <c r="U7" i="1"/>
  <c r="E19" i="1"/>
  <c r="D24" i="1"/>
  <c r="E21" i="1"/>
  <c r="I7" i="1"/>
  <c r="E18" i="1"/>
  <c r="T25" i="1"/>
  <c r="U21" i="1"/>
  <c r="I6" i="1"/>
  <c r="U22" i="1"/>
  <c r="T9" i="1"/>
  <c r="T19" i="1"/>
  <c r="D7" i="1"/>
  <c r="H24" i="1"/>
  <c r="E12" i="1"/>
  <c r="I4" i="1"/>
  <c r="I12" i="1"/>
  <c r="D10" i="1"/>
  <c r="E25" i="1"/>
  <c r="U29" i="3" s="1"/>
  <c r="U35" i="1"/>
  <c r="Z149" i="4" s="1"/>
  <c r="H6" i="1"/>
  <c r="E37" i="1"/>
  <c r="U36" i="1"/>
  <c r="Z75" i="4" s="1"/>
  <c r="T5" i="1"/>
  <c r="I18" i="1"/>
  <c r="V20" i="3" s="1"/>
  <c r="E38" i="1"/>
  <c r="U22" i="4" s="1"/>
  <c r="H9" i="1"/>
  <c r="E11" i="1"/>
  <c r="U16" i="2" s="1"/>
  <c r="V37" i="3"/>
  <c r="V38" i="3"/>
  <c r="I20" i="1"/>
  <c r="V94" i="3" s="1"/>
  <c r="H33" i="1"/>
  <c r="H8" i="1"/>
  <c r="E4" i="1"/>
  <c r="T4" i="1"/>
  <c r="T32" i="1"/>
  <c r="U24" i="1"/>
  <c r="H3" i="1"/>
  <c r="E9" i="1"/>
  <c r="H35" i="1"/>
  <c r="U17" i="1"/>
  <c r="Z12" i="3" s="1"/>
  <c r="U32" i="3"/>
  <c r="U25" i="3"/>
  <c r="D36" i="1"/>
  <c r="T34" i="1"/>
  <c r="Z94" i="4" s="1"/>
  <c r="H36" i="1"/>
  <c r="H19" i="1"/>
  <c r="U25" i="1"/>
  <c r="E26" i="1"/>
  <c r="T26" i="1"/>
  <c r="D6" i="1"/>
  <c r="U8" i="1"/>
  <c r="D8" i="1"/>
  <c r="D39" i="1"/>
  <c r="E24" i="1"/>
  <c r="T37" i="1"/>
  <c r="I34" i="1"/>
  <c r="D3" i="1"/>
  <c r="H22" i="1"/>
  <c r="U12" i="1"/>
  <c r="D35" i="1"/>
  <c r="H11" i="1"/>
  <c r="E23" i="1"/>
  <c r="D32" i="1"/>
  <c r="U31" i="1"/>
  <c r="Z6" i="4" s="1"/>
  <c r="I37" i="1"/>
  <c r="V39" i="4" s="1"/>
  <c r="U3" i="1"/>
  <c r="H7" i="1"/>
  <c r="U18" i="1"/>
  <c r="D33" i="1"/>
  <c r="U87" i="4" s="1"/>
  <c r="T22" i="1"/>
  <c r="I38" i="1"/>
  <c r="H5" i="1"/>
  <c r="T10" i="1"/>
  <c r="I24" i="1"/>
  <c r="E5" i="1"/>
  <c r="D34" i="1"/>
  <c r="U21" i="4"/>
  <c r="Z146" i="4"/>
  <c r="D20" i="1"/>
  <c r="U98" i="3" s="1"/>
  <c r="U33" i="1"/>
  <c r="Z81" i="4" s="1"/>
  <c r="E7" i="1"/>
  <c r="I21" i="1"/>
  <c r="T23" i="1"/>
  <c r="D21" i="1"/>
  <c r="T40" i="1"/>
  <c r="H32" i="1"/>
  <c r="T7" i="1"/>
  <c r="I17" i="1"/>
  <c r="V4" i="3" s="1"/>
  <c r="H25" i="1"/>
  <c r="H10" i="1"/>
  <c r="D40" i="1"/>
  <c r="D22" i="1"/>
  <c r="H39" i="1"/>
  <c r="D17" i="1"/>
  <c r="U7" i="3" s="1"/>
  <c r="Z62" i="4"/>
  <c r="T6" i="1"/>
  <c r="Z141" i="4"/>
  <c r="T21" i="1"/>
  <c r="D12" i="1"/>
  <c r="E31" i="1"/>
  <c r="U2" i="4" s="1"/>
  <c r="U19" i="1"/>
  <c r="D18" i="1"/>
  <c r="T38" i="1"/>
  <c r="H40" i="1"/>
  <c r="U20" i="1"/>
  <c r="D19" i="1"/>
  <c r="T39" i="1"/>
  <c r="I31" i="1"/>
  <c r="V8" i="4" s="1"/>
  <c r="U28" i="3" l="1"/>
  <c r="Z147" i="4"/>
  <c r="Z150" i="4"/>
  <c r="Z85" i="4"/>
  <c r="Z145" i="4"/>
  <c r="V45" i="3"/>
  <c r="V43" i="3"/>
  <c r="Z45" i="4"/>
  <c r="Z23" i="3"/>
  <c r="Z2" i="2"/>
  <c r="Z86" i="4"/>
  <c r="Z79" i="4"/>
  <c r="Z80" i="4"/>
  <c r="Z77" i="4"/>
  <c r="U11" i="4"/>
  <c r="U8" i="4"/>
  <c r="Z88" i="4"/>
  <c r="Z46" i="4"/>
  <c r="Z73" i="4"/>
  <c r="Z64" i="4"/>
  <c r="Z89" i="4"/>
  <c r="Z68" i="4"/>
  <c r="Z87" i="4"/>
  <c r="Z90" i="4"/>
  <c r="V4" i="4"/>
  <c r="V32" i="4"/>
  <c r="Z66" i="4"/>
  <c r="Z91" i="4"/>
  <c r="Z53" i="4"/>
  <c r="Z56" i="4"/>
  <c r="Z76" i="4"/>
  <c r="Z50" i="4"/>
  <c r="Z142" i="4"/>
  <c r="V25" i="4"/>
  <c r="U9" i="2"/>
  <c r="U34" i="4"/>
  <c r="Z59" i="4"/>
  <c r="Z58" i="4"/>
  <c r="V42" i="3"/>
  <c r="Z95" i="3"/>
  <c r="U60" i="2"/>
  <c r="V4" i="2"/>
  <c r="Z23" i="2"/>
  <c r="U46" i="3"/>
  <c r="V36" i="3"/>
  <c r="V34" i="3"/>
  <c r="Z24" i="2"/>
  <c r="V41" i="3"/>
  <c r="Z33" i="3"/>
  <c r="Z88" i="3"/>
  <c r="V121" i="3"/>
  <c r="U4" i="2"/>
  <c r="V69" i="2"/>
  <c r="Z80" i="3"/>
  <c r="Z16" i="2"/>
  <c r="Z19" i="2"/>
  <c r="V9" i="2"/>
  <c r="V10" i="2"/>
  <c r="V12" i="2"/>
  <c r="U24" i="2"/>
  <c r="V115" i="3"/>
  <c r="Z15" i="2"/>
  <c r="Z13" i="2"/>
  <c r="V7" i="2"/>
  <c r="V11" i="2"/>
  <c r="V23" i="3"/>
  <c r="V117" i="3"/>
  <c r="Z14" i="2"/>
  <c r="V113" i="3"/>
  <c r="V39" i="3"/>
  <c r="V46" i="3"/>
  <c r="Z45" i="2"/>
  <c r="V111" i="3"/>
  <c r="V44" i="3"/>
  <c r="V40" i="3"/>
  <c r="V14" i="3"/>
  <c r="V13" i="3"/>
  <c r="V11" i="3"/>
  <c r="V12" i="3"/>
  <c r="Z26" i="3"/>
  <c r="U104" i="3"/>
  <c r="V3" i="3"/>
  <c r="V7" i="3"/>
  <c r="Z7" i="4"/>
  <c r="V2" i="3"/>
  <c r="V17" i="3"/>
  <c r="Z7" i="3"/>
  <c r="V8" i="2"/>
  <c r="Z25" i="3"/>
  <c r="V124" i="3"/>
  <c r="V63" i="2"/>
  <c r="Z62" i="2"/>
  <c r="V71" i="2"/>
  <c r="Z16" i="3"/>
  <c r="V64" i="2"/>
  <c r="V72" i="2"/>
  <c r="Z11" i="3"/>
  <c r="V62" i="2"/>
  <c r="Z144" i="4"/>
  <c r="U23" i="2"/>
  <c r="V16" i="3"/>
  <c r="V36" i="4"/>
  <c r="Z8" i="3"/>
  <c r="Z5" i="3"/>
  <c r="Z18" i="2"/>
  <c r="V5" i="2"/>
  <c r="V21" i="4"/>
  <c r="V6" i="2"/>
  <c r="Z25" i="2"/>
  <c r="Z99" i="3"/>
  <c r="U4" i="4"/>
  <c r="V24" i="4"/>
  <c r="Z4" i="3"/>
  <c r="V110" i="3"/>
  <c r="V67" i="2"/>
  <c r="Z50" i="2"/>
  <c r="V103" i="3"/>
  <c r="V27" i="4"/>
  <c r="V112" i="3"/>
  <c r="V6" i="3"/>
  <c r="Z83" i="4"/>
  <c r="Z15" i="3"/>
  <c r="V33" i="4"/>
  <c r="Z9" i="3"/>
  <c r="V107" i="3"/>
  <c r="U39" i="4"/>
  <c r="U23" i="4"/>
  <c r="U27" i="4"/>
  <c r="Z74" i="4"/>
  <c r="V78" i="2"/>
  <c r="V9" i="4"/>
  <c r="V70" i="2"/>
  <c r="Z52" i="4"/>
  <c r="Z60" i="4"/>
  <c r="Z55" i="4"/>
  <c r="Z63" i="4"/>
  <c r="Z52" i="2"/>
  <c r="V73" i="2"/>
  <c r="Z70" i="4"/>
  <c r="V79" i="2"/>
  <c r="Z30" i="2"/>
  <c r="U37" i="4"/>
  <c r="Z46" i="2"/>
  <c r="V76" i="2"/>
  <c r="Z78" i="4"/>
  <c r="U116" i="3"/>
  <c r="U25" i="2"/>
  <c r="V105" i="3"/>
  <c r="Z51" i="2"/>
  <c r="V77" i="2"/>
  <c r="Z13" i="3"/>
  <c r="U25" i="4"/>
  <c r="Z3" i="2"/>
  <c r="V66" i="2"/>
  <c r="Z43" i="4"/>
  <c r="Z54" i="4"/>
  <c r="V126" i="3"/>
  <c r="U38" i="4"/>
  <c r="V65" i="2"/>
  <c r="U24" i="4"/>
  <c r="V102" i="3"/>
  <c r="U85" i="2"/>
  <c r="U33" i="4"/>
  <c r="Z49" i="4"/>
  <c r="U32" i="4"/>
  <c r="U105" i="3"/>
  <c r="U110" i="3"/>
  <c r="V35" i="4"/>
  <c r="Z42" i="4"/>
  <c r="U31" i="4"/>
  <c r="U29" i="4"/>
  <c r="Z48" i="4"/>
  <c r="U36" i="4"/>
  <c r="Z10" i="4"/>
  <c r="U26" i="4"/>
  <c r="U28" i="4"/>
  <c r="Z27" i="3"/>
  <c r="Z5" i="4"/>
  <c r="Z29" i="3"/>
  <c r="V125" i="3"/>
  <c r="V95" i="3"/>
  <c r="U9" i="4"/>
  <c r="Z3" i="3"/>
  <c r="U27" i="3"/>
  <c r="V22" i="4"/>
  <c r="U107" i="3"/>
  <c r="U103" i="3"/>
  <c r="U14" i="2"/>
  <c r="U115" i="3"/>
  <c r="U112" i="3"/>
  <c r="U35" i="3"/>
  <c r="U109" i="3"/>
  <c r="Z90" i="3"/>
  <c r="U6" i="2"/>
  <c r="V68" i="2"/>
  <c r="U31" i="3"/>
  <c r="U30" i="3"/>
  <c r="V15" i="3"/>
  <c r="V99" i="3"/>
  <c r="U86" i="2"/>
  <c r="U41" i="3"/>
  <c r="Z10" i="3"/>
  <c r="V104" i="3"/>
  <c r="Z81" i="3"/>
  <c r="Z49" i="2"/>
  <c r="V97" i="3"/>
  <c r="Z14" i="3"/>
  <c r="U58" i="2"/>
  <c r="U44" i="3"/>
  <c r="U84" i="2"/>
  <c r="Z2" i="3"/>
  <c r="U5" i="2"/>
  <c r="Z82" i="3"/>
  <c r="V98" i="3"/>
  <c r="U33" i="3"/>
  <c r="U15" i="2"/>
  <c r="V109" i="3"/>
  <c r="V106" i="3"/>
  <c r="V114" i="3"/>
  <c r="V101" i="3"/>
  <c r="Z89" i="3"/>
  <c r="U82" i="2"/>
  <c r="V8" i="3"/>
  <c r="V10" i="3"/>
  <c r="V100" i="3"/>
  <c r="V108" i="3"/>
  <c r="U34" i="3"/>
  <c r="U36" i="3"/>
  <c r="U43" i="3"/>
  <c r="U26" i="3"/>
  <c r="V127" i="3"/>
  <c r="Z29" i="2"/>
  <c r="U42" i="3"/>
  <c r="V123" i="3"/>
  <c r="U40" i="3"/>
  <c r="V120" i="3"/>
  <c r="Z40" i="2"/>
  <c r="U114" i="3"/>
  <c r="U37" i="3"/>
  <c r="U117" i="3"/>
  <c r="U113" i="3"/>
  <c r="U45" i="3"/>
  <c r="U18" i="2"/>
  <c r="Z27" i="2"/>
  <c r="Z48" i="2"/>
  <c r="Z53" i="2"/>
  <c r="V129" i="3"/>
  <c r="V122" i="3"/>
  <c r="V128" i="3"/>
  <c r="Z37" i="2"/>
  <c r="Z33" i="2"/>
  <c r="U108" i="3"/>
  <c r="Z12" i="4"/>
  <c r="Z13" i="4"/>
  <c r="Z14" i="4"/>
  <c r="Z15" i="4"/>
  <c r="V53" i="4"/>
  <c r="V54" i="4"/>
  <c r="V72" i="4"/>
  <c r="V73" i="4"/>
  <c r="V74" i="4"/>
  <c r="V77" i="4"/>
  <c r="V51" i="4"/>
  <c r="V52" i="4"/>
  <c r="V68" i="4"/>
  <c r="V44" i="4"/>
  <c r="V65" i="4"/>
  <c r="V69" i="4"/>
  <c r="V43" i="4"/>
  <c r="V45" i="4"/>
  <c r="V46" i="4"/>
  <c r="V63" i="4"/>
  <c r="V42" i="4"/>
  <c r="V70" i="4"/>
  <c r="V59" i="4"/>
  <c r="V78" i="4"/>
  <c r="V60" i="4"/>
  <c r="V71" i="4"/>
  <c r="V50" i="4"/>
  <c r="V48" i="4"/>
  <c r="V56" i="4"/>
  <c r="V41" i="4"/>
  <c r="V67" i="4"/>
  <c r="V62" i="4"/>
  <c r="V75" i="4"/>
  <c r="V64" i="4"/>
  <c r="V58" i="4"/>
  <c r="V40" i="4"/>
  <c r="V66" i="4"/>
  <c r="V47" i="4"/>
  <c r="V76" i="4"/>
  <c r="V61" i="4"/>
  <c r="V55" i="4"/>
  <c r="V57" i="4"/>
  <c r="Z3" i="4"/>
  <c r="V96" i="3"/>
  <c r="V150" i="4"/>
  <c r="V148" i="4"/>
  <c r="V149" i="4"/>
  <c r="V145" i="4"/>
  <c r="V140" i="4"/>
  <c r="V141" i="4"/>
  <c r="V142" i="4"/>
  <c r="V147" i="4"/>
  <c r="V143" i="4"/>
  <c r="V146" i="4"/>
  <c r="V144" i="4"/>
  <c r="Z9" i="4"/>
  <c r="V37" i="4"/>
  <c r="Z87" i="3"/>
  <c r="Z21" i="4"/>
  <c r="Z22" i="4"/>
  <c r="U24" i="3"/>
  <c r="U20" i="3"/>
  <c r="U22" i="3"/>
  <c r="U19" i="3"/>
  <c r="U23" i="3"/>
  <c r="U21" i="3"/>
  <c r="U18" i="3"/>
  <c r="Z20" i="2"/>
  <c r="Z21" i="2"/>
  <c r="Z22" i="2"/>
  <c r="U2" i="2"/>
  <c r="U3" i="2"/>
  <c r="U10" i="4"/>
  <c r="U53" i="4"/>
  <c r="U71" i="4"/>
  <c r="U65" i="4"/>
  <c r="U68" i="4"/>
  <c r="U69" i="4"/>
  <c r="U48" i="4"/>
  <c r="U49" i="4"/>
  <c r="U50" i="4"/>
  <c r="U72" i="4"/>
  <c r="U46" i="4"/>
  <c r="U47" i="4"/>
  <c r="U54" i="4"/>
  <c r="U60" i="4"/>
  <c r="U75" i="4"/>
  <c r="U45" i="4"/>
  <c r="U77" i="4"/>
  <c r="U56" i="4"/>
  <c r="U78" i="4"/>
  <c r="U52" i="4"/>
  <c r="U74" i="4"/>
  <c r="U51" i="4"/>
  <c r="U73" i="4"/>
  <c r="U70" i="4"/>
  <c r="U63" i="4"/>
  <c r="U67" i="4"/>
  <c r="U44" i="4"/>
  <c r="U40" i="4"/>
  <c r="U42" i="4"/>
  <c r="U64" i="4"/>
  <c r="U61" i="4"/>
  <c r="U59" i="4"/>
  <c r="U66" i="4"/>
  <c r="U55" i="4"/>
  <c r="U76" i="4"/>
  <c r="U58" i="4"/>
  <c r="U57" i="4"/>
  <c r="U43" i="4"/>
  <c r="U41" i="4"/>
  <c r="U62" i="4"/>
  <c r="Z8" i="4"/>
  <c r="Z60" i="2"/>
  <c r="Z61" i="2"/>
  <c r="Z58" i="2"/>
  <c r="Z55" i="2"/>
  <c r="Z56" i="2"/>
  <c r="Z57" i="2"/>
  <c r="Z54" i="2"/>
  <c r="Z59" i="2"/>
  <c r="V99" i="4"/>
  <c r="V100" i="4"/>
  <c r="V98" i="4"/>
  <c r="Z22" i="3"/>
  <c r="Z11" i="4"/>
  <c r="Z4" i="4"/>
  <c r="Z72" i="2"/>
  <c r="Z79" i="2"/>
  <c r="Z75" i="2"/>
  <c r="Z67" i="2"/>
  <c r="Z70" i="2"/>
  <c r="Z68" i="2"/>
  <c r="Z71" i="2"/>
  <c r="Z78" i="2"/>
  <c r="Z69" i="2"/>
  <c r="U16" i="4"/>
  <c r="U17" i="4"/>
  <c r="U20" i="4"/>
  <c r="U18" i="4"/>
  <c r="U19" i="4"/>
  <c r="U5" i="4"/>
  <c r="Z86" i="3"/>
  <c r="U83" i="2"/>
  <c r="Z21" i="3"/>
  <c r="Z4" i="2"/>
  <c r="Z6" i="2"/>
  <c r="Z5" i="2"/>
  <c r="Z8" i="2"/>
  <c r="Z10" i="2"/>
  <c r="Z9" i="2"/>
  <c r="Z7" i="2"/>
  <c r="Z11" i="2"/>
  <c r="Z12" i="2"/>
  <c r="V5" i="4"/>
  <c r="U81" i="2"/>
  <c r="Z20" i="3"/>
  <c r="V11" i="4"/>
  <c r="Z77" i="2"/>
  <c r="V18" i="4"/>
  <c r="V17" i="4"/>
  <c r="V16" i="4"/>
  <c r="V20" i="4"/>
  <c r="V19" i="4"/>
  <c r="Z19" i="3"/>
  <c r="V10" i="4"/>
  <c r="V49" i="4"/>
  <c r="V38" i="4"/>
  <c r="Z73" i="2"/>
  <c r="Z28" i="4"/>
  <c r="Z29" i="4"/>
  <c r="Z30" i="4"/>
  <c r="Z31" i="4"/>
  <c r="Z25" i="4"/>
  <c r="Z32" i="4"/>
  <c r="Z33" i="4"/>
  <c r="Z34" i="4"/>
  <c r="Z27" i="4"/>
  <c r="Z37" i="4"/>
  <c r="Z35" i="4"/>
  <c r="Z23" i="4"/>
  <c r="Z38" i="4"/>
  <c r="Z36" i="4"/>
  <c r="Z24" i="4"/>
  <c r="Z39" i="4"/>
  <c r="Z26" i="4"/>
  <c r="Z83" i="3"/>
  <c r="V12" i="4"/>
  <c r="V13" i="4"/>
  <c r="V14" i="4"/>
  <c r="V15" i="4"/>
  <c r="V23" i="2"/>
  <c r="V25" i="2"/>
  <c r="V24" i="2"/>
  <c r="V96" i="4"/>
  <c r="U17" i="3"/>
  <c r="U2" i="3"/>
  <c r="U3" i="3"/>
  <c r="U5" i="3"/>
  <c r="U8" i="3"/>
  <c r="U10" i="3"/>
  <c r="U11" i="3"/>
  <c r="U12" i="3"/>
  <c r="U4" i="3"/>
  <c r="U15" i="3"/>
  <c r="U6" i="3"/>
  <c r="U14" i="3"/>
  <c r="U13" i="3"/>
  <c r="U9" i="3"/>
  <c r="U16" i="3"/>
  <c r="V24" i="3"/>
  <c r="V80" i="2"/>
  <c r="V81" i="2"/>
  <c r="V82" i="2"/>
  <c r="V83" i="2"/>
  <c r="V84" i="2"/>
  <c r="V85" i="2"/>
  <c r="V86" i="2"/>
  <c r="U54" i="2"/>
  <c r="U59" i="2"/>
  <c r="Z18" i="4"/>
  <c r="Z17" i="4"/>
  <c r="Z16" i="4"/>
  <c r="Z20" i="4"/>
  <c r="Z19" i="4"/>
  <c r="U80" i="2"/>
  <c r="V3" i="2"/>
  <c r="V2" i="2"/>
  <c r="U12" i="2"/>
  <c r="U8" i="2"/>
  <c r="U10" i="2"/>
  <c r="U7" i="2"/>
  <c r="U11" i="2"/>
  <c r="Z47" i="4"/>
  <c r="Z44" i="4"/>
  <c r="Z40" i="4"/>
  <c r="Z61" i="4"/>
  <c r="Z143" i="4"/>
  <c r="Z140" i="4"/>
  <c r="V125" i="4"/>
  <c r="V128" i="4"/>
  <c r="V114" i="4"/>
  <c r="V112" i="4"/>
  <c r="V123" i="4"/>
  <c r="V129" i="4"/>
  <c r="V130" i="4"/>
  <c r="V131" i="4"/>
  <c r="V110" i="4"/>
  <c r="V111" i="4"/>
  <c r="V133" i="4"/>
  <c r="V132" i="4"/>
  <c r="V134" i="4"/>
  <c r="V108" i="4"/>
  <c r="V109" i="4"/>
  <c r="V117" i="4"/>
  <c r="V120" i="4"/>
  <c r="V118" i="4"/>
  <c r="V115" i="4"/>
  <c r="V105" i="4"/>
  <c r="V121" i="4"/>
  <c r="V113" i="4"/>
  <c r="V103" i="4"/>
  <c r="V104" i="4"/>
  <c r="V122" i="4"/>
  <c r="V137" i="4"/>
  <c r="V119" i="4"/>
  <c r="V135" i="4"/>
  <c r="V138" i="4"/>
  <c r="V139" i="4"/>
  <c r="V116" i="4"/>
  <c r="V124" i="4"/>
  <c r="V102" i="4"/>
  <c r="V136" i="4"/>
  <c r="V126" i="4"/>
  <c r="V106" i="4"/>
  <c r="V107" i="4"/>
  <c r="V127" i="4"/>
  <c r="V101" i="4"/>
  <c r="Z65" i="2"/>
  <c r="Z85" i="3"/>
  <c r="Z84" i="3"/>
  <c r="Z62" i="3"/>
  <c r="Z64" i="3"/>
  <c r="Z72" i="3"/>
  <c r="Z60" i="3"/>
  <c r="Z61" i="3"/>
  <c r="Z69" i="3"/>
  <c r="Z63" i="3"/>
  <c r="Z51" i="3"/>
  <c r="Z79" i="3"/>
  <c r="Z71" i="3"/>
  <c r="Z66" i="3"/>
  <c r="Z48" i="3"/>
  <c r="Z68" i="3"/>
  <c r="Z70" i="3"/>
  <c r="Z47" i="3"/>
  <c r="Z50" i="3"/>
  <c r="Z75" i="3"/>
  <c r="Z74" i="3"/>
  <c r="Z49" i="3"/>
  <c r="Z78" i="3"/>
  <c r="Z77" i="3"/>
  <c r="Z56" i="3"/>
  <c r="Z55" i="3"/>
  <c r="Z67" i="3"/>
  <c r="Z57" i="3"/>
  <c r="Z73" i="3"/>
  <c r="Z54" i="3"/>
  <c r="Z52" i="3"/>
  <c r="Z53" i="3"/>
  <c r="Z59" i="3"/>
  <c r="Z58" i="3"/>
  <c r="Z76" i="3"/>
  <c r="Z28" i="2"/>
  <c r="Z36" i="2"/>
  <c r="Z34" i="2"/>
  <c r="Z2" i="4"/>
  <c r="U65" i="3"/>
  <c r="U48" i="3"/>
  <c r="U52" i="3"/>
  <c r="U50" i="3"/>
  <c r="U51" i="3"/>
  <c r="U57" i="3"/>
  <c r="U79" i="3"/>
  <c r="U61" i="3"/>
  <c r="U72" i="3"/>
  <c r="U77" i="3"/>
  <c r="U59" i="3"/>
  <c r="U60" i="3"/>
  <c r="U64" i="3"/>
  <c r="U62" i="3"/>
  <c r="U63" i="3"/>
  <c r="U70" i="3"/>
  <c r="U68" i="3"/>
  <c r="U78" i="3"/>
  <c r="U71" i="3"/>
  <c r="U53" i="3"/>
  <c r="U76" i="3"/>
  <c r="U47" i="3"/>
  <c r="U74" i="3"/>
  <c r="U73" i="3"/>
  <c r="U56" i="3"/>
  <c r="U67" i="3"/>
  <c r="U49" i="3"/>
  <c r="U75" i="3"/>
  <c r="U66" i="3"/>
  <c r="U54" i="3"/>
  <c r="U55" i="3"/>
  <c r="U69" i="3"/>
  <c r="U58" i="3"/>
  <c r="Z44" i="2"/>
  <c r="U128" i="3"/>
  <c r="U122" i="3"/>
  <c r="U123" i="3"/>
  <c r="U120" i="3"/>
  <c r="U124" i="3"/>
  <c r="U125" i="3"/>
  <c r="U121" i="3"/>
  <c r="U119" i="3"/>
  <c r="U129" i="3"/>
  <c r="U126" i="3"/>
  <c r="U127" i="3"/>
  <c r="U118" i="3"/>
  <c r="U92" i="4"/>
  <c r="U93" i="4"/>
  <c r="U100" i="4"/>
  <c r="U94" i="4"/>
  <c r="U97" i="4"/>
  <c r="U95" i="4"/>
  <c r="U96" i="4"/>
  <c r="U99" i="4"/>
  <c r="U98" i="4"/>
  <c r="Z31" i="2"/>
  <c r="Z72" i="4"/>
  <c r="V28" i="4"/>
  <c r="U13" i="2"/>
  <c r="V37" i="2"/>
  <c r="V43" i="2"/>
  <c r="V46" i="2"/>
  <c r="V39" i="2"/>
  <c r="V40" i="2"/>
  <c r="V44" i="2"/>
  <c r="V42" i="2"/>
  <c r="V32" i="2"/>
  <c r="V41" i="2"/>
  <c r="V45" i="2"/>
  <c r="V31" i="2"/>
  <c r="V33" i="2"/>
  <c r="V52" i="2"/>
  <c r="V27" i="2"/>
  <c r="V36" i="2"/>
  <c r="V48" i="2"/>
  <c r="V50" i="2"/>
  <c r="V38" i="2"/>
  <c r="V53" i="2"/>
  <c r="V29" i="2"/>
  <c r="V35" i="2"/>
  <c r="V28" i="2"/>
  <c r="V47" i="2"/>
  <c r="V34" i="2"/>
  <c r="V26" i="2"/>
  <c r="V30" i="2"/>
  <c r="V49" i="2"/>
  <c r="V51" i="2"/>
  <c r="V119" i="3"/>
  <c r="Z63" i="2"/>
  <c r="Z43" i="2"/>
  <c r="U6" i="4"/>
  <c r="Z71" i="4"/>
  <c r="V26" i="4"/>
  <c r="U7" i="4"/>
  <c r="V23" i="4"/>
  <c r="Z32" i="3"/>
  <c r="V118" i="3"/>
  <c r="V9" i="3"/>
  <c r="V63" i="3"/>
  <c r="V64" i="3"/>
  <c r="V48" i="3"/>
  <c r="V68" i="3"/>
  <c r="V50" i="3"/>
  <c r="V76" i="3"/>
  <c r="V51" i="3"/>
  <c r="V77" i="3"/>
  <c r="V79" i="3"/>
  <c r="V60" i="3"/>
  <c r="V70" i="3"/>
  <c r="V72" i="3"/>
  <c r="V57" i="3"/>
  <c r="V71" i="3"/>
  <c r="V73" i="3"/>
  <c r="V52" i="3"/>
  <c r="V54" i="3"/>
  <c r="V53" i="3"/>
  <c r="V65" i="3"/>
  <c r="V62" i="3"/>
  <c r="V55" i="3"/>
  <c r="V56" i="3"/>
  <c r="V58" i="3"/>
  <c r="V47" i="3"/>
  <c r="V59" i="3"/>
  <c r="V75" i="3"/>
  <c r="V49" i="3"/>
  <c r="V78" i="3"/>
  <c r="V66" i="3"/>
  <c r="V74" i="3"/>
  <c r="V67" i="3"/>
  <c r="V61" i="3"/>
  <c r="V69" i="3"/>
  <c r="Z76" i="2"/>
  <c r="V28" i="3"/>
  <c r="V30" i="3"/>
  <c r="V31" i="3"/>
  <c r="V25" i="3"/>
  <c r="V26" i="3"/>
  <c r="V32" i="3"/>
  <c r="V29" i="3"/>
  <c r="V33" i="3"/>
  <c r="V27" i="3"/>
  <c r="U56" i="2"/>
  <c r="Z108" i="3"/>
  <c r="Z111" i="3"/>
  <c r="Z101" i="3"/>
  <c r="Z102" i="3"/>
  <c r="Z103" i="3"/>
  <c r="Z104" i="3"/>
  <c r="Z110" i="3"/>
  <c r="Z105" i="3"/>
  <c r="Z109" i="3"/>
  <c r="Z113" i="3"/>
  <c r="Z114" i="3"/>
  <c r="Z117" i="3"/>
  <c r="Z106" i="3"/>
  <c r="Z115" i="3"/>
  <c r="Z116" i="3"/>
  <c r="Z112" i="3"/>
  <c r="Z107" i="3"/>
  <c r="Z66" i="2"/>
  <c r="U37" i="2"/>
  <c r="U42" i="2"/>
  <c r="U46" i="2"/>
  <c r="U43" i="2"/>
  <c r="U44" i="2"/>
  <c r="U45" i="2"/>
  <c r="U41" i="2"/>
  <c r="U33" i="2"/>
  <c r="U40" i="2"/>
  <c r="U31" i="2"/>
  <c r="U34" i="2"/>
  <c r="U48" i="2"/>
  <c r="U39" i="2"/>
  <c r="U30" i="2"/>
  <c r="U52" i="2"/>
  <c r="U38" i="2"/>
  <c r="U35" i="2"/>
  <c r="U29" i="2"/>
  <c r="U51" i="2"/>
  <c r="U26" i="2"/>
  <c r="U53" i="2"/>
  <c r="U27" i="2"/>
  <c r="U50" i="2"/>
  <c r="U49" i="2"/>
  <c r="U32" i="2"/>
  <c r="U36" i="2"/>
  <c r="U28" i="2"/>
  <c r="U47" i="2"/>
  <c r="Z128" i="3"/>
  <c r="Z120" i="3"/>
  <c r="Z121" i="3"/>
  <c r="Z122" i="3"/>
  <c r="Z129" i="3"/>
  <c r="Z123" i="3"/>
  <c r="Z125" i="3"/>
  <c r="Z124" i="3"/>
  <c r="Z118" i="3"/>
  <c r="Z127" i="3"/>
  <c r="Z126" i="3"/>
  <c r="Z119" i="3"/>
  <c r="U113" i="4"/>
  <c r="U108" i="4"/>
  <c r="U109" i="4"/>
  <c r="U129" i="4"/>
  <c r="U133" i="4"/>
  <c r="U128" i="4"/>
  <c r="U123" i="4"/>
  <c r="U105" i="4"/>
  <c r="U106" i="4"/>
  <c r="U125" i="4"/>
  <c r="U107" i="4"/>
  <c r="U137" i="4"/>
  <c r="U136" i="4"/>
  <c r="U110" i="4"/>
  <c r="U116" i="4"/>
  <c r="U114" i="4"/>
  <c r="U117" i="4"/>
  <c r="U130" i="4"/>
  <c r="U132" i="4"/>
  <c r="U115" i="4"/>
  <c r="U112" i="4"/>
  <c r="U134" i="4"/>
  <c r="U131" i="4"/>
  <c r="U121" i="4"/>
  <c r="U118" i="4"/>
  <c r="U127" i="4"/>
  <c r="U103" i="4"/>
  <c r="U104" i="4"/>
  <c r="U135" i="4"/>
  <c r="U120" i="4"/>
  <c r="U122" i="4"/>
  <c r="U138" i="4"/>
  <c r="U119" i="4"/>
  <c r="U124" i="4"/>
  <c r="U139" i="4"/>
  <c r="U102" i="4"/>
  <c r="U101" i="4"/>
  <c r="U126" i="4"/>
  <c r="Z32" i="2"/>
  <c r="Z42" i="2"/>
  <c r="U19" i="2"/>
  <c r="V19" i="3"/>
  <c r="U39" i="3"/>
  <c r="U38" i="3"/>
  <c r="U101" i="3"/>
  <c r="Z69" i="4"/>
  <c r="V29" i="4"/>
  <c r="Z38" i="2"/>
  <c r="V97" i="4"/>
  <c r="V88" i="4"/>
  <c r="V80" i="4"/>
  <c r="V90" i="4"/>
  <c r="V89" i="4"/>
  <c r="V91" i="4"/>
  <c r="V81" i="4"/>
  <c r="V84" i="4"/>
  <c r="V79" i="4"/>
  <c r="V85" i="4"/>
  <c r="V86" i="4"/>
  <c r="V82" i="4"/>
  <c r="V83" i="4"/>
  <c r="V87" i="4"/>
  <c r="Z31" i="3"/>
  <c r="Z84" i="4"/>
  <c r="Z92" i="4"/>
  <c r="Z93" i="4"/>
  <c r="Z95" i="4"/>
  <c r="Z99" i="4"/>
  <c r="Z97" i="4"/>
  <c r="Z98" i="4"/>
  <c r="Z100" i="4"/>
  <c r="Z96" i="4"/>
  <c r="Z81" i="2"/>
  <c r="Z80" i="2"/>
  <c r="Z83" i="2"/>
  <c r="Z84" i="2"/>
  <c r="Z82" i="2"/>
  <c r="Z85" i="2"/>
  <c r="Z86" i="2"/>
  <c r="U91" i="4"/>
  <c r="U88" i="4"/>
  <c r="U85" i="4"/>
  <c r="U86" i="4"/>
  <c r="U90" i="4"/>
  <c r="U80" i="4"/>
  <c r="U89" i="4"/>
  <c r="U84" i="4"/>
  <c r="U79" i="4"/>
  <c r="U81" i="4"/>
  <c r="U82" i="4"/>
  <c r="U83" i="4"/>
  <c r="Z18" i="3"/>
  <c r="U14" i="4"/>
  <c r="U13" i="4"/>
  <c r="U15" i="4"/>
  <c r="U75" i="2"/>
  <c r="U76" i="2"/>
  <c r="U77" i="2"/>
  <c r="U79" i="2"/>
  <c r="U62" i="2"/>
  <c r="U64" i="2"/>
  <c r="U63" i="2"/>
  <c r="U66" i="2"/>
  <c r="U65" i="2"/>
  <c r="U71" i="2"/>
  <c r="U70" i="2"/>
  <c r="U68" i="2"/>
  <c r="U73" i="2"/>
  <c r="U69" i="2"/>
  <c r="U74" i="2"/>
  <c r="U72" i="2"/>
  <c r="U67" i="2"/>
  <c r="U78" i="2"/>
  <c r="U91" i="3"/>
  <c r="U92" i="3"/>
  <c r="U82" i="3"/>
  <c r="U83" i="3"/>
  <c r="U84" i="3"/>
  <c r="U85" i="3"/>
  <c r="U80" i="3"/>
  <c r="U81" i="3"/>
  <c r="U88" i="3"/>
  <c r="U93" i="3"/>
  <c r="U86" i="3"/>
  <c r="U90" i="3"/>
  <c r="U87" i="3"/>
  <c r="U89" i="3"/>
  <c r="Z40" i="3"/>
  <c r="Z45" i="3"/>
  <c r="Z34" i="3"/>
  <c r="Z41" i="3"/>
  <c r="Z35" i="3"/>
  <c r="Z42" i="3"/>
  <c r="Z43" i="3"/>
  <c r="Z44" i="3"/>
  <c r="Z36" i="3"/>
  <c r="Z37" i="3"/>
  <c r="Z46" i="3"/>
  <c r="Z39" i="3"/>
  <c r="Z38" i="3"/>
  <c r="V95" i="4"/>
  <c r="Z97" i="3"/>
  <c r="Z94" i="3"/>
  <c r="Z98" i="3"/>
  <c r="U12" i="4"/>
  <c r="Z41" i="4"/>
  <c r="Z41" i="2"/>
  <c r="U97" i="3"/>
  <c r="U100" i="3"/>
  <c r="U94" i="3"/>
  <c r="U95" i="3"/>
  <c r="U99" i="3"/>
  <c r="U96" i="3"/>
  <c r="U17" i="2"/>
  <c r="V18" i="3"/>
  <c r="V17" i="2"/>
  <c r="V15" i="2"/>
  <c r="V19" i="2"/>
  <c r="V18" i="2"/>
  <c r="V14" i="2"/>
  <c r="V13" i="2"/>
  <c r="V16" i="2"/>
  <c r="U106" i="3"/>
  <c r="Z67" i="4"/>
  <c r="Z65" i="4"/>
  <c r="V31" i="4"/>
  <c r="V94" i="4"/>
  <c r="U61" i="2"/>
  <c r="Z30" i="3"/>
  <c r="U22" i="2"/>
  <c r="U20" i="2"/>
  <c r="U21" i="2"/>
  <c r="V21" i="3"/>
  <c r="Z92" i="3"/>
  <c r="Z24" i="3"/>
  <c r="Z91" i="3"/>
  <c r="Z64" i="2"/>
  <c r="V6" i="4"/>
  <c r="V2" i="4"/>
  <c r="V7" i="4"/>
  <c r="V3" i="4"/>
  <c r="Z129" i="4"/>
  <c r="Z105" i="4"/>
  <c r="Z130" i="4"/>
  <c r="Z106" i="4"/>
  <c r="Z131" i="4"/>
  <c r="Z132" i="4"/>
  <c r="Z108" i="4"/>
  <c r="Z133" i="4"/>
  <c r="Z111" i="4"/>
  <c r="Z109" i="4"/>
  <c r="Z118" i="4"/>
  <c r="Z119" i="4"/>
  <c r="Z127" i="4"/>
  <c r="Z112" i="4"/>
  <c r="Z113" i="4"/>
  <c r="Z123" i="4"/>
  <c r="Z110" i="4"/>
  <c r="Z125" i="4"/>
  <c r="Z115" i="4"/>
  <c r="Z137" i="4"/>
  <c r="Z114" i="4"/>
  <c r="Z136" i="4"/>
  <c r="Z135" i="4"/>
  <c r="Z128" i="4"/>
  <c r="Z117" i="4"/>
  <c r="Z116" i="4"/>
  <c r="Z122" i="4"/>
  <c r="Z134" i="4"/>
  <c r="Z103" i="4"/>
  <c r="Z121" i="4"/>
  <c r="Z126" i="4"/>
  <c r="Z124" i="4"/>
  <c r="Z104" i="4"/>
  <c r="Z139" i="4"/>
  <c r="Z138" i="4"/>
  <c r="Z107" i="4"/>
  <c r="Z101" i="4"/>
  <c r="Z120" i="4"/>
  <c r="Z102" i="4"/>
  <c r="V22" i="2"/>
  <c r="V21" i="2"/>
  <c r="V20" i="2"/>
  <c r="Z26" i="2"/>
  <c r="U111" i="4"/>
  <c r="Z100" i="3"/>
  <c r="V22" i="3"/>
  <c r="U102" i="3"/>
  <c r="Z57" i="4"/>
  <c r="V30" i="4"/>
  <c r="V91" i="3"/>
  <c r="V93" i="3"/>
  <c r="V84" i="3"/>
  <c r="V88" i="3"/>
  <c r="V82" i="3"/>
  <c r="V80" i="3"/>
  <c r="V90" i="3"/>
  <c r="V83" i="3"/>
  <c r="V85" i="3"/>
  <c r="V86" i="3"/>
  <c r="V89" i="3"/>
  <c r="V92" i="3"/>
  <c r="V81" i="3"/>
  <c r="V87" i="3"/>
  <c r="V93" i="4"/>
  <c r="U57" i="2"/>
  <c r="Z28" i="3"/>
  <c r="V74" i="2"/>
  <c r="V75" i="2"/>
  <c r="U35" i="4"/>
  <c r="V60" i="2"/>
  <c r="V61" i="2"/>
  <c r="V57" i="2"/>
  <c r="V55" i="2"/>
  <c r="V59" i="2"/>
  <c r="V54" i="2"/>
  <c r="V58" i="2"/>
  <c r="V56" i="2"/>
  <c r="U55" i="2"/>
  <c r="V5" i="3"/>
  <c r="Z74" i="2"/>
  <c r="Z39" i="2"/>
  <c r="Z93" i="3"/>
  <c r="Z96" i="3"/>
  <c r="U140" i="4"/>
  <c r="U145" i="4"/>
  <c r="U146" i="4"/>
  <c r="U149" i="4"/>
  <c r="U148" i="4"/>
  <c r="U150" i="4"/>
  <c r="U142" i="4"/>
  <c r="U144" i="4"/>
  <c r="U143" i="4"/>
  <c r="U141" i="4"/>
  <c r="U147" i="4"/>
  <c r="U111" i="3"/>
  <c r="Z51" i="4"/>
  <c r="Z35" i="2"/>
  <c r="V34" i="4"/>
  <c r="Z17" i="3"/>
  <c r="Z6" i="3"/>
  <c r="V92" i="4"/>
  <c r="Z65" i="3"/>
  <c r="Z47" i="2"/>
  <c r="A9" i="12" l="1" a="1"/>
  <c r="A9" i="9" a="1"/>
  <c r="A9" i="11" a="1"/>
  <c r="T14" i="11" l="1"/>
  <c r="T12" i="11"/>
  <c r="T10" i="11"/>
  <c r="T11" i="11"/>
  <c r="T15" i="11"/>
  <c r="T16" i="11"/>
  <c r="T13" i="11"/>
  <c r="T10" i="9"/>
  <c r="T11" i="9"/>
  <c r="T12" i="9"/>
  <c r="T16" i="9"/>
  <c r="T13" i="9"/>
  <c r="T14" i="9"/>
  <c r="T15" i="9"/>
  <c r="A6" i="12"/>
  <c r="T10" i="12"/>
  <c r="T12" i="12"/>
  <c r="T11" i="12"/>
  <c r="T13" i="12"/>
  <c r="T14" i="12"/>
  <c r="A9" i="12"/>
  <c r="T9" i="12" s="1"/>
  <c r="A6" i="11"/>
  <c r="A9" i="11"/>
  <c r="T9" i="11" s="1"/>
  <c r="A6" i="9"/>
  <c r="A9" i="9"/>
  <c r="T9" i="9" s="1"/>
  <c r="T2" i="12" l="1"/>
  <c r="T2" i="9"/>
  <c r="T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<sst xmlns="http://schemas.openxmlformats.org/spreadsheetml/2006/main" count="1322" uniqueCount="477">
  <si>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</si>
  <si>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</si>
  <si>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</si>
  <si>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</si>
  <si>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</si>
  <si>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</si>
  <si>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</si>
  <si>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</si>
  <si>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</si>
  <si>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</si>
  <si>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</si>
  <si>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</si>
  <si>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</si>
  <si>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</si>
  <si>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</si>
  <si>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</si>
  <si>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</si>
  <si>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</si>
  <si>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</si>
  <si>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</si>
  <si>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</si>
  <si>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</si>
  <si>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</si>
  <si>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</si>
  <si>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</si>
  <si>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</si>
  <si>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</si>
  <si>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</si>
  <si>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</si>
  <si>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</si>
  <si>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</si>
  <si>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</si>
  <si>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</si>
  <si>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</si>
  <si>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</si>
  <si>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</si>
  <si>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</si>
  <si>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</si>
  <si>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</si>
  <si>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</si>
  <si>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</si>
  <si>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</si>
  <si>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</si>
  <si>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</si>
  <si>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</si>
  <si>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</si>
  <si>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</si>
  <si>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</si>
  <si>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</si>
  <si>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</si>
  <si>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</si>
  <si>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</si>
  <si>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</si>
  <si>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</si>
  <si>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</si>
  <si>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</si>
  <si>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</si>
  <si>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</si>
  <si>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</si>
  <si>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</si>
  <si>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</si>
  <si>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</si>
  <si>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</si>
  <si>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</si>
  <si>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</si>
  <si>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</si>
  <si>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</si>
  <si>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</si>
  <si>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</si>
  <si>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</si>
  <si>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</si>
  <si>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</si>
  <si>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</si>
  <si>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</si>
  <si>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</si>
  <si>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</si>
  <si>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</si>
  <si>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</si>
  <si>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</si>
  <si>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</si>
  <si>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</si>
  <si>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</si>
  <si>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</si>
  <si>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</si>
  <si>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</si>
  <si>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</si>
  <si>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</si>
  <si>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</si>
  <si>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</si>
  <si>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</si>
  <si>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</si>
  <si>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</si>
  <si>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</si>
  <si>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</si>
  <si>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</si>
  <si>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</si>
  <si>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</si>
  <si>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</si>
  <si>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</si>
  <si>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</si>
  <si>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</si>
  <si>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</si>
  <si>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</si>
  <si>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</si>
  <si>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</si>
  <si>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MATW</t>
  </si>
  <si>
    <t>Automobile Components</t>
  </si>
  <si>
    <t>Automobiles</t>
  </si>
  <si>
    <t>Household Durables</t>
  </si>
  <si>
    <t>Leisure Products</t>
  </si>
  <si>
    <t>Textiles, Apparel &amp; Luxury Goods</t>
  </si>
  <si>
    <t>Hotels, Restaurants &amp; Leisure</t>
  </si>
  <si>
    <t>Diversified Consumer Services</t>
  </si>
  <si>
    <t>Distributors</t>
  </si>
  <si>
    <t>Broadline Retail</t>
  </si>
  <si>
    <t>Specialty Retail</t>
  </si>
  <si>
    <t>APTV</t>
  </si>
  <si>
    <t>MBLY</t>
  </si>
  <si>
    <t>F</t>
  </si>
  <si>
    <t>GM</t>
  </si>
  <si>
    <t>HMC</t>
  </si>
  <si>
    <t>LI</t>
  </si>
  <si>
    <t>RIVN</t>
  </si>
  <si>
    <t>STLA</t>
  </si>
  <si>
    <t>TM</t>
  </si>
  <si>
    <t>TSLA</t>
  </si>
  <si>
    <t>XPEV</t>
  </si>
  <si>
    <t>GRMN</t>
  </si>
  <si>
    <t>SONY</t>
  </si>
  <si>
    <t>SGI</t>
  </si>
  <si>
    <t>DHI</t>
  </si>
  <si>
    <t>LEN</t>
  </si>
  <si>
    <t>NVR</t>
  </si>
  <si>
    <t>PHM</t>
  </si>
  <si>
    <t>TOL</t>
  </si>
  <si>
    <t>AS</t>
  </si>
  <si>
    <t>LULU</t>
  </si>
  <si>
    <t>RL</t>
  </si>
  <si>
    <t>TPR</t>
  </si>
  <si>
    <t>DECK</t>
  </si>
  <si>
    <t>NKE</t>
  </si>
  <si>
    <t>ONON</t>
  </si>
  <si>
    <t>DKNG</t>
  </si>
  <si>
    <t>FLUT</t>
  </si>
  <si>
    <t>LVS</t>
  </si>
  <si>
    <t>ABNB</t>
  </si>
  <si>
    <t>BKNG</t>
  </si>
  <si>
    <t>CCL</t>
  </si>
  <si>
    <t>CUK</t>
  </si>
  <si>
    <t>EXPE</t>
  </si>
  <si>
    <t>H</t>
  </si>
  <si>
    <t>HTHT</t>
  </si>
  <si>
    <t>IHG</t>
  </si>
  <si>
    <t>MAR</t>
  </si>
  <si>
    <t>MMYT</t>
  </si>
  <si>
    <t>RCL</t>
  </si>
  <si>
    <t>TCOM</t>
  </si>
  <si>
    <t>VIK</t>
  </si>
  <si>
    <t>ARMK</t>
  </si>
  <si>
    <t>CAVA</t>
  </si>
  <si>
    <t>CMG</t>
  </si>
  <si>
    <t>DASH</t>
  </si>
  <si>
    <t>DPZ</t>
  </si>
  <si>
    <t>DRI</t>
  </si>
  <si>
    <t>MCD</t>
  </si>
  <si>
    <t>QSR</t>
  </si>
  <si>
    <t>SBUX</t>
  </si>
  <si>
    <t>TXRH</t>
  </si>
  <si>
    <t>YUM</t>
  </si>
  <si>
    <t>YUMC</t>
  </si>
  <si>
    <t>DUOL</t>
  </si>
  <si>
    <t>PSO</t>
  </si>
  <si>
    <t>SCI</t>
  </si>
  <si>
    <t>GPC</t>
  </si>
  <si>
    <t>LKQ</t>
  </si>
  <si>
    <t>POOL</t>
  </si>
  <si>
    <t>AMZN</t>
  </si>
  <si>
    <t>BABA</t>
  </si>
  <si>
    <t>CPNG</t>
  </si>
  <si>
    <t>EBAY</t>
  </si>
  <si>
    <t>JD</t>
  </si>
  <si>
    <t>MELI</t>
  </si>
  <si>
    <t>PDD</t>
  </si>
  <si>
    <t>BURL</t>
  </si>
  <si>
    <t>ROST</t>
  </si>
  <si>
    <t>TJX</t>
  </si>
  <si>
    <t>BBY</t>
  </si>
  <si>
    <t>GME</t>
  </si>
  <si>
    <t>HD</t>
  </si>
  <si>
    <t>LOW</t>
  </si>
  <si>
    <t>CHWY</t>
  </si>
  <si>
    <t>DKS</t>
  </si>
  <si>
    <t>TSCO</t>
  </si>
  <si>
    <t>ULTA</t>
  </si>
  <si>
    <t>AZO</t>
  </si>
  <si>
    <t>CVNA</t>
  </si>
  <si>
    <t>KMX</t>
  </si>
  <si>
    <t>MUSA</t>
  </si>
  <si>
    <t>ORLY</t>
  </si>
  <si>
    <t>PAG</t>
  </si>
  <si>
    <t>WSM</t>
  </si>
  <si>
    <t>ALV</t>
  </si>
  <si>
    <t>BWA</t>
  </si>
  <si>
    <t>DAN</t>
  </si>
  <si>
    <t>DORM</t>
  </si>
  <si>
    <t>GNTX</t>
  </si>
  <si>
    <t>GTX</t>
  </si>
  <si>
    <t>HSAI</t>
  </si>
  <si>
    <t>LCII</t>
  </si>
  <si>
    <t>LEA</t>
  </si>
  <si>
    <t>MGA</t>
  </si>
  <si>
    <t>MOD</t>
  </si>
  <si>
    <t>PATK</t>
  </si>
  <si>
    <t>QS</t>
  </si>
  <si>
    <t>VC</t>
  </si>
  <si>
    <t>WRD</t>
  </si>
  <si>
    <t>GT</t>
  </si>
  <si>
    <t>LCID</t>
  </si>
  <si>
    <t>NIO</t>
  </si>
  <si>
    <t>PSNY</t>
  </si>
  <si>
    <t>THO</t>
  </si>
  <si>
    <t>VFS</t>
  </si>
  <si>
    <t>ZK</t>
  </si>
  <si>
    <t>HOG</t>
  </si>
  <si>
    <t>MHK</t>
  </si>
  <si>
    <t>BLD</t>
  </si>
  <si>
    <t>CVCO</t>
  </si>
  <si>
    <t>DFH</t>
  </si>
  <si>
    <t>GRBK</t>
  </si>
  <si>
    <t>IBP</t>
  </si>
  <si>
    <t>KBH</t>
  </si>
  <si>
    <t>MHO</t>
  </si>
  <si>
    <t>MTH</t>
  </si>
  <si>
    <t>SKY</t>
  </si>
  <si>
    <t>TMHC</t>
  </si>
  <si>
    <t>TPH</t>
  </si>
  <si>
    <t>WHR</t>
  </si>
  <si>
    <t>NWL</t>
  </si>
  <si>
    <t>BC</t>
  </si>
  <si>
    <t>DOOO</t>
  </si>
  <si>
    <t>GOLF</t>
  </si>
  <si>
    <t>HAS</t>
  </si>
  <si>
    <t>MAT</t>
  </si>
  <si>
    <t>PTON</t>
  </si>
  <si>
    <t>YETI</t>
  </si>
  <si>
    <t>COLM</t>
  </si>
  <si>
    <t>GIL</t>
  </si>
  <si>
    <t>KTB</t>
  </si>
  <si>
    <t>LEVI</t>
  </si>
  <si>
    <t>PVH</t>
  </si>
  <si>
    <t>UA</t>
  </si>
  <si>
    <t>UAA</t>
  </si>
  <si>
    <t>VFC</t>
  </si>
  <si>
    <t>ZGN</t>
  </si>
  <si>
    <t>BIRK</t>
  </si>
  <si>
    <t>CROX</t>
  </si>
  <si>
    <t>SKX</t>
  </si>
  <si>
    <t>BYD</t>
  </si>
  <si>
    <t>CHDN</t>
  </si>
  <si>
    <t>CZR</t>
  </si>
  <si>
    <t>GENI</t>
  </si>
  <si>
    <t>IGT</t>
  </si>
  <si>
    <t>LNW</t>
  </si>
  <si>
    <t>MGM</t>
  </si>
  <si>
    <t>MLCO</t>
  </si>
  <si>
    <t>PENN</t>
  </si>
  <si>
    <t>RRR</t>
  </si>
  <si>
    <t>SGHC</t>
  </si>
  <si>
    <t>SRAD</t>
  </si>
  <si>
    <t>WYNN</t>
  </si>
  <si>
    <t>ATAT</t>
  </si>
  <si>
    <t>CHH</t>
  </si>
  <si>
    <t>GBTG</t>
  </si>
  <si>
    <t>HGV</t>
  </si>
  <si>
    <t>NCLH</t>
  </si>
  <si>
    <t>TNL</t>
  </si>
  <si>
    <t>VAC</t>
  </si>
  <si>
    <t>WH</t>
  </si>
  <si>
    <t>FUN</t>
  </si>
  <si>
    <t>LTH</t>
  </si>
  <si>
    <t>MTN</t>
  </si>
  <si>
    <t>PLNT</t>
  </si>
  <si>
    <t>PRKS</t>
  </si>
  <si>
    <t>BROS</t>
  </si>
  <si>
    <t>CAKE</t>
  </si>
  <si>
    <t>EAT</t>
  </si>
  <si>
    <t>SG</t>
  </si>
  <si>
    <t>SHAK</t>
  </si>
  <si>
    <t>WEN</t>
  </si>
  <si>
    <t>WING</t>
  </si>
  <si>
    <t>ATGE</t>
  </si>
  <si>
    <t>BFAM</t>
  </si>
  <si>
    <t>EDU</t>
  </si>
  <si>
    <t>GHC</t>
  </si>
  <si>
    <t>LAUR</t>
  </si>
  <si>
    <t>LOPE</t>
  </si>
  <si>
    <t>LRN</t>
  </si>
  <si>
    <t>STRA</t>
  </si>
  <si>
    <t>TAL</t>
  </si>
  <si>
    <t>ADT</t>
  </si>
  <si>
    <t>FTDR</t>
  </si>
  <si>
    <t>HRB</t>
  </si>
  <si>
    <t>MCW</t>
  </si>
  <si>
    <t>DDS</t>
  </si>
  <si>
    <t>ETSY</t>
  </si>
  <si>
    <t>GLBE</t>
  </si>
  <si>
    <t>JWN</t>
  </si>
  <si>
    <t>M</t>
  </si>
  <si>
    <t>MNSO</t>
  </si>
  <si>
    <t>OLLI</t>
  </si>
  <si>
    <t>QVCGB</t>
  </si>
  <si>
    <t>VIPS</t>
  </si>
  <si>
    <t>ANF</t>
  </si>
  <si>
    <t>BOOT</t>
  </si>
  <si>
    <t>GAP</t>
  </si>
  <si>
    <t>URBN</t>
  </si>
  <si>
    <t>FND</t>
  </si>
  <si>
    <t>ASO</t>
  </si>
  <si>
    <t>BBWI</t>
  </si>
  <si>
    <t>FIVE</t>
  </si>
  <si>
    <t>SIG</t>
  </si>
  <si>
    <t>ABG</t>
  </si>
  <si>
    <t>AN</t>
  </si>
  <si>
    <t>GPI</t>
  </si>
  <si>
    <t>LAD</t>
  </si>
  <si>
    <t>SAH</t>
  </si>
  <si>
    <t>VVV</t>
  </si>
  <si>
    <t>RH</t>
  </si>
  <si>
    <t>W</t>
  </si>
  <si>
    <t>ADNT</t>
  </si>
  <si>
    <t>AXL</t>
  </si>
  <si>
    <t>CPS</t>
  </si>
  <si>
    <t>ECX</t>
  </si>
  <si>
    <t>FOXF</t>
  </si>
  <si>
    <t>MRETF</t>
  </si>
  <si>
    <t>PHIN</t>
  </si>
  <si>
    <t>SMP</t>
  </si>
  <si>
    <t>THRM</t>
  </si>
  <si>
    <t>XPEL</t>
  </si>
  <si>
    <t>LOT</t>
  </si>
  <si>
    <t>PSNYW</t>
  </si>
  <si>
    <t>WGO</t>
  </si>
  <si>
    <t>NIU</t>
  </si>
  <si>
    <t>SONO</t>
  </si>
  <si>
    <t>ETD</t>
  </si>
  <si>
    <t>LEG</t>
  </si>
  <si>
    <t>LOVE</t>
  </si>
  <si>
    <t>LZB</t>
  </si>
  <si>
    <t>BZH</t>
  </si>
  <si>
    <t>CCS</t>
  </si>
  <si>
    <t>HOV</t>
  </si>
  <si>
    <t>LEGH</t>
  </si>
  <si>
    <t>LGIH</t>
  </si>
  <si>
    <t>SDHC</t>
  </si>
  <si>
    <t>CRCT</t>
  </si>
  <si>
    <t>HELE</t>
  </si>
  <si>
    <t>JOUT</t>
  </si>
  <si>
    <t>MBUU</t>
  </si>
  <si>
    <t>MCFT</t>
  </si>
  <si>
    <t>MODG</t>
  </si>
  <si>
    <t>MPX</t>
  </si>
  <si>
    <t>PII</t>
  </si>
  <si>
    <t>RGR</t>
  </si>
  <si>
    <t>SWBI</t>
  </si>
  <si>
    <t>SWIM</t>
  </si>
  <si>
    <t>CPRI</t>
  </si>
  <si>
    <t>CRI</t>
  </si>
  <si>
    <t>FIGS</t>
  </si>
  <si>
    <t>GIII</t>
  </si>
  <si>
    <t>GOOS</t>
  </si>
  <si>
    <t>HBI</t>
  </si>
  <si>
    <t>LANV</t>
  </si>
  <si>
    <t>MOV</t>
  </si>
  <si>
    <t>OXM</t>
  </si>
  <si>
    <t>SHOO</t>
  </si>
  <si>
    <t>WWW</t>
  </si>
  <si>
    <t>ACEL</t>
  </si>
  <si>
    <t>AGS</t>
  </si>
  <si>
    <t>BALY</t>
  </si>
  <si>
    <t>CDRO</t>
  </si>
  <si>
    <t>EVRI</t>
  </si>
  <si>
    <t>GDEN</t>
  </si>
  <si>
    <t>MCRI</t>
  </si>
  <si>
    <t>MSC</t>
  </si>
  <si>
    <t>RSI</t>
  </si>
  <si>
    <t>DESP</t>
  </si>
  <si>
    <t>LIND</t>
  </si>
  <si>
    <t>PLYA</t>
  </si>
  <si>
    <t>SABR</t>
  </si>
  <si>
    <t>SHCO</t>
  </si>
  <si>
    <t>TH</t>
  </si>
  <si>
    <t>TNLIY</t>
  </si>
  <si>
    <t>LUCK</t>
  </si>
  <si>
    <t>PLAY</t>
  </si>
  <si>
    <t>XPOF</t>
  </si>
  <si>
    <t>ARCO</t>
  </si>
  <si>
    <t>BH</t>
  </si>
  <si>
    <t>BJRI</t>
  </si>
  <si>
    <t>BLMN</t>
  </si>
  <si>
    <t>CBRL</t>
  </si>
  <si>
    <t>DIN</t>
  </si>
  <si>
    <t>DNUT</t>
  </si>
  <si>
    <t>FWRG</t>
  </si>
  <si>
    <t>HDL</t>
  </si>
  <si>
    <t>JACK</t>
  </si>
  <si>
    <t>KRUS</t>
  </si>
  <si>
    <t>LOCO</t>
  </si>
  <si>
    <t>NATH</t>
  </si>
  <si>
    <t>PBPB</t>
  </si>
  <si>
    <t>PTLO</t>
  </si>
  <si>
    <t>PZZA</t>
  </si>
  <si>
    <t>RICK</t>
  </si>
  <si>
    <t>SERV</t>
  </si>
  <si>
    <t>TWNP</t>
  </si>
  <si>
    <t>VENU</t>
  </si>
  <si>
    <t>AFYA</t>
  </si>
  <si>
    <t>APEI</t>
  </si>
  <si>
    <t>COUR</t>
  </si>
  <si>
    <t>DAO</t>
  </si>
  <si>
    <t>GOTU</t>
  </si>
  <si>
    <t>KLC</t>
  </si>
  <si>
    <t>LINC</t>
  </si>
  <si>
    <t>NTCL</t>
  </si>
  <si>
    <t>PRDO</t>
  </si>
  <si>
    <t>QSG</t>
  </si>
  <si>
    <t>UDMY</t>
  </si>
  <si>
    <t>UTI</t>
  </si>
  <si>
    <t>VSTA</t>
  </si>
  <si>
    <t>CSV</t>
  </si>
  <si>
    <t>OSW</t>
  </si>
  <si>
    <t>SDA</t>
  </si>
  <si>
    <t>AMRK</t>
  </si>
  <si>
    <t>WEYS</t>
  </si>
  <si>
    <t>GRPN</t>
  </si>
  <si>
    <t>HEPS</t>
  </si>
  <si>
    <t>JMIA</t>
  </si>
  <si>
    <t>KSS</t>
  </si>
  <si>
    <t>SVV</t>
  </si>
  <si>
    <t>AEO</t>
  </si>
  <si>
    <t>BKE</t>
  </si>
  <si>
    <t>CAL</t>
  </si>
  <si>
    <t>CURV</t>
  </si>
  <si>
    <t>FL</t>
  </si>
  <si>
    <t>GES</t>
  </si>
  <si>
    <t>LUXE</t>
  </si>
  <si>
    <t>REAL</t>
  </si>
  <si>
    <t>RVLV</t>
  </si>
  <si>
    <t>SCVL</t>
  </si>
  <si>
    <t>SFIX</t>
  </si>
  <si>
    <t>TDUP</t>
  </si>
  <si>
    <t>VSCO</t>
  </si>
  <si>
    <t>EM</t>
  </si>
  <si>
    <t>RERE</t>
  </si>
  <si>
    <t>BWMX</t>
  </si>
  <si>
    <t>BBW</t>
  </si>
  <si>
    <t>BNED</t>
  </si>
  <si>
    <t>EYE</t>
  </si>
  <si>
    <t>FLWS</t>
  </si>
  <si>
    <t>HZO</t>
  </si>
  <si>
    <t>ODP</t>
  </si>
  <si>
    <t>PHH</t>
  </si>
  <si>
    <t>SBH</t>
  </si>
  <si>
    <t>UPBD</t>
  </si>
  <si>
    <t>WINA</t>
  </si>
  <si>
    <t>WOOF</t>
  </si>
  <si>
    <t>WRBY</t>
  </si>
  <si>
    <t>AAP</t>
  </si>
  <si>
    <t>ARKO</t>
  </si>
  <si>
    <t>BEVFF</t>
  </si>
  <si>
    <t>CANG</t>
  </si>
  <si>
    <t>CRMT</t>
  </si>
  <si>
    <t>CWH</t>
  </si>
  <si>
    <t>EVGO</t>
  </si>
  <si>
    <t>MNRO</t>
  </si>
  <si>
    <t>UXIN</t>
  </si>
  <si>
    <t>ARHS</t>
  </si>
  <si>
    <t>HVT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</si>
</sst>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2.1269999999999998</v>
        <stp/>
        <stp>LAST</stp>
        <stp>BEVFF</stp>
        <tr r="D131" s="4"/>
      </tp>
      <tp>
        <v>34.89</v>
        <stp/>
        <stp>LAST</stp>
        <stp>VVV</stp>
        <tr r="D115" s="3"/>
      </tp>
      <tp>
        <v>46.2</v>
        <stp/>
        <stp>LAST</stp>
        <stp>VIK</stp>
        <tr r="D41" s="2"/>
      </tp>
      <tp>
        <v>72.319999999999993</v>
        <stp/>
        <stp>LAST</stp>
        <stp>VAC</stp>
        <tr r="D66" s="3"/>
      </tp>
      <tp>
        <v>3.72</v>
        <stp/>
        <stp>LAST</stp>
        <stp>VFS</stp>
        <tr r="D22" s="3"/>
      </tp>
      <tp>
        <v>14.95</v>
        <stp/>
        <stp>LAST</stp>
        <stp>VFC</stp>
        <tr r="D125" s="3"/>
      </tp>
      <tp>
        <v>9.59</v>
        <stp/>
        <stp>LAST</stp>
        <stp>WRD</stp>
        <tr r="D16" s="3"/>
      </tp>
      <tp>
        <v>174.44</v>
        <stp/>
        <stp>LAST</stp>
        <stp>WSM</stp>
        <tr r="D79" s="2"/>
      </tp>
      <tp>
        <v>16.87</v>
        <stp/>
        <stp>LAST</stp>
        <stp>WWW</stp>
        <tr r="D150" s="4"/>
      </tp>
      <tp>
        <v>84.05</v>
        <stp/>
        <stp>LAST</stp>
        <stp>WHR</stp>
        <tr r="D92" s="3"/>
      </tp>
      <tp>
        <v>37.270000000000003</v>
        <stp/>
        <stp>LAST</stp>
        <stp>WGO</stp>
        <tr r="D14" s="4"/>
      </tp>
      <tp>
        <v>11.93</v>
        <stp/>
        <stp>LAST</stp>
        <stp>WEN</stp>
        <tr r="D78" s="3"/>
      </tp>
      <tp>
        <v>83.6</v>
        <stp/>
        <stp>LAST</stp>
        <stp>TPR</stp>
        <tr r="D83" s="2"/>
      </tp>
      <tp>
        <v>32.270000000000003</v>
        <stp/>
        <stp>LAST</stp>
        <stp>TPH</stp>
        <tr r="D91" s="3"/>
      </tp>
      <tp>
        <v>130.82</v>
        <stp/>
        <stp>LAST</stp>
        <stp>TJX</stp>
        <tr r="D64" s="2"/>
      </tp>
      <tp>
        <v>82.54</v>
        <stp/>
        <stp>LAST</stp>
        <stp>THO</stp>
        <tr r="D21" s="3"/>
      </tp>
      <tp>
        <v>51.04</v>
        <stp/>
        <stp>LAST</stp>
        <stp>TNL</stp>
        <tr r="D65" s="3"/>
      </tp>
      <tp>
        <v>109.36</v>
        <stp/>
        <stp>LAST</stp>
        <stp>TOL</stp>
        <tr r="D61" s="2"/>
      </tp>
      <tp>
        <v>10.01</v>
        <stp/>
        <stp>LAST</stp>
        <stp>TAL</stp>
        <tr r="D42" s="3"/>
      </tp>
      <tp>
        <v>31.67</v>
        <stp/>
        <stp>LAST</stp>
        <stp>UTI</stp>
        <tr r="D34" s="4"/>
      </tp>
      <tp>
        <v>6.27</v>
        <stp/>
        <stp>LAST</stp>
        <stp>UAA</stp>
        <tr r="D124" s="3"/>
      </tp>
      <tp>
        <v>47.99</v>
        <stp/>
        <stp>LAST</stp>
        <stp>RRR</stp>
        <tr r="D56" s="3"/>
      </tp>
      <tp>
        <v>12.15</v>
        <stp/>
        <stp>LAST</stp>
        <stp>RSI</stp>
        <tr r="D48" s="4"/>
      </tp>
      <tp>
        <v>247.78</v>
        <stp/>
        <stp>LAST</stp>
        <stp>RCL</stp>
        <tr r="D39" s="2"/>
      </tp>
      <tp>
        <v>36.99</v>
        <stp/>
        <stp>LAST</stp>
        <stp>RGR</stp>
        <tr r="D98" s="4"/>
      </tp>
      <tp>
        <v>9.84</v>
        <stp/>
        <stp>LAST</stp>
        <stp>SVV</stp>
        <tr r="D20" s="4"/>
      </tp>
      <tp>
        <v>62.25</v>
        <stp/>
        <stp>LAST</stp>
        <stp>SKX</stp>
        <tr r="D129" s="3"/>
      </tp>
      <tp>
        <v>92.82</v>
        <stp/>
        <stp>LAST</stp>
        <stp>SKY</stp>
        <tr r="D89" s="3"/>
      </tp>
      <tp>
        <v>67.900000000000006</v>
        <stp/>
        <stp>LAST</stp>
        <stp>SIG</stp>
        <tr r="D109" s="3"/>
      </tp>
      <tp>
        <v>30.45</v>
        <stp/>
        <stp>LAST</stp>
        <stp>SMP</stp>
        <tr r="D9" s="4"/>
      </tp>
      <tp>
        <v>9.36</v>
        <stp/>
        <stp>LAST</stp>
        <stp>SBH</stp>
        <tr r="D124" s="4"/>
      </tp>
      <tp>
        <v>75.819999999999993</v>
        <stp/>
        <stp>LAST</stp>
        <stp>SCI</stp>
        <tr r="D25" s="2"/>
      </tp>
      <tp>
        <v>69.14</v>
        <stp/>
        <stp>LAST</stp>
        <stp>SAH</stp>
        <tr r="D114" s="3"/>
      </tp>
      <tp>
        <v>64.12</v>
        <stp/>
        <stp>LAST</stp>
        <stp>SGI</stp>
        <tr r="D56" s="2"/>
      </tp>
      <tp>
        <v>3.33</v>
        <stp/>
        <stp>LAST</stp>
        <stp>SDA</stp>
        <tr r="D39" s="4"/>
      </tp>
      <tp>
        <v>15.87</v>
        <stp/>
        <stp>LAST</stp>
        <stp>PSO</stp>
        <tr r="D24" s="2"/>
      </tp>
      <tp>
        <v>80.5</v>
        <stp/>
        <stp>LAST</stp>
        <stp>PVH</stp>
        <tr r="D122" s="3"/>
      </tp>
      <tp>
        <v>106.45</v>
        <stp/>
        <stp>LAST</stp>
        <stp>PHM</stp>
        <tr r="D60" s="2"/>
      </tp>
      <tp>
        <v>13.73</v>
        <stp/>
        <stp>LAST</stp>
        <stp>PHH</stp>
        <tr r="D123" s="4"/>
      </tp>
      <tp>
        <v>38.64</v>
        <stp/>
        <stp>LAST</stp>
        <stp>PII</stp>
        <tr r="D97" s="4"/>
      </tp>
      <tp>
        <v>165.85</v>
        <stp/>
        <stp>LAST</stp>
        <stp>PAG</stp>
        <tr r="D78" s="2"/>
      </tp>
      <tp>
        <v>119.45</v>
        <stp/>
        <stp>LAST</stp>
        <stp>PDD</stp>
        <tr r="D19" s="2"/>
      </tp>
      <tp>
        <v>67.84</v>
        <stp/>
        <stp>LAST</stp>
        <stp>QSR</stp>
        <tr r="D49" s="2"/>
      </tp>
      <tp>
        <v>7.08</v>
        <stp/>
        <stp>LAST</stp>
        <stp>QSG</stp>
        <tr r="D32" s="4"/>
      </tp>
      <tp>
        <v>8.75</v>
        <stp/>
        <stp>LAST</stp>
        <stp>ZGN</stp>
        <tr r="D126" s="3"/>
      </tp>
      <tp>
        <v>145.72</v>
        <stp/>
        <stp>LAST</stp>
        <stp>YUM</stp>
        <tr r="D52" s="2"/>
      </tp>
      <tp>
        <v>37.159999999999997</v>
        <stp/>
        <stp>LAST</stp>
        <stp>FUN</stp>
        <tr r="D68" s="3"/>
      </tp>
      <tp>
        <v>81.5</v>
        <stp/>
        <stp>LAST</stp>
        <stp>FND</stp>
        <tr r="D105" s="3"/>
      </tp>
      <tp>
        <v>121.2</v>
        <stp/>
        <stp>LAST</stp>
        <stp>GPC</stp>
        <tr r="D20" s="2"/>
      </tp>
      <tp>
        <v>448.86</v>
        <stp/>
        <stp>LAST</stp>
        <stp>GPI</stp>
        <tr r="D112" s="3"/>
      </tp>
      <tp>
        <v>11.95</v>
        <stp/>
        <stp>LAST</stp>
        <stp>GTX</stp>
        <tr r="D7" s="3"/>
      </tp>
      <tp>
        <v>985.47</v>
        <stp/>
        <stp>LAST</stp>
        <stp>GHC</stp>
        <tr r="D37" s="3"/>
      </tp>
      <tp>
        <v>49.11</v>
        <stp/>
        <stp>LAST</stp>
        <stp>GIL</stp>
        <tr r="D119" s="3"/>
      </tp>
      <tp>
        <v>28.39</v>
        <stp/>
        <stp>LAST</stp>
        <stp>GME</stp>
        <tr r="D66" s="2"/>
      </tp>
      <tp>
        <v>25.4</v>
        <stp/>
        <stp>LAST</stp>
        <stp>GAP</stp>
        <tr r="D103" s="3"/>
      </tp>
      <tp>
        <v>12.15</v>
        <stp/>
        <stp>LAST</stp>
        <stp>GES</stp>
        <tr r="D106" s="4"/>
      </tp>
      <tp>
        <v>205</v>
        <stp/>
        <stp>LAST</stp>
        <stp>DRI</stp>
        <tr r="D47" s="2"/>
      </tp>
      <tp>
        <v>484.4</v>
        <stp/>
        <stp>LAST</stp>
        <stp>DPZ</stp>
        <tr r="D46" s="2"/>
      </tp>
      <tp>
        <v>212.04</v>
        <stp/>
        <stp>LAST</stp>
        <stp>DKS</stp>
        <tr r="D70" s="2"/>
      </tp>
      <tp>
        <v>126.36</v>
        <stp/>
        <stp>LAST</stp>
        <stp>DHI</stp>
        <tr r="D57" s="2"/>
      </tp>
      <tp>
        <v>24.65</v>
        <stp/>
        <stp>LAST</stp>
        <stp>DIN</stp>
        <tr r="D64" s="4"/>
      </tp>
      <tp>
        <v>16.5</v>
        <stp/>
        <stp>LAST</stp>
        <stp>DAN</stp>
        <tr r="D4" s="3"/>
      </tp>
      <tp>
        <v>9.18</v>
        <stp/>
        <stp>LAST</stp>
        <stp>DAO</stp>
        <tr r="D26" s="4"/>
      </tp>
      <tp>
        <v>24.22</v>
        <stp/>
        <stp>LAST</stp>
        <stp>DFH</stp>
        <tr r="D83" s="3"/>
      </tp>
      <tp>
        <v>393.87</v>
        <stp/>
        <stp>LAST</stp>
        <stp>DDS</stp>
        <tr r="D25" s="3"/>
      </tp>
      <tp>
        <v>6.17</v>
        <stp/>
        <stp>LAST</stp>
        <stp>MRETF</stp>
        <tr r="D7" s="4"/>
      </tp>
      <tp>
        <v>18.86</v>
        <stp/>
        <stp>LAST</stp>
        <stp>EYE</stp>
        <tr r="D119" s="4"/>
      </tp>
      <tp>
        <v>27.48</v>
        <stp/>
        <stp>LAST</stp>
        <stp>ETD</stp>
        <tr r="D80" s="4"/>
      </tp>
      <tp>
        <v>1.74</v>
        <stp/>
        <stp>LAST</stp>
        <stp>ECX</stp>
        <tr r="D5" s="4"/>
      </tp>
      <tp>
        <v>151.81</v>
        <stp/>
        <stp>LAST</stp>
        <stp>EAT</stp>
        <tr r="D75" s="3"/>
      </tp>
      <tp>
        <v>48.94</v>
        <stp/>
        <stp>LAST</stp>
        <stp>EDU</stp>
        <tr r="D36" s="3"/>
      </tp>
      <tp>
        <v>23.34</v>
        <stp/>
        <stp>LAST</stp>
        <stp>BZH</stp>
        <tr r="D84" s="4"/>
      </tp>
      <tp>
        <v>75.36</v>
        <stp/>
        <stp>LAST</stp>
        <stp>BYD</stp>
        <tr r="D47" s="3"/>
      </tp>
      <tp>
        <v>33.130000000000003</v>
        <stp/>
        <stp>LAST</stp>
        <stp>BWA</stp>
        <tr r="D3" s="3"/>
      </tp>
      <tp>
        <v>39.28</v>
        <stp/>
        <stp>LAST</stp>
        <stp>BKE</stp>
        <tr r="D102" s="4"/>
      </tp>
      <tp>
        <v>313.14999999999998</v>
        <stp/>
        <stp>LAST</stp>
        <stp>BLD</stp>
        <tr r="D81" s="3"/>
      </tp>
      <tp>
        <v>41.78</v>
        <stp/>
        <stp>LAST</stp>
        <stp>BBW</stp>
        <tr r="D117" s="4"/>
      </tp>
      <tp>
        <v>73.77</v>
        <stp/>
        <stp>LAST</stp>
        <stp>BBY</stp>
        <tr r="D65" s="2"/>
      </tp>
      <tp>
        <v>6.18</v>
        <stp/>
        <stp>LAST</stp>
        <stp>QVCGB</stp>
        <tr r="D32" s="3"/>
      </tp>
      <tp>
        <v>30.52</v>
        <stp/>
        <stp>LAST</stp>
        <stp>CZR</stp>
        <tr r="D49" s="3"/>
      </tp>
      <tp>
        <v>35.65</v>
        <stp/>
        <stp>LAST</stp>
        <stp>CRI</stp>
        <tr r="D141" s="4"/>
      </tp>
      <tp>
        <v>42.33</v>
        <stp/>
        <stp>LAST</stp>
        <stp>CSV</stp>
        <tr r="D36" s="4"/>
      </tp>
      <tp>
        <v>24.55</v>
        <stp/>
        <stp>LAST</stp>
        <stp>CPS</stp>
        <tr r="D4" s="4"/>
      </tp>
      <tp>
        <v>16.54</v>
        <stp/>
        <stp>LAST</stp>
        <stp>CWH</stp>
        <tr r="D134" s="4"/>
      </tp>
      <tp>
        <v>20.58</v>
        <stp/>
        <stp>LAST</stp>
        <stp>CUK</stp>
        <tr r="D32" s="2"/>
      </tp>
      <tp>
        <v>126.23</v>
        <stp/>
        <stp>LAST</stp>
        <stp>CHH</stp>
        <tr r="D61" s="3"/>
      </tp>
      <tp>
        <v>50.65</v>
        <stp/>
        <stp>LAST</stp>
        <stp>CMG</stp>
        <tr r="D44" s="2"/>
      </tp>
      <tp>
        <v>56.87</v>
        <stp/>
        <stp>LAST</stp>
        <stp>CCS</stp>
        <tr r="D85" s="4"/>
      </tp>
      <tp>
        <v>22.74</v>
        <stp/>
        <stp>LAST</stp>
        <stp>CCL</stp>
        <tr r="D31" s="2"/>
      </tp>
      <tp>
        <v>17.510000000000002</v>
        <stp/>
        <stp>LAST</stp>
        <stp>CAL</stp>
        <tr r="D103" s="4"/>
      </tp>
      <tp>
        <v>3644.75</v>
        <stp/>
        <stp>LAST</stp>
        <stp>AZO</stp>
        <tr r="D73" s="2"/>
      </tp>
      <tp>
        <v>4.72</v>
        <stp/>
        <stp>LAST</stp>
        <stp>AXL</stp>
        <tr r="D3" s="4"/>
      </tp>
      <tp>
        <v>46.54</v>
        <stp/>
        <stp>LAST</stp>
        <stp>ASO</stp>
        <tr r="D106" s="3"/>
      </tp>
      <tp>
        <v>81.41</v>
        <stp/>
        <stp>LAST</stp>
        <stp>ANF</stp>
        <tr r="D101" s="3"/>
      </tp>
      <tp>
        <v>102.11</v>
        <stp/>
        <stp>LAST</stp>
        <stp>ALV</stp>
        <tr r="D2" s="3"/>
      </tp>
      <tp>
        <v>239.82</v>
        <stp/>
        <stp>LAST</stp>
        <stp>ABG</stp>
        <tr r="D110" s="3"/>
      </tp>
      <tp>
        <v>33.229999999999997</v>
        <stp/>
        <stp>LAST</stp>
        <stp>AAP</stp>
        <tr r="D129" s="4"/>
      </tp>
      <tp>
        <v>12.17</v>
        <stp/>
        <stp>LAST</stp>
        <stp>AGS</stp>
        <tr r="D41" s="4"/>
      </tp>
      <tp>
        <v>8.5500000000000007</v>
        <stp/>
        <stp>LAST</stp>
        <stp>ADT</stp>
        <tr r="D43" s="3"/>
      </tp>
      <tp>
        <v>12.72</v>
        <stp/>
        <stp>LAST</stp>
        <stp>AEO</stp>
        <tr r="D101" s="4"/>
      </tp>
      <tp>
        <v>0.158</v>
        <stp/>
        <stp>LAST</stp>
        <stp>PSNYW</stp>
        <tr r="D13" s="4"/>
      </tp>
      <tp>
        <v>7402.64</v>
        <stp/>
        <stp>LAST</stp>
        <stp>NVR</stp>
        <tr r="D59" s="2"/>
      </tp>
      <tp>
        <v>6.06</v>
        <stp/>
        <stp>LAST</stp>
        <stp>NWL</stp>
        <tr r="D93" s="3"/>
      </tp>
      <tp>
        <v>62.39</v>
        <stp/>
        <stp>LAST</stp>
        <stp>NKE</stp>
        <tr r="D85" s="2"/>
      </tp>
      <tp>
        <v>3.55</v>
        <stp/>
        <stp>LAST</stp>
        <stp>NIU</stp>
        <tr r="D15" s="4"/>
      </tp>
      <tp>
        <v>4.12</v>
        <stp/>
        <stp>LAST</stp>
        <stp>NIO</stp>
        <tr r="D19" s="3"/>
      </tp>
      <tp>
        <v>58.47</v>
        <stp/>
        <stp>LAST</stp>
        <stp>OXM</stp>
        <tr r="D148" s="4"/>
      </tp>
      <tp>
        <v>19.440000000000001</v>
        <stp/>
        <stp>LAST</stp>
        <stp>OSW</stp>
        <tr r="D38" s="4"/>
      </tp>
      <tp>
        <v>18.46</v>
        <stp/>
        <stp>LAST</stp>
        <stp>ODP</stp>
        <tr r="D122" s="4"/>
      </tp>
      <tp>
        <v>8.4700000000000006</v>
        <stp/>
        <stp>LAST</stp>
        <stp>TNLIY</stp>
        <tr r="D55" s="4"/>
      </tp>
      <tp>
        <v>43.61</v>
        <stp/>
        <stp>LAST</stp>
        <stp>LZB</stp>
        <tr r="D83" s="4"/>
      </tp>
      <tp>
        <v>153.74</v>
        <stp/>
        <stp>LAST</stp>
        <stp>LRN</stp>
        <tr r="D40" s="3"/>
      </tp>
      <tp>
        <v>42.32</v>
        <stp/>
        <stp>LAST</stp>
        <stp>LVS</stp>
        <tr r="D28" s="2"/>
      </tp>
      <tp>
        <v>29.87</v>
        <stp/>
        <stp>LAST</stp>
        <stp>LTH</stp>
        <tr r="D69" s="3"/>
      </tp>
      <tp>
        <v>42.08</v>
        <stp/>
        <stp>LAST</stp>
        <stp>LKQ</stp>
        <tr r="D21" s="2"/>
      </tp>
      <tp>
        <v>88.69</v>
        <stp/>
        <stp>LAST</stp>
        <stp>LNW</stp>
        <tr r="D52" s="3"/>
      </tp>
      <tp>
        <v>230.77</v>
        <stp/>
        <stp>LAST</stp>
        <stp>LOW</stp>
        <tr r="D68" s="2"/>
      </tp>
      <tp>
        <v>2.14</v>
        <stp/>
        <stp>LAST</stp>
        <stp>LOT</stp>
        <tr r="D12" s="4"/>
      </tp>
      <tp>
        <v>325.57</v>
        <stp/>
        <stp>LAST</stp>
        <stp>LAD</stp>
        <tr r="D113" s="3"/>
      </tp>
      <tp>
        <v>9.58</v>
        <stp/>
        <stp>LAST</stp>
        <stp>LEG</stp>
        <tr r="D81" s="4"/>
      </tp>
      <tp>
        <v>95.54</v>
        <stp/>
        <stp>LAST</stp>
        <stp>LEA</stp>
        <tr r="D10" s="3"/>
      </tp>
      <tp>
        <v>112.37</v>
        <stp/>
        <stp>LAST</stp>
        <stp>LEN</stp>
        <tr r="D58" s="2"/>
      </tp>
      <tp>
        <v>3.35</v>
        <stp/>
        <stp>LAST</stp>
        <stp>MSC</stp>
        <tr r="D47" s="4"/>
      </tp>
      <tp>
        <v>8.61</v>
        <stp/>
        <stp>LAST</stp>
        <stp>MPX</stp>
        <tr r="D96" s="4"/>
      </tp>
      <tp>
        <v>149.34</v>
        <stp/>
        <stp>LAST</stp>
        <stp>MTN</stp>
        <tr r="D70" s="3"/>
      </tp>
      <tp>
        <v>71.069999999999993</v>
        <stp/>
        <stp>LAST</stp>
        <stp>MTH</stp>
        <tr r="D88" s="3"/>
      </tp>
      <tp>
        <v>114.19</v>
        <stp/>
        <stp>LAST</stp>
        <stp>MHO</stp>
        <tr r="D87" s="3"/>
      </tp>
      <tp>
        <v>110.88</v>
        <stp/>
        <stp>LAST</stp>
        <stp>MHK</stp>
        <tr r="D80" s="3"/>
      </tp>
      <tp>
        <v>17.010000000000002</v>
        <stp/>
        <stp>LAST</stp>
        <stp>MOV</stp>
        <tr r="D147" s="4"/>
      </tp>
      <tp>
        <v>104.67</v>
        <stp/>
        <stp>LAST</stp>
        <stp>MOD</stp>
        <tr r="D12" s="3"/>
      </tp>
      <tp>
        <v>7.88</v>
        <stp/>
        <stp>LAST</stp>
        <stp>MCW</stp>
        <tr r="D46" s="3"/>
      </tp>
      <tp>
        <v>308.69</v>
        <stp/>
        <stp>LAST</stp>
        <stp>MCD</stp>
        <tr r="D48" s="2"/>
      </tp>
      <tp>
        <v>19.670000000000002</v>
        <stp/>
        <stp>LAST</stp>
        <stp>MAT</stp>
        <tr r="D98" s="3"/>
      </tp>
      <tp>
        <v>274.14</v>
        <stp/>
        <stp>LAST</stp>
        <stp>MAR</stp>
        <tr r="D37" s="2"/>
      </tp>
      <tp>
        <v>37.130000000000003</v>
        <stp/>
        <stp>LAST</stp>
        <stp>MGA</stp>
        <tr r="D11" s="3"/>
      </tp>
      <tp>
        <v>34.9</v>
        <stp/>
        <stp>LAST</stp>
        <stp>MGM</stp>
        <tr r="D53" s="3"/>
      </tp>
      <tp>
        <v>24.57</v>
        <stp/>
        <stp>LAST</stp>
        <stp>JWN</stp>
        <tr r="D28" s="3"/>
      </tp>
      <tp>
        <v>8.06</v>
        <stp/>
        <stp>LAST</stp>
        <stp>KSS</stp>
        <tr r="D19" s="4"/>
      </tp>
      <tp>
        <v>73.66</v>
        <stp/>
        <stp>LAST</stp>
        <stp>KTB</stp>
        <tr r="D120" s="3"/>
      </tp>
      <tp>
        <v>13.46</v>
        <stp/>
        <stp>LAST</stp>
        <stp>KLC</stp>
        <tr r="D28" s="4"/>
      </tp>
      <tp>
        <v>69.56</v>
        <stp/>
        <stp>LAST</stp>
        <stp>KMX</stp>
        <tr r="D75" s="2"/>
      </tp>
      <tp>
        <v>56</v>
        <stp/>
        <stp>LAST</stp>
        <stp>KBH</stp>
        <tr r="D86" s="3"/>
      </tp>
      <tp>
        <v>23.99</v>
        <stp/>
        <stp>LAST</stp>
        <stp>HZO</stp>
        <tr r="D121" s="4"/>
      </tp>
      <tp>
        <v>56.95</v>
        <stp/>
        <stp>LAST</stp>
        <stp>HRB</stp>
        <tr r="D45" s="3"/>
      </tp>
      <tp>
        <v>20.76</v>
        <stp/>
        <stp>LAST</stp>
        <stp>HVT</stp>
        <tr r="D139" s="4"/>
      </tp>
      <tp>
        <v>112.42</v>
        <stp/>
        <stp>LAST</stp>
        <stp>HOV</stp>
        <tr r="D86" s="4"/>
      </tp>
      <tp>
        <v>25</v>
        <stp/>
        <stp>LAST</stp>
        <stp>HOG</stp>
        <tr r="D24" s="3"/>
      </tp>
      <tp>
        <v>29.63</v>
        <stp/>
        <stp>LAST</stp>
        <stp>HMC</stp>
        <tr r="D6" s="2"/>
      </tp>
      <tp>
        <v>5.38</v>
        <stp/>
        <stp>LAST</stp>
        <stp>HBI</stp>
        <tr r="D145" s="4"/>
      </tp>
      <tp>
        <v>65.83</v>
        <stp/>
        <stp>LAST</stp>
        <stp>HAS</stp>
        <tr r="D97" s="3"/>
      </tp>
      <tp>
        <v>42.16</v>
        <stp/>
        <stp>LAST</stp>
        <stp>HGV</stp>
        <tr r="D63" s="3"/>
      </tp>
      <tp>
        <v>23.62</v>
        <stp/>
        <stp>LAST</stp>
        <stp>HDL</stp>
        <tr r="D67" s="4"/>
      </tp>
      <tp>
        <v>123.75</v>
        <stp/>
        <stp>LAST</stp>
        <stp>IHG</stp>
        <tr r="D36" s="2"/>
      </tp>
      <tp>
        <v>171.2</v>
        <stp/>
        <stp>LAST</stp>
        <stp>IBP</stp>
        <tr r="D85" s="3"/>
      </tp>
      <tp>
        <v>16.190000000000001</v>
        <stp/>
        <stp>LAST</stp>
        <stp>IGT</stp>
        <tr r="D51" s="3"/>
      </tp>
      <tp>
        <v>41.45</v>
        <stp/>
        <stp>LAST</stp>
        <stp>PZZA</stp>
        <tr r="D74" s="4"/>
      </tp>
      <tp>
        <v>190.51</v>
        <stp/>
        <stp>LAST</stp>
        <stp>TXRH</stp>
        <tr r="D51" s="2"/>
      </tp>
      <tp>
        <v>169.37</v>
        <stp/>
        <stp>LAST</stp>
        <stp>EXPE</stp>
        <tr r="D33" s="2"/>
      </tp>
      <tp>
        <v>4.5999999999999996</v>
        <stp/>
        <stp>LAST</stp>
        <stp>UXIN</stp>
        <tr r="D137" s="4"/>
      </tp>
      <tp>
        <v>96.79</v>
        <stp/>
        <stp>LAST</stp>
        <stp>WYNN</stp>
        <tr r="D59" s="3"/>
      </tp>
      <tp>
        <v>67.11</v>
        <stp/>
        <stp>LAST</stp>
        <stp>KRUS</stp>
        <tr r="D69" s="4"/>
      </tp>
      <tp>
        <v>26.45</v>
        <stp/>
        <stp>LAST</stp>
        <stp>GRPN</stp>
        <tr r="D16" s="4"/>
      </tp>
      <tp>
        <v>31.31</v>
        <stp/>
        <stp>LAST</stp>
        <stp>PRDO</stp>
        <tr r="D31" s="4"/>
      </tp>
      <tp>
        <v>18.48</v>
        <stp/>
        <stp>LAST</stp>
        <stp>WRBY</stp>
        <tr r="D128" s="4"/>
      </tp>
      <tp>
        <v>63.04</v>
        <stp/>
        <stp>LAST</stp>
        <stp>GRBK</stp>
        <tr r="D84" s="3"/>
      </tp>
      <tp>
        <v>59.33</v>
        <stp/>
        <stp>LAST</stp>
        <stp>URBN</stp>
        <tr r="D104" s="3"/>
      </tp>
      <tp>
        <v>6.25</v>
        <stp/>
        <stp>LAST</stp>
        <stp>CRCT</stp>
        <tr r="D90" s="4"/>
      </tp>
      <tp>
        <v>8.16</v>
        <stp/>
        <stp>LAST</stp>
        <stp>ARCO</stp>
        <tr r="D59" s="4"/>
      </tp>
      <tp>
        <v>23.33</v>
        <stp/>
        <stp>LAST</stp>
        <stp>SRAD</stp>
        <tr r="D58" s="3"/>
      </tp>
      <tp>
        <v>70.23</v>
        <stp/>
        <stp>LAST</stp>
        <stp>BROS</stp>
        <tr r="D73" s="3"/>
      </tp>
      <tp>
        <v>120.26</v>
        <stp/>
        <stp>LAST</stp>
        <stp>CROX</stp>
        <tr r="D128" s="3"/>
      </tp>
      <tp>
        <v>1320.8</v>
        <stp/>
        <stp>LAST</stp>
        <stp>ORLY</stp>
        <tr r="D77" s="2"/>
      </tp>
      <tp>
        <v>52.75</v>
        <stp/>
        <stp>LAST</stp>
        <stp>CRMT</stp>
        <tr r="D133" s="4"/>
      </tp>
      <tp>
        <v>39.32</v>
        <stp/>
        <stp>LAST</stp>
        <stp>ARMK</stp>
        <tr r="D42" s="2"/>
      </tp>
      <tp>
        <v>200.44</v>
        <stp/>
        <stp>LAST</stp>
        <stp>GRMN</stp>
        <tr r="D54" s="2"/>
      </tp>
      <tp>
        <v>49.24</v>
        <stp/>
        <stp>LAST</stp>
        <stp>PRKS</stp>
        <tr r="D72" s="3"/>
      </tp>
      <tp>
        <v>5.26</v>
        <stp/>
        <stp>LAST</stp>
        <stp>ARKO</stp>
        <tr r="D130" s="4"/>
      </tp>
      <tp>
        <v>8.7200000000000006</v>
        <stp/>
        <stp>LAST</stp>
        <stp>ARHS</stp>
        <tr r="D138" s="4"/>
      </tp>
      <tp>
        <v>4.08</v>
        <stp/>
        <stp>LAST</stp>
        <stp>VSTA</stp>
        <tr r="D35" s="4"/>
      </tp>
      <tp>
        <v>22.74</v>
        <stp/>
        <stp>LAST</stp>
        <stp>VSCO</stp>
        <tr r="D113" s="4"/>
      </tp>
      <tp>
        <v>52.31</v>
        <stp/>
        <stp>LAST</stp>
        <stp>TSCO</stp>
        <tr r="D71" s="2"/>
      </tp>
      <tp>
        <v>18.34</v>
        <stp/>
        <stp>LAST</stp>
        <stp>HSAI</stp>
        <tr r="D8" s="3"/>
      </tp>
      <tp>
        <v>1.04</v>
        <stp/>
        <stp>LAST</stp>
        <stp>PSNY</stp>
        <tr r="D20" s="3"/>
      </tp>
      <tp>
        <v>334.07</v>
        <stp/>
        <stp>LAST</stp>
        <stp>TSLA</stp>
        <tr r="D11" s="2"/>
      </tp>
      <tp>
        <v>68.790000000000006</v>
        <stp/>
        <stp>LAST</stp>
        <stp>APTV</stp>
        <tr r="D2" s="2"/>
      </tp>
      <tp>
        <v>18.71</v>
        <stp/>
        <stp>LAST</stp>
        <stp>CPRI</stp>
        <tr r="D140" s="4"/>
      </tp>
      <tp>
        <v>20.77</v>
        <stp/>
        <stp>LAST</stp>
        <stp>XPEV</stp>
        <tr r="D12" s="2"/>
      </tp>
      <tp>
        <v>27.57</v>
        <stp/>
        <stp>LAST</stp>
        <stp>APEI</stp>
        <tr r="D24" s="4"/>
      </tp>
      <tp>
        <v>38.85</v>
        <stp/>
        <stp>LAST</stp>
        <stp>XPEL</stp>
        <tr r="D11" s="4"/>
      </tp>
      <tp>
        <v>25.37</v>
        <stp/>
        <stp>LAST</stp>
        <stp>UPBD</stp>
        <tr r="D125" s="4"/>
      </tp>
      <tp>
        <v>26.56</v>
        <stp/>
        <stp>LAST</stp>
        <stp>CPNG</stp>
        <tr r="D15" s="2"/>
      </tp>
      <tp>
        <v>9.42</v>
        <stp/>
        <stp>LAST</stp>
        <stp>XPOF</stp>
        <tr r="D58" s="4"/>
      </tp>
      <tp>
        <v>14.06</v>
        <stp/>
        <stp>LAST</stp>
        <stp>EVRI</stp>
        <tr r="D44" s="4"/>
      </tp>
      <tp>
        <v>3.64</v>
        <stp/>
        <stp>LAST</stp>
        <stp>EVGO</stp>
        <tr r="D135" s="4"/>
      </tp>
      <tp>
        <v>527.98</v>
        <stp/>
        <stp>LAST</stp>
        <stp>CVCO</stp>
        <tr r="D82" s="3"/>
      </tp>
      <tp>
        <v>293.06</v>
        <stp/>
        <stp>LAST</stp>
        <stp>CVNA</stp>
        <tr r="D74" s="2"/>
      </tp>
      <tp>
        <v>20.32</v>
        <stp/>
        <stp>LAST</stp>
        <stp>RVLV</stp>
        <tr r="D109" s="4"/>
      </tp>
      <tp>
        <v>16.98</v>
        <stp/>
        <stp>LAST</stp>
        <stp>FWRG</stp>
        <tr r="D66" s="4"/>
      </tp>
      <tp>
        <v>9.6999999999999993</v>
        <stp/>
        <stp>LAST</stp>
        <stp>SWBI</stp>
        <tr r="D99" s="4"/>
      </tp>
      <tp>
        <v>7.05</v>
        <stp/>
        <stp>LAST</stp>
        <stp>TWNP</stp>
        <tr r="D77" s="4"/>
      </tp>
      <tp>
        <v>9.5</v>
        <stp/>
        <stp>LAST</stp>
        <stp>BWMX</stp>
        <tr r="D116" s="4"/>
      </tp>
      <tp>
        <v>6.76</v>
        <stp/>
        <stp>LAST</stp>
        <stp>SWIM</stp>
        <tr r="D100" s="4"/>
      </tp>
      <tp>
        <v>89.26</v>
        <stp/>
        <stp>LAST</stp>
        <stp>STRA</stp>
        <tr r="D41" s="3"/>
      </tp>
      <tp>
        <v>46.77</v>
        <stp/>
        <stp>LAST</stp>
        <stp>ETSY</stp>
        <tr r="D26" s="3"/>
      </tp>
      <tp>
        <v>127.55</v>
        <stp/>
        <stp>LAST</stp>
        <stp>ATGE</stp>
        <tr r="D34" s="3"/>
      </tp>
      <tp>
        <v>54.27</v>
        <stp/>
        <stp>LAST</stp>
        <stp>FTDR</stp>
        <tr r="D44" s="3"/>
      </tp>
      <tp>
        <v>20.27</v>
        <stp/>
        <stp>LAST</stp>
        <stp>NTCL</stp>
        <tr r="D30" s="4"/>
      </tp>
      <tp>
        <v>29.62</v>
        <stp/>
        <stp>LAST</stp>
        <stp>ATAT</stp>
        <tr r="D60" s="3"/>
      </tp>
      <tp>
        <v>6.81</v>
        <stp/>
        <stp>LAST</stp>
        <stp>PTON</stp>
        <tr r="D99" s="3"/>
      </tp>
      <tp>
        <v>10.96</v>
        <stp/>
        <stp>LAST</stp>
        <stp>STLA</stp>
        <tr r="D9" s="2"/>
      </tp>
      <tp>
        <v>12.3</v>
        <stp/>
        <stp>LAST</stp>
        <stp>PTLO</stp>
        <tr r="D73" s="4"/>
      </tp>
      <tp>
        <v>37.92</v>
        <stp/>
        <stp>LAST</stp>
        <stp>HTHT</stp>
        <tr r="D35" s="2"/>
      </tp>
      <tp>
        <v>5.74</v>
        <stp/>
        <stp>LAST</stp>
        <stp>CURV</stp>
        <tr r="D104" s="4"/>
      </tp>
      <tp>
        <v>261.41000000000003</v>
        <stp/>
        <stp>LAST</stp>
        <stp>BURL</stp>
        <tr r="D62" s="2"/>
      </tp>
      <tp>
        <v>435.38</v>
        <stp/>
        <stp>LAST</stp>
        <stp>MUSA</stp>
        <tr r="D76" s="2"/>
      </tp>
      <tp>
        <v>8.9</v>
        <stp/>
        <stp>LAST</stp>
        <stp>LUXE</stp>
        <tr r="D107" s="4"/>
      </tp>
      <tp>
        <v>9.16</v>
        <stp/>
        <stp>LAST</stp>
        <stp>LUCK</stp>
        <tr r="D56" s="4"/>
      </tp>
      <tp>
        <v>531.46</v>
        <stp/>
        <stp>LAST</stp>
        <stp>DUOL</stp>
        <tr r="D23" s="2"/>
      </tp>
      <tp>
        <v>310.61</v>
        <stp/>
        <stp>LAST</stp>
        <stp>LULU</stp>
        <tr r="D81" s="2"/>
      </tp>
      <tp>
        <v>46.09</v>
        <stp/>
        <stp>LAST</stp>
        <stp>YUMC</stp>
        <tr r="D53" s="2"/>
      </tp>
      <tp>
        <v>42.84</v>
        <stp/>
        <stp>LAST</stp>
        <stp>BJRI</stp>
        <tr r="D61" s="4"/>
      </tp>
      <tp>
        <v>37.68</v>
        <stp/>
        <stp>LAST</stp>
        <stp>DKNG</stp>
        <tr r="D26" s="2"/>
      </tp>
      <tp>
        <v>5262.42</v>
        <stp/>
        <stp>LAST</stp>
        <stp>BKNG</stp>
        <tr r="D30" s="2"/>
      </tp>
      <tp>
        <v>39.49</v>
        <stp/>
        <stp>LAST</stp>
        <stp>CHWY</stp>
        <tr r="D69" s="2"/>
      </tp>
      <tp>
        <v>28.32</v>
        <stp/>
        <stp>LAST</stp>
        <stp>THRM</stp>
        <tr r="D10" s="4"/>
      </tp>
      <tp>
        <v>98.36</v>
        <stp/>
        <stp>LAST</stp>
        <stp>CHDN</stp>
        <tr r="D48" s="3"/>
      </tp>
      <tp>
        <v>6.26</v>
        <stp/>
        <stp>LAST</stp>
        <stp>SHCO</stp>
        <tr r="D53" s="4"/>
      </tp>
      <tp>
        <v>113.94</v>
        <stp/>
        <stp>LAST</stp>
        <stp>SHAK</stp>
        <tr r="D77" s="3"/>
      </tp>
      <tp>
        <v>26.75</v>
        <stp/>
        <stp>LAST</stp>
        <stp>SHOO</stp>
        <tr r="D149" s="4"/>
      </tp>
      <tp>
        <v>44.8</v>
        <stp/>
        <stp>LAST</stp>
        <stp>PHIN</stp>
        <tr r="D8" s="4"/>
      </tp>
      <tp>
        <v>101.69</v>
        <stp/>
        <stp>LAST</stp>
        <stp>FIVE</stp>
        <tr r="D108" s="3"/>
      </tp>
      <tp>
        <v>14.87</v>
        <stp/>
        <stp>LAST</stp>
        <stp>RIVN</stp>
        <tr r="D8" s="2"/>
      </tp>
      <tp>
        <v>54.08</v>
        <stp/>
        <stp>LAST</stp>
        <stp>BIRK</stp>
        <tr r="D127" s="3"/>
      </tp>
      <tp>
        <v>14.84</v>
        <stp/>
        <stp>LAST</stp>
        <stp>VIPS</stp>
        <tr r="D33" s="3"/>
      </tp>
      <tp>
        <v>4.5999999999999996</v>
        <stp/>
        <stp>LAST</stp>
        <stp>FIGS</stp>
        <tr r="D142" s="4"/>
      </tp>
      <tp>
        <v>44.99</v>
        <stp/>
        <stp>LAST</stp>
        <stp>RICK</stp>
        <tr r="D75" s="4"/>
      </tp>
      <tp>
        <v>20.64</v>
        <stp/>
        <stp>LAST</stp>
        <stp>LINC</stp>
        <tr r="D29" s="4"/>
      </tp>
      <tp>
        <v>412.61</v>
        <stp/>
        <stp>LAST</stp>
        <stp>WINA</stp>
        <tr r="D126" s="4"/>
      </tp>
      <tp>
        <v>286.3</v>
        <stp/>
        <stp>LAST</stp>
        <stp>WING</stp>
        <tr r="D79" s="3"/>
      </tp>
      <tp>
        <v>10.55</v>
        <stp/>
        <stp>LAST</stp>
        <stp>LIND</stp>
        <tr r="D50" s="4"/>
      </tp>
      <tp>
        <v>28.14</v>
        <stp/>
        <stp>LAST</stp>
        <stp>GIII</stp>
        <tr r="D143" s="4"/>
      </tp>
      <tp>
        <v>23.15</v>
        <stp/>
        <stp>LAST</stp>
        <stp>GNTX</stp>
        <tr r="D6" s="3"/>
      </tp>
      <tp>
        <v>3.21</v>
        <stp/>
        <stp>LAST</stp>
        <stp>DNUT</stp>
        <tr r="D65" s="4"/>
      </tp>
      <tp>
        <v>12.78</v>
        <stp/>
        <stp>LAST</stp>
        <stp>MNRO</stp>
        <tr r="D136" s="4"/>
      </tp>
      <tp>
        <v>19.84</v>
        <stp/>
        <stp>LAST</stp>
        <stp>MNSO</stp>
        <tr r="D30" s="3"/>
      </tp>
      <tp>
        <v>10.81</v>
        <stp/>
        <stp>LAST</stp>
        <stp>BNED</stp>
        <tr r="D118" s="4"/>
      </tp>
      <tp>
        <v>57.38</v>
        <stp/>
        <stp>LAST</stp>
        <stp>ONON</stp>
        <tr r="D86" s="2"/>
      </tp>
      <tp>
        <v>21.34</v>
        <stp/>
        <stp>LAST</stp>
        <stp>LOVE</stp>
        <tr r="D82" s="4"/>
      </tp>
      <tp>
        <v>3.72</v>
        <stp/>
        <stp>LAST</stp>
        <stp>GOTU</stp>
        <tr r="D27" s="4"/>
      </tp>
      <tp>
        <v>9.09</v>
        <stp/>
        <stp>LAST</stp>
        <stp>COUR</stp>
        <tr r="D25" s="4"/>
      </tp>
      <tp>
        <v>27.29</v>
        <stp/>
        <stp>LAST</stp>
        <stp>JOUT</stp>
        <tr r="D92" s="4"/>
      </tp>
      <tp>
        <v>130.91</v>
        <stp/>
        <stp>LAST</stp>
        <stp>DORM</stp>
        <tr r="D5" s="3"/>
      </tp>
      <tp>
        <v>149.33000000000001</v>
        <stp/>
        <stp>LAST</stp>
        <stp>ROST</stp>
        <tr r="D63" s="2"/>
      </tp>
      <tp>
        <v>195.09</v>
        <stp/>
        <stp>LAST</stp>
        <stp>LOPE</stp>
        <tr r="D39" s="3"/>
      </tp>
      <tp>
        <v>26.33</v>
        <stp/>
        <stp>LAST</stp>
        <stp>FOXF</stp>
        <tr r="D6" s="4"/>
      </tp>
      <tp>
        <v>6.55</v>
        <stp/>
        <stp>LAST</stp>
        <stp>MODG</stp>
        <tr r="D95" s="4"/>
      </tp>
      <tp>
        <v>9.44</v>
        <stp/>
        <stp>LAST</stp>
        <stp>LOCO</stp>
        <tr r="D70" s="4"/>
      </tp>
      <tp>
        <v>24.54</v>
        <stp/>
        <stp>LAST</stp>
        <stp>SONY</stp>
        <tr r="D55" s="2"/>
      </tp>
      <tp>
        <v>11.24</v>
        <stp/>
        <stp>LAST</stp>
        <stp>SONO</stp>
        <tr r="D79" s="4"/>
      </tp>
      <tp>
        <v>9.19</v>
        <stp/>
        <stp>LAST</stp>
        <stp>GOOS</stp>
        <tr r="D144" s="4"/>
      </tp>
      <tp>
        <v>135.1</v>
        <stp/>
        <stp>LAST</stp>
        <stp>BOOT</stp>
        <tr r="D102" s="3"/>
      </tp>
      <tp>
        <v>3.21</v>
        <stp/>
        <stp>LAST</stp>
        <stp>WOOF</stp>
        <tr r="D127" s="4"/>
      </tp>
      <tp>
        <v>37.659999999999997</v>
        <stp/>
        <stp>LAST</stp>
        <stp>DOOO</stp>
        <tr r="D95" s="3"/>
      </tp>
      <tp>
        <v>313.83999999999997</v>
        <stp/>
        <stp>LAST</stp>
        <stp>POOL</stp>
        <tr r="D22" s="2"/>
      </tp>
      <tp>
        <v>70.28</v>
        <stp/>
        <stp>LAST</stp>
        <stp>GOLF</stp>
        <tr r="D96" s="3"/>
      </tp>
      <tp>
        <v>68.63</v>
        <stp/>
        <stp>LAST</stp>
        <stp>COLM</stp>
        <tr r="D118" s="3"/>
      </tp>
      <tp>
        <v>5.24</v>
        <stp/>
        <stp>LAST</stp>
        <stp>FLWS</stp>
        <tr r="D120" s="4"/>
      </tp>
      <tp>
        <v>412.23</v>
        <stp/>
        <stp>LAST</stp>
        <stp>ULTA</stp>
        <tr r="D72" s="2"/>
      </tp>
      <tp>
        <v>241.84</v>
        <stp/>
        <stp>LAST</stp>
        <stp>FLUT</stp>
        <tr r="D27" s="2"/>
      </tp>
      <tp>
        <v>13.43</v>
        <stp/>
        <stp>LAST</stp>
        <stp>PLYA</stp>
        <tr r="D51" s="4"/>
      </tp>
      <tp>
        <v>42.39</v>
        <stp/>
        <stp>LAST</stp>
        <stp>GLBE</stp>
        <tr r="D27" s="3"/>
      </tp>
      <tp>
        <v>6.28</v>
        <stp/>
        <stp>LAST</stp>
        <stp>MLCO</stp>
        <tr r="D54" s="3"/>
      </tp>
      <tp>
        <v>21.49</v>
        <stp/>
        <stp>LAST</stp>
        <stp>PLAY</stp>
        <tr r="D57" s="4"/>
      </tp>
      <tp>
        <v>93.83</v>
        <stp/>
        <stp>LAST</stp>
        <stp>PLNT</stp>
        <tr r="D71" s="3"/>
      </tp>
      <tp>
        <v>113.94</v>
        <stp/>
        <stp>LAST</stp>
        <stp>OLLI</stp>
        <tr r="D31" s="3"/>
      </tp>
      <tp>
        <v>8.43</v>
        <stp/>
        <stp>LAST</stp>
        <stp>BLMN</stp>
        <tr r="D62" s="4"/>
      </tp>
      <tp>
        <v>22.6</v>
        <stp/>
        <stp>LAST</stp>
        <stp>AMRK</stp>
        <tr r="D21" s="4"/>
      </tp>
      <tp>
        <v>211.37</v>
        <stp/>
        <stp>LAST</stp>
        <stp>AMZN</stp>
        <tr r="D13" s="2"/>
      </tp>
      <tp>
        <v>106.59</v>
        <stp/>
        <stp>LAST</stp>
        <stp>MMYT</stp>
        <tr r="D38" s="2"/>
      </tp>
      <tp>
        <v>61.23</v>
        <stp/>
        <stp>LAST</stp>
        <stp>TMHC</stp>
        <tr r="D90" s="3"/>
      </tp>
      <tp>
        <v>3.45</v>
        <stp/>
        <stp>LAST</stp>
        <stp>JMIA</stp>
        <tr r="D18" s="4"/>
      </tp>
      <tp>
        <v>33.67</v>
        <stp/>
        <stp>LAST</stp>
        <stp>BBWI</stp>
        <tr r="D107" s="3"/>
      </tp>
      <tp>
        <v>6.24</v>
        <stp/>
        <stp>LAST</stp>
        <stp>GBTG</stp>
        <tr r="D62" s="3"/>
      </tp>
      <tp>
        <v>32.49</v>
        <stp/>
        <stp>LAST</stp>
        <stp>MBUU</stp>
        <tr r="D93" s="4"/>
      </tp>
      <tp>
        <v>86.88</v>
        <stp/>
        <stp>LAST</stp>
        <stp>SBUX</stp>
        <tr r="D50" s="2"/>
      </tp>
      <tp>
        <v>54.19</v>
        <stp/>
        <stp>LAST</stp>
        <stp>CBRL</stp>
        <tr r="D63" s="4"/>
      </tp>
      <tp>
        <v>10.31</v>
        <stp/>
        <stp>LAST</stp>
        <stp>PBPB</stp>
        <tr r="D72" s="4"/>
      </tp>
      <tp>
        <v>69.17</v>
        <stp/>
        <stp>LAST</stp>
        <stp>EBAY</stp>
        <tr r="D16" s="2"/>
      </tp>
      <tp>
        <v>138.05000000000001</v>
        <stp/>
        <stp>LAST</stp>
        <stp>ABNB</stp>
        <tr r="D29" s="2"/>
      </tp>
      <tp>
        <v>16.940000000000001</v>
        <stp/>
        <stp>LAST</stp>
        <stp>MBLY</stp>
        <tr r="D3" s="2"/>
      </tp>
      <tp>
        <v>19.43</v>
        <stp/>
        <stp>LAST</stp>
        <stp>SCVL</stp>
        <tr r="D110" s="4"/>
      </tp>
      <tp>
        <v>82.3</v>
        <stp/>
        <stp>LAST</stp>
        <stp>MCRI</stp>
        <tr r="D46" s="4"/>
      </tp>
      <tp>
        <v>17.54</v>
        <stp/>
        <stp>LAST</stp>
        <stp>MCFT</stp>
        <tr r="D94" s="4"/>
      </tp>
      <tp>
        <v>11.83</v>
        <stp/>
        <stp>LAST</stp>
        <stp>ACEL</stp>
        <tr r="D40" s="4"/>
      </tp>
      <tp>
        <v>66.239999999999995</v>
        <stp/>
        <stp>LAST</stp>
        <stp>TCOM</stp>
        <tr r="D40" s="2"/>
      </tp>
      <tp>
        <v>19.34</v>
        <stp/>
        <stp>LAST</stp>
        <stp>NCLH</stp>
        <tr r="D64" s="3"/>
      </tp>
      <tp>
        <v>2.65</v>
        <stp/>
        <stp>LAST</stp>
        <stp>LCID</stp>
        <tr r="D18" s="3"/>
      </tp>
      <tp>
        <v>90.99</v>
        <stp/>
        <stp>LAST</stp>
        <stp>LCII</stp>
        <tr r="D9" s="3"/>
      </tp>
      <tp>
        <v>99.7</v>
        <stp/>
        <stp>LAST</stp>
        <stp>CAVA</stp>
        <tr r="D43" s="2"/>
      </tp>
      <tp>
        <v>21.22</v>
        <stp/>
        <stp>LAST</stp>
        <stp>MATW</stp>
        <tr r="D37" s="4"/>
      </tp>
      <tp>
        <v>89.81</v>
        <stp/>
        <stp>LAST</stp>
        <stp>PATK</stp>
        <tr r="D13" s="3"/>
      </tp>
      <tp>
        <v>102</v>
        <stp/>
        <stp>LAST</stp>
        <stp>NATH</stp>
        <tr r="D71" s="4"/>
      </tp>
      <tp>
        <v>22.47</v>
        <stp/>
        <stp>LAST</stp>
        <stp>LAUR</stp>
        <tr r="D38" s="3"/>
      </tp>
      <tp>
        <v>197.8</v>
        <stp/>
        <stp>LAST</stp>
        <stp>DASH</stp>
        <tr r="D45" s="2"/>
      </tp>
      <tp>
        <v>2.94</v>
        <stp/>
        <stp>LAST</stp>
        <stp>SABR</stp>
        <tr r="D52" s="4"/>
      </tp>
      <tp>
        <v>131.65</v>
        <stp/>
        <stp>LAST</stp>
        <stp>BABA</stp>
        <tr r="D14" s="2"/>
      </tp>
      <tp>
        <v>26.07</v>
        <stp/>
        <stp>LAST</stp>
        <stp>JACK</stp>
        <tr r="D68" s="4"/>
      </tp>
      <tp>
        <v>2.42</v>
        <stp/>
        <stp>LAST</stp>
        <stp>LANV</stp>
        <tr r="D146" s="4"/>
      </tp>
      <tp>
        <v>4.3600000000000003</v>
        <stp/>
        <stp>LAST</stp>
        <stp>CANG</stp>
        <tr r="D132" s="4"/>
      </tp>
      <tp>
        <v>10.85</v>
        <stp/>
        <stp>LAST</stp>
        <stp>BALY</stp>
        <tr r="D42" s="4"/>
      </tp>
      <tp>
        <v>53.78</v>
        <stp/>
        <stp>LAST</stp>
        <stp>CAKE</stp>
        <tr r="D74" s="3"/>
      </tp>
      <tp>
        <v>19.22</v>
        <stp/>
        <stp>LAST</stp>
        <stp>AFYA</stp>
        <tr r="D23" s="4"/>
      </tp>
      <tp>
        <v>121.37</v>
        <stp/>
        <stp>LAST</stp>
        <stp>BFAM</stp>
        <tr r="D35" s="3"/>
      </tp>
      <tp>
        <v>4.4400000000000004</v>
        <stp/>
        <stp>LAST</stp>
        <stp>SFIX</stp>
        <tr r="D111" s="4"/>
      </tp>
      <tp>
        <v>8.65</v>
        <stp/>
        <stp>LAST</stp>
        <stp>SGHC</stp>
        <tr r="D57" s="3"/>
      </tp>
      <tp>
        <v>59.58</v>
        <stp/>
        <stp>LAST</stp>
        <stp>LGIH</stp>
        <tr r="D88" s="4"/>
      </tp>
      <tp>
        <v>6.3</v>
        <stp/>
        <stp>LAST</stp>
        <stp>TDUP</stp>
        <tr r="D112" s="4"/>
      </tp>
      <tp>
        <v>8.25</v>
        <stp/>
        <stp>LAST</stp>
        <stp>CDRO</stp>
        <tr r="D43" s="4"/>
      </tp>
      <tp>
        <v>29.42</v>
        <stp/>
        <stp>LAST</stp>
        <stp>GDEN</stp>
        <tr r="D45" s="4"/>
      </tp>
      <tp>
        <v>15.9</v>
        <stp/>
        <stp>LAST</stp>
        <stp>ADNT</stp>
        <tr r="D2" s="4"/>
      </tp>
      <tp>
        <v>7.14</v>
        <stp/>
        <stp>LAST</stp>
        <stp>UDMY</stp>
        <tr r="D33" s="4"/>
      </tp>
      <tp>
        <v>20.77</v>
        <stp/>
        <stp>LAST</stp>
        <stp>SDHC</stp>
        <tr r="D89" s="4"/>
      </tp>
      <tp>
        <v>17.8</v>
        <stp/>
        <stp>LAST</stp>
        <stp>LEVI</stp>
        <tr r="D121" s="3"/>
      </tp>
      <tp>
        <v>31.67</v>
        <stp/>
        <stp>LAST</stp>
        <stp>YETI</stp>
        <tr r="D100" s="3"/>
      </tp>
      <tp>
        <v>8.9</v>
        <stp/>
        <stp>LAST</stp>
        <stp>SERV</stp>
        <tr r="D76" s="4"/>
      </tp>
      <tp>
        <v>2.66</v>
        <stp/>
        <stp>LAST</stp>
        <stp>RERE</stp>
        <tr r="D115" s="4"/>
      </tp>
      <tp>
        <v>19.47</v>
        <stp/>
        <stp>LAST</stp>
        <stp>DESP</stp>
        <tr r="D49" s="4"/>
      </tp>
      <tp>
        <v>2.78</v>
        <stp/>
        <stp>LAST</stp>
        <stp>HEPS</stp>
        <tr r="D17" s="4"/>
      </tp>
      <tp>
        <v>32.130000000000003</v>
        <stp/>
        <stp>LAST</stp>
        <stp>WEYS</stp>
        <tr r="D22" s="4"/>
      </tp>
      <tp>
        <v>23.54</v>
        <stp/>
        <stp>LAST</stp>
        <stp>LEGH</stp>
        <tr r="D87" s="4"/>
      </tp>
      <tp>
        <v>129.37</v>
        <stp/>
        <stp>LAST</stp>
        <stp>DECK</stp>
        <tr r="D84" s="2"/>
      </tp>
      <tp>
        <v>5.5</v>
        <stp/>
        <stp>LAST</stp>
        <stp>REAL</stp>
        <tr r="D108" s="4"/>
      </tp>
      <tp>
        <v>7.76</v>
        <stp/>
        <stp>LAST</stp>
        <stp>VENU</stp>
        <tr r="D78" s="4"/>
      </tp>
      <tp>
        <v>10.35</v>
        <stp/>
        <stp>LAST</stp>
        <stp>GENI</stp>
        <tr r="D50" s="3"/>
      </tp>
      <tp>
        <v>16.16</v>
        <stp/>
        <stp>LAST</stp>
        <stp>PENN</stp>
        <tr r="D55" s="3"/>
      </tp>
      <tp>
        <v>31.78</v>
        <stp/>
        <stp>LAST</stp>
        <stp>HELE</stp>
        <tr r="D91" s="4"/>
      </tp>
      <tp>
        <v>2515.12</v>
        <stp/>
        <stp>LAST</stp>
        <stp>MELI</stp>
        <tr r="D18" s="2"/>
      </tp>
      <tp>
        <v>88.98</v>
        <stp/>
        <stp>LAST</stp>
        <stp>VC</stp>
        <tr r="D15" s="3"/>
      </tp>
      <tp>
        <v>87.79</v>
        <stp/>
        <stp>LAST</stp>
        <stp>WH</stp>
        <tr r="D67" s="3"/>
      </tp>
      <tp>
        <v>6.99</v>
        <stp/>
        <stp>LAST</stp>
        <stp>TH</stp>
        <tr r="D54" s="4"/>
      </tp>
      <tp>
        <v>193.97</v>
        <stp/>
        <stp>LAST</stp>
        <stp>TM</stp>
        <tr r="D10" s="2"/>
      </tp>
      <tp>
        <v>5.99</v>
        <stp/>
        <stp>LAST</stp>
        <stp>UA</stp>
        <tr r="D123" s="3"/>
      </tp>
      <tp>
        <v>225.67</v>
        <stp/>
        <stp>LAST</stp>
        <stp>RH</stp>
        <tr r="D116" s="3"/>
      </tp>
      <tp>
        <v>269.79000000000002</v>
        <stp/>
        <stp>LAST</stp>
        <stp>RL</stp>
        <tr r="D82" s="2"/>
      </tp>
      <tp>
        <v>15.79</v>
        <stp/>
        <stp>LAST</stp>
        <stp>SG</stp>
        <tr r="D76" s="3"/>
      </tp>
      <tp>
        <v>4.3099999999999996</v>
        <stp/>
        <stp>LAST</stp>
        <stp>QS</stp>
        <tr r="D14" s="3"/>
      </tp>
      <tp>
        <v>28.6</v>
        <stp/>
        <stp>LAST</stp>
        <stp>ZK</stp>
        <tr r="D23" s="3"/>
      </tp>
      <tp>
        <v>13.31</v>
        <stp/>
        <stp>LAST</stp>
        <stp>FL</stp>
        <tr r="D105" s="4"/>
      </tp>
      <tp>
        <v>11.29</v>
        <stp/>
        <stp>LAST</stp>
        <stp>GT</stp>
        <tr r="D17" s="3"/>
      </tp>
      <tp>
        <v>50.46</v>
        <stp/>
        <stp>LAST</stp>
        <stp>GM</stp>
        <tr r="D5" s="2"/>
      </tp>
      <tp>
        <v>1.0900000000000001</v>
        <stp/>
        <stp>LAST</stp>
        <stp>EM</stp>
        <tr r="D114" s="4"/>
      </tp>
      <tp>
        <v>237.4</v>
        <stp/>
        <stp>LAST</stp>
        <stp>BH</stp>
        <tr r="D60" s="4"/>
      </tp>
      <tp>
        <v>52.26</v>
        <stp/>
        <stp>LAST</stp>
        <stp>BC</stp>
        <tr r="D94" s="3"/>
      </tp>
      <tp>
        <v>31.2</v>
        <stp/>
        <stp>LAST</stp>
        <stp>AS</stp>
        <tr r="D80" s="2"/>
      </tp>
      <tp>
        <v>190.77</v>
        <stp/>
        <stp>LAST</stp>
        <stp>AN</stp>
        <tr r="D111" s="3"/>
      </tp>
      <tp>
        <v>27.96</v>
        <stp/>
        <stp>LAST</stp>
        <stp>LI</stp>
        <tr r="D7" s="2"/>
      </tp>
      <tp>
        <v>37.25</v>
        <stp/>
        <stp>LAST</stp>
        <stp>JD</stp>
        <tr r="D17" s="2"/>
      </tp>
      <tp>
        <v>373.6</v>
        <stp/>
        <stp>LAST</stp>
        <stp>HD</stp>
        <tr r="D67" s="2"/>
      </tp>
      <tp>
        <v>39.01</v>
        <stp/>
        <stp>LAST</stp>
        <stp>W</stp>
        <tr r="D117" s="3"/>
      </tp>
      <tp>
        <v>10.6</v>
        <stp/>
        <stp>LAST</stp>
        <stp>F</stp>
        <tr r="D4" s="2"/>
      </tp>
      <tp>
        <v>12.42</v>
        <stp/>
        <stp>LAST</stp>
        <stp>M</stp>
        <tr r="D29" s="3"/>
      </tp>
      <tp>
        <v>136.5</v>
        <stp/>
        <stp>LAST</stp>
        <stp>H</stp>
        <tr r="D3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5142013889" createdVersion="8" refreshedVersion="8" minRefreshableVersion="3" recordCount="85" xr:uid="{3432845B-C090-4238-AA0B-FA56B072311B}">
  <cacheSource type="worksheet">
    <worksheetSource name="Main_L"/>
  </cacheSource>
  <cacheFields count="26">
    <cacheField name="Industry" numFmtId="0">
      <sharedItems count="58">
        <s v="Automobile Components"/>
        <s v="Automobiles"/>
        <s v="Broadline Retail"/>
        <s v="Distributors"/>
        <s v="Diversified Consumer Services"/>
        <s v="Hotels, Restaurants &amp; Leisure"/>
        <s v="Household Durables"/>
        <s v="Specialty Retail"/>
        <s v="Textiles, Apparel &amp; Luxury Good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21" maxValue="2003412"/>
    </cacheField>
    <cacheField name="Current Price" numFmtId="0">
      <sharedItems containsSemiMixedTypes="0" containsString="0" containsNumber="1" minValue="10.6" maxValue="7402.64"/>
    </cacheField>
    <cacheField name="Free CF" numFmtId="0">
      <sharedItems containsSemiMixedTypes="0" containsString="0" containsNumber="1" minValue="-2.82" maxValue="432.61"/>
    </cacheField>
    <cacheField name="BVPS" numFmtId="0">
      <sharedItems containsSemiMixedTypes="0" containsString="0" containsNumber="1" minValue="-266.18" maxValue="1343.02"/>
    </cacheField>
    <cacheField name="EPS" numFmtId="0">
      <sharedItems containsSemiMixedTypes="0" containsString="0" containsNumber="1" minValue="-4.6900000000000004" maxValue="486.51"/>
    </cacheField>
    <cacheField name="P/FCF" numFmtId="2">
      <sharedItems containsSemiMixedTypes="0" containsString="0" containsNumber="1" minValue="-968.18518518518522" maxValue="216.7391304347826"/>
    </cacheField>
    <cacheField name="P/B" numFmtId="2">
      <sharedItems containsSemiMixedTypes="0" containsString="0" containsNumber="1" minValue="-92.4" maxValue="62.682539682539684"/>
    </cacheField>
    <cacheField name="ROE" numFmtId="0">
      <sharedItems containsSemiMixedTypes="0" containsString="0" containsNumber="1" minValue="-193.39" maxValue="385.37"/>
    </cacheField>
    <cacheField name="ROA" numFmtId="0">
      <sharedItems containsSemiMixedTypes="0" containsString="0" containsNumber="1" minValue="-18.21" maxValue="30.32"/>
    </cacheField>
    <cacheField name="A/E" numFmtId="0">
      <sharedItems containsSemiMixedTypes="0" containsString="0" containsNumber="1" minValue="-45.44" maxValue="14.48"/>
    </cacheField>
    <cacheField name="P/E" numFmtId="2">
      <sharedItems containsSemiMixedTypes="0" containsString="0" containsNumber="1" minValue="-35.885714285714286" maxValue="1007.6666666666667"/>
    </cacheField>
    <cacheField name="Preliminary Criteria" numFmtId="0">
      <sharedItems/>
    </cacheField>
    <cacheField name="P/FCF Z-Score" numFmtId="2">
      <sharedItems containsSemiMixedTypes="0" containsString="0" containsNumber="1" minValue="-98.598953380784153" maxValue="15.395362561992599"/>
    </cacheField>
    <cacheField name="P/B Z-Score" numFmtId="2">
      <sharedItems containsSemiMixedTypes="0" containsString="0" containsNumber="1" minValue="-9.8448884889266868" maxValue="10.781103802977521"/>
    </cacheField>
    <cacheField name="ROE Z-Score" numFmtId="2">
      <sharedItems containsSemiMixedTypes="0" containsString="0" containsNumber="1" minValue="-28.266473560346018" maxValue="8.7397240884619833"/>
    </cacheField>
    <cacheField name="ROA Z-Score" numFmtId="2">
      <sharedItems containsSemiMixedTypes="0" containsString="0" containsNumber="1" minValue="-24.082064883274722" maxValue="5.5567949935637762"/>
    </cacheField>
    <cacheField name="A/E Z-Score" numFmtId="2">
      <sharedItems containsSemiMixedTypes="0" containsString="0" containsNumber="1" minValue="-15.150647688994319" maxValue="55.138827722220562"/>
    </cacheField>
    <cacheField name="P/E Z-Score" numFmtId="2">
      <sharedItems containsSemiMixedTypes="0" containsString="0" containsNumber="1" minValue="-8.3636905815711184" maxValue="132.47568082848557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5143749998" createdVersion="8" refreshedVersion="8" minRefreshableVersion="3" recordCount="128" xr:uid="{A2646FF5-8A5C-4026-A340-9C8CC354FDFF}">
  <cacheSource type="worksheet">
    <worksheetSource name="Main_M"/>
  </cacheSource>
  <cacheFields count="26">
    <cacheField name="Industry" numFmtId="0">
      <sharedItems count="59">
        <s v="Automobile Components"/>
        <s v="Automobiles"/>
        <s v="Broadline Retail"/>
        <s v="Diversified Consumer Services"/>
        <s v="Hotels, Restaurants &amp; Leisure"/>
        <s v="Household Durables"/>
        <s v="Leisure Products"/>
        <s v="Specialty Retail"/>
        <s v="Textiles, Apparel &amp; Luxury Good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12" maxValue="9739"/>
    </cacheField>
    <cacheField name="Current Price" numFmtId="0">
      <sharedItems containsSemiMixedTypes="0" containsString="0" containsNumber="1" minValue="1.04" maxValue="985.47"/>
    </cacheField>
    <cacheField name="Free CF" numFmtId="0">
      <sharedItems containsSemiMixedTypes="0" containsString="0" containsNumber="1" minValue="-11.56" maxValue="86.28"/>
    </cacheField>
    <cacheField name="BVPS" numFmtId="0">
      <sharedItems containsSemiMixedTypes="0" containsString="0" containsNumber="1" minValue="-25.62" maxValue="984.96"/>
    </cacheField>
    <cacheField name="EPS" numFmtId="0">
      <sharedItems containsSemiMixedTypes="0" containsString="0" containsNumber="1" minValue="-3.74" maxValue="141.53"/>
    </cacheField>
    <cacheField name="P/FCF" numFmtId="2">
      <sharedItems containsSemiMixedTypes="0" containsString="0" containsNumber="1" minValue="-303" maxValue="292.625"/>
    </cacheField>
    <cacheField name="P/B" numFmtId="2">
      <sharedItems containsSemiMixedTypes="0" containsString="0" containsNumber="1" minValue="-130.13402061855672" maxValue="26.039451114922812"/>
    </cacheField>
    <cacheField name="ROE" numFmtId="0">
      <sharedItems containsSemiMixedTypes="0" containsString="0" containsNumber="1" minValue="-6195.9" maxValue="631.30999999999995"/>
    </cacheField>
    <cacheField name="ROA" numFmtId="0">
      <sharedItems containsSemiMixedTypes="0" containsString="0" containsNumber="1" minValue="-23.73" maxValue="19.12"/>
    </cacheField>
    <cacheField name="A/E" numFmtId="0">
      <sharedItems containsSemiMixedTypes="0" containsString="0" containsNumber="1" minValue="-57.9" maxValue="37.770000000000003"/>
    </cacheField>
    <cacheField name="P/E" numFmtId="2">
      <sharedItems containsSemiMixedTypes="0" containsString="0" containsNumber="1" minValue="-166.72727272727272" maxValue="646.53846153846155"/>
    </cacheField>
    <cacheField name="Preliminary Criteria" numFmtId="0">
      <sharedItems/>
    </cacheField>
    <cacheField name="P/FCF Z-Score" numFmtId="2">
      <sharedItems containsSemiMixedTypes="0" containsString="0" containsNumber="1" minValue="-21.725354072204649" maxValue="17.23106493113384"/>
    </cacheField>
    <cacheField name="P/B Z-Score" numFmtId="2">
      <sharedItems containsSemiMixedTypes="0" containsString="0" containsNumber="1" minValue="-32.26216287784726" maxValue="19.332649198984686"/>
    </cacheField>
    <cacheField name="ROE Z-Score" numFmtId="2">
      <sharedItems containsSemiMixedTypes="0" containsString="0" containsNumber="1" minValue="-8.505260581036806" maxValue="11.710586061296006"/>
    </cacheField>
    <cacheField name="ROA Z-Score" numFmtId="2">
      <sharedItems containsSemiMixedTypes="0" containsString="0" containsNumber="1" minValue="-8.5500006599399807" maxValue="3.4484999379862704"/>
    </cacheField>
    <cacheField name="A/E Z-Score" numFmtId="2">
      <sharedItems containsSemiMixedTypes="0" containsString="0" containsNumber="1" minValue="-52.84940823071684" maxValue="28.986186481494379"/>
    </cacheField>
    <cacheField name="P/E Z-Score" numFmtId="2">
      <sharedItems containsSemiMixedTypes="0" containsString="0" containsNumber="1" minValue="-19.768482455557621" maxValue="74.874743088766365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5145370368" createdVersion="8" refreshedVersion="8" minRefreshableVersion="3" recordCount="149" xr:uid="{FEEDC4AE-CB7E-4F82-B64E-6462C5DE2153}">
  <cacheSource type="worksheet">
    <worksheetSource name="Main_S"/>
  </cacheSource>
  <cacheFields count="26">
    <cacheField name="Industry" numFmtId="0">
      <sharedItems count="60">
        <s v="Automobile Components"/>
        <s v="Automobiles"/>
        <s v="Broadline Retail"/>
        <s v="Distributors"/>
        <s v="Diversified Consumer Services"/>
        <s v="Hotels, Restaurants &amp; Leisure"/>
        <s v="Household Durables"/>
        <s v="Leisure Products"/>
        <s v="Specialty Retail"/>
        <s v="Textiles, Apparel &amp; Luxury Good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1" maxValue="1989"/>
    </cacheField>
    <cacheField name="Current Price" numFmtId="0">
      <sharedItems containsSemiMixedTypes="0" containsString="0" containsNumber="1" minValue="0.158" maxValue="412.61"/>
    </cacheField>
    <cacheField name="Free CF" numFmtId="0">
      <sharedItems containsString="0" containsBlank="1" containsNumber="1" minValue="-11.38" maxValue="68.239999999999995"/>
    </cacheField>
    <cacheField name="BVPS" numFmtId="0">
      <sharedItems containsString="0" containsBlank="1" containsNumber="1" minValue="-43.88" maxValue="923.25"/>
    </cacheField>
    <cacheField name="EPS" numFmtId="0">
      <sharedItems containsString="0" containsBlank="1" containsNumber="1" minValue="-13.45" maxValue="32.36"/>
    </cacheField>
    <cacheField name="P/FCF" numFmtId="2">
      <sharedItems containsMixedTypes="1" containsNumber="1" minValue="-471" maxValue="1031"/>
    </cacheField>
    <cacheField name="P/B" numFmtId="2">
      <sharedItems containsMixedTypes="1" containsNumber="1" minValue="-60.5" maxValue="53.8"/>
    </cacheField>
    <cacheField name="ROE" numFmtId="0">
      <sharedItems containsSemiMixedTypes="0" containsString="0" containsNumber="1" minValue="-15295" maxValue="179.99"/>
    </cacheField>
    <cacheField name="ROA" numFmtId="0">
      <sharedItems containsSemiMixedTypes="0" containsString="0" containsNumber="1" minValue="-33.61" maxValue="90.04"/>
    </cacheField>
    <cacheField name="A/E" numFmtId="0">
      <sharedItems containsSemiMixedTypes="0" containsString="0" containsNumber="1" minValue="-139.37" maxValue="189.64"/>
    </cacheField>
    <cacheField name="P/E" numFmtId="2">
      <sharedItems containsMixedTypes="1" containsNumber="1" minValue="-795" maxValue="916"/>
    </cacheField>
    <cacheField name="Preliminary Criteria" numFmtId="0">
      <sharedItems/>
    </cacheField>
    <cacheField name="P/FCF Z-Score" numFmtId="2">
      <sharedItems containsMixedTypes="1" containsNumber="1" minValue="-24.136814235883151" maxValue="52.12641855601629"/>
    </cacheField>
    <cacheField name="P/B Z-Score" numFmtId="2">
      <sharedItems containsMixedTypes="1" containsNumber="1" minValue="-98.336598236912607" maxValue="82.427446957583669"/>
    </cacheField>
    <cacheField name="ROE Z-Score" numFmtId="2">
      <sharedItems containsSemiMixedTypes="0" containsString="0" containsNumber="1" minValue="-282.27516766343746" maxValue="9.7879418416576947"/>
    </cacheField>
    <cacheField name="ROA Z-Score" numFmtId="2">
      <sharedItems containsSemiMixedTypes="0" containsString="0" containsNumber="1" minValue="-13.705269844761849" maxValue="23.480911791630007"/>
    </cacheField>
    <cacheField name="A/E Z-Score" numFmtId="2">
      <sharedItems containsSemiMixedTypes="0" containsString="0" containsNumber="1" minValue="-90.649428759624442" maxValue="70.215371988306643"/>
    </cacheField>
    <cacheField name="P/E Z-Score" numFmtId="2">
      <sharedItems containsMixedTypes="1" containsNumber="1" minValue="-53.703032804681889" maxValue="46.806714748033507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x v="0"/>
    <s v="APTV"/>
    <n v="12829"/>
    <n v="68.790000000000006"/>
    <n v="6.99"/>
    <n v="40.04"/>
    <n v="6.35"/>
    <n v="9.8412017167381975"/>
    <n v="1.7180319680319682"/>
    <n v="15.24"/>
    <n v="5.73"/>
    <n v="2.58"/>
    <n v="10.833070866141734"/>
    <s v="NO"/>
    <n v="-0.99999999999999989"/>
    <n v="1.0000000000000013"/>
    <n v="1"/>
    <n v="1"/>
    <n v="0.99999999999999989"/>
    <n v="1"/>
    <x v="0"/>
    <x v="0"/>
    <x v="0"/>
    <x v="0"/>
    <x v="0"/>
    <x v="0"/>
  </r>
  <r>
    <x v="0"/>
    <s v="MBLY"/>
    <n v="11985"/>
    <n v="16.940000000000001"/>
    <n v="0.49"/>
    <n v="14.84"/>
    <n v="-3.67"/>
    <n v="34.571428571428577"/>
    <n v="1.1415094339622642"/>
    <n v="-22.18"/>
    <n v="-1.82"/>
    <n v="1.04"/>
    <n v="-4.6158038147138969"/>
    <s v="NO"/>
    <n v="0.99999999999999989"/>
    <n v="-1.0000000000000022"/>
    <n v="-1"/>
    <n v="-1"/>
    <n v="-0.99999999999999989"/>
    <n v="-1"/>
    <x v="0"/>
    <x v="0"/>
    <x v="0"/>
    <x v="0"/>
    <x v="0"/>
    <x v="0"/>
  </r>
  <r>
    <x v="1"/>
    <s v="F"/>
    <n v="40879"/>
    <n v="10.6"/>
    <n v="2.35"/>
    <n v="11.26"/>
    <n v="1.26"/>
    <n v="4.5106382978723403"/>
    <n v="0.94138543516873885"/>
    <n v="11.49"/>
    <n v="0.96"/>
    <n v="6.37"/>
    <n v="8.412698412698413"/>
    <s v="NO"/>
    <n v="0.54554280117296805"/>
    <n v="-0.74931247736201279"/>
    <n v="0.53999981869443159"/>
    <n v="-1.9661855602071407"/>
    <n v="28.228705480132881"/>
    <n v="-0.23678027225558926"/>
    <x v="0"/>
    <x v="0"/>
    <x v="0"/>
    <x v="0"/>
    <x v="1"/>
    <x v="0"/>
  </r>
  <r>
    <x v="1"/>
    <s v="GM"/>
    <n v="43716"/>
    <n v="50.46"/>
    <n v="12.28"/>
    <n v="64.63"/>
    <n v="6.95"/>
    <n v="4.1091205211726392"/>
    <n v="0.78075197276806441"/>
    <n v="8.56"/>
    <n v="2.76"/>
    <n v="4.38"/>
    <n v="7.2604316546762586"/>
    <s v="NO"/>
    <n v="0.53236219727268919"/>
    <n v="-0.86598816844828597"/>
    <n v="-0.63324131281221974"/>
    <n v="0.11042282693535485"/>
    <n v="13.800163381126605"/>
    <n v="-0.35961119621583365"/>
    <x v="0"/>
    <x v="0"/>
    <x v="0"/>
    <x v="0"/>
    <x v="1"/>
    <x v="0"/>
  </r>
  <r>
    <x v="1"/>
    <s v="HMC"/>
    <n v="44016"/>
    <n v="29.63"/>
    <n v="-0.39"/>
    <n v="17.899999999999999"/>
    <n v="1.39"/>
    <n v="-75.974358974358964"/>
    <n v="1.6553072625698324"/>
    <n v="8.6999999999999993"/>
    <n v="3.07"/>
    <n v="2.4"/>
    <n v="21.31654676258993"/>
    <s v="NO"/>
    <n v="-2.0965341640860897"/>
    <n v="-0.23075724392113856"/>
    <n v="-0.57718200960029831"/>
    <n v="0.46806093805434029"/>
    <n v="-0.55587348120124669"/>
    <n v="1.1387619834115448"/>
    <x v="0"/>
    <x v="0"/>
    <x v="0"/>
    <x v="0"/>
    <x v="0"/>
    <x v="0"/>
  </r>
  <r>
    <x v="1"/>
    <s v="LI"/>
    <n v="26639"/>
    <n v="27.96"/>
    <n v="1.1299999999999999"/>
    <n v="9.67"/>
    <n v="1.04"/>
    <n v="24.743362831858409"/>
    <n v="2.8914167528438472"/>
    <n v="12.2"/>
    <n v="2.87"/>
    <n v="2.29"/>
    <n v="26.884615384615383"/>
    <s v="NO"/>
    <n v="1.2097214338051614"/>
    <n v="0.66708761903946945"/>
    <n v="0.82430057069774942"/>
    <n v="0.23732667281628553"/>
    <n v="-1.3534310846639042"/>
    <n v="1.7323146557904536"/>
    <x v="0"/>
    <x v="0"/>
    <x v="0"/>
    <x v="0"/>
    <x v="0"/>
    <x v="0"/>
  </r>
  <r>
    <x v="1"/>
    <s v="RIVN"/>
    <n v="14583"/>
    <n v="14.87"/>
    <n v="-2.82"/>
    <n v="5.8"/>
    <n v="-4.6900000000000004"/>
    <n v="-5.2730496453900706"/>
    <n v="2.5637931034482757"/>
    <n v="-60.45"/>
    <n v="-18.21"/>
    <n v="2.35"/>
    <n v="-3.1705756929637521"/>
    <s v="NO"/>
    <n v="0.22437416818234709"/>
    <n v="0.42911904674979773"/>
    <n v="-28.266473560346018"/>
    <n v="-24.082064883274722"/>
    <n v="-0.91839966459336297"/>
    <n v="-1.4715501299970739"/>
    <x v="0"/>
    <x v="0"/>
    <x v="1"/>
    <x v="1"/>
    <x v="0"/>
    <x v="0"/>
  </r>
  <r>
    <x v="1"/>
    <s v="STLA"/>
    <n v="27192"/>
    <n v="10.96"/>
    <n v="-2.48"/>
    <n v="29.38"/>
    <n v="1.91"/>
    <n v="-4.4193548387096779"/>
    <n v="0.37304288631722266"/>
    <n v="6.72"/>
    <n v="1.92"/>
    <n v="2.54"/>
    <n v="5.7382198952879584"/>
    <s v="NO"/>
    <n v="0.25239836474736016"/>
    <n v="-1.16212658638981"/>
    <n v="-1.3700207264546223"/>
    <n v="-0.85866108706447641"/>
    <n v="0.4591998322966831"/>
    <n v="-0.52187802858523469"/>
    <x v="0"/>
    <x v="0"/>
    <x v="0"/>
    <x v="0"/>
    <x v="0"/>
    <x v="0"/>
  </r>
  <r>
    <x v="1"/>
    <s v="TM"/>
    <n v="246188"/>
    <n v="193.97"/>
    <n v="-0.84"/>
    <n v="17.43"/>
    <n v="24.26"/>
    <n v="-230.91666666666669"/>
    <n v="11.128514056224899"/>
    <n v="14.55"/>
    <n v="3.35"/>
    <n v="2.64"/>
    <n v="7.9954657873042043"/>
    <s v="NO"/>
    <n v="-7.1828175208871343"/>
    <n v="6.6500814862800857"/>
    <n v="1.7652960174692964"/>
    <n v="0.79108890938761767"/>
    <n v="1.1842521990809187"/>
    <n v="-0.28125701214826593"/>
    <x v="1"/>
    <x v="1"/>
    <x v="0"/>
    <x v="0"/>
    <x v="0"/>
    <x v="0"/>
  </r>
  <r>
    <x v="1"/>
    <s v="TSLA"/>
    <n v="889693"/>
    <n v="334.07"/>
    <n v="2.12"/>
    <n v="23.18"/>
    <n v="1.75"/>
    <n v="157.58018867924528"/>
    <n v="14.411993097497843"/>
    <n v="8.77"/>
    <n v="3.72"/>
    <n v="1.68"/>
    <n v="190.89714285714285"/>
    <s v="NO"/>
    <n v="5.5703492477368748"/>
    <n v="9.0350278142887994"/>
    <n v="-0.54915235799433726"/>
    <n v="1.2179473000780197"/>
    <n v="-5.7762505220477385"/>
    <n v="19.215948675646626"/>
    <x v="1"/>
    <x v="1"/>
    <x v="0"/>
    <x v="0"/>
    <x v="1"/>
    <x v="1"/>
  </r>
  <r>
    <x v="1"/>
    <s v="XPEV"/>
    <n v="18233"/>
    <n v="20.77"/>
    <n v="-0.64"/>
    <n v="4.51"/>
    <n v="-0.84"/>
    <n v="-32.453125"/>
    <n v="4.6053215077605323"/>
    <n v="-17.13"/>
    <n v="-5.0599999999999996"/>
    <n v="2.64"/>
    <n v="-24.726190476190478"/>
    <s v="NO"/>
    <n v="-0.66786480109443536"/>
    <n v="1.9119778103319798"/>
    <n v="-10.92012345219989"/>
    <n v="-8.9112869438725983"/>
    <n v="1.1842521990809187"/>
    <n v="-3.7693653380827135"/>
    <x v="0"/>
    <x v="0"/>
    <x v="1"/>
    <x v="1"/>
    <x v="0"/>
    <x v="1"/>
  </r>
  <r>
    <x v="2"/>
    <s v="AMZN"/>
    <n v="2003412"/>
    <n v="211.37"/>
    <n v="1.98"/>
    <n v="28.82"/>
    <n v="6.14"/>
    <n v="106.75252525252526"/>
    <n v="7.3341429562803606"/>
    <n v="25.24"/>
    <n v="7.63"/>
    <n v="2.1"/>
    <n v="34.425081433224761"/>
    <s v="NO"/>
    <n v="6.8128503435109264"/>
    <n v="0.52603531957921301"/>
    <n v="-6.5896866679012844E-2"/>
    <n v="1.0488546814951216"/>
    <n v="-0.74874035920618232"/>
    <n v="0.40411664796773999"/>
    <x v="1"/>
    <x v="0"/>
    <x v="0"/>
    <x v="0"/>
    <x v="0"/>
    <x v="0"/>
  </r>
  <r>
    <x v="2"/>
    <s v="BABA"/>
    <n v="293994"/>
    <n v="131.65"/>
    <n v="7.25"/>
    <n v="59.26"/>
    <n v="6.75"/>
    <n v="18.158620689655173"/>
    <n v="2.221565980425245"/>
    <n v="10.27"/>
    <n v="5.04"/>
    <n v="1.85"/>
    <n v="19.503703703703703"/>
    <s v="YES"/>
    <n v="-0.13833266829423965"/>
    <n v="-0.96723569244749186"/>
    <n v="-0.93231250774472385"/>
    <n v="-0.2582184340168423"/>
    <n v="-0.93225515312926621"/>
    <n v="-0.35428219713535325"/>
    <x v="0"/>
    <x v="0"/>
    <x v="0"/>
    <x v="0"/>
    <x v="0"/>
    <x v="0"/>
  </r>
  <r>
    <x v="2"/>
    <s v="CPNG"/>
    <n v="48289"/>
    <n v="26.56"/>
    <n v="0.56000000000000005"/>
    <n v="2.2799999999999998"/>
    <n v="0.08"/>
    <n v="47.428571428571423"/>
    <n v="11.649122807017545"/>
    <n v="1.59"/>
    <n v="2.4500000000000002"/>
    <n v="3.74"/>
    <n v="332"/>
    <s v="NO"/>
    <n v="2.1582224427669741"/>
    <n v="1.7863457968620402"/>
    <n v="-1.4346830998923774"/>
    <n v="-1.5652915495288062"/>
    <n v="0.45511668892924811"/>
    <n v="15.52875719146085"/>
    <x v="0"/>
    <x v="0"/>
    <x v="0"/>
    <x v="0"/>
    <x v="0"/>
    <x v="1"/>
  </r>
  <r>
    <x v="2"/>
    <s v="EBAY"/>
    <n v="32148"/>
    <n v="69.17"/>
    <n v="4.4000000000000004"/>
    <n v="10.69"/>
    <n v="4.17"/>
    <n v="15.720454545454544"/>
    <n v="6.4705332086061746"/>
    <n v="36.479999999999997"/>
    <n v="6.78"/>
    <n v="3.83"/>
    <n v="16.587529976019184"/>
    <s v="NO"/>
    <n v="-0.32963408079151568"/>
    <n v="0.27379395323971384"/>
    <n v="0.58463832407440008"/>
    <n v="0.61989246211860849"/>
    <n v="0.52118201474155823"/>
    <n v="-0.5025006007764834"/>
    <x v="0"/>
    <x v="0"/>
    <x v="0"/>
    <x v="0"/>
    <x v="0"/>
    <x v="0"/>
  </r>
  <r>
    <x v="2"/>
    <s v="JD"/>
    <n v="49043"/>
    <n v="37.25"/>
    <n v="3.66"/>
    <n v="22.59"/>
    <n v="3.68"/>
    <n v="10.1775956284153"/>
    <n v="1.6489597166888004"/>
    <n v="14.65"/>
    <n v="3.73"/>
    <n v="2.92"/>
    <n v="10.122282608695652"/>
    <s v="NO"/>
    <n v="-0.76453337697970669"/>
    <n v="-1.1344813572033827"/>
    <n v="-0.67881213981768207"/>
    <n v="-0.91932491329123334"/>
    <n v="-0.14681183513846724"/>
    <n v="-0.83110538684682189"/>
    <x v="0"/>
    <x v="0"/>
    <x v="0"/>
    <x v="0"/>
    <x v="0"/>
    <x v="0"/>
  </r>
  <r>
    <x v="2"/>
    <s v="MELI"/>
    <n v="114682"/>
    <n v="2515.12"/>
    <n v="139.22"/>
    <n v="85.82"/>
    <n v="37.69"/>
    <n v="18.065795144375809"/>
    <n v="29.306921463528315"/>
    <n v="51.5"/>
    <n v="7.68"/>
    <n v="5.79"/>
    <n v="66.731759087291053"/>
    <s v="NO"/>
    <n v="-0.14561587086433941"/>
    <n v="6.9437994634763038"/>
    <n v="1.4539478049566301"/>
    <n v="1.0740877532231516"/>
    <n v="1.9599379990985359"/>
    <n v="2.0461464568832621"/>
    <x v="0"/>
    <x v="1"/>
    <x v="0"/>
    <x v="0"/>
    <x v="0"/>
    <x v="0"/>
  </r>
  <r>
    <x v="2"/>
    <s v="PDD"/>
    <n v="155295"/>
    <n v="119.45"/>
    <n v="11.97"/>
    <n v="30.83"/>
    <n v="10.41"/>
    <n v="9.9791144527986635"/>
    <n v="3.8744729159909181"/>
    <n v="44.92"/>
    <n v="15.89"/>
    <n v="1.61"/>
    <n v="11.474543707973103"/>
    <s v="YES"/>
    <n v="-0.78010644583717426"/>
    <n v="-0.48445802003009392"/>
    <n v="1.073118485102764"/>
    <n v="5.2173581309657102"/>
    <n v="-1.1084293552954267"/>
    <n v="-0.76237492009234376"/>
    <x v="0"/>
    <x v="0"/>
    <x v="0"/>
    <x v="1"/>
    <x v="0"/>
    <x v="0"/>
  </r>
  <r>
    <x v="3"/>
    <s v="GPC"/>
    <n v="16094"/>
    <n v="121.2"/>
    <n v="2.31"/>
    <n v="32.06"/>
    <n v="6.09"/>
    <n v="52.467532467532465"/>
    <n v="3.7804117280099812"/>
    <n v="19.13"/>
    <n v="4.82"/>
    <n v="4.45"/>
    <n v="19.901477832512317"/>
    <s v="NO"/>
    <n v="1.400280372606308"/>
    <n v="-0.37832805833834066"/>
    <n v="-0.19087569520069322"/>
    <n v="-0.82465620103872228"/>
    <n v="1.3718738749107624"/>
    <n v="-0.30586288359293778"/>
    <x v="0"/>
    <x v="0"/>
    <x v="0"/>
    <x v="0"/>
    <x v="0"/>
    <x v="0"/>
  </r>
  <r>
    <x v="3"/>
    <s v="LKQ"/>
    <n v="10171"/>
    <n v="42.08"/>
    <n v="2.16"/>
    <n v="23.9"/>
    <n v="2.68"/>
    <n v="19.481481481481481"/>
    <n v="1.7606694560669456"/>
    <n v="11.39"/>
    <n v="5.36"/>
    <n v="2.5099999999999998"/>
    <n v="15.701492537313431"/>
    <s v="YES"/>
    <n v="-0.87163700426241997"/>
    <n v="-0.99094228392531325"/>
    <n v="-1.1181003066149389"/>
    <n v="-0.58263753334257551"/>
    <n v="-0.98337861829886575"/>
    <n v="-1.0428260262254401"/>
    <x v="0"/>
    <x v="0"/>
    <x v="0"/>
    <x v="0"/>
    <x v="0"/>
    <x v="0"/>
  </r>
  <r>
    <x v="3"/>
    <s v="POOL"/>
    <n v="11120"/>
    <n v="313.83999999999997"/>
    <n v="12.83"/>
    <n v="32.89"/>
    <n v="10.7"/>
    <n v="24.461418550272796"/>
    <n v="9.5421100638491936"/>
    <n v="31.65"/>
    <n v="9.8000000000000007"/>
    <n v="3"/>
    <n v="29.330841121495325"/>
    <s v="NO"/>
    <n v="-0.52864336834388792"/>
    <n v="1.3692703422636541"/>
    <n v="1.3089760018156322"/>
    <n v="1.4072937343812981"/>
    <n v="-0.38849525661189771"/>
    <n v="1.3486889098183765"/>
    <x v="0"/>
    <x v="0"/>
    <x v="0"/>
    <x v="0"/>
    <x v="0"/>
    <x v="0"/>
  </r>
  <r>
    <x v="4"/>
    <s v="DUOL"/>
    <n v="22525"/>
    <n v="531.46"/>
    <n v="6.55"/>
    <n v="19.68"/>
    <n v="2.04"/>
    <n v="81.138931297709931"/>
    <n v="27.005081300813011"/>
    <n v="12.06"/>
    <n v="3.59"/>
    <n v="1.57"/>
    <n v="260.51960784313729"/>
    <s v="NO"/>
    <n v="1.4142133449621035"/>
    <n v="1.3938279852183217"/>
    <n v="-0.64448129775293694"/>
    <n v="-0.63555772898256457"/>
    <n v="-0.723817664299366"/>
    <n v="1.4142022866038009"/>
    <x v="0"/>
    <x v="0"/>
    <x v="0"/>
    <x v="0"/>
    <x v="0"/>
    <x v="0"/>
  </r>
  <r>
    <x v="4"/>
    <s v="PSO"/>
    <n v="10457"/>
    <n v="15.87"/>
    <n v="0.94"/>
    <n v="7.6"/>
    <n v="0.8"/>
    <n v="16.882978723404257"/>
    <n v="2.0881578947368422"/>
    <n v="10.82"/>
    <n v="5.19"/>
    <n v="1.71"/>
    <n v="19.837499999999999"/>
    <s v="YES"/>
    <n v="-0.70778578832118655"/>
    <n v="-0.90411597309360181"/>
    <n v="-0.76793497579829872"/>
    <n v="1.4118765657263674"/>
    <n v="-0.69026320304045508"/>
    <n v="-0.71199189206207503"/>
    <x v="0"/>
    <x v="0"/>
    <x v="0"/>
    <x v="0"/>
    <x v="0"/>
    <x v="0"/>
  </r>
  <r>
    <x v="4"/>
    <s v="SCI"/>
    <n v="10829"/>
    <n v="75.819999999999993"/>
    <n v="4.4800000000000004"/>
    <n v="11.52"/>
    <n v="3.62"/>
    <n v="16.924107142857139"/>
    <n v="6.5815972222222214"/>
    <n v="32.72"/>
    <n v="3.48"/>
    <n v="10.49"/>
    <n v="20.944751381215468"/>
    <s v="NO"/>
    <n v="-0.70642755664091694"/>
    <n v="-0.48971201212471943"/>
    <n v="1.4124162735512351"/>
    <n v="-0.77631883674380342"/>
    <n v="1.4140808673398213"/>
    <n v="-0.70221039454172562"/>
    <x v="0"/>
    <x v="0"/>
    <x v="0"/>
    <x v="0"/>
    <x v="0"/>
    <x v="0"/>
  </r>
  <r>
    <x v="5"/>
    <s v="DKNG"/>
    <n v="17333"/>
    <n v="37.68"/>
    <n v="0.62"/>
    <n v="2.0699999999999998"/>
    <n v="-1.05"/>
    <n v="60.774193548387096"/>
    <n v="18.20289855072464"/>
    <n v="-54.81"/>
    <n v="-8.85"/>
    <n v="4.24"/>
    <n v="-35.885714285714286"/>
    <s v="NO"/>
    <n v="2.6612409644598536"/>
    <n v="1.3542942459909115"/>
    <n v="-2.5052910578155236"/>
    <n v="-3.7707299429224377"/>
    <n v="0.52891159626017847"/>
    <n v="-8.3636905815711184"/>
    <x v="0"/>
    <x v="0"/>
    <x v="0"/>
    <x v="1"/>
    <x v="0"/>
    <x v="1"/>
  </r>
  <r>
    <x v="5"/>
    <s v="FLUT"/>
    <n v="42822"/>
    <n v="241.84"/>
    <n v="5.29"/>
    <n v="52.24"/>
    <n v="0.24"/>
    <n v="45.716446124763706"/>
    <n v="4.6294027565084228"/>
    <n v="1.43"/>
    <n v="2.21"/>
    <n v="2.64"/>
    <n v="1007.6666666666667"/>
    <s v="NO"/>
    <n v="1.4318160019952202"/>
    <n v="-2.0100654531041769E-2"/>
    <n v="-0.45713502471382861"/>
    <n v="-1.1370198127836193"/>
    <n v="2.393384150157939E-2"/>
    <n v="132.47568082848557"/>
    <x v="0"/>
    <x v="0"/>
    <x v="0"/>
    <x v="0"/>
    <x v="0"/>
    <x v="1"/>
  </r>
  <r>
    <x v="5"/>
    <s v="LVS"/>
    <n v="27968"/>
    <n v="42.32"/>
    <n v="1.63"/>
    <n v="3.82"/>
    <n v="1.78"/>
    <n v="25.963190184049083"/>
    <n v="11.078534031413612"/>
    <n v="44.69"/>
    <n v="6.87"/>
    <n v="7.87"/>
    <n v="23.775280898876403"/>
    <s v="NO"/>
    <n v="-0.18098472179481698"/>
    <n v="0.63291116139357906"/>
    <n v="1.1183135882303272"/>
    <n v="-2.7337244388782413E-2"/>
    <n v="1.6745798773687499"/>
    <n v="-0.31175450929877135"/>
    <x v="0"/>
    <x v="0"/>
    <x v="0"/>
    <x v="0"/>
    <x v="0"/>
    <x v="0"/>
  </r>
  <r>
    <x v="5"/>
    <s v="ABNB"/>
    <n v="75991"/>
    <n v="138.05000000000001"/>
    <n v="6.98"/>
    <n v="12.82"/>
    <n v="3.97"/>
    <n v="19.777936962750715"/>
    <n v="10.76833073322933"/>
    <n v="32.06"/>
    <n v="6.28"/>
    <n v="3.16"/>
    <n v="34.77329974811083"/>
    <s v="NO"/>
    <n v="-0.68599416945622227"/>
    <n v="0.60150128455615925"/>
    <n v="0.65835251607395451"/>
    <n v="-0.16783353523705571"/>
    <n v="0.18805161179812407"/>
    <n v="1.1725543665705012"/>
    <x v="0"/>
    <x v="0"/>
    <x v="0"/>
    <x v="0"/>
    <x v="0"/>
    <x v="0"/>
  </r>
  <r>
    <x v="5"/>
    <s v="BKNG"/>
    <n v="169087"/>
    <n v="5262.42"/>
    <n v="254.85"/>
    <n v="-186.92"/>
    <n v="161.59"/>
    <n v="20.649087698646262"/>
    <n v="-28.153327626792212"/>
    <n v="-107.02"/>
    <n v="17.96"/>
    <n v="-4.45"/>
    <n v="32.566495451451203"/>
    <s v="NO"/>
    <n v="-0.61486703266422404"/>
    <n v="-3.3395415816939185"/>
    <n v="-4.4066819982180752"/>
    <n v="2.6135167649457109"/>
    <n v="-2.2137488342724625"/>
    <n v="0.87472079765764699"/>
    <x v="0"/>
    <x v="1"/>
    <x v="1"/>
    <x v="0"/>
    <x v="0"/>
    <x v="0"/>
  </r>
  <r>
    <x v="5"/>
    <s v="CCL"/>
    <n v="26677"/>
    <n v="22.74"/>
    <n v="1.54"/>
    <n v="7"/>
    <n v="1.52"/>
    <n v="14.766233766233764"/>
    <n v="3.2485714285714282"/>
    <n v="25.87"/>
    <n v="4.8099999999999996"/>
    <n v="5.29"/>
    <n v="14.960526315789473"/>
    <s v="NO"/>
    <n v="-1.0951863839965743"/>
    <n v="-0.15991780733895986"/>
    <n v="0.43292424713904171"/>
    <n v="-0.51788361582512665"/>
    <n v="0.86030324782050893"/>
    <n v="-1.5014068135586469"/>
    <x v="0"/>
    <x v="0"/>
    <x v="0"/>
    <x v="0"/>
    <x v="0"/>
    <x v="0"/>
  </r>
  <r>
    <x v="5"/>
    <s v="CUK"/>
    <n v="23552"/>
    <n v="20.58"/>
    <n v="1.54"/>
    <n v="7"/>
    <n v="1.52"/>
    <n v="13.363636363636362"/>
    <n v="2.94"/>
    <n v="25.87"/>
    <n v="4.8099999999999996"/>
    <n v="5.29"/>
    <n v="13.539473684210526"/>
    <s v="NO"/>
    <n v="-1.2097047253213857"/>
    <n v="-0.19116244794628648"/>
    <n v="0.43292424713904171"/>
    <n v="-0.51788361582512665"/>
    <n v="0.86030324782050893"/>
    <n v="-1.6931941766323921"/>
    <x v="0"/>
    <x v="0"/>
    <x v="0"/>
    <x v="0"/>
    <x v="0"/>
    <x v="0"/>
  </r>
  <r>
    <x v="5"/>
    <s v="EXPE"/>
    <n v="21247"/>
    <n v="169.37"/>
    <n v="17.72"/>
    <n v="12.09"/>
    <n v="8.9499999999999993"/>
    <n v="9.5581264108352162"/>
    <n v="14.009098428453267"/>
    <n v="43.83"/>
    <n v="4.72"/>
    <n v="14.38"/>
    <n v="18.924022346368716"/>
    <s v="NO"/>
    <n v="-1.520414474878037"/>
    <n v="0.92964774451159615"/>
    <n v="1.0869939902846042"/>
    <n v="-0.53931525341215136"/>
    <n v="3.7292081170427998"/>
    <n v="-0.96648753234001894"/>
    <x v="0"/>
    <x v="0"/>
    <x v="0"/>
    <x v="0"/>
    <x v="1"/>
    <x v="0"/>
  </r>
  <r>
    <x v="5"/>
    <s v="H"/>
    <n v="11822"/>
    <n v="136.5"/>
    <n v="3.85"/>
    <n v="36.270000000000003"/>
    <n v="7.89"/>
    <n v="35.454545454545453"/>
    <n v="3.7634408602150535"/>
    <n v="21.5"/>
    <n v="2.4"/>
    <n v="4.05"/>
    <n v="17.300380228136884"/>
    <s v="NO"/>
    <n v="0.59395915054439474"/>
    <n v="-0.10778430157052224"/>
    <n v="0.27377698781019377"/>
    <n v="-1.0917752445443449"/>
    <n v="0.46894548788259466"/>
    <n v="-1.1856166719026824"/>
    <x v="0"/>
    <x v="0"/>
    <x v="0"/>
    <x v="0"/>
    <x v="0"/>
    <x v="0"/>
  </r>
  <r>
    <x v="5"/>
    <s v="HTHT"/>
    <n v="10918"/>
    <n v="37.92"/>
    <n v="2.91"/>
    <n v="5.41"/>
    <n v="1.32"/>
    <n v="13.030927835051546"/>
    <n v="7.0092421441774491"/>
    <n v="25.3"/>
    <n v="5.16"/>
    <n v="5.14"/>
    <n v="28.727272727272727"/>
    <s v="NO"/>
    <n v="-1.2368694903263642"/>
    <n v="0.22087183833754778"/>
    <n v="0.41216590896571376"/>
    <n v="-0.43453835854225253"/>
    <n v="0.81296158331189017"/>
    <n v="0.35657362551183813"/>
    <x v="0"/>
    <x v="0"/>
    <x v="0"/>
    <x v="0"/>
    <x v="0"/>
    <x v="0"/>
  </r>
  <r>
    <x v="5"/>
    <s v="IHG"/>
    <n v="17809"/>
    <n v="123.75"/>
    <n v="4.01"/>
    <n v="-14.67"/>
    <n v="3.85"/>
    <n v="30.860349127182047"/>
    <n v="-8.4355828220858893"/>
    <n v="-29.52"/>
    <n v="13.61"/>
    <n v="-2.0499999999999998"/>
    <n v="32.142857142857139"/>
    <s v="NO"/>
    <n v="0.218855259608976"/>
    <n v="-1.3430059566614099"/>
    <n v="-1.5842763693883921"/>
    <n v="1.5776542815728483"/>
    <n v="-1.4562822021345638"/>
    <n v="0.81754594551159998"/>
    <x v="0"/>
    <x v="0"/>
    <x v="0"/>
    <x v="0"/>
    <x v="0"/>
    <x v="0"/>
  </r>
  <r>
    <x v="5"/>
    <s v="MAR"/>
    <n v="70493"/>
    <n v="274.14"/>
    <n v="6.94"/>
    <n v="-10.81"/>
    <n v="8.33"/>
    <n v="39.501440922190199"/>
    <n v="-25.359851988899166"/>
    <n v="-129.29"/>
    <n v="9.34"/>
    <n v="-8.75"/>
    <n v="32.909963985594239"/>
    <s v="NO"/>
    <n v="0.9243773843236277"/>
    <n v="-3.0566860277776984"/>
    <n v="-5.2177139124637142"/>
    <n v="0.56084214272178556"/>
    <n v="-3.5708765501861972"/>
    <n v="0.9210758185754192"/>
    <x v="0"/>
    <x v="0"/>
    <x v="1"/>
    <x v="0"/>
    <x v="1"/>
    <x v="0"/>
  </r>
  <r>
    <x v="5"/>
    <s v="MMYT"/>
    <n v="12300"/>
    <n v="106.59"/>
    <n v="0.74"/>
    <n v="10.5"/>
    <n v="1.89"/>
    <n v="144.04054054054055"/>
    <n v="10.151428571428571"/>
    <n v="22.31"/>
    <n v="3.6"/>
    <n v="1.53"/>
    <n v="56.396825396825399"/>
    <s v="NO"/>
    <n v="9.459716370202969"/>
    <n v="0.53903637513605129"/>
    <n v="0.30327567889860718"/>
    <n v="-0.8060200767173481"/>
    <n v="-0.32639447586219872"/>
    <n v="4.0908973416062375"/>
    <x v="1"/>
    <x v="0"/>
    <x v="0"/>
    <x v="0"/>
    <x v="0"/>
    <x v="1"/>
  </r>
  <r>
    <x v="5"/>
    <s v="RCL"/>
    <n v="61918"/>
    <n v="247.78"/>
    <n v="7.99"/>
    <n v="29.31"/>
    <n v="12.3"/>
    <n v="31.011264080100123"/>
    <n v="8.4537700443534636"/>
    <n v="48.52"/>
    <n v="7.43"/>
    <n v="4.7"/>
    <n v="20.144715447154471"/>
    <s v="NO"/>
    <n v="0.23117706346893277"/>
    <n v="0.3671386372346731"/>
    <n v="1.2577950535002329"/>
    <n v="0.10601516726381591"/>
    <n v="0.67409270075327565"/>
    <n v="-0.80174098761712032"/>
    <x v="0"/>
    <x v="0"/>
    <x v="0"/>
    <x v="0"/>
    <x v="0"/>
    <x v="0"/>
  </r>
  <r>
    <x v="5"/>
    <s v="TCOM"/>
    <n v="40602"/>
    <n v="66.239999999999995"/>
    <n v="3.99"/>
    <n v="29.9"/>
    <n v="3.4"/>
    <n v="16.601503759398494"/>
    <n v="2.2153846153846155"/>
    <n v="12.93"/>
    <n v="3.84"/>
    <n v="1.7"/>
    <n v="19.482352941176469"/>
    <s v="NO"/>
    <n v="-0.94534147831571724"/>
    <n v="-0.26453394373144029"/>
    <n v="-3.8326447532649861E-2"/>
    <n v="-0.74886904315194891"/>
    <n v="-0.27274058941909757"/>
    <n v="-0.89113441020928119"/>
    <x v="0"/>
    <x v="0"/>
    <x v="0"/>
    <x v="0"/>
    <x v="0"/>
    <x v="0"/>
  </r>
  <r>
    <x v="5"/>
    <s v="VIK"/>
    <n v="19060"/>
    <n v="46.2"/>
    <n v="3.2"/>
    <n v="-0.5"/>
    <n v="0.36"/>
    <n v="14.4375"/>
    <n v="-92.4"/>
    <n v="-5.57"/>
    <n v="7.19"/>
    <n v="-45.44"/>
    <n v="128.33333333333334"/>
    <s v="NO"/>
    <n v="-1.1220266202445768"/>
    <n v="-9.8448884889266868"/>
    <n v="-0.71206198473715476"/>
    <n v="4.8864133698416745E-2"/>
    <n v="-15.150647688994319"/>
    <n v="13.799554754630384"/>
    <x v="0"/>
    <x v="1"/>
    <x v="0"/>
    <x v="0"/>
    <x v="1"/>
    <x v="1"/>
  </r>
  <r>
    <x v="5"/>
    <s v="ARMK"/>
    <n v="10138"/>
    <n v="39.32"/>
    <n v="1.38"/>
    <n v="11.6"/>
    <n v="1.27"/>
    <n v="28.49275362318841"/>
    <n v="3.3896551724137933"/>
    <n v="11.4"/>
    <n v="3.68"/>
    <n v="4.12"/>
    <n v="30.960629921259841"/>
    <s v="NO"/>
    <n v="2.5547394113621426E-2"/>
    <n v="-0.14563226284672104"/>
    <n v="-9.4046197366319709E-2"/>
    <n v="-0.78696973219554833"/>
    <n v="0.49103826465328348"/>
    <n v="0.65799081268571935"/>
    <x v="0"/>
    <x v="0"/>
    <x v="0"/>
    <x v="0"/>
    <x v="0"/>
    <x v="0"/>
  </r>
  <r>
    <x v="5"/>
    <s v="CAVA"/>
    <n v="10849"/>
    <n v="99.7"/>
    <n v="0.46"/>
    <n v="6.04"/>
    <n v="1.1000000000000001"/>
    <n v="216.7391304347826"/>
    <n v="16.506622516556291"/>
    <n v="20.58"/>
    <n v="2.83"/>
    <n v="1.68"/>
    <n v="90.636363636363626"/>
    <s v="NO"/>
    <n v="15.395362561992599"/>
    <n v="1.1825364934868006"/>
    <n v="0.2402723016356994"/>
    <n v="-0.98937964273967094"/>
    <n v="-0.27905281135358007"/>
    <n v="8.7119160188155131"/>
    <x v="1"/>
    <x v="0"/>
    <x v="0"/>
    <x v="0"/>
    <x v="0"/>
    <x v="1"/>
  </r>
  <r>
    <x v="5"/>
    <s v="CMG"/>
    <n v="69578"/>
    <n v="50.65"/>
    <n v="1.0900000000000001"/>
    <n v="2.59"/>
    <n v="1.1299999999999999"/>
    <n v="46.467889908256879"/>
    <n v="19.555984555984555"/>
    <n v="45.57"/>
    <n v="14.35"/>
    <n v="2.59"/>
    <n v="44.823008849557525"/>
    <s v="NO"/>
    <n v="1.4931693850295245"/>
    <n v="1.4913020245168584"/>
    <n v="1.150361548918974"/>
    <n v="1.7538699683994963"/>
    <n v="8.1532866653730857E-3"/>
    <n v="2.528877957543425"/>
    <x v="0"/>
    <x v="0"/>
    <x v="0"/>
    <x v="0"/>
    <x v="0"/>
    <x v="0"/>
  </r>
  <r>
    <x v="5"/>
    <s v="DASH"/>
    <n v="74998"/>
    <n v="197.8"/>
    <n v="4.38"/>
    <n v="18.59"/>
    <n v="0.28999999999999998"/>
    <n v="45.159817351598178"/>
    <n v="10.640129101667563"/>
    <n v="1.6"/>
    <n v="0.27"/>
    <n v="1.65"/>
    <n v="682.06896551724151"/>
    <s v="NO"/>
    <n v="1.3863687455561762"/>
    <n v="0.58852012838766743"/>
    <n v="-0.45094394139897637"/>
    <n v="-1.5989906674372636"/>
    <n v="-0.28852114425530379"/>
    <n v="88.532533939592525"/>
    <x v="0"/>
    <x v="0"/>
    <x v="0"/>
    <x v="0"/>
    <x v="0"/>
    <x v="1"/>
  </r>
  <r>
    <x v="5"/>
    <s v="DPZ"/>
    <n v="16322"/>
    <n v="484.4"/>
    <n v="16.57"/>
    <n v="-114.3"/>
    <n v="17.440000000000001"/>
    <n v="29.233554616777308"/>
    <n v="-4.2379702537182853"/>
    <n v="-15.35"/>
    <n v="30.32"/>
    <n v="-0.48"/>
    <n v="27.77522935779816"/>
    <s v="NO"/>
    <n v="8.6031821705224346E-2"/>
    <n v="-0.91797342297988105"/>
    <n v="-1.0682313660268876"/>
    <n v="5.5567949935637762"/>
    <n v="-0.96077278027768875"/>
    <n v="0.22808444551539217"/>
    <x v="0"/>
    <x v="0"/>
    <x v="0"/>
    <x v="1"/>
    <x v="0"/>
    <x v="0"/>
  </r>
  <r>
    <x v="5"/>
    <s v="DRI"/>
    <n v="23171"/>
    <n v="205"/>
    <n v="8.7100000000000009"/>
    <n v="18.809999999999999"/>
    <n v="8.89"/>
    <n v="23.536165327210099"/>
    <n v="10.89845826687932"/>
    <n v="48.22"/>
    <n v="7.2"/>
    <n v="5.7"/>
    <n v="23.059617547806521"/>
    <s v="NO"/>
    <n v="-0.37914483562690221"/>
    <n v="0.6146774494423084"/>
    <n v="1.2468696123563761"/>
    <n v="5.1245426763641667E-2"/>
    <n v="0.9897037974774"/>
    <n v="-0.40834149270818032"/>
    <x v="0"/>
    <x v="0"/>
    <x v="0"/>
    <x v="0"/>
    <x v="0"/>
    <x v="0"/>
  </r>
  <r>
    <x v="5"/>
    <s v="MCD"/>
    <n v="227486"/>
    <n v="308.69"/>
    <n v="9.2899999999999991"/>
    <n v="-5.31"/>
    <n v="11.33"/>
    <n v="33.228202368137786"/>
    <n v="-58.133709981167613"/>
    <n v="-193.39"/>
    <n v="13.31"/>
    <n v="-14.53"/>
    <n v="27.245366284201236"/>
    <s v="NO"/>
    <n v="0.41218416864066065"/>
    <n v="-6.3752285740683998"/>
    <n v="-7.5521165035344584"/>
    <n v="1.5062154896160993"/>
    <n v="-5.3951086892516358"/>
    <n v="0.15657334211425225"/>
    <x v="0"/>
    <x v="1"/>
    <x v="1"/>
    <x v="0"/>
    <x v="1"/>
    <x v="0"/>
  </r>
  <r>
    <x v="5"/>
    <s v="QSR"/>
    <n v="22244"/>
    <n v="67.84"/>
    <n v="4.08"/>
    <n v="9.59"/>
    <n v="3.18"/>
    <n v="16.627450980392158"/>
    <n v="7.0740354535974976"/>
    <n v="30.19"/>
    <n v="6.05"/>
    <n v="7.92"/>
    <n v="21.333333333333332"/>
    <s v="NO"/>
    <n v="-0.94322295684642021"/>
    <n v="0.22743253540519645"/>
    <n v="0.59025059961058024"/>
    <n v="-0.22260327573723016"/>
    <n v="1.6903604322049561"/>
    <n v="-0.64132336125570821"/>
    <x v="0"/>
    <x v="0"/>
    <x v="0"/>
    <x v="0"/>
    <x v="0"/>
    <x v="0"/>
  </r>
  <r>
    <x v="5"/>
    <s v="SBUX"/>
    <n v="93992"/>
    <n v="86.88"/>
    <n v="2.44"/>
    <n v="-6.71"/>
    <n v="2.75"/>
    <n v="35.606557377049178"/>
    <n v="-12.947839046199702"/>
    <n v="-38.99"/>
    <n v="8.98"/>
    <n v="-4.1500000000000004"/>
    <n v="31.59272727272727"/>
    <s v="NO"/>
    <n v="0.60637051904863204"/>
    <n v="-1.7998979790476421"/>
    <n v="-1.9291561281628065"/>
    <n v="0.47511559237368667"/>
    <n v="-2.1190655052552252"/>
    <n v="0.74329960530175254"/>
    <x v="0"/>
    <x v="0"/>
    <x v="0"/>
    <x v="0"/>
    <x v="0"/>
    <x v="0"/>
  </r>
  <r>
    <x v="5"/>
    <s v="TXRH"/>
    <n v="11376"/>
    <n v="190.51"/>
    <n v="5.98"/>
    <n v="20.399999999999999"/>
    <n v="6.47"/>
    <n v="31.857859531772572"/>
    <n v="9.3387254901960794"/>
    <n v="35.11"/>
    <n v="10.82"/>
    <n v="2.35"/>
    <n v="29.445131375579599"/>
    <s v="NO"/>
    <n v="0.3002993267207541"/>
    <n v="0.45674549094390615"/>
    <n v="0.7694278343698322"/>
    <n v="0.91327351637508147"/>
    <n v="-6.7593376548416698E-2"/>
    <n v="0.45345688948038293"/>
    <x v="0"/>
    <x v="0"/>
    <x v="0"/>
    <x v="0"/>
    <x v="0"/>
    <x v="0"/>
  </r>
  <r>
    <x v="5"/>
    <s v="YUM"/>
    <n v="41633"/>
    <n v="145.72"/>
    <n v="5.15"/>
    <n v="-28.07"/>
    <n v="5.0199999999999996"/>
    <n v="28.29514563106796"/>
    <n v="-5.1913074456715353"/>
    <n v="-18.32"/>
    <n v="24.91"/>
    <n v="-0.85"/>
    <n v="29.02788844621514"/>
    <s v="NO"/>
    <n v="9.4132279956367811E-3"/>
    <n v="-1.0145043237119369"/>
    <n v="-1.1763932333510705"/>
    <n v="4.2685154452770666"/>
    <n v="-1.0775488860656148"/>
    <n v="0.39714516716573411"/>
    <x v="0"/>
    <x v="0"/>
    <x v="0"/>
    <x v="1"/>
    <x v="0"/>
    <x v="0"/>
  </r>
  <r>
    <x v="5"/>
    <s v="YUMC"/>
    <n v="16221"/>
    <n v="46.09"/>
    <n v="2.0299999999999998"/>
    <n v="15.38"/>
    <n v="2.38"/>
    <n v="22.70443349753695"/>
    <n v="2.9967490247074124"/>
    <n v="15.14"/>
    <n v="6.9"/>
    <n v="1.9"/>
    <n v="19.365546218487399"/>
    <s v="YES"/>
    <n v="-0.44705352373999396"/>
    <n v="-0.18541628119971434"/>
    <n v="4.2157635560428862E-2"/>
    <n v="-2.0193365193107438E-2"/>
    <n v="-0.20961837007427273"/>
    <n v="-0.90689881811086026"/>
    <x v="0"/>
    <x v="0"/>
    <x v="0"/>
    <x v="0"/>
    <x v="0"/>
    <x v="0"/>
  </r>
  <r>
    <x v="6"/>
    <s v="GRMN"/>
    <n v="36248"/>
    <n v="200.44"/>
    <n v="6.33"/>
    <n v="42.44"/>
    <n v="7.59"/>
    <n v="31.665086887835702"/>
    <n v="4.7229029217719134"/>
    <n v="19.04"/>
    <n v="11.05"/>
    <n v="1.2"/>
    <n v="26.408432147562582"/>
    <s v="NO"/>
    <n v="7.4383156062834468"/>
    <n v="1.2493026780967527"/>
    <n v="-0.31804418249575633"/>
    <n v="0.6456210701299302"/>
    <n v="-1.7361845862588468"/>
    <n v="1.2852755764238075"/>
    <x v="1"/>
    <x v="0"/>
    <x v="0"/>
    <x v="0"/>
    <x v="0"/>
    <x v="0"/>
  </r>
  <r>
    <x v="6"/>
    <s v="SONY"/>
    <n v="150572"/>
    <n v="24.54"/>
    <n v="1.42"/>
    <n v="8.6300000000000008"/>
    <n v="1.18"/>
    <n v="17.281690140845072"/>
    <n v="2.8435689455388178"/>
    <n v="14.32"/>
    <n v="2.56"/>
    <n v="4.4000000000000004"/>
    <n v="20.796610169491526"/>
    <s v="NO"/>
    <n v="0.31126680041628424"/>
    <n v="7.0022101852646401E-2"/>
    <n v="-0.93472140019879557"/>
    <n v="-1.9592166893963263"/>
    <n v="17.421714296597379"/>
    <n v="0.61794825245474938"/>
    <x v="0"/>
    <x v="0"/>
    <x v="0"/>
    <x v="0"/>
    <x v="1"/>
    <x v="0"/>
  </r>
  <r>
    <x v="6"/>
    <s v="SGI"/>
    <n v="12638"/>
    <n v="64.12"/>
    <n v="3.28"/>
    <n v="3.22"/>
    <n v="2.16"/>
    <n v="19.54878048780488"/>
    <n v="19.913043478260871"/>
    <n v="85.55"/>
    <n v="7.3"/>
    <n v="10.7"/>
    <n v="29.685185185185187"/>
    <s v="NO"/>
    <n v="1.4346220018552949"/>
    <n v="10.781103802977521"/>
    <n v="8.3716172050951645"/>
    <n v="-0.50492564344173807"/>
    <n v="55.138827722220562"/>
    <n v="1.6749292119897374"/>
    <x v="0"/>
    <x v="1"/>
    <x v="1"/>
    <x v="0"/>
    <x v="1"/>
    <x v="0"/>
  </r>
  <r>
    <x v="6"/>
    <s v="DHI"/>
    <n v="37713"/>
    <n v="126.36"/>
    <n v="8.48"/>
    <n v="78.819999999999993"/>
    <n v="13.25"/>
    <n v="14.900943396226415"/>
    <n v="1.6031464095407257"/>
    <n v="17.649999999999999"/>
    <n v="9.89"/>
    <n v="1.47"/>
    <n v="9.5366037735849059"/>
    <s v="YES"/>
    <n v="-0.86840574437787932"/>
    <n v="-0.70834205350095869"/>
    <n v="-0.49965039703118541"/>
    <n v="0.28971862006509419"/>
    <n v="-0.11973686801785283"/>
    <n v="-0.72103041889605823"/>
    <x v="0"/>
    <x v="0"/>
    <x v="0"/>
    <x v="0"/>
    <x v="0"/>
    <x v="0"/>
  </r>
  <r>
    <x v="6"/>
    <s v="LEN"/>
    <n v="28440"/>
    <n v="112.37"/>
    <n v="5.93"/>
    <n v="86.16"/>
    <n v="13.77"/>
    <n v="18.949409780775717"/>
    <n v="1.304201485608171"/>
    <n v="15.21"/>
    <n v="8.2200000000000006"/>
    <n v="1.54"/>
    <n v="8.1604938271604937"/>
    <s v="NO"/>
    <n v="1.1376306612877265"/>
    <n v="-0.89592975564374588"/>
    <n v="-0.81844116211495965"/>
    <n v="-0.22265818304548859"/>
    <n v="0.29934217004462743"/>
    <n v="-0.88466992343184858"/>
    <x v="0"/>
    <x v="0"/>
    <x v="0"/>
    <x v="0"/>
    <x v="0"/>
    <x v="0"/>
  </r>
  <r>
    <x v="6"/>
    <s v="NVR"/>
    <n v="20746"/>
    <n v="7402.64"/>
    <n v="432.61"/>
    <n v="1343.02"/>
    <n v="486.51"/>
    <n v="17.1115785580546"/>
    <n v="5.5119357865109979"/>
    <n v="38.25"/>
    <n v="20.36"/>
    <n v="1.57"/>
    <n v="15.215802347330991"/>
    <s v="NO"/>
    <n v="0.2269756156344509"/>
    <n v="1.7444201735352727"/>
    <n v="2.1917798327744524"/>
    <n v="3.5020450443571911"/>
    <n v="0.47894747207140465"/>
    <n v="-4.5691036906332624E-2"/>
    <x v="0"/>
    <x v="0"/>
    <x v="0"/>
    <x v="1"/>
    <x v="0"/>
    <x v="0"/>
  </r>
  <r>
    <x v="6"/>
    <s v="PHM"/>
    <n v="20307"/>
    <n v="106.45"/>
    <n v="7.06"/>
    <n v="61.33"/>
    <n v="14.2"/>
    <n v="15.077903682719548"/>
    <n v="1.7356921571824557"/>
    <n v="25.52"/>
    <n v="13.89"/>
    <n v="1.41"/>
    <n v="7.496478873239437"/>
    <s v="YES"/>
    <n v="-0.7807209908581193"/>
    <n v="-0.6251697022135374"/>
    <n v="0.52858047231689098"/>
    <n v="1.5169684478748735"/>
    <n v="-0.47894747207140731"/>
    <n v="-0.9636309674576764"/>
    <x v="0"/>
    <x v="0"/>
    <x v="0"/>
    <x v="0"/>
    <x v="0"/>
    <x v="0"/>
  </r>
  <r>
    <x v="6"/>
    <s v="TOL"/>
    <n v="10182"/>
    <n v="109.36"/>
    <n v="7.98"/>
    <n v="77.98"/>
    <n v="14.58"/>
    <n v="13.704260651629072"/>
    <n v="1.4024108745832264"/>
    <n v="20.329999999999998"/>
    <n v="9.7100000000000009"/>
    <n v="1.75"/>
    <n v="7.5006858710562412"/>
    <s v="NO"/>
    <n v="-1.4613683439577578"/>
    <n v="-0.83430344212642971"/>
    <n v="-0.14950316325064614"/>
    <n v="0.23449237781365423"/>
    <n v="1.5565792842320669"/>
    <n v="-0.96313069417637798"/>
    <x v="0"/>
    <x v="0"/>
    <x v="0"/>
    <x v="0"/>
    <x v="0"/>
    <x v="0"/>
  </r>
  <r>
    <x v="7"/>
    <s v="BURL"/>
    <n v="15433"/>
    <n v="261.41000000000003"/>
    <n v="-0.27"/>
    <n v="21.88"/>
    <n v="7.8"/>
    <n v="-968.18518518518522"/>
    <n v="11.947440585009142"/>
    <n v="42.55"/>
    <n v="5.51"/>
    <n v="6.4"/>
    <n v="33.514102564102565"/>
    <s v="NO"/>
    <n v="-98.598953380784153"/>
    <n v="0.83102845339594333"/>
    <n v="0.21868379224136858"/>
    <n v="-0.81019039803107062"/>
    <n v="1.51377572737849"/>
    <n v="1.2493787950370541"/>
    <x v="1"/>
    <x v="0"/>
    <x v="0"/>
    <x v="0"/>
    <x v="0"/>
    <x v="0"/>
  </r>
  <r>
    <x v="7"/>
    <s v="ROST"/>
    <n v="47033"/>
    <n v="149.33000000000001"/>
    <n v="4.9800000000000004"/>
    <n v="16.75"/>
    <n v="6.32"/>
    <n v="29.985943775100402"/>
    <n v="8.915223880597015"/>
    <n v="40.28"/>
    <n v="11.07"/>
    <n v="2.71"/>
    <n v="23.628164556962027"/>
    <s v="NO"/>
    <n v="0.17503801397016536"/>
    <n v="0.35244913488232676"/>
    <n v="0.16226129217596763"/>
    <n v="0.2657630923477724"/>
    <n v="-0.79883005740960478"/>
    <n v="2.1221599925454779E-3"/>
    <x v="0"/>
    <x v="0"/>
    <x v="0"/>
    <x v="0"/>
    <x v="0"/>
    <x v="0"/>
  </r>
  <r>
    <x v="7"/>
    <s v="TJX"/>
    <n v="143637"/>
    <n v="130.82"/>
    <n v="3.72"/>
    <n v="7.5"/>
    <n v="4.26"/>
    <n v="35.166666666666664"/>
    <n v="17.442666666666664"/>
    <n v="61.98"/>
    <n v="12.81"/>
    <n v="3.78"/>
    <n v="30.708920187793428"/>
    <s v="NO"/>
    <n v="0.68769627813293555"/>
    <n v="1.6983482427141618"/>
    <n v="0.70163056592892048"/>
    <n v="0.60248235012820173"/>
    <n v="-0.12823705206454766"/>
    <n v="0.89546373620962172"/>
    <x v="0"/>
    <x v="0"/>
    <x v="0"/>
    <x v="0"/>
    <x v="0"/>
    <x v="0"/>
  </r>
  <r>
    <x v="7"/>
    <s v="BBY"/>
    <n v="14475"/>
    <n v="73.77"/>
    <n v="6.47"/>
    <n v="13.28"/>
    <n v="4.28"/>
    <n v="11.401854714064914"/>
    <n v="5.5549698795180724"/>
    <n v="31.63"/>
    <n v="7.29"/>
    <n v="5.26"/>
    <n v="17.235981308411212"/>
    <s v="NO"/>
    <n v="-1.6639499107818652"/>
    <n v="-0.17790480305654968"/>
    <n v="-5.2740745518181871E-2"/>
    <n v="-0.46573046765798776"/>
    <n v="0.79931215159029778"/>
    <n v="-0.8043458720158233"/>
    <x v="0"/>
    <x v="0"/>
    <x v="0"/>
    <x v="0"/>
    <x v="0"/>
    <x v="0"/>
  </r>
  <r>
    <x v="7"/>
    <s v="GME"/>
    <n v="11634"/>
    <n v="28.39"/>
    <n v="0.33"/>
    <n v="11.03"/>
    <n v="0.33"/>
    <n v="86.030303030303031"/>
    <n v="2.57388939256573"/>
    <n v="4.1900000000000004"/>
    <n v="-0.25"/>
    <n v="1.19"/>
    <n v="86.030303030303031"/>
    <s v="NO"/>
    <n v="5.7209057496599591"/>
    <n v="-0.64841321553378117"/>
    <n v="-0.73478189168320618"/>
    <n v="-1.9248472513731814"/>
    <n v="-1.751448158460527"/>
    <n v="7.8750707052518498"/>
    <x v="1"/>
    <x v="0"/>
    <x v="0"/>
    <x v="0"/>
    <x v="0"/>
    <x v="1"/>
  </r>
  <r>
    <x v="7"/>
    <s v="HD"/>
    <n v="360547"/>
    <n v="373.6"/>
    <n v="16.489999999999998"/>
    <n v="6.68"/>
    <n v="14.91"/>
    <n v="22.656155245603401"/>
    <n v="55.928143712574858"/>
    <n v="385.37"/>
    <n v="15.58"/>
    <n v="14.48"/>
    <n v="25.057008718980551"/>
    <s v="NO"/>
    <n v="-0.55028097005217391"/>
    <n v="7.77256891121122"/>
    <n v="8.7397240884619833"/>
    <n v="1.1385239271694596"/>
    <n v="6.5776930013860246"/>
    <n v="0.18239188859442348"/>
    <x v="0"/>
    <x v="1"/>
    <x v="1"/>
    <x v="0"/>
    <x v="1"/>
    <x v="0"/>
  </r>
  <r>
    <x v="7"/>
    <s v="LOW"/>
    <n v="125100"/>
    <n v="230.77"/>
    <n v="13.58"/>
    <n v="-25.41"/>
    <n v="12.23"/>
    <n v="16.99337260677467"/>
    <n v="-9.0818575364029908"/>
    <n v="-47.52"/>
    <n v="15.67"/>
    <n v="-3.03"/>
    <n v="18.869174161896975"/>
    <s v="NO"/>
    <n v="-1.1106414407268246"/>
    <n v="-2.4880572666717775"/>
    <n v="-2.0200715297369016"/>
    <n v="1.1559404405029301"/>
    <n v="-4.3962168337466405"/>
    <n v="-0.59829454726079501"/>
    <x v="0"/>
    <x v="0"/>
    <x v="0"/>
    <x v="0"/>
    <x v="1"/>
    <x v="0"/>
  </r>
  <r>
    <x v="7"/>
    <s v="CHWY"/>
    <n v="15863"/>
    <n v="39.49"/>
    <n v="1.07"/>
    <n v="0.63"/>
    <n v="0.91"/>
    <n v="36.906542056074763"/>
    <n v="62.682539682539684"/>
    <n v="101.78"/>
    <n v="2.27"/>
    <n v="11.53"/>
    <n v="43.395604395604394"/>
    <s v="NO"/>
    <n v="0.85986559034330501"/>
    <n v="8.8386253759662985"/>
    <n v="1.6908884965910185"/>
    <n v="-1.4371848780360079"/>
    <n v="4.7288618184253526"/>
    <n v="2.4960757412087813"/>
    <x v="0"/>
    <x v="1"/>
    <x v="0"/>
    <x v="0"/>
    <x v="1"/>
    <x v="0"/>
  </r>
  <r>
    <x v="7"/>
    <s v="DKS"/>
    <n v="15080"/>
    <n v="212.04"/>
    <n v="6.33"/>
    <n v="39.86"/>
    <n v="14.05"/>
    <n v="33.497630331753555"/>
    <n v="5.3196186653286501"/>
    <n v="40.08"/>
    <n v="9.32"/>
    <n v="3.27"/>
    <n v="15.091814946619216"/>
    <s v="NO"/>
    <n v="0.52253684224145835"/>
    <n v="-0.21505063881895867"/>
    <n v="0.15729014679575601"/>
    <n v="-7.2891333580820256E-2"/>
    <n v="-0.44786549386452806"/>
    <n v="-1.0748640281536288"/>
    <x v="0"/>
    <x v="0"/>
    <x v="0"/>
    <x v="0"/>
    <x v="0"/>
    <x v="0"/>
  </r>
  <r>
    <x v="7"/>
    <s v="TSCO"/>
    <n v="27091"/>
    <n v="52.31"/>
    <n v="1.1399999999999999"/>
    <n v="4.21"/>
    <n v="2.0099999999999998"/>
    <n v="45.885964912280706"/>
    <n v="12.42517814726841"/>
    <n v="49.62"/>
    <n v="9.11"/>
    <n v="4.6399999999999997"/>
    <n v="26.024875621890551"/>
    <s v="NO"/>
    <n v="1.7484240851703323"/>
    <n v="0.90643049067174675"/>
    <n v="0.3944137814318468"/>
    <n v="-0.11352986469225154"/>
    <n v="0.4107442419511057"/>
    <n v="0.30450254876875804"/>
    <x v="0"/>
    <x v="0"/>
    <x v="0"/>
    <x v="0"/>
    <x v="0"/>
    <x v="0"/>
  </r>
  <r>
    <x v="7"/>
    <s v="ULTA"/>
    <n v="17728"/>
    <n v="412.23"/>
    <n v="20.420000000000002"/>
    <n v="54.14"/>
    <n v="25.34"/>
    <n v="20.187561214495592"/>
    <n v="7.614148503878833"/>
    <n v="50.39"/>
    <n v="16.71"/>
    <n v="2.41"/>
    <n v="16.267955801104971"/>
    <s v="NO"/>
    <n v="-0.79456061159997704"/>
    <n v="0.14709845324450019"/>
    <n v="0.41355269114566134"/>
    <n v="1.3571979279119226"/>
    <n v="-0.98684678788018143"/>
    <n v="-0.92647654246995281"/>
    <x v="0"/>
    <x v="0"/>
    <x v="0"/>
    <x v="0"/>
    <x v="0"/>
    <x v="0"/>
  </r>
  <r>
    <x v="7"/>
    <s v="AZO"/>
    <n v="62658"/>
    <n v="3644.75"/>
    <n v="118.61"/>
    <n v="-266.18"/>
    <n v="149.46"/>
    <n v="30.72885928673805"/>
    <n v="-13.692801863400707"/>
    <n v="-56.09"/>
    <n v="13.44"/>
    <n v="-4.0599999999999996"/>
    <n v="24.386123377492304"/>
    <s v="NO"/>
    <n v="0.24855319410762466"/>
    <n v="-3.2158095379747675"/>
    <n v="-2.2330851092789668"/>
    <n v="0.72439794346249486"/>
    <n v="-5.0417409416956209"/>
    <n v="9.7749824996520296E-2"/>
    <x v="0"/>
    <x v="1"/>
    <x v="0"/>
    <x v="0"/>
    <x v="1"/>
    <x v="0"/>
  </r>
  <r>
    <x v="7"/>
    <s v="CVNA"/>
    <n v="34818"/>
    <n v="293.06"/>
    <n v="6.76"/>
    <n v="9.4499999999999993"/>
    <n v="1.59"/>
    <n v="43.352071005917161"/>
    <n v="31.011640211640213"/>
    <n v="81.53"/>
    <n v="7.96"/>
    <n v="6.73"/>
    <n v="184.31446540880503"/>
    <s v="NO"/>
    <n v="1.4976826966039523"/>
    <n v="3.8399597253742472"/>
    <n v="1.1875600268445994"/>
    <n v="-0.33607420173104091"/>
    <n v="1.7205941308961243"/>
    <n v="20.275064874529043"/>
    <x v="0"/>
    <x v="1"/>
    <x v="0"/>
    <x v="0"/>
    <x v="0"/>
    <x v="1"/>
  </r>
  <r>
    <x v="7"/>
    <s v="KMX"/>
    <n v="10059"/>
    <n v="69.56"/>
    <n v="1.01"/>
    <n v="40.72"/>
    <n v="3.21"/>
    <n v="68.871287128712879"/>
    <n v="1.7082514734774068"/>
    <n v="8.1300000000000008"/>
    <n v="1.81"/>
    <n v="4.3899999999999997"/>
    <n v="21.669781931464176"/>
    <s v="NO"/>
    <n v="4.0229358927562417"/>
    <n v="-0.78503814896747282"/>
    <n v="-0.63685032769303862"/>
    <n v="-1.5262026128515236"/>
    <n v="0.25406363322562503"/>
    <n v="-0.24495664242800422"/>
    <x v="1"/>
    <x v="0"/>
    <x v="0"/>
    <x v="0"/>
    <x v="0"/>
    <x v="0"/>
  </r>
  <r>
    <x v="7"/>
    <s v="MUSA"/>
    <n v="10021"/>
    <n v="435.38"/>
    <n v="18.97"/>
    <n v="41.97"/>
    <n v="24.11"/>
    <n v="22.950975224037954"/>
    <n v="10.373600190612342"/>
    <n v="60.22"/>
    <n v="10.63"/>
    <n v="5.41"/>
    <n v="18.0580671920365"/>
    <s v="NO"/>
    <n v="-0.52110706873604506"/>
    <n v="0.58262685917490931"/>
    <n v="0.65788448658305887"/>
    <n v="0.18061569382858347"/>
    <n v="0.89332051682558633"/>
    <n v="-0.70062763382866655"/>
    <x v="0"/>
    <x v="0"/>
    <x v="0"/>
    <x v="0"/>
    <x v="0"/>
    <x v="0"/>
  </r>
  <r>
    <x v="7"/>
    <s v="ORLY"/>
    <n v="78570"/>
    <n v="1320.8"/>
    <n v="35.22"/>
    <n v="-23.77"/>
    <n v="40.840000000000003"/>
    <n v="37.501419647927314"/>
    <n v="-55.565839293226759"/>
    <n v="-173.02"/>
    <n v="13.73"/>
    <n v="-11.27"/>
    <n v="32.340842311459348"/>
    <s v="NO"/>
    <n v="0.91873168297391428"/>
    <n v="-9.8246939518433649"/>
    <n v="-5.1394652558196485"/>
    <n v="0.78051781975923329"/>
    <n v="-9.560409697338482"/>
    <n v="1.1013547396883074"/>
    <x v="0"/>
    <x v="1"/>
    <x v="1"/>
    <x v="0"/>
    <x v="1"/>
    <x v="0"/>
  </r>
  <r>
    <x v="7"/>
    <s v="PAG"/>
    <n v="10259"/>
    <n v="165.85"/>
    <n v="9.93"/>
    <n v="80.92"/>
    <n v="14.19"/>
    <n v="16.701913393756293"/>
    <n v="2.0495551161641128"/>
    <n v="18.559999999999999"/>
    <n v="4.93"/>
    <n v="3.14"/>
    <n v="11.687808315715293"/>
    <s v="NO"/>
    <n v="-1.1394827776111982"/>
    <n v="-0.73116968221654954"/>
    <n v="-0.37760509611500653"/>
    <n v="-0.92243015062454703"/>
    <n v="-0.5293394104017779"/>
    <n v="-1.5043295834771406"/>
    <x v="0"/>
    <x v="0"/>
    <x v="0"/>
    <x v="0"/>
    <x v="0"/>
    <x v="0"/>
  </r>
  <r>
    <x v="7"/>
    <s v="WSM"/>
    <n v="19470"/>
    <n v="174.44"/>
    <n v="9.02"/>
    <n v="17.399999999999999"/>
    <n v="8.7899999999999991"/>
    <n v="19.339246119733925"/>
    <n v="10.02528735632184"/>
    <n v="52.7"/>
    <n v="16.95"/>
    <n v="2.4700000000000002"/>
    <n v="19.845278725824802"/>
    <s v="NO"/>
    <n v="-0.87850560403560063"/>
    <n v="0.5276521211815004"/>
    <n v="0.47096942028710481"/>
    <n v="1.4036419634678434"/>
    <n v="-0.94924344178606601"/>
    <n v="-0.47514458486199668"/>
    <x v="0"/>
    <x v="0"/>
    <x v="0"/>
    <x v="0"/>
    <x v="0"/>
    <x v="0"/>
  </r>
  <r>
    <x v="8"/>
    <s v="AS"/>
    <n v="14783"/>
    <n v="31.2"/>
    <n v="0.3"/>
    <n v="9.0299999999999994"/>
    <n v="0.14000000000000001"/>
    <n v="104"/>
    <n v="3.4551495016611296"/>
    <n v="3.23"/>
    <n v="3.53"/>
    <n v="1.67"/>
    <n v="222.85714285714283"/>
    <s v="NO"/>
    <n v="11.311495868726904"/>
    <n v="-1.5614061521800437"/>
    <n v="-2.0041341021996373"/>
    <n v="-1.1366773377875705"/>
    <n v="-0.68389943449191182"/>
    <n v="10.615972964896876"/>
    <x v="1"/>
    <x v="0"/>
    <x v="0"/>
    <x v="0"/>
    <x v="0"/>
    <x v="1"/>
  </r>
  <r>
    <x v="8"/>
    <s v="LULU"/>
    <n v="34535"/>
    <n v="310.61"/>
    <n v="12.8"/>
    <n v="35.65"/>
    <n v="14.64"/>
    <n v="24.266406249999999"/>
    <n v="8.7127629733520351"/>
    <n v="42.42"/>
    <n v="21.31"/>
    <n v="1.76"/>
    <n v="21.21653005464481"/>
    <s v="NO"/>
    <n v="0.1884243637102764"/>
    <n v="0.14679071205075045"/>
    <n v="1.0198695733761098"/>
    <n v="1.6520248396427668"/>
    <n v="-0.50969863514019842"/>
    <n v="-0.51068362767081277"/>
    <x v="0"/>
    <x v="0"/>
    <x v="0"/>
    <x v="0"/>
    <x v="0"/>
    <x v="0"/>
  </r>
  <r>
    <x v="8"/>
    <s v="RL"/>
    <n v="14846"/>
    <n v="269.79000000000002"/>
    <n v="16.739999999999998"/>
    <n v="41.09"/>
    <n v="10.92"/>
    <n v="16.116487455197134"/>
    <n v="6.5658311024580192"/>
    <n v="27.57"/>
    <n v="7.93"/>
    <n v="2.79"/>
    <n v="24.70604395604396"/>
    <s v="NO"/>
    <n v="-0.94851334662177811"/>
    <n v="-0.55074673708372157"/>
    <n v="-0.12599556013498614"/>
    <n v="-0.44655981356408997"/>
    <n v="1.4839327352182985"/>
    <n v="-0.31813004277425649"/>
    <x v="0"/>
    <x v="0"/>
    <x v="0"/>
    <x v="0"/>
    <x v="0"/>
    <x v="0"/>
  </r>
  <r>
    <x v="8"/>
    <s v="TPR"/>
    <n v="15474"/>
    <n v="83.6"/>
    <n v="3.77"/>
    <n v="6.46"/>
    <n v="3.44"/>
    <n v="22.175066312997345"/>
    <n v="12.941176470588234"/>
    <n v="39.82"/>
    <n v="7.96"/>
    <n v="5.43"/>
    <n v="24.302325581395348"/>
    <s v="NO"/>
    <n v="-0.10332372597842523"/>
    <n v="1.5206008476838395"/>
    <n v="0.81924672171760127"/>
    <n v="-0.44185446680802076"/>
    <n v="6.5938228495352211"/>
    <n v="-0.340407478120203"/>
    <x v="0"/>
    <x v="0"/>
    <x v="0"/>
    <x v="0"/>
    <x v="1"/>
    <x v="0"/>
  </r>
  <r>
    <x v="8"/>
    <s v="DECK"/>
    <n v="18343"/>
    <n v="129.37"/>
    <n v="6.58"/>
    <n v="17.329999999999998"/>
    <n v="6.15"/>
    <n v="19.661094224924014"/>
    <n v="7.4650894402769774"/>
    <n v="39.799999999999997"/>
    <n v="19.809999999999999"/>
    <n v="1.51"/>
    <n v="21.035772357723577"/>
    <s v="YES"/>
    <n v="-0.45403024730909863"/>
    <n v="-0.25857800291055105"/>
    <n v="0.81770346901253554"/>
    <n v="1.4167575018393075"/>
    <n v="-0.99358974445051307"/>
    <n v="-0.52065795175242002"/>
    <x v="0"/>
    <x v="0"/>
    <x v="0"/>
    <x v="0"/>
    <x v="0"/>
    <x v="0"/>
  </r>
  <r>
    <x v="8"/>
    <s v="NKE"/>
    <n v="86523"/>
    <n v="62.39"/>
    <n v="3.56"/>
    <n v="9.48"/>
    <n v="3.01"/>
    <n v="17.525280898876403"/>
    <n v="6.5812236286919825"/>
    <n v="31.93"/>
    <n v="8.26"/>
    <n v="2.7"/>
    <n v="20.727574750830566"/>
    <s v="NO"/>
    <n v="-0.75198250594531457"/>
    <n v="-0.54574571044168696"/>
    <n v="0.21043352956928169"/>
    <n v="-0.39480099924732892"/>
    <n v="1.3097319358665853"/>
    <n v="-0.5376644906975705"/>
    <x v="0"/>
    <x v="0"/>
    <x v="0"/>
    <x v="0"/>
    <x v="0"/>
    <x v="0"/>
  </r>
  <r>
    <x v="8"/>
    <s v="ONON"/>
    <n v="15716"/>
    <n v="57.38"/>
    <n v="1.52"/>
    <n v="4.74"/>
    <n v="0.81"/>
    <n v="37.75"/>
    <n v="12.10548523206751"/>
    <n v="19.649999999999999"/>
    <n v="6.64"/>
    <n v="1.71"/>
    <n v="70.839506172839506"/>
    <s v="NO"/>
    <n v="2.0694254621443391"/>
    <n v="1.2490850428814106"/>
    <n v="-0.73712363134090397"/>
    <n v="-0.64888972407506496"/>
    <n v="-0.60647685700226139"/>
    <n v="2.2275435910152628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x v="0"/>
    <s v="ALV"/>
    <n v="7243"/>
    <n v="102.11"/>
    <n v="5.99"/>
    <n v="30.41"/>
    <n v="8.68"/>
    <n v="17.046744574290482"/>
    <n v="3.3577770470240051"/>
    <n v="28.66"/>
    <n v="8"/>
    <n v="3.45"/>
    <n v="11.763824884792626"/>
    <s v="NO"/>
    <n v="0.97011065772331462"/>
    <n v="1.2396433220075862"/>
    <n v="1.2856192787025367"/>
    <n v="0.7364013944563611"/>
    <n v="1.2331152571497599"/>
    <n v="-0.113442175464687"/>
    <x v="0"/>
    <x v="0"/>
    <x v="0"/>
    <x v="0"/>
    <x v="0"/>
    <x v="0"/>
  </r>
  <r>
    <x v="0"/>
    <s v="BWA"/>
    <n v="6652"/>
    <n v="33.130000000000003"/>
    <n v="3.05"/>
    <n v="25.3"/>
    <n v="1.63"/>
    <n v="10.862295081967215"/>
    <n v="1.3094861660079051"/>
    <n v="7.27"/>
    <n v="5.67"/>
    <n v="2.5299999999999998"/>
    <n v="20.325153374233132"/>
    <s v="NO"/>
    <n v="0.30360226091285641"/>
    <n v="-0.81193105134375199"/>
    <n v="-7.376615684091746E-2"/>
    <n v="5.448154615054715E-2"/>
    <n v="0.24293293095967775"/>
    <n v="0.74778036182601759"/>
    <x v="0"/>
    <x v="0"/>
    <x v="0"/>
    <x v="0"/>
    <x v="0"/>
    <x v="0"/>
  </r>
  <r>
    <x v="0"/>
    <s v="DAN"/>
    <n v="2132"/>
    <n v="16.5"/>
    <n v="0.89"/>
    <n v="9.4600000000000009"/>
    <n v="-0.24"/>
    <n v="18.539325842696631"/>
    <n v="1.7441860465116277"/>
    <n v="-1.1100000000000001"/>
    <n v="2.44"/>
    <n v="5.66"/>
    <n v="-68.75"/>
    <s v="NO"/>
    <n v="1.1309686208370189"/>
    <n v="-0.3765343295178365"/>
    <n v="-0.60633511195331313"/>
    <n v="-0.89084081866824205"/>
    <n v="3.6117054102802819"/>
    <n v="-8.2126899312054622"/>
    <x v="0"/>
    <x v="0"/>
    <x v="0"/>
    <x v="0"/>
    <x v="1"/>
    <x v="1"/>
  </r>
  <r>
    <x v="0"/>
    <s v="DORM"/>
    <n v="3786"/>
    <n v="130.91"/>
    <n v="6.22"/>
    <n v="43.79"/>
    <n v="6.97"/>
    <n v="21.04662379421222"/>
    <n v="2.9894953185658828"/>
    <n v="17.09"/>
    <n v="8.57"/>
    <n v="1.82"/>
    <n v="18.781922525107603"/>
    <s v="NO"/>
    <n v="1.4011842867689945"/>
    <n v="0.87077122318566058"/>
    <n v="0.55031822731227187"/>
    <n v="0.90322298824791225"/>
    <n v="-0.5212295164261459"/>
    <n v="0.59253983003840571"/>
    <x v="0"/>
    <x v="0"/>
    <x v="0"/>
    <x v="0"/>
    <x v="0"/>
    <x v="0"/>
  </r>
  <r>
    <x v="0"/>
    <s v="GNTX"/>
    <n v="4892"/>
    <n v="23.15"/>
    <n v="1.57"/>
    <n v="10.98"/>
    <n v="1.71"/>
    <n v="14.745222929936304"/>
    <n v="2.1083788706739526"/>
    <n v="16.11"/>
    <n v="10.35"/>
    <n v="1.1200000000000001"/>
    <n v="13.538011695906432"/>
    <s v="NO"/>
    <n v="0.72207184629681653"/>
    <n v="-1.1757689669092828E-2"/>
    <n v="0.48803689365950953"/>
    <n v="1.4241746320180189"/>
    <n v="-1.2746291124403384"/>
    <n v="6.5031255262766693E-2"/>
    <x v="0"/>
    <x v="0"/>
    <x v="0"/>
    <x v="0"/>
    <x v="0"/>
    <x v="0"/>
  </r>
  <r>
    <x v="0"/>
    <s v="GTX"/>
    <n v="2294"/>
    <n v="11.95"/>
    <n v="1.38"/>
    <n v="-3.43"/>
    <n v="1.28"/>
    <n v="8.6594202898550723"/>
    <n v="-3.4839650145772589"/>
    <n v="-38.75"/>
    <n v="12.97"/>
    <n v="-3.25"/>
    <n v="9.3359375"/>
    <s v="NO"/>
    <n v="6.6194784647208307E-2"/>
    <n v="-5.6130663261933904"/>
    <n v="-2.9984467432696111"/>
    <n v="2.1909686245335696"/>
    <n v="-5.9779951618432268"/>
    <n v="-0.3576742869139985"/>
    <x v="0"/>
    <x v="1"/>
    <x v="0"/>
    <x v="1"/>
    <x v="1"/>
    <x v="0"/>
  </r>
  <r>
    <x v="0"/>
    <s v="HSAI"/>
    <n v="2145"/>
    <n v="18.34"/>
    <n v="-0.22"/>
    <n v="4.1100000000000003"/>
    <n v="-0.11"/>
    <n v="-83.36363636363636"/>
    <n v="4.4622871046228703"/>
    <n v="-2.63"/>
    <n v="-2.2000000000000002"/>
    <n v="1.52"/>
    <n v="-166.72727272727272"/>
    <s v="NO"/>
    <n v="-9.8512829206603332"/>
    <n v="2.3459239534746121"/>
    <n v="-0.70293473149637309"/>
    <n v="-2.2488271260240262"/>
    <n v="-0.84411505757508565"/>
    <n v="-18.068664447202515"/>
    <x v="1"/>
    <x v="0"/>
    <x v="0"/>
    <x v="0"/>
    <x v="0"/>
    <x v="1"/>
  </r>
  <r>
    <x v="0"/>
    <s v="LCII"/>
    <n v="2098"/>
    <n v="90.99"/>
    <n v="12.89"/>
    <n v="54.47"/>
    <n v="5.6"/>
    <n v="7.0589604344453054"/>
    <n v="1.6704608041123554"/>
    <n v="10.42"/>
    <n v="4.66"/>
    <n v="2.09"/>
    <n v="16.248214285714287"/>
    <s v="NO"/>
    <n v="-0.10628943302047202"/>
    <n v="-0.45037775643405176"/>
    <n v="0.12642384418581842"/>
    <n v="-0.24111461126956954"/>
    <n v="-0.23063252939210038"/>
    <n v="0.33766272289597454"/>
    <x v="0"/>
    <x v="0"/>
    <x v="0"/>
    <x v="0"/>
    <x v="0"/>
    <x v="0"/>
  </r>
  <r>
    <x v="0"/>
    <s v="LEA"/>
    <n v="4593"/>
    <n v="95.54"/>
    <n v="10"/>
    <n v="83.09"/>
    <n v="8.9700000000000006"/>
    <n v="9.5540000000000003"/>
    <n v="1.149837525574678"/>
    <n v="12.25"/>
    <n v="4.4800000000000004"/>
    <n v="3.15"/>
    <n v="10.651059085841695"/>
    <s v="NO"/>
    <n v="0.16260512629006219"/>
    <n v="-0.9718356149429962"/>
    <n v="0.24272470192516021"/>
    <n v="-0.29379511457216451"/>
    <n v="0.91022971600081992"/>
    <n v="-0.22538029184053326"/>
    <x v="0"/>
    <x v="0"/>
    <x v="0"/>
    <x v="0"/>
    <x v="0"/>
    <x v="0"/>
  </r>
  <r>
    <x v="0"/>
    <s v="MGA"/>
    <n v="9404"/>
    <n v="37.130000000000003"/>
    <n v="5.24"/>
    <n v="41.67"/>
    <n v="4.01"/>
    <n v="7.08587786259542"/>
    <n v="0.89104871610271186"/>
    <n v="10.15"/>
    <n v="3.89"/>
    <n v="2.73"/>
    <n v="9.2593516209476316"/>
    <s v="NO"/>
    <n v="-0.1033884970673426"/>
    <n v="-1.2310392732434281"/>
    <n v="0.10926470124066967"/>
    <n v="-0.46647009761955954"/>
    <n v="0.45818995839230442"/>
    <n v="-0.36537840493253626"/>
    <x v="0"/>
    <x v="0"/>
    <x v="0"/>
    <x v="0"/>
    <x v="0"/>
    <x v="0"/>
  </r>
  <r>
    <x v="0"/>
    <s v="MOD"/>
    <n v="4800"/>
    <n v="104.67"/>
    <n v="1.85"/>
    <n v="16.29"/>
    <n v="2.97"/>
    <n v="56.578378378378375"/>
    <n v="6.4254143646408846"/>
    <n v="20.21"/>
    <n v="10.23"/>
    <n v="2.14"/>
    <n v="35.242424242424242"/>
    <s v="NO"/>
    <n v="5.2305005117865768"/>
    <n v="4.3121981851318152"/>
    <n v="0.74860165690065794"/>
    <n v="1.3890542964829558"/>
    <n v="-0.17681827253394347"/>
    <n v="2.248375728818627"/>
    <x v="1"/>
    <x v="1"/>
    <x v="0"/>
    <x v="0"/>
    <x v="0"/>
    <x v="0"/>
  </r>
  <r>
    <x v="0"/>
    <s v="PATK"/>
    <n v="2724"/>
    <n v="89.81"/>
    <n v="6.85"/>
    <n v="34.93"/>
    <n v="4.16"/>
    <n v="13.11094890510949"/>
    <n v="2.5711422845691385"/>
    <n v="12.87"/>
    <n v="5.31"/>
    <n v="2.79"/>
    <n v="21.588942307692307"/>
    <s v="NO"/>
    <n v="0.5459434194112246"/>
    <n v="0.45174755251651627"/>
    <n v="0.28212717831772405"/>
    <n v="-5.0879460454643075E-2"/>
    <n v="0.52276706662209238"/>
    <n v="0.87491057452794285"/>
    <x v="0"/>
    <x v="0"/>
    <x v="0"/>
    <x v="0"/>
    <x v="0"/>
    <x v="0"/>
  </r>
  <r>
    <x v="0"/>
    <s v="QS"/>
    <n v="2163"/>
    <n v="4.3099999999999996"/>
    <n v="-0.64"/>
    <n v="1.98"/>
    <n v="-0.91"/>
    <n v="-6.7343749999999991"/>
    <n v="2.1767676767676765"/>
    <n v="-39.840000000000003"/>
    <n v="-23.73"/>
    <n v="1.1399999999999999"/>
    <n v="-4.7362637362637354"/>
    <s v="NO"/>
    <n v="-1.5928201094360082"/>
    <n v="5.6740746420402673E-2"/>
    <n v="-3.0677188388629899"/>
    <n v="-8.5500006599399807"/>
    <n v="-1.2531034096970759"/>
    <n v="-1.7732602989340158"/>
    <x v="0"/>
    <x v="0"/>
    <x v="1"/>
    <x v="1"/>
    <x v="0"/>
    <x v="0"/>
  </r>
  <r>
    <x v="0"/>
    <s v="VC"/>
    <n v="2201"/>
    <n v="88.98"/>
    <n v="10.65"/>
    <n v="48.1"/>
    <n v="10.69"/>
    <n v="8.3549295774647891"/>
    <n v="1.8498960498960499"/>
    <n v="24.26"/>
    <n v="7.82"/>
    <n v="2.2799999999999998"/>
    <n v="8.3236669784845656"/>
    <s v="NO"/>
    <n v="3.3379314683254759E-2"/>
    <n v="-0.27065486876332695"/>
    <n v="1.0059888010778897"/>
    <n v="0.68372089115376611"/>
    <n v="-2.6138353331105313E-2"/>
    <n v="-0.45950313135553211"/>
    <x v="0"/>
    <x v="0"/>
    <x v="0"/>
    <x v="0"/>
    <x v="0"/>
    <x v="0"/>
  </r>
  <r>
    <x v="0"/>
    <s v="WRD"/>
    <n v="2289"/>
    <n v="9.59"/>
    <n v="-0.95"/>
    <n v="3.52"/>
    <n v="-3.51"/>
    <n v="-10.094736842105263"/>
    <n v="2.7244318181818183"/>
    <n v="-125.4"/>
    <n v="-20.54"/>
    <n v="1.0900000000000001"/>
    <n v="-2.7321937321937324"/>
    <s v="NO"/>
    <n v="-1.9549718881617881"/>
    <n v="0.60528281539223894"/>
    <n v="-8.505260581036806"/>
    <n v="-7.6163850736328778"/>
    <n v="-1.3069176665552324"/>
    <n v="-1.5716618839284313"/>
    <x v="0"/>
    <x v="0"/>
    <x v="1"/>
    <x v="1"/>
    <x v="0"/>
    <x v="0"/>
  </r>
  <r>
    <x v="0"/>
    <s v="GT"/>
    <n v="3139"/>
    <n v="11.29"/>
    <n v="-1.71"/>
    <n v="16.690000000000001"/>
    <n v="0.24"/>
    <n v="-6.6023391812865491"/>
    <n v="0.676452965847813"/>
    <n v="1.23"/>
    <n v="2.0699999999999998"/>
    <n v="4.41"/>
    <n v="47.041666666666664"/>
    <s v="NO"/>
    <n v="-1.5785903898851419"/>
    <n v="-1.4459790290825274"/>
    <n v="-0.45762253976202366"/>
    <n v="-0.99912851990135421"/>
    <n v="2.2663489888263668"/>
    <n v="3.4353145913149858"/>
    <x v="0"/>
    <x v="0"/>
    <x v="0"/>
    <x v="0"/>
    <x v="0"/>
    <x v="1"/>
  </r>
  <r>
    <x v="1"/>
    <s v="LCID"/>
    <n v="6860"/>
    <n v="2.65"/>
    <n v="-1.19"/>
    <n v="1.28"/>
    <n v="-1.25"/>
    <n v="-2.2268907563025211"/>
    <n v="2.0703125"/>
    <n v="-54.15"/>
    <n v="-20.65"/>
    <n v="2.4900000000000002"/>
    <n v="-2.12"/>
    <s v="NO"/>
    <n v="-0.49600920189251668"/>
    <n v="1.1679675313235069"/>
    <n v="-0.98701934623532728"/>
    <n v="-0.81990791122968087"/>
    <n v="0.85773553868844865"/>
    <n v="-0.16220938254516232"/>
    <x v="0"/>
    <x v="0"/>
    <x v="0"/>
    <x v="0"/>
    <x v="0"/>
    <x v="0"/>
  </r>
  <r>
    <x v="1"/>
    <s v="NIO"/>
    <n v="8625"/>
    <n v="4.12"/>
    <n v="-1.1299999999999999"/>
    <n v="0.39"/>
    <n v="-1.51"/>
    <n v="-3.6460176991150446"/>
    <n v="10.564102564102564"/>
    <n v="-103.95"/>
    <n v="-12.15"/>
    <n v="18.03"/>
    <n v="-2.7284768211920531"/>
    <s v="NO"/>
    <n v="-0.81328069158425575"/>
    <n v="5.048336378520168"/>
    <n v="-1.6534567052731453"/>
    <n v="2.2511717818255766E-2"/>
    <n v="7.1204811633799876"/>
    <n v="-0.28197531261580927"/>
    <x v="0"/>
    <x v="1"/>
    <x v="0"/>
    <x v="0"/>
    <x v="1"/>
    <x v="0"/>
  </r>
  <r>
    <x v="1"/>
    <s v="PSNY"/>
    <n v="2279"/>
    <n v="1.04"/>
    <n v="-0.95"/>
    <n v="-0.86"/>
    <n v="-0.66"/>
    <n v="-1.0947368421052632"/>
    <n v="-1.2093023255813955"/>
    <n v="121.69"/>
    <n v="-22.77"/>
    <n v="-2.19"/>
    <n v="-1.5757575757575757"/>
    <s v="NO"/>
    <n v="-0.24289572199070478"/>
    <n v="-0.33031711003758973"/>
    <n v="1.3661201158773217"/>
    <n v="-1.0300172775334018"/>
    <n v="-1.0283422942302387"/>
    <n v="-5.5086649430034634E-2"/>
    <x v="0"/>
    <x v="0"/>
    <x v="0"/>
    <x v="0"/>
    <x v="0"/>
    <x v="0"/>
  </r>
  <r>
    <x v="1"/>
    <s v="THO"/>
    <n v="3927"/>
    <n v="82.54"/>
    <n v="10.14"/>
    <n v="74.28"/>
    <n v="3.79"/>
    <n v="8.1400394477317555"/>
    <n v="1.1112008616047389"/>
    <n v="5.09"/>
    <n v="2.86"/>
    <n v="1.7"/>
    <n v="21.778364116094988"/>
    <s v="NO"/>
    <n v="1.8217055071564237"/>
    <n v="0.72979954100057365"/>
    <n v="-0.1942532990586136"/>
    <n v="1.5101256745252596"/>
    <n v="0.53935915236243093"/>
    <n v="4.5416835281556933"/>
    <x v="0"/>
    <x v="0"/>
    <x v="0"/>
    <x v="0"/>
    <x v="0"/>
    <x v="1"/>
  </r>
  <r>
    <x v="1"/>
    <s v="VFS"/>
    <n v="8700"/>
    <n v="3.72"/>
    <n v="-0.79"/>
    <n v="-2.76"/>
    <n v="-1.3"/>
    <n v="-4.7088607594936711"/>
    <n v="-1.347826086956522"/>
    <n v="96.5"/>
    <n v="-22.32"/>
    <n v="-0.95"/>
    <n v="-2.8615384615384616"/>
    <s v="NO"/>
    <n v="-1.0508984767885508"/>
    <n v="-0.39360137821232222"/>
    <n v="1.0290205762355018"/>
    <n v="-0.98541859128968745"/>
    <n v="-0.52861227012357792"/>
    <n v="-0.30816571224614059"/>
    <x v="0"/>
    <x v="0"/>
    <x v="0"/>
    <x v="0"/>
    <x v="0"/>
    <x v="0"/>
  </r>
  <r>
    <x v="1"/>
    <s v="ZK"/>
    <n v="6403"/>
    <n v="28.6"/>
    <n v="0.87"/>
    <n v="-6.33"/>
    <n v="-3.74"/>
    <n v="32.873563218390807"/>
    <n v="-4.5181674565560828"/>
    <n v="61.5"/>
    <n v="-13.51"/>
    <n v="-2.78"/>
    <n v="-7.6470588235294121"/>
    <s v="NO"/>
    <n v="7.3513319946155606"/>
    <n v="-1.8419646874922939"/>
    <n v="0.5606409062290032"/>
    <n v="-0.11227542282941408"/>
    <n v="-1.2661170637648596"/>
    <n v="-1.25009526003571"/>
    <x v="1"/>
    <x v="0"/>
    <x v="0"/>
    <x v="0"/>
    <x v="0"/>
    <x v="0"/>
  </r>
  <r>
    <x v="1"/>
    <s v="HOG"/>
    <n v="2843"/>
    <n v="25"/>
    <n v="7.17"/>
    <n v="25.61"/>
    <n v="2.73"/>
    <n v="3.4867503486750349"/>
    <n v="0.97618117922686454"/>
    <n v="10.56"/>
    <n v="1.9"/>
    <n v="3.9"/>
    <n v="9.1575091575091569"/>
    <s v="NO"/>
    <n v="0.78137858509960434"/>
    <n v="0.66811610341812511"/>
    <n v="-0.12105224777474081"/>
    <n v="1.4149818105386691"/>
    <n v="1.4259769370677966"/>
    <n v="2.057532316872857"/>
    <x v="0"/>
    <x v="0"/>
    <x v="0"/>
    <x v="0"/>
    <x v="0"/>
    <x v="0"/>
  </r>
  <r>
    <x v="2"/>
    <s v="DDS"/>
    <n v="5544"/>
    <n v="393.87"/>
    <n v="37.81"/>
    <n v="112.9"/>
    <n v="36.82"/>
    <n v="10.417085427135678"/>
    <n v="3.4886625332152348"/>
    <n v="33.979999999999997"/>
    <n v="12.81"/>
    <n v="1.97"/>
    <n v="10.697175448126018"/>
    <s v="NO"/>
    <n v="-0.54555959239622798"/>
    <n v="0.20532295221317076"/>
    <n v="-0.24363301900269363"/>
    <n v="1.2764169784291355"/>
    <n v="1.2524895393238311"/>
    <n v="-0.13957646313900562"/>
    <x v="0"/>
    <x v="0"/>
    <x v="0"/>
    <x v="0"/>
    <x v="0"/>
    <x v="0"/>
  </r>
  <r>
    <x v="2"/>
    <s v="ETSY"/>
    <n v="4789"/>
    <n v="46.77"/>
    <n v="6.11"/>
    <n v="-8.66"/>
    <n v="1.54"/>
    <n v="7.6546644844517182"/>
    <n v="-5.4006928406466512"/>
    <n v="-25.19"/>
    <n v="10.6"/>
    <n v="-2.33"/>
    <n v="30.370129870129873"/>
    <s v="NO"/>
    <n v="-0.68535618706713286"/>
    <n v="-2.8665144507161857"/>
    <n v="-0.5467682797725637"/>
    <n v="0.85140254329571463"/>
    <n v="-18.994521810647875"/>
    <n v="1.9503103252109959"/>
    <x v="0"/>
    <x v="1"/>
    <x v="0"/>
    <x v="1"/>
    <x v="1"/>
    <x v="0"/>
  </r>
  <r>
    <x v="2"/>
    <s v="GLBE"/>
    <n v="6322"/>
    <n v="42.39"/>
    <n v="1"/>
    <n v="5.28"/>
    <n v="-0.45"/>
    <n v="42.39"/>
    <n v="8.0284090909090899"/>
    <n v="-8.42"/>
    <n v="-3.44"/>
    <n v="1.41"/>
    <n v="-94.2"/>
    <s v="NO"/>
    <n v="1.0724793204739551"/>
    <n v="1.774093992321264"/>
    <n v="-0.46085348641257184"/>
    <n v="-1.8486891622577812"/>
    <n v="-1.3843305434631819"/>
    <n v="-11.282957187849748"/>
    <x v="0"/>
    <x v="0"/>
    <x v="0"/>
    <x v="0"/>
    <x v="0"/>
    <x v="1"/>
  </r>
  <r>
    <x v="2"/>
    <s v="JWN"/>
    <n v="4057"/>
    <n v="24.57"/>
    <n v="4.57"/>
    <n v="6.9"/>
    <n v="1.74"/>
    <n v="5.3763676148796495"/>
    <n v="3.560869565217391"/>
    <n v="29.58"/>
    <n v="3.92"/>
    <n v="7.86"/>
    <n v="14.120689655172415"/>
    <s v="NO"/>
    <n v="-0.80065293243067837"/>
    <n v="0.23027507217351589"/>
    <n v="-0.26617476562069986"/>
    <n v="-0.43325647330666078"/>
    <n v="28.986186481494379"/>
    <n v="0.22410846986893784"/>
    <x v="0"/>
    <x v="0"/>
    <x v="0"/>
    <x v="0"/>
    <x v="1"/>
    <x v="0"/>
  </r>
  <r>
    <x v="2"/>
    <s v="M"/>
    <n v="3231"/>
    <n v="12.42"/>
    <n v="1.43"/>
    <n v="16.39"/>
    <n v="2.0699999999999998"/>
    <n v="8.685314685314685"/>
    <n v="0.75777913361805971"/>
    <n v="13.56"/>
    <n v="3.5"/>
    <n v="3.6"/>
    <n v="6"/>
    <s v="NO"/>
    <n v="-0.63319853572905049"/>
    <n v="-0.73837087226681963"/>
    <n v="-0.34824721580716794"/>
    <n v="-0.51402844740441489"/>
    <n v="8.927519423150315"/>
    <n v="-0.63856429694504069"/>
    <x v="0"/>
    <x v="0"/>
    <x v="0"/>
    <x v="0"/>
    <x v="1"/>
    <x v="0"/>
  </r>
  <r>
    <x v="2"/>
    <s v="MNSO"/>
    <n v="5418"/>
    <n v="19.84"/>
    <n v="0.62"/>
    <n v="4.58"/>
    <n v="1.1499999999999999"/>
    <n v="32"/>
    <n v="4.3318777292576423"/>
    <n v="26.96"/>
    <n v="12.37"/>
    <n v="1.76"/>
    <n v="17.252173913043478"/>
    <s v="NO"/>
    <n v="0.54667726178427922"/>
    <n v="0.49670740800146307"/>
    <n v="-0.27959735110687628"/>
    <n v="1.1917987198505355"/>
    <n v="0.26368200827870153"/>
    <n v="0.55677063326676968"/>
    <x v="0"/>
    <x v="0"/>
    <x v="0"/>
    <x v="0"/>
    <x v="0"/>
    <x v="0"/>
  </r>
  <r>
    <x v="2"/>
    <s v="OLLI"/>
    <n v="6781"/>
    <n v="113.94"/>
    <n v="1.74"/>
    <n v="27.63"/>
    <n v="3.23"/>
    <n v="65.482758620689651"/>
    <n v="4.1237785016286646"/>
    <n v="12.47"/>
    <n v="6.42"/>
    <n v="1.51"/>
    <n v="35.275541795665632"/>
    <s v="NO"/>
    <n v="2.2411241735617686"/>
    <n v="0.42479589540393148"/>
    <n v="-0.3538314212193559"/>
    <n v="4.7529086799018634E-2"/>
    <n v="-0.91346981439407204"/>
    <n v="2.4714194252821735"/>
    <x v="0"/>
    <x v="0"/>
    <x v="0"/>
    <x v="0"/>
    <x v="0"/>
    <x v="1"/>
  </r>
  <r>
    <x v="2"/>
    <s v="QVCGB"/>
    <n v="2787"/>
    <n v="6.18"/>
    <n v="0.73"/>
    <n v="-2.44"/>
    <n v="-3.26"/>
    <n v="8.4657534246575334"/>
    <n v="-2.5327868852459017"/>
    <n v="631.30999999999995"/>
    <n v="4.17"/>
    <n v="-9.52"/>
    <n v="-1.8957055214723926"/>
    <s v="NO"/>
    <n v="-0.64430977373309573"/>
    <n v="-1.8754706222977733"/>
    <n v="2.8165627781185925"/>
    <n v="-0.38517791729609285"/>
    <n v="-52.84940823071684"/>
    <n v="-1.4773366694144796"/>
    <x v="0"/>
    <x v="0"/>
    <x v="0"/>
    <x v="1"/>
    <x v="1"/>
    <x v="0"/>
  </r>
  <r>
    <x v="2"/>
    <s v="VIPS"/>
    <n v="7306"/>
    <n v="14.84"/>
    <n v="1.44"/>
    <n v="10.62"/>
    <n v="1.97"/>
    <n v="10.305555555555555"/>
    <n v="1.3973634651600755"/>
    <n v="19.57"/>
    <n v="7.63"/>
    <n v="1.87"/>
    <n v="7.532994923857868"/>
    <s v="NO"/>
    <n v="-0.55120373446381443"/>
    <n v="-0.51735382554875253"/>
    <n v="-0.31745723917666402"/>
    <n v="0.28022929789016748"/>
    <n v="0.78162881025472231"/>
    <n v="-0.4757119988481775"/>
    <x v="0"/>
    <x v="0"/>
    <x v="0"/>
    <x v="0"/>
    <x v="0"/>
    <x v="0"/>
  </r>
  <r>
    <x v="3"/>
    <s v="ATGE"/>
    <n v="4276"/>
    <n v="127.55"/>
    <n v="6.17"/>
    <n v="38.590000000000003"/>
    <n v="5.28"/>
    <n v="20.672609400324149"/>
    <n v="3.3052604301632544"/>
    <n v="14.63"/>
    <n v="7.48"/>
    <n v="1.89"/>
    <n v="24.157196969696969"/>
    <s v="NO"/>
    <n v="0.42497738188583284"/>
    <n v="9.4215648339177865E-2"/>
    <n v="-9.0788986153125889E-2"/>
    <n v="6.1637832908351911E-2"/>
    <n v="-0.28250602893742111"/>
    <n v="0.70771354980705203"/>
    <x v="0"/>
    <x v="0"/>
    <x v="0"/>
    <x v="0"/>
    <x v="0"/>
    <x v="0"/>
  </r>
  <r>
    <x v="3"/>
    <s v="BFAM"/>
    <n v="7071"/>
    <n v="121.37"/>
    <n v="3.7"/>
    <n v="23.07"/>
    <n v="2.77"/>
    <n v="32.802702702702703"/>
    <n v="5.2609449501517123"/>
    <n v="12.63"/>
    <n v="4.95"/>
    <n v="2.89"/>
    <n v="43.815884476534301"/>
    <s v="NO"/>
    <n v="2.2808960725708176"/>
    <n v="1.1797966255999655"/>
    <n v="-0.14066250485123011"/>
    <n v="-0.48466181353732651"/>
    <n v="0.83532358196604406"/>
    <n v="3.53241774127883"/>
    <x v="0"/>
    <x v="0"/>
    <x v="0"/>
    <x v="0"/>
    <x v="0"/>
    <x v="1"/>
  </r>
  <r>
    <x v="3"/>
    <s v="EDU"/>
    <n v="7802"/>
    <n v="48.94"/>
    <n v="3.61"/>
    <n v="22.85"/>
    <n v="2.29"/>
    <n v="13.556786703601109"/>
    <n v="2.1417943107221005"/>
    <n v="9.68"/>
    <n v="3.82"/>
    <n v="2.02"/>
    <n v="21.37117903930131"/>
    <s v="NO"/>
    <n v="-0.66375194716715291"/>
    <n v="-0.55161279384749873"/>
    <n v="-0.21422594493093386"/>
    <n v="-0.72866126036879553"/>
    <n v="-0.13718817951997053"/>
    <n v="0.30739809015253267"/>
    <x v="0"/>
    <x v="0"/>
    <x v="0"/>
    <x v="0"/>
    <x v="0"/>
    <x v="0"/>
  </r>
  <r>
    <x v="3"/>
    <s v="GHC"/>
    <n v="4204"/>
    <n v="985.47"/>
    <n v="86.28"/>
    <n v="984.96"/>
    <n v="141.53"/>
    <n v="11.421766342141863"/>
    <n v="1.0005177875243665"/>
    <n v="14.86"/>
    <n v="8.9499999999999993"/>
    <n v="1.77"/>
    <n v="6.9629760474810993"/>
    <s v="YES"/>
    <n v="-0.99041259973181583"/>
    <n v="-1.1851240124079965"/>
    <n v="-8.5053531502843935E-2"/>
    <n v="0.37905304250327149"/>
    <n v="-0.41664558224583675"/>
    <n v="-1.7628780342538193"/>
    <x v="0"/>
    <x v="0"/>
    <x v="0"/>
    <x v="0"/>
    <x v="0"/>
    <x v="0"/>
  </r>
  <r>
    <x v="3"/>
    <s v="LAUR"/>
    <n v="3403"/>
    <n v="22.47"/>
    <n v="1.3"/>
    <n v="6.11"/>
    <n v="1.89"/>
    <n v="17.284615384615382"/>
    <n v="3.6775777414075281"/>
    <n v="31.17"/>
    <n v="10.83"/>
    <n v="2.0499999999999998"/>
    <n v="11.888888888888889"/>
    <s v="NO"/>
    <n v="-9.3389728814775946E-2"/>
    <n v="0.30088527550074728"/>
    <n v="0.32166501348019599"/>
    <n v="0.78499902484235284"/>
    <n v="-0.1036532911928668"/>
    <n v="-1.0550868022547433"/>
    <x v="0"/>
    <x v="0"/>
    <x v="0"/>
    <x v="0"/>
    <x v="0"/>
    <x v="0"/>
  </r>
  <r>
    <x v="3"/>
    <s v="LOPE"/>
    <n v="5515"/>
    <n v="195.09"/>
    <n v="8.67"/>
    <n v="27.55"/>
    <n v="7.73"/>
    <n v="22.501730103806228"/>
    <n v="7.0813067150635209"/>
    <n v="30.13"/>
    <n v="17.79"/>
    <n v="1.3"/>
    <n v="25.23803363518758"/>
    <s v="NO"/>
    <n v="0.70483502324837721"/>
    <n v="2.1902612907969861"/>
    <n v="0.2957307837571817"/>
    <n v="2.2878628743529932"/>
    <n v="-0.94202549937046531"/>
    <n v="0.86301607741708997"/>
    <x v="0"/>
    <x v="0"/>
    <x v="0"/>
    <x v="0"/>
    <x v="0"/>
    <x v="0"/>
  </r>
  <r>
    <x v="3"/>
    <s v="LRN"/>
    <n v="6913"/>
    <n v="153.74"/>
    <n v="5.7"/>
    <n v="33.049999999999997"/>
    <n v="6.39"/>
    <n v="26.971929824561403"/>
    <n v="4.6517397881996985"/>
    <n v="23.76"/>
    <n v="11.49"/>
    <n v="1.56"/>
    <n v="24.05946791862285"/>
    <s v="NO"/>
    <n v="1.3887808929159688"/>
    <n v="0.84163291447743394"/>
    <n v="0.13688362670371987"/>
    <n v="0.92751197608905156"/>
    <n v="-0.65138980053556439"/>
    <n v="0.69367112402956266"/>
    <x v="0"/>
    <x v="0"/>
    <x v="0"/>
    <x v="0"/>
    <x v="0"/>
    <x v="0"/>
  </r>
  <r>
    <x v="3"/>
    <s v="STRA"/>
    <n v="2135"/>
    <n v="89.26"/>
    <n v="5.03"/>
    <n v="68.42"/>
    <n v="4.68"/>
    <n v="17.745526838966203"/>
    <n v="1.3045893013738674"/>
    <n v="6.86"/>
    <n v="4.82"/>
    <n v="1.26"/>
    <n v="19.072649572649574"/>
    <s v="NO"/>
    <n v="-2.2869728551236961E-2"/>
    <n v="-1.0163369469134778"/>
    <n v="-0.28454760629526077"/>
    <n v="-0.51273254635864596"/>
    <n v="-0.9867386838066039"/>
    <n v="-2.2871456907228437E-2"/>
    <x v="0"/>
    <x v="0"/>
    <x v="0"/>
    <x v="0"/>
    <x v="0"/>
    <x v="0"/>
  </r>
  <r>
    <x v="3"/>
    <s v="TAL"/>
    <n v="5559"/>
    <n v="10.01"/>
    <n v="0.66"/>
    <n v="6.2"/>
    <n v="0.14000000000000001"/>
    <n v="15.166666666666666"/>
    <n v="1.6145161290322581"/>
    <n v="2.2799999999999998"/>
    <n v="-0.04"/>
    <n v="1.46"/>
    <n v="71.499999999999986"/>
    <s v="NO"/>
    <n v="-0.41743839963436108"/>
    <n v="-0.84429965510594374"/>
    <n v="-0.39875796411391945"/>
    <n v="-1.5621460964479728"/>
    <n v="-0.76317276162591097"/>
    <n v="7.5102742044391766"/>
    <x v="0"/>
    <x v="0"/>
    <x v="0"/>
    <x v="0"/>
    <x v="0"/>
    <x v="1"/>
  </r>
  <r>
    <x v="3"/>
    <s v="ADT"/>
    <n v="6926"/>
    <n v="8.5500000000000007"/>
    <n v="0.85"/>
    <n v="4.33"/>
    <n v="0.64"/>
    <n v="10.058823529411766"/>
    <n v="1.9745958429561201"/>
    <n v="16.260000000000002"/>
    <n v="4.82"/>
    <n v="4.38"/>
    <n v="13.359375"/>
    <s v="NO"/>
    <n v="-1.1989444698028027"/>
    <n v="-0.64442299619801413"/>
    <n v="-5.0142068414170939E-2"/>
    <n v="-0.51273254635864596"/>
    <n v="2.5008897022122065"/>
    <n v="-0.84379658869842489"/>
    <x v="0"/>
    <x v="0"/>
    <x v="0"/>
    <x v="0"/>
    <x v="0"/>
    <x v="0"/>
  </r>
  <r>
    <x v="3"/>
    <s v="FTDR"/>
    <n v="3901"/>
    <n v="54.27"/>
    <n v="3.6"/>
    <n v="2.67"/>
    <n v="3.08"/>
    <n v="15.075000000000001"/>
    <n v="20.325842696629216"/>
    <n v="132.22"/>
    <n v="13.51"/>
    <n v="10.71"/>
    <n v="17.620129870129869"/>
    <s v="NO"/>
    <n v="-0.43146350857116489"/>
    <n v="9.542171155235966"/>
    <n v="2.8415245457019114"/>
    <n v="1.3636879783895535"/>
    <n v="9.5767511392311402"/>
    <n v="-0.23158012530005684"/>
    <x v="0"/>
    <x v="1"/>
    <x v="0"/>
    <x v="1"/>
    <x v="1"/>
    <x v="0"/>
  </r>
  <r>
    <x v="3"/>
    <s v="HRB"/>
    <n v="8250"/>
    <n v="56.95"/>
    <n v="4.96"/>
    <n v="-6.52"/>
    <n v="3.8"/>
    <n v="11.481854838709678"/>
    <n v="-8.7346625766871178"/>
    <n v="-65.17"/>
    <n v="17.25"/>
    <n v="-3.11"/>
    <n v="14.986842105263159"/>
    <s v="NO"/>
    <n v="-0.98121898834768073"/>
    <n v="-6.5890255648184564"/>
    <n v="-2.0807423822074842"/>
    <n v="2.1712613687875129"/>
    <n v="-5.8716540834547448"/>
    <n v="-0.60995019625129931"/>
    <x v="0"/>
    <x v="1"/>
    <x v="0"/>
    <x v="1"/>
    <x v="1"/>
    <x v="0"/>
  </r>
  <r>
    <x v="3"/>
    <s v="MCW"/>
    <n v="2436"/>
    <n v="7.88"/>
    <n v="-0.08"/>
    <n v="3.18"/>
    <n v="0.24"/>
    <n v="-98.5"/>
    <n v="2.4779874213836477"/>
    <n v="8.2100000000000009"/>
    <n v="4.2300000000000004"/>
    <n v="2.99"/>
    <n v="32.833333333333336"/>
    <s v="NO"/>
    <n v="-17.808573481271434"/>
    <n v="-0.36499535024137941"/>
    <n v="-0.2508829811740404"/>
    <n v="-0.64013048762463409"/>
    <n v="0.94710654305639075"/>
    <n v="1.9543643622593376"/>
    <x v="1"/>
    <x v="0"/>
    <x v="0"/>
    <x v="0"/>
    <x v="0"/>
    <x v="0"/>
  </r>
  <r>
    <x v="4"/>
    <s v="BYD"/>
    <n v="5772"/>
    <n v="75.36"/>
    <n v="5.34"/>
    <n v="16.48"/>
    <n v="6.13"/>
    <n v="14.112359550561798"/>
    <n v="4.5728155339805827"/>
    <n v="35.549999999999997"/>
    <n v="9.36"/>
    <n v="4.79"/>
    <n v="12.293637846655791"/>
    <s v="YES"/>
    <n v="-0.27445852209119376"/>
    <n v="-5.214428781817896E-2"/>
    <n v="0.19448388571856917"/>
    <n v="0.81053234524547235"/>
    <n v="-2.2139919988976679E-2"/>
    <n v="-0.2497113289584198"/>
    <x v="0"/>
    <x v="0"/>
    <x v="0"/>
    <x v="0"/>
    <x v="0"/>
    <x v="0"/>
  </r>
  <r>
    <x v="4"/>
    <s v="CHDN"/>
    <n v="6681"/>
    <n v="98.36"/>
    <n v="3.96"/>
    <n v="14.72"/>
    <n v="5.66"/>
    <n v="24.838383838383837"/>
    <n v="6.6820652173913038"/>
    <n v="44.36"/>
    <n v="6.12"/>
    <n v="6.86"/>
    <n v="17.378091872791519"/>
    <s v="NO"/>
    <n v="0.39971077028753843"/>
    <n v="0.28806696126678116"/>
    <n v="0.20248710023837299"/>
    <n v="0.1497057728762399"/>
    <n v="0.41203556358432913"/>
    <n v="-1.1679107098592646E-2"/>
    <x v="0"/>
    <x v="0"/>
    <x v="0"/>
    <x v="0"/>
    <x v="0"/>
    <x v="0"/>
  </r>
  <r>
    <x v="4"/>
    <s v="CZR"/>
    <n v="5634"/>
    <n v="30.52"/>
    <n v="-0.27"/>
    <n v="19.12"/>
    <n v="-1.1000000000000001"/>
    <n v="-113.03703703703702"/>
    <n v="1.5962343096234308"/>
    <n v="-3.77"/>
    <n v="4.34"/>
    <n v="7.99"/>
    <n v="-27.745454545454542"/>
    <s v="NO"/>
    <n v="-8.2662564542633294"/>
    <n v="-0.53225170435877278"/>
    <n v="0.15876465814550603"/>
    <n v="-0.2133409242895731"/>
    <n v="0.64904923336106124"/>
    <n v="-2.1241690532990489"/>
    <x v="1"/>
    <x v="0"/>
    <x v="0"/>
    <x v="0"/>
    <x v="0"/>
    <x v="0"/>
  </r>
  <r>
    <x v="4"/>
    <s v="GENI"/>
    <n v="2363"/>
    <n v="10.35"/>
    <n v="0.08"/>
    <n v="2.73"/>
    <n v="-0.27"/>
    <n v="129.375"/>
    <n v="3.7912087912087911"/>
    <n v="-11.01"/>
    <n v="-4.49"/>
    <n v="1.38"/>
    <n v="-38.333333333333329"/>
    <s v="NO"/>
    <n v="6.9702139366246909"/>
    <n v="-0.17821348121098371"/>
    <n v="0.15218766914171722"/>
    <n v="-2.0142972928143643"/>
    <n v="-0.73737586152761081"/>
    <n v="-2.6198479009602518"/>
    <x v="1"/>
    <x v="0"/>
    <x v="0"/>
    <x v="0"/>
    <x v="0"/>
    <x v="1"/>
  </r>
  <r>
    <x v="4"/>
    <s v="IGT"/>
    <n v="3422"/>
    <n v="16.190000000000001"/>
    <n v="4.72"/>
    <n v="8.2200000000000006"/>
    <n v="0.31"/>
    <n v="3.4300847457627124"/>
    <n v="1.9695863746958637"/>
    <n v="7.68"/>
    <n v="4.41"/>
    <n v="6.18"/>
    <n v="52.225806451612911"/>
    <s v="NO"/>
    <n v="-0.94587800175087344"/>
    <n v="-0.47203191463651056"/>
    <n v="0.16916611174956436"/>
    <n v="-0.19906380698529952"/>
    <n v="0.26940786849744597"/>
    <n v="1.619740684543854"/>
    <x v="0"/>
    <x v="0"/>
    <x v="0"/>
    <x v="0"/>
    <x v="0"/>
    <x v="0"/>
  </r>
  <r>
    <x v="4"/>
    <s v="LNW"/>
    <n v="7943"/>
    <n v="88.69"/>
    <n v="3.8"/>
    <n v="7.4"/>
    <n v="3.68"/>
    <n v="23.339473684210528"/>
    <n v="11.985135135135135"/>
    <n v="47.97"/>
    <n v="8.68"/>
    <n v="8.52"/>
    <n v="24.100543478260867"/>
    <s v="NO"/>
    <n v="0.30549886372625784"/>
    <n v="1.1434251746116884"/>
    <n v="0.20576651050131192"/>
    <n v="0.67184034857538655"/>
    <n v="0.76021493688466113"/>
    <n v="0.30303710112547511"/>
    <x v="0"/>
    <x v="0"/>
    <x v="0"/>
    <x v="0"/>
    <x v="0"/>
    <x v="0"/>
  </r>
  <r>
    <x v="4"/>
    <s v="MGM"/>
    <n v="8638"/>
    <n v="34.9"/>
    <n v="3.86"/>
    <n v="10.199999999999999"/>
    <n v="2.2400000000000002"/>
    <n v="9.0414507772020727"/>
    <n v="3.4215686274509807"/>
    <n v="25.82"/>
    <n v="2.34"/>
    <n v="14.68"/>
    <n v="15.580357142857141"/>
    <s v="NO"/>
    <n v="-0.5931834184476612"/>
    <n v="-0.2378345601250092"/>
    <n v="0.18564492121485848"/>
    <n v="-0.62125856155453152"/>
    <n v="2.0522540570834842"/>
    <n v="-9.5841298335098316E-2"/>
    <x v="0"/>
    <x v="0"/>
    <x v="0"/>
    <x v="0"/>
    <x v="0"/>
    <x v="0"/>
  </r>
  <r>
    <x v="4"/>
    <s v="MLCO"/>
    <n v="2400"/>
    <n v="6.28"/>
    <n v="0.75"/>
    <n v="-3.16"/>
    <n v="0.1"/>
    <n v="8.3733333333333331"/>
    <n v="-1.9873417721518987"/>
    <n v="3.14"/>
    <n v="3.74"/>
    <n v="-6.02"/>
    <n v="62.8"/>
    <s v="NO"/>
    <n v="-0.63517700826921986"/>
    <n v="-1.1102643050293262"/>
    <n v="0.16504186726376305"/>
    <n v="-0.33571621546906055"/>
    <n v="-2.2895007786495731"/>
    <n v="2.1147788482798706"/>
    <x v="0"/>
    <x v="0"/>
    <x v="0"/>
    <x v="0"/>
    <x v="0"/>
    <x v="0"/>
  </r>
  <r>
    <x v="4"/>
    <s v="PENN"/>
    <n v="2376"/>
    <n v="16.16"/>
    <n v="-1.19"/>
    <n v="19.45"/>
    <n v="-2.0499999999999998"/>
    <n v="-13.579831932773111"/>
    <n v="0.8308483290488432"/>
    <n v="-10.34"/>
    <n v="0.65"/>
    <n v="5.33"/>
    <n v="-7.8829268292682935"/>
    <s v="NO"/>
    <n v="-2.0150125834811767"/>
    <n v="-0.65570457128647297"/>
    <n v="0.15279631315173633"/>
    <n v="-0.9659489650434212"/>
    <n v="9.1123249638842219E-2"/>
    <n v="-1.1942911195556862"/>
    <x v="0"/>
    <x v="0"/>
    <x v="0"/>
    <x v="0"/>
    <x v="0"/>
    <x v="0"/>
  </r>
  <r>
    <x v="4"/>
    <s v="RRR"/>
    <n v="2644"/>
    <n v="47.99"/>
    <n v="4.1100000000000003"/>
    <n v="3.64"/>
    <n v="2.6"/>
    <n v="11.67639902676399"/>
    <n v="13.184065934065934"/>
    <n v="105.79"/>
    <n v="8.99"/>
    <n v="18.809999999999999"/>
    <n v="18.457692307692309"/>
    <s v="NO"/>
    <n v="-0.42756742232516476"/>
    <n v="1.3368066163057348"/>
    <n v="0.25829158014206755"/>
    <n v="0.7350675823514552"/>
    <n v="2.9185075581258766"/>
    <n v="3.8863131835875558E-2"/>
    <x v="0"/>
    <x v="0"/>
    <x v="0"/>
    <x v="0"/>
    <x v="1"/>
    <x v="0"/>
  </r>
  <r>
    <x v="4"/>
    <s v="SGHC"/>
    <n v="4586"/>
    <n v="8.65"/>
    <n v="0.4"/>
    <n v="1.1499999999999999"/>
    <n v="0.23"/>
    <n v="21.625"/>
    <n v="7.5217391304347831"/>
    <n v="20.75"/>
    <n v="12.02"/>
    <n v="1.89"/>
    <n v="37.608695652173914"/>
    <s v="NO"/>
    <n v="0.19773801222431997"/>
    <n v="0.42350209397171862"/>
    <n v="0.1810392120644152"/>
    <n v="1.3530628028078671"/>
    <n v="-0.63040509021244862"/>
    <n v="0.93543056139655123"/>
    <x v="0"/>
    <x v="0"/>
    <x v="0"/>
    <x v="0"/>
    <x v="0"/>
    <x v="0"/>
  </r>
  <r>
    <x v="4"/>
    <s v="SRAD"/>
    <n v="6887"/>
    <n v="23.33"/>
    <n v="0.43"/>
    <n v="3.2"/>
    <n v="0.11"/>
    <n v="54.255813953488371"/>
    <n v="7.2906249999999995"/>
    <n v="3.73"/>
    <n v="3.55"/>
    <n v="2.48"/>
    <n v="212.09090909090907"/>
    <s v="NO"/>
    <n v="2.2487022989397509"/>
    <n v="0.38622455987283527"/>
    <n v="0.1655778373621381"/>
    <n v="-0.37446839100923168"/>
    <n v="-0.5066545900635353"/>
    <n v="9.1039357197386064"/>
    <x v="0"/>
    <x v="0"/>
    <x v="0"/>
    <x v="0"/>
    <x v="0"/>
    <x v="1"/>
  </r>
  <r>
    <x v="4"/>
    <s v="WYNN"/>
    <n v="8931"/>
    <n v="96.79"/>
    <n v="9.1300000000000008"/>
    <n v="-2.1"/>
    <n v="4.3499999999999996"/>
    <n v="10.601314348302299"/>
    <n v="-46.090476190476188"/>
    <n v="-61.82"/>
    <n v="5.35"/>
    <n v="-57.9"/>
    <n v="22.250574712643683"/>
    <s v="NO"/>
    <n v="-0.49514036990357324"/>
    <n v="-8.2238756365988817"/>
    <n v="0.10603065100877371"/>
    <n v="-7.3425174707691674E-3"/>
    <n v="-13.171154927337062"/>
    <n v="0.2164295374839143"/>
    <x v="0"/>
    <x v="1"/>
    <x v="0"/>
    <x v="0"/>
    <x v="1"/>
    <x v="0"/>
  </r>
  <r>
    <x v="4"/>
    <s v="ATAT"/>
    <n v="3674"/>
    <n v="29.62"/>
    <n v="1.66"/>
    <n v="2.94"/>
    <n v="1.26"/>
    <n v="17.843373493975903"/>
    <n v="10.07482993197279"/>
    <n v="50.86"/>
    <n v="14.02"/>
    <n v="2.67"/>
    <n v="23.50793650793651"/>
    <s v="NO"/>
    <n v="-3.9950845939229818E-2"/>
    <n v="0.83530265862276099"/>
    <n v="0.20839185555945414"/>
    <n v="1.7609804400728255"/>
    <n v="-0.4668027340833768"/>
    <n v="0.27529379710289253"/>
    <x v="0"/>
    <x v="0"/>
    <x v="0"/>
    <x v="0"/>
    <x v="0"/>
    <x v="0"/>
  </r>
  <r>
    <x v="4"/>
    <s v="CHH"/>
    <n v="5870"/>
    <n v="126.23"/>
    <n v="3.64"/>
    <n v="-0.97"/>
    <n v="6.2"/>
    <n v="34.678571428571431"/>
    <n v="-130.13402061855672"/>
    <n v="-6195.9"/>
    <n v="12.19"/>
    <n v="-55.9"/>
    <n v="20.359677419354838"/>
    <s v="NO"/>
    <n v="1.0182020328966224"/>
    <n v="-21.779672018736811"/>
    <n v="-5.4663141982123644"/>
    <n v="1.3877358019753885"/>
    <n v="-12.751661706493289"/>
    <n v="0.12790587659197847"/>
    <x v="0"/>
    <x v="1"/>
    <x v="0"/>
    <x v="1"/>
    <x v="1"/>
    <x v="0"/>
  </r>
  <r>
    <x v="4"/>
    <s v="GBTG"/>
    <n v="2853"/>
    <n v="6.24"/>
    <n v="0.36"/>
    <n v="2.23"/>
    <n v="-0.3"/>
    <n v="17.333333333333336"/>
    <n v="2.7982062780269059"/>
    <n v="-11.81"/>
    <n v="3.34"/>
    <n v="3.45"/>
    <n v="-20.8"/>
    <s v="NO"/>
    <n v="-7.2008708662469612E-2"/>
    <n v="-0.33837973749214212"/>
    <n v="0.15146093002527644"/>
    <n v="-0.4172997429220523"/>
    <n v="-0.30320037795430499"/>
    <n v="-1.7990128086397823"/>
    <x v="0"/>
    <x v="0"/>
    <x v="0"/>
    <x v="0"/>
    <x v="0"/>
    <x v="0"/>
  </r>
  <r>
    <x v="4"/>
    <s v="HGV"/>
    <n v="3488"/>
    <n v="42.16"/>
    <n v="2.09"/>
    <n v="16.940000000000001"/>
    <n v="0.34"/>
    <n v="20.172248803827753"/>
    <n v="2.4887839433293975"/>
    <n v="2.57"/>
    <n v="3.25"/>
    <n v="7.45"/>
    <n v="123.99999999999999"/>
    <s v="NO"/>
    <n v="0.10642736257030246"/>
    <n v="-0.38828798676683246"/>
    <n v="0.16452406564329902"/>
    <n v="-0.43565603659897539"/>
    <n v="0.53578606373324233"/>
    <n v="4.9798990564555012"/>
    <x v="0"/>
    <x v="0"/>
    <x v="0"/>
    <x v="0"/>
    <x v="0"/>
    <x v="1"/>
  </r>
  <r>
    <x v="4"/>
    <s v="NCLH"/>
    <n v="7734"/>
    <n v="19.34"/>
    <n v="-1.27"/>
    <n v="3.19"/>
    <n v="1.77"/>
    <n v="-15.228346456692913"/>
    <n v="6.0626959247648902"/>
    <n v="95.87"/>
    <n v="4.4000000000000004"/>
    <n v="15.08"/>
    <n v="10.926553672316384"/>
    <s v="NO"/>
    <n v="-2.1186276639848538"/>
    <n v="0.18816584365771485"/>
    <n v="0.24928001509820219"/>
    <n v="-0.20110339517162426"/>
    <n v="2.1361527012522386"/>
    <n v="-0.31371231742536315"/>
    <x v="0"/>
    <x v="0"/>
    <x v="0"/>
    <x v="0"/>
    <x v="0"/>
    <x v="0"/>
  </r>
  <r>
    <x v="4"/>
    <s v="TNL"/>
    <n v="3110"/>
    <n v="51.04"/>
    <n v="6.57"/>
    <n v="-13.6"/>
    <n v="5.52"/>
    <n v="7.7686453576864531"/>
    <n v="-3.7529411764705882"/>
    <n v="-42.12"/>
    <n v="6.87"/>
    <n v="-7.49"/>
    <n v="9.2463768115942031"/>
    <s v="NO"/>
    <n v="-0.67318382735824911"/>
    <n v="-1.3950465114467334"/>
    <n v="0.12392660175112731"/>
    <n v="0.30267488685059929"/>
    <n v="-2.5978282959697472"/>
    <n v="-0.39237095593785032"/>
    <x v="0"/>
    <x v="0"/>
    <x v="0"/>
    <x v="0"/>
    <x v="1"/>
    <x v="0"/>
  </r>
  <r>
    <x v="4"/>
    <s v="VAC"/>
    <n v="2012"/>
    <n v="72.319999999999993"/>
    <n v="2.77"/>
    <n v="70.02"/>
    <n v="5.63"/>
    <n v="26.108303249097471"/>
    <n v="1.0328477577834905"/>
    <n v="9"/>
    <n v="3.33"/>
    <n v="4.0199999999999996"/>
    <n v="12.845470692717583"/>
    <s v="NO"/>
    <n v="0.47952978314124417"/>
    <n v="-0.62312309053302495"/>
    <n v="0.17036523129169159"/>
    <n v="-0.41933933110837707"/>
    <n v="-0.18364481001382965"/>
    <n v="-0.22387689368412711"/>
    <x v="0"/>
    <x v="0"/>
    <x v="0"/>
    <x v="0"/>
    <x v="0"/>
    <x v="0"/>
  </r>
  <r>
    <x v="4"/>
    <s v="WH"/>
    <n v="6413"/>
    <n v="87.79"/>
    <n v="2.87"/>
    <n v="7.42"/>
    <n v="4.22"/>
    <n v="30.588850174216027"/>
    <n v="11.831536388140163"/>
    <n v="53.31"/>
    <n v="8.51"/>
    <n v="7.34"/>
    <n v="20.803317535545027"/>
    <s v="NO"/>
    <n v="0.76114830915991272"/>
    <n v="1.1186504777211124"/>
    <n v="0.21061749410355396"/>
    <n v="0.63716734940786512"/>
    <n v="0.51271393658683473"/>
    <n v="0.14867519459939504"/>
    <x v="0"/>
    <x v="0"/>
    <x v="0"/>
    <x v="0"/>
    <x v="0"/>
    <x v="0"/>
  </r>
  <r>
    <x v="4"/>
    <s v="FUN"/>
    <n v="3651"/>
    <n v="37.159999999999997"/>
    <n v="0.7"/>
    <n v="20.350000000000001"/>
    <n v="-3.22"/>
    <n v="53.085714285714282"/>
    <n v="1.8260442260442258"/>
    <n v="-24.3"/>
    <n v="5.38"/>
    <n v="4.47"/>
    <n v="-11.540372670807452"/>
    <s v="NO"/>
    <n v="2.1751573167666756"/>
    <n v="-0.49518453334884133"/>
    <n v="0.14011471556984514"/>
    <n v="-1.2237529117947404E-3"/>
    <n v="-8.9258835323980532E-2"/>
    <n v="-1.3655169690802249"/>
    <x v="0"/>
    <x v="0"/>
    <x v="0"/>
    <x v="0"/>
    <x v="0"/>
    <x v="0"/>
  </r>
  <r>
    <x v="4"/>
    <s v="LTH"/>
    <n v="7178"/>
    <n v="29.87"/>
    <n v="0.25"/>
    <n v="12.58"/>
    <n v="0.74"/>
    <n v="119.48"/>
    <n v="2.374403815580286"/>
    <n v="6.42"/>
    <n v="3.18"/>
    <n v="2.74"/>
    <n v="40.36486486486487"/>
    <s v="NO"/>
    <n v="6.3482775164674603"/>
    <n v="-0.40673691978698506"/>
    <n v="0.16802149764117016"/>
    <n v="-0.44993315390324889"/>
    <n v="-0.45212047135384464"/>
    <n v="1.0644625239526357"/>
    <x v="1"/>
    <x v="0"/>
    <x v="0"/>
    <x v="0"/>
    <x v="0"/>
    <x v="0"/>
  </r>
  <r>
    <x v="4"/>
    <s v="MTN"/>
    <n v="5206"/>
    <n v="149.34"/>
    <n v="10.58"/>
    <n v="14.21"/>
    <n v="6.89"/>
    <n v="14.115311909262759"/>
    <n v="10.509500351864883"/>
    <n v="28.08"/>
    <n v="6.21"/>
    <n v="10.42"/>
    <n v="21.67489114658926"/>
    <s v="NO"/>
    <n v="-0.27427295570397842"/>
    <n v="0.90541278719352702"/>
    <n v="0.18769795921880364"/>
    <n v="0.168062066553163"/>
    <n v="1.1587334966862461"/>
    <n v="0.1894785143038957"/>
    <x v="0"/>
    <x v="0"/>
    <x v="0"/>
    <x v="0"/>
    <x v="0"/>
    <x v="0"/>
  </r>
  <r>
    <x v="4"/>
    <s v="PLNT"/>
    <n v="8549"/>
    <n v="93.83"/>
    <n v="2.21"/>
    <n v="-2.5499999999999998"/>
    <n v="2"/>
    <n v="42.457013574660635"/>
    <n v="-36.79607843137255"/>
    <n v="-104.22"/>
    <n v="6.77"/>
    <n v="-14.25"/>
    <n v="46.914999999999999"/>
    <s v="NO"/>
    <n v="1.5071051620263698"/>
    <n v="-6.724736537047634"/>
    <n v="6.7513477837413641E-2"/>
    <n v="0.28227900498735126"/>
    <n v="-4.0157153824217016"/>
    <n v="1.3711116177754605"/>
    <x v="0"/>
    <x v="1"/>
    <x v="0"/>
    <x v="1"/>
    <x v="1"/>
    <x v="0"/>
  </r>
  <r>
    <x v="4"/>
    <s v="PRKS"/>
    <n v="2504"/>
    <n v="49.24"/>
    <n v="3.89"/>
    <n v="-8.39"/>
    <n v="3.79"/>
    <n v="12.658097686375321"/>
    <n v="-5.8688915375446955"/>
    <n v="-67.930000000000007"/>
    <n v="11.7"/>
    <n v="-5.58"/>
    <n v="12.992084432717679"/>
    <s v="NO"/>
    <n v="-0.36586412267566265"/>
    <n v="-1.7363385457680294"/>
    <n v="0.10048018100695742"/>
    <n v="1.2877959808454738"/>
    <n v="-2.1972122700639436"/>
    <n v="-0.21701307033003428"/>
    <x v="0"/>
    <x v="0"/>
    <x v="0"/>
    <x v="0"/>
    <x v="0"/>
    <x v="0"/>
  </r>
  <r>
    <x v="4"/>
    <s v="BROS"/>
    <n v="7413"/>
    <n v="70.23"/>
    <n v="0.24"/>
    <n v="4.66"/>
    <n v="0.34"/>
    <n v="292.625"/>
    <n v="15.070815450643778"/>
    <n v="9.23"/>
    <n v="3.64"/>
    <n v="4.6500000000000004"/>
    <n v="206.55882352941177"/>
    <s v="NO"/>
    <n v="17.23106493113384"/>
    <n v="1.6411297198215935"/>
    <n v="0.17057416878766832"/>
    <n v="-0.35611209733230847"/>
    <n v="-5.1504445448040767E-2"/>
    <n v="8.8449473188300676"/>
    <x v="1"/>
    <x v="0"/>
    <x v="0"/>
    <x v="0"/>
    <x v="0"/>
    <x v="1"/>
  </r>
  <r>
    <x v="4"/>
    <s v="CAKE"/>
    <n v="2482"/>
    <n v="53.78"/>
    <n v="2.2400000000000002"/>
    <n v="8.64"/>
    <n v="3.19"/>
    <n v="24.008928571428569"/>
    <n v="6.2245370370370372"/>
    <n v="41.18"/>
    <n v="4.13"/>
    <n v="6.86"/>
    <n v="16.858934169278996"/>
    <s v="NO"/>
    <n v="0.34757651668362538"/>
    <n v="0.21426999215775039"/>
    <n v="0.19959831225052102"/>
    <n v="-0.25617227620239374"/>
    <n v="0.41203556358432913"/>
    <n v="-3.5983833039177321E-2"/>
    <x v="0"/>
    <x v="0"/>
    <x v="0"/>
    <x v="0"/>
    <x v="0"/>
    <x v="0"/>
  </r>
  <r>
    <x v="4"/>
    <s v="EAT"/>
    <n v="6173"/>
    <n v="151.81"/>
    <n v="8.7799999999999994"/>
    <n v="5.83"/>
    <n v="7.16"/>
    <n v="17.290432801822323"/>
    <n v="26.039451114922812"/>
    <n v="314.08"/>
    <n v="12.21"/>
    <n v="9.93"/>
    <n v="21.202513966480446"/>
    <s v="NO"/>
    <n v="-7.4705161718639557E-2"/>
    <n v="3.4103148805219687"/>
    <n v="0.44750719334637379"/>
    <n v="1.3918149783480385"/>
    <n v="1.0559576575795215"/>
    <n v="0.16736385082986327"/>
    <x v="0"/>
    <x v="1"/>
    <x v="0"/>
    <x v="1"/>
    <x v="0"/>
    <x v="0"/>
  </r>
  <r>
    <x v="4"/>
    <s v="SG"/>
    <n v="2105"/>
    <n v="15.79"/>
    <n v="-0.43"/>
    <n v="3.81"/>
    <n v="-0.79"/>
    <n v="-36.720930232558139"/>
    <n v="4.1443569553805775"/>
    <n v="-19.46"/>
    <n v="-6.64"/>
    <n v="1.92"/>
    <n v="-19.987341772151897"/>
    <s v="NO"/>
    <n v="-3.4695140322002156"/>
    <n v="-0.12125247797372546"/>
    <n v="0.1445114872243117"/>
    <n v="-2.4528087528741946"/>
    <n v="-0.6241126918997919"/>
    <n v="-1.7609676532321386"/>
    <x v="1"/>
    <x v="0"/>
    <x v="1"/>
    <x v="0"/>
    <x v="0"/>
    <x v="0"/>
  </r>
  <r>
    <x v="4"/>
    <s v="SHAK"/>
    <n v="4100"/>
    <n v="113.94"/>
    <n v="1"/>
    <n v="11.77"/>
    <n v="0.28999999999999998"/>
    <n v="113.94"/>
    <n v="9.6805437553101115"/>
    <n v="2.71"/>
    <n v="1.48"/>
    <n v="3.65"/>
    <n v="392.89655172413796"/>
    <s v="NO"/>
    <n v="6.0000685455052505"/>
    <n v="0.77170630314414668"/>
    <n v="0.16465124498867617"/>
    <n v="-0.79666314557846363"/>
    <n v="-0.2612510558699277"/>
    <n v="17.568476576938696"/>
    <x v="1"/>
    <x v="0"/>
    <x v="0"/>
    <x v="0"/>
    <x v="0"/>
    <x v="1"/>
  </r>
  <r>
    <x v="4"/>
    <s v="WEN"/>
    <n v="2258"/>
    <n v="11.93"/>
    <n v="1.21"/>
    <n v="0.67"/>
    <n v="0.94"/>
    <n v="9.8595041322314056"/>
    <n v="17.805970149253731"/>
    <n v="90.4"/>
    <n v="4.5999999999999996"/>
    <n v="37.770000000000003"/>
    <n v="12.691489361702128"/>
    <s v="NO"/>
    <n v="-0.5417658161106671"/>
    <n v="2.0822962653345902"/>
    <n v="0.24431093638953852"/>
    <n v="-0.16031163144512856"/>
    <n v="6.8953032917248525"/>
    <n v="-0.23108563589285522"/>
    <x v="0"/>
    <x v="0"/>
    <x v="0"/>
    <x v="0"/>
    <x v="1"/>
    <x v="0"/>
  </r>
  <r>
    <x v="4"/>
    <s v="WING"/>
    <n v="7538"/>
    <n v="286.3"/>
    <n v="3.08"/>
    <n v="-25.62"/>
    <n v="5.91"/>
    <n v="92.954545454545453"/>
    <n v="-11.174863387978142"/>
    <n v="-29.97"/>
    <n v="19.12"/>
    <n v="-0.97"/>
    <n v="48.443316412859559"/>
    <s v="NO"/>
    <n v="4.6810570775545379"/>
    <n v="-2.5921648261003871"/>
    <n v="0.13496395208207129"/>
    <n v="2.8011704150984698"/>
    <n v="-1.2302803960190449"/>
    <n v="1.442660804686742"/>
    <x v="1"/>
    <x v="0"/>
    <x v="1"/>
    <x v="0"/>
    <x v="0"/>
    <x v="0"/>
  </r>
  <r>
    <x v="5"/>
    <s v="MHK"/>
    <n v="6302"/>
    <n v="110.88"/>
    <n v="7.89"/>
    <n v="125.7"/>
    <n v="7.66"/>
    <n v="14.053231939163497"/>
    <n v="0.88210023866348442"/>
    <n v="6.26"/>
    <n v="3.59"/>
    <n v="1.71"/>
    <n v="14.475195822454307"/>
    <s v="NO"/>
    <n v="-5.9677652577473012E-2"/>
    <n v="-0.79408858872657806"/>
    <n v="-0.78216708803763746"/>
    <n v="-1.6254030402022241"/>
    <n v="-0.10917161899594101"/>
    <n v="0.16504727191135907"/>
    <x v="0"/>
    <x v="0"/>
    <x v="0"/>
    <x v="0"/>
    <x v="0"/>
    <x v="0"/>
  </r>
  <r>
    <x v="5"/>
    <s v="BLD"/>
    <n v="8336"/>
    <n v="313.14999999999998"/>
    <n v="23.17"/>
    <n v="75.69"/>
    <n v="20.29"/>
    <n v="13.515321536469571"/>
    <n v="4.1372704452371512"/>
    <n v="26.09"/>
    <n v="11.54"/>
    <n v="2.14"/>
    <n v="15.433711187777229"/>
    <s v="NO"/>
    <n v="-9.6435494963240512E-2"/>
    <n v="1.9572730980915867"/>
    <n v="0.97591865287458257"/>
    <n v="1.0559282320228325"/>
    <n v="0.74435194769960256"/>
    <n v="0.27834351180268746"/>
    <x v="0"/>
    <x v="0"/>
    <x v="0"/>
    <x v="0"/>
    <x v="0"/>
    <x v="0"/>
  </r>
  <r>
    <x v="5"/>
    <s v="CVCO"/>
    <n v="4154"/>
    <n v="527.98"/>
    <n v="16.87"/>
    <n v="131.06"/>
    <n v="20.25"/>
    <n v="31.296976882039122"/>
    <n v="4.0285365481458877"/>
    <n v="16.329999999999998"/>
    <n v="8.69"/>
    <n v="1.31"/>
    <n v="26.073086419753086"/>
    <s v="NO"/>
    <n v="1.1186651635796951"/>
    <n v="1.8653681408911371"/>
    <n v="0.11061775366614737"/>
    <n v="9.4696266508189575E-2"/>
    <n v="-0.90314702987551587"/>
    <n v="1.5359145974468873"/>
    <x v="0"/>
    <x v="0"/>
    <x v="0"/>
    <x v="0"/>
    <x v="0"/>
    <x v="0"/>
  </r>
  <r>
    <x v="5"/>
    <s v="DFH"/>
    <n v="2085"/>
    <n v="24.22"/>
    <n v="-3.16"/>
    <n v="13.28"/>
    <n v="3.34"/>
    <n v="-7.6645569620253156"/>
    <n v="1.8237951807228916"/>
    <n v="27.18"/>
    <n v="9.2899999999999991"/>
    <n v="2.67"/>
    <n v="7.2514970059880239"/>
    <s v="NO"/>
    <n v="-1.5437520586482274"/>
    <n v="1.8585414789065297E-3"/>
    <n v="1.0725557410033935"/>
    <n v="0.29706089082706166"/>
    <n v="1.7963693671150391"/>
    <n v="-0.68879184598044974"/>
    <x v="0"/>
    <x v="0"/>
    <x v="0"/>
    <x v="0"/>
    <x v="0"/>
    <x v="0"/>
  </r>
  <r>
    <x v="5"/>
    <s v="GRBK"/>
    <n v="2611"/>
    <n v="63.04"/>
    <n v="1.95"/>
    <n v="37.090000000000003"/>
    <n v="8.31"/>
    <n v="32.328205128205127"/>
    <n v="1.6996495012132649"/>
    <n v="25.68"/>
    <n v="14.12"/>
    <n v="1.38"/>
    <n v="7.5860409145607699"/>
    <s v="NO"/>
    <n v="1.1891336377837349"/>
    <n v="-0.10307288898731291"/>
    <n v="0.9395689224775069"/>
    <n v="1.9260961165939829"/>
    <n v="-0.76420133297159065"/>
    <n v="-0.64924885241866037"/>
    <x v="0"/>
    <x v="0"/>
    <x v="1"/>
    <x v="0"/>
    <x v="0"/>
    <x v="0"/>
  </r>
  <r>
    <x v="5"/>
    <s v="IBP"/>
    <n v="4535"/>
    <n v="171.2"/>
    <n v="9.7200000000000006"/>
    <n v="25.61"/>
    <n v="9"/>
    <n v="17.613168724279834"/>
    <n v="6.6848887153455676"/>
    <n v="37.86"/>
    <n v="12.15"/>
    <n v="2.89"/>
    <n v="19.022222222222222"/>
    <s v="NO"/>
    <n v="0.18358887395791293"/>
    <n v="4.1105919281973264"/>
    <n v="2.0194218889077056"/>
    <n v="1.261665600080353"/>
    <n v="2.2330558430988057"/>
    <n v="0.7025044816940651"/>
    <x v="0"/>
    <x v="1"/>
    <x v="0"/>
    <x v="0"/>
    <x v="0"/>
    <x v="0"/>
  </r>
  <r>
    <x v="5"/>
    <s v="KBH"/>
    <n v="3853"/>
    <n v="56"/>
    <n v="-0.56000000000000005"/>
    <n v="57.05"/>
    <n v="8.2200000000000006"/>
    <n v="-99.999999999999986"/>
    <n v="0.98159509202453987"/>
    <n v="15.7"/>
    <n v="7.17"/>
    <n v="1.71"/>
    <n v="6.8126520681265204"/>
    <s v="NO"/>
    <n v="-7.8534490728945165"/>
    <n v="-0.7099927319199566"/>
    <n v="5.4763289885275117E-2"/>
    <n v="-0.41796078176628659"/>
    <n v="-0.10917161899594101"/>
    <n v="-0.7406631911396393"/>
    <x v="1"/>
    <x v="0"/>
    <x v="0"/>
    <x v="0"/>
    <x v="0"/>
    <x v="0"/>
  </r>
  <r>
    <x v="5"/>
    <s v="MHO"/>
    <n v="2918"/>
    <n v="114.19"/>
    <n v="4.5999999999999996"/>
    <n v="112.29"/>
    <n v="18.93"/>
    <n v="24.823913043478264"/>
    <n v="1.0169204737732656"/>
    <n v="19.02"/>
    <n v="9.3800000000000008"/>
    <n v="1.53"/>
    <n v="6.0322239830956157"/>
    <s v="NO"/>
    <n v="0.67633153489503517"/>
    <n v="-0.68013472273831899"/>
    <n v="0.34910744822257067"/>
    <n v="0.32741558447489305"/>
    <n v="-0.46646055389174967"/>
    <n v="-0.83290956583369857"/>
    <x v="0"/>
    <x v="0"/>
    <x v="0"/>
    <x v="0"/>
    <x v="0"/>
    <x v="0"/>
  </r>
  <r>
    <x v="5"/>
    <s v="MTH"/>
    <n v="4892"/>
    <n v="71.069999999999993"/>
    <n v="-5.26"/>
    <n v="72.319999999999993"/>
    <n v="9.89"/>
    <n v="-13.511406844106464"/>
    <n v="0.98271570796460173"/>
    <n v="14.58"/>
    <n v="7.79"/>
    <n v="1.48"/>
    <n v="7.1860465116279055"/>
    <s v="NO"/>
    <n v="-1.9432936650987565"/>
    <n v="-0.70904555571488515"/>
    <n v="-4.4533534614053426E-2"/>
    <n v="-0.20885066997011859"/>
    <n v="-0.5657074802516967"/>
    <n v="-0.69652807554786189"/>
    <x v="0"/>
    <x v="0"/>
    <x v="0"/>
    <x v="0"/>
    <x v="0"/>
    <x v="0"/>
  </r>
  <r>
    <x v="5"/>
    <s v="SKY"/>
    <n v="5015"/>
    <n v="92.82"/>
    <n v="2.58"/>
    <n v="26.72"/>
    <n v="2.83"/>
    <n v="35.97674418604651"/>
    <n v="3.4738023952095807"/>
    <n v="11.3"/>
    <n v="6.48"/>
    <n v="1.33"/>
    <n v="32.798586572438161"/>
    <s v="NO"/>
    <n v="1.438454756979046"/>
    <n v="1.3964911858009723"/>
    <n v="-0.33533137779065858"/>
    <n v="-0.65068009973298946"/>
    <n v="-0.86344825933153713"/>
    <n v="2.3308667768843718"/>
    <x v="0"/>
    <x v="0"/>
    <x v="0"/>
    <x v="0"/>
    <x v="0"/>
    <x v="0"/>
  </r>
  <r>
    <x v="5"/>
    <s v="TMHC"/>
    <n v="5854"/>
    <n v="61.23"/>
    <n v="3.69"/>
    <n v="59.15"/>
    <n v="8.6"/>
    <n v="16.59349593495935"/>
    <n v="1.035164835164835"/>
    <n v="15.97"/>
    <n v="8.77"/>
    <n v="1.58"/>
    <n v="7.1197674418604651"/>
    <s v="NO"/>
    <n v="0.11391003620502953"/>
    <n v="-0.66471407381745506"/>
    <n v="7.8700917219934816E-2"/>
    <n v="0.12167821641737256"/>
    <n v="-0.3672136275318027"/>
    <n v="-0.70436224248958446"/>
    <x v="0"/>
    <x v="0"/>
    <x v="0"/>
    <x v="0"/>
    <x v="0"/>
    <x v="0"/>
  </r>
  <r>
    <x v="5"/>
    <s v="TPH"/>
    <n v="2817"/>
    <n v="32.270000000000003"/>
    <n v="5.32"/>
    <n v="36.64"/>
    <n v="4.51"/>
    <n v="6.0657894736842106"/>
    <n v="0.88073144104803502"/>
    <n v="13.28"/>
    <n v="6.93"/>
    <n v="1.45"/>
    <n v="7.155210643015522"/>
    <s v="YES"/>
    <n v="-0.60549559872813385"/>
    <n v="-0.79524553508488216"/>
    <n v="-0.1597887773364885"/>
    <n v="-0.49890663149383552"/>
    <n v="-0.62525563606766488"/>
    <n v="-0.70017286632947762"/>
    <x v="0"/>
    <x v="0"/>
    <x v="0"/>
    <x v="0"/>
    <x v="0"/>
    <x v="0"/>
  </r>
  <r>
    <x v="5"/>
    <s v="WHR"/>
    <n v="4256"/>
    <n v="84.05"/>
    <n v="10.47"/>
    <n v="46.76"/>
    <n v="0.13"/>
    <n v="8.0276981852913085"/>
    <n v="1.7974764756201882"/>
    <n v="0.96"/>
    <n v="3.42"/>
    <n v="6.42"/>
    <n v="646.53846153846155"/>
    <s v="NO"/>
    <n v="-0.47142953338462351"/>
    <n v="-2.0386770523522897E-2"/>
    <n v="-1.2520538468291031"/>
    <n v="-1.6827396837592379"/>
    <n v="9.2398888441110554"/>
    <n v="74.874743088766365"/>
    <x v="0"/>
    <x v="0"/>
    <x v="0"/>
    <x v="0"/>
    <x v="1"/>
    <x v="1"/>
  </r>
  <r>
    <x v="5"/>
    <s v="NWL"/>
    <n v="2088"/>
    <n v="6.06"/>
    <n v="-0.02"/>
    <n v="6.44"/>
    <n v="-0.59"/>
    <n v="-303"/>
    <n v="0.94099378881987561"/>
    <n v="-8.4600000000000009"/>
    <n v="2.76"/>
    <n v="4.1900000000000004"/>
    <n v="-10.271186440677965"/>
    <s v="NO"/>
    <n v="-21.725354072204649"/>
    <n v="-0.7443100987496879"/>
    <n v="-2.0872110671716708"/>
    <n v="-1.9053407705099974"/>
    <n v="4.8134759284574251"/>
    <n v="-2.7599679785033224"/>
    <x v="1"/>
    <x v="0"/>
    <x v="0"/>
    <x v="1"/>
    <x v="1"/>
    <x v="1"/>
  </r>
  <r>
    <x v="6"/>
    <s v="BC"/>
    <n v="3015"/>
    <n v="52.26"/>
    <n v="6.09"/>
    <n v="28.47"/>
    <n v="1.5"/>
    <n v="8.5812807881773399"/>
    <n v="1.8356164383561644"/>
    <n v="5.16"/>
    <n v="3.69"/>
    <n v="3.13"/>
    <n v="34.839999999999996"/>
    <s v="NO"/>
    <n v="-1.6714523166440196"/>
    <n v="-1.208882093445818"/>
    <n v="-1.5202822204435682"/>
    <n v="-1.5831536492654166"/>
    <n v="-1.1083890935064998E-2"/>
    <n v="1.7925370443025821"/>
    <x v="0"/>
    <x v="0"/>
    <x v="0"/>
    <x v="0"/>
    <x v="0"/>
    <x v="0"/>
  </r>
  <r>
    <x v="6"/>
    <s v="DOOO"/>
    <n v="2529"/>
    <n v="37.659999999999997"/>
    <n v="2.93"/>
    <n v="2.27"/>
    <n v="0.57999999999999996"/>
    <n v="12.853242320819112"/>
    <n v="16.590308370044053"/>
    <n v="11.82"/>
    <n v="6.08"/>
    <n v="26.08"/>
    <n v="64.931034482758619"/>
    <s v="NO"/>
    <n v="-0.21251720493126333"/>
    <n v="5.9547656034255629"/>
    <n v="-0.9015158980874366"/>
    <n v="-0.62685949044207701"/>
    <n v="21.186857522375938"/>
    <n v="5.7124364736977178"/>
    <x v="0"/>
    <x v="1"/>
    <x v="0"/>
    <x v="0"/>
    <x v="1"/>
    <x v="1"/>
  </r>
  <r>
    <x v="6"/>
    <s v="GOLF"/>
    <n v="4104"/>
    <n v="70.28"/>
    <n v="2.69"/>
    <n v="12.7"/>
    <n v="3.37"/>
    <n v="26.12639405204461"/>
    <n v="5.5338582677165356"/>
    <n v="23.61"/>
    <n v="8.6"/>
    <n v="2.85"/>
    <n v="20.854599406528191"/>
    <s v="NO"/>
    <n v="4.3204513051575359"/>
    <n v="0.58667566445446007"/>
    <n v="0.19386772662409354"/>
    <n v="0.38145066865198785"/>
    <n v="-0.2697080127532383"/>
    <n v="-2.9313375550006557E-2"/>
    <x v="1"/>
    <x v="0"/>
    <x v="0"/>
    <x v="0"/>
    <x v="0"/>
    <x v="0"/>
  </r>
  <r>
    <x v="6"/>
    <s v="HAS"/>
    <n v="8608"/>
    <n v="65.83"/>
    <n v="4.3899999999999997"/>
    <n v="8.57"/>
    <n v="3.03"/>
    <n v="14.995444191343964"/>
    <n v="7.6814469078179695"/>
    <n v="39.04"/>
    <n v="8.35"/>
    <n v="5.08"/>
    <n v="21.726072607260726"/>
    <s v="NO"/>
    <n v="0.51907494574822821"/>
    <n v="1.6293655753464074"/>
    <n v="1.6274359479386746"/>
    <n v="0.28141989890059255"/>
    <n v="1.790048386012929"/>
    <n v="8.4211711274175025E-2"/>
    <x v="0"/>
    <x v="0"/>
    <x v="0"/>
    <x v="0"/>
    <x v="0"/>
    <x v="0"/>
  </r>
  <r>
    <x v="6"/>
    <s v="MAT"/>
    <n v="5628"/>
    <n v="19.670000000000002"/>
    <n v="1.75"/>
    <n v="6.5"/>
    <n v="1.57"/>
    <n v="11.24"/>
    <n v="3.0261538461538464"/>
    <n v="25.5"/>
    <n v="7.29"/>
    <n v="2.91"/>
    <n v="12.528662420382167"/>
    <s v="YES"/>
    <n v="-0.76346220936544551"/>
    <n v="-0.63085643225985477"/>
    <n v="0.36946357486029308"/>
    <n v="-0.1427105648453236"/>
    <n v="-0.21428855807791536"/>
    <n v="-1.1139166868743051"/>
    <x v="0"/>
    <x v="0"/>
    <x v="0"/>
    <x v="0"/>
    <x v="0"/>
    <x v="0"/>
  </r>
  <r>
    <x v="6"/>
    <s v="PTON"/>
    <n v="2722"/>
    <n v="6.81"/>
    <n v="0.4"/>
    <n v="-1.28"/>
    <n v="-0.77"/>
    <n v="17.024999999999999"/>
    <n v="-5.3203125"/>
    <n v="58.32"/>
    <n v="-3.33"/>
    <n v="-4.24"/>
    <n v="-8.8441558441558428"/>
    <s v="NO"/>
    <n v="1.212196877629903"/>
    <n v="-4.6832043019723457"/>
    <n v="3.4186994156603285"/>
    <n v="-4.392017663884598"/>
    <n v="-6.8184402402205597"/>
    <n v="-3.8981113667791063"/>
    <x v="0"/>
    <x v="1"/>
    <x v="1"/>
    <x v="1"/>
    <x v="1"/>
    <x v="1"/>
  </r>
  <r>
    <x v="6"/>
    <s v="YETI"/>
    <n v="2312"/>
    <n v="31.67"/>
    <n v="1.96"/>
    <n v="8.92"/>
    <n v="2.0499999999999998"/>
    <n v="16.158163265306122"/>
    <n v="3.5504484304932737"/>
    <n v="24.01"/>
    <n v="11.87"/>
    <n v="1.74"/>
    <n v="15.44878048780488"/>
    <s v="NO"/>
    <n v="0.91615990756260257"/>
    <n v="-0.37630271409519372"/>
    <n v="0.23103086910794549"/>
    <n v="1.6898531370002388"/>
    <n v="-1.2949679242467118"/>
    <n v="-0.733518693152444"/>
    <x v="0"/>
    <x v="0"/>
    <x v="0"/>
    <x v="0"/>
    <x v="0"/>
    <x v="0"/>
  </r>
  <r>
    <x v="7"/>
    <s v="ANF"/>
    <n v="3319"/>
    <n v="81.41"/>
    <n v="10.38"/>
    <n v="26.85"/>
    <n v="10.69"/>
    <n v="7.8429672447013479"/>
    <n v="3.0320297951582864"/>
    <n v="47.81"/>
    <n v="14.94"/>
    <n v="2.4700000000000002"/>
    <n v="7.6155285313376986"/>
    <s v="NO"/>
    <n v="-0.62091586962560175"/>
    <n v="0.66952110928327413"/>
    <n v="2.3255046040228762"/>
    <n v="3.3243714885234703"/>
    <n v="-0.58128115155375704"/>
    <n v="-1.0976818535392998"/>
    <x v="0"/>
    <x v="0"/>
    <x v="1"/>
    <x v="1"/>
    <x v="0"/>
    <x v="0"/>
  </r>
  <r>
    <x v="7"/>
    <s v="BOOT"/>
    <n v="3430"/>
    <n v="135.1"/>
    <n v="1.66"/>
    <n v="35.65"/>
    <n v="5.6"/>
    <n v="81.385542168674704"/>
    <n v="3.7896213183730714"/>
    <n v="17.27"/>
    <n v="7.8"/>
    <n v="1.85"/>
    <n v="24.125"/>
    <s v="NO"/>
    <n v="1.6090186122729655"/>
    <n v="1.5342245015491838"/>
    <n v="0.25664082673746058"/>
    <n v="0.92902789618727644"/>
    <n v="-1.1286089648158233"/>
    <n v="2.2732278727842115"/>
    <x v="0"/>
    <x v="0"/>
    <x v="0"/>
    <x v="0"/>
    <x v="0"/>
    <x v="0"/>
  </r>
  <r>
    <x v="7"/>
    <s v="GAP"/>
    <n v="8764"/>
    <n v="25.4"/>
    <n v="2.76"/>
    <n v="8.73"/>
    <n v="2.2000000000000002"/>
    <n v="9.2028985507246386"/>
    <n v="2.9095074455899197"/>
    <n v="28.81"/>
    <n v="6.08"/>
    <n v="3.64"/>
    <n v="11.545454545454543"/>
    <s v="NO"/>
    <n v="-0.57968046665732553"/>
    <n v="0.52967597103438735"/>
    <n v="1.0383922343954071"/>
    <n v="0.35199834733317942"/>
    <n v="0.45157939927949653"/>
    <n v="-0.29526816937841932"/>
    <x v="0"/>
    <x v="0"/>
    <x v="0"/>
    <x v="0"/>
    <x v="0"/>
    <x v="0"/>
  </r>
  <r>
    <x v="7"/>
    <s v="URBN"/>
    <n v="4798"/>
    <n v="59.33"/>
    <n v="3.46"/>
    <n v="26.78"/>
    <n v="4.26"/>
    <n v="17.147398843930635"/>
    <n v="2.2154592979835699"/>
    <n v="17.559999999999999"/>
    <n v="6.93"/>
    <n v="1.83"/>
    <n v="13.927230046948358"/>
    <s v="YES"/>
    <n v="-0.33878986466810457"/>
    <n v="-0.2624999829472599"/>
    <n v="0.27628622606335346"/>
    <n v="0.63715829880177377"/>
    <n v="-1.1462647007275029"/>
    <n v="0.19104359530432355"/>
    <x v="0"/>
    <x v="0"/>
    <x v="0"/>
    <x v="0"/>
    <x v="0"/>
    <x v="0"/>
  </r>
  <r>
    <x v="7"/>
    <s v="FND"/>
    <n v="7898"/>
    <n v="81.5"/>
    <n v="1.17"/>
    <n v="20.65"/>
    <n v="1.89"/>
    <n v="69.658119658119659"/>
    <n v="3.9467312348668284"/>
    <n v="9.74"/>
    <n v="3.15"/>
    <n v="2.42"/>
    <n v="43.121693121693127"/>
    <s v="NO"/>
    <n v="1.253423450326095"/>
    <n v="1.7135473603561053"/>
    <n v="-0.25346212817279401"/>
    <n v="-0.6309647794938581"/>
    <n v="-0.62542049133295619"/>
    <n v="6.1519793963232567"/>
    <x v="0"/>
    <x v="0"/>
    <x v="0"/>
    <x v="0"/>
    <x v="0"/>
    <x v="1"/>
  </r>
  <r>
    <x v="7"/>
    <s v="ASO"/>
    <n v="2587"/>
    <n v="46.54"/>
    <n v="4.59"/>
    <n v="29.33"/>
    <n v="5.73"/>
    <n v="10.139433551198257"/>
    <n v="1.5867712240027276"/>
    <n v="21.14"/>
    <n v="6.94"/>
    <n v="2.4500000000000002"/>
    <n v="8.1221640488656188"/>
    <s v="YES"/>
    <n v="-0.55128315131692618"/>
    <n v="-0.98007494727831035"/>
    <n v="0.5188052936036871"/>
    <n v="0.64051312176022801"/>
    <n v="-0.59893688746543661"/>
    <n v="-0.99423683429822107"/>
    <x v="0"/>
    <x v="0"/>
    <x v="0"/>
    <x v="0"/>
    <x v="0"/>
    <x v="0"/>
  </r>
  <r>
    <x v="7"/>
    <s v="BBWI"/>
    <n v="6532"/>
    <n v="33.67"/>
    <n v="3"/>
    <n v="-6.41"/>
    <n v="3.61"/>
    <n v="11.223333333333334"/>
    <n v="-5.2527301092043679"/>
    <n v="-53.04"/>
    <n v="15.31"/>
    <n v="-3.52"/>
    <n v="9.3268698060941837"/>
    <s v="NO"/>
    <n v="-0.51841748810613952"/>
    <n v="-8.7865772945262854"/>
    <n v="-4.5063523684471347"/>
    <n v="3.4484999379862704"/>
    <n v="-5.8691740571017821"/>
    <n v="-0.74825958650394364"/>
    <x v="0"/>
    <x v="1"/>
    <x v="1"/>
    <x v="1"/>
    <x v="1"/>
    <x v="0"/>
  </r>
  <r>
    <x v="7"/>
    <s v="FIVE"/>
    <n v="4526"/>
    <n v="101.69"/>
    <n v="1.94"/>
    <n v="32.86"/>
    <n v="4.5999999999999996"/>
    <n v="52.417525773195877"/>
    <n v="3.094643944004869"/>
    <n v="14.95"/>
    <n v="4.93"/>
    <n v="2.4"/>
    <n v="22.106521739130436"/>
    <s v="NO"/>
    <n v="0.73065966578163088"/>
    <n v="0.74098794233564513"/>
    <n v="9.9477632130317031E-2"/>
    <n v="-3.3806292889036756E-2"/>
    <n v="-0.64307622724463576"/>
    <n v="1.8610942672443187"/>
    <x v="0"/>
    <x v="0"/>
    <x v="0"/>
    <x v="0"/>
    <x v="0"/>
    <x v="0"/>
  </r>
  <r>
    <x v="7"/>
    <s v="SIG"/>
    <n v="2680"/>
    <n v="67.900000000000006"/>
    <n v="9.51"/>
    <n v="42.87"/>
    <n v="-0.81"/>
    <n v="7.1398527865404846"/>
    <n v="1.5838581758805694"/>
    <n v="2.62"/>
    <n v="5.0599999999999996"/>
    <n v="3.09"/>
    <n v="-83.827160493827165"/>
    <s v="NO"/>
    <n v="-0.64223548179032675"/>
    <n v="-0.98339985590766665"/>
    <n v="-0.73579055300161378"/>
    <n v="9.8064055708658952E-3"/>
    <n v="-3.3953338291691323E-2"/>
    <n v="-19.768482455557621"/>
    <x v="0"/>
    <x v="0"/>
    <x v="0"/>
    <x v="0"/>
    <x v="0"/>
    <x v="1"/>
  </r>
  <r>
    <x v="7"/>
    <s v="ABG"/>
    <n v="4283"/>
    <n v="239.82"/>
    <n v="28.43"/>
    <n v="184.32"/>
    <n v="20.94"/>
    <n v="8.4354555047485054"/>
    <n v="1.3011067708333333"/>
    <n v="11.92"/>
    <n v="6.05"/>
    <n v="2.82"/>
    <n v="11.452722063037248"/>
    <s v="YES"/>
    <n v="-0.60295062972796332"/>
    <n v="-1.3061279905557364"/>
    <n v="-0.10578291944711606"/>
    <n v="0.3419338784578172"/>
    <n v="-0.27230577309936527"/>
    <n v="-0.31420232045163426"/>
    <x v="0"/>
    <x v="0"/>
    <x v="0"/>
    <x v="0"/>
    <x v="0"/>
    <x v="0"/>
  </r>
  <r>
    <x v="7"/>
    <s v="AN"/>
    <n v="6654"/>
    <n v="190.77"/>
    <n v="-8.61"/>
    <n v="63.43"/>
    <n v="16.86"/>
    <n v="-22.15679442508711"/>
    <n v="3.0075673971306953"/>
    <n v="28.45"/>
    <n v="6.48"/>
    <n v="5.54"/>
    <n v="11.314946619217082"/>
    <s v="NO"/>
    <n v="-1.5305590669892697"/>
    <n v="0.6416001018416162"/>
    <n v="1.0140048421287815"/>
    <n v="0.48619126567134163"/>
    <n v="2.1288743108890538"/>
    <n v="-0.34233335932247261"/>
    <x v="0"/>
    <x v="0"/>
    <x v="0"/>
    <x v="0"/>
    <x v="0"/>
    <x v="0"/>
  </r>
  <r>
    <x v="7"/>
    <s v="GPI"/>
    <n v="5343"/>
    <n v="448.86"/>
    <n v="24.6"/>
    <n v="234.33"/>
    <n v="35.53"/>
    <n v="18.246341463414634"/>
    <n v="1.9155037767251313"/>
    <n v="16.559999999999999"/>
    <n v="6.63"/>
    <n v="3.3"/>
    <n v="12.633267661131438"/>
    <s v="NO"/>
    <n v="-0.30546807734492953"/>
    <n v="-0.60486463304317484"/>
    <n v="0.20854346976717089"/>
    <n v="0.53651361004815223"/>
    <n v="0.15143188878094391"/>
    <n v="-7.3158102498450173E-2"/>
    <x v="0"/>
    <x v="0"/>
    <x v="0"/>
    <x v="0"/>
    <x v="0"/>
    <x v="0"/>
  </r>
  <r>
    <x v="7"/>
    <s v="LAD"/>
    <n v="7703"/>
    <n v="325.57"/>
    <n v="4.28"/>
    <n v="258.92"/>
    <n v="31.74"/>
    <n v="76.067757009345783"/>
    <n v="1.2574154178896955"/>
    <n v="13.14"/>
    <n v="4.5"/>
    <n v="3.47"/>
    <n v="10.257403906742281"/>
    <s v="NO"/>
    <n v="1.4477744281201141"/>
    <n v="-1.3559966334132143"/>
    <n v="-2.31367567657733E-2"/>
    <n v="-0.17806368010256091"/>
    <n v="0.3015056440302204"/>
    <n v="-0.55826280456550093"/>
    <x v="0"/>
    <x v="0"/>
    <x v="0"/>
    <x v="0"/>
    <x v="0"/>
    <x v="0"/>
  </r>
  <r>
    <x v="7"/>
    <s v="SAH"/>
    <n v="2144"/>
    <n v="69.14"/>
    <n v="2.36"/>
    <n v="32.15"/>
    <n v="7.02"/>
    <n v="29.296610169491526"/>
    <n v="2.1505443234836705"/>
    <n v="24.52"/>
    <n v="5.3"/>
    <n v="5.39"/>
    <n v="9.8490028490028489"/>
    <s v="NO"/>
    <n v="2.9594643091487315E-2"/>
    <n v="-0.33659294325484768"/>
    <n v="0.74777580988478409"/>
    <n v="9.0322156573763232E-2"/>
    <n v="1.9964562915514568"/>
    <n v="-0.64165027704684796"/>
    <x v="0"/>
    <x v="0"/>
    <x v="0"/>
    <x v="0"/>
    <x v="0"/>
    <x v="0"/>
  </r>
  <r>
    <x v="7"/>
    <s v="VVV"/>
    <n v="4394"/>
    <n v="34.89"/>
    <n v="0.39"/>
    <n v="1.8"/>
    <n v="2.1"/>
    <n v="89.461538461538467"/>
    <n v="19.383333333333333"/>
    <n v="186.35"/>
    <n v="9.86"/>
    <n v="10.220000000000001"/>
    <n v="16.614285714285714"/>
    <s v="NO"/>
    <n v="1.8538963939900068"/>
    <n v="19.332649198984686"/>
    <n v="11.710586061296006"/>
    <n v="1.620121425628811"/>
    <n v="6.2603165142220689"/>
    <n v="0.73968757227193549"/>
    <x v="0"/>
    <x v="1"/>
    <x v="1"/>
    <x v="1"/>
    <x v="1"/>
    <x v="0"/>
  </r>
  <r>
    <x v="7"/>
    <s v="RH"/>
    <n v="3540"/>
    <n v="225.67"/>
    <n v="-11.56"/>
    <n v="-8.74"/>
    <n v="3.62"/>
    <n v="-19.521626297577853"/>
    <n v="-25.820366132723109"/>
    <n v="-31.42"/>
    <n v="5.08"/>
    <n v="-27.84"/>
    <n v="62.339779005524854"/>
    <s v="NO"/>
    <n v="-1.4506563401781984"/>
    <n v="-32.26216287784726"/>
    <n v="-3.0417539773236677"/>
    <n v="1.6516051487774155E-2"/>
    <n v="-27.338548925704117"/>
    <n v="10.075934972375263"/>
    <x v="0"/>
    <x v="1"/>
    <x v="0"/>
    <x v="1"/>
    <x v="1"/>
    <x v="1"/>
  </r>
  <r>
    <x v="7"/>
    <s v="W"/>
    <n v="3907"/>
    <n v="39.01"/>
    <n v="1.1000000000000001"/>
    <n v="-22.13"/>
    <n v="-2.88"/>
    <n v="35.463636363636361"/>
    <n v="-1.7627654767284229"/>
    <n v="12.67"/>
    <n v="-4.45"/>
    <n v="-1.22"/>
    <n v="-13.545138888888889"/>
    <s v="NO"/>
    <n v="0.21658924282248435"/>
    <n v="-4.8031849727850799"/>
    <n v="-5.4975852224979145E-2"/>
    <n v="-3.1806302279189382"/>
    <n v="-3.8387644272586341"/>
    <n v="-5.4182744150720099"/>
    <x v="0"/>
    <x v="1"/>
    <x v="1"/>
    <x v="0"/>
    <x v="1"/>
    <x v="1"/>
  </r>
  <r>
    <x v="8"/>
    <s v="COLM"/>
    <n v="3567"/>
    <n v="68.63"/>
    <n v="5.09"/>
    <n v="30.68"/>
    <n v="3.88"/>
    <n v="13.483300589390963"/>
    <n v="2.2369621903520209"/>
    <n v="12.34"/>
    <n v="6.23"/>
    <n v="1.58"/>
    <n v="17.688144329896907"/>
    <s v="YES"/>
    <n v="-0.23295523538515875"/>
    <n v="-0.35533691946077162"/>
    <n v="-0.19793316508126543"/>
    <n v="0.2429378531073447"/>
    <n v="-1.3539331662653702"/>
    <n v="0.29673302052945372"/>
    <x v="0"/>
    <x v="0"/>
    <x v="0"/>
    <x v="0"/>
    <x v="0"/>
    <x v="0"/>
  </r>
  <r>
    <x v="8"/>
    <s v="GIL"/>
    <n v="7067"/>
    <n v="49.11"/>
    <n v="2.15"/>
    <n v="9.56"/>
    <n v="2.56"/>
    <n v="22.84186046511628"/>
    <n v="5.1370292887029283"/>
    <n v="23.48"/>
    <n v="12.03"/>
    <n v="2.5499999999999998"/>
    <n v="19.18359375"/>
    <s v="NO"/>
    <n v="1.4236764438890879"/>
    <n v="1.9868194391088738"/>
    <n v="0.31159322636998743"/>
    <n v="2.4274952919020731"/>
    <n v="6.3777028440370503E-2"/>
    <n v="0.37778805863761478"/>
    <x v="0"/>
    <x v="0"/>
    <x v="0"/>
    <x v="0"/>
    <x v="0"/>
    <x v="0"/>
  </r>
  <r>
    <x v="8"/>
    <s v="KTB"/>
    <n v="3731"/>
    <n v="73.66"/>
    <n v="6.23"/>
    <n v="7.23"/>
    <n v="4.3600000000000003"/>
    <n v="11.823434991974317"/>
    <n v="10.188105117565698"/>
    <n v="63.68"/>
    <n v="14.5"/>
    <n v="4.13"/>
    <n v="16.894495412844034"/>
    <s v="NO"/>
    <n v="-0.52678099154133995"/>
    <n v="6.0661765605063804"/>
    <n v="2.1502791272982069"/>
    <n v="3.3578154425612081"/>
    <n v="2.3730369332187942"/>
    <n v="0.25371635787844493"/>
    <x v="0"/>
    <x v="1"/>
    <x v="0"/>
    <x v="1"/>
    <x v="0"/>
    <x v="0"/>
  </r>
  <r>
    <x v="8"/>
    <s v="LEVI"/>
    <n v="6543"/>
    <n v="17.8"/>
    <n v="1.1100000000000001"/>
    <n v="5.15"/>
    <n v="0.9"/>
    <n v="16.036036036036034"/>
    <n v="3.4563106796116503"/>
    <n v="17.98"/>
    <n v="7.41"/>
    <n v="3.05"/>
    <n v="19.777777777777779"/>
    <s v="NO"/>
    <n v="0.21892437706330703"/>
    <n v="0.62943506014470441"/>
    <n v="6.0031722511648955E-2"/>
    <n v="0.68738229755178948"/>
    <n v="0.79455547931961856"/>
    <n v="0.40999350027098569"/>
    <x v="0"/>
    <x v="0"/>
    <x v="0"/>
    <x v="0"/>
    <x v="0"/>
    <x v="0"/>
  </r>
  <r>
    <x v="8"/>
    <s v="PVH"/>
    <n v="3750"/>
    <n v="80.5"/>
    <n v="10.4"/>
    <n v="96.54"/>
    <n v="10.56"/>
    <n v="7.740384615384615"/>
    <n v="0.83385125336648014"/>
    <n v="11.67"/>
    <n v="4.21"/>
    <n v="2.15"/>
    <n v="7.6231060606060606"/>
    <s v="NO"/>
    <n v="-1.2495535860167162"/>
    <n v="-1.4885193912415178"/>
    <n v="-0.22857793009673577"/>
    <n v="-0.51789077212806112"/>
    <n v="-0.52084573226302777"/>
    <n v="-0.24880335770607928"/>
    <x v="0"/>
    <x v="0"/>
    <x v="0"/>
    <x v="0"/>
    <x v="0"/>
    <x v="0"/>
  </r>
  <r>
    <x v="8"/>
    <s v="UA"/>
    <n v="2360"/>
    <n v="5.99"/>
    <n v="-0.35"/>
    <n v="4.62"/>
    <n v="-0.28999999999999998"/>
    <n v="-17.114285714285717"/>
    <n v="1.2965367965367967"/>
    <n v="-6.12"/>
    <n v="3.05"/>
    <n v="2.33"/>
    <n v="-20.655172413793107"/>
    <s v="NO"/>
    <n v="-5.6492726445923136"/>
    <n v="-1.1148446277952404"/>
    <n v="-1.0422650489403433"/>
    <n v="-0.95480225988700695"/>
    <n v="-0.25776548994649828"/>
    <n v="-1.7815178103403944"/>
    <x v="1"/>
    <x v="0"/>
    <x v="0"/>
    <x v="0"/>
    <x v="0"/>
    <x v="0"/>
  </r>
  <r>
    <x v="8"/>
    <s v="UAA"/>
    <n v="2459"/>
    <n v="6.27"/>
    <n v="-0.35"/>
    <n v="4.62"/>
    <n v="-0.28999999999999998"/>
    <n v="-17.914285714285715"/>
    <n v="1.357142857142857"/>
    <n v="-6.12"/>
    <n v="3.05"/>
    <n v="2.33"/>
    <n v="-21.620689655172413"/>
    <s v="NO"/>
    <n v="-5.7908868844987165"/>
    <n v="-1.0658978740125231"/>
    <n v="-1.0422650489403433"/>
    <n v="-0.95480225988700695"/>
    <n v="-0.25776548994649828"/>
    <n v="-1.833849929195134"/>
    <x v="1"/>
    <x v="0"/>
    <x v="0"/>
    <x v="0"/>
    <x v="0"/>
    <x v="0"/>
  </r>
  <r>
    <x v="8"/>
    <s v="VFC"/>
    <n v="4955"/>
    <n v="14.95"/>
    <n v="1.04"/>
    <n v="4.3099999999999996"/>
    <n v="-0.37"/>
    <n v="14.374999999999998"/>
    <n v="3.468677494199536"/>
    <n v="-7.54"/>
    <n v="2.98"/>
    <n v="6.28"/>
    <n v="-40.405405405405403"/>
    <s v="NO"/>
    <n v="-7.5108567562176654E-2"/>
    <n v="0.63942276471841553"/>
    <n v="-1.1072136553910417"/>
    <n v="-0.9811676082862536"/>
    <n v="5.5153842719995616"/>
    <n v="-2.8520026199636019"/>
    <x v="0"/>
    <x v="0"/>
    <x v="0"/>
    <x v="0"/>
    <x v="1"/>
    <x v="1"/>
  </r>
  <r>
    <x v="8"/>
    <s v="ZGN"/>
    <n v="2013"/>
    <n v="8.75"/>
    <n v="0.63"/>
    <n v="3.76"/>
    <n v="0.31"/>
    <n v="13.888888888888889"/>
    <n v="2.3271276595744683"/>
    <n v="9.65"/>
    <n v="4.1100000000000003"/>
    <n v="3.09"/>
    <n v="28.225806451612904"/>
    <s v="NO"/>
    <n v="-0.16115888694974723"/>
    <n v="-0.28251735360215507"/>
    <n v="-0.32096960969561644"/>
    <n v="-0.55555555555555625"/>
    <n v="0.85301775538995839"/>
    <n v="0.86788614237006656"/>
    <x v="0"/>
    <x v="0"/>
    <x v="0"/>
    <x v="0"/>
    <x v="0"/>
    <x v="0"/>
  </r>
  <r>
    <x v="8"/>
    <s v="BIRK"/>
    <n v="9739"/>
    <n v="54.08"/>
    <n v="2.14"/>
    <n v="15.16"/>
    <n v="1.21"/>
    <n v="25.271028037383175"/>
    <n v="3.5672823218997358"/>
    <n v="8.4"/>
    <n v="6.07"/>
    <n v="1.82"/>
    <n v="44.694214876033058"/>
    <s v="NO"/>
    <n v="1.8536823430789096"/>
    <n v="0.71905813740169355"/>
    <n v="-0.37814267875432972"/>
    <n v="0.18267419962335213"/>
    <n v="-1.0031595098433312"/>
    <n v="1.7604923746357592"/>
    <x v="0"/>
    <x v="0"/>
    <x v="0"/>
    <x v="0"/>
    <x v="0"/>
    <x v="0"/>
  </r>
  <r>
    <x v="8"/>
    <s v="CROX"/>
    <n v="5648"/>
    <n v="120.26"/>
    <n v="15.55"/>
    <n v="32.49"/>
    <n v="15.88"/>
    <n v="7.7337620578778132"/>
    <n v="3.7014465989535239"/>
    <n v="57.76"/>
    <n v="13.84"/>
    <n v="2.62"/>
    <n v="7.5730478589420658"/>
    <s v="NO"/>
    <n v="-1.2507258965761689"/>
    <n v="0.82741208368559682"/>
    <n v="1.8795074722361409"/>
    <n v="3.1092278719397388"/>
    <n v="0.16608601156346564"/>
    <n v="-0.25151656845661163"/>
    <x v="0"/>
    <x v="0"/>
    <x v="0"/>
    <x v="1"/>
    <x v="0"/>
    <x v="0"/>
  </r>
  <r>
    <x v="8"/>
    <s v="SKX"/>
    <n v="9198"/>
    <n v="62.25"/>
    <n v="0.75"/>
    <n v="30.16"/>
    <n v="4.16"/>
    <n v="83"/>
    <n v="2.0639920424403182"/>
    <n v="14.83"/>
    <n v="6.71"/>
    <n v="1.92"/>
    <n v="14.963942307692307"/>
    <s v="NO"/>
    <n v="12.072737949408912"/>
    <n v="-0.49503131894707852"/>
    <n v="-8.4044411516308551E-2"/>
    <n v="0.42372881355932207"/>
    <n v="-0.85700381966748185"/>
    <n v="0.14907821137589419"/>
    <x v="1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s v="ADNT"/>
    <n v="1056"/>
    <n v="15.9"/>
    <n v="3.85"/>
    <n v="22.36"/>
    <n v="-0.02"/>
    <n v="4.1298701298701301"/>
    <n v="0.71109123434704835"/>
    <n v="3.31"/>
    <n v="2.75"/>
    <n v="4.55"/>
    <n v="-795"/>
    <s v="NO"/>
    <n v="-0.7156551417953908"/>
    <n v="-0.81538969314511878"/>
    <n v="-0.50320325560581669"/>
    <n v="-0.88052959000704967"/>
    <n v="2.0636580808891298"/>
    <n v="-53.703032804681889"/>
    <x v="0"/>
    <x v="0"/>
    <x v="0"/>
    <x v="0"/>
    <x v="0"/>
    <x v="0"/>
  </r>
  <r>
    <x v="0"/>
    <s v="AXL"/>
    <n v="489"/>
    <n v="4.72"/>
    <n v="1.88"/>
    <n v="5.04"/>
    <n v="0.18"/>
    <n v="2.5106382978723403"/>
    <n v="0.9365079365079364"/>
    <n v="3.55"/>
    <n v="3.01"/>
    <n v="8.6199999999999992"/>
    <n v="26.222222222222221"/>
    <s v="NO"/>
    <n v="-0.83955677725912747"/>
    <n v="-1.5860111371124815E-3"/>
    <n v="-0.48304526168688933"/>
    <n v="-0.68651459559871675"/>
    <n v="6.2632022754985091"/>
    <n v="1.0862672810630469"/>
    <x v="0"/>
    <x v="0"/>
    <x v="0"/>
    <x v="0"/>
    <x v="1"/>
    <x v="1"/>
  </r>
  <r>
    <x v="0"/>
    <s v="CPS"/>
    <n v="440"/>
    <n v="24.55"/>
    <n v="1.39"/>
    <n v="-6.54"/>
    <n v="-2.58"/>
    <n v="17.661870503597125"/>
    <n v="-3.7538226299694188"/>
    <n v="36.75"/>
    <n v="3.63"/>
    <n v="-15.69"/>
    <n v="-9.5155038759689923"/>
    <s v="NO"/>
    <n v="0.31979694373584139"/>
    <n v="-16.934706974417075"/>
    <n v="2.3054772304313969"/>
    <n v="-0.22386345508653796"/>
    <n v="-18.820561697708865"/>
    <n v="-1.2980386310169978"/>
    <x v="0"/>
    <x v="1"/>
    <x v="0"/>
    <x v="0"/>
    <x v="1"/>
    <x v="1"/>
  </r>
  <r>
    <x v="0"/>
    <s v="ECX"/>
    <n v="589"/>
    <n v="1.74"/>
    <n v="-0.22"/>
    <n v="-0.69"/>
    <n v="-0.34"/>
    <n v="-7.9090909090909092"/>
    <n v="-2.5217391304347827"/>
    <n v="62.85"/>
    <n v="-12.4"/>
    <n v="-2.54"/>
    <n v="-5.117647058823529"/>
    <s v="NO"/>
    <n v="-1.6368616871058923"/>
    <n v="-12.48661560030518"/>
    <n v="4.4976590691147491"/>
    <n v="-12.185634071877223"/>
    <n v="-5.2520098158628352"/>
    <n v="-1.0046277973005187"/>
    <x v="0"/>
    <x v="1"/>
    <x v="1"/>
    <x v="1"/>
    <x v="1"/>
    <x v="1"/>
  </r>
  <r>
    <x v="0"/>
    <s v="FOXF"/>
    <n v="848"/>
    <n v="26.33"/>
    <n v="2.11"/>
    <n v="28.82"/>
    <n v="0.16"/>
    <n v="12.478672985781991"/>
    <n v="0.91360166551006239"/>
    <n v="0.54"/>
    <n v="1.78"/>
    <n v="1.86"/>
    <n v="164.5625"/>
    <s v="NO"/>
    <n v="-7.6814978472066198E-2"/>
    <n v="-8.428266804161362E-2"/>
    <n v="-0.73586010208677011"/>
    <n v="-1.6043547614535225"/>
    <n v="-0.7119620379067495"/>
    <n v="10.315884780455253"/>
    <x v="0"/>
    <x v="0"/>
    <x v="0"/>
    <x v="0"/>
    <x v="0"/>
    <x v="0"/>
  </r>
  <r>
    <x v="0"/>
    <s v="MRETF"/>
    <n v="395"/>
    <n v="6.17"/>
    <n v="1.27"/>
    <n v="14.15"/>
    <n v="-0.56999999999999995"/>
    <n v="4.8582677165354333"/>
    <n v="0.43604240282685508"/>
    <n v="-4.05"/>
    <n v="3.89"/>
    <n v="2.63"/>
    <n v="-10.824561403508772"/>
    <s v="NO"/>
    <n v="-0.65991905109346782"/>
    <n v="-1.8083762361891804"/>
    <n v="-1.1213817357862561"/>
    <n v="-2.9848460678204774E-2"/>
    <n v="8.2546323235565267E-2"/>
    <n v="-1.3853747305100192"/>
    <x v="0"/>
    <x v="0"/>
    <x v="0"/>
    <x v="0"/>
    <x v="0"/>
    <x v="1"/>
  </r>
  <r>
    <x v="0"/>
    <s v="PHIN"/>
    <n v="1628"/>
    <n v="44.8"/>
    <n v="5.16"/>
    <n v="38.61"/>
    <n v="1.75"/>
    <n v="8.6821705426356584"/>
    <n v="1.1603211603211603"/>
    <n v="4.49"/>
    <n v="4.97"/>
    <n v="2.44"/>
    <n v="25.599999999999998"/>
    <s v="NO"/>
    <n v="-0.36731869292013064"/>
    <n v="0.80642876272504638"/>
    <n v="-0.40409311883775706"/>
    <n v="0.77605997763333212"/>
    <n v="-0.11350119444890201"/>
    <n v="1.0447546196532009"/>
    <x v="0"/>
    <x v="0"/>
    <x v="0"/>
    <x v="0"/>
    <x v="0"/>
    <x v="1"/>
  </r>
  <r>
    <x v="0"/>
    <s v="SMP"/>
    <n v="617"/>
    <n v="30.45"/>
    <n v="0.88"/>
    <n v="29.02"/>
    <n v="2.58"/>
    <n v="34.602272727272727"/>
    <n v="1.0492763611302549"/>
    <n v="8.94"/>
    <n v="5.58"/>
    <n v="3.02"/>
    <n v="11.802325581395348"/>
    <s v="NO"/>
    <n v="1.61605576192945"/>
    <n v="0.40553270851474621"/>
    <n v="-3.0330314924312134E-2"/>
    <n v="1.2312490029759597"/>
    <n v="0.48495964900894573"/>
    <n v="0.12421824868079828"/>
    <x v="0"/>
    <x v="0"/>
    <x v="0"/>
    <x v="0"/>
    <x v="0"/>
    <x v="1"/>
  </r>
  <r>
    <x v="0"/>
    <s v="THRM"/>
    <n v="798"/>
    <n v="28.32"/>
    <n v="0.93"/>
    <n v="20.95"/>
    <n v="1.59"/>
    <n v="30.451612903225804"/>
    <n v="1.3517899761336516"/>
    <n v="7.74"/>
    <n v="5.83"/>
    <n v="2.08"/>
    <n v="17.811320754716981"/>
    <s v="NO"/>
    <n v="1.2984523587042713"/>
    <n v="1.4976731372732341"/>
    <n v="-0.13112028451894894"/>
    <n v="1.4178018822147416"/>
    <n v="-0.48495964900894528"/>
    <n v="0.52511904125070852"/>
    <x v="0"/>
    <x v="0"/>
    <x v="0"/>
    <x v="0"/>
    <x v="0"/>
    <x v="1"/>
  </r>
  <r>
    <x v="0"/>
    <s v="XPEL"/>
    <n v="984"/>
    <n v="38.85"/>
    <n v="1.42"/>
    <n v="8.15"/>
    <n v="1.65"/>
    <n v="27.359154929577468"/>
    <n v="4.7668711656441713"/>
    <n v="22.44"/>
    <n v="13.75"/>
    <n v="1.27"/>
    <n v="23.545454545454547"/>
    <s v="NO"/>
    <n v="1.0618212642765126"/>
    <n v="13.826864451572222"/>
    <n v="1.1035568430153526"/>
    <n v="7.3277970964993475"/>
    <n v="-1.3207411717690429"/>
    <n v="0.90768196817978108"/>
    <x v="0"/>
    <x v="1"/>
    <x v="0"/>
    <x v="1"/>
    <x v="0"/>
    <x v="1"/>
  </r>
  <r>
    <x v="1"/>
    <s v="LOT"/>
    <n v="1248"/>
    <n v="2.14"/>
    <n v="-1.4"/>
    <n v="-1.26"/>
    <n v="-1.72"/>
    <n v="-1.5285714285714287"/>
    <n v="-1.6984126984126986"/>
    <n v="131.24"/>
    <n v="-25.4"/>
    <n v="-2.68"/>
    <n v="-1.2441860465116279"/>
    <s v="NO"/>
    <n v="-0.79724231959250169"/>
    <n v="-1.4012591690392433"/>
    <n v="1.0638395685195776"/>
    <n v="-1.079371559571265"/>
    <n v="-1.0882215468688925"/>
    <n v="0.59844610419518784"/>
    <x v="0"/>
    <x v="0"/>
    <x v="0"/>
    <x v="0"/>
    <x v="0"/>
    <x v="1"/>
  </r>
  <r>
    <x v="1"/>
    <s v="PSNYW"/>
    <n v="340"/>
    <n v="0.158"/>
    <n v="-0.95"/>
    <n v="-0.86"/>
    <n v="-0.66"/>
    <n v="-0.16631578947368422"/>
    <n v="-0.18372093023255814"/>
    <n v="121.69"/>
    <n v="-22.77"/>
    <n v="-2.19"/>
    <n v="-0.23939393939393938"/>
    <s v="NO"/>
    <n v="-0.61296349453974486"/>
    <n v="-0.33120894911396326"/>
    <n v="0.92445600589971244"/>
    <n v="-0.84577787912095215"/>
    <n v="-0.88431005242692029"/>
    <n v="0.81046009875232428"/>
    <x v="0"/>
    <x v="0"/>
    <x v="0"/>
    <x v="0"/>
    <x v="0"/>
    <x v="1"/>
  </r>
  <r>
    <x v="1"/>
    <s v="WGO"/>
    <n v="906"/>
    <n v="37.270000000000003"/>
    <n v="2.52"/>
    <n v="43.44"/>
    <n v="-0.2"/>
    <n v="14.789682539682541"/>
    <n v="0.85796500920810326"/>
    <n v="-0.45"/>
    <n v="1.7"/>
    <n v="1.8"/>
    <n v="-186.35"/>
    <s v="NO"/>
    <n v="1.4102058141322464"/>
    <n v="0.40468748341948868"/>
    <n v="-0.85819408188985014"/>
    <n v="1.3276203568559128"/>
    <n v="0.77611211660056778"/>
    <n v="-38.459407509530017"/>
    <x v="0"/>
    <x v="0"/>
    <x v="0"/>
    <x v="0"/>
    <x v="0"/>
    <x v="0"/>
  </r>
  <r>
    <x v="1"/>
    <s v="NIU"/>
    <n v="270"/>
    <n v="3.55"/>
    <n v="-0.12"/>
    <n v="1.64"/>
    <n v="-0.33"/>
    <n v="-29.583333333333332"/>
    <n v="2.1646341463414633"/>
    <n v="-19.079999999999998"/>
    <n v="-6.52"/>
    <n v="2.81"/>
    <n v="-10.757575757575756"/>
    <s v="NO"/>
    <n v="-4.5923439235532095"/>
    <n v="1.327780634733718"/>
    <n v="-1.1301014925294404"/>
    <n v="0.59752908183630393"/>
    <n v="1.196419482695245"/>
    <n v="-1.4089062029475121"/>
    <x v="1"/>
    <x v="0"/>
    <x v="0"/>
    <x v="0"/>
    <x v="0"/>
    <x v="1"/>
  </r>
  <r>
    <x v="2"/>
    <s v="GRPN"/>
    <n v="676"/>
    <n v="26.45"/>
    <n v="1.02"/>
    <n v="1.03"/>
    <n v="-1.51"/>
    <n v="25.931372549019606"/>
    <n v="25.679611650485434"/>
    <n v="-15295"/>
    <n v="0.5"/>
    <n v="15.01"/>
    <n v="-17.516556291390728"/>
    <s v="NO"/>
    <n v="0.62214323648395831"/>
    <n v="6.3036037424931264"/>
    <n v="-282.27516766343746"/>
    <n v="-0.75863750583315204"/>
    <n v="5.0135832127585784"/>
    <n v="-0.81983334074924463"/>
    <x v="0"/>
    <x v="1"/>
    <x v="1"/>
    <x v="0"/>
    <x v="1"/>
    <x v="1"/>
  </r>
  <r>
    <x v="2"/>
    <s v="HEPS"/>
    <n v="812"/>
    <n v="2.78"/>
    <n v="0.32"/>
    <n v="0.28999999999999998"/>
    <n v="-0.14000000000000001"/>
    <n v="8.6875"/>
    <n v="9.5862068965517242"/>
    <n v="-39.68"/>
    <n v="0.04"/>
    <n v="7.87"/>
    <n v="-19.857142857142854"/>
    <s v="NO"/>
    <n v="-0.3783663137587337"/>
    <n v="1.4889857229278809"/>
    <n v="-6.0135896230922197E-4"/>
    <n v="-1.0281149210325728"/>
    <n v="1.5962100252553566"/>
    <n v="-1.0268128827155227"/>
    <x v="0"/>
    <x v="0"/>
    <x v="0"/>
    <x v="0"/>
    <x v="0"/>
    <x v="1"/>
  </r>
  <r>
    <x v="2"/>
    <s v="JMIA"/>
    <n v="294"/>
    <n v="3.45"/>
    <n v="-0.55000000000000004"/>
    <n v="0.71"/>
    <n v="-0.9"/>
    <n v="-6.2727272727272725"/>
    <n v="4.859154929577465"/>
    <n v="-127.87"/>
    <n v="-21.6"/>
    <n v="2.21"/>
    <n v="-3.8333333333333335"/>
    <s v="NO"/>
    <n v="-1.2463761078241515"/>
    <n v="7.4807062315207701E-2"/>
    <n v="-1.6324120323792981"/>
    <n v="-13.705269844761849"/>
    <n v="-1.1128000925693267"/>
    <n v="0.39018267058810757"/>
    <x v="0"/>
    <x v="0"/>
    <x v="0"/>
    <x v="1"/>
    <x v="0"/>
    <x v="1"/>
  </r>
  <r>
    <x v="2"/>
    <s v="KSS"/>
    <n v="726"/>
    <n v="8.06"/>
    <n v="1.64"/>
    <n v="34.25"/>
    <n v="0.98"/>
    <n v="4.9146341463414638"/>
    <n v="0.23532846715328468"/>
    <n v="2.83"/>
    <n v="2.2599999999999998"/>
    <n v="3.57"/>
    <n v="8.2244897959183678"/>
    <s v="NO"/>
    <n v="-0.5972723806900001"/>
    <n v="-1.3084899183866907"/>
    <n v="0.78597616373818058"/>
    <n v="0.27240651753854483"/>
    <n v="-0.46187186637823674"/>
    <n v="1.4564635528766601"/>
    <x v="0"/>
    <x v="0"/>
    <x v="0"/>
    <x v="0"/>
    <x v="0"/>
    <x v="1"/>
  </r>
  <r>
    <x v="2"/>
    <s v="SVV"/>
    <n v="1779"/>
    <n v="9.84"/>
    <n v="0.23"/>
    <n v="2.62"/>
    <n v="0.14000000000000001"/>
    <n v="42.782608695652172"/>
    <n v="3.7557251908396942"/>
    <n v="6.13"/>
    <n v="4.38"/>
    <n v="4.49"/>
    <n v="70.285714285714278"/>
    <s v="NO"/>
    <n v="1.5998715657889266"/>
    <n v="-0.25530286685639808"/>
    <n v="0.84703722760342692"/>
    <n v="1.5143459093271798"/>
    <n v="-2.1538066307793383E-2"/>
    <n v="6.9445766638038604"/>
    <x v="0"/>
    <x v="0"/>
    <x v="0"/>
    <x v="0"/>
    <x v="0"/>
    <x v="0"/>
  </r>
  <r>
    <x v="3"/>
    <s v="AMRK"/>
    <n v="550"/>
    <n v="22.6"/>
    <n v="5.59"/>
    <n v="26.62"/>
    <n v="2.15"/>
    <n v="4.0429338103756711"/>
    <n v="0.84898572501878289"/>
    <n v="8.07"/>
    <n v="2.0099999999999998"/>
    <n v="3.05"/>
    <n v="10.511627906976745"/>
    <s v="NO"/>
    <n v="-0.99999999999999978"/>
    <n v="-0.99999999999999556"/>
    <n v="-0.99999999999999756"/>
    <n v="-0.99999999999999978"/>
    <n v="1.0000000000000004"/>
    <n v="0.99999999999985389"/>
    <x v="0"/>
    <x v="0"/>
    <x v="0"/>
    <x v="0"/>
    <x v="0"/>
    <x v="1"/>
  </r>
  <r>
    <x v="3"/>
    <s v="WEYS"/>
    <n v="301"/>
    <n v="32.130000000000003"/>
    <n v="3.84"/>
    <n v="25.72"/>
    <n v="3.16"/>
    <n v="8.3671875000000018"/>
    <n v="1.2492223950233283"/>
    <n v="12.37"/>
    <n v="7.18"/>
    <n v="1.32"/>
    <n v="10.167721518987342"/>
    <s v="NO"/>
    <n v="1.0000000000000002"/>
    <n v="0.99999999999999667"/>
    <n v="0.99999999999999833"/>
    <n v="0.99999999999999978"/>
    <n v="-1.0000000000000007"/>
    <n v="-0.99999999999985389"/>
    <x v="0"/>
    <x v="0"/>
    <x v="0"/>
    <x v="0"/>
    <x v="0"/>
    <x v="1"/>
  </r>
  <r>
    <x v="4"/>
    <s v="AFYA"/>
    <n v="1764"/>
    <n v="19.22"/>
    <n v="1.87"/>
    <n v="7.65"/>
    <n v="1.1200000000000001"/>
    <n v="10.27807486631016"/>
    <n v="2.5124183006535947"/>
    <n v="16.32"/>
    <n v="7.72"/>
    <n v="2.0699999999999998"/>
    <n v="17.160714285714285"/>
    <s v="YES"/>
    <n v="-0.58271754444673107"/>
    <n v="-0.33920751027810875"/>
    <n v="0.92982586565996561"/>
    <n v="0.72353871629203681"/>
    <n v="-0.41184423293048056"/>
    <n v="0.25966813075086304"/>
    <x v="0"/>
    <x v="0"/>
    <x v="0"/>
    <x v="0"/>
    <x v="0"/>
    <x v="1"/>
  </r>
  <r>
    <x v="4"/>
    <s v="APEI"/>
    <n v="458"/>
    <n v="27.57"/>
    <n v="1.23"/>
    <n v="14.92"/>
    <n v="0.55000000000000004"/>
    <n v="22.414634146341463"/>
    <n v="1.8478552278820375"/>
    <n v="5.41"/>
    <n v="4.3"/>
    <n v="2.16"/>
    <n v="50.127272727272725"/>
    <s v="NO"/>
    <n v="0.18242861520974707"/>
    <n v="-0.79587771542087016"/>
    <n v="0.39404894613159208"/>
    <n v="0.34045392469546981"/>
    <n v="-0.31697700560097292"/>
    <n v="1.6285331659489806"/>
    <x v="0"/>
    <x v="0"/>
    <x v="0"/>
    <x v="0"/>
    <x v="0"/>
    <x v="1"/>
  </r>
  <r>
    <x v="4"/>
    <s v="COUR"/>
    <n v="1415"/>
    <n v="9.09"/>
    <n v="0.42"/>
    <n v="3.78"/>
    <n v="-0.42"/>
    <n v="21.642857142857142"/>
    <n v="2.4047619047619047"/>
    <n v="-10.83"/>
    <n v="-6"/>
    <n v="1.56"/>
    <n v="-21.642857142857142"/>
    <s v="NO"/>
    <n v="0.13377213879811545"/>
    <n v="-0.41318614437788265"/>
    <n v="-0.40347783417462102"/>
    <n v="-0.81328097397255361"/>
    <n v="-0.94942518779768847"/>
    <n v="-1.3515662437303901"/>
    <x v="0"/>
    <x v="0"/>
    <x v="0"/>
    <x v="0"/>
    <x v="0"/>
    <x v="1"/>
  </r>
  <r>
    <x v="4"/>
    <s v="DAO"/>
    <n v="1058"/>
    <n v="9.18"/>
    <n v="-0.09"/>
    <n v="-2.46"/>
    <n v="0.1"/>
    <n v="-102"/>
    <n v="-3.7317073170731705"/>
    <n v="-3.57"/>
    <n v="5.34"/>
    <n v="-0.85"/>
    <n v="91.8"/>
    <s v="NO"/>
    <n v="-7.66125898402335"/>
    <n v="-4.6300058462317759"/>
    <n v="-4.6948005047582411E-2"/>
    <n v="0.45694754553185279"/>
    <n v="-3.4897587196211628"/>
    <n v="3.3589030310991106"/>
    <x v="1"/>
    <x v="1"/>
    <x v="0"/>
    <x v="0"/>
    <x v="1"/>
    <x v="0"/>
  </r>
  <r>
    <x v="4"/>
    <s v="GOTU"/>
    <n v="812"/>
    <n v="3.72"/>
    <n v="0.04"/>
    <n v="1.05"/>
    <n v="-0.56000000000000005"/>
    <n v="93"/>
    <n v="3.5428571428571427"/>
    <n v="-41.63"/>
    <n v="-13.14"/>
    <n v="3.01"/>
    <n v="-6.6428571428571423"/>
    <s v="NO"/>
    <n v="4.6324642772722022"/>
    <n v="0.36888286780090618"/>
    <n v="-1.9160286244105427"/>
    <n v="-1.613054486253106"/>
    <n v="0.57899125251104033"/>
    <n v="-0.72872368755724126"/>
    <x v="1"/>
    <x v="0"/>
    <x v="0"/>
    <x v="0"/>
    <x v="0"/>
    <x v="1"/>
  </r>
  <r>
    <x v="4"/>
    <s v="KLC"/>
    <n v="1549"/>
    <n v="13.46"/>
    <n v="-0.17"/>
    <n v="7.33"/>
    <n v="-0.96"/>
    <n v="-79.17647058823529"/>
    <n v="1.8362892223738063"/>
    <n v="-13.54"/>
    <n v="0.45"/>
    <n v="4.22"/>
    <n v="-14.020833333333334"/>
    <s v="NO"/>
    <n v="-6.2223556279501446"/>
    <n v="-0.80382556916799208"/>
    <n v="-0.53656266019862586"/>
    <n v="-9.0796498593063199E-2"/>
    <n v="1.8544284199410832"/>
    <n v="-1.0350781908812963"/>
    <x v="1"/>
    <x v="0"/>
    <x v="0"/>
    <x v="0"/>
    <x v="0"/>
    <x v="1"/>
  </r>
  <r>
    <x v="4"/>
    <s v="LINC"/>
    <n v="590"/>
    <n v="20.64"/>
    <n v="-0.9"/>
    <n v="5.67"/>
    <n v="0.32"/>
    <n v="-22.933333333333334"/>
    <n v="3.6402116402116405"/>
    <n v="5.73"/>
    <n v="2.3199999999999998"/>
    <n v="2.4500000000000002"/>
    <n v="64.5"/>
    <s v="NO"/>
    <n v="-2.6765219625202645"/>
    <n v="0.43578230910304366"/>
    <n v="0.40976375953664063"/>
    <n v="0.11866799271850997"/>
    <n v="-1.1293717539227022E-2"/>
    <n v="2.2253295788639798"/>
    <x v="0"/>
    <x v="0"/>
    <x v="0"/>
    <x v="0"/>
    <x v="0"/>
    <x v="1"/>
  </r>
  <r>
    <x v="4"/>
    <s v="NTCL"/>
    <n v="580"/>
    <n v="20.27"/>
    <m/>
    <m/>
    <m/>
    <s v=""/>
    <s v=""/>
    <n v="-37.03"/>
    <n v="-11.7"/>
    <n v="2.4300000000000002"/>
    <s v=""/>
    <s v="NO"/>
    <e v="#VALUE!"/>
    <e v="#VALUE!"/>
    <n v="-1.6901281817129699"/>
    <n v="-1.4517556266334988"/>
    <n v="-3.2375323612450893E-2"/>
    <e v="#VALUE!"/>
    <x v="1"/>
    <x v="1"/>
    <x v="0"/>
    <x v="0"/>
    <x v="0"/>
    <x v="0"/>
  </r>
  <r>
    <x v="4"/>
    <s v="PRDO"/>
    <n v="1989"/>
    <n v="31.31"/>
    <n v="2.54"/>
    <n v="14.8"/>
    <n v="2.25"/>
    <n v="12.326771653543306"/>
    <n v="2.1155405405405405"/>
    <n v="16.54"/>
    <n v="9.83"/>
    <n v="1.31"/>
    <n v="13.915555555555555"/>
    <s v="YES"/>
    <n v="-0.45355799906955363"/>
    <n v="-0.61193143303770203"/>
    <n v="0.94062979987593642"/>
    <n v="0.95988635087354468"/>
    <n v="-1.2129452637129867"/>
    <n v="0.12491993350555146"/>
    <x v="0"/>
    <x v="0"/>
    <x v="0"/>
    <x v="0"/>
    <x v="0"/>
    <x v="1"/>
  </r>
  <r>
    <x v="4"/>
    <s v="QSG"/>
    <n v="335"/>
    <n v="7.08"/>
    <n v="0.7"/>
    <n v="1.68"/>
    <n v="1.04"/>
    <n v="10.114285714285716"/>
    <n v="4.2142857142857144"/>
    <n v="81.72"/>
    <n v="21.21"/>
    <n v="2.2400000000000002"/>
    <n v="6.8076923076923075"/>
    <s v="NO"/>
    <n v="-0.59304358807847868"/>
    <n v="0.83027086243358095"/>
    <n v="4.1415408553167605"/>
    <n v="2.2345953942562735"/>
    <n v="-0.23265058130807742"/>
    <n v="-0.17021871410967027"/>
    <x v="0"/>
    <x v="0"/>
    <x v="1"/>
    <x v="0"/>
    <x v="0"/>
    <x v="1"/>
  </r>
  <r>
    <x v="4"/>
    <s v="UDMY"/>
    <n v="968"/>
    <n v="7.14"/>
    <n v="0.19"/>
    <n v="1.41"/>
    <n v="-0.46"/>
    <n v="37.578947368421048"/>
    <n v="5.0638297872340425"/>
    <n v="-27.17"/>
    <n v="-4.91"/>
    <n v="3.05"/>
    <n v="-15.521739130434781"/>
    <s v="NO"/>
    <n v="1.1384587187987292"/>
    <n v="1.41405512906931"/>
    <n v="-1.2059154936699121"/>
    <n v="-0.69118669828826762"/>
    <n v="0.62115446465748814"/>
    <n v="-1.0974000577640803"/>
    <x v="0"/>
    <x v="0"/>
    <x v="0"/>
    <x v="0"/>
    <x v="0"/>
    <x v="1"/>
  </r>
  <r>
    <x v="4"/>
    <s v="UTI"/>
    <n v="1610"/>
    <n v="31.67"/>
    <n v="1.38"/>
    <n v="5.15"/>
    <n v="0.97"/>
    <n v="22.949275362318843"/>
    <n v="6.1495145631067958"/>
    <n v="21.41"/>
    <n v="6.09"/>
    <n v="2.69"/>
    <n v="32.649484536082475"/>
    <s v="NO"/>
    <n v="0.21613492881645716"/>
    <n v="2.1601090547718802"/>
    <n v="1.1797896163840189"/>
    <n v="0.5409573682503982"/>
    <n v="0.24168555533945893"/>
    <n v="0.90280581439872631"/>
    <x v="0"/>
    <x v="0"/>
    <x v="0"/>
    <x v="0"/>
    <x v="0"/>
    <x v="1"/>
  </r>
  <r>
    <x v="4"/>
    <s v="VSTA"/>
    <n v="346"/>
    <n v="4.08"/>
    <n v="0.1"/>
    <n v="10.06"/>
    <n v="0.97"/>
    <n v="40.799999999999997"/>
    <n v="0.40556660039761427"/>
    <n v="10.220000000000001"/>
    <n v="1.68"/>
    <n v="1.44"/>
    <n v="4.2061855670103094"/>
    <s v="NO"/>
    <n v="1.3415291273253926"/>
    <n v="-1.786980396828499"/>
    <n v="0.63026223512622803"/>
    <n v="4.6979610665351244E-2"/>
    <n v="-1.0759148242370318"/>
    <n v="-0.27824065466087383"/>
    <x v="0"/>
    <x v="0"/>
    <x v="0"/>
    <x v="0"/>
    <x v="0"/>
    <x v="1"/>
  </r>
  <r>
    <x v="4"/>
    <s v="CSV"/>
    <n v="642"/>
    <n v="42.33"/>
    <n v="2.02"/>
    <n v="14.21"/>
    <n v="2.99"/>
    <n v="20.955445544554454"/>
    <n v="2.9788881069669242"/>
    <n v="23.3"/>
    <n v="4.3899999999999997"/>
    <n v="5.72"/>
    <n v="14.157190635451503"/>
    <s v="NO"/>
    <n v="9.0434456971766136E-2"/>
    <n v="-1.8661769971471624E-2"/>
    <n v="1.2726052330575868"/>
    <n v="0.35053510342169525"/>
    <n v="3.4355488754328722"/>
    <n v="0.13495330756045115"/>
    <x v="0"/>
    <x v="0"/>
    <x v="0"/>
    <x v="0"/>
    <x v="1"/>
    <x v="1"/>
  </r>
  <r>
    <x v="4"/>
    <s v="MATW"/>
    <n v="592"/>
    <n v="21.22"/>
    <n v="-0.28000000000000003"/>
    <n v="13.16"/>
    <n v="-2.5499999999999998"/>
    <n v="-75.785714285714278"/>
    <n v="1.6124620060790273"/>
    <n v="-17.170000000000002"/>
    <n v="2.4900000000000002"/>
    <n v="4.4800000000000004"/>
    <n v="-8.321568627450981"/>
    <s v="NO"/>
    <n v="-6.0085862965158521"/>
    <n v="-0.95763372518782908"/>
    <n v="-0.71482757476214531"/>
    <n v="0.1377102192013803"/>
    <n v="2.128489298892994"/>
    <n v="-0.79842855103335109"/>
    <x v="1"/>
    <x v="0"/>
    <x v="0"/>
    <x v="0"/>
    <x v="0"/>
    <x v="1"/>
  </r>
  <r>
    <x v="4"/>
    <s v="OSW"/>
    <n v="1916"/>
    <n v="19.440000000000001"/>
    <n v="0.64"/>
    <n v="5.17"/>
    <n v="0.63"/>
    <n v="30.375"/>
    <n v="3.7601547388781436"/>
    <n v="12.8"/>
    <n v="6.88"/>
    <n v="1.34"/>
    <n v="30.857142857142858"/>
    <s v="NO"/>
    <n v="0.68428776835613059"/>
    <n v="0.51820404109163265"/>
    <n v="0.75696291820443173"/>
    <n v="0.62944771484726603"/>
    <n v="-1.1813228546031509"/>
    <n v="0.82838270287563132"/>
    <x v="0"/>
    <x v="0"/>
    <x v="0"/>
    <x v="0"/>
    <x v="0"/>
    <x v="1"/>
  </r>
  <r>
    <x v="4"/>
    <s v="SDA"/>
    <n v="294"/>
    <n v="3.33"/>
    <n v="0.12"/>
    <n v="0.12"/>
    <n v="-0.72"/>
    <n v="27.75"/>
    <n v="27.75"/>
    <n v="-96.04"/>
    <n v="-15.52"/>
    <n v="20.75"/>
    <n v="-4.625"/>
    <s v="NO"/>
    <n v="0.51879533983869042"/>
    <n v="17.003392589185314"/>
    <n v="-4.5880379911877016"/>
    <n v="-1.87964565701329"/>
    <n v="19.278375839460598"/>
    <n v="-0.64493653416728192"/>
    <x v="0"/>
    <x v="1"/>
    <x v="1"/>
    <x v="0"/>
    <x v="1"/>
    <x v="1"/>
  </r>
  <r>
    <x v="5"/>
    <s v="ACEL"/>
    <n v="979"/>
    <n v="11.83"/>
    <n v="0.77"/>
    <n v="3.05"/>
    <n v="0.49"/>
    <n v="15.363636363636363"/>
    <n v="3.8786885245901641"/>
    <n v="18.260000000000002"/>
    <n v="6.48"/>
    <n v="4.04"/>
    <n v="24.142857142857142"/>
    <s v="NO"/>
    <n v="0.55803477977245941"/>
    <n v="0.67819758155507803"/>
    <n v="0.54917660543499003"/>
    <n v="0.78525342393330677"/>
    <n v="0.73734606704816519"/>
    <n v="0.84356016837591796"/>
    <x v="0"/>
    <x v="0"/>
    <x v="0"/>
    <x v="0"/>
    <x v="0"/>
    <x v="1"/>
  </r>
  <r>
    <x v="5"/>
    <s v="AGS"/>
    <n v="500"/>
    <n v="12.17"/>
    <n v="0.73"/>
    <n v="2.74"/>
    <n v="1.2"/>
    <n v="16.671232876712327"/>
    <n v="4.4416058394160585"/>
    <n v="57.26"/>
    <n v="6.55"/>
    <n v="6.29"/>
    <n v="10.141666666666667"/>
    <s v="NO"/>
    <n v="0.62442728128683245"/>
    <n v="0.85275488957878243"/>
    <n v="2.5407613314860513"/>
    <n v="0.80715292181192466"/>
    <n v="1.2790570734857341"/>
    <n v="0.12198846004745302"/>
    <x v="0"/>
    <x v="0"/>
    <x v="0"/>
    <x v="0"/>
    <x v="0"/>
    <x v="1"/>
  </r>
  <r>
    <x v="5"/>
    <s v="BALY"/>
    <n v="576"/>
    <n v="10.85"/>
    <n v="-2.77"/>
    <n v="0.76"/>
    <n v="-11.71"/>
    <n v="-3.9169675090252705"/>
    <n v="14.276315789473683"/>
    <n v="-170.3"/>
    <n v="0.41"/>
    <n v="189.64"/>
    <n v="-0.92655849701110149"/>
    <s v="NO"/>
    <n v="-0.42092739167174303"/>
    <n v="3.9024398945727499"/>
    <n v="-9.0798802136467582"/>
    <n v="-1.1137458921125787"/>
    <n v="45.422485086964961"/>
    <n v="-0.44842861649331905"/>
    <x v="0"/>
    <x v="1"/>
    <x v="1"/>
    <x v="0"/>
    <x v="1"/>
    <x v="1"/>
  </r>
  <r>
    <x v="5"/>
    <s v="CDRO"/>
    <n v="371"/>
    <n v="8.25"/>
    <n v="-0.16"/>
    <n v="0.44"/>
    <n v="-0.06"/>
    <n v="-51.5625"/>
    <n v="18.75"/>
    <n v="-11.54"/>
    <n v="-1.66"/>
    <n v="3.82"/>
    <n v="-137.5"/>
    <s v="NO"/>
    <n v="-2.8401033809215526"/>
    <n v="5.2897027343721525"/>
    <n v="-0.9725983903681289"/>
    <n v="-1.7613453293802861"/>
    <n v="0.68437876864093616"/>
    <n v="-7.486939496349784"/>
    <x v="0"/>
    <x v="1"/>
    <x v="0"/>
    <x v="0"/>
    <x v="0"/>
    <x v="0"/>
  </r>
  <r>
    <x v="5"/>
    <s v="EVRI"/>
    <n v="1214"/>
    <n v="14.06"/>
    <n v="1.91"/>
    <n v="2.96"/>
    <n v="0.17"/>
    <n v="7.3612565445026181"/>
    <n v="4.75"/>
    <n v="6.23"/>
    <n v="4.0199999999999996"/>
    <n v="7.51"/>
    <n v="82.705882352941174"/>
    <s v="NO"/>
    <n v="0.15171829839043879"/>
    <n v="0.94838608276461067"/>
    <n v="-6.5150683139222051E-2"/>
    <n v="1.5642498484726895E-2"/>
    <n v="1.5727848191985492"/>
    <n v="3.8616908207360545"/>
    <x v="0"/>
    <x v="0"/>
    <x v="0"/>
    <x v="0"/>
    <x v="0"/>
    <x v="0"/>
  </r>
  <r>
    <x v="5"/>
    <s v="GDEN"/>
    <n v="684"/>
    <n v="29.42"/>
    <n v="1.51"/>
    <n v="17.89"/>
    <n v="1.71"/>
    <n v="19.483443708609272"/>
    <n v="1.6444941307993293"/>
    <n v="10.029999999999999"/>
    <n v="2.2200000000000002"/>
    <n v="2.2799999999999998"/>
    <n v="17.204678362573102"/>
    <s v="NO"/>
    <n v="0.76721575620884164"/>
    <n v="-1.4612798780091144E-2"/>
    <n v="0.12890116196318901"/>
    <n v="-0.54748744696545315"/>
    <n v="0.31360767979033344"/>
    <n v="0.48599103711587177"/>
    <x v="0"/>
    <x v="0"/>
    <x v="0"/>
    <x v="0"/>
    <x v="0"/>
    <x v="1"/>
  </r>
  <r>
    <x v="5"/>
    <s v="MCRI"/>
    <n v="1466"/>
    <n v="82.3"/>
    <n v="4.8499999999999996"/>
    <n v="29.01"/>
    <n v="3.96"/>
    <n v="16.969072164948454"/>
    <n v="2.836952774905205"/>
    <n v="14.24"/>
    <n v="11.02"/>
    <n v="1.33"/>
    <n v="20.782828282828284"/>
    <s v="NO"/>
    <n v="0.63954990909863352"/>
    <n v="0.35516152750635099"/>
    <n v="0.34389017982664982"/>
    <n v="2.2055922863465387"/>
    <n v="8.488525485002664E-2"/>
    <n v="0.67039619573466869"/>
    <x v="0"/>
    <x v="0"/>
    <x v="0"/>
    <x v="0"/>
    <x v="0"/>
    <x v="1"/>
  </r>
  <r>
    <x v="5"/>
    <s v="MSC"/>
    <n v="578"/>
    <n v="3.35"/>
    <n v="0.54"/>
    <n v="3.07"/>
    <n v="-0.5"/>
    <n v="6.2037037037037033"/>
    <n v="1.0912052117263844"/>
    <n v="-15.39"/>
    <n v="0.78"/>
    <n v="5.05"/>
    <n v="-6.7"/>
    <s v="NO"/>
    <n v="9.2944182700177708E-2"/>
    <n v="-0.18618439860304209"/>
    <n v="-1.1692035492218875"/>
    <n v="-0.99799140332559722"/>
    <n v="0.98051411882680717"/>
    <n v="-0.74597131868928657"/>
    <x v="0"/>
    <x v="0"/>
    <x v="0"/>
    <x v="0"/>
    <x v="0"/>
    <x v="1"/>
  </r>
  <r>
    <x v="5"/>
    <s v="RSI"/>
    <n v="1120"/>
    <n v="12.15"/>
    <n v="0.84"/>
    <n v="0.86"/>
    <n v="0.1"/>
    <n v="14.464285714285715"/>
    <n v="14.127906976744187"/>
    <n v="11.23"/>
    <n v="6.41"/>
    <n v="4.76"/>
    <n v="121.5"/>
    <s v="NO"/>
    <n v="0.51237073987034598"/>
    <n v="3.8564192052907593"/>
    <n v="0.19018069199552942"/>
    <n v="0.76335392605468855"/>
    <n v="0.91069358910818721"/>
    <n v="5.8610020786813228"/>
    <x v="0"/>
    <x v="1"/>
    <x v="0"/>
    <x v="0"/>
    <x v="0"/>
    <x v="0"/>
  </r>
  <r>
    <x v="5"/>
    <s v="DESP"/>
    <n v="1627"/>
    <n v="19.47"/>
    <n v="7.0000000000000007E-2"/>
    <n v="-1.1299999999999999"/>
    <n v="-0.03"/>
    <n v="278.14285714285711"/>
    <n v="-17.23008849557522"/>
    <n v="54.03"/>
    <n v="8.6199999999999992"/>
    <n v="-9.58"/>
    <n v="-649"/>
    <s v="NO"/>
    <n v="13.90050674192935"/>
    <n v="-5.867508502210252"/>
    <n v="2.3758172631490018"/>
    <n v="1.4547523590796316"/>
    <n v="-2.5418112252539187"/>
    <n v="-33.847835695687273"/>
    <x v="1"/>
    <x v="1"/>
    <x v="0"/>
    <x v="0"/>
    <x v="0"/>
    <x v="0"/>
  </r>
  <r>
    <x v="5"/>
    <s v="LIND"/>
    <n v="526"/>
    <n v="10.55"/>
    <n v="1.0900000000000001"/>
    <n v="-4.6500000000000004"/>
    <n v="-0.67"/>
    <n v="9.6788990825688082"/>
    <n v="-2.268817204301075"/>
    <n v="21.75"/>
    <n v="1.99"/>
    <n v="-3.46"/>
    <n v="-15.746268656716419"/>
    <s v="NO"/>
    <n v="0.26939533727788917"/>
    <n v="-1.2281073460655145"/>
    <n v="0.72739790527904646"/>
    <n v="-0.61944293999519839"/>
    <n v="-1.0683572877437313"/>
    <n v="-1.2121839268046763"/>
    <x v="0"/>
    <x v="0"/>
    <x v="0"/>
    <x v="0"/>
    <x v="0"/>
    <x v="1"/>
  </r>
  <r>
    <x v="5"/>
    <s v="PLYA"/>
    <n v="1652"/>
    <n v="13.43"/>
    <n v="0.19"/>
    <n v="4.3099999999999996"/>
    <n v="0.49"/>
    <n v="70.68421052631578"/>
    <n v="3.1160092807424595"/>
    <n v="11.21"/>
    <n v="4.2699999999999996"/>
    <n v="3.52"/>
    <n v="27.408163265306122"/>
    <s v="NO"/>
    <n v="3.3669068340667057"/>
    <n v="0.44169528861568602"/>
    <n v="0.18915936649499043"/>
    <n v="9.3854990908363037E-2"/>
    <n v="0.61215063444926043"/>
    <n v="1.0118424670131394"/>
    <x v="1"/>
    <x v="0"/>
    <x v="0"/>
    <x v="0"/>
    <x v="0"/>
    <x v="1"/>
  </r>
  <r>
    <x v="5"/>
    <s v="SABR"/>
    <n v="946"/>
    <n v="2.94"/>
    <n v="-0.04"/>
    <n v="-4.2"/>
    <n v="-0.73"/>
    <n v="-73.5"/>
    <n v="-0.7"/>
    <n v="18.87"/>
    <n v="4.3499999999999996"/>
    <n v="-2.86"/>
    <n v="-4.0273972602739727"/>
    <s v="NO"/>
    <n v="-3.9539680076674206"/>
    <n v="-0.74162647089689671"/>
    <n v="0.58032703320142964"/>
    <n v="0.11888298848392662"/>
    <n v="-0.92390101936037949"/>
    <n v="-0.60823485064630944"/>
    <x v="1"/>
    <x v="0"/>
    <x v="0"/>
    <x v="0"/>
    <x v="0"/>
    <x v="1"/>
  </r>
  <r>
    <x v="5"/>
    <s v="SHCO"/>
    <n v="1231"/>
    <n v="6.26"/>
    <n v="0.04"/>
    <n v="-1.73"/>
    <n v="-0.84"/>
    <n v="156.5"/>
    <n v="-3.6184971098265897"/>
    <n v="65.87"/>
    <n v="0.06"/>
    <n v="-7.29"/>
    <n v="-7.4523809523809526"/>
    <s v="NO"/>
    <n v="7.7241568539416798"/>
    <n v="-1.6466350495082296"/>
    <n v="2.9804419594680938"/>
    <n v="-1.2232433815056694"/>
    <n v="-1.9904698009241262"/>
    <n v="-0.78474636500027972"/>
    <x v="1"/>
    <x v="0"/>
    <x v="1"/>
    <x v="0"/>
    <x v="0"/>
    <x v="1"/>
  </r>
  <r>
    <x v="5"/>
    <s v="TH"/>
    <n v="675"/>
    <n v="6.99"/>
    <n v="1.21"/>
    <n v="4.26"/>
    <n v="0.7"/>
    <n v="5.7768595041322319"/>
    <n v="1.6408450704225352"/>
    <n v="17.89"/>
    <n v="9.98"/>
    <n v="1.72"/>
    <n v="9.9857142857142858"/>
    <s v="NO"/>
    <n v="7.1271400704311455E-2"/>
    <n v="-1.5744350678412372E-2"/>
    <n v="0.53028208367501839"/>
    <n v="1.8802283178642127"/>
    <n v="0.17878182929920525"/>
    <n v="0.11395122734691485"/>
    <x v="0"/>
    <x v="0"/>
    <x v="0"/>
    <x v="0"/>
    <x v="0"/>
    <x v="1"/>
  </r>
  <r>
    <x v="5"/>
    <s v="TNLIY"/>
    <n v="1771"/>
    <n v="8.4700000000000006"/>
    <n v="-0.44"/>
    <n v="0.84"/>
    <n v="-0.27"/>
    <n v="-19.25"/>
    <n v="10.083333333333334"/>
    <n v="17.82"/>
    <n v="7.98"/>
    <n v="2.42"/>
    <n v="-31.37037037037037"/>
    <s v="NO"/>
    <n v="-1.199453774005274"/>
    <n v="2.6022209976627222"/>
    <n v="0.52670744442313189"/>
    <n v="1.2545283784751236"/>
    <n v="0.34731414241311553"/>
    <n v="-2.0173947254000288"/>
    <x v="0"/>
    <x v="0"/>
    <x v="0"/>
    <x v="0"/>
    <x v="0"/>
    <x v="1"/>
  </r>
  <r>
    <x v="5"/>
    <s v="LUCK"/>
    <n v="1368"/>
    <n v="9.16"/>
    <n v="-0.17"/>
    <n v="-1.25"/>
    <n v="0.01"/>
    <n v="-53.882352941176471"/>
    <n v="-7.3280000000000003"/>
    <n v="-159.56"/>
    <n v="3.15"/>
    <n v="-18.03"/>
    <n v="916"/>
    <s v="NO"/>
    <n v="-2.9578926518242916"/>
    <n v="-2.7969298113865246"/>
    <n v="-8.5314284198573116"/>
    <n v="-0.25653697514952678"/>
    <n v="-4.5762370049861225"/>
    <n v="46.806714748033507"/>
    <x v="1"/>
    <x v="0"/>
    <x v="1"/>
    <x v="0"/>
    <x v="1"/>
    <x v="0"/>
  </r>
  <r>
    <x v="5"/>
    <s v="PLAY"/>
    <n v="724"/>
    <n v="21.49"/>
    <n v="-5.58"/>
    <n v="4.0999999999999996"/>
    <n v="1.46"/>
    <n v="-3.8512544802867379"/>
    <n v="5.2414634146341461"/>
    <n v="29.37"/>
    <n v="3.86"/>
    <n v="27.54"/>
    <n v="14.71917808219178"/>
    <s v="NO"/>
    <n v="-0.41759084839068611"/>
    <n v="1.1007859617365479"/>
    <n v="1.1165229209844079"/>
    <n v="-3.4413496666400138E-2"/>
    <n v="6.3952165787294408"/>
    <n v="0.35789716635427593"/>
    <x v="0"/>
    <x v="0"/>
    <x v="0"/>
    <x v="0"/>
    <x v="1"/>
    <x v="1"/>
  </r>
  <r>
    <x v="5"/>
    <s v="XPOF"/>
    <n v="285"/>
    <n v="9.42"/>
    <n v="-0.02"/>
    <n v="-6.43"/>
    <n v="-2.27"/>
    <n v="-471"/>
    <n v="-1.4650077760497668"/>
    <n v="68.33"/>
    <n v="9.7799999999999994"/>
    <n v="-1.86"/>
    <n v="-4.1497797356828192"/>
    <s v="NO"/>
    <n v="-24.136814235883151"/>
    <n v="-0.97885082780933297"/>
    <n v="3.1060649960343909"/>
    <n v="1.8176583239253035"/>
    <n v="-0.68314057205479339"/>
    <n v="-0.61454200945544069"/>
    <x v="1"/>
    <x v="0"/>
    <x v="1"/>
    <x v="0"/>
    <x v="0"/>
    <x v="1"/>
  </r>
  <r>
    <x v="5"/>
    <s v="ARCO"/>
    <n v="1681"/>
    <n v="8.16"/>
    <n v="-0.28999999999999998"/>
    <n v="2.41"/>
    <n v="0.71"/>
    <n v="-28.137931034482762"/>
    <n v="3.3858921161825726"/>
    <n v="29.11"/>
    <n v="6.88"/>
    <n v="5.69"/>
    <n v="11.492957746478874"/>
    <s v="NO"/>
    <n v="-1.6507336365359706"/>
    <n v="0.52538434914991605"/>
    <n v="1.1032456894774005"/>
    <n v="0.91039341181112443"/>
    <n v="1.1346008051023826"/>
    <n v="0.19162921056557669"/>
    <x v="0"/>
    <x v="0"/>
    <x v="0"/>
    <x v="0"/>
    <x v="0"/>
    <x v="1"/>
  </r>
  <r>
    <x v="5"/>
    <s v="BH"/>
    <n v="736"/>
    <n v="237.4"/>
    <n v="68.239999999999995"/>
    <n v="923.25"/>
    <n v="-13.45"/>
    <n v="3.4788980070339979"/>
    <n v="0.25713512049823994"/>
    <n v="-0.64"/>
    <n v="1.68"/>
    <n v="1.51"/>
    <n v="-17.650557620817846"/>
    <s v="NO"/>
    <n v="-4.5406344036050976E-2"/>
    <n v="-0.44482456829279676"/>
    <n v="-0.41597599257437062"/>
    <n v="-0.71642643060050726"/>
    <n v="0.12822213536503213"/>
    <n v="-1.3103242273251485"/>
    <x v="0"/>
    <x v="0"/>
    <x v="0"/>
    <x v="0"/>
    <x v="0"/>
    <x v="1"/>
  </r>
  <r>
    <x v="5"/>
    <s v="BJRI"/>
    <n v="829"/>
    <n v="42.84"/>
    <n v="1.06"/>
    <n v="16.3"/>
    <n v="0.95"/>
    <n v="40.415094339622641"/>
    <n v="2.6282208588957054"/>
    <n v="4.54"/>
    <n v="1.93"/>
    <n v="2.81"/>
    <n v="45.09473684210527"/>
    <s v="NO"/>
    <n v="1.8300089285068983"/>
    <n v="0.29043500302820907"/>
    <n v="-0.15145268793476807"/>
    <n v="-0.63821393817687122"/>
    <n v="0.44121071686229418"/>
    <n v="1.9233457518224213"/>
    <x v="0"/>
    <x v="0"/>
    <x v="0"/>
    <x v="0"/>
    <x v="0"/>
    <x v="1"/>
  </r>
  <r>
    <x v="5"/>
    <s v="BLMN"/>
    <n v="617"/>
    <n v="8.43"/>
    <n v="0.09"/>
    <n v="1.6"/>
    <n v="-0.61"/>
    <n v="93.666666666666671"/>
    <n v="5.2687499999999998"/>
    <n v="-16.93"/>
    <n v="3.81"/>
    <n v="24.98"/>
    <n v="-13.819672131147541"/>
    <s v="NO"/>
    <n v="4.5338285402991945"/>
    <n v="1.1092473694089973"/>
    <n v="-1.247845612763391"/>
    <n v="-5.0055995151127311E-2"/>
    <n v="5.77886983362714"/>
    <n v="-1.112893973669729"/>
    <x v="1"/>
    <x v="0"/>
    <x v="0"/>
    <x v="0"/>
    <x v="1"/>
    <x v="1"/>
  </r>
  <r>
    <x v="5"/>
    <s v="CBRL"/>
    <n v="987"/>
    <n v="54.19"/>
    <n v="2.11"/>
    <n v="20.7"/>
    <n v="1.6"/>
    <n v="25.682464454976305"/>
    <n v="2.6178743961352655"/>
    <n v="7.8"/>
    <n v="2.02"/>
    <n v="4.66"/>
    <n v="33.868749999999999"/>
    <s v="NO"/>
    <n v="1.0819676618426655"/>
    <n v="0.28722662652341369"/>
    <n v="1.5023368653089881E-2"/>
    <n v="-0.61005744090436209"/>
    <n v="0.88661754437762863"/>
    <n v="1.3447981978050887"/>
    <x v="0"/>
    <x v="0"/>
    <x v="0"/>
    <x v="0"/>
    <x v="0"/>
    <x v="1"/>
  </r>
  <r>
    <x v="5"/>
    <s v="DIN"/>
    <n v="319"/>
    <n v="24.65"/>
    <n v="6.3"/>
    <n v="-14.14"/>
    <n v="4.22"/>
    <n v="3.9126984126984126"/>
    <n v="-1.743281471004243"/>
    <n v="-27.79"/>
    <n v="5.92"/>
    <n v="-8.2899999999999991"/>
    <n v="5.8412322274881516"/>
    <s v="NO"/>
    <n v="-2.3380364460547864E-2"/>
    <n v="-1.065141843924349"/>
    <n v="-1.8024253595560711"/>
    <n v="0.61005744090436165"/>
    <n v="-2.2312302482297124"/>
    <n v="-9.9640681425158931E-2"/>
    <x v="0"/>
    <x v="0"/>
    <x v="0"/>
    <x v="0"/>
    <x v="0"/>
    <x v="1"/>
  </r>
  <r>
    <x v="5"/>
    <s v="DNUT"/>
    <n v="739"/>
    <n v="3.21"/>
    <n v="-0.44"/>
    <n v="6.67"/>
    <n v="0.02"/>
    <n v="-7.295454545454545"/>
    <n v="0.48125937031484256"/>
    <n v="0.31"/>
    <n v="-0.23"/>
    <n v="2.71"/>
    <n v="160.5"/>
    <s v="NO"/>
    <n v="-0.59246823277934635"/>
    <n v="-0.37532497273866355"/>
    <n v="-0.36746303129876784"/>
    <n v="-1.3139698727170874"/>
    <n v="0.41713467213173555"/>
    <n v="7.8709237830296361"/>
    <x v="0"/>
    <x v="0"/>
    <x v="0"/>
    <x v="0"/>
    <x v="0"/>
    <x v="0"/>
  </r>
  <r>
    <x v="5"/>
    <s v="FWRG"/>
    <n v="975"/>
    <n v="16.98"/>
    <n v="-0.21"/>
    <n v="9.81"/>
    <n v="0.3"/>
    <n v="-80.857142857142861"/>
    <n v="1.7308868501529051"/>
    <n v="3.27"/>
    <n v="1.99"/>
    <n v="2.54"/>
    <n v="56.6"/>
    <s v="NO"/>
    <n v="-4.3275229333648548"/>
    <n v="1.2177069156147139E-2"/>
    <n v="-0.21630685721899495"/>
    <n v="-0.61944293999519839"/>
    <n v="0.37620539608978593"/>
    <n v="2.5162862168298994"/>
    <x v="1"/>
    <x v="0"/>
    <x v="0"/>
    <x v="0"/>
    <x v="0"/>
    <x v="1"/>
  </r>
  <r>
    <x v="5"/>
    <s v="HDL"/>
    <n v="1235"/>
    <n v="23.62"/>
    <n v="0.15"/>
    <n v="0.55000000000000004"/>
    <n v="0.04"/>
    <n v="157.46666666666667"/>
    <n v="42.945454545454545"/>
    <n v="6.75"/>
    <n v="5.55"/>
    <n v="1.9"/>
    <n v="590.5"/>
    <s v="NO"/>
    <n v="7.7732388279977185"/>
    <n v="12.792569142328954"/>
    <n v="-3.8596220125207921E-2"/>
    <n v="0.49430295211738012"/>
    <n v="0.22211870981421072"/>
    <n v="30.031598984818736"/>
    <x v="1"/>
    <x v="1"/>
    <x v="0"/>
    <x v="0"/>
    <x v="0"/>
    <x v="0"/>
  </r>
  <r>
    <x v="5"/>
    <s v="JACK"/>
    <n v="501"/>
    <n v="26.07"/>
    <n v="4.41"/>
    <n v="-43.88"/>
    <n v="-2.15"/>
    <n v="5.9115646258503398"/>
    <n v="-0.59412032816773019"/>
    <n v="5.43"/>
    <n v="5.56"/>
    <n v="-3.35"/>
    <n v="-12.125581395348838"/>
    <s v="NO"/>
    <n v="7.8110979969191086E-2"/>
    <n v="-0.70879381501174143"/>
    <n v="-0.10600370316078232"/>
    <n v="0.49743145181432552"/>
    <n v="-1.0418736385401168"/>
    <n v="-1.0255865444641594"/>
    <x v="0"/>
    <x v="0"/>
    <x v="0"/>
    <x v="0"/>
    <x v="0"/>
    <x v="1"/>
  </r>
  <r>
    <x v="5"/>
    <s v="KRUS"/>
    <n v="731"/>
    <n v="67.11"/>
    <n v="-2.4"/>
    <n v="18.62"/>
    <n v="-0.91"/>
    <n v="-27.962500000000002"/>
    <n v="3.6041890440386677"/>
    <n v="-5.38"/>
    <n v="-0.68"/>
    <n v="1.82"/>
    <n v="-73.747252747252745"/>
    <s v="NO"/>
    <n v="-1.641826221208619"/>
    <n v="0.59307692685680435"/>
    <n v="-0.65803013620211503"/>
    <n v="-1.4547523590796323"/>
    <n v="0.20285787402976388"/>
    <n v="-4.2013489728849374"/>
    <x v="0"/>
    <x v="0"/>
    <x v="0"/>
    <x v="0"/>
    <x v="0"/>
    <x v="0"/>
  </r>
  <r>
    <x v="5"/>
    <s v="LOCO"/>
    <n v="267"/>
    <n v="9.44"/>
    <n v="0.75"/>
    <n v="8.84"/>
    <n v="0.86"/>
    <n v="12.586666666666666"/>
    <n v="1.0678733031674208"/>
    <n v="9.68"/>
    <n v="4.16"/>
    <n v="2.2200000000000002"/>
    <n v="10.976744186046512"/>
    <s v="NO"/>
    <n v="0.41703565430238587"/>
    <n v="-0.1934194845416716"/>
    <n v="0.11102796570375643"/>
    <n v="5.9441494241963308E-2"/>
    <n v="0.29916205295199838"/>
    <n v="0.16502539417604015"/>
    <x v="0"/>
    <x v="0"/>
    <x v="0"/>
    <x v="0"/>
    <x v="0"/>
    <x v="1"/>
  </r>
  <r>
    <x v="5"/>
    <s v="NATH"/>
    <n v="404"/>
    <n v="102"/>
    <n v="6.03"/>
    <n v="-4.6399999999999997"/>
    <n v="5.8"/>
    <n v="16.915422885572138"/>
    <n v="-21.982758620689658"/>
    <n v="-87.83"/>
    <n v="50.38"/>
    <n v="-2.57"/>
    <n v="17.586206896551726"/>
    <s v="NO"/>
    <n v="0.63682589612779894"/>
    <n v="-7.3412832131928951"/>
    <n v="-4.8684445121741664"/>
    <n v="14.519367093523813"/>
    <n v="-0.85408048964175953"/>
    <n v="0.50565366484079055"/>
    <x v="0"/>
    <x v="1"/>
    <x v="1"/>
    <x v="1"/>
    <x v="0"/>
    <x v="1"/>
  </r>
  <r>
    <x v="5"/>
    <s v="PBPB"/>
    <n v="258"/>
    <n v="10.31"/>
    <n v="0.01"/>
    <n v="1.95"/>
    <n v="1.31"/>
    <n v="1031"/>
    <n v="5.2871794871794879"/>
    <n v="114.75"/>
    <n v="2.97"/>
    <n v="4.51"/>
    <n v="7.8702290076335881"/>
    <s v="NO"/>
    <n v="52.12641855601629"/>
    <n v="1.1149622436642044"/>
    <n v="5.4765614827854243"/>
    <n v="-0.31284996969454471"/>
    <n v="0.85050347728179065"/>
    <n v="4.9266177150245572E-3"/>
    <x v="1"/>
    <x v="0"/>
    <x v="1"/>
    <x v="0"/>
    <x v="0"/>
    <x v="1"/>
  </r>
  <r>
    <x v="5"/>
    <s v="PTLO"/>
    <n v="722"/>
    <n v="12.3"/>
    <n v="0.16"/>
    <n v="6.3"/>
    <n v="0.46"/>
    <n v="76.875"/>
    <n v="1.9523809523809526"/>
    <n v="7.38"/>
    <n v="2.48"/>
    <n v="3.74"/>
    <n v="26.739130434782609"/>
    <s v="NO"/>
    <n v="3.68124080130853"/>
    <n v="8.0861071601538964E-2"/>
    <n v="-6.4244668582292387E-3"/>
    <n v="-0.4661464548448716"/>
    <n v="0.66511793285648935"/>
    <n v="0.97736288734670873"/>
    <x v="1"/>
    <x v="0"/>
    <x v="0"/>
    <x v="0"/>
    <x v="0"/>
    <x v="1"/>
  </r>
  <r>
    <x v="5"/>
    <s v="PZZA"/>
    <n v="1089"/>
    <n v="41.45"/>
    <n v="1.04"/>
    <n v="-13.16"/>
    <n v="2.54"/>
    <n v="39.855769230769234"/>
    <n v="-3.1496960486322192"/>
    <n v="-19.670000000000002"/>
    <n v="13.82"/>
    <n v="-2.0699999999999998"/>
    <n v="16.318897637795278"/>
    <s v="NO"/>
    <n v="1.8016095004224497"/>
    <n v="-1.501262631418629"/>
    <n v="-1.3877672063372348"/>
    <n v="3.0815722014912637"/>
    <n v="-0.73370026598896643"/>
    <n v="0.44034103957678644"/>
    <x v="0"/>
    <x v="0"/>
    <x v="0"/>
    <x v="1"/>
    <x v="0"/>
    <x v="1"/>
  </r>
  <r>
    <x v="5"/>
    <s v="RICK"/>
    <n v="361"/>
    <n v="44.99"/>
    <n v="3.32"/>
    <n v="30.26"/>
    <n v="0.53"/>
    <n v="13.55120481927711"/>
    <n v="1.4867812293456708"/>
    <n v="1.74"/>
    <n v="5.58"/>
    <n v="2.1800000000000002"/>
    <n v="84.886792452830193"/>
    <s v="NO"/>
    <n v="0.46600955421530127"/>
    <n v="-6.3518630583955918E-2"/>
    <n v="-0.29443825801022888"/>
    <n v="0.50368845120821659"/>
    <n v="0.28953163505977492"/>
    <n v="3.974087193684757"/>
    <x v="0"/>
    <x v="0"/>
    <x v="0"/>
    <x v="0"/>
    <x v="0"/>
    <x v="0"/>
  </r>
  <r>
    <x v="5"/>
    <s v="SERV"/>
    <n v="341"/>
    <n v="8.9"/>
    <n v="-0.87"/>
    <n v="2.57"/>
    <n v="-1.07"/>
    <n v="-10.229885057471265"/>
    <n v="3.4630350194552535"/>
    <n v="-61.4"/>
    <n v="-33.61"/>
    <n v="1.06"/>
    <n v="-8.3177570093457938"/>
    <s v="NO"/>
    <n v="-0.74146234546215839"/>
    <n v="0.54930590418784753"/>
    <n v="-3.5187628632118706"/>
    <n v="-11.756901861120983"/>
    <n v="1.9879934077518365E-2"/>
    <n v="-0.82934477831610021"/>
    <x v="0"/>
    <x v="0"/>
    <x v="1"/>
    <x v="1"/>
    <x v="0"/>
    <x v="1"/>
  </r>
  <r>
    <x v="5"/>
    <s v="TWNP"/>
    <n v="317"/>
    <n v="7.05"/>
    <m/>
    <m/>
    <m/>
    <s v=""/>
    <s v=""/>
    <n v="96.22"/>
    <n v="-0.94"/>
    <n v="-6.41"/>
    <s v=""/>
    <s v="NO"/>
    <e v="#VALUE!"/>
    <e v="#VALUE!"/>
    <n v="4.530303406536035"/>
    <n v="-1.5360933512002137"/>
    <n v="-1.7786006072952105"/>
    <e v="#VALUE!"/>
    <x v="1"/>
    <x v="1"/>
    <x v="1"/>
    <x v="0"/>
    <x v="0"/>
    <x v="0"/>
  </r>
  <r>
    <x v="5"/>
    <s v="VENU"/>
    <n v="297"/>
    <n v="7.76"/>
    <n v="-1.94"/>
    <n v="2.5499999999999998"/>
    <n v="-0.86"/>
    <n v="-4"/>
    <n v="3.0431372549019611"/>
    <n v="-34.18"/>
    <n v="-13.08"/>
    <n v="1.86"/>
    <n v="-9.0232558139534884"/>
    <s v="NO"/>
    <n v="-0.42514332122467047"/>
    <n v="0.41909810724299096"/>
    <n v="-2.1287388569782837"/>
    <n v="-5.3340919832919846"/>
    <n v="0.21248829192198734"/>
    <n v="-0.86570368497694095"/>
    <x v="0"/>
    <x v="0"/>
    <x v="0"/>
    <x v="1"/>
    <x v="0"/>
    <x v="1"/>
  </r>
  <r>
    <x v="6"/>
    <s v="SONO"/>
    <n v="1068"/>
    <n v="11.24"/>
    <n v="7.0000000000000007E-2"/>
    <n v="3.87"/>
    <n v="-0.56999999999999995"/>
    <n v="160.57142857142856"/>
    <n v="2.9043927648578811"/>
    <n v="-12.95"/>
    <n v="-4.12"/>
    <n v="2.0499999999999998"/>
    <n v="-19.719298245614038"/>
    <s v="NO"/>
    <n v="14.497142116054686"/>
    <n v="1.7501485332073123"/>
    <n v="-8.6530960260356675"/>
    <n v="-4.8424494333681842"/>
    <n v="0.6228113541097513"/>
    <n v="-4.7564300708326765"/>
    <x v="1"/>
    <x v="0"/>
    <x v="1"/>
    <x v="1"/>
    <x v="0"/>
    <x v="0"/>
  </r>
  <r>
    <x v="6"/>
    <s v="ETD"/>
    <n v="643"/>
    <n v="27.48"/>
    <n v="2.54"/>
    <n v="18.7"/>
    <n v="2.25"/>
    <n v="10.818897637795276"/>
    <n v="1.4695187165775403"/>
    <n v="12.09"/>
    <n v="5.83"/>
    <n v="1.54"/>
    <n v="12.213333333333333"/>
    <s v="NO"/>
    <n v="0.11266102691479805"/>
    <n v="-6.3355947976122592E-3"/>
    <n v="0.6604091818514185"/>
    <n v="0.5127702340274688"/>
    <n v="-0.77031930639890245"/>
    <n v="0.55552630202341025"/>
    <x v="0"/>
    <x v="0"/>
    <x v="0"/>
    <x v="0"/>
    <x v="0"/>
    <x v="1"/>
  </r>
  <r>
    <x v="6"/>
    <s v="LEG"/>
    <n v="1231"/>
    <n v="9.58"/>
    <n v="1.81"/>
    <n v="5.53"/>
    <n v="-3.73"/>
    <n v="5.2928176795580111"/>
    <n v="1.7323688969258588"/>
    <n v="-50.31"/>
    <n v="3.46"/>
    <n v="5.01"/>
    <n v="-2.5683646112600536"/>
    <s v="NO"/>
    <n v="-0.41814664732455648"/>
    <n v="0.31542935061929001"/>
    <n v="-22.548964818633976"/>
    <n v="-0.76279465157330484"/>
    <n v="8.7084324425521373"/>
    <n v="-1.9033920744433526"/>
    <x v="0"/>
    <x v="0"/>
    <x v="1"/>
    <x v="0"/>
    <x v="1"/>
    <x v="1"/>
  </r>
  <r>
    <x v="6"/>
    <s v="LOVE"/>
    <n v="303"/>
    <n v="21.34"/>
    <n v="1.1299999999999999"/>
    <n v="14.63"/>
    <n v="0.69"/>
    <n v="18.884955752212392"/>
    <n v="1.4586466165413532"/>
    <n v="5.33"/>
    <n v="1.68"/>
    <n v="2.46"/>
    <n v="30.927536231884059"/>
    <s v="NO"/>
    <n v="0.88744633229408609"/>
    <n v="-1.9644547715487719E-2"/>
    <n v="-1.8539396682011655"/>
    <n v="-1.7208138483536328"/>
    <n v="1.7427791400088659"/>
    <n v="3.6686123345387198"/>
    <x v="0"/>
    <x v="0"/>
    <x v="0"/>
    <x v="0"/>
    <x v="0"/>
    <x v="0"/>
  </r>
  <r>
    <x v="6"/>
    <s v="LZB"/>
    <n v="1672"/>
    <n v="43.61"/>
    <n v="2.65"/>
    <n v="24.66"/>
    <n v="2.91"/>
    <n v="16.456603773584906"/>
    <n v="1.7684509326845093"/>
    <n v="12.47"/>
    <n v="5.05"/>
    <n v="1.92"/>
    <n v="14.986254295532644"/>
    <s v="NO"/>
    <n v="0.65419095492872525"/>
    <n v="0.35959874875714881"/>
    <n v="0.80174831839283633"/>
    <n v="9.2964069146201436E-2"/>
    <n v="0.26769961711734952"/>
    <n v="1.0167985006571068"/>
    <x v="0"/>
    <x v="0"/>
    <x v="0"/>
    <x v="0"/>
    <x v="0"/>
    <x v="1"/>
  </r>
  <r>
    <x v="6"/>
    <s v="BZH"/>
    <n v="637"/>
    <n v="23.34"/>
    <n v="-2.56"/>
    <n v="41.44"/>
    <n v="3.1"/>
    <n v="-9.1171875"/>
    <n v="0.56322393822393824"/>
    <n v="7.97"/>
    <n v="2.5299999999999998"/>
    <n v="2.16"/>
    <n v="7.5290322580645155"/>
    <s v="NO"/>
    <n v="-1.8022998613468406"/>
    <n v="-1.1157656492192423"/>
    <n v="-0.87200461433447596"/>
    <n v="-1.2633327712394313"/>
    <n v="0.92329051618024627"/>
    <n v="-0.22370177028979094"/>
    <x v="0"/>
    <x v="0"/>
    <x v="0"/>
    <x v="0"/>
    <x v="0"/>
    <x v="1"/>
  </r>
  <r>
    <x v="6"/>
    <s v="CCS"/>
    <n v="1627"/>
    <n v="56.87"/>
    <n v="-2.2200000000000002"/>
    <n v="84.41"/>
    <n v="9.6999999999999993"/>
    <n v="-25.617117117117115"/>
    <n v="0.67373533941476127"/>
    <n v="12.36"/>
    <n v="5.91"/>
    <n v="1.77"/>
    <n v="5.8628865979381448"/>
    <s v="NO"/>
    <n v="-3.3872007913668143"/>
    <n v="-0.98048442200079555"/>
    <n v="0.76083435781505715"/>
    <n v="0.55582727657939368"/>
    <n v="-0.14204469479696036"/>
    <n v="-0.50086317603029873"/>
    <x v="1"/>
    <x v="0"/>
    <x v="0"/>
    <x v="0"/>
    <x v="0"/>
    <x v="1"/>
  </r>
  <r>
    <x v="6"/>
    <s v="HOV"/>
    <n v="590"/>
    <n v="112.42"/>
    <n v="4.62"/>
    <n v="114.12"/>
    <n v="32.36"/>
    <n v="24.333333333333332"/>
    <n v="0.98510339992989837"/>
    <n v="34.729999999999997"/>
    <n v="7.04"/>
    <n v="3.75"/>
    <n v="3.4740420271940669"/>
    <s v="NO"/>
    <n v="1.4107903038017231"/>
    <n v="-0.59932688631466602"/>
    <n v="9.0812461589506039"/>
    <n v="1.1640080026253321"/>
    <n v="5.2665802224719327"/>
    <n v="-0.89824471065122224"/>
    <x v="0"/>
    <x v="0"/>
    <x v="1"/>
    <x v="0"/>
    <x v="1"/>
    <x v="1"/>
  </r>
  <r>
    <x v="6"/>
    <s v="LEGH"/>
    <n v="601"/>
    <n v="23.54"/>
    <n v="1.1100000000000001"/>
    <n v="20.45"/>
    <n v="2.48"/>
    <n v="21.207207207207205"/>
    <n v="1.1511002444987775"/>
    <n v="13.25"/>
    <n v="7.64"/>
    <n v="1.08"/>
    <n v="9.491935483870968"/>
    <s v="NO"/>
    <n v="1.1105102226359762"/>
    <n v="-0.39612380857165674"/>
    <n v="1.0918654933989034"/>
    <n v="1.4869358217647684"/>
    <n v="-2.0268685296027869"/>
    <n v="0.10282491367122029"/>
    <x v="0"/>
    <x v="0"/>
    <x v="0"/>
    <x v="0"/>
    <x v="0"/>
    <x v="1"/>
  </r>
  <r>
    <x v="6"/>
    <s v="LGIH"/>
    <n v="1266"/>
    <n v="59.58"/>
    <n v="-7.37"/>
    <n v="87.27"/>
    <n v="7.76"/>
    <n v="-8.0841248303934865"/>
    <n v="0.6827088346510829"/>
    <n v="9.36"/>
    <n v="3.33"/>
    <n v="1.9"/>
    <n v="7.677835051546392"/>
    <s v="NO"/>
    <n v="-1.7030690146813048"/>
    <n v="-0.96949962373629506"/>
    <n v="-0.35500093066981753"/>
    <n v="-0.83276234572018271"/>
    <n v="0.21306704219544145"/>
    <n v="-0.1989485974991099"/>
    <x v="0"/>
    <x v="0"/>
    <x v="0"/>
    <x v="0"/>
    <x v="0"/>
    <x v="1"/>
  </r>
  <r>
    <x v="6"/>
    <s v="SDHC"/>
    <n v="973"/>
    <n v="20.77"/>
    <n v="1.72"/>
    <n v="8.32"/>
    <n v="1.81"/>
    <n v="12.075581395348838"/>
    <n v="2.4963942307692308"/>
    <n v="36.630000000000003"/>
    <n v="17.98"/>
    <n v="6.46"/>
    <n v="11.47513812154696"/>
    <s v="NO"/>
    <n v="0.23337179976690861"/>
    <n v="1.2507019439858622"/>
    <n v="9.7879418416576947"/>
    <n v="7.0520585716010551"/>
    <n v="12.669294124390468"/>
    <n v="0.43272838134575181"/>
    <x v="0"/>
    <x v="0"/>
    <x v="1"/>
    <x v="1"/>
    <x v="1"/>
    <x v="1"/>
  </r>
  <r>
    <x v="6"/>
    <s v="CRCT"/>
    <n v="1292"/>
    <n v="6.25"/>
    <n v="1.1499999999999999"/>
    <n v="2.19"/>
    <n v="0.28999999999999998"/>
    <n v="5.4347826086956523"/>
    <n v="2.8538812785388128"/>
    <n v="12.55"/>
    <n v="6.71"/>
    <n v="1.48"/>
    <n v="21.551724137931036"/>
    <s v="NO"/>
    <n v="-0.40451020441591212"/>
    <n v="1.6883154935006472"/>
    <n v="0.83150392608576629"/>
    <n v="0.98639770209864208"/>
    <n v="-0.93421703116462662"/>
    <n v="2.1089568241544843"/>
    <x v="0"/>
    <x v="0"/>
    <x v="0"/>
    <x v="0"/>
    <x v="0"/>
    <x v="1"/>
  </r>
  <r>
    <x v="6"/>
    <s v="HELE"/>
    <n v="562"/>
    <n v="31.78"/>
    <n v="3.61"/>
    <n v="73.650000000000006"/>
    <n v="5.37"/>
    <n v="8.8033240997229925"/>
    <n v="0.43150033944331295"/>
    <n v="7.45"/>
    <n v="4.47"/>
    <n v="1.86"/>
    <n v="5.9180633147113593"/>
    <s v="NO"/>
    <n v="-8.0944912573600494E-2"/>
    <n v="-1.2770135377145067"/>
    <n v="-1.0654160643385207"/>
    <n v="-0.21919948935525374"/>
    <n v="0.10380189235162593"/>
    <n v="-0.49168459293819983"/>
    <x v="0"/>
    <x v="0"/>
    <x v="0"/>
    <x v="0"/>
    <x v="0"/>
    <x v="1"/>
  </r>
  <r>
    <x v="7"/>
    <s v="JOUT"/>
    <n v="251"/>
    <n v="27.29"/>
    <n v="3.42"/>
    <n v="43.15"/>
    <n v="-4.45"/>
    <n v="7.9795321637426904"/>
    <n v="0.63244495944380075"/>
    <n v="-9.6999999999999993"/>
    <n v="-4.5"/>
    <n v="1.42"/>
    <n v="-6.1325842696629209"/>
    <s v="NO"/>
    <n v="-1.8744669495035506"/>
    <n v="-1.4104656239268729"/>
    <n v="-1.0359773720076151"/>
    <n v="-2.1496840605933514"/>
    <n v="-0.34416888916568783"/>
    <n v="-0.23858984029861124"/>
    <x v="0"/>
    <x v="0"/>
    <x v="0"/>
    <x v="0"/>
    <x v="0"/>
    <x v="1"/>
  </r>
  <r>
    <x v="7"/>
    <s v="MBUU"/>
    <n v="583"/>
    <n v="32.49"/>
    <n v="1.08"/>
    <n v="25.84"/>
    <n v="-4.42"/>
    <n v="30.083333333333332"/>
    <n v="1.2573529411764706"/>
    <n v="-15.76"/>
    <n v="0.3"/>
    <n v="1.45"/>
    <n v="-7.3506787330316747"/>
    <s v="NO"/>
    <n v="4.8633231762757232"/>
    <n v="-0.36666105019806783"/>
    <n v="-1.6997915802408847"/>
    <n v="-0.48002653780239884"/>
    <n v="-0.22370977795769686"/>
    <n v="-0.27984179313876739"/>
    <x v="1"/>
    <x v="0"/>
    <x v="0"/>
    <x v="0"/>
    <x v="0"/>
    <x v="1"/>
  </r>
  <r>
    <x v="7"/>
    <s v="MCFT"/>
    <n v="296"/>
    <n v="17.54"/>
    <n v="-0.81"/>
    <n v="10.63"/>
    <n v="-0.42"/>
    <n v="-21.654320987654319"/>
    <n v="1.6500470366886169"/>
    <n v="-3.79"/>
    <n v="-0.21"/>
    <n v="1.4"/>
    <n v="-41.761904761904759"/>
    <s v="NO"/>
    <n v="-10.907604807573305"/>
    <n v="0.28926895062439634"/>
    <n v="-0.3885942085325948"/>
    <n v="-0.65742764959893762"/>
    <n v="-0.42447496330434847"/>
    <n v="-1.4452114060907728"/>
    <x v="1"/>
    <x v="0"/>
    <x v="0"/>
    <x v="0"/>
    <x v="0"/>
    <x v="1"/>
  </r>
  <r>
    <x v="7"/>
    <s v="MODG"/>
    <n v="1281"/>
    <n v="6.55"/>
    <n v="0.45"/>
    <n v="13.15"/>
    <n v="-7.88"/>
    <n v="14.555555555555555"/>
    <n v="0.49809885931558934"/>
    <n v="-46.06"/>
    <n v="1.5"/>
    <n v="3.17"/>
    <n v="-0.83121827411167515"/>
    <s v="NO"/>
    <n v="0.13006906384092806"/>
    <n v="-1.6348683806137683"/>
    <n v="-5.0188626214072336"/>
    <n v="-6.2612157104660698E-2"/>
    <n v="6.682612597967112"/>
    <n v="-5.9053928582803103E-2"/>
    <x v="0"/>
    <x v="0"/>
    <x v="1"/>
    <x v="0"/>
    <x v="1"/>
    <x v="1"/>
  </r>
  <r>
    <x v="7"/>
    <s v="MPX"/>
    <n v="291"/>
    <n v="8.61"/>
    <n v="0.59"/>
    <n v="3.62"/>
    <n v="0.43"/>
    <n v="14.59322033898305"/>
    <n v="2.3784530386740328"/>
    <n v="11.13"/>
    <n v="5.01"/>
    <n v="1.45"/>
    <n v="20.023255813953487"/>
    <s v="NO"/>
    <n v="0.14155022963319569"/>
    <n v="1.5059497078388973"/>
    <n v="1.2457470434212639"/>
    <n v="1.1583249064362235"/>
    <n v="-0.22370977795769686"/>
    <n v="0.64720310439632711"/>
    <x v="0"/>
    <x v="0"/>
    <x v="0"/>
    <x v="0"/>
    <x v="0"/>
    <x v="1"/>
  </r>
  <r>
    <x v="7"/>
    <s v="PII"/>
    <n v="1894"/>
    <n v="38.64"/>
    <n v="2.99"/>
    <n v="21.82"/>
    <n v="0.71"/>
    <n v="12.923076923076922"/>
    <n v="1.7708524289642529"/>
    <n v="3.11"/>
    <n v="2.44"/>
    <n v="4.4400000000000004"/>
    <n v="54.422535211267608"/>
    <s v="NO"/>
    <n v="-0.36755115659394005"/>
    <n v="0.49105421289418544"/>
    <n v="0.36723385034687067"/>
    <n v="0.26436244110856749"/>
    <n v="11.78204830577206"/>
    <n v="1.81216813305993"/>
    <x v="0"/>
    <x v="0"/>
    <x v="0"/>
    <x v="0"/>
    <x v="1"/>
    <x v="1"/>
  </r>
  <r>
    <x v="7"/>
    <s v="RGR"/>
    <n v="546"/>
    <n v="36.99"/>
    <n v="2.3199999999999998"/>
    <n v="19.39"/>
    <n v="1.83"/>
    <n v="15.943965517241381"/>
    <n v="1.9076843733883446"/>
    <n v="9.56"/>
    <n v="5.59"/>
    <n v="1.18"/>
    <n v="20.21311475409836"/>
    <s v="NO"/>
    <n v="0.55329106346922019"/>
    <n v="0.71960915793755387"/>
    <n v="1.0737687749515885"/>
    <n v="1.3600751904401303"/>
    <n v="-1.3078417788296146"/>
    <n v="0.65363286192389858"/>
    <x v="0"/>
    <x v="0"/>
    <x v="0"/>
    <x v="0"/>
    <x v="0"/>
    <x v="1"/>
  </r>
  <r>
    <x v="7"/>
    <s v="SWBI"/>
    <n v="405"/>
    <n v="9.6999999999999993"/>
    <n v="-0.4"/>
    <n v="8.27"/>
    <n v="0.66"/>
    <n v="-24.249999999999996"/>
    <n v="1.1729141475211609"/>
    <n v="8.0500000000000007"/>
    <n v="3.59"/>
    <n v="1.59"/>
    <n v="14.696969696969695"/>
    <s v="NO"/>
    <n v="-11.698832537360161"/>
    <n v="-0.50770197397244132"/>
    <n v="0.90836292438521271"/>
    <n v="0.66438455594389989"/>
    <n v="0.33843274101292764"/>
    <n v="0.46682324854890922"/>
    <x v="1"/>
    <x v="0"/>
    <x v="0"/>
    <x v="0"/>
    <x v="0"/>
    <x v="1"/>
  </r>
  <r>
    <x v="7"/>
    <s v="SWIM"/>
    <n v="691"/>
    <n v="6.76"/>
    <n v="0.36"/>
    <n v="3.34"/>
    <n v="-0.15"/>
    <n v="18.777777777777779"/>
    <n v="2.0239520958083834"/>
    <n v="-4.54"/>
    <n v="1.4"/>
    <n v="2.0499999999999998"/>
    <n v="-45.06666666666667"/>
    <s v="NO"/>
    <n v="1.4171077491541464"/>
    <n v="0.91381499941612332"/>
    <n v="-0.47074943232384103"/>
    <n v="-9.739668882947225E-2"/>
    <n v="2.1854724462021196"/>
    <n v="-1.5571303798181102"/>
    <x v="0"/>
    <x v="0"/>
    <x v="0"/>
    <x v="0"/>
    <x v="0"/>
    <x v="1"/>
  </r>
  <r>
    <x v="8"/>
    <s v="AEO"/>
    <n v="1927"/>
    <n v="12.72"/>
    <n v="1.32"/>
    <n v="9.3699999999999992"/>
    <n v="1.68"/>
    <n v="9.6363636363636367"/>
    <n v="1.3575240128068304"/>
    <n v="18.8"/>
    <n v="7.61"/>
    <n v="2.17"/>
    <n v="7.5714285714285721"/>
    <s v="YES"/>
    <n v="-3.8373923873069198E-2"/>
    <n v="-8.6805957034256573E-2"/>
    <n v="0.59753831765255572"/>
    <n v="1.3656060445543499"/>
    <n v="-0.32164697007823095"/>
    <n v="-9.9301705432973536E-2"/>
    <x v="0"/>
    <x v="0"/>
    <x v="0"/>
    <x v="0"/>
    <x v="0"/>
    <x v="1"/>
  </r>
  <r>
    <x v="8"/>
    <s v="BKE"/>
    <n v="1844"/>
    <n v="39.28"/>
    <n v="4"/>
    <n v="8.4499999999999993"/>
    <n v="3.89"/>
    <n v="9.82"/>
    <n v="4.6485207100591719"/>
    <n v="46.7"/>
    <n v="16.73"/>
    <n v="2.15"/>
    <n v="10.097686375321336"/>
    <s v="NO"/>
    <n v="-2.4790480105628409E-2"/>
    <n v="2.3289553856323284"/>
    <n v="1.8730528034108962"/>
    <n v="3.8124286626949537"/>
    <n v="-0.33421576819851712"/>
    <n v="4.366080191852735E-2"/>
    <x v="0"/>
    <x v="0"/>
    <x v="0"/>
    <x v="1"/>
    <x v="0"/>
    <x v="1"/>
  </r>
  <r>
    <x v="8"/>
    <s v="CAL"/>
    <n v="509"/>
    <n v="17.510000000000002"/>
    <n v="1.58"/>
    <n v="17.809999999999999"/>
    <n v="3.09"/>
    <n v="11.08227848101266"/>
    <n v="0.9831555306007862"/>
    <n v="18.079999999999998"/>
    <n v="5.48"/>
    <n v="3.16"/>
    <n v="5.6666666666666679"/>
    <s v="NO"/>
    <n v="6.8579310202562874E-2"/>
    <n v="-0.36161173486478349"/>
    <n v="0.56462181479427587"/>
    <n v="0.79414418308072232"/>
    <n v="0.30050853687593237"/>
    <n v="-0.2070933715854838"/>
    <x v="0"/>
    <x v="0"/>
    <x v="0"/>
    <x v="0"/>
    <x v="0"/>
    <x v="1"/>
  </r>
  <r>
    <x v="8"/>
    <s v="CURV"/>
    <n v="551"/>
    <n v="5.74"/>
    <n v="0.6"/>
    <n v="-1.82"/>
    <n v="0.15"/>
    <n v="9.5666666666666682"/>
    <n v="-3.1538461538461537"/>
    <n v="-8.1"/>
    <n v="7.41"/>
    <n v="-2.56"/>
    <n v="38.266666666666673"/>
    <s v="NO"/>
    <n v="-4.3529356326058186E-2"/>
    <n v="-3.3983843795099382"/>
    <n v="-0.63225880302484017"/>
    <n v="1.3119476538056527"/>
    <n v="-3.2941677255258996"/>
    <n v="1.6377609946147302"/>
    <x v="0"/>
    <x v="1"/>
    <x v="0"/>
    <x v="0"/>
    <x v="1"/>
    <x v="1"/>
  </r>
  <r>
    <x v="8"/>
    <s v="FL"/>
    <n v="1126"/>
    <n v="13.31"/>
    <n v="1.1100000000000001"/>
    <n v="30.64"/>
    <n v="0.19"/>
    <n v="11.990990990990991"/>
    <n v="0.4343994778067885"/>
    <n v="0.62"/>
    <n v="1.77"/>
    <n v="2.3199999999999998"/>
    <n v="70.05263157894737"/>
    <s v="NO"/>
    <n v="0.13579609143061586"/>
    <n v="-0.7644269853330814"/>
    <n v="-0.23360337951900778"/>
    <n v="-0.20121896530761543"/>
    <n v="-0.2273809841760851"/>
    <n v="3.4365486066487132"/>
    <x v="0"/>
    <x v="0"/>
    <x v="0"/>
    <x v="0"/>
    <x v="0"/>
    <x v="0"/>
  </r>
  <r>
    <x v="8"/>
    <s v="GES"/>
    <n v="578"/>
    <n v="12.15"/>
    <n v="0.69"/>
    <n v="9.77"/>
    <n v="0.77"/>
    <n v="17.608695652173914"/>
    <n v="1.2436028659160696"/>
    <n v="11.01"/>
    <n v="4.18"/>
    <n v="5.48"/>
    <n v="15.779220779220779"/>
    <s v="NO"/>
    <n v="0.55133348204445287"/>
    <n v="-0.17042995550277884"/>
    <n v="0.2414000436720013"/>
    <n v="0.44536464321418873"/>
    <n v="1.7584891188291232"/>
    <n v="0.36518238326057079"/>
    <x v="0"/>
    <x v="0"/>
    <x v="0"/>
    <x v="0"/>
    <x v="0"/>
    <x v="1"/>
  </r>
  <r>
    <x v="8"/>
    <s v="LUXE"/>
    <n v="994"/>
    <n v="8.9"/>
    <n v="-0.2"/>
    <n v="4.93"/>
    <n v="-0.42"/>
    <n v="-44.5"/>
    <n v="1.8052738336713998"/>
    <n v="-8.2100000000000009"/>
    <n v="0.41"/>
    <n v="1.73"/>
    <n v="-21.190476190476193"/>
    <s v="NO"/>
    <n v="-4.0428000444230641"/>
    <n v="0.24186550876623841"/>
    <n v="-0.63728771318374422"/>
    <n v="-0.566096022398758"/>
    <n v="-0.59816052872452574"/>
    <n v="-1.7269558643358793"/>
    <x v="1"/>
    <x v="0"/>
    <x v="0"/>
    <x v="0"/>
    <x v="0"/>
    <x v="1"/>
  </r>
  <r>
    <x v="8"/>
    <s v="REAL"/>
    <n v="784"/>
    <n v="5.5"/>
    <n v="0.01"/>
    <n v="-3.66"/>
    <n v="-1.24"/>
    <n v="550"/>
    <n v="-1.5027322404371584"/>
    <n v="37.770000000000003"/>
    <n v="-8.09"/>
    <n v="-1.04"/>
    <n v="-4.435483870967742"/>
    <s v="NO"/>
    <n v="39.931918033388342"/>
    <n v="-2.1863815939457463"/>
    <n v="1.4647967332380654"/>
    <n v="-2.8465776292183995"/>
    <n v="-2.3389390683841542"/>
    <n v="-0.77878038162740648"/>
    <x v="1"/>
    <x v="0"/>
    <x v="0"/>
    <x v="0"/>
    <x v="0"/>
    <x v="1"/>
  </r>
  <r>
    <x v="8"/>
    <s v="RVLV"/>
    <n v="1216"/>
    <n v="20.32"/>
    <n v="0.3"/>
    <n v="6.15"/>
    <n v="0.7"/>
    <n v="67.733333333333334"/>
    <n v="3.3040650406504062"/>
    <n v="11.85"/>
    <n v="5.33"/>
    <n v="1.52"/>
    <n v="29.028571428571432"/>
    <s v="NO"/>
    <n v="4.2590152495489582"/>
    <n v="1.3420555702061123"/>
    <n v="0.27980263033999431"/>
    <n v="0.75390039001919917"/>
    <n v="-0.73013290898753003"/>
    <n v="1.114971413775055"/>
    <x v="1"/>
    <x v="0"/>
    <x v="0"/>
    <x v="0"/>
    <x v="0"/>
    <x v="1"/>
  </r>
  <r>
    <x v="8"/>
    <s v="SCVL"/>
    <n v="485"/>
    <n v="19.43"/>
    <n v="2.56"/>
    <n v="23.88"/>
    <n v="2.68"/>
    <n v="7.58984375"/>
    <n v="0.81365159128978226"/>
    <n v="11.97"/>
    <n v="5.26"/>
    <n v="1.73"/>
    <n v="7.2499999999999991"/>
    <s v="YES"/>
    <n v="-0.1897534613726076"/>
    <n v="-0.48603637022193913"/>
    <n v="0.28528871414970763"/>
    <n v="0.73511995325715496"/>
    <n v="-0.59816052872452574"/>
    <n v="-0.11749154909620974"/>
    <x v="0"/>
    <x v="0"/>
    <x v="0"/>
    <x v="0"/>
    <x v="0"/>
    <x v="1"/>
  </r>
  <r>
    <x v="8"/>
    <s v="SFIX"/>
    <n v="428"/>
    <n v="4.4400000000000004"/>
    <n v="0.1"/>
    <n v="1.54"/>
    <n v="-0.56999999999999995"/>
    <n v="44.4"/>
    <n v="2.8831168831168834"/>
    <n v="-34.369999999999997"/>
    <n v="-6.55"/>
    <n v="2.39"/>
    <n v="-7.7894736842105274"/>
    <s v="NO"/>
    <n v="2.5330661239830485"/>
    <n v="1.0330579078610762"/>
    <n v="-1.8332539837012412"/>
    <n v="-2.4334080204534292"/>
    <n v="-0.18339019075508348"/>
    <n v="-0.96858476049709941"/>
    <x v="0"/>
    <x v="0"/>
    <x v="0"/>
    <x v="0"/>
    <x v="0"/>
    <x v="1"/>
  </r>
  <r>
    <x v="8"/>
    <s v="TDUP"/>
    <n v="759"/>
    <n v="6.3"/>
    <n v="-0.02"/>
    <n v="0.48"/>
    <n v="-0.28999999999999998"/>
    <n v="-315"/>
    <n v="13.125"/>
    <n v="-44.15"/>
    <n v="-10.1"/>
    <n v="3.08"/>
    <n v="-21.724137931034484"/>
    <s v="NO"/>
    <n v="-24.051481692947853"/>
    <n v="8.5511284457418562"/>
    <n v="-2.2803698141928743"/>
    <n v="-3.3858444562428085"/>
    <n v="0.25023334439478784"/>
    <n v="-1.7571561156286084"/>
    <x v="1"/>
    <x v="1"/>
    <x v="0"/>
    <x v="1"/>
    <x v="0"/>
    <x v="1"/>
  </r>
  <r>
    <x v="8"/>
    <s v="VSCO"/>
    <n v="1536"/>
    <n v="22.74"/>
    <n v="3.13"/>
    <n v="8.1"/>
    <n v="2.0499999999999998"/>
    <n v="7.2651757188498403"/>
    <n v="2.8074074074074074"/>
    <n v="30.67"/>
    <n v="4.4800000000000004"/>
    <n v="7.08"/>
    <n v="11.092682926829269"/>
    <s v="NO"/>
    <n v="-0.21376891156387146"/>
    <n v="0.97748324719818114"/>
    <n v="1.1402034411633621"/>
    <n v="0.52585222933723508"/>
    <n v="2.7639929684520128"/>
    <n v="9.9968278372624481E-2"/>
    <x v="0"/>
    <x v="0"/>
    <x v="0"/>
    <x v="0"/>
    <x v="0"/>
    <x v="1"/>
  </r>
  <r>
    <x v="8"/>
    <s v="EM"/>
    <n v="279"/>
    <n v="1.0900000000000001"/>
    <n v="0.13"/>
    <n v="1.49"/>
    <n v="0.05"/>
    <n v="8.384615384615385"/>
    <n v="0.73154362416107388"/>
    <n v="3.25"/>
    <n v="-0.02"/>
    <n v="1.61"/>
    <n v="21.8"/>
    <s v="NO"/>
    <n v="-0.13096480103879279"/>
    <n v="-0.54630785365432233"/>
    <n v="-0.11336670935612483"/>
    <n v="-0.68146156250845757"/>
    <n v="-0.67357331744624238"/>
    <n v="0.70590204072627838"/>
    <x v="0"/>
    <x v="0"/>
    <x v="0"/>
    <x v="0"/>
    <x v="0"/>
    <x v="1"/>
  </r>
  <r>
    <x v="8"/>
    <s v="RERE"/>
    <n v="520"/>
    <n v="2.66"/>
    <n v="0.33"/>
    <n v="2.27"/>
    <n v="0"/>
    <n v="8.0606060606060606"/>
    <n v="1.1718061674008811"/>
    <n v="-0.22"/>
    <n v="0.34"/>
    <n v="1.38"/>
    <s v=""/>
    <s v="NO"/>
    <n v="-0.15493152715803971"/>
    <n v="-0.2231324358634818"/>
    <n v="-0.27200596618700079"/>
    <n v="-0.58487645916080222"/>
    <n v="-0.81811449582953299"/>
    <e v="#VALUE!"/>
    <x v="0"/>
    <x v="0"/>
    <x v="0"/>
    <x v="0"/>
    <x v="0"/>
    <x v="0"/>
  </r>
  <r>
    <x v="8"/>
    <s v="BWMX"/>
    <n v="347"/>
    <n v="9.5"/>
    <n v="1.56"/>
    <n v="1.38"/>
    <n v="0.74"/>
    <n v="6.0897435897435894"/>
    <n v="6.8840579710144931"/>
    <n v="44.29"/>
    <n v="8.4700000000000006"/>
    <n v="10.119999999999999"/>
    <n v="12.837837837837839"/>
    <s v="NO"/>
    <n v="-0.30071474250928609"/>
    <n v="3.9699550559193"/>
    <n v="1.7628739535658207"/>
    <n v="1.5963371247737492"/>
    <n v="4.6744502827355037"/>
    <n v="0.19872768503734548"/>
    <x v="0"/>
    <x v="1"/>
    <x v="0"/>
    <x v="0"/>
    <x v="1"/>
    <x v="1"/>
  </r>
  <r>
    <x v="8"/>
    <s v="BBW"/>
    <n v="476"/>
    <n v="41.78"/>
    <n v="2.0499999999999998"/>
    <n v="10.73"/>
    <n v="3.8"/>
    <n v="20.380487804878051"/>
    <n v="3.8937558247903077"/>
    <n v="38.54"/>
    <n v="14.78"/>
    <n v="2.08"/>
    <n v="10.994736842105263"/>
    <s v="NO"/>
    <n v="0.75636086385345946"/>
    <n v="1.774919025110604"/>
    <n v="1.4999991043503922"/>
    <n v="3.2892593528951535"/>
    <n v="-0.37820656161951843"/>
    <n v="9.4425448248228822E-2"/>
    <x v="0"/>
    <x v="0"/>
    <x v="0"/>
    <x v="1"/>
    <x v="0"/>
    <x v="1"/>
  </r>
  <r>
    <x v="8"/>
    <s v="BNED"/>
    <n v="351"/>
    <n v="10.81"/>
    <n v="-3.75"/>
    <n v="8.32"/>
    <n v="-3.83"/>
    <n v="-2.8826666666666667"/>
    <n v="1.2992788461538463"/>
    <n v="-36.83"/>
    <n v="1.85"/>
    <n v="3.84"/>
    <n v="-2.8224543080939948"/>
    <s v="NO"/>
    <n v="-0.96439718406370933"/>
    <n v="-0.12956091394895905"/>
    <n v="-1.9457187018003637"/>
    <n v="-0.17975560900813642"/>
    <n v="0.72784767296566044"/>
    <n v="-0.68749803095631279"/>
    <x v="0"/>
    <x v="0"/>
    <x v="0"/>
    <x v="0"/>
    <x v="0"/>
    <x v="1"/>
  </r>
  <r>
    <x v="8"/>
    <s v="EYE"/>
    <n v="1234"/>
    <n v="18.86"/>
    <n v="0.49"/>
    <n v="10.36"/>
    <n v="-0.35"/>
    <n v="38.489795918367349"/>
    <n v="1.8204633204633205"/>
    <n v="-3.3"/>
    <n v="1.02"/>
    <n v="2.46"/>
    <n v="-53.885714285714286"/>
    <s v="NO"/>
    <n v="2.0958927711283373"/>
    <n v="0.25301537562496318"/>
    <n v="-0.41281545063630859"/>
    <n v="-0.40243793061523087"/>
    <n v="-0.13939939733408213"/>
    <n v="-3.577199813843718"/>
    <x v="0"/>
    <x v="0"/>
    <x v="0"/>
    <x v="0"/>
    <x v="0"/>
    <x v="0"/>
  </r>
  <r>
    <x v="8"/>
    <s v="FLWS"/>
    <n v="361"/>
    <n v="5.24"/>
    <n v="-0.16"/>
    <n v="7.77"/>
    <n v="-0.12"/>
    <n v="-32.75"/>
    <n v="0.67438867438867445"/>
    <n v="-1.52"/>
    <n v="-0.92"/>
    <n v="2.2999999999999998"/>
    <n v="-43.666666666666671"/>
    <s v="NO"/>
    <n v="-3.1736613776202316"/>
    <n v="-0.58826253513956661"/>
    <n v="-0.33143854079222818"/>
    <n v="-0.92292432087759602"/>
    <n v="-0.23994978229637123"/>
    <n v="-2.9988975249355008"/>
    <x v="1"/>
    <x v="0"/>
    <x v="0"/>
    <x v="0"/>
    <x v="0"/>
    <x v="0"/>
  </r>
  <r>
    <x v="8"/>
    <s v="HZO"/>
    <n v="450"/>
    <n v="23.99"/>
    <n v="-1.99"/>
    <n v="44.81"/>
    <n v="2.44"/>
    <n v="-12.055276381909547"/>
    <n v="0.5353715688462396"/>
    <n v="5.94"/>
    <n v="2.82"/>
    <n v="2.69"/>
    <n v="9.8319672131147531"/>
    <s v="NO"/>
    <n v="-1.6428882290857441"/>
    <n v="-0.69030826183968808"/>
    <n v="9.6130027116147852E-3"/>
    <n v="8.0487586123046115E-2"/>
    <n v="5.1417810492083073E-3"/>
    <n v="2.8623588526506566E-2"/>
    <x v="0"/>
    <x v="0"/>
    <x v="0"/>
    <x v="0"/>
    <x v="0"/>
    <x v="1"/>
  </r>
  <r>
    <x v="8"/>
    <s v="ODP"/>
    <n v="411"/>
    <n v="18.46"/>
    <n v="0.94"/>
    <n v="27.07"/>
    <n v="3.08"/>
    <n v="19.638297872340427"/>
    <n v="0.68193572220169929"/>
    <n v="11.11"/>
    <n v="3.84"/>
    <n v="4.37"/>
    <n v="5.9935064935064934"/>
    <s v="NO"/>
    <n v="0.70146163249343951"/>
    <n v="-0.58272261272846737"/>
    <n v="0.24597178018009569"/>
    <n v="0.35414537894140308"/>
    <n v="1.060920823153243"/>
    <n v="-0.18859730159795085"/>
    <x v="0"/>
    <x v="0"/>
    <x v="0"/>
    <x v="0"/>
    <x v="0"/>
    <x v="1"/>
  </r>
  <r>
    <x v="8"/>
    <s v="PHH"/>
    <n v="385"/>
    <n v="13.73"/>
    <m/>
    <m/>
    <m/>
    <s v=""/>
    <s v=""/>
    <n v="38"/>
    <n v="18.55"/>
    <n v="2.0499999999999998"/>
    <s v=""/>
    <s v="NO"/>
    <e v="#VALUE!"/>
    <e v="#VALUE!"/>
    <n v="1.4753117272066825"/>
    <n v="4.3007200185081009"/>
    <n v="-0.39705975879994782"/>
    <e v="#VALUE!"/>
    <x v="1"/>
    <x v="1"/>
    <x v="0"/>
    <x v="1"/>
    <x v="0"/>
    <x v="0"/>
  </r>
  <r>
    <x v="8"/>
    <s v="SBH"/>
    <n v="819"/>
    <n v="9.36"/>
    <n v="1.34"/>
    <n v="6.44"/>
    <n v="1.66"/>
    <n v="6.9850746268656705"/>
    <n v="1.4534161490683228"/>
    <n v="29.39"/>
    <n v="6.56"/>
    <n v="4.13"/>
    <n v="5.6385542168674698"/>
    <s v="NO"/>
    <n v="-0.23448777876873433"/>
    <n v="-1.641618239861594E-2"/>
    <n v="1.0816852138597537"/>
    <n v="1.0838994931236883"/>
    <n v="0.91009524570980938"/>
    <n v="-0.2086842726823131"/>
    <x v="0"/>
    <x v="0"/>
    <x v="0"/>
    <x v="0"/>
    <x v="0"/>
    <x v="1"/>
  </r>
  <r>
    <x v="8"/>
    <s v="UPBD"/>
    <n v="1338"/>
    <n v="25.37"/>
    <n v="2.58"/>
    <n v="11.75"/>
    <n v="2.13"/>
    <n v="9.8333333333333339"/>
    <n v="2.159148936170213"/>
    <n v="19.18"/>
    <n v="7.39"/>
    <n v="4.4800000000000004"/>
    <n v="11.910798122065728"/>
    <s v="NO"/>
    <n v="-2.3804223462447868E-2"/>
    <n v="0.50162808873556719"/>
    <n v="0.61491091638331441"/>
    <n v="1.3065818147307826"/>
    <n v="1.130049212814817"/>
    <n v="0.14626592837221714"/>
    <x v="0"/>
    <x v="0"/>
    <x v="0"/>
    <x v="0"/>
    <x v="0"/>
    <x v="1"/>
  </r>
  <r>
    <x v="8"/>
    <s v="WINA"/>
    <n v="1327"/>
    <n v="412.61"/>
    <n v="12.4"/>
    <n v="-13.01"/>
    <n v="11.19"/>
    <n v="33.274999999999999"/>
    <n v="-31.714834742505765"/>
    <n v="-83.42"/>
    <n v="90.04"/>
    <n v="-0.81"/>
    <n v="36.873100983020556"/>
    <s v="NO"/>
    <n v="1.7101582373293027"/>
    <n v="-24.363623329287876"/>
    <n v="-4.0756907409215488"/>
    <n v="23.480911791630007"/>
    <n v="-2.1943978900008636"/>
    <n v="1.5588982419748123"/>
    <x v="0"/>
    <x v="1"/>
    <x v="1"/>
    <x v="1"/>
    <x v="0"/>
    <x v="1"/>
  </r>
  <r>
    <x v="8"/>
    <s v="WOOF"/>
    <n v="886"/>
    <n v="3.21"/>
    <n v="0.18"/>
    <n v="4.0199999999999996"/>
    <n v="-0.37"/>
    <n v="17.833333333333332"/>
    <n v="0.79850746268656725"/>
    <n v="-8.86"/>
    <n v="0.19"/>
    <n v="4.66"/>
    <n v="-8.6756756756756754"/>
    <s v="NO"/>
    <n v="0.5679497624458637"/>
    <n v="-0.49715294183034053"/>
    <n v="-0.66700400048635777"/>
    <n v="-0.62512025222232526"/>
    <n v="1.2431683958973918"/>
    <n v="-1.0187354848311423"/>
    <x v="0"/>
    <x v="0"/>
    <x v="0"/>
    <x v="0"/>
    <x v="0"/>
    <x v="1"/>
  </r>
  <r>
    <x v="8"/>
    <s v="WRBY"/>
    <n v="1962"/>
    <n v="18.48"/>
    <n v="0.28999999999999998"/>
    <n v="2.81"/>
    <n v="-0.17"/>
    <n v="63.724137931034491"/>
    <n v="6.5765124555160144"/>
    <n v="-6.35"/>
    <n v="-2.84"/>
    <n v="1.99"/>
    <n v="-108.70588235294117"/>
    <s v="NO"/>
    <n v="3.9624580795995059"/>
    <n v="3.7442007827314883"/>
    <n v="-0.55225341413318807"/>
    <n v="-1.4380448720650914"/>
    <n v="-0.43476615316080608"/>
    <n v="-6.6795073725754071"/>
    <x v="1"/>
    <x v="1"/>
    <x v="0"/>
    <x v="0"/>
    <x v="0"/>
    <x v="0"/>
  </r>
  <r>
    <x v="8"/>
    <s v="AAP"/>
    <n v="1876"/>
    <n v="33.229999999999997"/>
    <n v="-1.61"/>
    <n v="36.299999999999997"/>
    <n v="-9.84"/>
    <n v="-20.639751552795026"/>
    <n v="0.91542699724517906"/>
    <n v="-25.03"/>
    <n v="0.15"/>
    <n v="4.9800000000000004"/>
    <n v="-3.3770325203252032"/>
    <s v="NO"/>
    <n v="-2.2778754039985465"/>
    <n v="-0.41132797214104189"/>
    <n v="-1.4062537938452238"/>
    <n v="-0.63585193037206478"/>
    <n v="1.44426916582197"/>
    <n v="-0.71888195844816105"/>
    <x v="0"/>
    <x v="0"/>
    <x v="0"/>
    <x v="0"/>
    <x v="0"/>
    <x v="1"/>
  </r>
  <r>
    <x v="8"/>
    <s v="ARKO"/>
    <n v="471"/>
    <n v="5.26"/>
    <n v="0.88"/>
    <n v="2.39"/>
    <n v="0.13"/>
    <n v="5.9772727272727266"/>
    <n v="2.2008368200836816"/>
    <n v="5.54"/>
    <n v="1.73"/>
    <n v="13.08"/>
    <n v="40.46153846153846"/>
    <s v="NO"/>
    <n v="-0.30903412765499594"/>
    <n v="0.53222914600791604"/>
    <n v="-8.6739433207628676E-3"/>
    <n v="-0.21195064345735493"/>
    <n v="6.5346324045378505"/>
    <n v="1.7619701606889302"/>
    <x v="0"/>
    <x v="0"/>
    <x v="0"/>
    <x v="0"/>
    <x v="1"/>
    <x v="1"/>
  </r>
  <r>
    <x v="8"/>
    <s v="BEVFF"/>
    <n v="352"/>
    <n v="2.1269999999999998"/>
    <n v="0.2"/>
    <n v="1.2"/>
    <n v="0.11"/>
    <n v="10.634999999999998"/>
    <n v="1.7725"/>
    <n v="10.119999999999999"/>
    <n v="6.37"/>
    <n v="2"/>
    <n v="19.336363636363636"/>
    <s v="NO"/>
    <n v="3.5494457208780673E-2"/>
    <n v="0.21780782420506745"/>
    <n v="0.20071158874996103"/>
    <n v="1.0329240219124258"/>
    <n v="-0.42848175410066303"/>
    <n v="0.5664833198003838"/>
    <x v="0"/>
    <x v="0"/>
    <x v="0"/>
    <x v="0"/>
    <x v="0"/>
    <x v="1"/>
  </r>
  <r>
    <x v="8"/>
    <s v="CANG"/>
    <n v="423"/>
    <n v="4.3600000000000003"/>
    <n v="-1.63"/>
    <n v="5.39"/>
    <n v="0.35"/>
    <n v="-2.6748466257668717"/>
    <n v="0.80890538033395187"/>
    <n v="7.59"/>
    <n v="2.0699999999999998"/>
    <n v="1.46"/>
    <n v="12.457142857142859"/>
    <s v="NO"/>
    <n v="-0.94902489186944905"/>
    <n v="-0.4895203338979916"/>
    <n v="8.5046655095172508E-2"/>
    <n v="-0.1207313791845693"/>
    <n v="-0.76783930334838846"/>
    <n v="0.17718391824821544"/>
    <x v="0"/>
    <x v="0"/>
    <x v="0"/>
    <x v="0"/>
    <x v="0"/>
    <x v="1"/>
  </r>
  <r>
    <x v="8"/>
    <s v="CRMT"/>
    <n v="386"/>
    <n v="52.75"/>
    <n v="-11.38"/>
    <n v="67.56"/>
    <n v="1.04"/>
    <n v="-4.6353251318101929"/>
    <n v="0.78078744819419776"/>
    <n v="1.5"/>
    <n v="3.34"/>
    <n v="2.88"/>
    <n v="50.721153846153847"/>
    <s v="NO"/>
    <n v="-1.0940400131492876"/>
    <n v="-0.5101603465590957"/>
    <n v="-0.19337209824777699"/>
    <n v="0.21999940206965948"/>
    <n v="0.12454536319192647"/>
    <n v="2.3425682047945307"/>
    <x v="0"/>
    <x v="0"/>
    <x v="0"/>
    <x v="0"/>
    <x v="0"/>
    <x v="1"/>
  </r>
  <r>
    <x v="8"/>
    <s v="CWH"/>
    <n v="862"/>
    <n v="16.54"/>
    <n v="-0.15"/>
    <n v="4.96"/>
    <n v="-0.55000000000000004"/>
    <n v="-110.26666666666667"/>
    <n v="3.3346774193548385"/>
    <n v="-17.260000000000002"/>
    <n v="2.2400000000000002"/>
    <n v="16.579999999999998"/>
    <n v="-30.072727272727267"/>
    <s v="NO"/>
    <n v="-8.9075109369109775"/>
    <n v="1.3645266353223369"/>
    <n v="-1.0510298671662883"/>
    <n v="-7.5121747048176368E-2"/>
    <n v="8.7341720755879209"/>
    <n v="-2.229608002089789"/>
    <x v="1"/>
    <x v="0"/>
    <x v="0"/>
    <x v="0"/>
    <x v="1"/>
    <x v="1"/>
  </r>
  <r>
    <x v="8"/>
    <s v="EVGO"/>
    <n v="490"/>
    <n v="3.64"/>
    <n v="-0.96"/>
    <n v="-1.97"/>
    <n v="-0.41"/>
    <n v="-3.791666666666667"/>
    <n v="-1.8477157360406091"/>
    <n v="-25.75"/>
    <n v="-9.75"/>
    <n v="-3.14"/>
    <n v="-8.8780487804878057"/>
    <s v="NO"/>
    <n v="-1.0316352307125414"/>
    <n v="-2.4396172757781249"/>
    <n v="-1.4391702967035034"/>
    <n v="-3.2919422724325882"/>
    <n v="-3.6586628710141973"/>
    <n v="-1.0301879052610243"/>
    <x v="0"/>
    <x v="0"/>
    <x v="0"/>
    <x v="1"/>
    <x v="1"/>
    <x v="1"/>
  </r>
  <r>
    <x v="8"/>
    <s v="MNRO"/>
    <n v="382"/>
    <n v="12.78"/>
    <n v="2.34"/>
    <n v="21.67"/>
    <n v="0.62"/>
    <n v="5.4615384615384617"/>
    <n v="0.58975542224273181"/>
    <n v="3.02"/>
    <n v="1.96"/>
    <n v="2.57"/>
    <n v="20.612903225806452"/>
    <s v="NO"/>
    <n v="-0.34718260358221437"/>
    <n v="-0.65038770804205559"/>
    <n v="-0.12388170332474198"/>
    <n v="-0.15024349409635288"/>
    <n v="-7.0271007672508518E-2"/>
    <n v="0.63872349265961714"/>
    <x v="0"/>
    <x v="0"/>
    <x v="0"/>
    <x v="0"/>
    <x v="0"/>
    <x v="1"/>
  </r>
  <r>
    <x v="8"/>
    <s v="UXIN"/>
    <n v="922"/>
    <n v="4.5999999999999996"/>
    <n v="-5.23"/>
    <n v="-0.25"/>
    <n v="-3.05"/>
    <n v="-0.87954110898661553"/>
    <n v="-18.399999999999999"/>
    <n v="179.99"/>
    <n v="-8.4"/>
    <n v="-5.7"/>
    <n v="-1.5081967213114753"/>
    <s v="NO"/>
    <n v="-0.81622749243471182"/>
    <n v="-14.58984777922597"/>
    <n v="7.9667203950499337"/>
    <n v="-2.9297481348788805"/>
    <n v="-5.2674690304108216"/>
    <n v="-0.61312337306405851"/>
    <x v="0"/>
    <x v="1"/>
    <x v="1"/>
    <x v="1"/>
    <x v="1"/>
    <x v="1"/>
  </r>
  <r>
    <x v="8"/>
    <s v="ARHS"/>
    <n v="1175"/>
    <n v="8.7200000000000006"/>
    <n v="0.28000000000000003"/>
    <n v="2.44"/>
    <n v="0.49"/>
    <n v="31.142857142857142"/>
    <n v="3.5737704918032791"/>
    <n v="20.04"/>
    <n v="4.6399999999999997"/>
    <n v="3.51"/>
    <n v="17.795918367346939"/>
    <s v="NO"/>
    <n v="1.5524452330492751"/>
    <n v="1.5400332841751161"/>
    <n v="0.6542278503529263"/>
    <n v="0.56877894193619283"/>
    <n v="0.52046250398093941"/>
    <n v="0.47930855966425134"/>
    <x v="0"/>
    <x v="0"/>
    <x v="0"/>
    <x v="0"/>
    <x v="0"/>
    <x v="1"/>
  </r>
  <r>
    <x v="8"/>
    <s v="HVT"/>
    <n v="304"/>
    <n v="20.76"/>
    <n v="1.85"/>
    <n v="18.899999999999999"/>
    <n v="1.28"/>
    <n v="11.221621621621622"/>
    <n v="1.0984126984126985"/>
    <n v="6.97"/>
    <n v="2.15"/>
    <n v="2.1"/>
    <n v="16.21875"/>
    <s v="NO"/>
    <n v="7.8886417560604882E-2"/>
    <n v="-0.27700702812116446"/>
    <n v="5.6701888744987168E-2"/>
    <n v="-9.9268022885090304E-2"/>
    <n v="-0.36563776349923233"/>
    <n v="0.39005561645158682"/>
    <x v="0"/>
    <x v="0"/>
    <x v="0"/>
    <x v="0"/>
    <x v="0"/>
    <x v="1"/>
  </r>
  <r>
    <x v="9"/>
    <s v="CPRI"/>
    <n v="1861"/>
    <n v="18.71"/>
    <n v="2.84"/>
    <n v="9.06"/>
    <n v="-8.56"/>
    <n v="6.5880281690140849"/>
    <n v="2.0651214128035318"/>
    <n v="-67"/>
    <n v="1.37"/>
    <n v="5.53"/>
    <n v="-2.1857476635514019"/>
    <s v="NO"/>
    <n v="-0.63262222300940729"/>
    <n v="0.60937232007045627"/>
    <n v="-2.3332229472833896"/>
    <n v="-1.1431093778716988"/>
    <n v="1.7341851612475625"/>
    <n v="-0.7962565726271944"/>
    <x v="0"/>
    <x v="0"/>
    <x v="0"/>
    <x v="0"/>
    <x v="0"/>
    <x v="1"/>
  </r>
  <r>
    <x v="9"/>
    <s v="CRI"/>
    <n v="1194"/>
    <n v="35.65"/>
    <n v="6.25"/>
    <n v="23.38"/>
    <n v="4.51"/>
    <n v="5.7039999999999997"/>
    <n v="1.5248075278015398"/>
    <n v="19.309999999999999"/>
    <n v="6.95"/>
    <n v="2.75"/>
    <n v="7.9046563192904653"/>
    <s v="YES"/>
    <n v="-0.89941132248215439"/>
    <n v="-0.24512744832599115"/>
    <n v="0.68674424945385004"/>
    <n v="0.60635587954028136"/>
    <n v="-3.825408443928479E-2"/>
    <n v="-1.5097191027723103E-2"/>
    <x v="0"/>
    <x v="0"/>
    <x v="0"/>
    <x v="0"/>
    <x v="0"/>
    <x v="1"/>
  </r>
  <r>
    <x v="9"/>
    <s v="FIGS"/>
    <n v="795"/>
    <n v="4.5999999999999996"/>
    <n v="0.38"/>
    <n v="2.3199999999999998"/>
    <n v="0.02"/>
    <n v="12.105263157894736"/>
    <n v="1.9827586206896552"/>
    <n v="0.72"/>
    <n v="0.28999999999999998"/>
    <n v="1.35"/>
    <n v="229.99999999999997"/>
    <s v="NO"/>
    <n v="1.0324131297719232"/>
    <n v="0.47911657662323248"/>
    <n v="3.6284393268642252E-2"/>
    <n v="-1.4817155567256304"/>
    <n v="-0.9308493880225891"/>
    <n v="17.178650613396925"/>
    <x v="0"/>
    <x v="0"/>
    <x v="0"/>
    <x v="0"/>
    <x v="0"/>
    <x v="0"/>
  </r>
  <r>
    <x v="9"/>
    <s v="GIII"/>
    <n v="1142"/>
    <n v="28.14"/>
    <n v="6.18"/>
    <n v="38.270000000000003"/>
    <n v="4.2"/>
    <n v="4.5533980582524274"/>
    <n v="0.73530180297883452"/>
    <n v="11.98"/>
    <n v="7.29"/>
    <n v="1.48"/>
    <n v="6.7"/>
    <s v="YES"/>
    <n v="-1.2466491896111804"/>
    <n v="-1.4937210487036381"/>
    <n v="0.43026922278157603"/>
    <n v="0.71295412103133382"/>
    <n v="-0.84796553840413946"/>
    <n v="-0.10835694425633498"/>
    <x v="0"/>
    <x v="0"/>
    <x v="0"/>
    <x v="0"/>
    <x v="0"/>
    <x v="1"/>
  </r>
  <r>
    <x v="9"/>
    <s v="GOOS"/>
    <n v="803"/>
    <n v="9.19"/>
    <n v="1.53"/>
    <n v="3.54"/>
    <n v="0.51"/>
    <n v="6.0065359477124183"/>
    <n v="2.5960451977401129"/>
    <n v="18.350000000000001"/>
    <n v="5.48"/>
    <n v="3.49"/>
    <n v="18.019607843137255"/>
    <s v="NO"/>
    <n v="-0.80810960170288793"/>
    <n v="1.4490217606225926"/>
    <n v="0.65315406860727665"/>
    <n v="0.14547524721131891"/>
    <n v="0.43354629031189051"/>
    <n v="0.76796256462850543"/>
    <x v="0"/>
    <x v="0"/>
    <x v="0"/>
    <x v="0"/>
    <x v="0"/>
    <x v="1"/>
  </r>
  <r>
    <x v="9"/>
    <s v="HBI"/>
    <n v="1727"/>
    <n v="5.38"/>
    <n v="0.64"/>
    <n v="0.1"/>
    <n v="-0.28000000000000003"/>
    <n v="8.40625"/>
    <n v="53.8"/>
    <n v="-43.23"/>
    <n v="5.7"/>
    <n v="112.94"/>
    <n v="-19.214285714285712"/>
    <s v="NO"/>
    <n v="-8.3904679911871713E-2"/>
    <n v="82.427446957583669"/>
    <n v="-1.5015160736135458"/>
    <n v="0.21445057994082342"/>
    <n v="70.215371988306643"/>
    <n v="-2.1145389997603345"/>
    <x v="0"/>
    <x v="1"/>
    <x v="0"/>
    <x v="0"/>
    <x v="1"/>
    <x v="1"/>
  </r>
  <r>
    <x v="9"/>
    <s v="LANV"/>
    <n v="310"/>
    <n v="2.42"/>
    <n v="-0.64"/>
    <n v="-0.04"/>
    <n v="-1.46"/>
    <n v="-3.78125"/>
    <n v="-60.5"/>
    <n v="-285.26"/>
    <n v="-12.32"/>
    <n v="-139.37"/>
    <n v="-1.6575342465753424"/>
    <s v="NO"/>
    <n v="-3.7619460181763991"/>
    <n v="-98.336598236912607"/>
    <n v="-9.9700905218387117"/>
    <n v="-5.4352562190849616"/>
    <n v="-90.649428759624442"/>
    <n v="-0.75536436782952754"/>
    <x v="1"/>
    <x v="1"/>
    <x v="1"/>
    <x v="1"/>
    <x v="1"/>
    <x v="1"/>
  </r>
  <r>
    <x v="9"/>
    <s v="MOV"/>
    <n v="325"/>
    <n v="17.010000000000002"/>
    <n v="-0.43"/>
    <n v="21.73"/>
    <n v="0.81"/>
    <n v="-39.558139534883722"/>
    <n v="0.78278877128393931"/>
    <n v="3.87"/>
    <n v="1.73"/>
    <n v="1.52"/>
    <n v="21"/>
    <s v="NO"/>
    <n v="-14.558982216233908"/>
    <n v="-1.4186209919682613"/>
    <n v="0.14650217417146122"/>
    <n v="-1.030240651587055"/>
    <n v="-0.82246281544461641"/>
    <n v="0.99869280081505618"/>
    <x v="1"/>
    <x v="0"/>
    <x v="0"/>
    <x v="0"/>
    <x v="0"/>
    <x v="1"/>
  </r>
  <r>
    <x v="9"/>
    <s v="OXM"/>
    <n v="790"/>
    <n v="58.47"/>
    <n v="3.82"/>
    <n v="39.64"/>
    <n v="5.87"/>
    <n v="15.306282722513089"/>
    <n v="1.4750252270433906"/>
    <n v="15.71"/>
    <n v="6.39"/>
    <n v="2.0699999999999998"/>
    <n v="9.9608177172061332"/>
    <s v="NO"/>
    <n v="1.9984424453214471"/>
    <n v="-0.32385754512504716"/>
    <n v="0.56078107127919985"/>
    <n v="0.430782305319724"/>
    <n v="-0.47180037475117559"/>
    <n v="0.14408273564277868"/>
    <x v="0"/>
    <x v="0"/>
    <x v="0"/>
    <x v="0"/>
    <x v="0"/>
    <x v="1"/>
  </r>
  <r>
    <x v="9"/>
    <s v="SHOO"/>
    <n v="1700"/>
    <n v="26.75"/>
    <n v="2.42"/>
    <n v="11.75"/>
    <n v="2.35"/>
    <n v="11.053719008264464"/>
    <n v="2.2765957446808511"/>
    <n v="20.41"/>
    <n v="11.46"/>
    <n v="1.67"/>
    <n v="11.382978723404255"/>
    <s v="NO"/>
    <n v="0.71506971632779104"/>
    <n v="0.94381637680665631"/>
    <n v="0.72523299834054877"/>
    <n v="2.0203502004951255"/>
    <n v="-0.72682760434640536"/>
    <n v="0.25418084608768104"/>
    <x v="0"/>
    <x v="0"/>
    <x v="0"/>
    <x v="0"/>
    <x v="0"/>
    <x v="1"/>
  </r>
  <r>
    <x v="9"/>
    <s v="WWW"/>
    <n v="1199"/>
    <n v="16.87"/>
    <n v="2"/>
    <n v="3.83"/>
    <n v="0.57999999999999996"/>
    <n v="8.4350000000000005"/>
    <n v="4.4046997389033944"/>
    <n v="16.71"/>
    <n v="3.5"/>
    <n v="5.43"/>
    <n v="29.08620689655173"/>
    <s v="NO"/>
    <n v="-7.522827470365781E-2"/>
    <n v="4.3093866881822631"/>
    <n v="0.59577084299438043"/>
    <n v="-0.47530274735422257"/>
    <n v="1.6704283538487548"/>
    <n v="1.6246951283270925"/>
    <x v="0"/>
    <x v="1"/>
    <x v="0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86" tableType="queryTable" totalsRowShown="0">
  <autoFilter ref="A1:Z86" xr:uid="{1B3BB95A-07C7-4768-8185-A2A759A39458}"/>
  <sortState xmlns:xlrd2="http://schemas.microsoft.com/office/spreadsheetml/2017/richdata2" ref="A2:Z86">
    <sortCondition ref="A1:A86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13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12"/>
    <tableColumn id="9" xr3:uid="{92CA53A2-ADA4-45CE-B0FD-3AD68E123166}" uniqueName="9" name="P/B" queryTableFieldId="46" dataDxfId="111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10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09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08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07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06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05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04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29" tableType="queryTable" totalsRowShown="0">
  <autoFilter ref="A1:Z129" xr:uid="{8A05384F-F989-4428-B033-1A9B3ACA4EBB}"/>
  <sortState xmlns:xlrd2="http://schemas.microsoft.com/office/spreadsheetml/2017/richdata2" ref="A2:Z129">
    <sortCondition ref="A1:A129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03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02"/>
    <tableColumn id="9" xr3:uid="{F1DC44A8-3710-4CCA-B495-699F6ACADE85}" uniqueName="9" name="P/B" queryTableFieldId="45" dataDxfId="101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00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99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98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97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96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95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94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50" tableType="queryTable" totalsRowShown="0">
  <autoFilter ref="A1:Z150" xr:uid="{DE7CBD96-9DC7-4F09-9B11-F8C87451A82B}"/>
  <sortState xmlns:xlrd2="http://schemas.microsoft.com/office/spreadsheetml/2017/richdata2" ref="A2:Z150">
    <sortCondition ref="A1:A150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93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92"/>
    <tableColumn id="9" xr3:uid="{A85952D4-A3AB-4C1A-90DC-2E32ECE72481}" uniqueName="9" name="P/B" queryTableFieldId="45" dataDxfId="91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90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89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88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87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86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85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84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12" tableType="queryTable" totalsRowShown="0">
  <autoFilter ref="A2:Y12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137"/>
    <tableColumn id="3" xr3:uid="{04B713EC-FD8B-48E2-A2D2-C366A9A339B7}" uniqueName="3" name="P/FCF Q3" queryTableFieldId="3" dataDxfId="136"/>
    <tableColumn id="4" xr3:uid="{9DCEA951-E29F-4D9E-B9F0-5DC32A557DF0}" uniqueName="4" name="P/FCF LB" queryTableFieldId="4" dataDxfId="135"/>
    <tableColumn id="5" xr3:uid="{C2B6F391-AB27-4C2B-B68A-D2B47E1AA772}" uniqueName="5" name="P/FCF UB" queryTableFieldId="5" dataDxfId="134"/>
    <tableColumn id="6" xr3:uid="{1FD6B89C-F582-4857-A32F-326E69C5DFFD}" uniqueName="6" name="P/B Q1" queryTableFieldId="6" dataDxfId="133"/>
    <tableColumn id="7" xr3:uid="{A3697E12-D8D4-4284-AE2B-01C3BA154C99}" uniqueName="7" name="P/B Q3" queryTableFieldId="7" dataDxfId="132"/>
    <tableColumn id="8" xr3:uid="{A270BB2A-00C0-4246-AFBA-EDE9D5F40C76}" uniqueName="8" name="P/B LB" queryTableFieldId="8" dataDxfId="131"/>
    <tableColumn id="9" xr3:uid="{F99BB669-75E9-428A-88A3-E037E705383F}" uniqueName="9" name="P/B UB" queryTableFieldId="9" dataDxfId="130"/>
    <tableColumn id="10" xr3:uid="{D3A49932-F6DE-43A8-B449-B1C4E41499CF}" uniqueName="10" name="ROE Q1" queryTableFieldId="10" dataDxfId="129"/>
    <tableColumn id="11" xr3:uid="{BD8F2597-7442-49AD-BA3A-A3F29A6E60DD}" uniqueName="11" name="ROE Q3" queryTableFieldId="11" dataDxfId="128"/>
    <tableColumn id="12" xr3:uid="{3B29ED46-D0C8-4AF8-BFC0-41462C6C29EB}" uniqueName="12" name="ROE LB" queryTableFieldId="12" dataDxfId="127"/>
    <tableColumn id="13" xr3:uid="{F62F045D-EA3F-4608-85C5-21D743180D21}" uniqueName="13" name="ROE UB" queryTableFieldId="13" dataDxfId="126"/>
    <tableColumn id="14" xr3:uid="{9D898AB4-6F4D-4D03-BA61-39B91E78C9C6}" uniqueName="14" name="ROA Q1" queryTableFieldId="14" dataDxfId="125"/>
    <tableColumn id="15" xr3:uid="{2D1DFB04-09CE-4BEC-AD50-26246811DCDA}" uniqueName="15" name="ROA Q3" queryTableFieldId="15" dataDxfId="124"/>
    <tableColumn id="16" xr3:uid="{753F114C-61F5-4444-9EB0-76DCEA7F1F1B}" uniqueName="16" name="ROA LB" queryTableFieldId="16" dataDxfId="123"/>
    <tableColumn id="17" xr3:uid="{AA60DB6D-6DE2-4BF0-A375-18A578568BBF}" uniqueName="17" name="ROA UB" queryTableFieldId="17" dataDxfId="122"/>
    <tableColumn id="18" xr3:uid="{5357CEC7-DB8C-48BE-BDAD-FCBB1FB43389}" uniqueName="18" name="P/E Q1" queryTableFieldId="18" dataDxfId="121"/>
    <tableColumn id="19" xr3:uid="{C18FE8DB-95D8-42EC-BC42-C15678D7CE64}" uniqueName="19" name="P/E Q3" queryTableFieldId="19" dataDxfId="120"/>
    <tableColumn id="20" xr3:uid="{B7040099-49E4-464B-9BD8-1326A00D0599}" uniqueName="20" name="P/E LB" queryTableFieldId="20" dataDxfId="119"/>
    <tableColumn id="21" xr3:uid="{E8713F96-91B8-41CB-AA45-CCA61FACA752}" uniqueName="21" name="P/E UB" queryTableFieldId="21" dataDxfId="118"/>
    <tableColumn id="22" xr3:uid="{91693169-B783-4EDC-94CF-D23F08159B62}" uniqueName="22" name="A/E Q1" queryTableFieldId="22" dataDxfId="117"/>
    <tableColumn id="23" xr3:uid="{F98A9AC1-1CAF-483B-A342-F3A466AEB043}" uniqueName="23" name="A/E Q3" queryTableFieldId="23" dataDxfId="116"/>
    <tableColumn id="24" xr3:uid="{04D140EC-A8E6-4894-B430-208F20D411DB}" uniqueName="24" name="A/E LB" queryTableFieldId="24" dataDxfId="115"/>
    <tableColumn id="25" xr3:uid="{3E6CFD0C-10B0-4D91-A289-A353306CC102}" uniqueName="25" name="A/E UB" queryTableFieldId="25" dataDxfId="1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6:Y26" tableType="queryTable" totalsRowShown="0">
  <autoFilter ref="A16:Y26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23"/>
    <tableColumn id="3" xr3:uid="{BB549C0D-7552-41A2-B049-C1E0C569FC5B}" uniqueName="3" name="P/FCF Q3" queryTableFieldId="3" dataDxfId="22"/>
    <tableColumn id="4" xr3:uid="{F8874757-4F98-4408-A256-B3DBB97E40A5}" uniqueName="4" name="P/FCF LB" queryTableFieldId="4" dataDxfId="21"/>
    <tableColumn id="5" xr3:uid="{7F92E8F9-91DF-48EA-A8F2-F3E13D8104D3}" uniqueName="5" name="P/FCF UB" queryTableFieldId="5" dataDxfId="20"/>
    <tableColumn id="6" xr3:uid="{837AC52A-2B15-4BFB-A555-2456F010C7C9}" uniqueName="6" name="P/B Q1" queryTableFieldId="6" dataDxfId="19"/>
    <tableColumn id="7" xr3:uid="{C672A3A3-8D6C-4E08-B6E3-1D85CD510A41}" uniqueName="7" name="P/B Q3" queryTableFieldId="7" dataDxfId="18"/>
    <tableColumn id="8" xr3:uid="{47FBFC34-1D36-49FE-8583-28072989EA1C}" uniqueName="8" name="P/B LB" queryTableFieldId="8" dataDxfId="17"/>
    <tableColumn id="9" xr3:uid="{98DADD72-A76B-4DE4-AB34-515EBE2E4A04}" uniqueName="9" name="P/B UB" queryTableFieldId="9" dataDxfId="16"/>
    <tableColumn id="10" xr3:uid="{C06AFB5F-1921-4B19-AFA7-04514BD3BC35}" uniqueName="10" name="ROE Q1" queryTableFieldId="10" dataDxfId="15"/>
    <tableColumn id="11" xr3:uid="{38FF7E38-2AC1-4486-B824-BCBE4156ADA7}" uniqueName="11" name="ROE Q3" queryTableFieldId="11" dataDxfId="14"/>
    <tableColumn id="12" xr3:uid="{1BBD6DC1-3C0C-48AF-9986-81D1F4A26368}" uniqueName="12" name="ROE LB" queryTableFieldId="12" dataDxfId="13"/>
    <tableColumn id="13" xr3:uid="{5775303C-3550-4762-86D0-7A82C106A3F0}" uniqueName="13" name="ROE UB" queryTableFieldId="13" dataDxfId="12"/>
    <tableColumn id="14" xr3:uid="{9FE06177-2E94-4066-A65B-77414C97B4DC}" uniqueName="14" name="ROA Q1" queryTableFieldId="14" dataDxfId="11"/>
    <tableColumn id="15" xr3:uid="{386179E5-15F0-4AED-9E0C-1EB211C80CEE}" uniqueName="15" name="ROA Q3" queryTableFieldId="15" dataDxfId="10"/>
    <tableColumn id="16" xr3:uid="{C7DC1506-2223-42A0-AC4B-68B0E14D2B9D}" uniqueName="16" name="ROA LB" queryTableFieldId="16" dataDxfId="9"/>
    <tableColumn id="17" xr3:uid="{C45AE1E6-1326-44B3-972F-838B081A78FC}" uniqueName="17" name="ROA UB" queryTableFieldId="17" dataDxfId="8"/>
    <tableColumn id="18" xr3:uid="{17D85B47-F40C-47C3-996F-C47242CFB7D2}" uniqueName="18" name="P/E Q1" queryTableFieldId="18" dataDxfId="7"/>
    <tableColumn id="19" xr3:uid="{44248722-1EBA-4DF8-B99D-B6B2F31E253B}" uniqueName="19" name="P/E Q3" queryTableFieldId="19" dataDxfId="6"/>
    <tableColumn id="20" xr3:uid="{93299C7A-5544-43AE-ACC5-72F0CB129F08}" uniqueName="20" name="P/E LB" queryTableFieldId="20" dataDxfId="5"/>
    <tableColumn id="21" xr3:uid="{3E027012-2DA9-4754-8880-25FEEDEFA94A}" uniqueName="21" name="P/E UB" queryTableFieldId="21" dataDxfId="4"/>
    <tableColumn id="22" xr3:uid="{FF2638EF-6EA0-401C-B7D8-A2BC49ECD2B0}" uniqueName="22" name="A/E Q1" queryTableFieldId="22" dataDxfId="3"/>
    <tableColumn id="23" xr3:uid="{546FB46A-BFEC-4020-A8E1-97073EBE991F}" uniqueName="23" name="A/E Q3" queryTableFieldId="23" dataDxfId="2"/>
    <tableColumn id="24" xr3:uid="{41F03CE5-975A-469D-B609-D8C5D8D172FA}" uniqueName="24" name="A/E LB" queryTableFieldId="24" dataDxfId="1"/>
    <tableColumn id="25" xr3:uid="{1863137D-3C8C-4A15-9A63-5E253392AFAD}" uniqueName="25" name="A/E UB" queryTableFieldId="25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30:Y40" tableType="queryTable" totalsRowShown="0">
  <autoFilter ref="A30:Y40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83"/>
    <tableColumn id="3" xr3:uid="{6D66145B-6613-41BC-8233-7356853CCFEF}" uniqueName="3" name="P/FCF Q3" queryTableFieldId="3" dataDxfId="82"/>
    <tableColumn id="4" xr3:uid="{90A69125-3CA2-4D0A-8F1A-65993DFA9D46}" uniqueName="4" name="P/FCF LB" queryTableFieldId="4" dataDxfId="81"/>
    <tableColumn id="5" xr3:uid="{BED6E3D4-DC60-428F-B5E8-4C3C64096FD7}" uniqueName="5" name="P/FCF UB" queryTableFieldId="5" dataDxfId="80"/>
    <tableColumn id="6" xr3:uid="{FC33B186-B76E-4D86-8EBD-E25B773D256E}" uniqueName="6" name="P/B Q1" queryTableFieldId="6" dataDxfId="79"/>
    <tableColumn id="7" xr3:uid="{D82D1432-7C03-4449-BD2D-F895D50A5F32}" uniqueName="7" name="P/B Q3" queryTableFieldId="7" dataDxfId="78"/>
    <tableColumn id="8" xr3:uid="{D3389429-24FB-4947-AACF-CAA92D678F94}" uniqueName="8" name="P/B LB" queryTableFieldId="8" dataDxfId="77"/>
    <tableColumn id="9" xr3:uid="{452E932D-DD5B-4C62-A8B3-25C90C8C7751}" uniqueName="9" name="P/B UB" queryTableFieldId="9" dataDxfId="76"/>
    <tableColumn id="10" xr3:uid="{99E11285-9679-47B1-9540-1BD10239596C}" uniqueName="10" name="ROE Q1" queryTableFieldId="10" dataDxfId="75"/>
    <tableColumn id="11" xr3:uid="{B4F1825A-C678-4C01-BB96-B04FAB1938BD}" uniqueName="11" name="ROE Q3" queryTableFieldId="11" dataDxfId="74"/>
    <tableColumn id="12" xr3:uid="{9F07026D-928C-42B1-8DD2-9BD3176C8B6A}" uniqueName="12" name="ROE LB" queryTableFieldId="12" dataDxfId="73"/>
    <tableColumn id="13" xr3:uid="{47360B1B-7AC4-49FA-9F18-2F1F1B72CA28}" uniqueName="13" name="ROE UB" queryTableFieldId="13" dataDxfId="72"/>
    <tableColumn id="14" xr3:uid="{58B0248D-BCFF-4737-ADF5-EE087C03D561}" uniqueName="14" name="ROA Q1" queryTableFieldId="14" dataDxfId="71"/>
    <tableColumn id="15" xr3:uid="{CCD6E6AE-6BBB-4675-8C50-0F87AF280A3C}" uniqueName="15" name="ROA Q3" queryTableFieldId="15" dataDxfId="70"/>
    <tableColumn id="16" xr3:uid="{BB86731C-A605-4988-A848-B35835CAF73E}" uniqueName="16" name="ROA LB" queryTableFieldId="16" dataDxfId="69"/>
    <tableColumn id="17" xr3:uid="{9760AC7A-70E9-4457-8DC8-4BDA6646C74E}" uniqueName="17" name="ROA UB" queryTableFieldId="17" dataDxfId="68"/>
    <tableColumn id="18" xr3:uid="{931D5CA9-41B9-424B-87E6-FA364034B249}" uniqueName="18" name="P/E Q1" queryTableFieldId="18" dataDxfId="67"/>
    <tableColumn id="19" xr3:uid="{23E1DD3D-5F02-4A6D-9773-5EA3466661AF}" uniqueName="19" name="P/E Q3" queryTableFieldId="19" dataDxfId="66"/>
    <tableColumn id="20" xr3:uid="{478DC28A-5ACD-47E8-8720-6EEE2D43205B}" uniqueName="20" name="P/E LB" queryTableFieldId="20" dataDxfId="65"/>
    <tableColumn id="21" xr3:uid="{AC7D613F-0AC5-4542-BBED-886B4C332840}" uniqueName="21" name="P/E UB" queryTableFieldId="21" dataDxfId="64"/>
    <tableColumn id="22" xr3:uid="{1E3F527B-4B19-4D38-9A78-D4BBA95224B9}" uniqueName="22" name="A/E Q1" queryTableFieldId="22" dataDxfId="63"/>
    <tableColumn id="23" xr3:uid="{1256121C-1427-4F44-988A-E08E26F80A67}" uniqueName="23" name="A/E Q3" queryTableFieldId="23" dataDxfId="62"/>
    <tableColumn id="24" xr3:uid="{3F6A6F05-B80E-47C0-9039-80E1A481FF30}" uniqueName="24" name="A/E LB" queryTableFieldId="24" dataDxfId="61"/>
    <tableColumn id="25" xr3:uid="{08969B40-89DA-4EAE-925B-3C841EB86C63}" uniqueName="25" name="A/E UB" queryTableFieldId="25" dataDxfId="6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86"/>
  <sheetViews>
    <sheetView workbookViewId="0">
      <selection activeCell="B24" sqref="B24"/>
    </sheetView>
  </sheetViews>
  <sheetFormatPr defaultRowHeight="15" x14ac:dyDescent="0.25"/>
  <cols>
    <col min="1" max="1" width="30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8" bestFit="1" customWidth="1"/>
    <col min="7" max="7" width="7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116</v>
      </c>
      <c r="C2" s="2">
        <v>12829</v>
      </c>
      <c r="D2">
        <f>RTD("tos.rtd", , "LAST", Main_L[[#This Row],[Symbol]])</f>
        <v>68.790000000000006</v>
      </c>
      <c r="E2">
        <v>6.99</v>
      </c>
      <c r="F2">
        <v>40.04</v>
      </c>
      <c r="G2">
        <v>6.35</v>
      </c>
      <c r="H2" s="1">
        <f>IF(ISNUMBER(Main_L[[#This Row],[Free CF]]),IF(Main_L[[#This Row],[Free CF]]&lt;&gt;0,Main_L[[#This Row],[Current Price]]/Main_L[[#This Row],[Free CF]],""),"")</f>
        <v>9.8412017167381975</v>
      </c>
      <c r="I2" s="1">
        <f>IF(ISNUMBER(Main_L[[#This Row],[BVPS]]),IF(Main_L[[#This Row],[BVPS]]&lt;&gt;0,Main_L[[#This Row],[Current Price]]/Main_L[[#This Row],[BVPS]],""),"")</f>
        <v>1.7180319680319682</v>
      </c>
      <c r="J2">
        <v>15.24</v>
      </c>
      <c r="K2">
        <v>5.73</v>
      </c>
      <c r="L2">
        <v>2.58</v>
      </c>
      <c r="M2" s="1">
        <f>IF(ISNUMBER(Main_L[[#This Row],[EPS]]),IF(Main_L[[#This Row],[EPS]]&lt;&gt;0,Main_L[[#This Row],[Current Price]]/Main_L[[#This Row],[EPS]],""),"")</f>
        <v>10.833070866141734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-0.99999999999999989</v>
      </c>
      <c r="P2" s="1">
        <f>(Main_L[[#This Row],[P/B]]-VLOOKUP(Main_L[[#This Row],[Industry]], Mean_PB_L, 2, FALSE))/(VLOOKUP(Main_L[[#This Row],[Industry]], Mean_PB_L, 3, FALSE))</f>
        <v>1.0000000000000013</v>
      </c>
      <c r="Q2" s="1">
        <f>(Main_L[[#This Row],[ROE]]-VLOOKUP(Main_L[[#This Row],[Industry]], Mean_ROE_L, 2, FALSE))/(VLOOKUP(Main_L[[#This Row],[Industry]], Mean_ROE_L, 3, FALSE))</f>
        <v>1</v>
      </c>
      <c r="R2" s="1">
        <f>(Main_L[[#This Row],[ROA]]-VLOOKUP(Main_L[[#This Row],[Industry]], Mean_ROA_L, 2, FALSE))/(VLOOKUP(Main_L[[#This Row],[Industry]], Mean_ROA_L, 3, FALSE))</f>
        <v>1</v>
      </c>
      <c r="S2" s="1">
        <f>(Main_L[[#This Row],[A/E]]-VLOOKUP(Main_L[[#This Row],[Industry]], Mean_AE_L, 2, FALSE))/(VLOOKUP(Main_L[[#This Row],[Industry]], Mean_AE_L, 3, FALSE))</f>
        <v>0.99999999999999989</v>
      </c>
      <c r="T2" s="1">
        <f>(Main_L[[#This Row],[P/E]]-VLOOKUP(Main_L[[#This Row],[Industry]], Mean_PE_L, 2, FALSE))/(VLOOKUP(Main_L[[#This Row],[Industry]], Mean_PE_L, 3, FALSE))</f>
        <v>1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106</v>
      </c>
      <c r="B3" t="s">
        <v>117</v>
      </c>
      <c r="C3" s="2">
        <v>11985</v>
      </c>
      <c r="D3">
        <f>RTD("tos.rtd", , "LAST", Main_L[[#This Row],[Symbol]])</f>
        <v>16.940000000000001</v>
      </c>
      <c r="E3">
        <v>0.49</v>
      </c>
      <c r="F3">
        <v>14.84</v>
      </c>
      <c r="G3">
        <v>-3.67</v>
      </c>
      <c r="H3" s="1">
        <f>IF(ISNUMBER(Main_L[[#This Row],[Free CF]]),IF(Main_L[[#This Row],[Free CF]]&lt;&gt;0,Main_L[[#This Row],[Current Price]]/Main_L[[#This Row],[Free CF]],""),"")</f>
        <v>34.571428571428577</v>
      </c>
      <c r="I3" s="1">
        <f>IF(ISNUMBER(Main_L[[#This Row],[BVPS]]),IF(Main_L[[#This Row],[BVPS]]&lt;&gt;0,Main_L[[#This Row],[Current Price]]/Main_L[[#This Row],[BVPS]],""),"")</f>
        <v>1.1415094339622642</v>
      </c>
      <c r="J3">
        <v>-22.18</v>
      </c>
      <c r="K3">
        <v>-1.82</v>
      </c>
      <c r="L3">
        <v>1.04</v>
      </c>
      <c r="M3" s="1">
        <f>IF(ISNUMBER(Main_L[[#This Row],[EPS]]),IF(Main_L[[#This Row],[EPS]]&lt;&gt;0,Main_L[[#This Row],[Current Price]]/Main_L[[#This Row],[EPS]],""),"")</f>
        <v>-4.6158038147138969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0.99999999999999989</v>
      </c>
      <c r="P3" s="1">
        <f>(Main_L[[#This Row],[P/B]]-VLOOKUP(Main_L[[#This Row],[Industry]], Mean_PB_L, 2, FALSE))/(VLOOKUP(Main_L[[#This Row],[Industry]], Mean_PB_L, 3, FALSE))</f>
        <v>-1.0000000000000022</v>
      </c>
      <c r="Q3" s="1">
        <f>(Main_L[[#This Row],[ROE]]-VLOOKUP(Main_L[[#This Row],[Industry]], Mean_ROE_L, 2, FALSE))/(VLOOKUP(Main_L[[#This Row],[Industry]], Mean_ROE_L, 3, FALSE))</f>
        <v>-1</v>
      </c>
      <c r="R3" s="1">
        <f>(Main_L[[#This Row],[ROA]]-VLOOKUP(Main_L[[#This Row],[Industry]], Mean_ROA_L, 2, FALSE))/(VLOOKUP(Main_L[[#This Row],[Industry]], Mean_ROA_L, 3, FALSE))</f>
        <v>-1</v>
      </c>
      <c r="S3" s="1">
        <f>(Main_L[[#This Row],[A/E]]-VLOOKUP(Main_L[[#This Row],[Industry]], Mean_AE_L, 2, FALSE))/(VLOOKUP(Main_L[[#This Row],[Industry]], Mean_AE_L, 3, FALSE))</f>
        <v>-0.99999999999999989</v>
      </c>
      <c r="T3" s="1">
        <f>(Main_L[[#This Row],[P/E]]-VLOOKUP(Main_L[[#This Row],[Industry]], Mean_PE_L, 2, FALSE))/(VLOOKUP(Main_L[[#This Row],[Industry]], Mean_PE_L, 3, FALSE))</f>
        <v>-1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107</v>
      </c>
      <c r="B4" t="s">
        <v>118</v>
      </c>
      <c r="C4" s="2">
        <v>40879</v>
      </c>
      <c r="D4">
        <f>RTD("tos.rtd", , "LAST", Main_L[[#This Row],[Symbol]])</f>
        <v>10.6</v>
      </c>
      <c r="E4">
        <v>2.35</v>
      </c>
      <c r="F4">
        <v>11.26</v>
      </c>
      <c r="G4">
        <v>1.26</v>
      </c>
      <c r="H4" s="1">
        <f>IF(ISNUMBER(Main_L[[#This Row],[Free CF]]),IF(Main_L[[#This Row],[Free CF]]&lt;&gt;0,Main_L[[#This Row],[Current Price]]/Main_L[[#This Row],[Free CF]],""),"")</f>
        <v>4.5106382978723403</v>
      </c>
      <c r="I4" s="1">
        <f>IF(ISNUMBER(Main_L[[#This Row],[BVPS]]),IF(Main_L[[#This Row],[BVPS]]&lt;&gt;0,Main_L[[#This Row],[Current Price]]/Main_L[[#This Row],[BVPS]],""),"")</f>
        <v>0.94138543516873885</v>
      </c>
      <c r="J4">
        <v>11.49</v>
      </c>
      <c r="K4">
        <v>0.96</v>
      </c>
      <c r="L4">
        <v>6.37</v>
      </c>
      <c r="M4" s="1">
        <f>IF(ISNUMBER(Main_L[[#This Row],[EPS]]),IF(Main_L[[#This Row],[EPS]]&lt;&gt;0,Main_L[[#This Row],[Current Price]]/Main_L[[#This Row],[EPS]],""),"")</f>
        <v>8.412698412698413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0.54554280117296805</v>
      </c>
      <c r="P4" s="1">
        <f>(Main_L[[#This Row],[P/B]]-VLOOKUP(Main_L[[#This Row],[Industry]], Mean_PB_L, 2, FALSE))/(VLOOKUP(Main_L[[#This Row],[Industry]], Mean_PB_L, 3, FALSE))</f>
        <v>-0.74931247736201279</v>
      </c>
      <c r="Q4" s="1">
        <f>(Main_L[[#This Row],[ROE]]-VLOOKUP(Main_L[[#This Row],[Industry]], Mean_ROE_L, 2, FALSE))/(VLOOKUP(Main_L[[#This Row],[Industry]], Mean_ROE_L, 3, FALSE))</f>
        <v>0.53999981869443159</v>
      </c>
      <c r="R4" s="1">
        <f>(Main_L[[#This Row],[ROA]]-VLOOKUP(Main_L[[#This Row],[Industry]], Mean_ROA_L, 2, FALSE))/(VLOOKUP(Main_L[[#This Row],[Industry]], Mean_ROA_L, 3, FALSE))</f>
        <v>-1.9661855602071407</v>
      </c>
      <c r="S4" s="1">
        <f>(Main_L[[#This Row],[A/E]]-VLOOKUP(Main_L[[#This Row],[Industry]], Mean_AE_L, 2, FALSE))/(VLOOKUP(Main_L[[#This Row],[Industry]], Mean_AE_L, 3, FALSE))</f>
        <v>28.228705480132881</v>
      </c>
      <c r="T4" s="1">
        <f>(Main_L[[#This Row],[P/E]]-VLOOKUP(Main_L[[#This Row],[Industry]], Mean_PE_L, 2, FALSE))/(VLOOKUP(Main_L[[#This Row],[Industry]], Mean_PE_L, 3, FALSE))</f>
        <v>-0.23678027225558926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107</v>
      </c>
      <c r="B5" t="s">
        <v>119</v>
      </c>
      <c r="C5" s="2">
        <v>43716</v>
      </c>
      <c r="D5">
        <f>RTD("tos.rtd", , "LAST", Main_L[[#This Row],[Symbol]])</f>
        <v>50.46</v>
      </c>
      <c r="E5">
        <v>12.28</v>
      </c>
      <c r="F5">
        <v>64.63</v>
      </c>
      <c r="G5">
        <v>6.95</v>
      </c>
      <c r="H5" s="1">
        <f>IF(ISNUMBER(Main_L[[#This Row],[Free CF]]),IF(Main_L[[#This Row],[Free CF]]&lt;&gt;0,Main_L[[#This Row],[Current Price]]/Main_L[[#This Row],[Free CF]],""),"")</f>
        <v>4.1091205211726392</v>
      </c>
      <c r="I5" s="1">
        <f>IF(ISNUMBER(Main_L[[#This Row],[BVPS]]),IF(Main_L[[#This Row],[BVPS]]&lt;&gt;0,Main_L[[#This Row],[Current Price]]/Main_L[[#This Row],[BVPS]],""),"")</f>
        <v>0.78075197276806441</v>
      </c>
      <c r="J5">
        <v>8.56</v>
      </c>
      <c r="K5">
        <v>2.76</v>
      </c>
      <c r="L5">
        <v>4.38</v>
      </c>
      <c r="M5" s="1">
        <f>IF(ISNUMBER(Main_L[[#This Row],[EPS]]),IF(Main_L[[#This Row],[EPS]]&lt;&gt;0,Main_L[[#This Row],[Current Price]]/Main_L[[#This Row],[EPS]],""),"")</f>
        <v>7.2604316546762586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0.53236219727268919</v>
      </c>
      <c r="P5" s="1">
        <f>(Main_L[[#This Row],[P/B]]-VLOOKUP(Main_L[[#This Row],[Industry]], Mean_PB_L, 2, FALSE))/(VLOOKUP(Main_L[[#This Row],[Industry]], Mean_PB_L, 3, FALSE))</f>
        <v>-0.86598816844828597</v>
      </c>
      <c r="Q5" s="1">
        <f>(Main_L[[#This Row],[ROE]]-VLOOKUP(Main_L[[#This Row],[Industry]], Mean_ROE_L, 2, FALSE))/(VLOOKUP(Main_L[[#This Row],[Industry]], Mean_ROE_L, 3, FALSE))</f>
        <v>-0.63324131281221974</v>
      </c>
      <c r="R5" s="1">
        <f>(Main_L[[#This Row],[ROA]]-VLOOKUP(Main_L[[#This Row],[Industry]], Mean_ROA_L, 2, FALSE))/(VLOOKUP(Main_L[[#This Row],[Industry]], Mean_ROA_L, 3, FALSE))</f>
        <v>0.11042282693535485</v>
      </c>
      <c r="S5" s="1">
        <f>(Main_L[[#This Row],[A/E]]-VLOOKUP(Main_L[[#This Row],[Industry]], Mean_AE_L, 2, FALSE))/(VLOOKUP(Main_L[[#This Row],[Industry]], Mean_AE_L, 3, FALSE))</f>
        <v>13.800163381126605</v>
      </c>
      <c r="T5" s="1">
        <f>(Main_L[[#This Row],[P/E]]-VLOOKUP(Main_L[[#This Row],[Industry]], Mean_PE_L, 2, FALSE))/(VLOOKUP(Main_L[[#This Row],[Industry]], Mean_PE_L, 3, FALSE))</f>
        <v>-0.35961119621583365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107</v>
      </c>
      <c r="B6" t="s">
        <v>120</v>
      </c>
      <c r="C6" s="2">
        <v>44016</v>
      </c>
      <c r="D6">
        <f>RTD("tos.rtd", , "LAST", Main_L[[#This Row],[Symbol]])</f>
        <v>29.63</v>
      </c>
      <c r="E6">
        <v>-0.39</v>
      </c>
      <c r="F6">
        <v>17.899999999999999</v>
      </c>
      <c r="G6">
        <v>1.39</v>
      </c>
      <c r="H6" s="1">
        <f>IF(ISNUMBER(Main_L[[#This Row],[Free CF]]),IF(Main_L[[#This Row],[Free CF]]&lt;&gt;0,Main_L[[#This Row],[Current Price]]/Main_L[[#This Row],[Free CF]],""),"")</f>
        <v>-75.974358974358964</v>
      </c>
      <c r="I6" s="1">
        <f>IF(ISNUMBER(Main_L[[#This Row],[BVPS]]),IF(Main_L[[#This Row],[BVPS]]&lt;&gt;0,Main_L[[#This Row],[Current Price]]/Main_L[[#This Row],[BVPS]],""),"")</f>
        <v>1.6553072625698324</v>
      </c>
      <c r="J6">
        <v>8.6999999999999993</v>
      </c>
      <c r="K6">
        <v>3.07</v>
      </c>
      <c r="L6">
        <v>2.4</v>
      </c>
      <c r="M6" s="1">
        <f>IF(ISNUMBER(Main_L[[#This Row],[EPS]]),IF(Main_L[[#This Row],[EPS]]&lt;&gt;0,Main_L[[#This Row],[Current Price]]/Main_L[[#This Row],[EPS]],""),"")</f>
        <v>21.31654676258993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-2.0965341640860897</v>
      </c>
      <c r="P6" s="1">
        <f>(Main_L[[#This Row],[P/B]]-VLOOKUP(Main_L[[#This Row],[Industry]], Mean_PB_L, 2, FALSE))/(VLOOKUP(Main_L[[#This Row],[Industry]], Mean_PB_L, 3, FALSE))</f>
        <v>-0.23075724392113856</v>
      </c>
      <c r="Q6" s="1">
        <f>(Main_L[[#This Row],[ROE]]-VLOOKUP(Main_L[[#This Row],[Industry]], Mean_ROE_L, 2, FALSE))/(VLOOKUP(Main_L[[#This Row],[Industry]], Mean_ROE_L, 3, FALSE))</f>
        <v>-0.57718200960029831</v>
      </c>
      <c r="R6" s="1">
        <f>(Main_L[[#This Row],[ROA]]-VLOOKUP(Main_L[[#This Row],[Industry]], Mean_ROA_L, 2, FALSE))/(VLOOKUP(Main_L[[#This Row],[Industry]], Mean_ROA_L, 3, FALSE))</f>
        <v>0.46806093805434029</v>
      </c>
      <c r="S6" s="1">
        <f>(Main_L[[#This Row],[A/E]]-VLOOKUP(Main_L[[#This Row],[Industry]], Mean_AE_L, 2, FALSE))/(VLOOKUP(Main_L[[#This Row],[Industry]], Mean_AE_L, 3, FALSE))</f>
        <v>-0.55587348120124669</v>
      </c>
      <c r="T6" s="1">
        <f>(Main_L[[#This Row],[P/E]]-VLOOKUP(Main_L[[#This Row],[Industry]], Mean_PE_L, 2, FALSE))/(VLOOKUP(Main_L[[#This Row],[Industry]], Mean_PE_L, 3, FALSE))</f>
        <v>1.1387619834115448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107</v>
      </c>
      <c r="B7" t="s">
        <v>121</v>
      </c>
      <c r="C7" s="2">
        <v>26639</v>
      </c>
      <c r="D7">
        <f>RTD("tos.rtd", , "LAST", Main_L[[#This Row],[Symbol]])</f>
        <v>27.96</v>
      </c>
      <c r="E7">
        <v>1.1299999999999999</v>
      </c>
      <c r="F7">
        <v>9.67</v>
      </c>
      <c r="G7">
        <v>1.04</v>
      </c>
      <c r="H7" s="1">
        <f>IF(ISNUMBER(Main_L[[#This Row],[Free CF]]),IF(Main_L[[#This Row],[Free CF]]&lt;&gt;0,Main_L[[#This Row],[Current Price]]/Main_L[[#This Row],[Free CF]],""),"")</f>
        <v>24.743362831858409</v>
      </c>
      <c r="I7" s="1">
        <f>IF(ISNUMBER(Main_L[[#This Row],[BVPS]]),IF(Main_L[[#This Row],[BVPS]]&lt;&gt;0,Main_L[[#This Row],[Current Price]]/Main_L[[#This Row],[BVPS]],""),"")</f>
        <v>2.8914167528438472</v>
      </c>
      <c r="J7">
        <v>12.2</v>
      </c>
      <c r="K7">
        <v>2.87</v>
      </c>
      <c r="L7">
        <v>2.29</v>
      </c>
      <c r="M7" s="1">
        <f>IF(ISNUMBER(Main_L[[#This Row],[EPS]]),IF(Main_L[[#This Row],[EPS]]&lt;&gt;0,Main_L[[#This Row],[Current Price]]/Main_L[[#This Row],[EPS]],""),"")</f>
        <v>26.884615384615383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1.2097214338051614</v>
      </c>
      <c r="P7" s="1">
        <f>(Main_L[[#This Row],[P/B]]-VLOOKUP(Main_L[[#This Row],[Industry]], Mean_PB_L, 2, FALSE))/(VLOOKUP(Main_L[[#This Row],[Industry]], Mean_PB_L, 3, FALSE))</f>
        <v>0.66708761903946945</v>
      </c>
      <c r="Q7" s="1">
        <f>(Main_L[[#This Row],[ROE]]-VLOOKUP(Main_L[[#This Row],[Industry]], Mean_ROE_L, 2, FALSE))/(VLOOKUP(Main_L[[#This Row],[Industry]], Mean_ROE_L, 3, FALSE))</f>
        <v>0.82430057069774942</v>
      </c>
      <c r="R7" s="1">
        <f>(Main_L[[#This Row],[ROA]]-VLOOKUP(Main_L[[#This Row],[Industry]], Mean_ROA_L, 2, FALSE))/(VLOOKUP(Main_L[[#This Row],[Industry]], Mean_ROA_L, 3, FALSE))</f>
        <v>0.23732667281628553</v>
      </c>
      <c r="S7" s="1">
        <f>(Main_L[[#This Row],[A/E]]-VLOOKUP(Main_L[[#This Row],[Industry]], Mean_AE_L, 2, FALSE))/(VLOOKUP(Main_L[[#This Row],[Industry]], Mean_AE_L, 3, FALSE))</f>
        <v>-1.3534310846639042</v>
      </c>
      <c r="T7" s="1">
        <f>(Main_L[[#This Row],[P/E]]-VLOOKUP(Main_L[[#This Row],[Industry]], Mean_PE_L, 2, FALSE))/(VLOOKUP(Main_L[[#This Row],[Industry]], Mean_PE_L, 3, FALSE))</f>
        <v>1.7323146557904536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107</v>
      </c>
      <c r="B8" t="s">
        <v>122</v>
      </c>
      <c r="C8" s="2">
        <v>14583</v>
      </c>
      <c r="D8">
        <f>RTD("tos.rtd", , "LAST", Main_L[[#This Row],[Symbol]])</f>
        <v>14.87</v>
      </c>
      <c r="E8">
        <v>-2.82</v>
      </c>
      <c r="F8">
        <v>5.8</v>
      </c>
      <c r="G8">
        <v>-4.6900000000000004</v>
      </c>
      <c r="H8" s="1">
        <f>IF(ISNUMBER(Main_L[[#This Row],[Free CF]]),IF(Main_L[[#This Row],[Free CF]]&lt;&gt;0,Main_L[[#This Row],[Current Price]]/Main_L[[#This Row],[Free CF]],""),"")</f>
        <v>-5.2730496453900706</v>
      </c>
      <c r="I8" s="1">
        <f>IF(ISNUMBER(Main_L[[#This Row],[BVPS]]),IF(Main_L[[#This Row],[BVPS]]&lt;&gt;0,Main_L[[#This Row],[Current Price]]/Main_L[[#This Row],[BVPS]],""),"")</f>
        <v>2.5637931034482757</v>
      </c>
      <c r="J8">
        <v>-60.45</v>
      </c>
      <c r="K8">
        <v>-18.21</v>
      </c>
      <c r="L8">
        <v>2.35</v>
      </c>
      <c r="M8" s="1">
        <f>IF(ISNUMBER(Main_L[[#This Row],[EPS]]),IF(Main_L[[#This Row],[EPS]]&lt;&gt;0,Main_L[[#This Row],[Current Price]]/Main_L[[#This Row],[EPS]],""),"")</f>
        <v>-3.1705756929637521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0.22437416818234709</v>
      </c>
      <c r="P8" s="1">
        <f>(Main_L[[#This Row],[P/B]]-VLOOKUP(Main_L[[#This Row],[Industry]], Mean_PB_L, 2, FALSE))/(VLOOKUP(Main_L[[#This Row],[Industry]], Mean_PB_L, 3, FALSE))</f>
        <v>0.42911904674979773</v>
      </c>
      <c r="Q8" s="1">
        <f>(Main_L[[#This Row],[ROE]]-VLOOKUP(Main_L[[#This Row],[Industry]], Mean_ROE_L, 2, FALSE))/(VLOOKUP(Main_L[[#This Row],[Industry]], Mean_ROE_L, 3, FALSE))</f>
        <v>-28.266473560346018</v>
      </c>
      <c r="R8" s="1">
        <f>(Main_L[[#This Row],[ROA]]-VLOOKUP(Main_L[[#This Row],[Industry]], Mean_ROA_L, 2, FALSE))/(VLOOKUP(Main_L[[#This Row],[Industry]], Mean_ROA_L, 3, FALSE))</f>
        <v>-24.082064883274722</v>
      </c>
      <c r="S8" s="1">
        <f>(Main_L[[#This Row],[A/E]]-VLOOKUP(Main_L[[#This Row],[Industry]], Mean_AE_L, 2, FALSE))/(VLOOKUP(Main_L[[#This Row],[Industry]], Mean_AE_L, 3, FALSE))</f>
        <v>-0.91839966459336297</v>
      </c>
      <c r="T8" s="1">
        <f>(Main_L[[#This Row],[P/E]]-VLOOKUP(Main_L[[#This Row],[Industry]], Mean_PE_L, 2, FALSE))/(VLOOKUP(Main_L[[#This Row],[Industry]], Mean_PE_L, 3, FALSE))</f>
        <v>-1.4715501299970739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107</v>
      </c>
      <c r="B9" t="s">
        <v>123</v>
      </c>
      <c r="C9" s="2">
        <v>27192</v>
      </c>
      <c r="D9">
        <f>RTD("tos.rtd", , "LAST", Main_L[[#This Row],[Symbol]])</f>
        <v>10.96</v>
      </c>
      <c r="E9">
        <v>-2.48</v>
      </c>
      <c r="F9">
        <v>29.38</v>
      </c>
      <c r="G9">
        <v>1.91</v>
      </c>
      <c r="H9" s="1">
        <f>IF(ISNUMBER(Main_L[[#This Row],[Free CF]]),IF(Main_L[[#This Row],[Free CF]]&lt;&gt;0,Main_L[[#This Row],[Current Price]]/Main_L[[#This Row],[Free CF]],""),"")</f>
        <v>-4.4193548387096779</v>
      </c>
      <c r="I9" s="1">
        <f>IF(ISNUMBER(Main_L[[#This Row],[BVPS]]),IF(Main_L[[#This Row],[BVPS]]&lt;&gt;0,Main_L[[#This Row],[Current Price]]/Main_L[[#This Row],[BVPS]],""),"")</f>
        <v>0.37304288631722266</v>
      </c>
      <c r="J9">
        <v>6.72</v>
      </c>
      <c r="K9">
        <v>1.92</v>
      </c>
      <c r="L9">
        <v>2.54</v>
      </c>
      <c r="M9" s="1">
        <f>IF(ISNUMBER(Main_L[[#This Row],[EPS]]),IF(Main_L[[#This Row],[EPS]]&lt;&gt;0,Main_L[[#This Row],[Current Price]]/Main_L[[#This Row],[EPS]],""),"")</f>
        <v>5.7382198952879584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0.25239836474736016</v>
      </c>
      <c r="P9" s="1">
        <f>(Main_L[[#This Row],[P/B]]-VLOOKUP(Main_L[[#This Row],[Industry]], Mean_PB_L, 2, FALSE))/(VLOOKUP(Main_L[[#This Row],[Industry]], Mean_PB_L, 3, FALSE))</f>
        <v>-1.16212658638981</v>
      </c>
      <c r="Q9" s="1">
        <f>(Main_L[[#This Row],[ROE]]-VLOOKUP(Main_L[[#This Row],[Industry]], Mean_ROE_L, 2, FALSE))/(VLOOKUP(Main_L[[#This Row],[Industry]], Mean_ROE_L, 3, FALSE))</f>
        <v>-1.3700207264546223</v>
      </c>
      <c r="R9" s="1">
        <f>(Main_L[[#This Row],[ROA]]-VLOOKUP(Main_L[[#This Row],[Industry]], Mean_ROA_L, 2, FALSE))/(VLOOKUP(Main_L[[#This Row],[Industry]], Mean_ROA_L, 3, FALSE))</f>
        <v>-0.85866108706447641</v>
      </c>
      <c r="S9" s="1">
        <f>(Main_L[[#This Row],[A/E]]-VLOOKUP(Main_L[[#This Row],[Industry]], Mean_AE_L, 2, FALSE))/(VLOOKUP(Main_L[[#This Row],[Industry]], Mean_AE_L, 3, FALSE))</f>
        <v>0.4591998322966831</v>
      </c>
      <c r="T9" s="1">
        <f>(Main_L[[#This Row],[P/E]]-VLOOKUP(Main_L[[#This Row],[Industry]], Mean_PE_L, 2, FALSE))/(VLOOKUP(Main_L[[#This Row],[Industry]], Mean_PE_L, 3, FALSE))</f>
        <v>-0.52187802858523469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107</v>
      </c>
      <c r="B10" t="s">
        <v>124</v>
      </c>
      <c r="C10" s="2">
        <v>246188</v>
      </c>
      <c r="D10">
        <f>RTD("tos.rtd", , "LAST", Main_L[[#This Row],[Symbol]])</f>
        <v>193.97</v>
      </c>
      <c r="E10">
        <v>-0.84</v>
      </c>
      <c r="F10">
        <v>17.43</v>
      </c>
      <c r="G10">
        <v>24.26</v>
      </c>
      <c r="H10" s="1">
        <f>IF(ISNUMBER(Main_L[[#This Row],[Free CF]]),IF(Main_L[[#This Row],[Free CF]]&lt;&gt;0,Main_L[[#This Row],[Current Price]]/Main_L[[#This Row],[Free CF]],""),"")</f>
        <v>-230.91666666666669</v>
      </c>
      <c r="I10" s="1">
        <f>IF(ISNUMBER(Main_L[[#This Row],[BVPS]]),IF(Main_L[[#This Row],[BVPS]]&lt;&gt;0,Main_L[[#This Row],[Current Price]]/Main_L[[#This Row],[BVPS]],""),"")</f>
        <v>11.128514056224899</v>
      </c>
      <c r="J10">
        <v>14.55</v>
      </c>
      <c r="K10">
        <v>3.35</v>
      </c>
      <c r="L10">
        <v>2.64</v>
      </c>
      <c r="M10" s="1">
        <f>IF(ISNUMBER(Main_L[[#This Row],[EPS]]),IF(Main_L[[#This Row],[EPS]]&lt;&gt;0,Main_L[[#This Row],[Current Price]]/Main_L[[#This Row],[EPS]],""),"")</f>
        <v>7.9954657873042043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-7.1828175208871343</v>
      </c>
      <c r="P10" s="1">
        <f>(Main_L[[#This Row],[P/B]]-VLOOKUP(Main_L[[#This Row],[Industry]], Mean_PB_L, 2, FALSE))/(VLOOKUP(Main_L[[#This Row],[Industry]], Mean_PB_L, 3, FALSE))</f>
        <v>6.6500814862800857</v>
      </c>
      <c r="Q10" s="1">
        <f>(Main_L[[#This Row],[ROE]]-VLOOKUP(Main_L[[#This Row],[Industry]], Mean_ROE_L, 2, FALSE))/(VLOOKUP(Main_L[[#This Row],[Industry]], Mean_ROE_L, 3, FALSE))</f>
        <v>1.7652960174692964</v>
      </c>
      <c r="R10" s="1">
        <f>(Main_L[[#This Row],[ROA]]-VLOOKUP(Main_L[[#This Row],[Industry]], Mean_ROA_L, 2, FALSE))/(VLOOKUP(Main_L[[#This Row],[Industry]], Mean_ROA_L, 3, FALSE))</f>
        <v>0.79108890938761767</v>
      </c>
      <c r="S10" s="1">
        <f>(Main_L[[#This Row],[A/E]]-VLOOKUP(Main_L[[#This Row],[Industry]], Mean_AE_L, 2, FALSE))/(VLOOKUP(Main_L[[#This Row],[Industry]], Mean_AE_L, 3, FALSE))</f>
        <v>1.1842521990809187</v>
      </c>
      <c r="T10" s="1">
        <f>(Main_L[[#This Row],[P/E]]-VLOOKUP(Main_L[[#This Row],[Industry]], Mean_PE_L, 2, FALSE))/(VLOOKUP(Main_L[[#This Row],[Industry]], Mean_PE_L, 3, FALSE))</f>
        <v>-0.28125701214826593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107</v>
      </c>
      <c r="B11" t="s">
        <v>125</v>
      </c>
      <c r="C11" s="2">
        <v>889693</v>
      </c>
      <c r="D11">
        <f>RTD("tos.rtd", , "LAST", Main_L[[#This Row],[Symbol]])</f>
        <v>334.07</v>
      </c>
      <c r="E11">
        <v>2.12</v>
      </c>
      <c r="F11">
        <v>23.18</v>
      </c>
      <c r="G11">
        <v>1.75</v>
      </c>
      <c r="H11" s="1">
        <f>IF(ISNUMBER(Main_L[[#This Row],[Free CF]]),IF(Main_L[[#This Row],[Free CF]]&lt;&gt;0,Main_L[[#This Row],[Current Price]]/Main_L[[#This Row],[Free CF]],""),"")</f>
        <v>157.58018867924528</v>
      </c>
      <c r="I11" s="1">
        <f>IF(ISNUMBER(Main_L[[#This Row],[BVPS]]),IF(Main_L[[#This Row],[BVPS]]&lt;&gt;0,Main_L[[#This Row],[Current Price]]/Main_L[[#This Row],[BVPS]],""),"")</f>
        <v>14.411993097497843</v>
      </c>
      <c r="J11">
        <v>8.77</v>
      </c>
      <c r="K11">
        <v>3.72</v>
      </c>
      <c r="L11">
        <v>1.68</v>
      </c>
      <c r="M11" s="1">
        <f>IF(ISNUMBER(Main_L[[#This Row],[EPS]]),IF(Main_L[[#This Row],[EPS]]&lt;&gt;0,Main_L[[#This Row],[Current Price]]/Main_L[[#This Row],[EPS]],""),"")</f>
        <v>190.89714285714285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5.5703492477368748</v>
      </c>
      <c r="P11" s="1">
        <f>(Main_L[[#This Row],[P/B]]-VLOOKUP(Main_L[[#This Row],[Industry]], Mean_PB_L, 2, FALSE))/(VLOOKUP(Main_L[[#This Row],[Industry]], Mean_PB_L, 3, FALSE))</f>
        <v>9.0350278142887994</v>
      </c>
      <c r="Q11" s="1">
        <f>(Main_L[[#This Row],[ROE]]-VLOOKUP(Main_L[[#This Row],[Industry]], Mean_ROE_L, 2, FALSE))/(VLOOKUP(Main_L[[#This Row],[Industry]], Mean_ROE_L, 3, FALSE))</f>
        <v>-0.54915235799433726</v>
      </c>
      <c r="R11" s="1">
        <f>(Main_L[[#This Row],[ROA]]-VLOOKUP(Main_L[[#This Row],[Industry]], Mean_ROA_L, 2, FALSE))/(VLOOKUP(Main_L[[#This Row],[Industry]], Mean_ROA_L, 3, FALSE))</f>
        <v>1.2179473000780197</v>
      </c>
      <c r="S11" s="1">
        <f>(Main_L[[#This Row],[A/E]]-VLOOKUP(Main_L[[#This Row],[Industry]], Mean_AE_L, 2, FALSE))/(VLOOKUP(Main_L[[#This Row],[Industry]], Mean_AE_L, 3, FALSE))</f>
        <v>-5.7762505220477385</v>
      </c>
      <c r="T11" s="1">
        <f>(Main_L[[#This Row],[P/E]]-VLOOKUP(Main_L[[#This Row],[Industry]], Mean_PE_L, 2, FALSE))/(VLOOKUP(Main_L[[#This Row],[Industry]], Mean_PE_L, 3, FALSE))</f>
        <v>19.215948675646626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" spans="1:26" x14ac:dyDescent="0.25">
      <c r="A12" t="s">
        <v>107</v>
      </c>
      <c r="B12" t="s">
        <v>126</v>
      </c>
      <c r="C12" s="2">
        <v>18233</v>
      </c>
      <c r="D12">
        <f>RTD("tos.rtd", , "LAST", Main_L[[#This Row],[Symbol]])</f>
        <v>20.77</v>
      </c>
      <c r="E12">
        <v>-0.64</v>
      </c>
      <c r="F12">
        <v>4.51</v>
      </c>
      <c r="G12">
        <v>-0.84</v>
      </c>
      <c r="H12" s="1">
        <f>IF(ISNUMBER(Main_L[[#This Row],[Free CF]]),IF(Main_L[[#This Row],[Free CF]]&lt;&gt;0,Main_L[[#This Row],[Current Price]]/Main_L[[#This Row],[Free CF]],""),"")</f>
        <v>-32.453125</v>
      </c>
      <c r="I12" s="1">
        <f>IF(ISNUMBER(Main_L[[#This Row],[BVPS]]),IF(Main_L[[#This Row],[BVPS]]&lt;&gt;0,Main_L[[#This Row],[Current Price]]/Main_L[[#This Row],[BVPS]],""),"")</f>
        <v>4.6053215077605323</v>
      </c>
      <c r="J12">
        <v>-17.13</v>
      </c>
      <c r="K12">
        <v>-5.0599999999999996</v>
      </c>
      <c r="L12">
        <v>2.64</v>
      </c>
      <c r="M12" s="1">
        <f>IF(ISNUMBER(Main_L[[#This Row],[EPS]]),IF(Main_L[[#This Row],[EPS]]&lt;&gt;0,Main_L[[#This Row],[Current Price]]/Main_L[[#This Row],[EPS]],""),"")</f>
        <v>-24.726190476190478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-0.66786480109443536</v>
      </c>
      <c r="P12" s="1">
        <f>(Main_L[[#This Row],[P/B]]-VLOOKUP(Main_L[[#This Row],[Industry]], Mean_PB_L, 2, FALSE))/(VLOOKUP(Main_L[[#This Row],[Industry]], Mean_PB_L, 3, FALSE))</f>
        <v>1.9119778103319798</v>
      </c>
      <c r="Q12" s="1">
        <f>(Main_L[[#This Row],[ROE]]-VLOOKUP(Main_L[[#This Row],[Industry]], Mean_ROE_L, 2, FALSE))/(VLOOKUP(Main_L[[#This Row],[Industry]], Mean_ROE_L, 3, FALSE))</f>
        <v>-10.92012345219989</v>
      </c>
      <c r="R12" s="1">
        <f>(Main_L[[#This Row],[ROA]]-VLOOKUP(Main_L[[#This Row],[Industry]], Mean_ROA_L, 2, FALSE))/(VLOOKUP(Main_L[[#This Row],[Industry]], Mean_ROA_L, 3, FALSE))</f>
        <v>-8.9112869438725983</v>
      </c>
      <c r="S12" s="1">
        <f>(Main_L[[#This Row],[A/E]]-VLOOKUP(Main_L[[#This Row],[Industry]], Mean_AE_L, 2, FALSE))/(VLOOKUP(Main_L[[#This Row],[Industry]], Mean_AE_L, 3, FALSE))</f>
        <v>1.1842521990809187</v>
      </c>
      <c r="T12" s="1">
        <f>(Main_L[[#This Row],[P/E]]-VLOOKUP(Main_L[[#This Row],[Industry]], Mean_PE_L, 2, FALSE))/(VLOOKUP(Main_L[[#This Row],[Industry]], Mean_PE_L, 3, FALSE))</f>
        <v>-3.7693653380827135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3" spans="1:26" x14ac:dyDescent="0.25">
      <c r="A13" t="s">
        <v>114</v>
      </c>
      <c r="B13" t="s">
        <v>176</v>
      </c>
      <c r="C13" s="2">
        <v>2003412</v>
      </c>
      <c r="D13">
        <f>RTD("tos.rtd", , "LAST", Main_L[[#This Row],[Symbol]])</f>
        <v>211.37</v>
      </c>
      <c r="E13">
        <v>1.98</v>
      </c>
      <c r="F13">
        <v>28.82</v>
      </c>
      <c r="G13">
        <v>6.14</v>
      </c>
      <c r="H13" s="1">
        <f>IF(ISNUMBER(Main_L[[#This Row],[Free CF]]),IF(Main_L[[#This Row],[Free CF]]&lt;&gt;0,Main_L[[#This Row],[Current Price]]/Main_L[[#This Row],[Free CF]],""),"")</f>
        <v>106.75252525252526</v>
      </c>
      <c r="I13" s="1">
        <f>IF(ISNUMBER(Main_L[[#This Row],[BVPS]]),IF(Main_L[[#This Row],[BVPS]]&lt;&gt;0,Main_L[[#This Row],[Current Price]]/Main_L[[#This Row],[BVPS]],""),"")</f>
        <v>7.3341429562803606</v>
      </c>
      <c r="J13">
        <v>25.24</v>
      </c>
      <c r="K13">
        <v>7.63</v>
      </c>
      <c r="L13">
        <v>2.1</v>
      </c>
      <c r="M13" s="1">
        <f>IF(ISNUMBER(Main_L[[#This Row],[EPS]]),IF(Main_L[[#This Row],[EPS]]&lt;&gt;0,Main_L[[#This Row],[Current Price]]/Main_L[[#This Row],[EPS]],""),"")</f>
        <v>34.425081433224761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6.8128503435109264</v>
      </c>
      <c r="P13" s="1">
        <f>(Main_L[[#This Row],[P/B]]-VLOOKUP(Main_L[[#This Row],[Industry]], Mean_PB_L, 2, FALSE))/(VLOOKUP(Main_L[[#This Row],[Industry]], Mean_PB_L, 3, FALSE))</f>
        <v>0.52603531957921301</v>
      </c>
      <c r="Q13" s="1">
        <f>(Main_L[[#This Row],[ROE]]-VLOOKUP(Main_L[[#This Row],[Industry]], Mean_ROE_L, 2, FALSE))/(VLOOKUP(Main_L[[#This Row],[Industry]], Mean_ROE_L, 3, FALSE))</f>
        <v>-6.5896866679012844E-2</v>
      </c>
      <c r="R13" s="1">
        <f>(Main_L[[#This Row],[ROA]]-VLOOKUP(Main_L[[#This Row],[Industry]], Mean_ROA_L, 2, FALSE))/(VLOOKUP(Main_L[[#This Row],[Industry]], Mean_ROA_L, 3, FALSE))</f>
        <v>1.0488546814951216</v>
      </c>
      <c r="S13" s="1">
        <f>(Main_L[[#This Row],[A/E]]-VLOOKUP(Main_L[[#This Row],[Industry]], Mean_AE_L, 2, FALSE))/(VLOOKUP(Main_L[[#This Row],[Industry]], Mean_AE_L, 3, FALSE))</f>
        <v>-0.74874035920618232</v>
      </c>
      <c r="T13" s="1">
        <f>(Main_L[[#This Row],[P/E]]-VLOOKUP(Main_L[[#This Row],[Industry]], Mean_PE_L, 2, FALSE))/(VLOOKUP(Main_L[[#This Row],[Industry]], Mean_PE_L, 3, FALSE))</f>
        <v>0.40411664796773999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114</v>
      </c>
      <c r="B14" t="s">
        <v>177</v>
      </c>
      <c r="C14" s="2">
        <v>293994</v>
      </c>
      <c r="D14">
        <f>RTD("tos.rtd", , "LAST", Main_L[[#This Row],[Symbol]])</f>
        <v>131.65</v>
      </c>
      <c r="E14">
        <v>7.25</v>
      </c>
      <c r="F14">
        <v>59.26</v>
      </c>
      <c r="G14">
        <v>6.75</v>
      </c>
      <c r="H14" s="1">
        <f>IF(ISNUMBER(Main_L[[#This Row],[Free CF]]),IF(Main_L[[#This Row],[Free CF]]&lt;&gt;0,Main_L[[#This Row],[Current Price]]/Main_L[[#This Row],[Free CF]],""),"")</f>
        <v>18.158620689655173</v>
      </c>
      <c r="I14" s="1">
        <f>IF(ISNUMBER(Main_L[[#This Row],[BVPS]]),IF(Main_L[[#This Row],[BVPS]]&lt;&gt;0,Main_L[[#This Row],[Current Price]]/Main_L[[#This Row],[BVPS]],""),"")</f>
        <v>2.221565980425245</v>
      </c>
      <c r="J14">
        <v>10.27</v>
      </c>
      <c r="K14">
        <v>5.04</v>
      </c>
      <c r="L14">
        <v>1.85</v>
      </c>
      <c r="M14" s="1">
        <f>IF(ISNUMBER(Main_L[[#This Row],[EPS]]),IF(Main_L[[#This Row],[EPS]]&lt;&gt;0,Main_L[[#This Row],[Current Price]]/Main_L[[#This Row],[EPS]],""),"")</f>
        <v>19.503703703703703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4" s="1">
        <f>(Main_L[[#This Row],[P/FCF]]-VLOOKUP(Main_L[[#This Row],[Industry]], Mean_PFCF_L, 2, FALSE))/(VLOOKUP(Main_L[[#This Row],[Industry]], Mean_PFCF_L, 3, FALSE))</f>
        <v>-0.13833266829423965</v>
      </c>
      <c r="P14" s="1">
        <f>(Main_L[[#This Row],[P/B]]-VLOOKUP(Main_L[[#This Row],[Industry]], Mean_PB_L, 2, FALSE))/(VLOOKUP(Main_L[[#This Row],[Industry]], Mean_PB_L, 3, FALSE))</f>
        <v>-0.96723569244749186</v>
      </c>
      <c r="Q14" s="1">
        <f>(Main_L[[#This Row],[ROE]]-VLOOKUP(Main_L[[#This Row],[Industry]], Mean_ROE_L, 2, FALSE))/(VLOOKUP(Main_L[[#This Row],[Industry]], Mean_ROE_L, 3, FALSE))</f>
        <v>-0.93231250774472385</v>
      </c>
      <c r="R14" s="1">
        <f>(Main_L[[#This Row],[ROA]]-VLOOKUP(Main_L[[#This Row],[Industry]], Mean_ROA_L, 2, FALSE))/(VLOOKUP(Main_L[[#This Row],[Industry]], Mean_ROA_L, 3, FALSE))</f>
        <v>-0.2582184340168423</v>
      </c>
      <c r="S14" s="1">
        <f>(Main_L[[#This Row],[A/E]]-VLOOKUP(Main_L[[#This Row],[Industry]], Mean_AE_L, 2, FALSE))/(VLOOKUP(Main_L[[#This Row],[Industry]], Mean_AE_L, 3, FALSE))</f>
        <v>-0.93225515312926621</v>
      </c>
      <c r="T14" s="1">
        <f>(Main_L[[#This Row],[P/E]]-VLOOKUP(Main_L[[#This Row],[Industry]], Mean_PE_L, 2, FALSE))/(VLOOKUP(Main_L[[#This Row],[Industry]], Mean_PE_L, 3, FALSE))</f>
        <v>-0.35428219713535325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114</v>
      </c>
      <c r="B15" t="s">
        <v>178</v>
      </c>
      <c r="C15" s="2">
        <v>48289</v>
      </c>
      <c r="D15">
        <f>RTD("tos.rtd", , "LAST", Main_L[[#This Row],[Symbol]])</f>
        <v>26.56</v>
      </c>
      <c r="E15">
        <v>0.56000000000000005</v>
      </c>
      <c r="F15">
        <v>2.2799999999999998</v>
      </c>
      <c r="G15">
        <v>0.08</v>
      </c>
      <c r="H15" s="1">
        <f>IF(ISNUMBER(Main_L[[#This Row],[Free CF]]),IF(Main_L[[#This Row],[Free CF]]&lt;&gt;0,Main_L[[#This Row],[Current Price]]/Main_L[[#This Row],[Free CF]],""),"")</f>
        <v>47.428571428571423</v>
      </c>
      <c r="I15" s="1">
        <f>IF(ISNUMBER(Main_L[[#This Row],[BVPS]]),IF(Main_L[[#This Row],[BVPS]]&lt;&gt;0,Main_L[[#This Row],[Current Price]]/Main_L[[#This Row],[BVPS]],""),"")</f>
        <v>11.649122807017545</v>
      </c>
      <c r="J15">
        <v>1.59</v>
      </c>
      <c r="K15">
        <v>2.4500000000000002</v>
      </c>
      <c r="L15">
        <v>3.74</v>
      </c>
      <c r="M15" s="1">
        <f>IF(ISNUMBER(Main_L[[#This Row],[EPS]]),IF(Main_L[[#This Row],[EPS]]&lt;&gt;0,Main_L[[#This Row],[Current Price]]/Main_L[[#This Row],[EPS]],""),"")</f>
        <v>332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2.1582224427669741</v>
      </c>
      <c r="P15" s="1">
        <f>(Main_L[[#This Row],[P/B]]-VLOOKUP(Main_L[[#This Row],[Industry]], Mean_PB_L, 2, FALSE))/(VLOOKUP(Main_L[[#This Row],[Industry]], Mean_PB_L, 3, FALSE))</f>
        <v>1.7863457968620402</v>
      </c>
      <c r="Q15" s="1">
        <f>(Main_L[[#This Row],[ROE]]-VLOOKUP(Main_L[[#This Row],[Industry]], Mean_ROE_L, 2, FALSE))/(VLOOKUP(Main_L[[#This Row],[Industry]], Mean_ROE_L, 3, FALSE))</f>
        <v>-1.4346830998923774</v>
      </c>
      <c r="R15" s="1">
        <f>(Main_L[[#This Row],[ROA]]-VLOOKUP(Main_L[[#This Row],[Industry]], Mean_ROA_L, 2, FALSE))/(VLOOKUP(Main_L[[#This Row],[Industry]], Mean_ROA_L, 3, FALSE))</f>
        <v>-1.5652915495288062</v>
      </c>
      <c r="S15" s="1">
        <f>(Main_L[[#This Row],[A/E]]-VLOOKUP(Main_L[[#This Row],[Industry]], Mean_AE_L, 2, FALSE))/(VLOOKUP(Main_L[[#This Row],[Industry]], Mean_AE_L, 3, FALSE))</f>
        <v>0.45511668892924811</v>
      </c>
      <c r="T15" s="1">
        <f>(Main_L[[#This Row],[P/E]]-VLOOKUP(Main_L[[#This Row],[Industry]], Mean_PE_L, 2, FALSE))/(VLOOKUP(Main_L[[#This Row],[Industry]], Mean_PE_L, 3, FALSE))</f>
        <v>15.52875719146085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6" spans="1:26" x14ac:dyDescent="0.25">
      <c r="A16" t="s">
        <v>114</v>
      </c>
      <c r="B16" t="s">
        <v>179</v>
      </c>
      <c r="C16" s="2">
        <v>32148</v>
      </c>
      <c r="D16">
        <f>RTD("tos.rtd", , "LAST", Main_L[[#This Row],[Symbol]])</f>
        <v>69.17</v>
      </c>
      <c r="E16">
        <v>4.4000000000000004</v>
      </c>
      <c r="F16">
        <v>10.69</v>
      </c>
      <c r="G16">
        <v>4.17</v>
      </c>
      <c r="H16" s="1">
        <f>IF(ISNUMBER(Main_L[[#This Row],[Free CF]]),IF(Main_L[[#This Row],[Free CF]]&lt;&gt;0,Main_L[[#This Row],[Current Price]]/Main_L[[#This Row],[Free CF]],""),"")</f>
        <v>15.720454545454544</v>
      </c>
      <c r="I16" s="1">
        <f>IF(ISNUMBER(Main_L[[#This Row],[BVPS]]),IF(Main_L[[#This Row],[BVPS]]&lt;&gt;0,Main_L[[#This Row],[Current Price]]/Main_L[[#This Row],[BVPS]],""),"")</f>
        <v>6.4705332086061746</v>
      </c>
      <c r="J16">
        <v>36.479999999999997</v>
      </c>
      <c r="K16">
        <v>6.78</v>
      </c>
      <c r="L16">
        <v>3.83</v>
      </c>
      <c r="M16" s="1">
        <f>IF(ISNUMBER(Main_L[[#This Row],[EPS]]),IF(Main_L[[#This Row],[EPS]]&lt;&gt;0,Main_L[[#This Row],[Current Price]]/Main_L[[#This Row],[EPS]],""),"")</f>
        <v>16.587529976019184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-0.32963408079151568</v>
      </c>
      <c r="P16" s="1">
        <f>(Main_L[[#This Row],[P/B]]-VLOOKUP(Main_L[[#This Row],[Industry]], Mean_PB_L, 2, FALSE))/(VLOOKUP(Main_L[[#This Row],[Industry]], Mean_PB_L, 3, FALSE))</f>
        <v>0.27379395323971384</v>
      </c>
      <c r="Q16" s="1">
        <f>(Main_L[[#This Row],[ROE]]-VLOOKUP(Main_L[[#This Row],[Industry]], Mean_ROE_L, 2, FALSE))/(VLOOKUP(Main_L[[#This Row],[Industry]], Mean_ROE_L, 3, FALSE))</f>
        <v>0.58463832407440008</v>
      </c>
      <c r="R16" s="1">
        <f>(Main_L[[#This Row],[ROA]]-VLOOKUP(Main_L[[#This Row],[Industry]], Mean_ROA_L, 2, FALSE))/(VLOOKUP(Main_L[[#This Row],[Industry]], Mean_ROA_L, 3, FALSE))</f>
        <v>0.61989246211860849</v>
      </c>
      <c r="S16" s="1">
        <f>(Main_L[[#This Row],[A/E]]-VLOOKUP(Main_L[[#This Row],[Industry]], Mean_AE_L, 2, FALSE))/(VLOOKUP(Main_L[[#This Row],[Industry]], Mean_AE_L, 3, FALSE))</f>
        <v>0.52118201474155823</v>
      </c>
      <c r="T16" s="1">
        <f>(Main_L[[#This Row],[P/E]]-VLOOKUP(Main_L[[#This Row],[Industry]], Mean_PE_L, 2, FALSE))/(VLOOKUP(Main_L[[#This Row],[Industry]], Mean_PE_L, 3, FALSE))</f>
        <v>-0.5025006007764834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114</v>
      </c>
      <c r="B17" t="s">
        <v>180</v>
      </c>
      <c r="C17" s="2">
        <v>49043</v>
      </c>
      <c r="D17">
        <f>RTD("tos.rtd", , "LAST", Main_L[[#This Row],[Symbol]])</f>
        <v>37.25</v>
      </c>
      <c r="E17">
        <v>3.66</v>
      </c>
      <c r="F17">
        <v>22.59</v>
      </c>
      <c r="G17">
        <v>3.68</v>
      </c>
      <c r="H17" s="1">
        <f>IF(ISNUMBER(Main_L[[#This Row],[Free CF]]),IF(Main_L[[#This Row],[Free CF]]&lt;&gt;0,Main_L[[#This Row],[Current Price]]/Main_L[[#This Row],[Free CF]],""),"")</f>
        <v>10.1775956284153</v>
      </c>
      <c r="I17" s="1">
        <f>IF(ISNUMBER(Main_L[[#This Row],[BVPS]]),IF(Main_L[[#This Row],[BVPS]]&lt;&gt;0,Main_L[[#This Row],[Current Price]]/Main_L[[#This Row],[BVPS]],""),"")</f>
        <v>1.6489597166888004</v>
      </c>
      <c r="J17">
        <v>14.65</v>
      </c>
      <c r="K17">
        <v>3.73</v>
      </c>
      <c r="L17">
        <v>2.92</v>
      </c>
      <c r="M17" s="1">
        <f>IF(ISNUMBER(Main_L[[#This Row],[EPS]]),IF(Main_L[[#This Row],[EPS]]&lt;&gt;0,Main_L[[#This Row],[Current Price]]/Main_L[[#This Row],[EPS]],""),"")</f>
        <v>10.122282608695652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-0.76453337697970669</v>
      </c>
      <c r="P17" s="1">
        <f>(Main_L[[#This Row],[P/B]]-VLOOKUP(Main_L[[#This Row],[Industry]], Mean_PB_L, 2, FALSE))/(VLOOKUP(Main_L[[#This Row],[Industry]], Mean_PB_L, 3, FALSE))</f>
        <v>-1.1344813572033827</v>
      </c>
      <c r="Q17" s="1">
        <f>(Main_L[[#This Row],[ROE]]-VLOOKUP(Main_L[[#This Row],[Industry]], Mean_ROE_L, 2, FALSE))/(VLOOKUP(Main_L[[#This Row],[Industry]], Mean_ROE_L, 3, FALSE))</f>
        <v>-0.67881213981768207</v>
      </c>
      <c r="R17" s="1">
        <f>(Main_L[[#This Row],[ROA]]-VLOOKUP(Main_L[[#This Row],[Industry]], Mean_ROA_L, 2, FALSE))/(VLOOKUP(Main_L[[#This Row],[Industry]], Mean_ROA_L, 3, FALSE))</f>
        <v>-0.91932491329123334</v>
      </c>
      <c r="S17" s="1">
        <f>(Main_L[[#This Row],[A/E]]-VLOOKUP(Main_L[[#This Row],[Industry]], Mean_AE_L, 2, FALSE))/(VLOOKUP(Main_L[[#This Row],[Industry]], Mean_AE_L, 3, FALSE))</f>
        <v>-0.14681183513846724</v>
      </c>
      <c r="T17" s="1">
        <f>(Main_L[[#This Row],[P/E]]-VLOOKUP(Main_L[[#This Row],[Industry]], Mean_PE_L, 2, FALSE))/(VLOOKUP(Main_L[[#This Row],[Industry]], Mean_PE_L, 3, FALSE))</f>
        <v>-0.83110538684682189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114</v>
      </c>
      <c r="B18" t="s">
        <v>181</v>
      </c>
      <c r="C18" s="2">
        <v>114682</v>
      </c>
      <c r="D18">
        <f>RTD("tos.rtd", , "LAST", Main_L[[#This Row],[Symbol]])</f>
        <v>2515.12</v>
      </c>
      <c r="E18">
        <v>139.22</v>
      </c>
      <c r="F18">
        <v>85.82</v>
      </c>
      <c r="G18">
        <v>37.69</v>
      </c>
      <c r="H18" s="1">
        <f>IF(ISNUMBER(Main_L[[#This Row],[Free CF]]),IF(Main_L[[#This Row],[Free CF]]&lt;&gt;0,Main_L[[#This Row],[Current Price]]/Main_L[[#This Row],[Free CF]],""),"")</f>
        <v>18.065795144375809</v>
      </c>
      <c r="I18" s="1">
        <f>IF(ISNUMBER(Main_L[[#This Row],[BVPS]]),IF(Main_L[[#This Row],[BVPS]]&lt;&gt;0,Main_L[[#This Row],[Current Price]]/Main_L[[#This Row],[BVPS]],""),"")</f>
        <v>29.306921463528315</v>
      </c>
      <c r="J18">
        <v>51.5</v>
      </c>
      <c r="K18">
        <v>7.68</v>
      </c>
      <c r="L18">
        <v>5.79</v>
      </c>
      <c r="M18" s="1">
        <f>IF(ISNUMBER(Main_L[[#This Row],[EPS]]),IF(Main_L[[#This Row],[EPS]]&lt;&gt;0,Main_L[[#This Row],[Current Price]]/Main_L[[#This Row],[EPS]],""),"")</f>
        <v>66.731759087291053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-0.14561587086433941</v>
      </c>
      <c r="P18" s="1">
        <f>(Main_L[[#This Row],[P/B]]-VLOOKUP(Main_L[[#This Row],[Industry]], Mean_PB_L, 2, FALSE))/(VLOOKUP(Main_L[[#This Row],[Industry]], Mean_PB_L, 3, FALSE))</f>
        <v>6.9437994634763038</v>
      </c>
      <c r="Q18" s="1">
        <f>(Main_L[[#This Row],[ROE]]-VLOOKUP(Main_L[[#This Row],[Industry]], Mean_ROE_L, 2, FALSE))/(VLOOKUP(Main_L[[#This Row],[Industry]], Mean_ROE_L, 3, FALSE))</f>
        <v>1.4539478049566301</v>
      </c>
      <c r="R18" s="1">
        <f>(Main_L[[#This Row],[ROA]]-VLOOKUP(Main_L[[#This Row],[Industry]], Mean_ROA_L, 2, FALSE))/(VLOOKUP(Main_L[[#This Row],[Industry]], Mean_ROA_L, 3, FALSE))</f>
        <v>1.0740877532231516</v>
      </c>
      <c r="S18" s="1">
        <f>(Main_L[[#This Row],[A/E]]-VLOOKUP(Main_L[[#This Row],[Industry]], Mean_AE_L, 2, FALSE))/(VLOOKUP(Main_L[[#This Row],[Industry]], Mean_AE_L, 3, FALSE))</f>
        <v>1.9599379990985359</v>
      </c>
      <c r="T18" s="1">
        <f>(Main_L[[#This Row],[P/E]]-VLOOKUP(Main_L[[#This Row],[Industry]], Mean_PE_L, 2, FALSE))/(VLOOKUP(Main_L[[#This Row],[Industry]], Mean_PE_L, 3, FALSE))</f>
        <v>2.0461464568832621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114</v>
      </c>
      <c r="B19" t="s">
        <v>182</v>
      </c>
      <c r="C19" s="2">
        <v>155295</v>
      </c>
      <c r="D19">
        <f>RTD("tos.rtd", , "LAST", Main_L[[#This Row],[Symbol]])</f>
        <v>119.45</v>
      </c>
      <c r="E19">
        <v>11.97</v>
      </c>
      <c r="F19">
        <v>30.83</v>
      </c>
      <c r="G19">
        <v>10.41</v>
      </c>
      <c r="H19" s="1">
        <f>IF(ISNUMBER(Main_L[[#This Row],[Free CF]]),IF(Main_L[[#This Row],[Free CF]]&lt;&gt;0,Main_L[[#This Row],[Current Price]]/Main_L[[#This Row],[Free CF]],""),"")</f>
        <v>9.9791144527986635</v>
      </c>
      <c r="I19" s="1">
        <f>IF(ISNUMBER(Main_L[[#This Row],[BVPS]]),IF(Main_L[[#This Row],[BVPS]]&lt;&gt;0,Main_L[[#This Row],[Current Price]]/Main_L[[#This Row],[BVPS]],""),"")</f>
        <v>3.8744729159909181</v>
      </c>
      <c r="J19">
        <v>44.92</v>
      </c>
      <c r="K19">
        <v>15.89</v>
      </c>
      <c r="L19">
        <v>1.61</v>
      </c>
      <c r="M19" s="1">
        <f>IF(ISNUMBER(Main_L[[#This Row],[EPS]]),IF(Main_L[[#This Row],[EPS]]&lt;&gt;0,Main_L[[#This Row],[Current Price]]/Main_L[[#This Row],[EPS]],""),"")</f>
        <v>11.474543707973103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9" s="1">
        <f>(Main_L[[#This Row],[P/FCF]]-VLOOKUP(Main_L[[#This Row],[Industry]], Mean_PFCF_L, 2, FALSE))/(VLOOKUP(Main_L[[#This Row],[Industry]], Mean_PFCF_L, 3, FALSE))</f>
        <v>-0.78010644583717426</v>
      </c>
      <c r="P19" s="1">
        <f>(Main_L[[#This Row],[P/B]]-VLOOKUP(Main_L[[#This Row],[Industry]], Mean_PB_L, 2, FALSE))/(VLOOKUP(Main_L[[#This Row],[Industry]], Mean_PB_L, 3, FALSE))</f>
        <v>-0.48445802003009392</v>
      </c>
      <c r="Q19" s="1">
        <f>(Main_L[[#This Row],[ROE]]-VLOOKUP(Main_L[[#This Row],[Industry]], Mean_ROE_L, 2, FALSE))/(VLOOKUP(Main_L[[#This Row],[Industry]], Mean_ROE_L, 3, FALSE))</f>
        <v>1.073118485102764</v>
      </c>
      <c r="R19" s="1">
        <f>(Main_L[[#This Row],[ROA]]-VLOOKUP(Main_L[[#This Row],[Industry]], Mean_ROA_L, 2, FALSE))/(VLOOKUP(Main_L[[#This Row],[Industry]], Mean_ROA_L, 3, FALSE))</f>
        <v>5.2173581309657102</v>
      </c>
      <c r="S19" s="1">
        <f>(Main_L[[#This Row],[A/E]]-VLOOKUP(Main_L[[#This Row],[Industry]], Mean_AE_L, 2, FALSE))/(VLOOKUP(Main_L[[#This Row],[Industry]], Mean_AE_L, 3, FALSE))</f>
        <v>-1.1084293552954267</v>
      </c>
      <c r="T19" s="1">
        <f>(Main_L[[#This Row],[P/E]]-VLOOKUP(Main_L[[#This Row],[Industry]], Mean_PE_L, 2, FALSE))/(VLOOKUP(Main_L[[#This Row],[Industry]], Mean_PE_L, 3, FALSE))</f>
        <v>-0.76237492009234376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113</v>
      </c>
      <c r="B20" t="s">
        <v>173</v>
      </c>
      <c r="C20" s="2">
        <v>16094</v>
      </c>
      <c r="D20">
        <f>RTD("tos.rtd", , "LAST", Main_L[[#This Row],[Symbol]])</f>
        <v>121.2</v>
      </c>
      <c r="E20">
        <v>2.31</v>
      </c>
      <c r="F20">
        <v>32.06</v>
      </c>
      <c r="G20">
        <v>6.09</v>
      </c>
      <c r="H20" s="1">
        <f>IF(ISNUMBER(Main_L[[#This Row],[Free CF]]),IF(Main_L[[#This Row],[Free CF]]&lt;&gt;0,Main_L[[#This Row],[Current Price]]/Main_L[[#This Row],[Free CF]],""),"")</f>
        <v>52.467532467532465</v>
      </c>
      <c r="I20" s="1">
        <f>IF(ISNUMBER(Main_L[[#This Row],[BVPS]]),IF(Main_L[[#This Row],[BVPS]]&lt;&gt;0,Main_L[[#This Row],[Current Price]]/Main_L[[#This Row],[BVPS]],""),"")</f>
        <v>3.7804117280099812</v>
      </c>
      <c r="J20">
        <v>19.13</v>
      </c>
      <c r="K20">
        <v>4.82</v>
      </c>
      <c r="L20">
        <v>4.45</v>
      </c>
      <c r="M20" s="1">
        <f>IF(ISNUMBER(Main_L[[#This Row],[EPS]]),IF(Main_L[[#This Row],[EPS]]&lt;&gt;0,Main_L[[#This Row],[Current Price]]/Main_L[[#This Row],[EPS]],""),"")</f>
        <v>19.901477832512317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1.400280372606308</v>
      </c>
      <c r="P20" s="1">
        <f>(Main_L[[#This Row],[P/B]]-VLOOKUP(Main_L[[#This Row],[Industry]], Mean_PB_L, 2, FALSE))/(VLOOKUP(Main_L[[#This Row],[Industry]], Mean_PB_L, 3, FALSE))</f>
        <v>-0.37832805833834066</v>
      </c>
      <c r="Q20" s="1">
        <f>(Main_L[[#This Row],[ROE]]-VLOOKUP(Main_L[[#This Row],[Industry]], Mean_ROE_L, 2, FALSE))/(VLOOKUP(Main_L[[#This Row],[Industry]], Mean_ROE_L, 3, FALSE))</f>
        <v>-0.19087569520069322</v>
      </c>
      <c r="R20" s="1">
        <f>(Main_L[[#This Row],[ROA]]-VLOOKUP(Main_L[[#This Row],[Industry]], Mean_ROA_L, 2, FALSE))/(VLOOKUP(Main_L[[#This Row],[Industry]], Mean_ROA_L, 3, FALSE))</f>
        <v>-0.82465620103872228</v>
      </c>
      <c r="S20" s="1">
        <f>(Main_L[[#This Row],[A/E]]-VLOOKUP(Main_L[[#This Row],[Industry]], Mean_AE_L, 2, FALSE))/(VLOOKUP(Main_L[[#This Row],[Industry]], Mean_AE_L, 3, FALSE))</f>
        <v>1.3718738749107624</v>
      </c>
      <c r="T20" s="1">
        <f>(Main_L[[#This Row],[P/E]]-VLOOKUP(Main_L[[#This Row],[Industry]], Mean_PE_L, 2, FALSE))/(VLOOKUP(Main_L[[#This Row],[Industry]], Mean_PE_L, 3, FALSE))</f>
        <v>-0.30586288359293778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113</v>
      </c>
      <c r="B21" t="s">
        <v>174</v>
      </c>
      <c r="C21" s="2">
        <v>10171</v>
      </c>
      <c r="D21">
        <f>RTD("tos.rtd", , "LAST", Main_L[[#This Row],[Symbol]])</f>
        <v>42.08</v>
      </c>
      <c r="E21">
        <v>2.16</v>
      </c>
      <c r="F21">
        <v>23.9</v>
      </c>
      <c r="G21">
        <v>2.68</v>
      </c>
      <c r="H21" s="1">
        <f>IF(ISNUMBER(Main_L[[#This Row],[Free CF]]),IF(Main_L[[#This Row],[Free CF]]&lt;&gt;0,Main_L[[#This Row],[Current Price]]/Main_L[[#This Row],[Free CF]],""),"")</f>
        <v>19.481481481481481</v>
      </c>
      <c r="I21" s="1">
        <f>IF(ISNUMBER(Main_L[[#This Row],[BVPS]]),IF(Main_L[[#This Row],[BVPS]]&lt;&gt;0,Main_L[[#This Row],[Current Price]]/Main_L[[#This Row],[BVPS]],""),"")</f>
        <v>1.7606694560669456</v>
      </c>
      <c r="J21">
        <v>11.39</v>
      </c>
      <c r="K21">
        <v>5.36</v>
      </c>
      <c r="L21">
        <v>2.5099999999999998</v>
      </c>
      <c r="M21" s="1">
        <f>IF(ISNUMBER(Main_L[[#This Row],[EPS]]),IF(Main_L[[#This Row],[EPS]]&lt;&gt;0,Main_L[[#This Row],[Current Price]]/Main_L[[#This Row],[EPS]],""),"")</f>
        <v>15.701492537313431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1" s="1">
        <f>(Main_L[[#This Row],[P/FCF]]-VLOOKUP(Main_L[[#This Row],[Industry]], Mean_PFCF_L, 2, FALSE))/(VLOOKUP(Main_L[[#This Row],[Industry]], Mean_PFCF_L, 3, FALSE))</f>
        <v>-0.87163700426241997</v>
      </c>
      <c r="P21" s="1">
        <f>(Main_L[[#This Row],[P/B]]-VLOOKUP(Main_L[[#This Row],[Industry]], Mean_PB_L, 2, FALSE))/(VLOOKUP(Main_L[[#This Row],[Industry]], Mean_PB_L, 3, FALSE))</f>
        <v>-0.99094228392531325</v>
      </c>
      <c r="Q21" s="1">
        <f>(Main_L[[#This Row],[ROE]]-VLOOKUP(Main_L[[#This Row],[Industry]], Mean_ROE_L, 2, FALSE))/(VLOOKUP(Main_L[[#This Row],[Industry]], Mean_ROE_L, 3, FALSE))</f>
        <v>-1.1181003066149389</v>
      </c>
      <c r="R21" s="1">
        <f>(Main_L[[#This Row],[ROA]]-VLOOKUP(Main_L[[#This Row],[Industry]], Mean_ROA_L, 2, FALSE))/(VLOOKUP(Main_L[[#This Row],[Industry]], Mean_ROA_L, 3, FALSE))</f>
        <v>-0.58263753334257551</v>
      </c>
      <c r="S21" s="1">
        <f>(Main_L[[#This Row],[A/E]]-VLOOKUP(Main_L[[#This Row],[Industry]], Mean_AE_L, 2, FALSE))/(VLOOKUP(Main_L[[#This Row],[Industry]], Mean_AE_L, 3, FALSE))</f>
        <v>-0.98337861829886575</v>
      </c>
      <c r="T21" s="1">
        <f>(Main_L[[#This Row],[P/E]]-VLOOKUP(Main_L[[#This Row],[Industry]], Mean_PE_L, 2, FALSE))/(VLOOKUP(Main_L[[#This Row],[Industry]], Mean_PE_L, 3, FALSE))</f>
        <v>-1.0428260262254401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113</v>
      </c>
      <c r="B22" t="s">
        <v>175</v>
      </c>
      <c r="C22" s="2">
        <v>11120</v>
      </c>
      <c r="D22">
        <f>RTD("tos.rtd", , "LAST", Main_L[[#This Row],[Symbol]])</f>
        <v>313.83999999999997</v>
      </c>
      <c r="E22">
        <v>12.83</v>
      </c>
      <c r="F22">
        <v>32.89</v>
      </c>
      <c r="G22">
        <v>10.7</v>
      </c>
      <c r="H22" s="1">
        <f>IF(ISNUMBER(Main_L[[#This Row],[Free CF]]),IF(Main_L[[#This Row],[Free CF]]&lt;&gt;0,Main_L[[#This Row],[Current Price]]/Main_L[[#This Row],[Free CF]],""),"")</f>
        <v>24.461418550272796</v>
      </c>
      <c r="I22" s="1">
        <f>IF(ISNUMBER(Main_L[[#This Row],[BVPS]]),IF(Main_L[[#This Row],[BVPS]]&lt;&gt;0,Main_L[[#This Row],[Current Price]]/Main_L[[#This Row],[BVPS]],""),"")</f>
        <v>9.5421100638491936</v>
      </c>
      <c r="J22">
        <v>31.65</v>
      </c>
      <c r="K22">
        <v>9.8000000000000007</v>
      </c>
      <c r="L22">
        <v>3</v>
      </c>
      <c r="M22" s="1">
        <f>IF(ISNUMBER(Main_L[[#This Row],[EPS]]),IF(Main_L[[#This Row],[EPS]]&lt;&gt;0,Main_L[[#This Row],[Current Price]]/Main_L[[#This Row],[EPS]],""),"")</f>
        <v>29.330841121495325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-0.52864336834388792</v>
      </c>
      <c r="P22" s="1">
        <f>(Main_L[[#This Row],[P/B]]-VLOOKUP(Main_L[[#This Row],[Industry]], Mean_PB_L, 2, FALSE))/(VLOOKUP(Main_L[[#This Row],[Industry]], Mean_PB_L, 3, FALSE))</f>
        <v>1.3692703422636541</v>
      </c>
      <c r="Q22" s="1">
        <f>(Main_L[[#This Row],[ROE]]-VLOOKUP(Main_L[[#This Row],[Industry]], Mean_ROE_L, 2, FALSE))/(VLOOKUP(Main_L[[#This Row],[Industry]], Mean_ROE_L, 3, FALSE))</f>
        <v>1.3089760018156322</v>
      </c>
      <c r="R22" s="1">
        <f>(Main_L[[#This Row],[ROA]]-VLOOKUP(Main_L[[#This Row],[Industry]], Mean_ROA_L, 2, FALSE))/(VLOOKUP(Main_L[[#This Row],[Industry]], Mean_ROA_L, 3, FALSE))</f>
        <v>1.4072937343812981</v>
      </c>
      <c r="S22" s="1">
        <f>(Main_L[[#This Row],[A/E]]-VLOOKUP(Main_L[[#This Row],[Industry]], Mean_AE_L, 2, FALSE))/(VLOOKUP(Main_L[[#This Row],[Industry]], Mean_AE_L, 3, FALSE))</f>
        <v>-0.38849525661189771</v>
      </c>
      <c r="T22" s="1">
        <f>(Main_L[[#This Row],[P/E]]-VLOOKUP(Main_L[[#This Row],[Industry]], Mean_PE_L, 2, FALSE))/(VLOOKUP(Main_L[[#This Row],[Industry]], Mean_PE_L, 3, FALSE))</f>
        <v>1.3486889098183765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112</v>
      </c>
      <c r="B23" t="s">
        <v>170</v>
      </c>
      <c r="C23" s="2">
        <v>22525</v>
      </c>
      <c r="D23">
        <f>RTD("tos.rtd", , "LAST", Main_L[[#This Row],[Symbol]])</f>
        <v>531.46</v>
      </c>
      <c r="E23">
        <v>6.55</v>
      </c>
      <c r="F23">
        <v>19.68</v>
      </c>
      <c r="G23">
        <v>2.04</v>
      </c>
      <c r="H23" s="1">
        <f>IF(ISNUMBER(Main_L[[#This Row],[Free CF]]),IF(Main_L[[#This Row],[Free CF]]&lt;&gt;0,Main_L[[#This Row],[Current Price]]/Main_L[[#This Row],[Free CF]],""),"")</f>
        <v>81.138931297709931</v>
      </c>
      <c r="I23" s="1">
        <f>IF(ISNUMBER(Main_L[[#This Row],[BVPS]]),IF(Main_L[[#This Row],[BVPS]]&lt;&gt;0,Main_L[[#This Row],[Current Price]]/Main_L[[#This Row],[BVPS]],""),"")</f>
        <v>27.005081300813011</v>
      </c>
      <c r="J23">
        <v>12.06</v>
      </c>
      <c r="K23">
        <v>3.59</v>
      </c>
      <c r="L23">
        <v>1.57</v>
      </c>
      <c r="M23" s="1">
        <f>IF(ISNUMBER(Main_L[[#This Row],[EPS]]),IF(Main_L[[#This Row],[EPS]]&lt;&gt;0,Main_L[[#This Row],[Current Price]]/Main_L[[#This Row],[EPS]],""),"")</f>
        <v>260.51960784313729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1.4142133449621035</v>
      </c>
      <c r="P23" s="1">
        <f>(Main_L[[#This Row],[P/B]]-VLOOKUP(Main_L[[#This Row],[Industry]], Mean_PB_L, 2, FALSE))/(VLOOKUP(Main_L[[#This Row],[Industry]], Mean_PB_L, 3, FALSE))</f>
        <v>1.3938279852183217</v>
      </c>
      <c r="Q23" s="1">
        <f>(Main_L[[#This Row],[ROE]]-VLOOKUP(Main_L[[#This Row],[Industry]], Mean_ROE_L, 2, FALSE))/(VLOOKUP(Main_L[[#This Row],[Industry]], Mean_ROE_L, 3, FALSE))</f>
        <v>-0.64448129775293694</v>
      </c>
      <c r="R23" s="1">
        <f>(Main_L[[#This Row],[ROA]]-VLOOKUP(Main_L[[#This Row],[Industry]], Mean_ROA_L, 2, FALSE))/(VLOOKUP(Main_L[[#This Row],[Industry]], Mean_ROA_L, 3, FALSE))</f>
        <v>-0.63555772898256457</v>
      </c>
      <c r="S23" s="1">
        <f>(Main_L[[#This Row],[A/E]]-VLOOKUP(Main_L[[#This Row],[Industry]], Mean_AE_L, 2, FALSE))/(VLOOKUP(Main_L[[#This Row],[Industry]], Mean_AE_L, 3, FALSE))</f>
        <v>-0.723817664299366</v>
      </c>
      <c r="T23" s="1">
        <f>(Main_L[[#This Row],[P/E]]-VLOOKUP(Main_L[[#This Row],[Industry]], Mean_PE_L, 2, FALSE))/(VLOOKUP(Main_L[[#This Row],[Industry]], Mean_PE_L, 3, FALSE))</f>
        <v>1.4142022866038009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112</v>
      </c>
      <c r="B24" t="s">
        <v>171</v>
      </c>
      <c r="C24" s="2">
        <v>10457</v>
      </c>
      <c r="D24">
        <f>RTD("tos.rtd", , "LAST", Main_L[[#This Row],[Symbol]])</f>
        <v>15.87</v>
      </c>
      <c r="E24">
        <v>0.94</v>
      </c>
      <c r="F24">
        <v>7.6</v>
      </c>
      <c r="G24">
        <v>0.8</v>
      </c>
      <c r="H24" s="1">
        <f>IF(ISNUMBER(Main_L[[#This Row],[Free CF]]),IF(Main_L[[#This Row],[Free CF]]&lt;&gt;0,Main_L[[#This Row],[Current Price]]/Main_L[[#This Row],[Free CF]],""),"")</f>
        <v>16.882978723404257</v>
      </c>
      <c r="I24" s="1">
        <f>IF(ISNUMBER(Main_L[[#This Row],[BVPS]]),IF(Main_L[[#This Row],[BVPS]]&lt;&gt;0,Main_L[[#This Row],[Current Price]]/Main_L[[#This Row],[BVPS]],""),"")</f>
        <v>2.0881578947368422</v>
      </c>
      <c r="J24">
        <v>10.82</v>
      </c>
      <c r="K24">
        <v>5.19</v>
      </c>
      <c r="L24">
        <v>1.71</v>
      </c>
      <c r="M24" s="1">
        <f>IF(ISNUMBER(Main_L[[#This Row],[EPS]]),IF(Main_L[[#This Row],[EPS]]&lt;&gt;0,Main_L[[#This Row],[Current Price]]/Main_L[[#This Row],[EPS]],""),"")</f>
        <v>19.837499999999999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4" s="1">
        <f>(Main_L[[#This Row],[P/FCF]]-VLOOKUP(Main_L[[#This Row],[Industry]], Mean_PFCF_L, 2, FALSE))/(VLOOKUP(Main_L[[#This Row],[Industry]], Mean_PFCF_L, 3, FALSE))</f>
        <v>-0.70778578832118655</v>
      </c>
      <c r="P24" s="1">
        <f>(Main_L[[#This Row],[P/B]]-VLOOKUP(Main_L[[#This Row],[Industry]], Mean_PB_L, 2, FALSE))/(VLOOKUP(Main_L[[#This Row],[Industry]], Mean_PB_L, 3, FALSE))</f>
        <v>-0.90411597309360181</v>
      </c>
      <c r="Q24" s="1">
        <f>(Main_L[[#This Row],[ROE]]-VLOOKUP(Main_L[[#This Row],[Industry]], Mean_ROE_L, 2, FALSE))/(VLOOKUP(Main_L[[#This Row],[Industry]], Mean_ROE_L, 3, FALSE))</f>
        <v>-0.76793497579829872</v>
      </c>
      <c r="R24" s="1">
        <f>(Main_L[[#This Row],[ROA]]-VLOOKUP(Main_L[[#This Row],[Industry]], Mean_ROA_L, 2, FALSE))/(VLOOKUP(Main_L[[#This Row],[Industry]], Mean_ROA_L, 3, FALSE))</f>
        <v>1.4118765657263674</v>
      </c>
      <c r="S24" s="1">
        <f>(Main_L[[#This Row],[A/E]]-VLOOKUP(Main_L[[#This Row],[Industry]], Mean_AE_L, 2, FALSE))/(VLOOKUP(Main_L[[#This Row],[Industry]], Mean_AE_L, 3, FALSE))</f>
        <v>-0.69026320304045508</v>
      </c>
      <c r="T24" s="1">
        <f>(Main_L[[#This Row],[P/E]]-VLOOKUP(Main_L[[#This Row],[Industry]], Mean_PE_L, 2, FALSE))/(VLOOKUP(Main_L[[#This Row],[Industry]], Mean_PE_L, 3, FALSE))</f>
        <v>-0.71199189206207503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112</v>
      </c>
      <c r="B25" t="s">
        <v>172</v>
      </c>
      <c r="C25" s="2">
        <v>10829</v>
      </c>
      <c r="D25">
        <f>RTD("tos.rtd", , "LAST", Main_L[[#This Row],[Symbol]])</f>
        <v>75.819999999999993</v>
      </c>
      <c r="E25">
        <v>4.4800000000000004</v>
      </c>
      <c r="F25">
        <v>11.52</v>
      </c>
      <c r="G25">
        <v>3.62</v>
      </c>
      <c r="H25" s="1">
        <f>IF(ISNUMBER(Main_L[[#This Row],[Free CF]]),IF(Main_L[[#This Row],[Free CF]]&lt;&gt;0,Main_L[[#This Row],[Current Price]]/Main_L[[#This Row],[Free CF]],""),"")</f>
        <v>16.924107142857139</v>
      </c>
      <c r="I25" s="1">
        <f>IF(ISNUMBER(Main_L[[#This Row],[BVPS]]),IF(Main_L[[#This Row],[BVPS]]&lt;&gt;0,Main_L[[#This Row],[Current Price]]/Main_L[[#This Row],[BVPS]],""),"")</f>
        <v>6.5815972222222214</v>
      </c>
      <c r="J25">
        <v>32.72</v>
      </c>
      <c r="K25">
        <v>3.48</v>
      </c>
      <c r="L25">
        <v>10.49</v>
      </c>
      <c r="M25" s="1">
        <f>IF(ISNUMBER(Main_L[[#This Row],[EPS]]),IF(Main_L[[#This Row],[EPS]]&lt;&gt;0,Main_L[[#This Row],[Current Price]]/Main_L[[#This Row],[EPS]],""),"")</f>
        <v>20.944751381215468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-0.70642755664091694</v>
      </c>
      <c r="P25" s="1">
        <f>(Main_L[[#This Row],[P/B]]-VLOOKUP(Main_L[[#This Row],[Industry]], Mean_PB_L, 2, FALSE))/(VLOOKUP(Main_L[[#This Row],[Industry]], Mean_PB_L, 3, FALSE))</f>
        <v>-0.48971201212471943</v>
      </c>
      <c r="Q25" s="1">
        <f>(Main_L[[#This Row],[ROE]]-VLOOKUP(Main_L[[#This Row],[Industry]], Mean_ROE_L, 2, FALSE))/(VLOOKUP(Main_L[[#This Row],[Industry]], Mean_ROE_L, 3, FALSE))</f>
        <v>1.4124162735512351</v>
      </c>
      <c r="R25" s="1">
        <f>(Main_L[[#This Row],[ROA]]-VLOOKUP(Main_L[[#This Row],[Industry]], Mean_ROA_L, 2, FALSE))/(VLOOKUP(Main_L[[#This Row],[Industry]], Mean_ROA_L, 3, FALSE))</f>
        <v>-0.77631883674380342</v>
      </c>
      <c r="S25" s="1">
        <f>(Main_L[[#This Row],[A/E]]-VLOOKUP(Main_L[[#This Row],[Industry]], Mean_AE_L, 2, FALSE))/(VLOOKUP(Main_L[[#This Row],[Industry]], Mean_AE_L, 3, FALSE))</f>
        <v>1.4140808673398213</v>
      </c>
      <c r="T25" s="1">
        <f>(Main_L[[#This Row],[P/E]]-VLOOKUP(Main_L[[#This Row],[Industry]], Mean_PE_L, 2, FALSE))/(VLOOKUP(Main_L[[#This Row],[Industry]], Mean_PE_L, 3, FALSE))</f>
        <v>-0.70221039454172562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111</v>
      </c>
      <c r="B26" t="s">
        <v>142</v>
      </c>
      <c r="C26" s="2">
        <v>17333</v>
      </c>
      <c r="D26">
        <f>RTD("tos.rtd", , "LAST", Main_L[[#This Row],[Symbol]])</f>
        <v>37.68</v>
      </c>
      <c r="E26">
        <v>0.62</v>
      </c>
      <c r="F26">
        <v>2.0699999999999998</v>
      </c>
      <c r="G26">
        <v>-1.05</v>
      </c>
      <c r="H26" s="1">
        <f>IF(ISNUMBER(Main_L[[#This Row],[Free CF]]),IF(Main_L[[#This Row],[Free CF]]&lt;&gt;0,Main_L[[#This Row],[Current Price]]/Main_L[[#This Row],[Free CF]],""),"")</f>
        <v>60.774193548387096</v>
      </c>
      <c r="I26" s="1">
        <f>IF(ISNUMBER(Main_L[[#This Row],[BVPS]]),IF(Main_L[[#This Row],[BVPS]]&lt;&gt;0,Main_L[[#This Row],[Current Price]]/Main_L[[#This Row],[BVPS]],""),"")</f>
        <v>18.20289855072464</v>
      </c>
      <c r="J26">
        <v>-54.81</v>
      </c>
      <c r="K26">
        <v>-8.85</v>
      </c>
      <c r="L26">
        <v>4.24</v>
      </c>
      <c r="M26" s="1">
        <f>IF(ISNUMBER(Main_L[[#This Row],[EPS]]),IF(Main_L[[#This Row],[EPS]]&lt;&gt;0,Main_L[[#This Row],[Current Price]]/Main_L[[#This Row],[EPS]],""),"")</f>
        <v>-35.885714285714286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2.6612409644598536</v>
      </c>
      <c r="P26" s="1">
        <f>(Main_L[[#This Row],[P/B]]-VLOOKUP(Main_L[[#This Row],[Industry]], Mean_PB_L, 2, FALSE))/(VLOOKUP(Main_L[[#This Row],[Industry]], Mean_PB_L, 3, FALSE))</f>
        <v>1.3542942459909115</v>
      </c>
      <c r="Q26" s="1">
        <f>(Main_L[[#This Row],[ROE]]-VLOOKUP(Main_L[[#This Row],[Industry]], Mean_ROE_L, 2, FALSE))/(VLOOKUP(Main_L[[#This Row],[Industry]], Mean_ROE_L, 3, FALSE))</f>
        <v>-2.5052910578155236</v>
      </c>
      <c r="R26" s="1">
        <f>(Main_L[[#This Row],[ROA]]-VLOOKUP(Main_L[[#This Row],[Industry]], Mean_ROA_L, 2, FALSE))/(VLOOKUP(Main_L[[#This Row],[Industry]], Mean_ROA_L, 3, FALSE))</f>
        <v>-3.7707299429224377</v>
      </c>
      <c r="S26" s="1">
        <f>(Main_L[[#This Row],[A/E]]-VLOOKUP(Main_L[[#This Row],[Industry]], Mean_AE_L, 2, FALSE))/(VLOOKUP(Main_L[[#This Row],[Industry]], Mean_AE_L, 3, FALSE))</f>
        <v>0.52891159626017847</v>
      </c>
      <c r="T26" s="1">
        <f>(Main_L[[#This Row],[P/E]]-VLOOKUP(Main_L[[#This Row],[Industry]], Mean_PE_L, 2, FALSE))/(VLOOKUP(Main_L[[#This Row],[Industry]], Mean_PE_L, 3, FALSE))</f>
        <v>-8.3636905815711184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7" spans="1:26" x14ac:dyDescent="0.25">
      <c r="A27" t="s">
        <v>111</v>
      </c>
      <c r="B27" t="s">
        <v>143</v>
      </c>
      <c r="C27" s="2">
        <v>42822</v>
      </c>
      <c r="D27">
        <f>RTD("tos.rtd", , "LAST", Main_L[[#This Row],[Symbol]])</f>
        <v>241.84</v>
      </c>
      <c r="E27">
        <v>5.29</v>
      </c>
      <c r="F27">
        <v>52.24</v>
      </c>
      <c r="G27">
        <v>0.24</v>
      </c>
      <c r="H27" s="1">
        <f>IF(ISNUMBER(Main_L[[#This Row],[Free CF]]),IF(Main_L[[#This Row],[Free CF]]&lt;&gt;0,Main_L[[#This Row],[Current Price]]/Main_L[[#This Row],[Free CF]],""),"")</f>
        <v>45.716446124763706</v>
      </c>
      <c r="I27" s="1">
        <f>IF(ISNUMBER(Main_L[[#This Row],[BVPS]]),IF(Main_L[[#This Row],[BVPS]]&lt;&gt;0,Main_L[[#This Row],[Current Price]]/Main_L[[#This Row],[BVPS]],""),"")</f>
        <v>4.6294027565084228</v>
      </c>
      <c r="J27">
        <v>1.43</v>
      </c>
      <c r="K27">
        <v>2.21</v>
      </c>
      <c r="L27">
        <v>2.64</v>
      </c>
      <c r="M27" s="1">
        <f>IF(ISNUMBER(Main_L[[#This Row],[EPS]]),IF(Main_L[[#This Row],[EPS]]&lt;&gt;0,Main_L[[#This Row],[Current Price]]/Main_L[[#This Row],[EPS]],""),"")</f>
        <v>1007.6666666666667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1.4318160019952202</v>
      </c>
      <c r="P27" s="1">
        <f>(Main_L[[#This Row],[P/B]]-VLOOKUP(Main_L[[#This Row],[Industry]], Mean_PB_L, 2, FALSE))/(VLOOKUP(Main_L[[#This Row],[Industry]], Mean_PB_L, 3, FALSE))</f>
        <v>-2.0100654531041769E-2</v>
      </c>
      <c r="Q27" s="1">
        <f>(Main_L[[#This Row],[ROE]]-VLOOKUP(Main_L[[#This Row],[Industry]], Mean_ROE_L, 2, FALSE))/(VLOOKUP(Main_L[[#This Row],[Industry]], Mean_ROE_L, 3, FALSE))</f>
        <v>-0.45713502471382861</v>
      </c>
      <c r="R27" s="1">
        <f>(Main_L[[#This Row],[ROA]]-VLOOKUP(Main_L[[#This Row],[Industry]], Mean_ROA_L, 2, FALSE))/(VLOOKUP(Main_L[[#This Row],[Industry]], Mean_ROA_L, 3, FALSE))</f>
        <v>-1.1370198127836193</v>
      </c>
      <c r="S27" s="1">
        <f>(Main_L[[#This Row],[A/E]]-VLOOKUP(Main_L[[#This Row],[Industry]], Mean_AE_L, 2, FALSE))/(VLOOKUP(Main_L[[#This Row],[Industry]], Mean_AE_L, 3, FALSE))</f>
        <v>2.393384150157939E-2</v>
      </c>
      <c r="T27" s="1">
        <f>(Main_L[[#This Row],[P/E]]-VLOOKUP(Main_L[[#This Row],[Industry]], Mean_PE_L, 2, FALSE))/(VLOOKUP(Main_L[[#This Row],[Industry]], Mean_PE_L, 3, FALSE))</f>
        <v>132.47568082848557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8" spans="1:26" x14ac:dyDescent="0.25">
      <c r="A28" t="s">
        <v>111</v>
      </c>
      <c r="B28" t="s">
        <v>144</v>
      </c>
      <c r="C28" s="2">
        <v>27968</v>
      </c>
      <c r="D28">
        <f>RTD("tos.rtd", , "LAST", Main_L[[#This Row],[Symbol]])</f>
        <v>42.32</v>
      </c>
      <c r="E28">
        <v>1.63</v>
      </c>
      <c r="F28">
        <v>3.82</v>
      </c>
      <c r="G28">
        <v>1.78</v>
      </c>
      <c r="H28" s="1">
        <f>IF(ISNUMBER(Main_L[[#This Row],[Free CF]]),IF(Main_L[[#This Row],[Free CF]]&lt;&gt;0,Main_L[[#This Row],[Current Price]]/Main_L[[#This Row],[Free CF]],""),"")</f>
        <v>25.963190184049083</v>
      </c>
      <c r="I28" s="1">
        <f>IF(ISNUMBER(Main_L[[#This Row],[BVPS]]),IF(Main_L[[#This Row],[BVPS]]&lt;&gt;0,Main_L[[#This Row],[Current Price]]/Main_L[[#This Row],[BVPS]],""),"")</f>
        <v>11.078534031413612</v>
      </c>
      <c r="J28">
        <v>44.69</v>
      </c>
      <c r="K28">
        <v>6.87</v>
      </c>
      <c r="L28">
        <v>7.87</v>
      </c>
      <c r="M28" s="1">
        <f>IF(ISNUMBER(Main_L[[#This Row],[EPS]]),IF(Main_L[[#This Row],[EPS]]&lt;&gt;0,Main_L[[#This Row],[Current Price]]/Main_L[[#This Row],[EPS]],""),"")</f>
        <v>23.775280898876403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-0.18098472179481698</v>
      </c>
      <c r="P28" s="1">
        <f>(Main_L[[#This Row],[P/B]]-VLOOKUP(Main_L[[#This Row],[Industry]], Mean_PB_L, 2, FALSE))/(VLOOKUP(Main_L[[#This Row],[Industry]], Mean_PB_L, 3, FALSE))</f>
        <v>0.63291116139357906</v>
      </c>
      <c r="Q28" s="1">
        <f>(Main_L[[#This Row],[ROE]]-VLOOKUP(Main_L[[#This Row],[Industry]], Mean_ROE_L, 2, FALSE))/(VLOOKUP(Main_L[[#This Row],[Industry]], Mean_ROE_L, 3, FALSE))</f>
        <v>1.1183135882303272</v>
      </c>
      <c r="R28" s="1">
        <f>(Main_L[[#This Row],[ROA]]-VLOOKUP(Main_L[[#This Row],[Industry]], Mean_ROA_L, 2, FALSE))/(VLOOKUP(Main_L[[#This Row],[Industry]], Mean_ROA_L, 3, FALSE))</f>
        <v>-2.7337244388782413E-2</v>
      </c>
      <c r="S28" s="1">
        <f>(Main_L[[#This Row],[A/E]]-VLOOKUP(Main_L[[#This Row],[Industry]], Mean_AE_L, 2, FALSE))/(VLOOKUP(Main_L[[#This Row],[Industry]], Mean_AE_L, 3, FALSE))</f>
        <v>1.6745798773687499</v>
      </c>
      <c r="T28" s="1">
        <f>(Main_L[[#This Row],[P/E]]-VLOOKUP(Main_L[[#This Row],[Industry]], Mean_PE_L, 2, FALSE))/(VLOOKUP(Main_L[[#This Row],[Industry]], Mean_PE_L, 3, FALSE))</f>
        <v>-0.31175450929877135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111</v>
      </c>
      <c r="B29" t="s">
        <v>145</v>
      </c>
      <c r="C29" s="2">
        <v>75991</v>
      </c>
      <c r="D29">
        <f>RTD("tos.rtd", , "LAST", Main_L[[#This Row],[Symbol]])</f>
        <v>138.05000000000001</v>
      </c>
      <c r="E29">
        <v>6.98</v>
      </c>
      <c r="F29">
        <v>12.82</v>
      </c>
      <c r="G29">
        <v>3.97</v>
      </c>
      <c r="H29" s="1">
        <f>IF(ISNUMBER(Main_L[[#This Row],[Free CF]]),IF(Main_L[[#This Row],[Free CF]]&lt;&gt;0,Main_L[[#This Row],[Current Price]]/Main_L[[#This Row],[Free CF]],""),"")</f>
        <v>19.777936962750715</v>
      </c>
      <c r="I29" s="1">
        <f>IF(ISNUMBER(Main_L[[#This Row],[BVPS]]),IF(Main_L[[#This Row],[BVPS]]&lt;&gt;0,Main_L[[#This Row],[Current Price]]/Main_L[[#This Row],[BVPS]],""),"")</f>
        <v>10.76833073322933</v>
      </c>
      <c r="J29">
        <v>32.06</v>
      </c>
      <c r="K29">
        <v>6.28</v>
      </c>
      <c r="L29">
        <v>3.16</v>
      </c>
      <c r="M29" s="1">
        <f>IF(ISNUMBER(Main_L[[#This Row],[EPS]]),IF(Main_L[[#This Row],[EPS]]&lt;&gt;0,Main_L[[#This Row],[Current Price]]/Main_L[[#This Row],[EPS]],""),"")</f>
        <v>34.77329974811083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-0.68599416945622227</v>
      </c>
      <c r="P29" s="1">
        <f>(Main_L[[#This Row],[P/B]]-VLOOKUP(Main_L[[#This Row],[Industry]], Mean_PB_L, 2, FALSE))/(VLOOKUP(Main_L[[#This Row],[Industry]], Mean_PB_L, 3, FALSE))</f>
        <v>0.60150128455615925</v>
      </c>
      <c r="Q29" s="1">
        <f>(Main_L[[#This Row],[ROE]]-VLOOKUP(Main_L[[#This Row],[Industry]], Mean_ROE_L, 2, FALSE))/(VLOOKUP(Main_L[[#This Row],[Industry]], Mean_ROE_L, 3, FALSE))</f>
        <v>0.65835251607395451</v>
      </c>
      <c r="R29" s="1">
        <f>(Main_L[[#This Row],[ROA]]-VLOOKUP(Main_L[[#This Row],[Industry]], Mean_ROA_L, 2, FALSE))/(VLOOKUP(Main_L[[#This Row],[Industry]], Mean_ROA_L, 3, FALSE))</f>
        <v>-0.16783353523705571</v>
      </c>
      <c r="S29" s="1">
        <f>(Main_L[[#This Row],[A/E]]-VLOOKUP(Main_L[[#This Row],[Industry]], Mean_AE_L, 2, FALSE))/(VLOOKUP(Main_L[[#This Row],[Industry]], Mean_AE_L, 3, FALSE))</f>
        <v>0.18805161179812407</v>
      </c>
      <c r="T29" s="1">
        <f>(Main_L[[#This Row],[P/E]]-VLOOKUP(Main_L[[#This Row],[Industry]], Mean_PE_L, 2, FALSE))/(VLOOKUP(Main_L[[#This Row],[Industry]], Mean_PE_L, 3, FALSE))</f>
        <v>1.1725543665705012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111</v>
      </c>
      <c r="B30" t="s">
        <v>146</v>
      </c>
      <c r="C30" s="2">
        <v>169087</v>
      </c>
      <c r="D30">
        <f>RTD("tos.rtd", , "LAST", Main_L[[#This Row],[Symbol]])</f>
        <v>5262.42</v>
      </c>
      <c r="E30">
        <v>254.85</v>
      </c>
      <c r="F30">
        <v>-186.92</v>
      </c>
      <c r="G30">
        <v>161.59</v>
      </c>
      <c r="H30" s="1">
        <f>IF(ISNUMBER(Main_L[[#This Row],[Free CF]]),IF(Main_L[[#This Row],[Free CF]]&lt;&gt;0,Main_L[[#This Row],[Current Price]]/Main_L[[#This Row],[Free CF]],""),"")</f>
        <v>20.649087698646262</v>
      </c>
      <c r="I30" s="1">
        <f>IF(ISNUMBER(Main_L[[#This Row],[BVPS]]),IF(Main_L[[#This Row],[BVPS]]&lt;&gt;0,Main_L[[#This Row],[Current Price]]/Main_L[[#This Row],[BVPS]],""),"")</f>
        <v>-28.153327626792212</v>
      </c>
      <c r="J30">
        <v>-107.02</v>
      </c>
      <c r="K30">
        <v>17.96</v>
      </c>
      <c r="L30">
        <v>-4.45</v>
      </c>
      <c r="M30" s="1">
        <f>IF(ISNUMBER(Main_L[[#This Row],[EPS]]),IF(Main_L[[#This Row],[EPS]]&lt;&gt;0,Main_L[[#This Row],[Current Price]]/Main_L[[#This Row],[EPS]],""),"")</f>
        <v>32.566495451451203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-0.61486703266422404</v>
      </c>
      <c r="P30" s="1">
        <f>(Main_L[[#This Row],[P/B]]-VLOOKUP(Main_L[[#This Row],[Industry]], Mean_PB_L, 2, FALSE))/(VLOOKUP(Main_L[[#This Row],[Industry]], Mean_PB_L, 3, FALSE))</f>
        <v>-3.3395415816939185</v>
      </c>
      <c r="Q30" s="1">
        <f>(Main_L[[#This Row],[ROE]]-VLOOKUP(Main_L[[#This Row],[Industry]], Mean_ROE_L, 2, FALSE))/(VLOOKUP(Main_L[[#This Row],[Industry]], Mean_ROE_L, 3, FALSE))</f>
        <v>-4.4066819982180752</v>
      </c>
      <c r="R30" s="1">
        <f>(Main_L[[#This Row],[ROA]]-VLOOKUP(Main_L[[#This Row],[Industry]], Mean_ROA_L, 2, FALSE))/(VLOOKUP(Main_L[[#This Row],[Industry]], Mean_ROA_L, 3, FALSE))</f>
        <v>2.6135167649457109</v>
      </c>
      <c r="S30" s="1">
        <f>(Main_L[[#This Row],[A/E]]-VLOOKUP(Main_L[[#This Row],[Industry]], Mean_AE_L, 2, FALSE))/(VLOOKUP(Main_L[[#This Row],[Industry]], Mean_AE_L, 3, FALSE))</f>
        <v>-2.2137488342724625</v>
      </c>
      <c r="T30" s="1">
        <f>(Main_L[[#This Row],[P/E]]-VLOOKUP(Main_L[[#This Row],[Industry]], Mean_PE_L, 2, FALSE))/(VLOOKUP(Main_L[[#This Row],[Industry]], Mean_PE_L, 3, FALSE))</f>
        <v>0.87472079765764699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111</v>
      </c>
      <c r="B31" t="s">
        <v>147</v>
      </c>
      <c r="C31" s="2">
        <v>26677</v>
      </c>
      <c r="D31">
        <f>RTD("tos.rtd", , "LAST", Main_L[[#This Row],[Symbol]])</f>
        <v>22.74</v>
      </c>
      <c r="E31">
        <v>1.54</v>
      </c>
      <c r="F31">
        <v>7</v>
      </c>
      <c r="G31">
        <v>1.52</v>
      </c>
      <c r="H31" s="1">
        <f>IF(ISNUMBER(Main_L[[#This Row],[Free CF]]),IF(Main_L[[#This Row],[Free CF]]&lt;&gt;0,Main_L[[#This Row],[Current Price]]/Main_L[[#This Row],[Free CF]],""),"")</f>
        <v>14.766233766233764</v>
      </c>
      <c r="I31" s="1">
        <f>IF(ISNUMBER(Main_L[[#This Row],[BVPS]]),IF(Main_L[[#This Row],[BVPS]]&lt;&gt;0,Main_L[[#This Row],[Current Price]]/Main_L[[#This Row],[BVPS]],""),"")</f>
        <v>3.2485714285714282</v>
      </c>
      <c r="J31">
        <v>25.87</v>
      </c>
      <c r="K31">
        <v>4.8099999999999996</v>
      </c>
      <c r="L31">
        <v>5.29</v>
      </c>
      <c r="M31" s="1">
        <f>IF(ISNUMBER(Main_L[[#This Row],[EPS]]),IF(Main_L[[#This Row],[EPS]]&lt;&gt;0,Main_L[[#This Row],[Current Price]]/Main_L[[#This Row],[EPS]],""),"")</f>
        <v>14.960526315789473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-1.0951863839965743</v>
      </c>
      <c r="P31" s="1">
        <f>(Main_L[[#This Row],[P/B]]-VLOOKUP(Main_L[[#This Row],[Industry]], Mean_PB_L, 2, FALSE))/(VLOOKUP(Main_L[[#This Row],[Industry]], Mean_PB_L, 3, FALSE))</f>
        <v>-0.15991780733895986</v>
      </c>
      <c r="Q31" s="1">
        <f>(Main_L[[#This Row],[ROE]]-VLOOKUP(Main_L[[#This Row],[Industry]], Mean_ROE_L, 2, FALSE))/(VLOOKUP(Main_L[[#This Row],[Industry]], Mean_ROE_L, 3, FALSE))</f>
        <v>0.43292424713904171</v>
      </c>
      <c r="R31" s="1">
        <f>(Main_L[[#This Row],[ROA]]-VLOOKUP(Main_L[[#This Row],[Industry]], Mean_ROA_L, 2, FALSE))/(VLOOKUP(Main_L[[#This Row],[Industry]], Mean_ROA_L, 3, FALSE))</f>
        <v>-0.51788361582512665</v>
      </c>
      <c r="S31" s="1">
        <f>(Main_L[[#This Row],[A/E]]-VLOOKUP(Main_L[[#This Row],[Industry]], Mean_AE_L, 2, FALSE))/(VLOOKUP(Main_L[[#This Row],[Industry]], Mean_AE_L, 3, FALSE))</f>
        <v>0.86030324782050893</v>
      </c>
      <c r="T31" s="1">
        <f>(Main_L[[#This Row],[P/E]]-VLOOKUP(Main_L[[#This Row],[Industry]], Mean_PE_L, 2, FALSE))/(VLOOKUP(Main_L[[#This Row],[Industry]], Mean_PE_L, 3, FALSE))</f>
        <v>-1.5014068135586469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111</v>
      </c>
      <c r="B32" t="s">
        <v>148</v>
      </c>
      <c r="C32" s="2">
        <v>23552</v>
      </c>
      <c r="D32">
        <f>RTD("tos.rtd", , "LAST", Main_L[[#This Row],[Symbol]])</f>
        <v>20.58</v>
      </c>
      <c r="E32">
        <v>1.54</v>
      </c>
      <c r="F32">
        <v>7</v>
      </c>
      <c r="G32">
        <v>1.52</v>
      </c>
      <c r="H32" s="1">
        <f>IF(ISNUMBER(Main_L[[#This Row],[Free CF]]),IF(Main_L[[#This Row],[Free CF]]&lt;&gt;0,Main_L[[#This Row],[Current Price]]/Main_L[[#This Row],[Free CF]],""),"")</f>
        <v>13.363636363636362</v>
      </c>
      <c r="I32" s="1">
        <f>IF(ISNUMBER(Main_L[[#This Row],[BVPS]]),IF(Main_L[[#This Row],[BVPS]]&lt;&gt;0,Main_L[[#This Row],[Current Price]]/Main_L[[#This Row],[BVPS]],""),"")</f>
        <v>2.94</v>
      </c>
      <c r="J32">
        <v>25.87</v>
      </c>
      <c r="K32">
        <v>4.8099999999999996</v>
      </c>
      <c r="L32">
        <v>5.29</v>
      </c>
      <c r="M32" s="1">
        <f>IF(ISNUMBER(Main_L[[#This Row],[EPS]]),IF(Main_L[[#This Row],[EPS]]&lt;&gt;0,Main_L[[#This Row],[Current Price]]/Main_L[[#This Row],[EPS]],""),"")</f>
        <v>13.539473684210526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-1.2097047253213857</v>
      </c>
      <c r="P32" s="1">
        <f>(Main_L[[#This Row],[P/B]]-VLOOKUP(Main_L[[#This Row],[Industry]], Mean_PB_L, 2, FALSE))/(VLOOKUP(Main_L[[#This Row],[Industry]], Mean_PB_L, 3, FALSE))</f>
        <v>-0.19116244794628648</v>
      </c>
      <c r="Q32" s="1">
        <f>(Main_L[[#This Row],[ROE]]-VLOOKUP(Main_L[[#This Row],[Industry]], Mean_ROE_L, 2, FALSE))/(VLOOKUP(Main_L[[#This Row],[Industry]], Mean_ROE_L, 3, FALSE))</f>
        <v>0.43292424713904171</v>
      </c>
      <c r="R32" s="1">
        <f>(Main_L[[#This Row],[ROA]]-VLOOKUP(Main_L[[#This Row],[Industry]], Mean_ROA_L, 2, FALSE))/(VLOOKUP(Main_L[[#This Row],[Industry]], Mean_ROA_L, 3, FALSE))</f>
        <v>-0.51788361582512665</v>
      </c>
      <c r="S32" s="1">
        <f>(Main_L[[#This Row],[A/E]]-VLOOKUP(Main_L[[#This Row],[Industry]], Mean_AE_L, 2, FALSE))/(VLOOKUP(Main_L[[#This Row],[Industry]], Mean_AE_L, 3, FALSE))</f>
        <v>0.86030324782050893</v>
      </c>
      <c r="T32" s="1">
        <f>(Main_L[[#This Row],[P/E]]-VLOOKUP(Main_L[[#This Row],[Industry]], Mean_PE_L, 2, FALSE))/(VLOOKUP(Main_L[[#This Row],[Industry]], Mean_PE_L, 3, FALSE))</f>
        <v>-1.6931941766323921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111</v>
      </c>
      <c r="B33" t="s">
        <v>149</v>
      </c>
      <c r="C33" s="2">
        <v>21247</v>
      </c>
      <c r="D33">
        <f>RTD("tos.rtd", , "LAST", Main_L[[#This Row],[Symbol]])</f>
        <v>169.37</v>
      </c>
      <c r="E33">
        <v>17.72</v>
      </c>
      <c r="F33">
        <v>12.09</v>
      </c>
      <c r="G33">
        <v>8.9499999999999993</v>
      </c>
      <c r="H33" s="1">
        <f>IF(ISNUMBER(Main_L[[#This Row],[Free CF]]),IF(Main_L[[#This Row],[Free CF]]&lt;&gt;0,Main_L[[#This Row],[Current Price]]/Main_L[[#This Row],[Free CF]],""),"")</f>
        <v>9.5581264108352162</v>
      </c>
      <c r="I33" s="1">
        <f>IF(ISNUMBER(Main_L[[#This Row],[BVPS]]),IF(Main_L[[#This Row],[BVPS]]&lt;&gt;0,Main_L[[#This Row],[Current Price]]/Main_L[[#This Row],[BVPS]],""),"")</f>
        <v>14.009098428453267</v>
      </c>
      <c r="J33">
        <v>43.83</v>
      </c>
      <c r="K33">
        <v>4.72</v>
      </c>
      <c r="L33">
        <v>14.38</v>
      </c>
      <c r="M33" s="1">
        <f>IF(ISNUMBER(Main_L[[#This Row],[EPS]]),IF(Main_L[[#This Row],[EPS]]&lt;&gt;0,Main_L[[#This Row],[Current Price]]/Main_L[[#This Row],[EPS]],""),"")</f>
        <v>18.924022346368716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-1.520414474878037</v>
      </c>
      <c r="P33" s="1">
        <f>(Main_L[[#This Row],[P/B]]-VLOOKUP(Main_L[[#This Row],[Industry]], Mean_PB_L, 2, FALSE))/(VLOOKUP(Main_L[[#This Row],[Industry]], Mean_PB_L, 3, FALSE))</f>
        <v>0.92964774451159615</v>
      </c>
      <c r="Q33" s="1">
        <f>(Main_L[[#This Row],[ROE]]-VLOOKUP(Main_L[[#This Row],[Industry]], Mean_ROE_L, 2, FALSE))/(VLOOKUP(Main_L[[#This Row],[Industry]], Mean_ROE_L, 3, FALSE))</f>
        <v>1.0869939902846042</v>
      </c>
      <c r="R33" s="1">
        <f>(Main_L[[#This Row],[ROA]]-VLOOKUP(Main_L[[#This Row],[Industry]], Mean_ROA_L, 2, FALSE))/(VLOOKUP(Main_L[[#This Row],[Industry]], Mean_ROA_L, 3, FALSE))</f>
        <v>-0.53931525341215136</v>
      </c>
      <c r="S33" s="1">
        <f>(Main_L[[#This Row],[A/E]]-VLOOKUP(Main_L[[#This Row],[Industry]], Mean_AE_L, 2, FALSE))/(VLOOKUP(Main_L[[#This Row],[Industry]], Mean_AE_L, 3, FALSE))</f>
        <v>3.7292081170427998</v>
      </c>
      <c r="T33" s="1">
        <f>(Main_L[[#This Row],[P/E]]-VLOOKUP(Main_L[[#This Row],[Industry]], Mean_PE_L, 2, FALSE))/(VLOOKUP(Main_L[[#This Row],[Industry]], Mean_PE_L, 3, FALSE))</f>
        <v>-0.96648753234001894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111</v>
      </c>
      <c r="B34" t="s">
        <v>150</v>
      </c>
      <c r="C34" s="2">
        <v>11822</v>
      </c>
      <c r="D34">
        <f>RTD("tos.rtd", , "LAST", Main_L[[#This Row],[Symbol]])</f>
        <v>136.5</v>
      </c>
      <c r="E34">
        <v>3.85</v>
      </c>
      <c r="F34">
        <v>36.270000000000003</v>
      </c>
      <c r="G34">
        <v>7.89</v>
      </c>
      <c r="H34" s="1">
        <f>IF(ISNUMBER(Main_L[[#This Row],[Free CF]]),IF(Main_L[[#This Row],[Free CF]]&lt;&gt;0,Main_L[[#This Row],[Current Price]]/Main_L[[#This Row],[Free CF]],""),"")</f>
        <v>35.454545454545453</v>
      </c>
      <c r="I34" s="1">
        <f>IF(ISNUMBER(Main_L[[#This Row],[BVPS]]),IF(Main_L[[#This Row],[BVPS]]&lt;&gt;0,Main_L[[#This Row],[Current Price]]/Main_L[[#This Row],[BVPS]],""),"")</f>
        <v>3.7634408602150535</v>
      </c>
      <c r="J34">
        <v>21.5</v>
      </c>
      <c r="K34">
        <v>2.4</v>
      </c>
      <c r="L34">
        <v>4.05</v>
      </c>
      <c r="M34" s="1">
        <f>IF(ISNUMBER(Main_L[[#This Row],[EPS]]),IF(Main_L[[#This Row],[EPS]]&lt;&gt;0,Main_L[[#This Row],[Current Price]]/Main_L[[#This Row],[EPS]],""),"")</f>
        <v>17.300380228136884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0.59395915054439474</v>
      </c>
      <c r="P34" s="1">
        <f>(Main_L[[#This Row],[P/B]]-VLOOKUP(Main_L[[#This Row],[Industry]], Mean_PB_L, 2, FALSE))/(VLOOKUP(Main_L[[#This Row],[Industry]], Mean_PB_L, 3, FALSE))</f>
        <v>-0.10778430157052224</v>
      </c>
      <c r="Q34" s="1">
        <f>(Main_L[[#This Row],[ROE]]-VLOOKUP(Main_L[[#This Row],[Industry]], Mean_ROE_L, 2, FALSE))/(VLOOKUP(Main_L[[#This Row],[Industry]], Mean_ROE_L, 3, FALSE))</f>
        <v>0.27377698781019377</v>
      </c>
      <c r="R34" s="1">
        <f>(Main_L[[#This Row],[ROA]]-VLOOKUP(Main_L[[#This Row],[Industry]], Mean_ROA_L, 2, FALSE))/(VLOOKUP(Main_L[[#This Row],[Industry]], Mean_ROA_L, 3, FALSE))</f>
        <v>-1.0917752445443449</v>
      </c>
      <c r="S34" s="1">
        <f>(Main_L[[#This Row],[A/E]]-VLOOKUP(Main_L[[#This Row],[Industry]], Mean_AE_L, 2, FALSE))/(VLOOKUP(Main_L[[#This Row],[Industry]], Mean_AE_L, 3, FALSE))</f>
        <v>0.46894548788259466</v>
      </c>
      <c r="T34" s="1">
        <f>(Main_L[[#This Row],[P/E]]-VLOOKUP(Main_L[[#This Row],[Industry]], Mean_PE_L, 2, FALSE))/(VLOOKUP(Main_L[[#This Row],[Industry]], Mean_PE_L, 3, FALSE))</f>
        <v>-1.1856166719026824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111</v>
      </c>
      <c r="B35" t="s">
        <v>151</v>
      </c>
      <c r="C35" s="2">
        <v>10918</v>
      </c>
      <c r="D35">
        <f>RTD("tos.rtd", , "LAST", Main_L[[#This Row],[Symbol]])</f>
        <v>37.92</v>
      </c>
      <c r="E35">
        <v>2.91</v>
      </c>
      <c r="F35">
        <v>5.41</v>
      </c>
      <c r="G35">
        <v>1.32</v>
      </c>
      <c r="H35" s="1">
        <f>IF(ISNUMBER(Main_L[[#This Row],[Free CF]]),IF(Main_L[[#This Row],[Free CF]]&lt;&gt;0,Main_L[[#This Row],[Current Price]]/Main_L[[#This Row],[Free CF]],""),"")</f>
        <v>13.030927835051546</v>
      </c>
      <c r="I35" s="1">
        <f>IF(ISNUMBER(Main_L[[#This Row],[BVPS]]),IF(Main_L[[#This Row],[BVPS]]&lt;&gt;0,Main_L[[#This Row],[Current Price]]/Main_L[[#This Row],[BVPS]],""),"")</f>
        <v>7.0092421441774491</v>
      </c>
      <c r="J35">
        <v>25.3</v>
      </c>
      <c r="K35">
        <v>5.16</v>
      </c>
      <c r="L35">
        <v>5.14</v>
      </c>
      <c r="M35" s="1">
        <f>IF(ISNUMBER(Main_L[[#This Row],[EPS]]),IF(Main_L[[#This Row],[EPS]]&lt;&gt;0,Main_L[[#This Row],[Current Price]]/Main_L[[#This Row],[EPS]],""),"")</f>
        <v>28.727272727272727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-1.2368694903263642</v>
      </c>
      <c r="P35" s="1">
        <f>(Main_L[[#This Row],[P/B]]-VLOOKUP(Main_L[[#This Row],[Industry]], Mean_PB_L, 2, FALSE))/(VLOOKUP(Main_L[[#This Row],[Industry]], Mean_PB_L, 3, FALSE))</f>
        <v>0.22087183833754778</v>
      </c>
      <c r="Q35" s="1">
        <f>(Main_L[[#This Row],[ROE]]-VLOOKUP(Main_L[[#This Row],[Industry]], Mean_ROE_L, 2, FALSE))/(VLOOKUP(Main_L[[#This Row],[Industry]], Mean_ROE_L, 3, FALSE))</f>
        <v>0.41216590896571376</v>
      </c>
      <c r="R35" s="1">
        <f>(Main_L[[#This Row],[ROA]]-VLOOKUP(Main_L[[#This Row],[Industry]], Mean_ROA_L, 2, FALSE))/(VLOOKUP(Main_L[[#This Row],[Industry]], Mean_ROA_L, 3, FALSE))</f>
        <v>-0.43453835854225253</v>
      </c>
      <c r="S35" s="1">
        <f>(Main_L[[#This Row],[A/E]]-VLOOKUP(Main_L[[#This Row],[Industry]], Mean_AE_L, 2, FALSE))/(VLOOKUP(Main_L[[#This Row],[Industry]], Mean_AE_L, 3, FALSE))</f>
        <v>0.81296158331189017</v>
      </c>
      <c r="T35" s="1">
        <f>(Main_L[[#This Row],[P/E]]-VLOOKUP(Main_L[[#This Row],[Industry]], Mean_PE_L, 2, FALSE))/(VLOOKUP(Main_L[[#This Row],[Industry]], Mean_PE_L, 3, FALSE))</f>
        <v>0.35657362551183813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111</v>
      </c>
      <c r="B36" t="s">
        <v>152</v>
      </c>
      <c r="C36" s="2">
        <v>17809</v>
      </c>
      <c r="D36">
        <f>RTD("tos.rtd", , "LAST", Main_L[[#This Row],[Symbol]])</f>
        <v>123.75</v>
      </c>
      <c r="E36">
        <v>4.01</v>
      </c>
      <c r="F36">
        <v>-14.67</v>
      </c>
      <c r="G36">
        <v>3.85</v>
      </c>
      <c r="H36" s="1">
        <f>IF(ISNUMBER(Main_L[[#This Row],[Free CF]]),IF(Main_L[[#This Row],[Free CF]]&lt;&gt;0,Main_L[[#This Row],[Current Price]]/Main_L[[#This Row],[Free CF]],""),"")</f>
        <v>30.860349127182047</v>
      </c>
      <c r="I36" s="1">
        <f>IF(ISNUMBER(Main_L[[#This Row],[BVPS]]),IF(Main_L[[#This Row],[BVPS]]&lt;&gt;0,Main_L[[#This Row],[Current Price]]/Main_L[[#This Row],[BVPS]],""),"")</f>
        <v>-8.4355828220858893</v>
      </c>
      <c r="J36">
        <v>-29.52</v>
      </c>
      <c r="K36">
        <v>13.61</v>
      </c>
      <c r="L36">
        <v>-2.0499999999999998</v>
      </c>
      <c r="M36" s="1">
        <f>IF(ISNUMBER(Main_L[[#This Row],[EPS]]),IF(Main_L[[#This Row],[EPS]]&lt;&gt;0,Main_L[[#This Row],[Current Price]]/Main_L[[#This Row],[EPS]],""),"")</f>
        <v>32.142857142857139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0.218855259608976</v>
      </c>
      <c r="P36" s="1">
        <f>(Main_L[[#This Row],[P/B]]-VLOOKUP(Main_L[[#This Row],[Industry]], Mean_PB_L, 2, FALSE))/(VLOOKUP(Main_L[[#This Row],[Industry]], Mean_PB_L, 3, FALSE))</f>
        <v>-1.3430059566614099</v>
      </c>
      <c r="Q36" s="1">
        <f>(Main_L[[#This Row],[ROE]]-VLOOKUP(Main_L[[#This Row],[Industry]], Mean_ROE_L, 2, FALSE))/(VLOOKUP(Main_L[[#This Row],[Industry]], Mean_ROE_L, 3, FALSE))</f>
        <v>-1.5842763693883921</v>
      </c>
      <c r="R36" s="1">
        <f>(Main_L[[#This Row],[ROA]]-VLOOKUP(Main_L[[#This Row],[Industry]], Mean_ROA_L, 2, FALSE))/(VLOOKUP(Main_L[[#This Row],[Industry]], Mean_ROA_L, 3, FALSE))</f>
        <v>1.5776542815728483</v>
      </c>
      <c r="S36" s="1">
        <f>(Main_L[[#This Row],[A/E]]-VLOOKUP(Main_L[[#This Row],[Industry]], Mean_AE_L, 2, FALSE))/(VLOOKUP(Main_L[[#This Row],[Industry]], Mean_AE_L, 3, FALSE))</f>
        <v>-1.4562822021345638</v>
      </c>
      <c r="T36" s="1">
        <f>(Main_L[[#This Row],[P/E]]-VLOOKUP(Main_L[[#This Row],[Industry]], Mean_PE_L, 2, FALSE))/(VLOOKUP(Main_L[[#This Row],[Industry]], Mean_PE_L, 3, FALSE))</f>
        <v>0.81754594551159998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111</v>
      </c>
      <c r="B37" t="s">
        <v>153</v>
      </c>
      <c r="C37" s="2">
        <v>70493</v>
      </c>
      <c r="D37">
        <f>RTD("tos.rtd", , "LAST", Main_L[[#This Row],[Symbol]])</f>
        <v>274.14</v>
      </c>
      <c r="E37">
        <v>6.94</v>
      </c>
      <c r="F37">
        <v>-10.81</v>
      </c>
      <c r="G37">
        <v>8.33</v>
      </c>
      <c r="H37" s="1">
        <f>IF(ISNUMBER(Main_L[[#This Row],[Free CF]]),IF(Main_L[[#This Row],[Free CF]]&lt;&gt;0,Main_L[[#This Row],[Current Price]]/Main_L[[#This Row],[Free CF]],""),"")</f>
        <v>39.501440922190199</v>
      </c>
      <c r="I37" s="1">
        <f>IF(ISNUMBER(Main_L[[#This Row],[BVPS]]),IF(Main_L[[#This Row],[BVPS]]&lt;&gt;0,Main_L[[#This Row],[Current Price]]/Main_L[[#This Row],[BVPS]],""),"")</f>
        <v>-25.359851988899166</v>
      </c>
      <c r="J37">
        <v>-129.29</v>
      </c>
      <c r="K37">
        <v>9.34</v>
      </c>
      <c r="L37">
        <v>-8.75</v>
      </c>
      <c r="M37" s="1">
        <f>IF(ISNUMBER(Main_L[[#This Row],[EPS]]),IF(Main_L[[#This Row],[EPS]]&lt;&gt;0,Main_L[[#This Row],[Current Price]]/Main_L[[#This Row],[EPS]],""),"")</f>
        <v>32.909963985594239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0.9243773843236277</v>
      </c>
      <c r="P37" s="1">
        <f>(Main_L[[#This Row],[P/B]]-VLOOKUP(Main_L[[#This Row],[Industry]], Mean_PB_L, 2, FALSE))/(VLOOKUP(Main_L[[#This Row],[Industry]], Mean_PB_L, 3, FALSE))</f>
        <v>-3.0566860277776984</v>
      </c>
      <c r="Q37" s="1">
        <f>(Main_L[[#This Row],[ROE]]-VLOOKUP(Main_L[[#This Row],[Industry]], Mean_ROE_L, 2, FALSE))/(VLOOKUP(Main_L[[#This Row],[Industry]], Mean_ROE_L, 3, FALSE))</f>
        <v>-5.2177139124637142</v>
      </c>
      <c r="R37" s="1">
        <f>(Main_L[[#This Row],[ROA]]-VLOOKUP(Main_L[[#This Row],[Industry]], Mean_ROA_L, 2, FALSE))/(VLOOKUP(Main_L[[#This Row],[Industry]], Mean_ROA_L, 3, FALSE))</f>
        <v>0.56084214272178556</v>
      </c>
      <c r="S37" s="1">
        <f>(Main_L[[#This Row],[A/E]]-VLOOKUP(Main_L[[#This Row],[Industry]], Mean_AE_L, 2, FALSE))/(VLOOKUP(Main_L[[#This Row],[Industry]], Mean_AE_L, 3, FALSE))</f>
        <v>-3.5708765501861972</v>
      </c>
      <c r="T37" s="1">
        <f>(Main_L[[#This Row],[P/E]]-VLOOKUP(Main_L[[#This Row],[Industry]], Mean_PE_L, 2, FALSE))/(VLOOKUP(Main_L[[#This Row],[Industry]], Mean_PE_L, 3, FALSE))</f>
        <v>0.9210758185754192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111</v>
      </c>
      <c r="B38" t="s">
        <v>154</v>
      </c>
      <c r="C38" s="2">
        <v>12300</v>
      </c>
      <c r="D38">
        <f>RTD("tos.rtd", , "LAST", Main_L[[#This Row],[Symbol]])</f>
        <v>106.59</v>
      </c>
      <c r="E38">
        <v>0.74</v>
      </c>
      <c r="F38">
        <v>10.5</v>
      </c>
      <c r="G38">
        <v>1.89</v>
      </c>
      <c r="H38" s="1">
        <f>IF(ISNUMBER(Main_L[[#This Row],[Free CF]]),IF(Main_L[[#This Row],[Free CF]]&lt;&gt;0,Main_L[[#This Row],[Current Price]]/Main_L[[#This Row],[Free CF]],""),"")</f>
        <v>144.04054054054055</v>
      </c>
      <c r="I38" s="1">
        <f>IF(ISNUMBER(Main_L[[#This Row],[BVPS]]),IF(Main_L[[#This Row],[BVPS]]&lt;&gt;0,Main_L[[#This Row],[Current Price]]/Main_L[[#This Row],[BVPS]],""),"")</f>
        <v>10.151428571428571</v>
      </c>
      <c r="J38">
        <v>22.31</v>
      </c>
      <c r="K38">
        <v>3.6</v>
      </c>
      <c r="L38">
        <v>1.53</v>
      </c>
      <c r="M38" s="1">
        <f>IF(ISNUMBER(Main_L[[#This Row],[EPS]]),IF(Main_L[[#This Row],[EPS]]&lt;&gt;0,Main_L[[#This Row],[Current Price]]/Main_L[[#This Row],[EPS]],""),"")</f>
        <v>56.396825396825399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9.459716370202969</v>
      </c>
      <c r="P38" s="1">
        <f>(Main_L[[#This Row],[P/B]]-VLOOKUP(Main_L[[#This Row],[Industry]], Mean_PB_L, 2, FALSE))/(VLOOKUP(Main_L[[#This Row],[Industry]], Mean_PB_L, 3, FALSE))</f>
        <v>0.53903637513605129</v>
      </c>
      <c r="Q38" s="1">
        <f>(Main_L[[#This Row],[ROE]]-VLOOKUP(Main_L[[#This Row],[Industry]], Mean_ROE_L, 2, FALSE))/(VLOOKUP(Main_L[[#This Row],[Industry]], Mean_ROE_L, 3, FALSE))</f>
        <v>0.30327567889860718</v>
      </c>
      <c r="R38" s="1">
        <f>(Main_L[[#This Row],[ROA]]-VLOOKUP(Main_L[[#This Row],[Industry]], Mean_ROA_L, 2, FALSE))/(VLOOKUP(Main_L[[#This Row],[Industry]], Mean_ROA_L, 3, FALSE))</f>
        <v>-0.8060200767173481</v>
      </c>
      <c r="S38" s="1">
        <f>(Main_L[[#This Row],[A/E]]-VLOOKUP(Main_L[[#This Row],[Industry]], Mean_AE_L, 2, FALSE))/(VLOOKUP(Main_L[[#This Row],[Industry]], Mean_AE_L, 3, FALSE))</f>
        <v>-0.32639447586219872</v>
      </c>
      <c r="T38" s="1">
        <f>(Main_L[[#This Row],[P/E]]-VLOOKUP(Main_L[[#This Row],[Industry]], Mean_PE_L, 2, FALSE))/(VLOOKUP(Main_L[[#This Row],[Industry]], Mean_PE_L, 3, FALSE))</f>
        <v>4.0908973416062375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9" spans="1:26" x14ac:dyDescent="0.25">
      <c r="A39" t="s">
        <v>111</v>
      </c>
      <c r="B39" t="s">
        <v>155</v>
      </c>
      <c r="C39" s="2">
        <v>61918</v>
      </c>
      <c r="D39">
        <f>RTD("tos.rtd", , "LAST", Main_L[[#This Row],[Symbol]])</f>
        <v>247.78</v>
      </c>
      <c r="E39">
        <v>7.99</v>
      </c>
      <c r="F39">
        <v>29.31</v>
      </c>
      <c r="G39">
        <v>12.3</v>
      </c>
      <c r="H39" s="1">
        <f>IF(ISNUMBER(Main_L[[#This Row],[Free CF]]),IF(Main_L[[#This Row],[Free CF]]&lt;&gt;0,Main_L[[#This Row],[Current Price]]/Main_L[[#This Row],[Free CF]],""),"")</f>
        <v>31.011264080100123</v>
      </c>
      <c r="I39" s="1">
        <f>IF(ISNUMBER(Main_L[[#This Row],[BVPS]]),IF(Main_L[[#This Row],[BVPS]]&lt;&gt;0,Main_L[[#This Row],[Current Price]]/Main_L[[#This Row],[BVPS]],""),"")</f>
        <v>8.4537700443534636</v>
      </c>
      <c r="J39">
        <v>48.52</v>
      </c>
      <c r="K39">
        <v>7.43</v>
      </c>
      <c r="L39">
        <v>4.7</v>
      </c>
      <c r="M39" s="1">
        <f>IF(ISNUMBER(Main_L[[#This Row],[EPS]]),IF(Main_L[[#This Row],[EPS]]&lt;&gt;0,Main_L[[#This Row],[Current Price]]/Main_L[[#This Row],[EPS]],""),"")</f>
        <v>20.144715447154471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0.23117706346893277</v>
      </c>
      <c r="P39" s="1">
        <f>(Main_L[[#This Row],[P/B]]-VLOOKUP(Main_L[[#This Row],[Industry]], Mean_PB_L, 2, FALSE))/(VLOOKUP(Main_L[[#This Row],[Industry]], Mean_PB_L, 3, FALSE))</f>
        <v>0.3671386372346731</v>
      </c>
      <c r="Q39" s="1">
        <f>(Main_L[[#This Row],[ROE]]-VLOOKUP(Main_L[[#This Row],[Industry]], Mean_ROE_L, 2, FALSE))/(VLOOKUP(Main_L[[#This Row],[Industry]], Mean_ROE_L, 3, FALSE))</f>
        <v>1.2577950535002329</v>
      </c>
      <c r="R39" s="1">
        <f>(Main_L[[#This Row],[ROA]]-VLOOKUP(Main_L[[#This Row],[Industry]], Mean_ROA_L, 2, FALSE))/(VLOOKUP(Main_L[[#This Row],[Industry]], Mean_ROA_L, 3, FALSE))</f>
        <v>0.10601516726381591</v>
      </c>
      <c r="S39" s="1">
        <f>(Main_L[[#This Row],[A/E]]-VLOOKUP(Main_L[[#This Row],[Industry]], Mean_AE_L, 2, FALSE))/(VLOOKUP(Main_L[[#This Row],[Industry]], Mean_AE_L, 3, FALSE))</f>
        <v>0.67409270075327565</v>
      </c>
      <c r="T39" s="1">
        <f>(Main_L[[#This Row],[P/E]]-VLOOKUP(Main_L[[#This Row],[Industry]], Mean_PE_L, 2, FALSE))/(VLOOKUP(Main_L[[#This Row],[Industry]], Mean_PE_L, 3, FALSE))</f>
        <v>-0.80174098761712032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111</v>
      </c>
      <c r="B40" t="s">
        <v>156</v>
      </c>
      <c r="C40" s="2">
        <v>40602</v>
      </c>
      <c r="D40">
        <f>RTD("tos.rtd", , "LAST", Main_L[[#This Row],[Symbol]])</f>
        <v>66.239999999999995</v>
      </c>
      <c r="E40">
        <v>3.99</v>
      </c>
      <c r="F40">
        <v>29.9</v>
      </c>
      <c r="G40">
        <v>3.4</v>
      </c>
      <c r="H40" s="1">
        <f>IF(ISNUMBER(Main_L[[#This Row],[Free CF]]),IF(Main_L[[#This Row],[Free CF]]&lt;&gt;0,Main_L[[#This Row],[Current Price]]/Main_L[[#This Row],[Free CF]],""),"")</f>
        <v>16.601503759398494</v>
      </c>
      <c r="I40" s="1">
        <f>IF(ISNUMBER(Main_L[[#This Row],[BVPS]]),IF(Main_L[[#This Row],[BVPS]]&lt;&gt;0,Main_L[[#This Row],[Current Price]]/Main_L[[#This Row],[BVPS]],""),"")</f>
        <v>2.2153846153846155</v>
      </c>
      <c r="J40">
        <v>12.93</v>
      </c>
      <c r="K40">
        <v>3.84</v>
      </c>
      <c r="L40">
        <v>1.7</v>
      </c>
      <c r="M40" s="1">
        <f>IF(ISNUMBER(Main_L[[#This Row],[EPS]]),IF(Main_L[[#This Row],[EPS]]&lt;&gt;0,Main_L[[#This Row],[Current Price]]/Main_L[[#This Row],[EPS]],""),"")</f>
        <v>19.482352941176469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-0.94534147831571724</v>
      </c>
      <c r="P40" s="1">
        <f>(Main_L[[#This Row],[P/B]]-VLOOKUP(Main_L[[#This Row],[Industry]], Mean_PB_L, 2, FALSE))/(VLOOKUP(Main_L[[#This Row],[Industry]], Mean_PB_L, 3, FALSE))</f>
        <v>-0.26453394373144029</v>
      </c>
      <c r="Q40" s="1">
        <f>(Main_L[[#This Row],[ROE]]-VLOOKUP(Main_L[[#This Row],[Industry]], Mean_ROE_L, 2, FALSE))/(VLOOKUP(Main_L[[#This Row],[Industry]], Mean_ROE_L, 3, FALSE))</f>
        <v>-3.8326447532649861E-2</v>
      </c>
      <c r="R40" s="1">
        <f>(Main_L[[#This Row],[ROA]]-VLOOKUP(Main_L[[#This Row],[Industry]], Mean_ROA_L, 2, FALSE))/(VLOOKUP(Main_L[[#This Row],[Industry]], Mean_ROA_L, 3, FALSE))</f>
        <v>-0.74886904315194891</v>
      </c>
      <c r="S40" s="1">
        <f>(Main_L[[#This Row],[A/E]]-VLOOKUP(Main_L[[#This Row],[Industry]], Mean_AE_L, 2, FALSE))/(VLOOKUP(Main_L[[#This Row],[Industry]], Mean_AE_L, 3, FALSE))</f>
        <v>-0.27274058941909757</v>
      </c>
      <c r="T40" s="1">
        <f>(Main_L[[#This Row],[P/E]]-VLOOKUP(Main_L[[#This Row],[Industry]], Mean_PE_L, 2, FALSE))/(VLOOKUP(Main_L[[#This Row],[Industry]], Mean_PE_L, 3, FALSE))</f>
        <v>-0.89113441020928119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111</v>
      </c>
      <c r="B41" t="s">
        <v>157</v>
      </c>
      <c r="C41" s="2">
        <v>19060</v>
      </c>
      <c r="D41">
        <f>RTD("tos.rtd", , "LAST", Main_L[[#This Row],[Symbol]])</f>
        <v>46.2</v>
      </c>
      <c r="E41">
        <v>3.2</v>
      </c>
      <c r="F41">
        <v>-0.5</v>
      </c>
      <c r="G41">
        <v>0.36</v>
      </c>
      <c r="H41" s="1">
        <f>IF(ISNUMBER(Main_L[[#This Row],[Free CF]]),IF(Main_L[[#This Row],[Free CF]]&lt;&gt;0,Main_L[[#This Row],[Current Price]]/Main_L[[#This Row],[Free CF]],""),"")</f>
        <v>14.4375</v>
      </c>
      <c r="I41" s="1">
        <f>IF(ISNUMBER(Main_L[[#This Row],[BVPS]]),IF(Main_L[[#This Row],[BVPS]]&lt;&gt;0,Main_L[[#This Row],[Current Price]]/Main_L[[#This Row],[BVPS]],""),"")</f>
        <v>-92.4</v>
      </c>
      <c r="J41">
        <v>-5.57</v>
      </c>
      <c r="K41">
        <v>7.19</v>
      </c>
      <c r="L41">
        <v>-45.44</v>
      </c>
      <c r="M41" s="1">
        <f>IF(ISNUMBER(Main_L[[#This Row],[EPS]]),IF(Main_L[[#This Row],[EPS]]&lt;&gt;0,Main_L[[#This Row],[Current Price]]/Main_L[[#This Row],[EPS]],""),"")</f>
        <v>128.33333333333334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-1.1220266202445768</v>
      </c>
      <c r="P41" s="1">
        <f>(Main_L[[#This Row],[P/B]]-VLOOKUP(Main_L[[#This Row],[Industry]], Mean_PB_L, 2, FALSE))/(VLOOKUP(Main_L[[#This Row],[Industry]], Mean_PB_L, 3, FALSE))</f>
        <v>-9.8448884889266868</v>
      </c>
      <c r="Q41" s="1">
        <f>(Main_L[[#This Row],[ROE]]-VLOOKUP(Main_L[[#This Row],[Industry]], Mean_ROE_L, 2, FALSE))/(VLOOKUP(Main_L[[#This Row],[Industry]], Mean_ROE_L, 3, FALSE))</f>
        <v>-0.71206198473715476</v>
      </c>
      <c r="R41" s="1">
        <f>(Main_L[[#This Row],[ROA]]-VLOOKUP(Main_L[[#This Row],[Industry]], Mean_ROA_L, 2, FALSE))/(VLOOKUP(Main_L[[#This Row],[Industry]], Mean_ROA_L, 3, FALSE))</f>
        <v>4.8864133698416745E-2</v>
      </c>
      <c r="S41" s="1">
        <f>(Main_L[[#This Row],[A/E]]-VLOOKUP(Main_L[[#This Row],[Industry]], Mean_AE_L, 2, FALSE))/(VLOOKUP(Main_L[[#This Row],[Industry]], Mean_AE_L, 3, FALSE))</f>
        <v>-15.150647688994319</v>
      </c>
      <c r="T41" s="1">
        <f>(Main_L[[#This Row],[P/E]]-VLOOKUP(Main_L[[#This Row],[Industry]], Mean_PE_L, 2, FALSE))/(VLOOKUP(Main_L[[#This Row],[Industry]], Mean_PE_L, 3, FALSE))</f>
        <v>13.799554754630384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2" spans="1:26" x14ac:dyDescent="0.25">
      <c r="A42" t="s">
        <v>111</v>
      </c>
      <c r="B42" t="s">
        <v>158</v>
      </c>
      <c r="C42" s="2">
        <v>10138</v>
      </c>
      <c r="D42">
        <f>RTD("tos.rtd", , "LAST", Main_L[[#This Row],[Symbol]])</f>
        <v>39.32</v>
      </c>
      <c r="E42">
        <v>1.38</v>
      </c>
      <c r="F42">
        <v>11.6</v>
      </c>
      <c r="G42">
        <v>1.27</v>
      </c>
      <c r="H42" s="1">
        <f>IF(ISNUMBER(Main_L[[#This Row],[Free CF]]),IF(Main_L[[#This Row],[Free CF]]&lt;&gt;0,Main_L[[#This Row],[Current Price]]/Main_L[[#This Row],[Free CF]],""),"")</f>
        <v>28.49275362318841</v>
      </c>
      <c r="I42" s="1">
        <f>IF(ISNUMBER(Main_L[[#This Row],[BVPS]]),IF(Main_L[[#This Row],[BVPS]]&lt;&gt;0,Main_L[[#This Row],[Current Price]]/Main_L[[#This Row],[BVPS]],""),"")</f>
        <v>3.3896551724137933</v>
      </c>
      <c r="J42">
        <v>11.4</v>
      </c>
      <c r="K42">
        <v>3.68</v>
      </c>
      <c r="L42">
        <v>4.12</v>
      </c>
      <c r="M42" s="1">
        <f>IF(ISNUMBER(Main_L[[#This Row],[EPS]]),IF(Main_L[[#This Row],[EPS]]&lt;&gt;0,Main_L[[#This Row],[Current Price]]/Main_L[[#This Row],[EPS]],""),"")</f>
        <v>30.960629921259841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2.5547394113621426E-2</v>
      </c>
      <c r="P42" s="1">
        <f>(Main_L[[#This Row],[P/B]]-VLOOKUP(Main_L[[#This Row],[Industry]], Mean_PB_L, 2, FALSE))/(VLOOKUP(Main_L[[#This Row],[Industry]], Mean_PB_L, 3, FALSE))</f>
        <v>-0.14563226284672104</v>
      </c>
      <c r="Q42" s="1">
        <f>(Main_L[[#This Row],[ROE]]-VLOOKUP(Main_L[[#This Row],[Industry]], Mean_ROE_L, 2, FALSE))/(VLOOKUP(Main_L[[#This Row],[Industry]], Mean_ROE_L, 3, FALSE))</f>
        <v>-9.4046197366319709E-2</v>
      </c>
      <c r="R42" s="1">
        <f>(Main_L[[#This Row],[ROA]]-VLOOKUP(Main_L[[#This Row],[Industry]], Mean_ROA_L, 2, FALSE))/(VLOOKUP(Main_L[[#This Row],[Industry]], Mean_ROA_L, 3, FALSE))</f>
        <v>-0.78696973219554833</v>
      </c>
      <c r="S42" s="1">
        <f>(Main_L[[#This Row],[A/E]]-VLOOKUP(Main_L[[#This Row],[Industry]], Mean_AE_L, 2, FALSE))/(VLOOKUP(Main_L[[#This Row],[Industry]], Mean_AE_L, 3, FALSE))</f>
        <v>0.49103826465328348</v>
      </c>
      <c r="T42" s="1">
        <f>(Main_L[[#This Row],[P/E]]-VLOOKUP(Main_L[[#This Row],[Industry]], Mean_PE_L, 2, FALSE))/(VLOOKUP(Main_L[[#This Row],[Industry]], Mean_PE_L, 3, FALSE))</f>
        <v>0.65799081268571935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111</v>
      </c>
      <c r="B43" t="s">
        <v>159</v>
      </c>
      <c r="C43" s="2">
        <v>10849</v>
      </c>
      <c r="D43">
        <f>RTD("tos.rtd", , "LAST", Main_L[[#This Row],[Symbol]])</f>
        <v>99.7</v>
      </c>
      <c r="E43">
        <v>0.46</v>
      </c>
      <c r="F43">
        <v>6.04</v>
      </c>
      <c r="G43">
        <v>1.1000000000000001</v>
      </c>
      <c r="H43" s="1">
        <f>IF(ISNUMBER(Main_L[[#This Row],[Free CF]]),IF(Main_L[[#This Row],[Free CF]]&lt;&gt;0,Main_L[[#This Row],[Current Price]]/Main_L[[#This Row],[Free CF]],""),"")</f>
        <v>216.7391304347826</v>
      </c>
      <c r="I43" s="1">
        <f>IF(ISNUMBER(Main_L[[#This Row],[BVPS]]),IF(Main_L[[#This Row],[BVPS]]&lt;&gt;0,Main_L[[#This Row],[Current Price]]/Main_L[[#This Row],[BVPS]],""),"")</f>
        <v>16.506622516556291</v>
      </c>
      <c r="J43">
        <v>20.58</v>
      </c>
      <c r="K43">
        <v>2.83</v>
      </c>
      <c r="L43">
        <v>1.68</v>
      </c>
      <c r="M43" s="1">
        <f>IF(ISNUMBER(Main_L[[#This Row],[EPS]]),IF(Main_L[[#This Row],[EPS]]&lt;&gt;0,Main_L[[#This Row],[Current Price]]/Main_L[[#This Row],[EPS]],""),"")</f>
        <v>90.636363636363626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15.395362561992599</v>
      </c>
      <c r="P43" s="1">
        <f>(Main_L[[#This Row],[P/B]]-VLOOKUP(Main_L[[#This Row],[Industry]], Mean_PB_L, 2, FALSE))/(VLOOKUP(Main_L[[#This Row],[Industry]], Mean_PB_L, 3, FALSE))</f>
        <v>1.1825364934868006</v>
      </c>
      <c r="Q43" s="1">
        <f>(Main_L[[#This Row],[ROE]]-VLOOKUP(Main_L[[#This Row],[Industry]], Mean_ROE_L, 2, FALSE))/(VLOOKUP(Main_L[[#This Row],[Industry]], Mean_ROE_L, 3, FALSE))</f>
        <v>0.2402723016356994</v>
      </c>
      <c r="R43" s="1">
        <f>(Main_L[[#This Row],[ROA]]-VLOOKUP(Main_L[[#This Row],[Industry]], Mean_ROA_L, 2, FALSE))/(VLOOKUP(Main_L[[#This Row],[Industry]], Mean_ROA_L, 3, FALSE))</f>
        <v>-0.98937964273967094</v>
      </c>
      <c r="S43" s="1">
        <f>(Main_L[[#This Row],[A/E]]-VLOOKUP(Main_L[[#This Row],[Industry]], Mean_AE_L, 2, FALSE))/(VLOOKUP(Main_L[[#This Row],[Industry]], Mean_AE_L, 3, FALSE))</f>
        <v>-0.27905281135358007</v>
      </c>
      <c r="T43" s="1">
        <f>(Main_L[[#This Row],[P/E]]-VLOOKUP(Main_L[[#This Row],[Industry]], Mean_PE_L, 2, FALSE))/(VLOOKUP(Main_L[[#This Row],[Industry]], Mean_PE_L, 3, FALSE))</f>
        <v>8.7119160188155131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4" spans="1:26" x14ac:dyDescent="0.25">
      <c r="A44" t="s">
        <v>111</v>
      </c>
      <c r="B44" t="s">
        <v>160</v>
      </c>
      <c r="C44" s="2">
        <v>69578</v>
      </c>
      <c r="D44">
        <f>RTD("tos.rtd", , "LAST", Main_L[[#This Row],[Symbol]])</f>
        <v>50.65</v>
      </c>
      <c r="E44">
        <v>1.0900000000000001</v>
      </c>
      <c r="F44">
        <v>2.59</v>
      </c>
      <c r="G44">
        <v>1.1299999999999999</v>
      </c>
      <c r="H44" s="1">
        <f>IF(ISNUMBER(Main_L[[#This Row],[Free CF]]),IF(Main_L[[#This Row],[Free CF]]&lt;&gt;0,Main_L[[#This Row],[Current Price]]/Main_L[[#This Row],[Free CF]],""),"")</f>
        <v>46.467889908256879</v>
      </c>
      <c r="I44" s="1">
        <f>IF(ISNUMBER(Main_L[[#This Row],[BVPS]]),IF(Main_L[[#This Row],[BVPS]]&lt;&gt;0,Main_L[[#This Row],[Current Price]]/Main_L[[#This Row],[BVPS]],""),"")</f>
        <v>19.555984555984555</v>
      </c>
      <c r="J44">
        <v>45.57</v>
      </c>
      <c r="K44">
        <v>14.35</v>
      </c>
      <c r="L44">
        <v>2.59</v>
      </c>
      <c r="M44" s="1">
        <f>IF(ISNUMBER(Main_L[[#This Row],[EPS]]),IF(Main_L[[#This Row],[EPS]]&lt;&gt;0,Main_L[[#This Row],[Current Price]]/Main_L[[#This Row],[EPS]],""),"")</f>
        <v>44.823008849557525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1.4931693850295245</v>
      </c>
      <c r="P44" s="1">
        <f>(Main_L[[#This Row],[P/B]]-VLOOKUP(Main_L[[#This Row],[Industry]], Mean_PB_L, 2, FALSE))/(VLOOKUP(Main_L[[#This Row],[Industry]], Mean_PB_L, 3, FALSE))</f>
        <v>1.4913020245168584</v>
      </c>
      <c r="Q44" s="1">
        <f>(Main_L[[#This Row],[ROE]]-VLOOKUP(Main_L[[#This Row],[Industry]], Mean_ROE_L, 2, FALSE))/(VLOOKUP(Main_L[[#This Row],[Industry]], Mean_ROE_L, 3, FALSE))</f>
        <v>1.150361548918974</v>
      </c>
      <c r="R44" s="1">
        <f>(Main_L[[#This Row],[ROA]]-VLOOKUP(Main_L[[#This Row],[Industry]], Mean_ROA_L, 2, FALSE))/(VLOOKUP(Main_L[[#This Row],[Industry]], Mean_ROA_L, 3, FALSE))</f>
        <v>1.7538699683994963</v>
      </c>
      <c r="S44" s="1">
        <f>(Main_L[[#This Row],[A/E]]-VLOOKUP(Main_L[[#This Row],[Industry]], Mean_AE_L, 2, FALSE))/(VLOOKUP(Main_L[[#This Row],[Industry]], Mean_AE_L, 3, FALSE))</f>
        <v>8.1532866653730857E-3</v>
      </c>
      <c r="T44" s="1">
        <f>(Main_L[[#This Row],[P/E]]-VLOOKUP(Main_L[[#This Row],[Industry]], Mean_PE_L, 2, FALSE))/(VLOOKUP(Main_L[[#This Row],[Industry]], Mean_PE_L, 3, FALSE))</f>
        <v>2.528877957543425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111</v>
      </c>
      <c r="B45" t="s">
        <v>161</v>
      </c>
      <c r="C45" s="2">
        <v>74998</v>
      </c>
      <c r="D45">
        <f>RTD("tos.rtd", , "LAST", Main_L[[#This Row],[Symbol]])</f>
        <v>197.8</v>
      </c>
      <c r="E45">
        <v>4.38</v>
      </c>
      <c r="F45">
        <v>18.59</v>
      </c>
      <c r="G45">
        <v>0.28999999999999998</v>
      </c>
      <c r="H45" s="1">
        <f>IF(ISNUMBER(Main_L[[#This Row],[Free CF]]),IF(Main_L[[#This Row],[Free CF]]&lt;&gt;0,Main_L[[#This Row],[Current Price]]/Main_L[[#This Row],[Free CF]],""),"")</f>
        <v>45.159817351598178</v>
      </c>
      <c r="I45" s="1">
        <f>IF(ISNUMBER(Main_L[[#This Row],[BVPS]]),IF(Main_L[[#This Row],[BVPS]]&lt;&gt;0,Main_L[[#This Row],[Current Price]]/Main_L[[#This Row],[BVPS]],""),"")</f>
        <v>10.640129101667563</v>
      </c>
      <c r="J45">
        <v>1.6</v>
      </c>
      <c r="K45">
        <v>0.27</v>
      </c>
      <c r="L45">
        <v>1.65</v>
      </c>
      <c r="M45" s="1">
        <f>IF(ISNUMBER(Main_L[[#This Row],[EPS]]),IF(Main_L[[#This Row],[EPS]]&lt;&gt;0,Main_L[[#This Row],[Current Price]]/Main_L[[#This Row],[EPS]],""),"")</f>
        <v>682.06896551724151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1.3863687455561762</v>
      </c>
      <c r="P45" s="1">
        <f>(Main_L[[#This Row],[P/B]]-VLOOKUP(Main_L[[#This Row],[Industry]], Mean_PB_L, 2, FALSE))/(VLOOKUP(Main_L[[#This Row],[Industry]], Mean_PB_L, 3, FALSE))</f>
        <v>0.58852012838766743</v>
      </c>
      <c r="Q45" s="1">
        <f>(Main_L[[#This Row],[ROE]]-VLOOKUP(Main_L[[#This Row],[Industry]], Mean_ROE_L, 2, FALSE))/(VLOOKUP(Main_L[[#This Row],[Industry]], Mean_ROE_L, 3, FALSE))</f>
        <v>-0.45094394139897637</v>
      </c>
      <c r="R45" s="1">
        <f>(Main_L[[#This Row],[ROA]]-VLOOKUP(Main_L[[#This Row],[Industry]], Mean_ROA_L, 2, FALSE))/(VLOOKUP(Main_L[[#This Row],[Industry]], Mean_ROA_L, 3, FALSE))</f>
        <v>-1.5989906674372636</v>
      </c>
      <c r="S45" s="1">
        <f>(Main_L[[#This Row],[A/E]]-VLOOKUP(Main_L[[#This Row],[Industry]], Mean_AE_L, 2, FALSE))/(VLOOKUP(Main_L[[#This Row],[Industry]], Mean_AE_L, 3, FALSE))</f>
        <v>-0.28852114425530379</v>
      </c>
      <c r="T45" s="1">
        <f>(Main_L[[#This Row],[P/E]]-VLOOKUP(Main_L[[#This Row],[Industry]], Mean_PE_L, 2, FALSE))/(VLOOKUP(Main_L[[#This Row],[Industry]], Mean_PE_L, 3, FALSE))</f>
        <v>88.532533939592525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6" spans="1:26" x14ac:dyDescent="0.25">
      <c r="A46" t="s">
        <v>111</v>
      </c>
      <c r="B46" t="s">
        <v>162</v>
      </c>
      <c r="C46" s="2">
        <v>16322</v>
      </c>
      <c r="D46">
        <f>RTD("tos.rtd", , "LAST", Main_L[[#This Row],[Symbol]])</f>
        <v>484.4</v>
      </c>
      <c r="E46">
        <v>16.57</v>
      </c>
      <c r="F46">
        <v>-114.3</v>
      </c>
      <c r="G46">
        <v>17.440000000000001</v>
      </c>
      <c r="H46" s="1">
        <f>IF(ISNUMBER(Main_L[[#This Row],[Free CF]]),IF(Main_L[[#This Row],[Free CF]]&lt;&gt;0,Main_L[[#This Row],[Current Price]]/Main_L[[#This Row],[Free CF]],""),"")</f>
        <v>29.233554616777308</v>
      </c>
      <c r="I46" s="1">
        <f>IF(ISNUMBER(Main_L[[#This Row],[BVPS]]),IF(Main_L[[#This Row],[BVPS]]&lt;&gt;0,Main_L[[#This Row],[Current Price]]/Main_L[[#This Row],[BVPS]],""),"")</f>
        <v>-4.2379702537182853</v>
      </c>
      <c r="J46">
        <v>-15.35</v>
      </c>
      <c r="K46">
        <v>30.32</v>
      </c>
      <c r="L46">
        <v>-0.48</v>
      </c>
      <c r="M46" s="1">
        <f>IF(ISNUMBER(Main_L[[#This Row],[EPS]]),IF(Main_L[[#This Row],[EPS]]&lt;&gt;0,Main_L[[#This Row],[Current Price]]/Main_L[[#This Row],[EPS]],""),"")</f>
        <v>27.77522935779816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8.6031821705224346E-2</v>
      </c>
      <c r="P46" s="1">
        <f>(Main_L[[#This Row],[P/B]]-VLOOKUP(Main_L[[#This Row],[Industry]], Mean_PB_L, 2, FALSE))/(VLOOKUP(Main_L[[#This Row],[Industry]], Mean_PB_L, 3, FALSE))</f>
        <v>-0.91797342297988105</v>
      </c>
      <c r="Q46" s="1">
        <f>(Main_L[[#This Row],[ROE]]-VLOOKUP(Main_L[[#This Row],[Industry]], Mean_ROE_L, 2, FALSE))/(VLOOKUP(Main_L[[#This Row],[Industry]], Mean_ROE_L, 3, FALSE))</f>
        <v>-1.0682313660268876</v>
      </c>
      <c r="R46" s="1">
        <f>(Main_L[[#This Row],[ROA]]-VLOOKUP(Main_L[[#This Row],[Industry]], Mean_ROA_L, 2, FALSE))/(VLOOKUP(Main_L[[#This Row],[Industry]], Mean_ROA_L, 3, FALSE))</f>
        <v>5.5567949935637762</v>
      </c>
      <c r="S46" s="1">
        <f>(Main_L[[#This Row],[A/E]]-VLOOKUP(Main_L[[#This Row],[Industry]], Mean_AE_L, 2, FALSE))/(VLOOKUP(Main_L[[#This Row],[Industry]], Mean_AE_L, 3, FALSE))</f>
        <v>-0.96077278027768875</v>
      </c>
      <c r="T46" s="1">
        <f>(Main_L[[#This Row],[P/E]]-VLOOKUP(Main_L[[#This Row],[Industry]], Mean_PE_L, 2, FALSE))/(VLOOKUP(Main_L[[#This Row],[Industry]], Mean_PE_L, 3, FALSE))</f>
        <v>0.22808444551539217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111</v>
      </c>
      <c r="B47" t="s">
        <v>163</v>
      </c>
      <c r="C47" s="2">
        <v>23171</v>
      </c>
      <c r="D47">
        <f>RTD("tos.rtd", , "LAST", Main_L[[#This Row],[Symbol]])</f>
        <v>205</v>
      </c>
      <c r="E47">
        <v>8.7100000000000009</v>
      </c>
      <c r="F47">
        <v>18.809999999999999</v>
      </c>
      <c r="G47">
        <v>8.89</v>
      </c>
      <c r="H47" s="1">
        <f>IF(ISNUMBER(Main_L[[#This Row],[Free CF]]),IF(Main_L[[#This Row],[Free CF]]&lt;&gt;0,Main_L[[#This Row],[Current Price]]/Main_L[[#This Row],[Free CF]],""),"")</f>
        <v>23.536165327210099</v>
      </c>
      <c r="I47" s="1">
        <f>IF(ISNUMBER(Main_L[[#This Row],[BVPS]]),IF(Main_L[[#This Row],[BVPS]]&lt;&gt;0,Main_L[[#This Row],[Current Price]]/Main_L[[#This Row],[BVPS]],""),"")</f>
        <v>10.89845826687932</v>
      </c>
      <c r="J47">
        <v>48.22</v>
      </c>
      <c r="K47">
        <v>7.2</v>
      </c>
      <c r="L47">
        <v>5.7</v>
      </c>
      <c r="M47" s="1">
        <f>IF(ISNUMBER(Main_L[[#This Row],[EPS]]),IF(Main_L[[#This Row],[EPS]]&lt;&gt;0,Main_L[[#This Row],[Current Price]]/Main_L[[#This Row],[EPS]],""),"")</f>
        <v>23.059617547806521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-0.37914483562690221</v>
      </c>
      <c r="P47" s="1">
        <f>(Main_L[[#This Row],[P/B]]-VLOOKUP(Main_L[[#This Row],[Industry]], Mean_PB_L, 2, FALSE))/(VLOOKUP(Main_L[[#This Row],[Industry]], Mean_PB_L, 3, FALSE))</f>
        <v>0.6146774494423084</v>
      </c>
      <c r="Q47" s="1">
        <f>(Main_L[[#This Row],[ROE]]-VLOOKUP(Main_L[[#This Row],[Industry]], Mean_ROE_L, 2, FALSE))/(VLOOKUP(Main_L[[#This Row],[Industry]], Mean_ROE_L, 3, FALSE))</f>
        <v>1.2468696123563761</v>
      </c>
      <c r="R47" s="1">
        <f>(Main_L[[#This Row],[ROA]]-VLOOKUP(Main_L[[#This Row],[Industry]], Mean_ROA_L, 2, FALSE))/(VLOOKUP(Main_L[[#This Row],[Industry]], Mean_ROA_L, 3, FALSE))</f>
        <v>5.1245426763641667E-2</v>
      </c>
      <c r="S47" s="1">
        <f>(Main_L[[#This Row],[A/E]]-VLOOKUP(Main_L[[#This Row],[Industry]], Mean_AE_L, 2, FALSE))/(VLOOKUP(Main_L[[#This Row],[Industry]], Mean_AE_L, 3, FALSE))</f>
        <v>0.9897037974774</v>
      </c>
      <c r="T47" s="1">
        <f>(Main_L[[#This Row],[P/E]]-VLOOKUP(Main_L[[#This Row],[Industry]], Mean_PE_L, 2, FALSE))/(VLOOKUP(Main_L[[#This Row],[Industry]], Mean_PE_L, 3, FALSE))</f>
        <v>-0.40834149270818032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111</v>
      </c>
      <c r="B48" t="s">
        <v>164</v>
      </c>
      <c r="C48" s="2">
        <v>227486</v>
      </c>
      <c r="D48">
        <f>RTD("tos.rtd", , "LAST", Main_L[[#This Row],[Symbol]])</f>
        <v>308.69</v>
      </c>
      <c r="E48">
        <v>9.2899999999999991</v>
      </c>
      <c r="F48">
        <v>-5.31</v>
      </c>
      <c r="G48">
        <v>11.33</v>
      </c>
      <c r="H48" s="1">
        <f>IF(ISNUMBER(Main_L[[#This Row],[Free CF]]),IF(Main_L[[#This Row],[Free CF]]&lt;&gt;0,Main_L[[#This Row],[Current Price]]/Main_L[[#This Row],[Free CF]],""),"")</f>
        <v>33.228202368137786</v>
      </c>
      <c r="I48" s="1">
        <f>IF(ISNUMBER(Main_L[[#This Row],[BVPS]]),IF(Main_L[[#This Row],[BVPS]]&lt;&gt;0,Main_L[[#This Row],[Current Price]]/Main_L[[#This Row],[BVPS]],""),"")</f>
        <v>-58.133709981167613</v>
      </c>
      <c r="J48">
        <v>-193.39</v>
      </c>
      <c r="K48">
        <v>13.31</v>
      </c>
      <c r="L48">
        <v>-14.53</v>
      </c>
      <c r="M48" s="1">
        <f>IF(ISNUMBER(Main_L[[#This Row],[EPS]]),IF(Main_L[[#This Row],[EPS]]&lt;&gt;0,Main_L[[#This Row],[Current Price]]/Main_L[[#This Row],[EPS]],""),"")</f>
        <v>27.245366284201236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0.41218416864066065</v>
      </c>
      <c r="P48" s="1">
        <f>(Main_L[[#This Row],[P/B]]-VLOOKUP(Main_L[[#This Row],[Industry]], Mean_PB_L, 2, FALSE))/(VLOOKUP(Main_L[[#This Row],[Industry]], Mean_PB_L, 3, FALSE))</f>
        <v>-6.3752285740683998</v>
      </c>
      <c r="Q48" s="1">
        <f>(Main_L[[#This Row],[ROE]]-VLOOKUP(Main_L[[#This Row],[Industry]], Mean_ROE_L, 2, FALSE))/(VLOOKUP(Main_L[[#This Row],[Industry]], Mean_ROE_L, 3, FALSE))</f>
        <v>-7.5521165035344584</v>
      </c>
      <c r="R48" s="1">
        <f>(Main_L[[#This Row],[ROA]]-VLOOKUP(Main_L[[#This Row],[Industry]], Mean_ROA_L, 2, FALSE))/(VLOOKUP(Main_L[[#This Row],[Industry]], Mean_ROA_L, 3, FALSE))</f>
        <v>1.5062154896160993</v>
      </c>
      <c r="S48" s="1">
        <f>(Main_L[[#This Row],[A/E]]-VLOOKUP(Main_L[[#This Row],[Industry]], Mean_AE_L, 2, FALSE))/(VLOOKUP(Main_L[[#This Row],[Industry]], Mean_AE_L, 3, FALSE))</f>
        <v>-5.3951086892516358</v>
      </c>
      <c r="T48" s="1">
        <f>(Main_L[[#This Row],[P/E]]-VLOOKUP(Main_L[[#This Row],[Industry]], Mean_PE_L, 2, FALSE))/(VLOOKUP(Main_L[[#This Row],[Industry]], Mean_PE_L, 3, FALSE))</f>
        <v>0.15657334211425225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t="s">
        <v>111</v>
      </c>
      <c r="B49" t="s">
        <v>165</v>
      </c>
      <c r="C49" s="2">
        <v>22244</v>
      </c>
      <c r="D49">
        <f>RTD("tos.rtd", , "LAST", Main_L[[#This Row],[Symbol]])</f>
        <v>67.84</v>
      </c>
      <c r="E49">
        <v>4.08</v>
      </c>
      <c r="F49">
        <v>9.59</v>
      </c>
      <c r="G49">
        <v>3.18</v>
      </c>
      <c r="H49" s="1">
        <f>IF(ISNUMBER(Main_L[[#This Row],[Free CF]]),IF(Main_L[[#This Row],[Free CF]]&lt;&gt;0,Main_L[[#This Row],[Current Price]]/Main_L[[#This Row],[Free CF]],""),"")</f>
        <v>16.627450980392158</v>
      </c>
      <c r="I49" s="1">
        <f>IF(ISNUMBER(Main_L[[#This Row],[BVPS]]),IF(Main_L[[#This Row],[BVPS]]&lt;&gt;0,Main_L[[#This Row],[Current Price]]/Main_L[[#This Row],[BVPS]],""),"")</f>
        <v>7.0740354535974976</v>
      </c>
      <c r="J49">
        <v>30.19</v>
      </c>
      <c r="K49">
        <v>6.05</v>
      </c>
      <c r="L49">
        <v>7.92</v>
      </c>
      <c r="M49" s="1">
        <f>IF(ISNUMBER(Main_L[[#This Row],[EPS]]),IF(Main_L[[#This Row],[EPS]]&lt;&gt;0,Main_L[[#This Row],[Current Price]]/Main_L[[#This Row],[EPS]],""),"")</f>
        <v>21.333333333333332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-0.94322295684642021</v>
      </c>
      <c r="P49" s="1">
        <f>(Main_L[[#This Row],[P/B]]-VLOOKUP(Main_L[[#This Row],[Industry]], Mean_PB_L, 2, FALSE))/(VLOOKUP(Main_L[[#This Row],[Industry]], Mean_PB_L, 3, FALSE))</f>
        <v>0.22743253540519645</v>
      </c>
      <c r="Q49" s="1">
        <f>(Main_L[[#This Row],[ROE]]-VLOOKUP(Main_L[[#This Row],[Industry]], Mean_ROE_L, 2, FALSE))/(VLOOKUP(Main_L[[#This Row],[Industry]], Mean_ROE_L, 3, FALSE))</f>
        <v>0.59025059961058024</v>
      </c>
      <c r="R49" s="1">
        <f>(Main_L[[#This Row],[ROA]]-VLOOKUP(Main_L[[#This Row],[Industry]], Mean_ROA_L, 2, FALSE))/(VLOOKUP(Main_L[[#This Row],[Industry]], Mean_ROA_L, 3, FALSE))</f>
        <v>-0.22260327573723016</v>
      </c>
      <c r="S49" s="1">
        <f>(Main_L[[#This Row],[A/E]]-VLOOKUP(Main_L[[#This Row],[Industry]], Mean_AE_L, 2, FALSE))/(VLOOKUP(Main_L[[#This Row],[Industry]], Mean_AE_L, 3, FALSE))</f>
        <v>1.6903604322049561</v>
      </c>
      <c r="T49" s="1">
        <f>(Main_L[[#This Row],[P/E]]-VLOOKUP(Main_L[[#This Row],[Industry]], Mean_PE_L, 2, FALSE))/(VLOOKUP(Main_L[[#This Row],[Industry]], Mean_PE_L, 3, FALSE))</f>
        <v>-0.64132336125570821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111</v>
      </c>
      <c r="B50" t="s">
        <v>166</v>
      </c>
      <c r="C50" s="2">
        <v>93992</v>
      </c>
      <c r="D50">
        <f>RTD("tos.rtd", , "LAST", Main_L[[#This Row],[Symbol]])</f>
        <v>86.88</v>
      </c>
      <c r="E50">
        <v>2.44</v>
      </c>
      <c r="F50">
        <v>-6.71</v>
      </c>
      <c r="G50">
        <v>2.75</v>
      </c>
      <c r="H50" s="1">
        <f>IF(ISNUMBER(Main_L[[#This Row],[Free CF]]),IF(Main_L[[#This Row],[Free CF]]&lt;&gt;0,Main_L[[#This Row],[Current Price]]/Main_L[[#This Row],[Free CF]],""),"")</f>
        <v>35.606557377049178</v>
      </c>
      <c r="I50" s="1">
        <f>IF(ISNUMBER(Main_L[[#This Row],[BVPS]]),IF(Main_L[[#This Row],[BVPS]]&lt;&gt;0,Main_L[[#This Row],[Current Price]]/Main_L[[#This Row],[BVPS]],""),"")</f>
        <v>-12.947839046199702</v>
      </c>
      <c r="J50">
        <v>-38.99</v>
      </c>
      <c r="K50">
        <v>8.98</v>
      </c>
      <c r="L50">
        <v>-4.1500000000000004</v>
      </c>
      <c r="M50" s="1">
        <f>IF(ISNUMBER(Main_L[[#This Row],[EPS]]),IF(Main_L[[#This Row],[EPS]]&lt;&gt;0,Main_L[[#This Row],[Current Price]]/Main_L[[#This Row],[EPS]],""),"")</f>
        <v>31.59272727272727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0.60637051904863204</v>
      </c>
      <c r="P50" s="1">
        <f>(Main_L[[#This Row],[P/B]]-VLOOKUP(Main_L[[#This Row],[Industry]], Mean_PB_L, 2, FALSE))/(VLOOKUP(Main_L[[#This Row],[Industry]], Mean_PB_L, 3, FALSE))</f>
        <v>-1.7998979790476421</v>
      </c>
      <c r="Q50" s="1">
        <f>(Main_L[[#This Row],[ROE]]-VLOOKUP(Main_L[[#This Row],[Industry]], Mean_ROE_L, 2, FALSE))/(VLOOKUP(Main_L[[#This Row],[Industry]], Mean_ROE_L, 3, FALSE))</f>
        <v>-1.9291561281628065</v>
      </c>
      <c r="R50" s="1">
        <f>(Main_L[[#This Row],[ROA]]-VLOOKUP(Main_L[[#This Row],[Industry]], Mean_ROA_L, 2, FALSE))/(VLOOKUP(Main_L[[#This Row],[Industry]], Mean_ROA_L, 3, FALSE))</f>
        <v>0.47511559237368667</v>
      </c>
      <c r="S50" s="1">
        <f>(Main_L[[#This Row],[A/E]]-VLOOKUP(Main_L[[#This Row],[Industry]], Mean_AE_L, 2, FALSE))/(VLOOKUP(Main_L[[#This Row],[Industry]], Mean_AE_L, 3, FALSE))</f>
        <v>-2.1190655052552252</v>
      </c>
      <c r="T50" s="1">
        <f>(Main_L[[#This Row],[P/E]]-VLOOKUP(Main_L[[#This Row],[Industry]], Mean_PE_L, 2, FALSE))/(VLOOKUP(Main_L[[#This Row],[Industry]], Mean_PE_L, 3, FALSE))</f>
        <v>0.74329960530175254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t="s">
        <v>111</v>
      </c>
      <c r="B51" t="s">
        <v>167</v>
      </c>
      <c r="C51" s="2">
        <v>11376</v>
      </c>
      <c r="D51">
        <f>RTD("tos.rtd", , "LAST", Main_L[[#This Row],[Symbol]])</f>
        <v>190.51</v>
      </c>
      <c r="E51">
        <v>5.98</v>
      </c>
      <c r="F51">
        <v>20.399999999999999</v>
      </c>
      <c r="G51">
        <v>6.47</v>
      </c>
      <c r="H51" s="1">
        <f>IF(ISNUMBER(Main_L[[#This Row],[Free CF]]),IF(Main_L[[#This Row],[Free CF]]&lt;&gt;0,Main_L[[#This Row],[Current Price]]/Main_L[[#This Row],[Free CF]],""),"")</f>
        <v>31.857859531772572</v>
      </c>
      <c r="I51" s="1">
        <f>IF(ISNUMBER(Main_L[[#This Row],[BVPS]]),IF(Main_L[[#This Row],[BVPS]]&lt;&gt;0,Main_L[[#This Row],[Current Price]]/Main_L[[#This Row],[BVPS]],""),"")</f>
        <v>9.3387254901960794</v>
      </c>
      <c r="J51">
        <v>35.11</v>
      </c>
      <c r="K51">
        <v>10.82</v>
      </c>
      <c r="L51">
        <v>2.35</v>
      </c>
      <c r="M51" s="1">
        <f>IF(ISNUMBER(Main_L[[#This Row],[EPS]]),IF(Main_L[[#This Row],[EPS]]&lt;&gt;0,Main_L[[#This Row],[Current Price]]/Main_L[[#This Row],[EPS]],""),"")</f>
        <v>29.445131375579599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0.3002993267207541</v>
      </c>
      <c r="P51" s="1">
        <f>(Main_L[[#This Row],[P/B]]-VLOOKUP(Main_L[[#This Row],[Industry]], Mean_PB_L, 2, FALSE))/(VLOOKUP(Main_L[[#This Row],[Industry]], Mean_PB_L, 3, FALSE))</f>
        <v>0.45674549094390615</v>
      </c>
      <c r="Q51" s="1">
        <f>(Main_L[[#This Row],[ROE]]-VLOOKUP(Main_L[[#This Row],[Industry]], Mean_ROE_L, 2, FALSE))/(VLOOKUP(Main_L[[#This Row],[Industry]], Mean_ROE_L, 3, FALSE))</f>
        <v>0.7694278343698322</v>
      </c>
      <c r="R51" s="1">
        <f>(Main_L[[#This Row],[ROA]]-VLOOKUP(Main_L[[#This Row],[Industry]], Mean_ROA_L, 2, FALSE))/(VLOOKUP(Main_L[[#This Row],[Industry]], Mean_ROA_L, 3, FALSE))</f>
        <v>0.91327351637508147</v>
      </c>
      <c r="S51" s="1">
        <f>(Main_L[[#This Row],[A/E]]-VLOOKUP(Main_L[[#This Row],[Industry]], Mean_AE_L, 2, FALSE))/(VLOOKUP(Main_L[[#This Row],[Industry]], Mean_AE_L, 3, FALSE))</f>
        <v>-6.7593376548416698E-2</v>
      </c>
      <c r="T51" s="1">
        <f>(Main_L[[#This Row],[P/E]]-VLOOKUP(Main_L[[#This Row],[Industry]], Mean_PE_L, 2, FALSE))/(VLOOKUP(Main_L[[#This Row],[Industry]], Mean_PE_L, 3, FALSE))</f>
        <v>0.45345688948038293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t="s">
        <v>111</v>
      </c>
      <c r="B52" t="s">
        <v>168</v>
      </c>
      <c r="C52" s="2">
        <v>41633</v>
      </c>
      <c r="D52">
        <f>RTD("tos.rtd", , "LAST", Main_L[[#This Row],[Symbol]])</f>
        <v>145.72</v>
      </c>
      <c r="E52">
        <v>5.15</v>
      </c>
      <c r="F52">
        <v>-28.07</v>
      </c>
      <c r="G52">
        <v>5.0199999999999996</v>
      </c>
      <c r="H52" s="1">
        <f>IF(ISNUMBER(Main_L[[#This Row],[Free CF]]),IF(Main_L[[#This Row],[Free CF]]&lt;&gt;0,Main_L[[#This Row],[Current Price]]/Main_L[[#This Row],[Free CF]],""),"")</f>
        <v>28.29514563106796</v>
      </c>
      <c r="I52" s="1">
        <f>IF(ISNUMBER(Main_L[[#This Row],[BVPS]]),IF(Main_L[[#This Row],[BVPS]]&lt;&gt;0,Main_L[[#This Row],[Current Price]]/Main_L[[#This Row],[BVPS]],""),"")</f>
        <v>-5.1913074456715353</v>
      </c>
      <c r="J52">
        <v>-18.32</v>
      </c>
      <c r="K52">
        <v>24.91</v>
      </c>
      <c r="L52">
        <v>-0.85</v>
      </c>
      <c r="M52" s="1">
        <f>IF(ISNUMBER(Main_L[[#This Row],[EPS]]),IF(Main_L[[#This Row],[EPS]]&lt;&gt;0,Main_L[[#This Row],[Current Price]]/Main_L[[#This Row],[EPS]],""),"")</f>
        <v>29.02788844621514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9.4132279956367811E-3</v>
      </c>
      <c r="P52" s="1">
        <f>(Main_L[[#This Row],[P/B]]-VLOOKUP(Main_L[[#This Row],[Industry]], Mean_PB_L, 2, FALSE))/(VLOOKUP(Main_L[[#This Row],[Industry]], Mean_PB_L, 3, FALSE))</f>
        <v>-1.0145043237119369</v>
      </c>
      <c r="Q52" s="1">
        <f>(Main_L[[#This Row],[ROE]]-VLOOKUP(Main_L[[#This Row],[Industry]], Mean_ROE_L, 2, FALSE))/(VLOOKUP(Main_L[[#This Row],[Industry]], Mean_ROE_L, 3, FALSE))</f>
        <v>-1.1763932333510705</v>
      </c>
      <c r="R52" s="1">
        <f>(Main_L[[#This Row],[ROA]]-VLOOKUP(Main_L[[#This Row],[Industry]], Mean_ROA_L, 2, FALSE))/(VLOOKUP(Main_L[[#This Row],[Industry]], Mean_ROA_L, 3, FALSE))</f>
        <v>4.2685154452770666</v>
      </c>
      <c r="S52" s="1">
        <f>(Main_L[[#This Row],[A/E]]-VLOOKUP(Main_L[[#This Row],[Industry]], Mean_AE_L, 2, FALSE))/(VLOOKUP(Main_L[[#This Row],[Industry]], Mean_AE_L, 3, FALSE))</f>
        <v>-1.0775488860656148</v>
      </c>
      <c r="T52" s="1">
        <f>(Main_L[[#This Row],[P/E]]-VLOOKUP(Main_L[[#This Row],[Industry]], Mean_PE_L, 2, FALSE))/(VLOOKUP(Main_L[[#This Row],[Industry]], Mean_PE_L, 3, FALSE))</f>
        <v>0.39714516716573411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t="s">
        <v>111</v>
      </c>
      <c r="B53" t="s">
        <v>169</v>
      </c>
      <c r="C53" s="2">
        <v>16221</v>
      </c>
      <c r="D53">
        <f>RTD("tos.rtd", , "LAST", Main_L[[#This Row],[Symbol]])</f>
        <v>46.09</v>
      </c>
      <c r="E53">
        <v>2.0299999999999998</v>
      </c>
      <c r="F53">
        <v>15.38</v>
      </c>
      <c r="G53">
        <v>2.38</v>
      </c>
      <c r="H53" s="1">
        <f>IF(ISNUMBER(Main_L[[#This Row],[Free CF]]),IF(Main_L[[#This Row],[Free CF]]&lt;&gt;0,Main_L[[#This Row],[Current Price]]/Main_L[[#This Row],[Free CF]],""),"")</f>
        <v>22.70443349753695</v>
      </c>
      <c r="I53" s="1">
        <f>IF(ISNUMBER(Main_L[[#This Row],[BVPS]]),IF(Main_L[[#This Row],[BVPS]]&lt;&gt;0,Main_L[[#This Row],[Current Price]]/Main_L[[#This Row],[BVPS]],""),"")</f>
        <v>2.9967490247074124</v>
      </c>
      <c r="J53">
        <v>15.14</v>
      </c>
      <c r="K53">
        <v>6.9</v>
      </c>
      <c r="L53">
        <v>1.9</v>
      </c>
      <c r="M53" s="1">
        <f>IF(ISNUMBER(Main_L[[#This Row],[EPS]]),IF(Main_L[[#This Row],[EPS]]&lt;&gt;0,Main_L[[#This Row],[Current Price]]/Main_L[[#This Row],[EPS]],""),"")</f>
        <v>19.365546218487399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3" s="1">
        <f>(Main_L[[#This Row],[P/FCF]]-VLOOKUP(Main_L[[#This Row],[Industry]], Mean_PFCF_L, 2, FALSE))/(VLOOKUP(Main_L[[#This Row],[Industry]], Mean_PFCF_L, 3, FALSE))</f>
        <v>-0.44705352373999396</v>
      </c>
      <c r="P53" s="1">
        <f>(Main_L[[#This Row],[P/B]]-VLOOKUP(Main_L[[#This Row],[Industry]], Mean_PB_L, 2, FALSE))/(VLOOKUP(Main_L[[#This Row],[Industry]], Mean_PB_L, 3, FALSE))</f>
        <v>-0.18541628119971434</v>
      </c>
      <c r="Q53" s="1">
        <f>(Main_L[[#This Row],[ROE]]-VLOOKUP(Main_L[[#This Row],[Industry]], Mean_ROE_L, 2, FALSE))/(VLOOKUP(Main_L[[#This Row],[Industry]], Mean_ROE_L, 3, FALSE))</f>
        <v>4.2157635560428862E-2</v>
      </c>
      <c r="R53" s="1">
        <f>(Main_L[[#This Row],[ROA]]-VLOOKUP(Main_L[[#This Row],[Industry]], Mean_ROA_L, 2, FALSE))/(VLOOKUP(Main_L[[#This Row],[Industry]], Mean_ROA_L, 3, FALSE))</f>
        <v>-2.0193365193107438E-2</v>
      </c>
      <c r="S53" s="1">
        <f>(Main_L[[#This Row],[A/E]]-VLOOKUP(Main_L[[#This Row],[Industry]], Mean_AE_L, 2, FALSE))/(VLOOKUP(Main_L[[#This Row],[Industry]], Mean_AE_L, 3, FALSE))</f>
        <v>-0.20961837007427273</v>
      </c>
      <c r="T53" s="1">
        <f>(Main_L[[#This Row],[P/E]]-VLOOKUP(Main_L[[#This Row],[Industry]], Mean_PE_L, 2, FALSE))/(VLOOKUP(Main_L[[#This Row],[Industry]], Mean_PE_L, 3, FALSE))</f>
        <v>-0.90689881811086026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t="s">
        <v>108</v>
      </c>
      <c r="B54" t="s">
        <v>127</v>
      </c>
      <c r="C54" s="2">
        <v>36248</v>
      </c>
      <c r="D54">
        <f>RTD("tos.rtd", , "LAST", Main_L[[#This Row],[Symbol]])</f>
        <v>200.44</v>
      </c>
      <c r="E54">
        <v>6.33</v>
      </c>
      <c r="F54">
        <v>42.44</v>
      </c>
      <c r="G54">
        <v>7.59</v>
      </c>
      <c r="H54" s="1">
        <f>IF(ISNUMBER(Main_L[[#This Row],[Free CF]]),IF(Main_L[[#This Row],[Free CF]]&lt;&gt;0,Main_L[[#This Row],[Current Price]]/Main_L[[#This Row],[Free CF]],""),"")</f>
        <v>31.665086887835702</v>
      </c>
      <c r="I54" s="1">
        <f>IF(ISNUMBER(Main_L[[#This Row],[BVPS]]),IF(Main_L[[#This Row],[BVPS]]&lt;&gt;0,Main_L[[#This Row],[Current Price]]/Main_L[[#This Row],[BVPS]],""),"")</f>
        <v>4.7229029217719134</v>
      </c>
      <c r="J54">
        <v>19.04</v>
      </c>
      <c r="K54">
        <v>11.05</v>
      </c>
      <c r="L54">
        <v>1.2</v>
      </c>
      <c r="M54" s="1">
        <f>IF(ISNUMBER(Main_L[[#This Row],[EPS]]),IF(Main_L[[#This Row],[EPS]]&lt;&gt;0,Main_L[[#This Row],[Current Price]]/Main_L[[#This Row],[EPS]],""),"")</f>
        <v>26.408432147562582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7.4383156062834468</v>
      </c>
      <c r="P54" s="1">
        <f>(Main_L[[#This Row],[P/B]]-VLOOKUP(Main_L[[#This Row],[Industry]], Mean_PB_L, 2, FALSE))/(VLOOKUP(Main_L[[#This Row],[Industry]], Mean_PB_L, 3, FALSE))</f>
        <v>1.2493026780967527</v>
      </c>
      <c r="Q54" s="1">
        <f>(Main_L[[#This Row],[ROE]]-VLOOKUP(Main_L[[#This Row],[Industry]], Mean_ROE_L, 2, FALSE))/(VLOOKUP(Main_L[[#This Row],[Industry]], Mean_ROE_L, 3, FALSE))</f>
        <v>-0.31804418249575633</v>
      </c>
      <c r="R54" s="1">
        <f>(Main_L[[#This Row],[ROA]]-VLOOKUP(Main_L[[#This Row],[Industry]], Mean_ROA_L, 2, FALSE))/(VLOOKUP(Main_L[[#This Row],[Industry]], Mean_ROA_L, 3, FALSE))</f>
        <v>0.6456210701299302</v>
      </c>
      <c r="S54" s="1">
        <f>(Main_L[[#This Row],[A/E]]-VLOOKUP(Main_L[[#This Row],[Industry]], Mean_AE_L, 2, FALSE))/(VLOOKUP(Main_L[[#This Row],[Industry]], Mean_AE_L, 3, FALSE))</f>
        <v>-1.7361845862588468</v>
      </c>
      <c r="T54" s="1">
        <f>(Main_L[[#This Row],[P/E]]-VLOOKUP(Main_L[[#This Row],[Industry]], Mean_PE_L, 2, FALSE))/(VLOOKUP(Main_L[[#This Row],[Industry]], Mean_PE_L, 3, FALSE))</f>
        <v>1.2852755764238075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t="s">
        <v>108</v>
      </c>
      <c r="B55" t="s">
        <v>128</v>
      </c>
      <c r="C55" s="2">
        <v>150572</v>
      </c>
      <c r="D55">
        <f>RTD("tos.rtd", , "LAST", Main_L[[#This Row],[Symbol]])</f>
        <v>24.54</v>
      </c>
      <c r="E55">
        <v>1.42</v>
      </c>
      <c r="F55">
        <v>8.6300000000000008</v>
      </c>
      <c r="G55">
        <v>1.18</v>
      </c>
      <c r="H55" s="1">
        <f>IF(ISNUMBER(Main_L[[#This Row],[Free CF]]),IF(Main_L[[#This Row],[Free CF]]&lt;&gt;0,Main_L[[#This Row],[Current Price]]/Main_L[[#This Row],[Free CF]],""),"")</f>
        <v>17.281690140845072</v>
      </c>
      <c r="I55" s="1">
        <f>IF(ISNUMBER(Main_L[[#This Row],[BVPS]]),IF(Main_L[[#This Row],[BVPS]]&lt;&gt;0,Main_L[[#This Row],[Current Price]]/Main_L[[#This Row],[BVPS]],""),"")</f>
        <v>2.8435689455388178</v>
      </c>
      <c r="J55">
        <v>14.32</v>
      </c>
      <c r="K55">
        <v>2.56</v>
      </c>
      <c r="L55">
        <v>4.4000000000000004</v>
      </c>
      <c r="M55" s="1">
        <f>IF(ISNUMBER(Main_L[[#This Row],[EPS]]),IF(Main_L[[#This Row],[EPS]]&lt;&gt;0,Main_L[[#This Row],[Current Price]]/Main_L[[#This Row],[EPS]],""),"")</f>
        <v>20.796610169491526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0.31126680041628424</v>
      </c>
      <c r="P55" s="1">
        <f>(Main_L[[#This Row],[P/B]]-VLOOKUP(Main_L[[#This Row],[Industry]], Mean_PB_L, 2, FALSE))/(VLOOKUP(Main_L[[#This Row],[Industry]], Mean_PB_L, 3, FALSE))</f>
        <v>7.0022101852646401E-2</v>
      </c>
      <c r="Q55" s="1">
        <f>(Main_L[[#This Row],[ROE]]-VLOOKUP(Main_L[[#This Row],[Industry]], Mean_ROE_L, 2, FALSE))/(VLOOKUP(Main_L[[#This Row],[Industry]], Mean_ROE_L, 3, FALSE))</f>
        <v>-0.93472140019879557</v>
      </c>
      <c r="R55" s="1">
        <f>(Main_L[[#This Row],[ROA]]-VLOOKUP(Main_L[[#This Row],[Industry]], Mean_ROA_L, 2, FALSE))/(VLOOKUP(Main_L[[#This Row],[Industry]], Mean_ROA_L, 3, FALSE))</f>
        <v>-1.9592166893963263</v>
      </c>
      <c r="S55" s="1">
        <f>(Main_L[[#This Row],[A/E]]-VLOOKUP(Main_L[[#This Row],[Industry]], Mean_AE_L, 2, FALSE))/(VLOOKUP(Main_L[[#This Row],[Industry]], Mean_AE_L, 3, FALSE))</f>
        <v>17.421714296597379</v>
      </c>
      <c r="T55" s="1">
        <f>(Main_L[[#This Row],[P/E]]-VLOOKUP(Main_L[[#This Row],[Industry]], Mean_PE_L, 2, FALSE))/(VLOOKUP(Main_L[[#This Row],[Industry]], Mean_PE_L, 3, FALSE))</f>
        <v>0.61794825245474938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t="s">
        <v>108</v>
      </c>
      <c r="B56" t="s">
        <v>129</v>
      </c>
      <c r="C56" s="2">
        <v>12638</v>
      </c>
      <c r="D56">
        <f>RTD("tos.rtd", , "LAST", Main_L[[#This Row],[Symbol]])</f>
        <v>64.12</v>
      </c>
      <c r="E56">
        <v>3.28</v>
      </c>
      <c r="F56">
        <v>3.22</v>
      </c>
      <c r="G56">
        <v>2.16</v>
      </c>
      <c r="H56" s="1">
        <f>IF(ISNUMBER(Main_L[[#This Row],[Free CF]]),IF(Main_L[[#This Row],[Free CF]]&lt;&gt;0,Main_L[[#This Row],[Current Price]]/Main_L[[#This Row],[Free CF]],""),"")</f>
        <v>19.54878048780488</v>
      </c>
      <c r="I56" s="1">
        <f>IF(ISNUMBER(Main_L[[#This Row],[BVPS]]),IF(Main_L[[#This Row],[BVPS]]&lt;&gt;0,Main_L[[#This Row],[Current Price]]/Main_L[[#This Row],[BVPS]],""),"")</f>
        <v>19.913043478260871</v>
      </c>
      <c r="J56">
        <v>85.55</v>
      </c>
      <c r="K56">
        <v>7.3</v>
      </c>
      <c r="L56">
        <v>10.7</v>
      </c>
      <c r="M56" s="1">
        <f>IF(ISNUMBER(Main_L[[#This Row],[EPS]]),IF(Main_L[[#This Row],[EPS]]&lt;&gt;0,Main_L[[#This Row],[Current Price]]/Main_L[[#This Row],[EPS]],""),"")</f>
        <v>29.685185185185187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1.4346220018552949</v>
      </c>
      <c r="P56" s="1">
        <f>(Main_L[[#This Row],[P/B]]-VLOOKUP(Main_L[[#This Row],[Industry]], Mean_PB_L, 2, FALSE))/(VLOOKUP(Main_L[[#This Row],[Industry]], Mean_PB_L, 3, FALSE))</f>
        <v>10.781103802977521</v>
      </c>
      <c r="Q56" s="1">
        <f>(Main_L[[#This Row],[ROE]]-VLOOKUP(Main_L[[#This Row],[Industry]], Mean_ROE_L, 2, FALSE))/(VLOOKUP(Main_L[[#This Row],[Industry]], Mean_ROE_L, 3, FALSE))</f>
        <v>8.3716172050951645</v>
      </c>
      <c r="R56" s="1">
        <f>(Main_L[[#This Row],[ROA]]-VLOOKUP(Main_L[[#This Row],[Industry]], Mean_ROA_L, 2, FALSE))/(VLOOKUP(Main_L[[#This Row],[Industry]], Mean_ROA_L, 3, FALSE))</f>
        <v>-0.50492564344173807</v>
      </c>
      <c r="S56" s="1">
        <f>(Main_L[[#This Row],[A/E]]-VLOOKUP(Main_L[[#This Row],[Industry]], Mean_AE_L, 2, FALSE))/(VLOOKUP(Main_L[[#This Row],[Industry]], Mean_AE_L, 3, FALSE))</f>
        <v>55.138827722220562</v>
      </c>
      <c r="T56" s="1">
        <f>(Main_L[[#This Row],[P/E]]-VLOOKUP(Main_L[[#This Row],[Industry]], Mean_PE_L, 2, FALSE))/(VLOOKUP(Main_L[[#This Row],[Industry]], Mean_PE_L, 3, FALSE))</f>
        <v>1.6749292119897374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t="s">
        <v>108</v>
      </c>
      <c r="B57" t="s">
        <v>130</v>
      </c>
      <c r="C57" s="2">
        <v>37713</v>
      </c>
      <c r="D57">
        <f>RTD("tos.rtd", , "LAST", Main_L[[#This Row],[Symbol]])</f>
        <v>126.36</v>
      </c>
      <c r="E57">
        <v>8.48</v>
      </c>
      <c r="F57">
        <v>78.819999999999993</v>
      </c>
      <c r="G57">
        <v>13.25</v>
      </c>
      <c r="H57" s="1">
        <f>IF(ISNUMBER(Main_L[[#This Row],[Free CF]]),IF(Main_L[[#This Row],[Free CF]]&lt;&gt;0,Main_L[[#This Row],[Current Price]]/Main_L[[#This Row],[Free CF]],""),"")</f>
        <v>14.900943396226415</v>
      </c>
      <c r="I57" s="1">
        <f>IF(ISNUMBER(Main_L[[#This Row],[BVPS]]),IF(Main_L[[#This Row],[BVPS]]&lt;&gt;0,Main_L[[#This Row],[Current Price]]/Main_L[[#This Row],[BVPS]],""),"")</f>
        <v>1.6031464095407257</v>
      </c>
      <c r="J57">
        <v>17.649999999999999</v>
      </c>
      <c r="K57">
        <v>9.89</v>
      </c>
      <c r="L57">
        <v>1.47</v>
      </c>
      <c r="M57" s="1">
        <f>IF(ISNUMBER(Main_L[[#This Row],[EPS]]),IF(Main_L[[#This Row],[EPS]]&lt;&gt;0,Main_L[[#This Row],[Current Price]]/Main_L[[#This Row],[EPS]],""),"")</f>
        <v>9.5366037735849059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7" s="1">
        <f>(Main_L[[#This Row],[P/FCF]]-VLOOKUP(Main_L[[#This Row],[Industry]], Mean_PFCF_L, 2, FALSE))/(VLOOKUP(Main_L[[#This Row],[Industry]], Mean_PFCF_L, 3, FALSE))</f>
        <v>-0.86840574437787932</v>
      </c>
      <c r="P57" s="1">
        <f>(Main_L[[#This Row],[P/B]]-VLOOKUP(Main_L[[#This Row],[Industry]], Mean_PB_L, 2, FALSE))/(VLOOKUP(Main_L[[#This Row],[Industry]], Mean_PB_L, 3, FALSE))</f>
        <v>-0.70834205350095869</v>
      </c>
      <c r="Q57" s="1">
        <f>(Main_L[[#This Row],[ROE]]-VLOOKUP(Main_L[[#This Row],[Industry]], Mean_ROE_L, 2, FALSE))/(VLOOKUP(Main_L[[#This Row],[Industry]], Mean_ROE_L, 3, FALSE))</f>
        <v>-0.49965039703118541</v>
      </c>
      <c r="R57" s="1">
        <f>(Main_L[[#This Row],[ROA]]-VLOOKUP(Main_L[[#This Row],[Industry]], Mean_ROA_L, 2, FALSE))/(VLOOKUP(Main_L[[#This Row],[Industry]], Mean_ROA_L, 3, FALSE))</f>
        <v>0.28971862006509419</v>
      </c>
      <c r="S57" s="1">
        <f>(Main_L[[#This Row],[A/E]]-VLOOKUP(Main_L[[#This Row],[Industry]], Mean_AE_L, 2, FALSE))/(VLOOKUP(Main_L[[#This Row],[Industry]], Mean_AE_L, 3, FALSE))</f>
        <v>-0.11973686801785283</v>
      </c>
      <c r="T57" s="1">
        <f>(Main_L[[#This Row],[P/E]]-VLOOKUP(Main_L[[#This Row],[Industry]], Mean_PE_L, 2, FALSE))/(VLOOKUP(Main_L[[#This Row],[Industry]], Mean_PE_L, 3, FALSE))</f>
        <v>-0.72103041889605823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t="s">
        <v>108</v>
      </c>
      <c r="B58" t="s">
        <v>131</v>
      </c>
      <c r="C58" s="2">
        <v>28440</v>
      </c>
      <c r="D58">
        <f>RTD("tos.rtd", , "LAST", Main_L[[#This Row],[Symbol]])</f>
        <v>112.37</v>
      </c>
      <c r="E58">
        <v>5.93</v>
      </c>
      <c r="F58">
        <v>86.16</v>
      </c>
      <c r="G58">
        <v>13.77</v>
      </c>
      <c r="H58" s="1">
        <f>IF(ISNUMBER(Main_L[[#This Row],[Free CF]]),IF(Main_L[[#This Row],[Free CF]]&lt;&gt;0,Main_L[[#This Row],[Current Price]]/Main_L[[#This Row],[Free CF]],""),"")</f>
        <v>18.949409780775717</v>
      </c>
      <c r="I58" s="1">
        <f>IF(ISNUMBER(Main_L[[#This Row],[BVPS]]),IF(Main_L[[#This Row],[BVPS]]&lt;&gt;0,Main_L[[#This Row],[Current Price]]/Main_L[[#This Row],[BVPS]],""),"")</f>
        <v>1.304201485608171</v>
      </c>
      <c r="J58">
        <v>15.21</v>
      </c>
      <c r="K58">
        <v>8.2200000000000006</v>
      </c>
      <c r="L58">
        <v>1.54</v>
      </c>
      <c r="M58" s="1">
        <f>IF(ISNUMBER(Main_L[[#This Row],[EPS]]),IF(Main_L[[#This Row],[EPS]]&lt;&gt;0,Main_L[[#This Row],[Current Price]]/Main_L[[#This Row],[EPS]],""),"")</f>
        <v>8.1604938271604937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1.1376306612877265</v>
      </c>
      <c r="P58" s="1">
        <f>(Main_L[[#This Row],[P/B]]-VLOOKUP(Main_L[[#This Row],[Industry]], Mean_PB_L, 2, FALSE))/(VLOOKUP(Main_L[[#This Row],[Industry]], Mean_PB_L, 3, FALSE))</f>
        <v>-0.89592975564374588</v>
      </c>
      <c r="Q58" s="1">
        <f>(Main_L[[#This Row],[ROE]]-VLOOKUP(Main_L[[#This Row],[Industry]], Mean_ROE_L, 2, FALSE))/(VLOOKUP(Main_L[[#This Row],[Industry]], Mean_ROE_L, 3, FALSE))</f>
        <v>-0.81844116211495965</v>
      </c>
      <c r="R58" s="1">
        <f>(Main_L[[#This Row],[ROA]]-VLOOKUP(Main_L[[#This Row],[Industry]], Mean_ROA_L, 2, FALSE))/(VLOOKUP(Main_L[[#This Row],[Industry]], Mean_ROA_L, 3, FALSE))</f>
        <v>-0.22265818304548859</v>
      </c>
      <c r="S58" s="1">
        <f>(Main_L[[#This Row],[A/E]]-VLOOKUP(Main_L[[#This Row],[Industry]], Mean_AE_L, 2, FALSE))/(VLOOKUP(Main_L[[#This Row],[Industry]], Mean_AE_L, 3, FALSE))</f>
        <v>0.29934217004462743</v>
      </c>
      <c r="T58" s="1">
        <f>(Main_L[[#This Row],[P/E]]-VLOOKUP(Main_L[[#This Row],[Industry]], Mean_PE_L, 2, FALSE))/(VLOOKUP(Main_L[[#This Row],[Industry]], Mean_PE_L, 3, FALSE))</f>
        <v>-0.88466992343184858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t="s">
        <v>108</v>
      </c>
      <c r="B59" t="s">
        <v>132</v>
      </c>
      <c r="C59" s="2">
        <v>20746</v>
      </c>
      <c r="D59">
        <f>RTD("tos.rtd", , "LAST", Main_L[[#This Row],[Symbol]])</f>
        <v>7402.64</v>
      </c>
      <c r="E59">
        <v>432.61</v>
      </c>
      <c r="F59">
        <v>1343.02</v>
      </c>
      <c r="G59">
        <v>486.51</v>
      </c>
      <c r="H59" s="1">
        <f>IF(ISNUMBER(Main_L[[#This Row],[Free CF]]),IF(Main_L[[#This Row],[Free CF]]&lt;&gt;0,Main_L[[#This Row],[Current Price]]/Main_L[[#This Row],[Free CF]],""),"")</f>
        <v>17.1115785580546</v>
      </c>
      <c r="I59" s="1">
        <f>IF(ISNUMBER(Main_L[[#This Row],[BVPS]]),IF(Main_L[[#This Row],[BVPS]]&lt;&gt;0,Main_L[[#This Row],[Current Price]]/Main_L[[#This Row],[BVPS]],""),"")</f>
        <v>5.5119357865109979</v>
      </c>
      <c r="J59">
        <v>38.25</v>
      </c>
      <c r="K59">
        <v>20.36</v>
      </c>
      <c r="L59">
        <v>1.57</v>
      </c>
      <c r="M59" s="1">
        <f>IF(ISNUMBER(Main_L[[#This Row],[EPS]]),IF(Main_L[[#This Row],[EPS]]&lt;&gt;0,Main_L[[#This Row],[Current Price]]/Main_L[[#This Row],[EPS]],""),"")</f>
        <v>15.215802347330991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0.2269756156344509</v>
      </c>
      <c r="P59" s="1">
        <f>(Main_L[[#This Row],[P/B]]-VLOOKUP(Main_L[[#This Row],[Industry]], Mean_PB_L, 2, FALSE))/(VLOOKUP(Main_L[[#This Row],[Industry]], Mean_PB_L, 3, FALSE))</f>
        <v>1.7444201735352727</v>
      </c>
      <c r="Q59" s="1">
        <f>(Main_L[[#This Row],[ROE]]-VLOOKUP(Main_L[[#This Row],[Industry]], Mean_ROE_L, 2, FALSE))/(VLOOKUP(Main_L[[#This Row],[Industry]], Mean_ROE_L, 3, FALSE))</f>
        <v>2.1917798327744524</v>
      </c>
      <c r="R59" s="1">
        <f>(Main_L[[#This Row],[ROA]]-VLOOKUP(Main_L[[#This Row],[Industry]], Mean_ROA_L, 2, FALSE))/(VLOOKUP(Main_L[[#This Row],[Industry]], Mean_ROA_L, 3, FALSE))</f>
        <v>3.5020450443571911</v>
      </c>
      <c r="S59" s="1">
        <f>(Main_L[[#This Row],[A/E]]-VLOOKUP(Main_L[[#This Row],[Industry]], Mean_AE_L, 2, FALSE))/(VLOOKUP(Main_L[[#This Row],[Industry]], Mean_AE_L, 3, FALSE))</f>
        <v>0.47894747207140465</v>
      </c>
      <c r="T59" s="1">
        <f>(Main_L[[#This Row],[P/E]]-VLOOKUP(Main_L[[#This Row],[Industry]], Mean_PE_L, 2, FALSE))/(VLOOKUP(Main_L[[#This Row],[Industry]], Mean_PE_L, 3, FALSE))</f>
        <v>-4.5691036906332624E-2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t="s">
        <v>108</v>
      </c>
      <c r="B60" t="s">
        <v>133</v>
      </c>
      <c r="C60" s="2">
        <v>20307</v>
      </c>
      <c r="D60">
        <f>RTD("tos.rtd", , "LAST", Main_L[[#This Row],[Symbol]])</f>
        <v>106.45</v>
      </c>
      <c r="E60">
        <v>7.06</v>
      </c>
      <c r="F60">
        <v>61.33</v>
      </c>
      <c r="G60">
        <v>14.2</v>
      </c>
      <c r="H60" s="1">
        <f>IF(ISNUMBER(Main_L[[#This Row],[Free CF]]),IF(Main_L[[#This Row],[Free CF]]&lt;&gt;0,Main_L[[#This Row],[Current Price]]/Main_L[[#This Row],[Free CF]],""),"")</f>
        <v>15.077903682719548</v>
      </c>
      <c r="I60" s="1">
        <f>IF(ISNUMBER(Main_L[[#This Row],[BVPS]]),IF(Main_L[[#This Row],[BVPS]]&lt;&gt;0,Main_L[[#This Row],[Current Price]]/Main_L[[#This Row],[BVPS]],""),"")</f>
        <v>1.7356921571824557</v>
      </c>
      <c r="J60">
        <v>25.52</v>
      </c>
      <c r="K60">
        <v>13.89</v>
      </c>
      <c r="L60">
        <v>1.41</v>
      </c>
      <c r="M60" s="1">
        <f>IF(ISNUMBER(Main_L[[#This Row],[EPS]]),IF(Main_L[[#This Row],[EPS]]&lt;&gt;0,Main_L[[#This Row],[Current Price]]/Main_L[[#This Row],[EPS]],""),"")</f>
        <v>7.496478873239437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60" s="1">
        <f>(Main_L[[#This Row],[P/FCF]]-VLOOKUP(Main_L[[#This Row],[Industry]], Mean_PFCF_L, 2, FALSE))/(VLOOKUP(Main_L[[#This Row],[Industry]], Mean_PFCF_L, 3, FALSE))</f>
        <v>-0.7807209908581193</v>
      </c>
      <c r="P60" s="1">
        <f>(Main_L[[#This Row],[P/B]]-VLOOKUP(Main_L[[#This Row],[Industry]], Mean_PB_L, 2, FALSE))/(VLOOKUP(Main_L[[#This Row],[Industry]], Mean_PB_L, 3, FALSE))</f>
        <v>-0.6251697022135374</v>
      </c>
      <c r="Q60" s="1">
        <f>(Main_L[[#This Row],[ROE]]-VLOOKUP(Main_L[[#This Row],[Industry]], Mean_ROE_L, 2, FALSE))/(VLOOKUP(Main_L[[#This Row],[Industry]], Mean_ROE_L, 3, FALSE))</f>
        <v>0.52858047231689098</v>
      </c>
      <c r="R60" s="1">
        <f>(Main_L[[#This Row],[ROA]]-VLOOKUP(Main_L[[#This Row],[Industry]], Mean_ROA_L, 2, FALSE))/(VLOOKUP(Main_L[[#This Row],[Industry]], Mean_ROA_L, 3, FALSE))</f>
        <v>1.5169684478748735</v>
      </c>
      <c r="S60" s="1">
        <f>(Main_L[[#This Row],[A/E]]-VLOOKUP(Main_L[[#This Row],[Industry]], Mean_AE_L, 2, FALSE))/(VLOOKUP(Main_L[[#This Row],[Industry]], Mean_AE_L, 3, FALSE))</f>
        <v>-0.47894747207140731</v>
      </c>
      <c r="T60" s="1">
        <f>(Main_L[[#This Row],[P/E]]-VLOOKUP(Main_L[[#This Row],[Industry]], Mean_PE_L, 2, FALSE))/(VLOOKUP(Main_L[[#This Row],[Industry]], Mean_PE_L, 3, FALSE))</f>
        <v>-0.9636309674576764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t="s">
        <v>108</v>
      </c>
      <c r="B61" t="s">
        <v>134</v>
      </c>
      <c r="C61" s="2">
        <v>10182</v>
      </c>
      <c r="D61">
        <f>RTD("tos.rtd", , "LAST", Main_L[[#This Row],[Symbol]])</f>
        <v>109.36</v>
      </c>
      <c r="E61">
        <v>7.98</v>
      </c>
      <c r="F61">
        <v>77.98</v>
      </c>
      <c r="G61">
        <v>14.58</v>
      </c>
      <c r="H61" s="1">
        <f>IF(ISNUMBER(Main_L[[#This Row],[Free CF]]),IF(Main_L[[#This Row],[Free CF]]&lt;&gt;0,Main_L[[#This Row],[Current Price]]/Main_L[[#This Row],[Free CF]],""),"")</f>
        <v>13.704260651629072</v>
      </c>
      <c r="I61" s="1">
        <f>IF(ISNUMBER(Main_L[[#This Row],[BVPS]]),IF(Main_L[[#This Row],[BVPS]]&lt;&gt;0,Main_L[[#This Row],[Current Price]]/Main_L[[#This Row],[BVPS]],""),"")</f>
        <v>1.4024108745832264</v>
      </c>
      <c r="J61">
        <v>20.329999999999998</v>
      </c>
      <c r="K61">
        <v>9.7100000000000009</v>
      </c>
      <c r="L61">
        <v>1.75</v>
      </c>
      <c r="M61" s="1">
        <f>IF(ISNUMBER(Main_L[[#This Row],[EPS]]),IF(Main_L[[#This Row],[EPS]]&lt;&gt;0,Main_L[[#This Row],[Current Price]]/Main_L[[#This Row],[EPS]],""),"")</f>
        <v>7.5006858710562412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-1.4613683439577578</v>
      </c>
      <c r="P61" s="1">
        <f>(Main_L[[#This Row],[P/B]]-VLOOKUP(Main_L[[#This Row],[Industry]], Mean_PB_L, 2, FALSE))/(VLOOKUP(Main_L[[#This Row],[Industry]], Mean_PB_L, 3, FALSE))</f>
        <v>-0.83430344212642971</v>
      </c>
      <c r="Q61" s="1">
        <f>(Main_L[[#This Row],[ROE]]-VLOOKUP(Main_L[[#This Row],[Industry]], Mean_ROE_L, 2, FALSE))/(VLOOKUP(Main_L[[#This Row],[Industry]], Mean_ROE_L, 3, FALSE))</f>
        <v>-0.14950316325064614</v>
      </c>
      <c r="R61" s="1">
        <f>(Main_L[[#This Row],[ROA]]-VLOOKUP(Main_L[[#This Row],[Industry]], Mean_ROA_L, 2, FALSE))/(VLOOKUP(Main_L[[#This Row],[Industry]], Mean_ROA_L, 3, FALSE))</f>
        <v>0.23449237781365423</v>
      </c>
      <c r="S61" s="1">
        <f>(Main_L[[#This Row],[A/E]]-VLOOKUP(Main_L[[#This Row],[Industry]], Mean_AE_L, 2, FALSE))/(VLOOKUP(Main_L[[#This Row],[Industry]], Mean_AE_L, 3, FALSE))</f>
        <v>1.5565792842320669</v>
      </c>
      <c r="T61" s="1">
        <f>(Main_L[[#This Row],[P/E]]-VLOOKUP(Main_L[[#This Row],[Industry]], Mean_PE_L, 2, FALSE))/(VLOOKUP(Main_L[[#This Row],[Industry]], Mean_PE_L, 3, FALSE))</f>
        <v>-0.96313069417637798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t="s">
        <v>115</v>
      </c>
      <c r="B62" t="s">
        <v>183</v>
      </c>
      <c r="C62" s="2">
        <v>15433</v>
      </c>
      <c r="D62">
        <f>RTD("tos.rtd", , "LAST", Main_L[[#This Row],[Symbol]])</f>
        <v>261.41000000000003</v>
      </c>
      <c r="E62">
        <v>-0.27</v>
      </c>
      <c r="F62">
        <v>21.88</v>
      </c>
      <c r="G62">
        <v>7.8</v>
      </c>
      <c r="H62" s="1">
        <f>IF(ISNUMBER(Main_L[[#This Row],[Free CF]]),IF(Main_L[[#This Row],[Free CF]]&lt;&gt;0,Main_L[[#This Row],[Current Price]]/Main_L[[#This Row],[Free CF]],""),"")</f>
        <v>-968.18518518518522</v>
      </c>
      <c r="I62" s="1">
        <f>IF(ISNUMBER(Main_L[[#This Row],[BVPS]]),IF(Main_L[[#This Row],[BVPS]]&lt;&gt;0,Main_L[[#This Row],[Current Price]]/Main_L[[#This Row],[BVPS]],""),"")</f>
        <v>11.947440585009142</v>
      </c>
      <c r="J62">
        <v>42.55</v>
      </c>
      <c r="K62">
        <v>5.51</v>
      </c>
      <c r="L62">
        <v>6.4</v>
      </c>
      <c r="M62" s="1">
        <f>IF(ISNUMBER(Main_L[[#This Row],[EPS]]),IF(Main_L[[#This Row],[EPS]]&lt;&gt;0,Main_L[[#This Row],[Current Price]]/Main_L[[#This Row],[EPS]],""),"")</f>
        <v>33.514102564102565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-98.598953380784153</v>
      </c>
      <c r="P62" s="1">
        <f>(Main_L[[#This Row],[P/B]]-VLOOKUP(Main_L[[#This Row],[Industry]], Mean_PB_L, 2, FALSE))/(VLOOKUP(Main_L[[#This Row],[Industry]], Mean_PB_L, 3, FALSE))</f>
        <v>0.83102845339594333</v>
      </c>
      <c r="Q62" s="1">
        <f>(Main_L[[#This Row],[ROE]]-VLOOKUP(Main_L[[#This Row],[Industry]], Mean_ROE_L, 2, FALSE))/(VLOOKUP(Main_L[[#This Row],[Industry]], Mean_ROE_L, 3, FALSE))</f>
        <v>0.21868379224136858</v>
      </c>
      <c r="R62" s="1">
        <f>(Main_L[[#This Row],[ROA]]-VLOOKUP(Main_L[[#This Row],[Industry]], Mean_ROA_L, 2, FALSE))/(VLOOKUP(Main_L[[#This Row],[Industry]], Mean_ROA_L, 3, FALSE))</f>
        <v>-0.81019039803107062</v>
      </c>
      <c r="S62" s="1">
        <f>(Main_L[[#This Row],[A/E]]-VLOOKUP(Main_L[[#This Row],[Industry]], Mean_AE_L, 2, FALSE))/(VLOOKUP(Main_L[[#This Row],[Industry]], Mean_AE_L, 3, FALSE))</f>
        <v>1.51377572737849</v>
      </c>
      <c r="T62" s="1">
        <f>(Main_L[[#This Row],[P/E]]-VLOOKUP(Main_L[[#This Row],[Industry]], Mean_PE_L, 2, FALSE))/(VLOOKUP(Main_L[[#This Row],[Industry]], Mean_PE_L, 3, FALSE))</f>
        <v>1.2493787950370541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t="s">
        <v>115</v>
      </c>
      <c r="B63" t="s">
        <v>184</v>
      </c>
      <c r="C63" s="2">
        <v>47033</v>
      </c>
      <c r="D63">
        <f>RTD("tos.rtd", , "LAST", Main_L[[#This Row],[Symbol]])</f>
        <v>149.33000000000001</v>
      </c>
      <c r="E63">
        <v>4.9800000000000004</v>
      </c>
      <c r="F63">
        <v>16.75</v>
      </c>
      <c r="G63">
        <v>6.32</v>
      </c>
      <c r="H63" s="1">
        <f>IF(ISNUMBER(Main_L[[#This Row],[Free CF]]),IF(Main_L[[#This Row],[Free CF]]&lt;&gt;0,Main_L[[#This Row],[Current Price]]/Main_L[[#This Row],[Free CF]],""),"")</f>
        <v>29.985943775100402</v>
      </c>
      <c r="I63" s="1">
        <f>IF(ISNUMBER(Main_L[[#This Row],[BVPS]]),IF(Main_L[[#This Row],[BVPS]]&lt;&gt;0,Main_L[[#This Row],[Current Price]]/Main_L[[#This Row],[BVPS]],""),"")</f>
        <v>8.915223880597015</v>
      </c>
      <c r="J63">
        <v>40.28</v>
      </c>
      <c r="K63">
        <v>11.07</v>
      </c>
      <c r="L63">
        <v>2.71</v>
      </c>
      <c r="M63" s="1">
        <f>IF(ISNUMBER(Main_L[[#This Row],[EPS]]),IF(Main_L[[#This Row],[EPS]]&lt;&gt;0,Main_L[[#This Row],[Current Price]]/Main_L[[#This Row],[EPS]],""),"")</f>
        <v>23.628164556962027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0.17503801397016536</v>
      </c>
      <c r="P63" s="1">
        <f>(Main_L[[#This Row],[P/B]]-VLOOKUP(Main_L[[#This Row],[Industry]], Mean_PB_L, 2, FALSE))/(VLOOKUP(Main_L[[#This Row],[Industry]], Mean_PB_L, 3, FALSE))</f>
        <v>0.35244913488232676</v>
      </c>
      <c r="Q63" s="1">
        <f>(Main_L[[#This Row],[ROE]]-VLOOKUP(Main_L[[#This Row],[Industry]], Mean_ROE_L, 2, FALSE))/(VLOOKUP(Main_L[[#This Row],[Industry]], Mean_ROE_L, 3, FALSE))</f>
        <v>0.16226129217596763</v>
      </c>
      <c r="R63" s="1">
        <f>(Main_L[[#This Row],[ROA]]-VLOOKUP(Main_L[[#This Row],[Industry]], Mean_ROA_L, 2, FALSE))/(VLOOKUP(Main_L[[#This Row],[Industry]], Mean_ROA_L, 3, FALSE))</f>
        <v>0.2657630923477724</v>
      </c>
      <c r="S63" s="1">
        <f>(Main_L[[#This Row],[A/E]]-VLOOKUP(Main_L[[#This Row],[Industry]], Mean_AE_L, 2, FALSE))/(VLOOKUP(Main_L[[#This Row],[Industry]], Mean_AE_L, 3, FALSE))</f>
        <v>-0.79883005740960478</v>
      </c>
      <c r="T63" s="1">
        <f>(Main_L[[#This Row],[P/E]]-VLOOKUP(Main_L[[#This Row],[Industry]], Mean_PE_L, 2, FALSE))/(VLOOKUP(Main_L[[#This Row],[Industry]], Mean_PE_L, 3, FALSE))</f>
        <v>2.1221599925454779E-3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t="s">
        <v>115</v>
      </c>
      <c r="B64" t="s">
        <v>185</v>
      </c>
      <c r="C64" s="2">
        <v>143637</v>
      </c>
      <c r="D64">
        <f>RTD("tos.rtd", , "LAST", Main_L[[#This Row],[Symbol]])</f>
        <v>130.82</v>
      </c>
      <c r="E64">
        <v>3.72</v>
      </c>
      <c r="F64">
        <v>7.5</v>
      </c>
      <c r="G64">
        <v>4.26</v>
      </c>
      <c r="H64" s="1">
        <f>IF(ISNUMBER(Main_L[[#This Row],[Free CF]]),IF(Main_L[[#This Row],[Free CF]]&lt;&gt;0,Main_L[[#This Row],[Current Price]]/Main_L[[#This Row],[Free CF]],""),"")</f>
        <v>35.166666666666664</v>
      </c>
      <c r="I64" s="1">
        <f>IF(ISNUMBER(Main_L[[#This Row],[BVPS]]),IF(Main_L[[#This Row],[BVPS]]&lt;&gt;0,Main_L[[#This Row],[Current Price]]/Main_L[[#This Row],[BVPS]],""),"")</f>
        <v>17.442666666666664</v>
      </c>
      <c r="J64">
        <v>61.98</v>
      </c>
      <c r="K64">
        <v>12.81</v>
      </c>
      <c r="L64">
        <v>3.78</v>
      </c>
      <c r="M64" s="1">
        <f>IF(ISNUMBER(Main_L[[#This Row],[EPS]]),IF(Main_L[[#This Row],[EPS]]&lt;&gt;0,Main_L[[#This Row],[Current Price]]/Main_L[[#This Row],[EPS]],""),"")</f>
        <v>30.708920187793428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0.68769627813293555</v>
      </c>
      <c r="P64" s="1">
        <f>(Main_L[[#This Row],[P/B]]-VLOOKUP(Main_L[[#This Row],[Industry]], Mean_PB_L, 2, FALSE))/(VLOOKUP(Main_L[[#This Row],[Industry]], Mean_PB_L, 3, FALSE))</f>
        <v>1.6983482427141618</v>
      </c>
      <c r="Q64" s="1">
        <f>(Main_L[[#This Row],[ROE]]-VLOOKUP(Main_L[[#This Row],[Industry]], Mean_ROE_L, 2, FALSE))/(VLOOKUP(Main_L[[#This Row],[Industry]], Mean_ROE_L, 3, FALSE))</f>
        <v>0.70163056592892048</v>
      </c>
      <c r="R64" s="1">
        <f>(Main_L[[#This Row],[ROA]]-VLOOKUP(Main_L[[#This Row],[Industry]], Mean_ROA_L, 2, FALSE))/(VLOOKUP(Main_L[[#This Row],[Industry]], Mean_ROA_L, 3, FALSE))</f>
        <v>0.60248235012820173</v>
      </c>
      <c r="S64" s="1">
        <f>(Main_L[[#This Row],[A/E]]-VLOOKUP(Main_L[[#This Row],[Industry]], Mean_AE_L, 2, FALSE))/(VLOOKUP(Main_L[[#This Row],[Industry]], Mean_AE_L, 3, FALSE))</f>
        <v>-0.12823705206454766</v>
      </c>
      <c r="T64" s="1">
        <f>(Main_L[[#This Row],[P/E]]-VLOOKUP(Main_L[[#This Row],[Industry]], Mean_PE_L, 2, FALSE))/(VLOOKUP(Main_L[[#This Row],[Industry]], Mean_PE_L, 3, FALSE))</f>
        <v>0.89546373620962172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t="s">
        <v>115</v>
      </c>
      <c r="B65" t="s">
        <v>186</v>
      </c>
      <c r="C65" s="2">
        <v>14475</v>
      </c>
      <c r="D65">
        <f>RTD("tos.rtd", , "LAST", Main_L[[#This Row],[Symbol]])</f>
        <v>73.77</v>
      </c>
      <c r="E65">
        <v>6.47</v>
      </c>
      <c r="F65">
        <v>13.28</v>
      </c>
      <c r="G65">
        <v>4.28</v>
      </c>
      <c r="H65" s="1">
        <f>IF(ISNUMBER(Main_L[[#This Row],[Free CF]]),IF(Main_L[[#This Row],[Free CF]]&lt;&gt;0,Main_L[[#This Row],[Current Price]]/Main_L[[#This Row],[Free CF]],""),"")</f>
        <v>11.401854714064914</v>
      </c>
      <c r="I65" s="1">
        <f>IF(ISNUMBER(Main_L[[#This Row],[BVPS]]),IF(Main_L[[#This Row],[BVPS]]&lt;&gt;0,Main_L[[#This Row],[Current Price]]/Main_L[[#This Row],[BVPS]],""),"")</f>
        <v>5.5549698795180724</v>
      </c>
      <c r="J65">
        <v>31.63</v>
      </c>
      <c r="K65">
        <v>7.29</v>
      </c>
      <c r="L65">
        <v>5.26</v>
      </c>
      <c r="M65" s="1">
        <f>IF(ISNUMBER(Main_L[[#This Row],[EPS]]),IF(Main_L[[#This Row],[EPS]]&lt;&gt;0,Main_L[[#This Row],[Current Price]]/Main_L[[#This Row],[EPS]],""),"")</f>
        <v>17.235981308411212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-1.6639499107818652</v>
      </c>
      <c r="P65" s="1">
        <f>(Main_L[[#This Row],[P/B]]-VLOOKUP(Main_L[[#This Row],[Industry]], Mean_PB_L, 2, FALSE))/(VLOOKUP(Main_L[[#This Row],[Industry]], Mean_PB_L, 3, FALSE))</f>
        <v>-0.17790480305654968</v>
      </c>
      <c r="Q65" s="1">
        <f>(Main_L[[#This Row],[ROE]]-VLOOKUP(Main_L[[#This Row],[Industry]], Mean_ROE_L, 2, FALSE))/(VLOOKUP(Main_L[[#This Row],[Industry]], Mean_ROE_L, 3, FALSE))</f>
        <v>-5.2740745518181871E-2</v>
      </c>
      <c r="R65" s="1">
        <f>(Main_L[[#This Row],[ROA]]-VLOOKUP(Main_L[[#This Row],[Industry]], Mean_ROA_L, 2, FALSE))/(VLOOKUP(Main_L[[#This Row],[Industry]], Mean_ROA_L, 3, FALSE))</f>
        <v>-0.46573046765798776</v>
      </c>
      <c r="S65" s="1">
        <f>(Main_L[[#This Row],[A/E]]-VLOOKUP(Main_L[[#This Row],[Industry]], Mean_AE_L, 2, FALSE))/(VLOOKUP(Main_L[[#This Row],[Industry]], Mean_AE_L, 3, FALSE))</f>
        <v>0.79931215159029778</v>
      </c>
      <c r="T65" s="1">
        <f>(Main_L[[#This Row],[P/E]]-VLOOKUP(Main_L[[#This Row],[Industry]], Mean_PE_L, 2, FALSE))/(VLOOKUP(Main_L[[#This Row],[Industry]], Mean_PE_L, 3, FALSE))</f>
        <v>-0.8043458720158233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t="s">
        <v>115</v>
      </c>
      <c r="B66" t="s">
        <v>187</v>
      </c>
      <c r="C66" s="2">
        <v>11634</v>
      </c>
      <c r="D66">
        <f>RTD("tos.rtd", , "LAST", Main_L[[#This Row],[Symbol]])</f>
        <v>28.39</v>
      </c>
      <c r="E66">
        <v>0.33</v>
      </c>
      <c r="F66">
        <v>11.03</v>
      </c>
      <c r="G66">
        <v>0.33</v>
      </c>
      <c r="H66" s="1">
        <f>IF(ISNUMBER(Main_L[[#This Row],[Free CF]]),IF(Main_L[[#This Row],[Free CF]]&lt;&gt;0,Main_L[[#This Row],[Current Price]]/Main_L[[#This Row],[Free CF]],""),"")</f>
        <v>86.030303030303031</v>
      </c>
      <c r="I66" s="1">
        <f>IF(ISNUMBER(Main_L[[#This Row],[BVPS]]),IF(Main_L[[#This Row],[BVPS]]&lt;&gt;0,Main_L[[#This Row],[Current Price]]/Main_L[[#This Row],[BVPS]],""),"")</f>
        <v>2.57388939256573</v>
      </c>
      <c r="J66">
        <v>4.1900000000000004</v>
      </c>
      <c r="K66">
        <v>-0.25</v>
      </c>
      <c r="L66">
        <v>1.19</v>
      </c>
      <c r="M66" s="1">
        <f>IF(ISNUMBER(Main_L[[#This Row],[EPS]]),IF(Main_L[[#This Row],[EPS]]&lt;&gt;0,Main_L[[#This Row],[Current Price]]/Main_L[[#This Row],[EPS]],""),"")</f>
        <v>86.030303030303031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5.7209057496599591</v>
      </c>
      <c r="P66" s="1">
        <f>(Main_L[[#This Row],[P/B]]-VLOOKUP(Main_L[[#This Row],[Industry]], Mean_PB_L, 2, FALSE))/(VLOOKUP(Main_L[[#This Row],[Industry]], Mean_PB_L, 3, FALSE))</f>
        <v>-0.64841321553378117</v>
      </c>
      <c r="Q66" s="1">
        <f>(Main_L[[#This Row],[ROE]]-VLOOKUP(Main_L[[#This Row],[Industry]], Mean_ROE_L, 2, FALSE))/(VLOOKUP(Main_L[[#This Row],[Industry]], Mean_ROE_L, 3, FALSE))</f>
        <v>-0.73478189168320618</v>
      </c>
      <c r="R66" s="1">
        <f>(Main_L[[#This Row],[ROA]]-VLOOKUP(Main_L[[#This Row],[Industry]], Mean_ROA_L, 2, FALSE))/(VLOOKUP(Main_L[[#This Row],[Industry]], Mean_ROA_L, 3, FALSE))</f>
        <v>-1.9248472513731814</v>
      </c>
      <c r="S66" s="1">
        <f>(Main_L[[#This Row],[A/E]]-VLOOKUP(Main_L[[#This Row],[Industry]], Mean_AE_L, 2, FALSE))/(VLOOKUP(Main_L[[#This Row],[Industry]], Mean_AE_L, 3, FALSE))</f>
        <v>-1.751448158460527</v>
      </c>
      <c r="T66" s="1">
        <f>(Main_L[[#This Row],[P/E]]-VLOOKUP(Main_L[[#This Row],[Industry]], Mean_PE_L, 2, FALSE))/(VLOOKUP(Main_L[[#This Row],[Industry]], Mean_PE_L, 3, FALSE))</f>
        <v>7.8750707052518498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7" spans="1:26" x14ac:dyDescent="0.25">
      <c r="A67" t="s">
        <v>115</v>
      </c>
      <c r="B67" t="s">
        <v>188</v>
      </c>
      <c r="C67" s="2">
        <v>360547</v>
      </c>
      <c r="D67">
        <f>RTD("tos.rtd", , "LAST", Main_L[[#This Row],[Symbol]])</f>
        <v>373.6</v>
      </c>
      <c r="E67">
        <v>16.489999999999998</v>
      </c>
      <c r="F67">
        <v>6.68</v>
      </c>
      <c r="G67">
        <v>14.91</v>
      </c>
      <c r="H67" s="1">
        <f>IF(ISNUMBER(Main_L[[#This Row],[Free CF]]),IF(Main_L[[#This Row],[Free CF]]&lt;&gt;0,Main_L[[#This Row],[Current Price]]/Main_L[[#This Row],[Free CF]],""),"")</f>
        <v>22.656155245603401</v>
      </c>
      <c r="I67" s="1">
        <f>IF(ISNUMBER(Main_L[[#This Row],[BVPS]]),IF(Main_L[[#This Row],[BVPS]]&lt;&gt;0,Main_L[[#This Row],[Current Price]]/Main_L[[#This Row],[BVPS]],""),"")</f>
        <v>55.928143712574858</v>
      </c>
      <c r="J67">
        <v>385.37</v>
      </c>
      <c r="K67">
        <v>15.58</v>
      </c>
      <c r="L67">
        <v>14.48</v>
      </c>
      <c r="M67" s="1">
        <f>IF(ISNUMBER(Main_L[[#This Row],[EPS]]),IF(Main_L[[#This Row],[EPS]]&lt;&gt;0,Main_L[[#This Row],[Current Price]]/Main_L[[#This Row],[EPS]],""),"")</f>
        <v>25.057008718980551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-0.55028097005217391</v>
      </c>
      <c r="P67" s="1">
        <f>(Main_L[[#This Row],[P/B]]-VLOOKUP(Main_L[[#This Row],[Industry]], Mean_PB_L, 2, FALSE))/(VLOOKUP(Main_L[[#This Row],[Industry]], Mean_PB_L, 3, FALSE))</f>
        <v>7.77256891121122</v>
      </c>
      <c r="Q67" s="1">
        <f>(Main_L[[#This Row],[ROE]]-VLOOKUP(Main_L[[#This Row],[Industry]], Mean_ROE_L, 2, FALSE))/(VLOOKUP(Main_L[[#This Row],[Industry]], Mean_ROE_L, 3, FALSE))</f>
        <v>8.7397240884619833</v>
      </c>
      <c r="R67" s="1">
        <f>(Main_L[[#This Row],[ROA]]-VLOOKUP(Main_L[[#This Row],[Industry]], Mean_ROA_L, 2, FALSE))/(VLOOKUP(Main_L[[#This Row],[Industry]], Mean_ROA_L, 3, FALSE))</f>
        <v>1.1385239271694596</v>
      </c>
      <c r="S67" s="1">
        <f>(Main_L[[#This Row],[A/E]]-VLOOKUP(Main_L[[#This Row],[Industry]], Mean_AE_L, 2, FALSE))/(VLOOKUP(Main_L[[#This Row],[Industry]], Mean_AE_L, 3, FALSE))</f>
        <v>6.5776930013860246</v>
      </c>
      <c r="T67" s="1">
        <f>(Main_L[[#This Row],[P/E]]-VLOOKUP(Main_L[[#This Row],[Industry]], Mean_PE_L, 2, FALSE))/(VLOOKUP(Main_L[[#This Row],[Industry]], Mean_PE_L, 3, FALSE))</f>
        <v>0.18239188859442348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t="s">
        <v>115</v>
      </c>
      <c r="B68" t="s">
        <v>189</v>
      </c>
      <c r="C68" s="2">
        <v>125100</v>
      </c>
      <c r="D68">
        <f>RTD("tos.rtd", , "LAST", Main_L[[#This Row],[Symbol]])</f>
        <v>230.77</v>
      </c>
      <c r="E68">
        <v>13.58</v>
      </c>
      <c r="F68">
        <v>-25.41</v>
      </c>
      <c r="G68">
        <v>12.23</v>
      </c>
      <c r="H68" s="1">
        <f>IF(ISNUMBER(Main_L[[#This Row],[Free CF]]),IF(Main_L[[#This Row],[Free CF]]&lt;&gt;0,Main_L[[#This Row],[Current Price]]/Main_L[[#This Row],[Free CF]],""),"")</f>
        <v>16.99337260677467</v>
      </c>
      <c r="I68" s="1">
        <f>IF(ISNUMBER(Main_L[[#This Row],[BVPS]]),IF(Main_L[[#This Row],[BVPS]]&lt;&gt;0,Main_L[[#This Row],[Current Price]]/Main_L[[#This Row],[BVPS]],""),"")</f>
        <v>-9.0818575364029908</v>
      </c>
      <c r="J68">
        <v>-47.52</v>
      </c>
      <c r="K68">
        <v>15.67</v>
      </c>
      <c r="L68">
        <v>-3.03</v>
      </c>
      <c r="M68" s="1">
        <f>IF(ISNUMBER(Main_L[[#This Row],[EPS]]),IF(Main_L[[#This Row],[EPS]]&lt;&gt;0,Main_L[[#This Row],[Current Price]]/Main_L[[#This Row],[EPS]],""),"")</f>
        <v>18.869174161896975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-1.1106414407268246</v>
      </c>
      <c r="P68" s="1">
        <f>(Main_L[[#This Row],[P/B]]-VLOOKUP(Main_L[[#This Row],[Industry]], Mean_PB_L, 2, FALSE))/(VLOOKUP(Main_L[[#This Row],[Industry]], Mean_PB_L, 3, FALSE))</f>
        <v>-2.4880572666717775</v>
      </c>
      <c r="Q68" s="1">
        <f>(Main_L[[#This Row],[ROE]]-VLOOKUP(Main_L[[#This Row],[Industry]], Mean_ROE_L, 2, FALSE))/(VLOOKUP(Main_L[[#This Row],[Industry]], Mean_ROE_L, 3, FALSE))</f>
        <v>-2.0200715297369016</v>
      </c>
      <c r="R68" s="1">
        <f>(Main_L[[#This Row],[ROA]]-VLOOKUP(Main_L[[#This Row],[Industry]], Mean_ROA_L, 2, FALSE))/(VLOOKUP(Main_L[[#This Row],[Industry]], Mean_ROA_L, 3, FALSE))</f>
        <v>1.1559404405029301</v>
      </c>
      <c r="S68" s="1">
        <f>(Main_L[[#This Row],[A/E]]-VLOOKUP(Main_L[[#This Row],[Industry]], Mean_AE_L, 2, FALSE))/(VLOOKUP(Main_L[[#This Row],[Industry]], Mean_AE_L, 3, FALSE))</f>
        <v>-4.3962168337466405</v>
      </c>
      <c r="T68" s="1">
        <f>(Main_L[[#This Row],[P/E]]-VLOOKUP(Main_L[[#This Row],[Industry]], Mean_PE_L, 2, FALSE))/(VLOOKUP(Main_L[[#This Row],[Industry]], Mean_PE_L, 3, FALSE))</f>
        <v>-0.59829454726079501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t="s">
        <v>115</v>
      </c>
      <c r="B69" t="s">
        <v>190</v>
      </c>
      <c r="C69" s="2">
        <v>15863</v>
      </c>
      <c r="D69">
        <f>RTD("tos.rtd", , "LAST", Main_L[[#This Row],[Symbol]])</f>
        <v>39.49</v>
      </c>
      <c r="E69">
        <v>1.07</v>
      </c>
      <c r="F69">
        <v>0.63</v>
      </c>
      <c r="G69">
        <v>0.91</v>
      </c>
      <c r="H69" s="1">
        <f>IF(ISNUMBER(Main_L[[#This Row],[Free CF]]),IF(Main_L[[#This Row],[Free CF]]&lt;&gt;0,Main_L[[#This Row],[Current Price]]/Main_L[[#This Row],[Free CF]],""),"")</f>
        <v>36.906542056074763</v>
      </c>
      <c r="I69" s="1">
        <f>IF(ISNUMBER(Main_L[[#This Row],[BVPS]]),IF(Main_L[[#This Row],[BVPS]]&lt;&gt;0,Main_L[[#This Row],[Current Price]]/Main_L[[#This Row],[BVPS]],""),"")</f>
        <v>62.682539682539684</v>
      </c>
      <c r="J69">
        <v>101.78</v>
      </c>
      <c r="K69">
        <v>2.27</v>
      </c>
      <c r="L69">
        <v>11.53</v>
      </c>
      <c r="M69" s="1">
        <f>IF(ISNUMBER(Main_L[[#This Row],[EPS]]),IF(Main_L[[#This Row],[EPS]]&lt;&gt;0,Main_L[[#This Row],[Current Price]]/Main_L[[#This Row],[EPS]],""),"")</f>
        <v>43.395604395604394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0.85986559034330501</v>
      </c>
      <c r="P69" s="1">
        <f>(Main_L[[#This Row],[P/B]]-VLOOKUP(Main_L[[#This Row],[Industry]], Mean_PB_L, 2, FALSE))/(VLOOKUP(Main_L[[#This Row],[Industry]], Mean_PB_L, 3, FALSE))</f>
        <v>8.8386253759662985</v>
      </c>
      <c r="Q69" s="1">
        <f>(Main_L[[#This Row],[ROE]]-VLOOKUP(Main_L[[#This Row],[Industry]], Mean_ROE_L, 2, FALSE))/(VLOOKUP(Main_L[[#This Row],[Industry]], Mean_ROE_L, 3, FALSE))</f>
        <v>1.6908884965910185</v>
      </c>
      <c r="R69" s="1">
        <f>(Main_L[[#This Row],[ROA]]-VLOOKUP(Main_L[[#This Row],[Industry]], Mean_ROA_L, 2, FALSE))/(VLOOKUP(Main_L[[#This Row],[Industry]], Mean_ROA_L, 3, FALSE))</f>
        <v>-1.4371848780360079</v>
      </c>
      <c r="S69" s="1">
        <f>(Main_L[[#This Row],[A/E]]-VLOOKUP(Main_L[[#This Row],[Industry]], Mean_AE_L, 2, FALSE))/(VLOOKUP(Main_L[[#This Row],[Industry]], Mean_AE_L, 3, FALSE))</f>
        <v>4.7288618184253526</v>
      </c>
      <c r="T69" s="1">
        <f>(Main_L[[#This Row],[P/E]]-VLOOKUP(Main_L[[#This Row],[Industry]], Mean_PE_L, 2, FALSE))/(VLOOKUP(Main_L[[#This Row],[Industry]], Mean_PE_L, 3, FALSE))</f>
        <v>2.4960757412087813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t="s">
        <v>115</v>
      </c>
      <c r="B70" t="s">
        <v>191</v>
      </c>
      <c r="C70" s="2">
        <v>15080</v>
      </c>
      <c r="D70">
        <f>RTD("tos.rtd", , "LAST", Main_L[[#This Row],[Symbol]])</f>
        <v>212.04</v>
      </c>
      <c r="E70">
        <v>6.33</v>
      </c>
      <c r="F70">
        <v>39.86</v>
      </c>
      <c r="G70">
        <v>14.05</v>
      </c>
      <c r="H70" s="1">
        <f>IF(ISNUMBER(Main_L[[#This Row],[Free CF]]),IF(Main_L[[#This Row],[Free CF]]&lt;&gt;0,Main_L[[#This Row],[Current Price]]/Main_L[[#This Row],[Free CF]],""),"")</f>
        <v>33.497630331753555</v>
      </c>
      <c r="I70" s="1">
        <f>IF(ISNUMBER(Main_L[[#This Row],[BVPS]]),IF(Main_L[[#This Row],[BVPS]]&lt;&gt;0,Main_L[[#This Row],[Current Price]]/Main_L[[#This Row],[BVPS]],""),"")</f>
        <v>5.3196186653286501</v>
      </c>
      <c r="J70">
        <v>40.08</v>
      </c>
      <c r="K70">
        <v>9.32</v>
      </c>
      <c r="L70">
        <v>3.27</v>
      </c>
      <c r="M70" s="1">
        <f>IF(ISNUMBER(Main_L[[#This Row],[EPS]]),IF(Main_L[[#This Row],[EPS]]&lt;&gt;0,Main_L[[#This Row],[Current Price]]/Main_L[[#This Row],[EPS]],""),"")</f>
        <v>15.091814946619216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0.52253684224145835</v>
      </c>
      <c r="P70" s="1">
        <f>(Main_L[[#This Row],[P/B]]-VLOOKUP(Main_L[[#This Row],[Industry]], Mean_PB_L, 2, FALSE))/(VLOOKUP(Main_L[[#This Row],[Industry]], Mean_PB_L, 3, FALSE))</f>
        <v>-0.21505063881895867</v>
      </c>
      <c r="Q70" s="1">
        <f>(Main_L[[#This Row],[ROE]]-VLOOKUP(Main_L[[#This Row],[Industry]], Mean_ROE_L, 2, FALSE))/(VLOOKUP(Main_L[[#This Row],[Industry]], Mean_ROE_L, 3, FALSE))</f>
        <v>0.15729014679575601</v>
      </c>
      <c r="R70" s="1">
        <f>(Main_L[[#This Row],[ROA]]-VLOOKUP(Main_L[[#This Row],[Industry]], Mean_ROA_L, 2, FALSE))/(VLOOKUP(Main_L[[#This Row],[Industry]], Mean_ROA_L, 3, FALSE))</f>
        <v>-7.2891333580820256E-2</v>
      </c>
      <c r="S70" s="1">
        <f>(Main_L[[#This Row],[A/E]]-VLOOKUP(Main_L[[#This Row],[Industry]], Mean_AE_L, 2, FALSE))/(VLOOKUP(Main_L[[#This Row],[Industry]], Mean_AE_L, 3, FALSE))</f>
        <v>-0.44786549386452806</v>
      </c>
      <c r="T70" s="1">
        <f>(Main_L[[#This Row],[P/E]]-VLOOKUP(Main_L[[#This Row],[Industry]], Mean_PE_L, 2, FALSE))/(VLOOKUP(Main_L[[#This Row],[Industry]], Mean_PE_L, 3, FALSE))</f>
        <v>-1.0748640281536288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t="s">
        <v>115</v>
      </c>
      <c r="B71" t="s">
        <v>192</v>
      </c>
      <c r="C71" s="2">
        <v>27091</v>
      </c>
      <c r="D71">
        <f>RTD("tos.rtd", , "LAST", Main_L[[#This Row],[Symbol]])</f>
        <v>52.31</v>
      </c>
      <c r="E71">
        <v>1.1399999999999999</v>
      </c>
      <c r="F71">
        <v>4.21</v>
      </c>
      <c r="G71">
        <v>2.0099999999999998</v>
      </c>
      <c r="H71" s="1">
        <f>IF(ISNUMBER(Main_L[[#This Row],[Free CF]]),IF(Main_L[[#This Row],[Free CF]]&lt;&gt;0,Main_L[[#This Row],[Current Price]]/Main_L[[#This Row],[Free CF]],""),"")</f>
        <v>45.885964912280706</v>
      </c>
      <c r="I71" s="1">
        <f>IF(ISNUMBER(Main_L[[#This Row],[BVPS]]),IF(Main_L[[#This Row],[BVPS]]&lt;&gt;0,Main_L[[#This Row],[Current Price]]/Main_L[[#This Row],[BVPS]],""),"")</f>
        <v>12.42517814726841</v>
      </c>
      <c r="J71">
        <v>49.62</v>
      </c>
      <c r="K71">
        <v>9.11</v>
      </c>
      <c r="L71">
        <v>4.6399999999999997</v>
      </c>
      <c r="M71" s="1">
        <f>IF(ISNUMBER(Main_L[[#This Row],[EPS]]),IF(Main_L[[#This Row],[EPS]]&lt;&gt;0,Main_L[[#This Row],[Current Price]]/Main_L[[#This Row],[EPS]],""),"")</f>
        <v>26.024875621890551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1.7484240851703323</v>
      </c>
      <c r="P71" s="1">
        <f>(Main_L[[#This Row],[P/B]]-VLOOKUP(Main_L[[#This Row],[Industry]], Mean_PB_L, 2, FALSE))/(VLOOKUP(Main_L[[#This Row],[Industry]], Mean_PB_L, 3, FALSE))</f>
        <v>0.90643049067174675</v>
      </c>
      <c r="Q71" s="1">
        <f>(Main_L[[#This Row],[ROE]]-VLOOKUP(Main_L[[#This Row],[Industry]], Mean_ROE_L, 2, FALSE))/(VLOOKUP(Main_L[[#This Row],[Industry]], Mean_ROE_L, 3, FALSE))</f>
        <v>0.3944137814318468</v>
      </c>
      <c r="R71" s="1">
        <f>(Main_L[[#This Row],[ROA]]-VLOOKUP(Main_L[[#This Row],[Industry]], Mean_ROA_L, 2, FALSE))/(VLOOKUP(Main_L[[#This Row],[Industry]], Mean_ROA_L, 3, FALSE))</f>
        <v>-0.11352986469225154</v>
      </c>
      <c r="S71" s="1">
        <f>(Main_L[[#This Row],[A/E]]-VLOOKUP(Main_L[[#This Row],[Industry]], Mean_AE_L, 2, FALSE))/(VLOOKUP(Main_L[[#This Row],[Industry]], Mean_AE_L, 3, FALSE))</f>
        <v>0.4107442419511057</v>
      </c>
      <c r="T71" s="1">
        <f>(Main_L[[#This Row],[P/E]]-VLOOKUP(Main_L[[#This Row],[Industry]], Mean_PE_L, 2, FALSE))/(VLOOKUP(Main_L[[#This Row],[Industry]], Mean_PE_L, 3, FALSE))</f>
        <v>0.30450254876875804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t="s">
        <v>115</v>
      </c>
      <c r="B72" t="s">
        <v>193</v>
      </c>
      <c r="C72" s="2">
        <v>17728</v>
      </c>
      <c r="D72">
        <f>RTD("tos.rtd", , "LAST", Main_L[[#This Row],[Symbol]])</f>
        <v>412.23</v>
      </c>
      <c r="E72">
        <v>20.420000000000002</v>
      </c>
      <c r="F72">
        <v>54.14</v>
      </c>
      <c r="G72">
        <v>25.34</v>
      </c>
      <c r="H72" s="1">
        <f>IF(ISNUMBER(Main_L[[#This Row],[Free CF]]),IF(Main_L[[#This Row],[Free CF]]&lt;&gt;0,Main_L[[#This Row],[Current Price]]/Main_L[[#This Row],[Free CF]],""),"")</f>
        <v>20.187561214495592</v>
      </c>
      <c r="I72" s="1">
        <f>IF(ISNUMBER(Main_L[[#This Row],[BVPS]]),IF(Main_L[[#This Row],[BVPS]]&lt;&gt;0,Main_L[[#This Row],[Current Price]]/Main_L[[#This Row],[BVPS]],""),"")</f>
        <v>7.614148503878833</v>
      </c>
      <c r="J72">
        <v>50.39</v>
      </c>
      <c r="K72">
        <v>16.71</v>
      </c>
      <c r="L72">
        <v>2.41</v>
      </c>
      <c r="M72" s="1">
        <f>IF(ISNUMBER(Main_L[[#This Row],[EPS]]),IF(Main_L[[#This Row],[EPS]]&lt;&gt;0,Main_L[[#This Row],[Current Price]]/Main_L[[#This Row],[EPS]],""),"")</f>
        <v>16.267955801104971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-0.79456061159997704</v>
      </c>
      <c r="P72" s="1">
        <f>(Main_L[[#This Row],[P/B]]-VLOOKUP(Main_L[[#This Row],[Industry]], Mean_PB_L, 2, FALSE))/(VLOOKUP(Main_L[[#This Row],[Industry]], Mean_PB_L, 3, FALSE))</f>
        <v>0.14709845324450019</v>
      </c>
      <c r="Q72" s="1">
        <f>(Main_L[[#This Row],[ROE]]-VLOOKUP(Main_L[[#This Row],[Industry]], Mean_ROE_L, 2, FALSE))/(VLOOKUP(Main_L[[#This Row],[Industry]], Mean_ROE_L, 3, FALSE))</f>
        <v>0.41355269114566134</v>
      </c>
      <c r="R72" s="1">
        <f>(Main_L[[#This Row],[ROA]]-VLOOKUP(Main_L[[#This Row],[Industry]], Mean_ROA_L, 2, FALSE))/(VLOOKUP(Main_L[[#This Row],[Industry]], Mean_ROA_L, 3, FALSE))</f>
        <v>1.3571979279119226</v>
      </c>
      <c r="S72" s="1">
        <f>(Main_L[[#This Row],[A/E]]-VLOOKUP(Main_L[[#This Row],[Industry]], Mean_AE_L, 2, FALSE))/(VLOOKUP(Main_L[[#This Row],[Industry]], Mean_AE_L, 3, FALSE))</f>
        <v>-0.98684678788018143</v>
      </c>
      <c r="T72" s="1">
        <f>(Main_L[[#This Row],[P/E]]-VLOOKUP(Main_L[[#This Row],[Industry]], Mean_PE_L, 2, FALSE))/(VLOOKUP(Main_L[[#This Row],[Industry]], Mean_PE_L, 3, FALSE))</f>
        <v>-0.92647654246995281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t="s">
        <v>115</v>
      </c>
      <c r="B73" t="s">
        <v>194</v>
      </c>
      <c r="C73" s="2">
        <v>62658</v>
      </c>
      <c r="D73">
        <f>RTD("tos.rtd", , "LAST", Main_L[[#This Row],[Symbol]])</f>
        <v>3644.75</v>
      </c>
      <c r="E73">
        <v>118.61</v>
      </c>
      <c r="F73">
        <v>-266.18</v>
      </c>
      <c r="G73">
        <v>149.46</v>
      </c>
      <c r="H73" s="1">
        <f>IF(ISNUMBER(Main_L[[#This Row],[Free CF]]),IF(Main_L[[#This Row],[Free CF]]&lt;&gt;0,Main_L[[#This Row],[Current Price]]/Main_L[[#This Row],[Free CF]],""),"")</f>
        <v>30.72885928673805</v>
      </c>
      <c r="I73" s="1">
        <f>IF(ISNUMBER(Main_L[[#This Row],[BVPS]]),IF(Main_L[[#This Row],[BVPS]]&lt;&gt;0,Main_L[[#This Row],[Current Price]]/Main_L[[#This Row],[BVPS]],""),"")</f>
        <v>-13.692801863400707</v>
      </c>
      <c r="J73">
        <v>-56.09</v>
      </c>
      <c r="K73">
        <v>13.44</v>
      </c>
      <c r="L73">
        <v>-4.0599999999999996</v>
      </c>
      <c r="M73" s="1">
        <f>IF(ISNUMBER(Main_L[[#This Row],[EPS]]),IF(Main_L[[#This Row],[EPS]]&lt;&gt;0,Main_L[[#This Row],[Current Price]]/Main_L[[#This Row],[EPS]],""),"")</f>
        <v>24.386123377492304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0.24855319410762466</v>
      </c>
      <c r="P73" s="1">
        <f>(Main_L[[#This Row],[P/B]]-VLOOKUP(Main_L[[#This Row],[Industry]], Mean_PB_L, 2, FALSE))/(VLOOKUP(Main_L[[#This Row],[Industry]], Mean_PB_L, 3, FALSE))</f>
        <v>-3.2158095379747675</v>
      </c>
      <c r="Q73" s="1">
        <f>(Main_L[[#This Row],[ROE]]-VLOOKUP(Main_L[[#This Row],[Industry]], Mean_ROE_L, 2, FALSE))/(VLOOKUP(Main_L[[#This Row],[Industry]], Mean_ROE_L, 3, FALSE))</f>
        <v>-2.2330851092789668</v>
      </c>
      <c r="R73" s="1">
        <f>(Main_L[[#This Row],[ROA]]-VLOOKUP(Main_L[[#This Row],[Industry]], Mean_ROA_L, 2, FALSE))/(VLOOKUP(Main_L[[#This Row],[Industry]], Mean_ROA_L, 3, FALSE))</f>
        <v>0.72439794346249486</v>
      </c>
      <c r="S73" s="1">
        <f>(Main_L[[#This Row],[A/E]]-VLOOKUP(Main_L[[#This Row],[Industry]], Mean_AE_L, 2, FALSE))/(VLOOKUP(Main_L[[#This Row],[Industry]], Mean_AE_L, 3, FALSE))</f>
        <v>-5.0417409416956209</v>
      </c>
      <c r="T73" s="1">
        <f>(Main_L[[#This Row],[P/E]]-VLOOKUP(Main_L[[#This Row],[Industry]], Mean_PE_L, 2, FALSE))/(VLOOKUP(Main_L[[#This Row],[Industry]], Mean_PE_L, 3, FALSE))</f>
        <v>9.7749824996520296E-2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t="s">
        <v>115</v>
      </c>
      <c r="B74" t="s">
        <v>195</v>
      </c>
      <c r="C74" s="2">
        <v>34818</v>
      </c>
      <c r="D74">
        <f>RTD("tos.rtd", , "LAST", Main_L[[#This Row],[Symbol]])</f>
        <v>293.06</v>
      </c>
      <c r="E74">
        <v>6.76</v>
      </c>
      <c r="F74">
        <v>9.4499999999999993</v>
      </c>
      <c r="G74">
        <v>1.59</v>
      </c>
      <c r="H74" s="1">
        <f>IF(ISNUMBER(Main_L[[#This Row],[Free CF]]),IF(Main_L[[#This Row],[Free CF]]&lt;&gt;0,Main_L[[#This Row],[Current Price]]/Main_L[[#This Row],[Free CF]],""),"")</f>
        <v>43.352071005917161</v>
      </c>
      <c r="I74" s="1">
        <f>IF(ISNUMBER(Main_L[[#This Row],[BVPS]]),IF(Main_L[[#This Row],[BVPS]]&lt;&gt;0,Main_L[[#This Row],[Current Price]]/Main_L[[#This Row],[BVPS]],""),"")</f>
        <v>31.011640211640213</v>
      </c>
      <c r="J74">
        <v>81.53</v>
      </c>
      <c r="K74">
        <v>7.96</v>
      </c>
      <c r="L74">
        <v>6.73</v>
      </c>
      <c r="M74" s="1">
        <f>IF(ISNUMBER(Main_L[[#This Row],[EPS]]),IF(Main_L[[#This Row],[EPS]]&lt;&gt;0,Main_L[[#This Row],[Current Price]]/Main_L[[#This Row],[EPS]],""),"")</f>
        <v>184.31446540880503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1.4976826966039523</v>
      </c>
      <c r="P74" s="1">
        <f>(Main_L[[#This Row],[P/B]]-VLOOKUP(Main_L[[#This Row],[Industry]], Mean_PB_L, 2, FALSE))/(VLOOKUP(Main_L[[#This Row],[Industry]], Mean_PB_L, 3, FALSE))</f>
        <v>3.8399597253742472</v>
      </c>
      <c r="Q74" s="1">
        <f>(Main_L[[#This Row],[ROE]]-VLOOKUP(Main_L[[#This Row],[Industry]], Mean_ROE_L, 2, FALSE))/(VLOOKUP(Main_L[[#This Row],[Industry]], Mean_ROE_L, 3, FALSE))</f>
        <v>1.1875600268445994</v>
      </c>
      <c r="R74" s="1">
        <f>(Main_L[[#This Row],[ROA]]-VLOOKUP(Main_L[[#This Row],[Industry]], Mean_ROA_L, 2, FALSE))/(VLOOKUP(Main_L[[#This Row],[Industry]], Mean_ROA_L, 3, FALSE))</f>
        <v>-0.33607420173104091</v>
      </c>
      <c r="S74" s="1">
        <f>(Main_L[[#This Row],[A/E]]-VLOOKUP(Main_L[[#This Row],[Industry]], Mean_AE_L, 2, FALSE))/(VLOOKUP(Main_L[[#This Row],[Industry]], Mean_AE_L, 3, FALSE))</f>
        <v>1.7205941308961243</v>
      </c>
      <c r="T74" s="1">
        <f>(Main_L[[#This Row],[P/E]]-VLOOKUP(Main_L[[#This Row],[Industry]], Mean_PE_L, 2, FALSE))/(VLOOKUP(Main_L[[#This Row],[Industry]], Mean_PE_L, 3, FALSE))</f>
        <v>20.275064874529043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5" spans="1:26" x14ac:dyDescent="0.25">
      <c r="A75" t="s">
        <v>115</v>
      </c>
      <c r="B75" t="s">
        <v>196</v>
      </c>
      <c r="C75" s="2">
        <v>10059</v>
      </c>
      <c r="D75">
        <f>RTD("tos.rtd", , "LAST", Main_L[[#This Row],[Symbol]])</f>
        <v>69.56</v>
      </c>
      <c r="E75">
        <v>1.01</v>
      </c>
      <c r="F75">
        <v>40.72</v>
      </c>
      <c r="G75">
        <v>3.21</v>
      </c>
      <c r="H75" s="1">
        <f>IF(ISNUMBER(Main_L[[#This Row],[Free CF]]),IF(Main_L[[#This Row],[Free CF]]&lt;&gt;0,Main_L[[#This Row],[Current Price]]/Main_L[[#This Row],[Free CF]],""),"")</f>
        <v>68.871287128712879</v>
      </c>
      <c r="I75" s="1">
        <f>IF(ISNUMBER(Main_L[[#This Row],[BVPS]]),IF(Main_L[[#This Row],[BVPS]]&lt;&gt;0,Main_L[[#This Row],[Current Price]]/Main_L[[#This Row],[BVPS]],""),"")</f>
        <v>1.7082514734774068</v>
      </c>
      <c r="J75">
        <v>8.1300000000000008</v>
      </c>
      <c r="K75">
        <v>1.81</v>
      </c>
      <c r="L75">
        <v>4.3899999999999997</v>
      </c>
      <c r="M75" s="1">
        <f>IF(ISNUMBER(Main_L[[#This Row],[EPS]]),IF(Main_L[[#This Row],[EPS]]&lt;&gt;0,Main_L[[#This Row],[Current Price]]/Main_L[[#This Row],[EPS]],""),"")</f>
        <v>21.669781931464176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4.0229358927562417</v>
      </c>
      <c r="P75" s="1">
        <f>(Main_L[[#This Row],[P/B]]-VLOOKUP(Main_L[[#This Row],[Industry]], Mean_PB_L, 2, FALSE))/(VLOOKUP(Main_L[[#This Row],[Industry]], Mean_PB_L, 3, FALSE))</f>
        <v>-0.78503814896747282</v>
      </c>
      <c r="Q75" s="1">
        <f>(Main_L[[#This Row],[ROE]]-VLOOKUP(Main_L[[#This Row],[Industry]], Mean_ROE_L, 2, FALSE))/(VLOOKUP(Main_L[[#This Row],[Industry]], Mean_ROE_L, 3, FALSE))</f>
        <v>-0.63685032769303862</v>
      </c>
      <c r="R75" s="1">
        <f>(Main_L[[#This Row],[ROA]]-VLOOKUP(Main_L[[#This Row],[Industry]], Mean_ROA_L, 2, FALSE))/(VLOOKUP(Main_L[[#This Row],[Industry]], Mean_ROA_L, 3, FALSE))</f>
        <v>-1.5262026128515236</v>
      </c>
      <c r="S75" s="1">
        <f>(Main_L[[#This Row],[A/E]]-VLOOKUP(Main_L[[#This Row],[Industry]], Mean_AE_L, 2, FALSE))/(VLOOKUP(Main_L[[#This Row],[Industry]], Mean_AE_L, 3, FALSE))</f>
        <v>0.25406363322562503</v>
      </c>
      <c r="T75" s="1">
        <f>(Main_L[[#This Row],[P/E]]-VLOOKUP(Main_L[[#This Row],[Industry]], Mean_PE_L, 2, FALSE))/(VLOOKUP(Main_L[[#This Row],[Industry]], Mean_PE_L, 3, FALSE))</f>
        <v>-0.24495664242800422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t="s">
        <v>115</v>
      </c>
      <c r="B76" t="s">
        <v>197</v>
      </c>
      <c r="C76" s="2">
        <v>10021</v>
      </c>
      <c r="D76">
        <f>RTD("tos.rtd", , "LAST", Main_L[[#This Row],[Symbol]])</f>
        <v>435.38</v>
      </c>
      <c r="E76">
        <v>18.97</v>
      </c>
      <c r="F76">
        <v>41.97</v>
      </c>
      <c r="G76">
        <v>24.11</v>
      </c>
      <c r="H76" s="1">
        <f>IF(ISNUMBER(Main_L[[#This Row],[Free CF]]),IF(Main_L[[#This Row],[Free CF]]&lt;&gt;0,Main_L[[#This Row],[Current Price]]/Main_L[[#This Row],[Free CF]],""),"")</f>
        <v>22.950975224037954</v>
      </c>
      <c r="I76" s="1">
        <f>IF(ISNUMBER(Main_L[[#This Row],[BVPS]]),IF(Main_L[[#This Row],[BVPS]]&lt;&gt;0,Main_L[[#This Row],[Current Price]]/Main_L[[#This Row],[BVPS]],""),"")</f>
        <v>10.373600190612342</v>
      </c>
      <c r="J76">
        <v>60.22</v>
      </c>
      <c r="K76">
        <v>10.63</v>
      </c>
      <c r="L76">
        <v>5.41</v>
      </c>
      <c r="M76" s="1">
        <f>IF(ISNUMBER(Main_L[[#This Row],[EPS]]),IF(Main_L[[#This Row],[EPS]]&lt;&gt;0,Main_L[[#This Row],[Current Price]]/Main_L[[#This Row],[EPS]],""),"")</f>
        <v>18.0580671920365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-0.52110706873604506</v>
      </c>
      <c r="P76" s="1">
        <f>(Main_L[[#This Row],[P/B]]-VLOOKUP(Main_L[[#This Row],[Industry]], Mean_PB_L, 2, FALSE))/(VLOOKUP(Main_L[[#This Row],[Industry]], Mean_PB_L, 3, FALSE))</f>
        <v>0.58262685917490931</v>
      </c>
      <c r="Q76" s="1">
        <f>(Main_L[[#This Row],[ROE]]-VLOOKUP(Main_L[[#This Row],[Industry]], Mean_ROE_L, 2, FALSE))/(VLOOKUP(Main_L[[#This Row],[Industry]], Mean_ROE_L, 3, FALSE))</f>
        <v>0.65788448658305887</v>
      </c>
      <c r="R76" s="1">
        <f>(Main_L[[#This Row],[ROA]]-VLOOKUP(Main_L[[#This Row],[Industry]], Mean_ROA_L, 2, FALSE))/(VLOOKUP(Main_L[[#This Row],[Industry]], Mean_ROA_L, 3, FALSE))</f>
        <v>0.18061569382858347</v>
      </c>
      <c r="S76" s="1">
        <f>(Main_L[[#This Row],[A/E]]-VLOOKUP(Main_L[[#This Row],[Industry]], Mean_AE_L, 2, FALSE))/(VLOOKUP(Main_L[[#This Row],[Industry]], Mean_AE_L, 3, FALSE))</f>
        <v>0.89332051682558633</v>
      </c>
      <c r="T76" s="1">
        <f>(Main_L[[#This Row],[P/E]]-VLOOKUP(Main_L[[#This Row],[Industry]], Mean_PE_L, 2, FALSE))/(VLOOKUP(Main_L[[#This Row],[Industry]], Mean_PE_L, 3, FALSE))</f>
        <v>-0.70062763382866655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t="s">
        <v>115</v>
      </c>
      <c r="B77" t="s">
        <v>198</v>
      </c>
      <c r="C77" s="2">
        <v>78570</v>
      </c>
      <c r="D77">
        <f>RTD("tos.rtd", , "LAST", Main_L[[#This Row],[Symbol]])</f>
        <v>1320.8</v>
      </c>
      <c r="E77">
        <v>35.22</v>
      </c>
      <c r="F77">
        <v>-23.77</v>
      </c>
      <c r="G77">
        <v>40.840000000000003</v>
      </c>
      <c r="H77" s="1">
        <f>IF(ISNUMBER(Main_L[[#This Row],[Free CF]]),IF(Main_L[[#This Row],[Free CF]]&lt;&gt;0,Main_L[[#This Row],[Current Price]]/Main_L[[#This Row],[Free CF]],""),"")</f>
        <v>37.501419647927314</v>
      </c>
      <c r="I77" s="1">
        <f>IF(ISNUMBER(Main_L[[#This Row],[BVPS]]),IF(Main_L[[#This Row],[BVPS]]&lt;&gt;0,Main_L[[#This Row],[Current Price]]/Main_L[[#This Row],[BVPS]],""),"")</f>
        <v>-55.565839293226759</v>
      </c>
      <c r="J77">
        <v>-173.02</v>
      </c>
      <c r="K77">
        <v>13.73</v>
      </c>
      <c r="L77">
        <v>-11.27</v>
      </c>
      <c r="M77" s="1">
        <f>IF(ISNUMBER(Main_L[[#This Row],[EPS]]),IF(Main_L[[#This Row],[EPS]]&lt;&gt;0,Main_L[[#This Row],[Current Price]]/Main_L[[#This Row],[EPS]],""),"")</f>
        <v>32.340842311459348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0.91873168297391428</v>
      </c>
      <c r="P77" s="1">
        <f>(Main_L[[#This Row],[P/B]]-VLOOKUP(Main_L[[#This Row],[Industry]], Mean_PB_L, 2, FALSE))/(VLOOKUP(Main_L[[#This Row],[Industry]], Mean_PB_L, 3, FALSE))</f>
        <v>-9.8246939518433649</v>
      </c>
      <c r="Q77" s="1">
        <f>(Main_L[[#This Row],[ROE]]-VLOOKUP(Main_L[[#This Row],[Industry]], Mean_ROE_L, 2, FALSE))/(VLOOKUP(Main_L[[#This Row],[Industry]], Mean_ROE_L, 3, FALSE))</f>
        <v>-5.1394652558196485</v>
      </c>
      <c r="R77" s="1">
        <f>(Main_L[[#This Row],[ROA]]-VLOOKUP(Main_L[[#This Row],[Industry]], Mean_ROA_L, 2, FALSE))/(VLOOKUP(Main_L[[#This Row],[Industry]], Mean_ROA_L, 3, FALSE))</f>
        <v>0.78051781975923329</v>
      </c>
      <c r="S77" s="1">
        <f>(Main_L[[#This Row],[A/E]]-VLOOKUP(Main_L[[#This Row],[Industry]], Mean_AE_L, 2, FALSE))/(VLOOKUP(Main_L[[#This Row],[Industry]], Mean_AE_L, 3, FALSE))</f>
        <v>-9.560409697338482</v>
      </c>
      <c r="T77" s="1">
        <f>(Main_L[[#This Row],[P/E]]-VLOOKUP(Main_L[[#This Row],[Industry]], Mean_PE_L, 2, FALSE))/(VLOOKUP(Main_L[[#This Row],[Industry]], Mean_PE_L, 3, FALSE))</f>
        <v>1.1013547396883074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t="s">
        <v>115</v>
      </c>
      <c r="B78" t="s">
        <v>199</v>
      </c>
      <c r="C78" s="2">
        <v>10259</v>
      </c>
      <c r="D78">
        <f>RTD("tos.rtd", , "LAST", Main_L[[#This Row],[Symbol]])</f>
        <v>165.85</v>
      </c>
      <c r="E78">
        <v>9.93</v>
      </c>
      <c r="F78">
        <v>80.92</v>
      </c>
      <c r="G78">
        <v>14.19</v>
      </c>
      <c r="H78" s="1">
        <f>IF(ISNUMBER(Main_L[[#This Row],[Free CF]]),IF(Main_L[[#This Row],[Free CF]]&lt;&gt;0,Main_L[[#This Row],[Current Price]]/Main_L[[#This Row],[Free CF]],""),"")</f>
        <v>16.701913393756293</v>
      </c>
      <c r="I78" s="1">
        <f>IF(ISNUMBER(Main_L[[#This Row],[BVPS]]),IF(Main_L[[#This Row],[BVPS]]&lt;&gt;0,Main_L[[#This Row],[Current Price]]/Main_L[[#This Row],[BVPS]],""),"")</f>
        <v>2.0495551161641128</v>
      </c>
      <c r="J78">
        <v>18.559999999999999</v>
      </c>
      <c r="K78">
        <v>4.93</v>
      </c>
      <c r="L78">
        <v>3.14</v>
      </c>
      <c r="M78" s="1">
        <f>IF(ISNUMBER(Main_L[[#This Row],[EPS]]),IF(Main_L[[#This Row],[EPS]]&lt;&gt;0,Main_L[[#This Row],[Current Price]]/Main_L[[#This Row],[EPS]],""),"")</f>
        <v>11.687808315715293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-1.1394827776111982</v>
      </c>
      <c r="P78" s="1">
        <f>(Main_L[[#This Row],[P/B]]-VLOOKUP(Main_L[[#This Row],[Industry]], Mean_PB_L, 2, FALSE))/(VLOOKUP(Main_L[[#This Row],[Industry]], Mean_PB_L, 3, FALSE))</f>
        <v>-0.73116968221654954</v>
      </c>
      <c r="Q78" s="1">
        <f>(Main_L[[#This Row],[ROE]]-VLOOKUP(Main_L[[#This Row],[Industry]], Mean_ROE_L, 2, FALSE))/(VLOOKUP(Main_L[[#This Row],[Industry]], Mean_ROE_L, 3, FALSE))</f>
        <v>-0.37760509611500653</v>
      </c>
      <c r="R78" s="1">
        <f>(Main_L[[#This Row],[ROA]]-VLOOKUP(Main_L[[#This Row],[Industry]], Mean_ROA_L, 2, FALSE))/(VLOOKUP(Main_L[[#This Row],[Industry]], Mean_ROA_L, 3, FALSE))</f>
        <v>-0.92243015062454703</v>
      </c>
      <c r="S78" s="1">
        <f>(Main_L[[#This Row],[A/E]]-VLOOKUP(Main_L[[#This Row],[Industry]], Mean_AE_L, 2, FALSE))/(VLOOKUP(Main_L[[#This Row],[Industry]], Mean_AE_L, 3, FALSE))</f>
        <v>-0.5293394104017779</v>
      </c>
      <c r="T78" s="1">
        <f>(Main_L[[#This Row],[P/E]]-VLOOKUP(Main_L[[#This Row],[Industry]], Mean_PE_L, 2, FALSE))/(VLOOKUP(Main_L[[#This Row],[Industry]], Mean_PE_L, 3, FALSE))</f>
        <v>-1.5043295834771406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t="s">
        <v>115</v>
      </c>
      <c r="B79" t="s">
        <v>200</v>
      </c>
      <c r="C79" s="2">
        <v>19470</v>
      </c>
      <c r="D79">
        <f>RTD("tos.rtd", , "LAST", Main_L[[#This Row],[Symbol]])</f>
        <v>174.44</v>
      </c>
      <c r="E79">
        <v>9.02</v>
      </c>
      <c r="F79">
        <v>17.399999999999999</v>
      </c>
      <c r="G79">
        <v>8.7899999999999991</v>
      </c>
      <c r="H79" s="1">
        <f>IF(ISNUMBER(Main_L[[#This Row],[Free CF]]),IF(Main_L[[#This Row],[Free CF]]&lt;&gt;0,Main_L[[#This Row],[Current Price]]/Main_L[[#This Row],[Free CF]],""),"")</f>
        <v>19.339246119733925</v>
      </c>
      <c r="I79" s="1">
        <f>IF(ISNUMBER(Main_L[[#This Row],[BVPS]]),IF(Main_L[[#This Row],[BVPS]]&lt;&gt;0,Main_L[[#This Row],[Current Price]]/Main_L[[#This Row],[BVPS]],""),"")</f>
        <v>10.02528735632184</v>
      </c>
      <c r="J79">
        <v>52.7</v>
      </c>
      <c r="K79">
        <v>16.95</v>
      </c>
      <c r="L79">
        <v>2.4700000000000002</v>
      </c>
      <c r="M79" s="1">
        <f>IF(ISNUMBER(Main_L[[#This Row],[EPS]]),IF(Main_L[[#This Row],[EPS]]&lt;&gt;0,Main_L[[#This Row],[Current Price]]/Main_L[[#This Row],[EPS]],""),"")</f>
        <v>19.845278725824802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-0.87850560403560063</v>
      </c>
      <c r="P79" s="1">
        <f>(Main_L[[#This Row],[P/B]]-VLOOKUP(Main_L[[#This Row],[Industry]], Mean_PB_L, 2, FALSE))/(VLOOKUP(Main_L[[#This Row],[Industry]], Mean_PB_L, 3, FALSE))</f>
        <v>0.5276521211815004</v>
      </c>
      <c r="Q79" s="1">
        <f>(Main_L[[#This Row],[ROE]]-VLOOKUP(Main_L[[#This Row],[Industry]], Mean_ROE_L, 2, FALSE))/(VLOOKUP(Main_L[[#This Row],[Industry]], Mean_ROE_L, 3, FALSE))</f>
        <v>0.47096942028710481</v>
      </c>
      <c r="R79" s="1">
        <f>(Main_L[[#This Row],[ROA]]-VLOOKUP(Main_L[[#This Row],[Industry]], Mean_ROA_L, 2, FALSE))/(VLOOKUP(Main_L[[#This Row],[Industry]], Mean_ROA_L, 3, FALSE))</f>
        <v>1.4036419634678434</v>
      </c>
      <c r="S79" s="1">
        <f>(Main_L[[#This Row],[A/E]]-VLOOKUP(Main_L[[#This Row],[Industry]], Mean_AE_L, 2, FALSE))/(VLOOKUP(Main_L[[#This Row],[Industry]], Mean_AE_L, 3, FALSE))</f>
        <v>-0.94924344178606601</v>
      </c>
      <c r="T79" s="1">
        <f>(Main_L[[#This Row],[P/E]]-VLOOKUP(Main_L[[#This Row],[Industry]], Mean_PE_L, 2, FALSE))/(VLOOKUP(Main_L[[#This Row],[Industry]], Mean_PE_L, 3, FALSE))</f>
        <v>-0.47514458486199668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t="s">
        <v>110</v>
      </c>
      <c r="B80" t="s">
        <v>135</v>
      </c>
      <c r="C80" s="2">
        <v>14783</v>
      </c>
      <c r="D80">
        <f>RTD("tos.rtd", , "LAST", Main_L[[#This Row],[Symbol]])</f>
        <v>31.2</v>
      </c>
      <c r="E80">
        <v>0.3</v>
      </c>
      <c r="F80">
        <v>9.0299999999999994</v>
      </c>
      <c r="G80">
        <v>0.14000000000000001</v>
      </c>
      <c r="H80" s="1">
        <f>IF(ISNUMBER(Main_L[[#This Row],[Free CF]]),IF(Main_L[[#This Row],[Free CF]]&lt;&gt;0,Main_L[[#This Row],[Current Price]]/Main_L[[#This Row],[Free CF]],""),"")</f>
        <v>104</v>
      </c>
      <c r="I80" s="1">
        <f>IF(ISNUMBER(Main_L[[#This Row],[BVPS]]),IF(Main_L[[#This Row],[BVPS]]&lt;&gt;0,Main_L[[#This Row],[Current Price]]/Main_L[[#This Row],[BVPS]],""),"")</f>
        <v>3.4551495016611296</v>
      </c>
      <c r="J80">
        <v>3.23</v>
      </c>
      <c r="K80">
        <v>3.53</v>
      </c>
      <c r="L80">
        <v>1.67</v>
      </c>
      <c r="M80" s="1">
        <f>IF(ISNUMBER(Main_L[[#This Row],[EPS]]),IF(Main_L[[#This Row],[EPS]]&lt;&gt;0,Main_L[[#This Row],[Current Price]]/Main_L[[#This Row],[EPS]],""),"")</f>
        <v>222.85714285714283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11.311495868726904</v>
      </c>
      <c r="P80" s="1">
        <f>(Main_L[[#This Row],[P/B]]-VLOOKUP(Main_L[[#This Row],[Industry]], Mean_PB_L, 2, FALSE))/(VLOOKUP(Main_L[[#This Row],[Industry]], Mean_PB_L, 3, FALSE))</f>
        <v>-1.5614061521800437</v>
      </c>
      <c r="Q80" s="1">
        <f>(Main_L[[#This Row],[ROE]]-VLOOKUP(Main_L[[#This Row],[Industry]], Mean_ROE_L, 2, FALSE))/(VLOOKUP(Main_L[[#This Row],[Industry]], Mean_ROE_L, 3, FALSE))</f>
        <v>-2.0041341021996373</v>
      </c>
      <c r="R80" s="1">
        <f>(Main_L[[#This Row],[ROA]]-VLOOKUP(Main_L[[#This Row],[Industry]], Mean_ROA_L, 2, FALSE))/(VLOOKUP(Main_L[[#This Row],[Industry]], Mean_ROA_L, 3, FALSE))</f>
        <v>-1.1366773377875705</v>
      </c>
      <c r="S80" s="1">
        <f>(Main_L[[#This Row],[A/E]]-VLOOKUP(Main_L[[#This Row],[Industry]], Mean_AE_L, 2, FALSE))/(VLOOKUP(Main_L[[#This Row],[Industry]], Mean_AE_L, 3, FALSE))</f>
        <v>-0.68389943449191182</v>
      </c>
      <c r="T80" s="1">
        <f>(Main_L[[#This Row],[P/E]]-VLOOKUP(Main_L[[#This Row],[Industry]], Mean_PE_L, 2, FALSE))/(VLOOKUP(Main_L[[#This Row],[Industry]], Mean_PE_L, 3, FALSE))</f>
        <v>10.615972964896876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1" spans="1:26" x14ac:dyDescent="0.25">
      <c r="A81" t="s">
        <v>110</v>
      </c>
      <c r="B81" t="s">
        <v>136</v>
      </c>
      <c r="C81" s="2">
        <v>34535</v>
      </c>
      <c r="D81">
        <f>RTD("tos.rtd", , "LAST", Main_L[[#This Row],[Symbol]])</f>
        <v>310.61</v>
      </c>
      <c r="E81">
        <v>12.8</v>
      </c>
      <c r="F81">
        <v>35.65</v>
      </c>
      <c r="G81">
        <v>14.64</v>
      </c>
      <c r="H81" s="1">
        <f>IF(ISNUMBER(Main_L[[#This Row],[Free CF]]),IF(Main_L[[#This Row],[Free CF]]&lt;&gt;0,Main_L[[#This Row],[Current Price]]/Main_L[[#This Row],[Free CF]],""),"")</f>
        <v>24.266406249999999</v>
      </c>
      <c r="I81" s="1">
        <f>IF(ISNUMBER(Main_L[[#This Row],[BVPS]]),IF(Main_L[[#This Row],[BVPS]]&lt;&gt;0,Main_L[[#This Row],[Current Price]]/Main_L[[#This Row],[BVPS]],""),"")</f>
        <v>8.7127629733520351</v>
      </c>
      <c r="J81">
        <v>42.42</v>
      </c>
      <c r="K81">
        <v>21.31</v>
      </c>
      <c r="L81">
        <v>1.76</v>
      </c>
      <c r="M81" s="1">
        <f>IF(ISNUMBER(Main_L[[#This Row],[EPS]]),IF(Main_L[[#This Row],[EPS]]&lt;&gt;0,Main_L[[#This Row],[Current Price]]/Main_L[[#This Row],[EPS]],""),"")</f>
        <v>21.21653005464481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0.1884243637102764</v>
      </c>
      <c r="P81" s="1">
        <f>(Main_L[[#This Row],[P/B]]-VLOOKUP(Main_L[[#This Row],[Industry]], Mean_PB_L, 2, FALSE))/(VLOOKUP(Main_L[[#This Row],[Industry]], Mean_PB_L, 3, FALSE))</f>
        <v>0.14679071205075045</v>
      </c>
      <c r="Q81" s="1">
        <f>(Main_L[[#This Row],[ROE]]-VLOOKUP(Main_L[[#This Row],[Industry]], Mean_ROE_L, 2, FALSE))/(VLOOKUP(Main_L[[#This Row],[Industry]], Mean_ROE_L, 3, FALSE))</f>
        <v>1.0198695733761098</v>
      </c>
      <c r="R81" s="1">
        <f>(Main_L[[#This Row],[ROA]]-VLOOKUP(Main_L[[#This Row],[Industry]], Mean_ROA_L, 2, FALSE))/(VLOOKUP(Main_L[[#This Row],[Industry]], Mean_ROA_L, 3, FALSE))</f>
        <v>1.6520248396427668</v>
      </c>
      <c r="S81" s="1">
        <f>(Main_L[[#This Row],[A/E]]-VLOOKUP(Main_L[[#This Row],[Industry]], Mean_AE_L, 2, FALSE))/(VLOOKUP(Main_L[[#This Row],[Industry]], Mean_AE_L, 3, FALSE))</f>
        <v>-0.50969863514019842</v>
      </c>
      <c r="T81" s="1">
        <f>(Main_L[[#This Row],[P/E]]-VLOOKUP(Main_L[[#This Row],[Industry]], Mean_PE_L, 2, FALSE))/(VLOOKUP(Main_L[[#This Row],[Industry]], Mean_PE_L, 3, FALSE))</f>
        <v>-0.51068362767081277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2" spans="1:26" x14ac:dyDescent="0.25">
      <c r="A82" t="s">
        <v>110</v>
      </c>
      <c r="B82" t="s">
        <v>137</v>
      </c>
      <c r="C82" s="2">
        <v>14846</v>
      </c>
      <c r="D82">
        <f>RTD("tos.rtd", , "LAST", Main_L[[#This Row],[Symbol]])</f>
        <v>269.79000000000002</v>
      </c>
      <c r="E82">
        <v>16.739999999999998</v>
      </c>
      <c r="F82">
        <v>41.09</v>
      </c>
      <c r="G82">
        <v>10.92</v>
      </c>
      <c r="H82" s="1">
        <f>IF(ISNUMBER(Main_L[[#This Row],[Free CF]]),IF(Main_L[[#This Row],[Free CF]]&lt;&gt;0,Main_L[[#This Row],[Current Price]]/Main_L[[#This Row],[Free CF]],""),"")</f>
        <v>16.116487455197134</v>
      </c>
      <c r="I82" s="1">
        <f>IF(ISNUMBER(Main_L[[#This Row],[BVPS]]),IF(Main_L[[#This Row],[BVPS]]&lt;&gt;0,Main_L[[#This Row],[Current Price]]/Main_L[[#This Row],[BVPS]],""),"")</f>
        <v>6.5658311024580192</v>
      </c>
      <c r="J82">
        <v>27.57</v>
      </c>
      <c r="K82">
        <v>7.93</v>
      </c>
      <c r="L82">
        <v>2.79</v>
      </c>
      <c r="M82" s="1">
        <f>IF(ISNUMBER(Main_L[[#This Row],[EPS]]),IF(Main_L[[#This Row],[EPS]]&lt;&gt;0,Main_L[[#This Row],[Current Price]]/Main_L[[#This Row],[EPS]],""),"")</f>
        <v>24.70604395604396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-0.94851334662177811</v>
      </c>
      <c r="P82" s="1">
        <f>(Main_L[[#This Row],[P/B]]-VLOOKUP(Main_L[[#This Row],[Industry]], Mean_PB_L, 2, FALSE))/(VLOOKUP(Main_L[[#This Row],[Industry]], Mean_PB_L, 3, FALSE))</f>
        <v>-0.55074673708372157</v>
      </c>
      <c r="Q82" s="1">
        <f>(Main_L[[#This Row],[ROE]]-VLOOKUP(Main_L[[#This Row],[Industry]], Mean_ROE_L, 2, FALSE))/(VLOOKUP(Main_L[[#This Row],[Industry]], Mean_ROE_L, 3, FALSE))</f>
        <v>-0.12599556013498614</v>
      </c>
      <c r="R82" s="1">
        <f>(Main_L[[#This Row],[ROA]]-VLOOKUP(Main_L[[#This Row],[Industry]], Mean_ROA_L, 2, FALSE))/(VLOOKUP(Main_L[[#This Row],[Industry]], Mean_ROA_L, 3, FALSE))</f>
        <v>-0.44655981356408997</v>
      </c>
      <c r="S82" s="1">
        <f>(Main_L[[#This Row],[A/E]]-VLOOKUP(Main_L[[#This Row],[Industry]], Mean_AE_L, 2, FALSE))/(VLOOKUP(Main_L[[#This Row],[Industry]], Mean_AE_L, 3, FALSE))</f>
        <v>1.4839327352182985</v>
      </c>
      <c r="T82" s="1">
        <f>(Main_L[[#This Row],[P/E]]-VLOOKUP(Main_L[[#This Row],[Industry]], Mean_PE_L, 2, FALSE))/(VLOOKUP(Main_L[[#This Row],[Industry]], Mean_PE_L, 3, FALSE))</f>
        <v>-0.31813004277425649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t="s">
        <v>110</v>
      </c>
      <c r="B83" t="s">
        <v>138</v>
      </c>
      <c r="C83" s="2">
        <v>15474</v>
      </c>
      <c r="D83">
        <f>RTD("tos.rtd", , "LAST", Main_L[[#This Row],[Symbol]])</f>
        <v>83.6</v>
      </c>
      <c r="E83">
        <v>3.77</v>
      </c>
      <c r="F83">
        <v>6.46</v>
      </c>
      <c r="G83">
        <v>3.44</v>
      </c>
      <c r="H83" s="1">
        <f>IF(ISNUMBER(Main_L[[#This Row],[Free CF]]),IF(Main_L[[#This Row],[Free CF]]&lt;&gt;0,Main_L[[#This Row],[Current Price]]/Main_L[[#This Row],[Free CF]],""),"")</f>
        <v>22.175066312997345</v>
      </c>
      <c r="I83" s="1">
        <f>IF(ISNUMBER(Main_L[[#This Row],[BVPS]]),IF(Main_L[[#This Row],[BVPS]]&lt;&gt;0,Main_L[[#This Row],[Current Price]]/Main_L[[#This Row],[BVPS]],""),"")</f>
        <v>12.941176470588234</v>
      </c>
      <c r="J83">
        <v>39.82</v>
      </c>
      <c r="K83">
        <v>7.96</v>
      </c>
      <c r="L83">
        <v>5.43</v>
      </c>
      <c r="M83" s="1">
        <f>IF(ISNUMBER(Main_L[[#This Row],[EPS]]),IF(Main_L[[#This Row],[EPS]]&lt;&gt;0,Main_L[[#This Row],[Current Price]]/Main_L[[#This Row],[EPS]],""),"")</f>
        <v>24.302325581395348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3" s="1">
        <f>(Main_L[[#This Row],[P/FCF]]-VLOOKUP(Main_L[[#This Row],[Industry]], Mean_PFCF_L, 2, FALSE))/(VLOOKUP(Main_L[[#This Row],[Industry]], Mean_PFCF_L, 3, FALSE))</f>
        <v>-0.10332372597842523</v>
      </c>
      <c r="P83" s="1">
        <f>(Main_L[[#This Row],[P/B]]-VLOOKUP(Main_L[[#This Row],[Industry]], Mean_PB_L, 2, FALSE))/(VLOOKUP(Main_L[[#This Row],[Industry]], Mean_PB_L, 3, FALSE))</f>
        <v>1.5206008476838395</v>
      </c>
      <c r="Q83" s="1">
        <f>(Main_L[[#This Row],[ROE]]-VLOOKUP(Main_L[[#This Row],[Industry]], Mean_ROE_L, 2, FALSE))/(VLOOKUP(Main_L[[#This Row],[Industry]], Mean_ROE_L, 3, FALSE))</f>
        <v>0.81924672171760127</v>
      </c>
      <c r="R83" s="1">
        <f>(Main_L[[#This Row],[ROA]]-VLOOKUP(Main_L[[#This Row],[Industry]], Mean_ROA_L, 2, FALSE))/(VLOOKUP(Main_L[[#This Row],[Industry]], Mean_ROA_L, 3, FALSE))</f>
        <v>-0.44185446680802076</v>
      </c>
      <c r="S83" s="1">
        <f>(Main_L[[#This Row],[A/E]]-VLOOKUP(Main_L[[#This Row],[Industry]], Mean_AE_L, 2, FALSE))/(VLOOKUP(Main_L[[#This Row],[Industry]], Mean_AE_L, 3, FALSE))</f>
        <v>6.5938228495352211</v>
      </c>
      <c r="T83" s="1">
        <f>(Main_L[[#This Row],[P/E]]-VLOOKUP(Main_L[[#This Row],[Industry]], Mean_PE_L, 2, FALSE))/(VLOOKUP(Main_L[[#This Row],[Industry]], Mean_PE_L, 3, FALSE))</f>
        <v>-0.340407478120203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t="s">
        <v>110</v>
      </c>
      <c r="B84" t="s">
        <v>139</v>
      </c>
      <c r="C84" s="2">
        <v>18343</v>
      </c>
      <c r="D84">
        <f>RTD("tos.rtd", , "LAST", Main_L[[#This Row],[Symbol]])</f>
        <v>129.37</v>
      </c>
      <c r="E84">
        <v>6.58</v>
      </c>
      <c r="F84">
        <v>17.329999999999998</v>
      </c>
      <c r="G84">
        <v>6.15</v>
      </c>
      <c r="H84" s="1">
        <f>IF(ISNUMBER(Main_L[[#This Row],[Free CF]]),IF(Main_L[[#This Row],[Free CF]]&lt;&gt;0,Main_L[[#This Row],[Current Price]]/Main_L[[#This Row],[Free CF]],""),"")</f>
        <v>19.661094224924014</v>
      </c>
      <c r="I84" s="1">
        <f>IF(ISNUMBER(Main_L[[#This Row],[BVPS]]),IF(Main_L[[#This Row],[BVPS]]&lt;&gt;0,Main_L[[#This Row],[Current Price]]/Main_L[[#This Row],[BVPS]],""),"")</f>
        <v>7.4650894402769774</v>
      </c>
      <c r="J84">
        <v>39.799999999999997</v>
      </c>
      <c r="K84">
        <v>19.809999999999999</v>
      </c>
      <c r="L84">
        <v>1.51</v>
      </c>
      <c r="M84" s="1">
        <f>IF(ISNUMBER(Main_L[[#This Row],[EPS]]),IF(Main_L[[#This Row],[EPS]]&lt;&gt;0,Main_L[[#This Row],[Current Price]]/Main_L[[#This Row],[EPS]],""),"")</f>
        <v>21.035772357723577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4" s="1">
        <f>(Main_L[[#This Row],[P/FCF]]-VLOOKUP(Main_L[[#This Row],[Industry]], Mean_PFCF_L, 2, FALSE))/(VLOOKUP(Main_L[[#This Row],[Industry]], Mean_PFCF_L, 3, FALSE))</f>
        <v>-0.45403024730909863</v>
      </c>
      <c r="P84" s="1">
        <f>(Main_L[[#This Row],[P/B]]-VLOOKUP(Main_L[[#This Row],[Industry]], Mean_PB_L, 2, FALSE))/(VLOOKUP(Main_L[[#This Row],[Industry]], Mean_PB_L, 3, FALSE))</f>
        <v>-0.25857800291055105</v>
      </c>
      <c r="Q84" s="1">
        <f>(Main_L[[#This Row],[ROE]]-VLOOKUP(Main_L[[#This Row],[Industry]], Mean_ROE_L, 2, FALSE))/(VLOOKUP(Main_L[[#This Row],[Industry]], Mean_ROE_L, 3, FALSE))</f>
        <v>0.81770346901253554</v>
      </c>
      <c r="R84" s="1">
        <f>(Main_L[[#This Row],[ROA]]-VLOOKUP(Main_L[[#This Row],[Industry]], Mean_ROA_L, 2, FALSE))/(VLOOKUP(Main_L[[#This Row],[Industry]], Mean_ROA_L, 3, FALSE))</f>
        <v>1.4167575018393075</v>
      </c>
      <c r="S84" s="1">
        <f>(Main_L[[#This Row],[A/E]]-VLOOKUP(Main_L[[#This Row],[Industry]], Mean_AE_L, 2, FALSE))/(VLOOKUP(Main_L[[#This Row],[Industry]], Mean_AE_L, 3, FALSE))</f>
        <v>-0.99358974445051307</v>
      </c>
      <c r="T84" s="1">
        <f>(Main_L[[#This Row],[P/E]]-VLOOKUP(Main_L[[#This Row],[Industry]], Mean_PE_L, 2, FALSE))/(VLOOKUP(Main_L[[#This Row],[Industry]], Mean_PE_L, 3, FALSE))</f>
        <v>-0.52065795175242002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t="s">
        <v>110</v>
      </c>
      <c r="B85" t="s">
        <v>140</v>
      </c>
      <c r="C85" s="2">
        <v>86523</v>
      </c>
      <c r="D85">
        <f>RTD("tos.rtd", , "LAST", Main_L[[#This Row],[Symbol]])</f>
        <v>62.39</v>
      </c>
      <c r="E85">
        <v>3.56</v>
      </c>
      <c r="F85">
        <v>9.48</v>
      </c>
      <c r="G85">
        <v>3.01</v>
      </c>
      <c r="H85" s="1">
        <f>IF(ISNUMBER(Main_L[[#This Row],[Free CF]]),IF(Main_L[[#This Row],[Free CF]]&lt;&gt;0,Main_L[[#This Row],[Current Price]]/Main_L[[#This Row],[Free CF]],""),"")</f>
        <v>17.525280898876403</v>
      </c>
      <c r="I85" s="1">
        <f>IF(ISNUMBER(Main_L[[#This Row],[BVPS]]),IF(Main_L[[#This Row],[BVPS]]&lt;&gt;0,Main_L[[#This Row],[Current Price]]/Main_L[[#This Row],[BVPS]],""),"")</f>
        <v>6.5812236286919825</v>
      </c>
      <c r="J85">
        <v>31.93</v>
      </c>
      <c r="K85">
        <v>8.26</v>
      </c>
      <c r="L85">
        <v>2.7</v>
      </c>
      <c r="M85" s="1">
        <f>IF(ISNUMBER(Main_L[[#This Row],[EPS]]),IF(Main_L[[#This Row],[EPS]]&lt;&gt;0,Main_L[[#This Row],[Current Price]]/Main_L[[#This Row],[EPS]],""),"")</f>
        <v>20.727574750830566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-0.75198250594531457</v>
      </c>
      <c r="P85" s="1">
        <f>(Main_L[[#This Row],[P/B]]-VLOOKUP(Main_L[[#This Row],[Industry]], Mean_PB_L, 2, FALSE))/(VLOOKUP(Main_L[[#This Row],[Industry]], Mean_PB_L, 3, FALSE))</f>
        <v>-0.54574571044168696</v>
      </c>
      <c r="Q85" s="1">
        <f>(Main_L[[#This Row],[ROE]]-VLOOKUP(Main_L[[#This Row],[Industry]], Mean_ROE_L, 2, FALSE))/(VLOOKUP(Main_L[[#This Row],[Industry]], Mean_ROE_L, 3, FALSE))</f>
        <v>0.21043352956928169</v>
      </c>
      <c r="R85" s="1">
        <f>(Main_L[[#This Row],[ROA]]-VLOOKUP(Main_L[[#This Row],[Industry]], Mean_ROA_L, 2, FALSE))/(VLOOKUP(Main_L[[#This Row],[Industry]], Mean_ROA_L, 3, FALSE))</f>
        <v>-0.39480099924732892</v>
      </c>
      <c r="S85" s="1">
        <f>(Main_L[[#This Row],[A/E]]-VLOOKUP(Main_L[[#This Row],[Industry]], Mean_AE_L, 2, FALSE))/(VLOOKUP(Main_L[[#This Row],[Industry]], Mean_AE_L, 3, FALSE))</f>
        <v>1.3097319358665853</v>
      </c>
      <c r="T85" s="1">
        <f>(Main_L[[#This Row],[P/E]]-VLOOKUP(Main_L[[#This Row],[Industry]], Mean_PE_L, 2, FALSE))/(VLOOKUP(Main_L[[#This Row],[Industry]], Mean_PE_L, 3, FALSE))</f>
        <v>-0.5376644906975705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t="s">
        <v>110</v>
      </c>
      <c r="B86" t="s">
        <v>141</v>
      </c>
      <c r="C86" s="2">
        <v>15716</v>
      </c>
      <c r="D86">
        <f>RTD("tos.rtd", , "LAST", Main_L[[#This Row],[Symbol]])</f>
        <v>57.38</v>
      </c>
      <c r="E86">
        <v>1.52</v>
      </c>
      <c r="F86">
        <v>4.74</v>
      </c>
      <c r="G86">
        <v>0.81</v>
      </c>
      <c r="H86" s="1">
        <f>IF(ISNUMBER(Main_L[[#This Row],[Free CF]]),IF(Main_L[[#This Row],[Free CF]]&lt;&gt;0,Main_L[[#This Row],[Current Price]]/Main_L[[#This Row],[Free CF]],""),"")</f>
        <v>37.75</v>
      </c>
      <c r="I86" s="1">
        <f>IF(ISNUMBER(Main_L[[#This Row],[BVPS]]),IF(Main_L[[#This Row],[BVPS]]&lt;&gt;0,Main_L[[#This Row],[Current Price]]/Main_L[[#This Row],[BVPS]],""),"")</f>
        <v>12.10548523206751</v>
      </c>
      <c r="J86">
        <v>19.649999999999999</v>
      </c>
      <c r="K86">
        <v>6.64</v>
      </c>
      <c r="L86">
        <v>1.71</v>
      </c>
      <c r="M86" s="1">
        <f>IF(ISNUMBER(Main_L[[#This Row],[EPS]]),IF(Main_L[[#This Row],[EPS]]&lt;&gt;0,Main_L[[#This Row],[Current Price]]/Main_L[[#This Row],[EPS]],""),"")</f>
        <v>70.839506172839506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2.0694254621443391</v>
      </c>
      <c r="P86" s="1">
        <f>(Main_L[[#This Row],[P/B]]-VLOOKUP(Main_L[[#This Row],[Industry]], Mean_PB_L, 2, FALSE))/(VLOOKUP(Main_L[[#This Row],[Industry]], Mean_PB_L, 3, FALSE))</f>
        <v>1.2490850428814106</v>
      </c>
      <c r="Q86" s="1">
        <f>(Main_L[[#This Row],[ROE]]-VLOOKUP(Main_L[[#This Row],[Industry]], Mean_ROE_L, 2, FALSE))/(VLOOKUP(Main_L[[#This Row],[Industry]], Mean_ROE_L, 3, FALSE))</f>
        <v>-0.73712363134090397</v>
      </c>
      <c r="R86" s="1">
        <f>(Main_L[[#This Row],[ROA]]-VLOOKUP(Main_L[[#This Row],[Industry]], Mean_ROA_L, 2, FALSE))/(VLOOKUP(Main_L[[#This Row],[Industry]], Mean_ROA_L, 3, FALSE))</f>
        <v>-0.64888972407506496</v>
      </c>
      <c r="S86" s="1">
        <f>(Main_L[[#This Row],[A/E]]-VLOOKUP(Main_L[[#This Row],[Industry]], Mean_AE_L, 2, FALSE))/(VLOOKUP(Main_L[[#This Row],[Industry]], Mean_AE_L, 3, FALSE))</f>
        <v>-0.60647685700226139</v>
      </c>
      <c r="T86" s="1">
        <f>(Main_L[[#This Row],[P/E]]-VLOOKUP(Main_L[[#This Row],[Industry]], Mean_PE_L, 2, FALSE))/(VLOOKUP(Main_L[[#This Row],[Industry]], Mean_PE_L, 3, FALSE))</f>
        <v>2.2275435910152628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29"/>
  <sheetViews>
    <sheetView topLeftCell="H1" workbookViewId="0">
      <selection activeCell="B24" sqref="B24"/>
    </sheetView>
  </sheetViews>
  <sheetFormatPr defaultRowHeight="15" x14ac:dyDescent="0.25"/>
  <cols>
    <col min="1" max="1" width="30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7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201</v>
      </c>
      <c r="C2" s="2">
        <v>7243</v>
      </c>
      <c r="D2">
        <f>RTD("tos.rtd", , "LAST", Main_M[[#This Row],[Symbol]])</f>
        <v>102.11</v>
      </c>
      <c r="E2">
        <v>5.99</v>
      </c>
      <c r="F2">
        <v>30.41</v>
      </c>
      <c r="G2">
        <v>8.68</v>
      </c>
      <c r="H2" s="1">
        <f>IF(ISNUMBER(Main_M[[#This Row],[Free CF]]),IF(Main_M[[#This Row],[Free CF]]&lt;&gt;0,Main_M[[#This Row],[Current Price]]/Main_M[[#This Row],[Free CF]],""),"")</f>
        <v>17.046744574290482</v>
      </c>
      <c r="I2" s="1">
        <f>IF(ISNUMBER(Main_M[[#This Row],[BVPS]]),IF(Main_M[[#This Row],[BVPS]]&lt;&gt;0,Main_M[[#This Row],[Current Price]]/Main_M[[#This Row],[BVPS]],""),"")</f>
        <v>3.3577770470240051</v>
      </c>
      <c r="J2">
        <v>28.66</v>
      </c>
      <c r="K2">
        <v>8</v>
      </c>
      <c r="L2">
        <v>3.45</v>
      </c>
      <c r="M2" s="1">
        <f>IF(ISNUMBER(Main_M[[#This Row],[EPS]]),IF(Main_M[[#This Row],[EPS]]&lt;&gt;0,Main_M[[#This Row],[Current Price]]/Main_M[[#This Row],[EPS]],""),"")</f>
        <v>11.763824884792626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0.97011065772331462</v>
      </c>
      <c r="P2" s="1">
        <f>(Main_M[[#This Row],[P/B]]-VLOOKUP(Main_M[[#This Row],[Industry]], Mean_PB_M, 2, FALSE))/(VLOOKUP(Main_M[[#This Row],[Industry]], Mean_PB_M, 3, FALSE))</f>
        <v>1.2396433220075862</v>
      </c>
      <c r="Q2" s="1">
        <f>(Main_M[[#This Row],[ROE]]-VLOOKUP(Main_M[[#This Row],[Industry]], Mean_ROE_M, 2, FALSE))/(VLOOKUP(Main_M[[#This Row],[Industry]], Mean_ROE_M, 3, FALSE))</f>
        <v>1.2856192787025367</v>
      </c>
      <c r="R2" s="1">
        <f>(Main_M[[#This Row],[ROA]]-VLOOKUP(Main_M[[#This Row],[Industry]], Mean_ROA_M, 2, FALSE))/(VLOOKUP(Main_M[[#This Row],[Industry]], Mean_ROA_M, 3, FALSE))</f>
        <v>0.7364013944563611</v>
      </c>
      <c r="S2" s="1">
        <f>(Main_M[[#This Row],[A/E]]-VLOOKUP(Main_M[[#This Row],[Industry]], Mean_AE_M, 2, FALSE))/(VLOOKUP(Main_M[[#This Row],[Industry]], Mean_AE_M, 3, FALSE))</f>
        <v>1.2331152571497599</v>
      </c>
      <c r="T2" s="1">
        <f>(Main_M[[#This Row],[P/E]]-VLOOKUP(Main_M[[#This Row],[Industry]], Mean_PE_M, 2, FALSE))/(VLOOKUP(Main_M[[#This Row],[Industry]], Mean_PE_M, 3, FALSE))</f>
        <v>-0.113442175464687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106</v>
      </c>
      <c r="B3" t="s">
        <v>202</v>
      </c>
      <c r="C3" s="2">
        <v>6652</v>
      </c>
      <c r="D3">
        <f>RTD("tos.rtd", , "LAST", Main_M[[#This Row],[Symbol]])</f>
        <v>33.130000000000003</v>
      </c>
      <c r="E3">
        <v>3.05</v>
      </c>
      <c r="F3">
        <v>25.3</v>
      </c>
      <c r="G3">
        <v>1.63</v>
      </c>
      <c r="H3" s="1">
        <f>IF(ISNUMBER(Main_M[[#This Row],[Free CF]]),IF(Main_M[[#This Row],[Free CF]]&lt;&gt;0,Main_M[[#This Row],[Current Price]]/Main_M[[#This Row],[Free CF]],""),"")</f>
        <v>10.862295081967215</v>
      </c>
      <c r="I3" s="1">
        <f>IF(ISNUMBER(Main_M[[#This Row],[BVPS]]),IF(Main_M[[#This Row],[BVPS]]&lt;&gt;0,Main_M[[#This Row],[Current Price]]/Main_M[[#This Row],[BVPS]],""),"")</f>
        <v>1.3094861660079051</v>
      </c>
      <c r="J3">
        <v>7.27</v>
      </c>
      <c r="K3">
        <v>5.67</v>
      </c>
      <c r="L3">
        <v>2.5299999999999998</v>
      </c>
      <c r="M3" s="1">
        <f>IF(ISNUMBER(Main_M[[#This Row],[EPS]]),IF(Main_M[[#This Row],[EPS]]&lt;&gt;0,Main_M[[#This Row],[Current Price]]/Main_M[[#This Row],[EPS]],""),"")</f>
        <v>20.325153374233132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0.30360226091285641</v>
      </c>
      <c r="P3" s="1">
        <f>(Main_M[[#This Row],[P/B]]-VLOOKUP(Main_M[[#This Row],[Industry]], Mean_PB_M, 2, FALSE))/(VLOOKUP(Main_M[[#This Row],[Industry]], Mean_PB_M, 3, FALSE))</f>
        <v>-0.81193105134375199</v>
      </c>
      <c r="Q3" s="1">
        <f>(Main_M[[#This Row],[ROE]]-VLOOKUP(Main_M[[#This Row],[Industry]], Mean_ROE_M, 2, FALSE))/(VLOOKUP(Main_M[[#This Row],[Industry]], Mean_ROE_M, 3, FALSE))</f>
        <v>-7.376615684091746E-2</v>
      </c>
      <c r="R3" s="1">
        <f>(Main_M[[#This Row],[ROA]]-VLOOKUP(Main_M[[#This Row],[Industry]], Mean_ROA_M, 2, FALSE))/(VLOOKUP(Main_M[[#This Row],[Industry]], Mean_ROA_M, 3, FALSE))</f>
        <v>5.448154615054715E-2</v>
      </c>
      <c r="S3" s="1">
        <f>(Main_M[[#This Row],[A/E]]-VLOOKUP(Main_M[[#This Row],[Industry]], Mean_AE_M, 2, FALSE))/(VLOOKUP(Main_M[[#This Row],[Industry]], Mean_AE_M, 3, FALSE))</f>
        <v>0.24293293095967775</v>
      </c>
      <c r="T3" s="1">
        <f>(Main_M[[#This Row],[P/E]]-VLOOKUP(Main_M[[#This Row],[Industry]], Mean_PE_M, 2, FALSE))/(VLOOKUP(Main_M[[#This Row],[Industry]], Mean_PE_M, 3, FALSE))</f>
        <v>0.74778036182601759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106</v>
      </c>
      <c r="B4" t="s">
        <v>203</v>
      </c>
      <c r="C4" s="2">
        <v>2132</v>
      </c>
      <c r="D4">
        <f>RTD("tos.rtd", , "LAST", Main_M[[#This Row],[Symbol]])</f>
        <v>16.5</v>
      </c>
      <c r="E4">
        <v>0.89</v>
      </c>
      <c r="F4">
        <v>9.4600000000000009</v>
      </c>
      <c r="G4">
        <v>-0.24</v>
      </c>
      <c r="H4" s="1">
        <f>IF(ISNUMBER(Main_M[[#This Row],[Free CF]]),IF(Main_M[[#This Row],[Free CF]]&lt;&gt;0,Main_M[[#This Row],[Current Price]]/Main_M[[#This Row],[Free CF]],""),"")</f>
        <v>18.539325842696631</v>
      </c>
      <c r="I4" s="1">
        <f>IF(ISNUMBER(Main_M[[#This Row],[BVPS]]),IF(Main_M[[#This Row],[BVPS]]&lt;&gt;0,Main_M[[#This Row],[Current Price]]/Main_M[[#This Row],[BVPS]],""),"")</f>
        <v>1.7441860465116277</v>
      </c>
      <c r="J4">
        <v>-1.1100000000000001</v>
      </c>
      <c r="K4">
        <v>2.44</v>
      </c>
      <c r="L4">
        <v>5.66</v>
      </c>
      <c r="M4" s="1">
        <f>IF(ISNUMBER(Main_M[[#This Row],[EPS]]),IF(Main_M[[#This Row],[EPS]]&lt;&gt;0,Main_M[[#This Row],[Current Price]]/Main_M[[#This Row],[EPS]],""),"")</f>
        <v>-68.75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1.1309686208370189</v>
      </c>
      <c r="P4" s="1">
        <f>(Main_M[[#This Row],[P/B]]-VLOOKUP(Main_M[[#This Row],[Industry]], Mean_PB_M, 2, FALSE))/(VLOOKUP(Main_M[[#This Row],[Industry]], Mean_PB_M, 3, FALSE))</f>
        <v>-0.3765343295178365</v>
      </c>
      <c r="Q4" s="1">
        <f>(Main_M[[#This Row],[ROE]]-VLOOKUP(Main_M[[#This Row],[Industry]], Mean_ROE_M, 2, FALSE))/(VLOOKUP(Main_M[[#This Row],[Industry]], Mean_ROE_M, 3, FALSE))</f>
        <v>-0.60633511195331313</v>
      </c>
      <c r="R4" s="1">
        <f>(Main_M[[#This Row],[ROA]]-VLOOKUP(Main_M[[#This Row],[Industry]], Mean_ROA_M, 2, FALSE))/(VLOOKUP(Main_M[[#This Row],[Industry]], Mean_ROA_M, 3, FALSE))</f>
        <v>-0.89084081866824205</v>
      </c>
      <c r="S4" s="1">
        <f>(Main_M[[#This Row],[A/E]]-VLOOKUP(Main_M[[#This Row],[Industry]], Mean_AE_M, 2, FALSE))/(VLOOKUP(Main_M[[#This Row],[Industry]], Mean_AE_M, 3, FALSE))</f>
        <v>3.6117054102802819</v>
      </c>
      <c r="T4" s="1">
        <f>(Main_M[[#This Row],[P/E]]-VLOOKUP(Main_M[[#This Row],[Industry]], Mean_PE_M, 2, FALSE))/(VLOOKUP(Main_M[[#This Row],[Industry]], Mean_PE_M, 3, FALSE))</f>
        <v>-8.2126899312054622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" spans="1:26" x14ac:dyDescent="0.25">
      <c r="A5" t="s">
        <v>106</v>
      </c>
      <c r="B5" t="s">
        <v>204</v>
      </c>
      <c r="C5" s="2">
        <v>3786</v>
      </c>
      <c r="D5">
        <f>RTD("tos.rtd", , "LAST", Main_M[[#This Row],[Symbol]])</f>
        <v>130.91</v>
      </c>
      <c r="E5">
        <v>6.22</v>
      </c>
      <c r="F5">
        <v>43.79</v>
      </c>
      <c r="G5">
        <v>6.97</v>
      </c>
      <c r="H5" s="1">
        <f>IF(ISNUMBER(Main_M[[#This Row],[Free CF]]),IF(Main_M[[#This Row],[Free CF]]&lt;&gt;0,Main_M[[#This Row],[Current Price]]/Main_M[[#This Row],[Free CF]],""),"")</f>
        <v>21.04662379421222</v>
      </c>
      <c r="I5" s="1">
        <f>IF(ISNUMBER(Main_M[[#This Row],[BVPS]]),IF(Main_M[[#This Row],[BVPS]]&lt;&gt;0,Main_M[[#This Row],[Current Price]]/Main_M[[#This Row],[BVPS]],""),"")</f>
        <v>2.9894953185658828</v>
      </c>
      <c r="J5">
        <v>17.09</v>
      </c>
      <c r="K5">
        <v>8.57</v>
      </c>
      <c r="L5">
        <v>1.82</v>
      </c>
      <c r="M5" s="1">
        <f>IF(ISNUMBER(Main_M[[#This Row],[EPS]]),IF(Main_M[[#This Row],[EPS]]&lt;&gt;0,Main_M[[#This Row],[Current Price]]/Main_M[[#This Row],[EPS]],""),"")</f>
        <v>18.781922525107603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1.4011842867689945</v>
      </c>
      <c r="P5" s="1">
        <f>(Main_M[[#This Row],[P/B]]-VLOOKUP(Main_M[[#This Row],[Industry]], Mean_PB_M, 2, FALSE))/(VLOOKUP(Main_M[[#This Row],[Industry]], Mean_PB_M, 3, FALSE))</f>
        <v>0.87077122318566058</v>
      </c>
      <c r="Q5" s="1">
        <f>(Main_M[[#This Row],[ROE]]-VLOOKUP(Main_M[[#This Row],[Industry]], Mean_ROE_M, 2, FALSE))/(VLOOKUP(Main_M[[#This Row],[Industry]], Mean_ROE_M, 3, FALSE))</f>
        <v>0.55031822731227187</v>
      </c>
      <c r="R5" s="1">
        <f>(Main_M[[#This Row],[ROA]]-VLOOKUP(Main_M[[#This Row],[Industry]], Mean_ROA_M, 2, FALSE))/(VLOOKUP(Main_M[[#This Row],[Industry]], Mean_ROA_M, 3, FALSE))</f>
        <v>0.90322298824791225</v>
      </c>
      <c r="S5" s="1">
        <f>(Main_M[[#This Row],[A/E]]-VLOOKUP(Main_M[[#This Row],[Industry]], Mean_AE_M, 2, FALSE))/(VLOOKUP(Main_M[[#This Row],[Industry]], Mean_AE_M, 3, FALSE))</f>
        <v>-0.5212295164261459</v>
      </c>
      <c r="T5" s="1">
        <f>(Main_M[[#This Row],[P/E]]-VLOOKUP(Main_M[[#This Row],[Industry]], Mean_PE_M, 2, FALSE))/(VLOOKUP(Main_M[[#This Row],[Industry]], Mean_PE_M, 3, FALSE))</f>
        <v>0.59253983003840571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106</v>
      </c>
      <c r="B6" t="s">
        <v>205</v>
      </c>
      <c r="C6" s="2">
        <v>4892</v>
      </c>
      <c r="D6">
        <f>RTD("tos.rtd", , "LAST", Main_M[[#This Row],[Symbol]])</f>
        <v>23.15</v>
      </c>
      <c r="E6">
        <v>1.57</v>
      </c>
      <c r="F6">
        <v>10.98</v>
      </c>
      <c r="G6">
        <v>1.71</v>
      </c>
      <c r="H6" s="1">
        <f>IF(ISNUMBER(Main_M[[#This Row],[Free CF]]),IF(Main_M[[#This Row],[Free CF]]&lt;&gt;0,Main_M[[#This Row],[Current Price]]/Main_M[[#This Row],[Free CF]],""),"")</f>
        <v>14.745222929936304</v>
      </c>
      <c r="I6" s="1">
        <f>IF(ISNUMBER(Main_M[[#This Row],[BVPS]]),IF(Main_M[[#This Row],[BVPS]]&lt;&gt;0,Main_M[[#This Row],[Current Price]]/Main_M[[#This Row],[BVPS]],""),"")</f>
        <v>2.1083788706739526</v>
      </c>
      <c r="J6">
        <v>16.11</v>
      </c>
      <c r="K6">
        <v>10.35</v>
      </c>
      <c r="L6">
        <v>1.1200000000000001</v>
      </c>
      <c r="M6" s="1">
        <f>IF(ISNUMBER(Main_M[[#This Row],[EPS]]),IF(Main_M[[#This Row],[EPS]]&lt;&gt;0,Main_M[[#This Row],[Current Price]]/Main_M[[#This Row],[EPS]],""),"")</f>
        <v>13.538011695906432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0.72207184629681653</v>
      </c>
      <c r="P6" s="1">
        <f>(Main_M[[#This Row],[P/B]]-VLOOKUP(Main_M[[#This Row],[Industry]], Mean_PB_M, 2, FALSE))/(VLOOKUP(Main_M[[#This Row],[Industry]], Mean_PB_M, 3, FALSE))</f>
        <v>-1.1757689669092828E-2</v>
      </c>
      <c r="Q6" s="1">
        <f>(Main_M[[#This Row],[ROE]]-VLOOKUP(Main_M[[#This Row],[Industry]], Mean_ROE_M, 2, FALSE))/(VLOOKUP(Main_M[[#This Row],[Industry]], Mean_ROE_M, 3, FALSE))</f>
        <v>0.48803689365950953</v>
      </c>
      <c r="R6" s="1">
        <f>(Main_M[[#This Row],[ROA]]-VLOOKUP(Main_M[[#This Row],[Industry]], Mean_ROA_M, 2, FALSE))/(VLOOKUP(Main_M[[#This Row],[Industry]], Mean_ROA_M, 3, FALSE))</f>
        <v>1.4241746320180189</v>
      </c>
      <c r="S6" s="1">
        <f>(Main_M[[#This Row],[A/E]]-VLOOKUP(Main_M[[#This Row],[Industry]], Mean_AE_M, 2, FALSE))/(VLOOKUP(Main_M[[#This Row],[Industry]], Mean_AE_M, 3, FALSE))</f>
        <v>-1.2746291124403384</v>
      </c>
      <c r="T6" s="1">
        <f>(Main_M[[#This Row],[P/E]]-VLOOKUP(Main_M[[#This Row],[Industry]], Mean_PE_M, 2, FALSE))/(VLOOKUP(Main_M[[#This Row],[Industry]], Mean_PE_M, 3, FALSE))</f>
        <v>6.5031255262766693E-2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106</v>
      </c>
      <c r="B7" t="s">
        <v>206</v>
      </c>
      <c r="C7" s="2">
        <v>2294</v>
      </c>
      <c r="D7">
        <f>RTD("tos.rtd", , "LAST", Main_M[[#This Row],[Symbol]])</f>
        <v>11.95</v>
      </c>
      <c r="E7">
        <v>1.38</v>
      </c>
      <c r="F7">
        <v>-3.43</v>
      </c>
      <c r="G7">
        <v>1.28</v>
      </c>
      <c r="H7" s="1">
        <f>IF(ISNUMBER(Main_M[[#This Row],[Free CF]]),IF(Main_M[[#This Row],[Free CF]]&lt;&gt;0,Main_M[[#This Row],[Current Price]]/Main_M[[#This Row],[Free CF]],""),"")</f>
        <v>8.6594202898550723</v>
      </c>
      <c r="I7" s="1">
        <f>IF(ISNUMBER(Main_M[[#This Row],[BVPS]]),IF(Main_M[[#This Row],[BVPS]]&lt;&gt;0,Main_M[[#This Row],[Current Price]]/Main_M[[#This Row],[BVPS]],""),"")</f>
        <v>-3.4839650145772589</v>
      </c>
      <c r="J7">
        <v>-38.75</v>
      </c>
      <c r="K7">
        <v>12.97</v>
      </c>
      <c r="L7">
        <v>-3.25</v>
      </c>
      <c r="M7" s="1">
        <f>IF(ISNUMBER(Main_M[[#This Row],[EPS]]),IF(Main_M[[#This Row],[EPS]]&lt;&gt;0,Main_M[[#This Row],[Current Price]]/Main_M[[#This Row],[EPS]],""),"")</f>
        <v>9.3359375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6.6194784647208307E-2</v>
      </c>
      <c r="P7" s="1">
        <f>(Main_M[[#This Row],[P/B]]-VLOOKUP(Main_M[[#This Row],[Industry]], Mean_PB_M, 2, FALSE))/(VLOOKUP(Main_M[[#This Row],[Industry]], Mean_PB_M, 3, FALSE))</f>
        <v>-5.6130663261933904</v>
      </c>
      <c r="Q7" s="1">
        <f>(Main_M[[#This Row],[ROE]]-VLOOKUP(Main_M[[#This Row],[Industry]], Mean_ROE_M, 2, FALSE))/(VLOOKUP(Main_M[[#This Row],[Industry]], Mean_ROE_M, 3, FALSE))</f>
        <v>-2.9984467432696111</v>
      </c>
      <c r="R7" s="1">
        <f>(Main_M[[#This Row],[ROA]]-VLOOKUP(Main_M[[#This Row],[Industry]], Mean_ROA_M, 2, FALSE))/(VLOOKUP(Main_M[[#This Row],[Industry]], Mean_ROA_M, 3, FALSE))</f>
        <v>2.1909686245335696</v>
      </c>
      <c r="S7" s="1">
        <f>(Main_M[[#This Row],[A/E]]-VLOOKUP(Main_M[[#This Row],[Industry]], Mean_AE_M, 2, FALSE))/(VLOOKUP(Main_M[[#This Row],[Industry]], Mean_AE_M, 3, FALSE))</f>
        <v>-5.9779951618432268</v>
      </c>
      <c r="T7" s="1">
        <f>(Main_M[[#This Row],[P/E]]-VLOOKUP(Main_M[[#This Row],[Industry]], Mean_PE_M, 2, FALSE))/(VLOOKUP(Main_M[[#This Row],[Industry]], Mean_PE_M, 3, FALSE))</f>
        <v>-0.3576742869139985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106</v>
      </c>
      <c r="B8" t="s">
        <v>207</v>
      </c>
      <c r="C8" s="2">
        <v>2145</v>
      </c>
      <c r="D8">
        <f>RTD("tos.rtd", , "LAST", Main_M[[#This Row],[Symbol]])</f>
        <v>18.34</v>
      </c>
      <c r="E8">
        <v>-0.22</v>
      </c>
      <c r="F8">
        <v>4.1100000000000003</v>
      </c>
      <c r="G8">
        <v>-0.11</v>
      </c>
      <c r="H8" s="1">
        <f>IF(ISNUMBER(Main_M[[#This Row],[Free CF]]),IF(Main_M[[#This Row],[Free CF]]&lt;&gt;0,Main_M[[#This Row],[Current Price]]/Main_M[[#This Row],[Free CF]],""),"")</f>
        <v>-83.36363636363636</v>
      </c>
      <c r="I8" s="1">
        <f>IF(ISNUMBER(Main_M[[#This Row],[BVPS]]),IF(Main_M[[#This Row],[BVPS]]&lt;&gt;0,Main_M[[#This Row],[Current Price]]/Main_M[[#This Row],[BVPS]],""),"")</f>
        <v>4.4622871046228703</v>
      </c>
      <c r="J8">
        <v>-2.63</v>
      </c>
      <c r="K8">
        <v>-2.2000000000000002</v>
      </c>
      <c r="L8">
        <v>1.52</v>
      </c>
      <c r="M8" s="1">
        <f>IF(ISNUMBER(Main_M[[#This Row],[EPS]]),IF(Main_M[[#This Row],[EPS]]&lt;&gt;0,Main_M[[#This Row],[Current Price]]/Main_M[[#This Row],[EPS]],""),"")</f>
        <v>-166.72727272727272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-9.8512829206603332</v>
      </c>
      <c r="P8" s="1">
        <f>(Main_M[[#This Row],[P/B]]-VLOOKUP(Main_M[[#This Row],[Industry]], Mean_PB_M, 2, FALSE))/(VLOOKUP(Main_M[[#This Row],[Industry]], Mean_PB_M, 3, FALSE))</f>
        <v>2.3459239534746121</v>
      </c>
      <c r="Q8" s="1">
        <f>(Main_M[[#This Row],[ROE]]-VLOOKUP(Main_M[[#This Row],[Industry]], Mean_ROE_M, 2, FALSE))/(VLOOKUP(Main_M[[#This Row],[Industry]], Mean_ROE_M, 3, FALSE))</f>
        <v>-0.70293473149637309</v>
      </c>
      <c r="R8" s="1">
        <f>(Main_M[[#This Row],[ROA]]-VLOOKUP(Main_M[[#This Row],[Industry]], Mean_ROA_M, 2, FALSE))/(VLOOKUP(Main_M[[#This Row],[Industry]], Mean_ROA_M, 3, FALSE))</f>
        <v>-2.2488271260240262</v>
      </c>
      <c r="S8" s="1">
        <f>(Main_M[[#This Row],[A/E]]-VLOOKUP(Main_M[[#This Row],[Industry]], Mean_AE_M, 2, FALSE))/(VLOOKUP(Main_M[[#This Row],[Industry]], Mean_AE_M, 3, FALSE))</f>
        <v>-0.84411505757508565</v>
      </c>
      <c r="T8" s="1">
        <f>(Main_M[[#This Row],[P/E]]-VLOOKUP(Main_M[[#This Row],[Industry]], Mean_PE_M, 2, FALSE))/(VLOOKUP(Main_M[[#This Row],[Industry]], Mean_PE_M, 3, FALSE))</f>
        <v>-18.068664447202515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" spans="1:26" x14ac:dyDescent="0.25">
      <c r="A9" t="s">
        <v>106</v>
      </c>
      <c r="B9" t="s">
        <v>208</v>
      </c>
      <c r="C9" s="2">
        <v>2098</v>
      </c>
      <c r="D9">
        <f>RTD("tos.rtd", , "LAST", Main_M[[#This Row],[Symbol]])</f>
        <v>90.99</v>
      </c>
      <c r="E9">
        <v>12.89</v>
      </c>
      <c r="F9">
        <v>54.47</v>
      </c>
      <c r="G9">
        <v>5.6</v>
      </c>
      <c r="H9" s="1">
        <f>IF(ISNUMBER(Main_M[[#This Row],[Free CF]]),IF(Main_M[[#This Row],[Free CF]]&lt;&gt;0,Main_M[[#This Row],[Current Price]]/Main_M[[#This Row],[Free CF]],""),"")</f>
        <v>7.0589604344453054</v>
      </c>
      <c r="I9" s="1">
        <f>IF(ISNUMBER(Main_M[[#This Row],[BVPS]]),IF(Main_M[[#This Row],[BVPS]]&lt;&gt;0,Main_M[[#This Row],[Current Price]]/Main_M[[#This Row],[BVPS]],""),"")</f>
        <v>1.6704608041123554</v>
      </c>
      <c r="J9">
        <v>10.42</v>
      </c>
      <c r="K9">
        <v>4.66</v>
      </c>
      <c r="L9">
        <v>2.09</v>
      </c>
      <c r="M9" s="1">
        <f>IF(ISNUMBER(Main_M[[#This Row],[EPS]]),IF(Main_M[[#This Row],[EPS]]&lt;&gt;0,Main_M[[#This Row],[Current Price]]/Main_M[[#This Row],[EPS]],""),"")</f>
        <v>16.248214285714287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-0.10628943302047202</v>
      </c>
      <c r="P9" s="1">
        <f>(Main_M[[#This Row],[P/B]]-VLOOKUP(Main_M[[#This Row],[Industry]], Mean_PB_M, 2, FALSE))/(VLOOKUP(Main_M[[#This Row],[Industry]], Mean_PB_M, 3, FALSE))</f>
        <v>-0.45037775643405176</v>
      </c>
      <c r="Q9" s="1">
        <f>(Main_M[[#This Row],[ROE]]-VLOOKUP(Main_M[[#This Row],[Industry]], Mean_ROE_M, 2, FALSE))/(VLOOKUP(Main_M[[#This Row],[Industry]], Mean_ROE_M, 3, FALSE))</f>
        <v>0.12642384418581842</v>
      </c>
      <c r="R9" s="1">
        <f>(Main_M[[#This Row],[ROA]]-VLOOKUP(Main_M[[#This Row],[Industry]], Mean_ROA_M, 2, FALSE))/(VLOOKUP(Main_M[[#This Row],[Industry]], Mean_ROA_M, 3, FALSE))</f>
        <v>-0.24111461126956954</v>
      </c>
      <c r="S9" s="1">
        <f>(Main_M[[#This Row],[A/E]]-VLOOKUP(Main_M[[#This Row],[Industry]], Mean_AE_M, 2, FALSE))/(VLOOKUP(Main_M[[#This Row],[Industry]], Mean_AE_M, 3, FALSE))</f>
        <v>-0.23063252939210038</v>
      </c>
      <c r="T9" s="1">
        <f>(Main_M[[#This Row],[P/E]]-VLOOKUP(Main_M[[#This Row],[Industry]], Mean_PE_M, 2, FALSE))/(VLOOKUP(Main_M[[#This Row],[Industry]], Mean_PE_M, 3, FALSE))</f>
        <v>0.33766272289597454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106</v>
      </c>
      <c r="B10" t="s">
        <v>209</v>
      </c>
      <c r="C10" s="2">
        <v>4593</v>
      </c>
      <c r="D10">
        <f>RTD("tos.rtd", , "LAST", Main_M[[#This Row],[Symbol]])</f>
        <v>95.54</v>
      </c>
      <c r="E10">
        <v>10</v>
      </c>
      <c r="F10">
        <v>83.09</v>
      </c>
      <c r="G10">
        <v>8.9700000000000006</v>
      </c>
      <c r="H10" s="1">
        <f>IF(ISNUMBER(Main_M[[#This Row],[Free CF]]),IF(Main_M[[#This Row],[Free CF]]&lt;&gt;0,Main_M[[#This Row],[Current Price]]/Main_M[[#This Row],[Free CF]],""),"")</f>
        <v>9.5540000000000003</v>
      </c>
      <c r="I10" s="1">
        <f>IF(ISNUMBER(Main_M[[#This Row],[BVPS]]),IF(Main_M[[#This Row],[BVPS]]&lt;&gt;0,Main_M[[#This Row],[Current Price]]/Main_M[[#This Row],[BVPS]],""),"")</f>
        <v>1.149837525574678</v>
      </c>
      <c r="J10">
        <v>12.25</v>
      </c>
      <c r="K10">
        <v>4.4800000000000004</v>
      </c>
      <c r="L10">
        <v>3.15</v>
      </c>
      <c r="M10" s="1">
        <f>IF(ISNUMBER(Main_M[[#This Row],[EPS]]),IF(Main_M[[#This Row],[EPS]]&lt;&gt;0,Main_M[[#This Row],[Current Price]]/Main_M[[#This Row],[EPS]],""),"")</f>
        <v>10.651059085841695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0.16260512629006219</v>
      </c>
      <c r="P10" s="1">
        <f>(Main_M[[#This Row],[P/B]]-VLOOKUP(Main_M[[#This Row],[Industry]], Mean_PB_M, 2, FALSE))/(VLOOKUP(Main_M[[#This Row],[Industry]], Mean_PB_M, 3, FALSE))</f>
        <v>-0.9718356149429962</v>
      </c>
      <c r="Q10" s="1">
        <f>(Main_M[[#This Row],[ROE]]-VLOOKUP(Main_M[[#This Row],[Industry]], Mean_ROE_M, 2, FALSE))/(VLOOKUP(Main_M[[#This Row],[Industry]], Mean_ROE_M, 3, FALSE))</f>
        <v>0.24272470192516021</v>
      </c>
      <c r="R10" s="1">
        <f>(Main_M[[#This Row],[ROA]]-VLOOKUP(Main_M[[#This Row],[Industry]], Mean_ROA_M, 2, FALSE))/(VLOOKUP(Main_M[[#This Row],[Industry]], Mean_ROA_M, 3, FALSE))</f>
        <v>-0.29379511457216451</v>
      </c>
      <c r="S10" s="1">
        <f>(Main_M[[#This Row],[A/E]]-VLOOKUP(Main_M[[#This Row],[Industry]], Mean_AE_M, 2, FALSE))/(VLOOKUP(Main_M[[#This Row],[Industry]], Mean_AE_M, 3, FALSE))</f>
        <v>0.91022971600081992</v>
      </c>
      <c r="T10" s="1">
        <f>(Main_M[[#This Row],[P/E]]-VLOOKUP(Main_M[[#This Row],[Industry]], Mean_PE_M, 2, FALSE))/(VLOOKUP(Main_M[[#This Row],[Industry]], Mean_PE_M, 3, FALSE))</f>
        <v>-0.22538029184053326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106</v>
      </c>
      <c r="B11" t="s">
        <v>210</v>
      </c>
      <c r="C11" s="2">
        <v>9404</v>
      </c>
      <c r="D11">
        <f>RTD("tos.rtd", , "LAST", Main_M[[#This Row],[Symbol]])</f>
        <v>37.130000000000003</v>
      </c>
      <c r="E11">
        <v>5.24</v>
      </c>
      <c r="F11">
        <v>41.67</v>
      </c>
      <c r="G11">
        <v>4.01</v>
      </c>
      <c r="H11" s="1">
        <f>IF(ISNUMBER(Main_M[[#This Row],[Free CF]]),IF(Main_M[[#This Row],[Free CF]]&lt;&gt;0,Main_M[[#This Row],[Current Price]]/Main_M[[#This Row],[Free CF]],""),"")</f>
        <v>7.08587786259542</v>
      </c>
      <c r="I11" s="1">
        <f>IF(ISNUMBER(Main_M[[#This Row],[BVPS]]),IF(Main_M[[#This Row],[BVPS]]&lt;&gt;0,Main_M[[#This Row],[Current Price]]/Main_M[[#This Row],[BVPS]],""),"")</f>
        <v>0.89104871610271186</v>
      </c>
      <c r="J11">
        <v>10.15</v>
      </c>
      <c r="K11">
        <v>3.89</v>
      </c>
      <c r="L11">
        <v>2.73</v>
      </c>
      <c r="M11" s="1">
        <f>IF(ISNUMBER(Main_M[[#This Row],[EPS]]),IF(Main_M[[#This Row],[EPS]]&lt;&gt;0,Main_M[[#This Row],[Current Price]]/Main_M[[#This Row],[EPS]],""),"")</f>
        <v>9.2593516209476316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-0.1033884970673426</v>
      </c>
      <c r="P11" s="1">
        <f>(Main_M[[#This Row],[P/B]]-VLOOKUP(Main_M[[#This Row],[Industry]], Mean_PB_M, 2, FALSE))/(VLOOKUP(Main_M[[#This Row],[Industry]], Mean_PB_M, 3, FALSE))</f>
        <v>-1.2310392732434281</v>
      </c>
      <c r="Q11" s="1">
        <f>(Main_M[[#This Row],[ROE]]-VLOOKUP(Main_M[[#This Row],[Industry]], Mean_ROE_M, 2, FALSE))/(VLOOKUP(Main_M[[#This Row],[Industry]], Mean_ROE_M, 3, FALSE))</f>
        <v>0.10926470124066967</v>
      </c>
      <c r="R11" s="1">
        <f>(Main_M[[#This Row],[ROA]]-VLOOKUP(Main_M[[#This Row],[Industry]], Mean_ROA_M, 2, FALSE))/(VLOOKUP(Main_M[[#This Row],[Industry]], Mean_ROA_M, 3, FALSE))</f>
        <v>-0.46647009761955954</v>
      </c>
      <c r="S11" s="1">
        <f>(Main_M[[#This Row],[A/E]]-VLOOKUP(Main_M[[#This Row],[Industry]], Mean_AE_M, 2, FALSE))/(VLOOKUP(Main_M[[#This Row],[Industry]], Mean_AE_M, 3, FALSE))</f>
        <v>0.45818995839230442</v>
      </c>
      <c r="T11" s="1">
        <f>(Main_M[[#This Row],[P/E]]-VLOOKUP(Main_M[[#This Row],[Industry]], Mean_PE_M, 2, FALSE))/(VLOOKUP(Main_M[[#This Row],[Industry]], Mean_PE_M, 3, FALSE))</f>
        <v>-0.36537840493253626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t="s">
        <v>106</v>
      </c>
      <c r="B12" t="s">
        <v>211</v>
      </c>
      <c r="C12" s="2">
        <v>4800</v>
      </c>
      <c r="D12">
        <f>RTD("tos.rtd", , "LAST", Main_M[[#This Row],[Symbol]])</f>
        <v>104.67</v>
      </c>
      <c r="E12">
        <v>1.85</v>
      </c>
      <c r="F12">
        <v>16.29</v>
      </c>
      <c r="G12">
        <v>2.97</v>
      </c>
      <c r="H12" s="1">
        <f>IF(ISNUMBER(Main_M[[#This Row],[Free CF]]),IF(Main_M[[#This Row],[Free CF]]&lt;&gt;0,Main_M[[#This Row],[Current Price]]/Main_M[[#This Row],[Free CF]],""),"")</f>
        <v>56.578378378378375</v>
      </c>
      <c r="I12" s="1">
        <f>IF(ISNUMBER(Main_M[[#This Row],[BVPS]]),IF(Main_M[[#This Row],[BVPS]]&lt;&gt;0,Main_M[[#This Row],[Current Price]]/Main_M[[#This Row],[BVPS]],""),"")</f>
        <v>6.4254143646408846</v>
      </c>
      <c r="J12">
        <v>20.21</v>
      </c>
      <c r="K12">
        <v>10.23</v>
      </c>
      <c r="L12">
        <v>2.14</v>
      </c>
      <c r="M12" s="1">
        <f>IF(ISNUMBER(Main_M[[#This Row],[EPS]]),IF(Main_M[[#This Row],[EPS]]&lt;&gt;0,Main_M[[#This Row],[Current Price]]/Main_M[[#This Row],[EPS]],""),"")</f>
        <v>35.242424242424242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5.2305005117865768</v>
      </c>
      <c r="P12" s="1">
        <f>(Main_M[[#This Row],[P/B]]-VLOOKUP(Main_M[[#This Row],[Industry]], Mean_PB_M, 2, FALSE))/(VLOOKUP(Main_M[[#This Row],[Industry]], Mean_PB_M, 3, FALSE))</f>
        <v>4.3121981851318152</v>
      </c>
      <c r="Q12" s="1">
        <f>(Main_M[[#This Row],[ROE]]-VLOOKUP(Main_M[[#This Row],[Industry]], Mean_ROE_M, 2, FALSE))/(VLOOKUP(Main_M[[#This Row],[Industry]], Mean_ROE_M, 3, FALSE))</f>
        <v>0.74860165690065794</v>
      </c>
      <c r="R12" s="1">
        <f>(Main_M[[#This Row],[ROA]]-VLOOKUP(Main_M[[#This Row],[Industry]], Mean_ROA_M, 2, FALSE))/(VLOOKUP(Main_M[[#This Row],[Industry]], Mean_ROA_M, 3, FALSE))</f>
        <v>1.3890542964829558</v>
      </c>
      <c r="S12" s="1">
        <f>(Main_M[[#This Row],[A/E]]-VLOOKUP(Main_M[[#This Row],[Industry]], Mean_AE_M, 2, FALSE))/(VLOOKUP(Main_M[[#This Row],[Industry]], Mean_AE_M, 3, FALSE))</f>
        <v>-0.17681827253394347</v>
      </c>
      <c r="T12" s="1">
        <f>(Main_M[[#This Row],[P/E]]-VLOOKUP(Main_M[[#This Row],[Industry]], Mean_PE_M, 2, FALSE))/(VLOOKUP(Main_M[[#This Row],[Industry]], Mean_PE_M, 3, FALSE))</f>
        <v>2.248375728818627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106</v>
      </c>
      <c r="B13" t="s">
        <v>212</v>
      </c>
      <c r="C13" s="2">
        <v>2724</v>
      </c>
      <c r="D13">
        <f>RTD("tos.rtd", , "LAST", Main_M[[#This Row],[Symbol]])</f>
        <v>89.81</v>
      </c>
      <c r="E13">
        <v>6.85</v>
      </c>
      <c r="F13">
        <v>34.93</v>
      </c>
      <c r="G13">
        <v>4.16</v>
      </c>
      <c r="H13" s="1">
        <f>IF(ISNUMBER(Main_M[[#This Row],[Free CF]]),IF(Main_M[[#This Row],[Free CF]]&lt;&gt;0,Main_M[[#This Row],[Current Price]]/Main_M[[#This Row],[Free CF]],""),"")</f>
        <v>13.11094890510949</v>
      </c>
      <c r="I13" s="1">
        <f>IF(ISNUMBER(Main_M[[#This Row],[BVPS]]),IF(Main_M[[#This Row],[BVPS]]&lt;&gt;0,Main_M[[#This Row],[Current Price]]/Main_M[[#This Row],[BVPS]],""),"")</f>
        <v>2.5711422845691385</v>
      </c>
      <c r="J13">
        <v>12.87</v>
      </c>
      <c r="K13">
        <v>5.31</v>
      </c>
      <c r="L13">
        <v>2.79</v>
      </c>
      <c r="M13" s="1">
        <f>IF(ISNUMBER(Main_M[[#This Row],[EPS]]),IF(Main_M[[#This Row],[EPS]]&lt;&gt;0,Main_M[[#This Row],[Current Price]]/Main_M[[#This Row],[EPS]],""),"")</f>
        <v>21.588942307692307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0.5459434194112246</v>
      </c>
      <c r="P13" s="1">
        <f>(Main_M[[#This Row],[P/B]]-VLOOKUP(Main_M[[#This Row],[Industry]], Mean_PB_M, 2, FALSE))/(VLOOKUP(Main_M[[#This Row],[Industry]], Mean_PB_M, 3, FALSE))</f>
        <v>0.45174755251651627</v>
      </c>
      <c r="Q13" s="1">
        <f>(Main_M[[#This Row],[ROE]]-VLOOKUP(Main_M[[#This Row],[Industry]], Mean_ROE_M, 2, FALSE))/(VLOOKUP(Main_M[[#This Row],[Industry]], Mean_ROE_M, 3, FALSE))</f>
        <v>0.28212717831772405</v>
      </c>
      <c r="R13" s="1">
        <f>(Main_M[[#This Row],[ROA]]-VLOOKUP(Main_M[[#This Row],[Industry]], Mean_ROA_M, 2, FALSE))/(VLOOKUP(Main_M[[#This Row],[Industry]], Mean_ROA_M, 3, FALSE))</f>
        <v>-5.0879460454643075E-2</v>
      </c>
      <c r="S13" s="1">
        <f>(Main_M[[#This Row],[A/E]]-VLOOKUP(Main_M[[#This Row],[Industry]], Mean_AE_M, 2, FALSE))/(VLOOKUP(Main_M[[#This Row],[Industry]], Mean_AE_M, 3, FALSE))</f>
        <v>0.52276706662209238</v>
      </c>
      <c r="T13" s="1">
        <f>(Main_M[[#This Row],[P/E]]-VLOOKUP(Main_M[[#This Row],[Industry]], Mean_PE_M, 2, FALSE))/(VLOOKUP(Main_M[[#This Row],[Industry]], Mean_PE_M, 3, FALSE))</f>
        <v>0.87491057452794285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106</v>
      </c>
      <c r="B14" t="s">
        <v>213</v>
      </c>
      <c r="C14" s="2">
        <v>2163</v>
      </c>
      <c r="D14">
        <f>RTD("tos.rtd", , "LAST", Main_M[[#This Row],[Symbol]])</f>
        <v>4.3099999999999996</v>
      </c>
      <c r="E14">
        <v>-0.64</v>
      </c>
      <c r="F14">
        <v>1.98</v>
      </c>
      <c r="G14">
        <v>-0.91</v>
      </c>
      <c r="H14" s="1">
        <f>IF(ISNUMBER(Main_M[[#This Row],[Free CF]]),IF(Main_M[[#This Row],[Free CF]]&lt;&gt;0,Main_M[[#This Row],[Current Price]]/Main_M[[#This Row],[Free CF]],""),"")</f>
        <v>-6.7343749999999991</v>
      </c>
      <c r="I14" s="1">
        <f>IF(ISNUMBER(Main_M[[#This Row],[BVPS]]),IF(Main_M[[#This Row],[BVPS]]&lt;&gt;0,Main_M[[#This Row],[Current Price]]/Main_M[[#This Row],[BVPS]],""),"")</f>
        <v>2.1767676767676765</v>
      </c>
      <c r="J14">
        <v>-39.840000000000003</v>
      </c>
      <c r="K14">
        <v>-23.73</v>
      </c>
      <c r="L14">
        <v>1.1399999999999999</v>
      </c>
      <c r="M14" s="1">
        <f>IF(ISNUMBER(Main_M[[#This Row],[EPS]]),IF(Main_M[[#This Row],[EPS]]&lt;&gt;0,Main_M[[#This Row],[Current Price]]/Main_M[[#This Row],[EPS]],""),"")</f>
        <v>-4.7362637362637354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-1.5928201094360082</v>
      </c>
      <c r="P14" s="1">
        <f>(Main_M[[#This Row],[P/B]]-VLOOKUP(Main_M[[#This Row],[Industry]], Mean_PB_M, 2, FALSE))/(VLOOKUP(Main_M[[#This Row],[Industry]], Mean_PB_M, 3, FALSE))</f>
        <v>5.6740746420402673E-2</v>
      </c>
      <c r="Q14" s="1">
        <f>(Main_M[[#This Row],[ROE]]-VLOOKUP(Main_M[[#This Row],[Industry]], Mean_ROE_M, 2, FALSE))/(VLOOKUP(Main_M[[#This Row],[Industry]], Mean_ROE_M, 3, FALSE))</f>
        <v>-3.0677188388629899</v>
      </c>
      <c r="R14" s="1">
        <f>(Main_M[[#This Row],[ROA]]-VLOOKUP(Main_M[[#This Row],[Industry]], Mean_ROA_M, 2, FALSE))/(VLOOKUP(Main_M[[#This Row],[Industry]], Mean_ROA_M, 3, FALSE))</f>
        <v>-8.5500006599399807</v>
      </c>
      <c r="S14" s="1">
        <f>(Main_M[[#This Row],[A/E]]-VLOOKUP(Main_M[[#This Row],[Industry]], Mean_AE_M, 2, FALSE))/(VLOOKUP(Main_M[[#This Row],[Industry]], Mean_AE_M, 3, FALSE))</f>
        <v>-1.2531034096970759</v>
      </c>
      <c r="T14" s="1">
        <f>(Main_M[[#This Row],[P/E]]-VLOOKUP(Main_M[[#This Row],[Industry]], Mean_PE_M, 2, FALSE))/(VLOOKUP(Main_M[[#This Row],[Industry]], Mean_PE_M, 3, FALSE))</f>
        <v>-1.7732602989340158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t="s">
        <v>106</v>
      </c>
      <c r="B15" t="s">
        <v>214</v>
      </c>
      <c r="C15" s="2">
        <v>2201</v>
      </c>
      <c r="D15">
        <f>RTD("tos.rtd", , "LAST", Main_M[[#This Row],[Symbol]])</f>
        <v>88.98</v>
      </c>
      <c r="E15">
        <v>10.65</v>
      </c>
      <c r="F15">
        <v>48.1</v>
      </c>
      <c r="G15">
        <v>10.69</v>
      </c>
      <c r="H15" s="1">
        <f>IF(ISNUMBER(Main_M[[#This Row],[Free CF]]),IF(Main_M[[#This Row],[Free CF]]&lt;&gt;0,Main_M[[#This Row],[Current Price]]/Main_M[[#This Row],[Free CF]],""),"")</f>
        <v>8.3549295774647891</v>
      </c>
      <c r="I15" s="1">
        <f>IF(ISNUMBER(Main_M[[#This Row],[BVPS]]),IF(Main_M[[#This Row],[BVPS]]&lt;&gt;0,Main_M[[#This Row],[Current Price]]/Main_M[[#This Row],[BVPS]],""),"")</f>
        <v>1.8498960498960499</v>
      </c>
      <c r="J15">
        <v>24.26</v>
      </c>
      <c r="K15">
        <v>7.82</v>
      </c>
      <c r="L15">
        <v>2.2799999999999998</v>
      </c>
      <c r="M15" s="1">
        <f>IF(ISNUMBER(Main_M[[#This Row],[EPS]]),IF(Main_M[[#This Row],[EPS]]&lt;&gt;0,Main_M[[#This Row],[Current Price]]/Main_M[[#This Row],[EPS]],""),"")</f>
        <v>8.3236669784845656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3.3379314683254759E-2</v>
      </c>
      <c r="P15" s="1">
        <f>(Main_M[[#This Row],[P/B]]-VLOOKUP(Main_M[[#This Row],[Industry]], Mean_PB_M, 2, FALSE))/(VLOOKUP(Main_M[[#This Row],[Industry]], Mean_PB_M, 3, FALSE))</f>
        <v>-0.27065486876332695</v>
      </c>
      <c r="Q15" s="1">
        <f>(Main_M[[#This Row],[ROE]]-VLOOKUP(Main_M[[#This Row],[Industry]], Mean_ROE_M, 2, FALSE))/(VLOOKUP(Main_M[[#This Row],[Industry]], Mean_ROE_M, 3, FALSE))</f>
        <v>1.0059888010778897</v>
      </c>
      <c r="R15" s="1">
        <f>(Main_M[[#This Row],[ROA]]-VLOOKUP(Main_M[[#This Row],[Industry]], Mean_ROA_M, 2, FALSE))/(VLOOKUP(Main_M[[#This Row],[Industry]], Mean_ROA_M, 3, FALSE))</f>
        <v>0.68372089115376611</v>
      </c>
      <c r="S15" s="1">
        <f>(Main_M[[#This Row],[A/E]]-VLOOKUP(Main_M[[#This Row],[Industry]], Mean_AE_M, 2, FALSE))/(VLOOKUP(Main_M[[#This Row],[Industry]], Mean_AE_M, 3, FALSE))</f>
        <v>-2.6138353331105313E-2</v>
      </c>
      <c r="T15" s="1">
        <f>(Main_M[[#This Row],[P/E]]-VLOOKUP(Main_M[[#This Row],[Industry]], Mean_PE_M, 2, FALSE))/(VLOOKUP(Main_M[[#This Row],[Industry]], Mean_PE_M, 3, FALSE))</f>
        <v>-0.45950313135553211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106</v>
      </c>
      <c r="B16" t="s">
        <v>215</v>
      </c>
      <c r="C16" s="2">
        <v>2289</v>
      </c>
      <c r="D16">
        <f>RTD("tos.rtd", , "LAST", Main_M[[#This Row],[Symbol]])</f>
        <v>9.59</v>
      </c>
      <c r="E16">
        <v>-0.95</v>
      </c>
      <c r="F16">
        <v>3.52</v>
      </c>
      <c r="G16">
        <v>-3.51</v>
      </c>
      <c r="H16" s="1">
        <f>IF(ISNUMBER(Main_M[[#This Row],[Free CF]]),IF(Main_M[[#This Row],[Free CF]]&lt;&gt;0,Main_M[[#This Row],[Current Price]]/Main_M[[#This Row],[Free CF]],""),"")</f>
        <v>-10.094736842105263</v>
      </c>
      <c r="I16" s="1">
        <f>IF(ISNUMBER(Main_M[[#This Row],[BVPS]]),IF(Main_M[[#This Row],[BVPS]]&lt;&gt;0,Main_M[[#This Row],[Current Price]]/Main_M[[#This Row],[BVPS]],""),"")</f>
        <v>2.7244318181818183</v>
      </c>
      <c r="J16">
        <v>-125.4</v>
      </c>
      <c r="K16">
        <v>-20.54</v>
      </c>
      <c r="L16">
        <v>1.0900000000000001</v>
      </c>
      <c r="M16" s="1">
        <f>IF(ISNUMBER(Main_M[[#This Row],[EPS]]),IF(Main_M[[#This Row],[EPS]]&lt;&gt;0,Main_M[[#This Row],[Current Price]]/Main_M[[#This Row],[EPS]],""),"")</f>
        <v>-2.7321937321937324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-1.9549718881617881</v>
      </c>
      <c r="P16" s="1">
        <f>(Main_M[[#This Row],[P/B]]-VLOOKUP(Main_M[[#This Row],[Industry]], Mean_PB_M, 2, FALSE))/(VLOOKUP(Main_M[[#This Row],[Industry]], Mean_PB_M, 3, FALSE))</f>
        <v>0.60528281539223894</v>
      </c>
      <c r="Q16" s="1">
        <f>(Main_M[[#This Row],[ROE]]-VLOOKUP(Main_M[[#This Row],[Industry]], Mean_ROE_M, 2, FALSE))/(VLOOKUP(Main_M[[#This Row],[Industry]], Mean_ROE_M, 3, FALSE))</f>
        <v>-8.505260581036806</v>
      </c>
      <c r="R16" s="1">
        <f>(Main_M[[#This Row],[ROA]]-VLOOKUP(Main_M[[#This Row],[Industry]], Mean_ROA_M, 2, FALSE))/(VLOOKUP(Main_M[[#This Row],[Industry]], Mean_ROA_M, 3, FALSE))</f>
        <v>-7.6163850736328778</v>
      </c>
      <c r="S16" s="1">
        <f>(Main_M[[#This Row],[A/E]]-VLOOKUP(Main_M[[#This Row],[Industry]], Mean_AE_M, 2, FALSE))/(VLOOKUP(Main_M[[#This Row],[Industry]], Mean_AE_M, 3, FALSE))</f>
        <v>-1.3069176665552324</v>
      </c>
      <c r="T16" s="1">
        <f>(Main_M[[#This Row],[P/E]]-VLOOKUP(Main_M[[#This Row],[Industry]], Mean_PE_M, 2, FALSE))/(VLOOKUP(Main_M[[#This Row],[Industry]], Mean_PE_M, 3, FALSE))</f>
        <v>-1.5716618839284313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106</v>
      </c>
      <c r="B17" t="s">
        <v>216</v>
      </c>
      <c r="C17" s="2">
        <v>3139</v>
      </c>
      <c r="D17">
        <f>RTD("tos.rtd", , "LAST", Main_M[[#This Row],[Symbol]])</f>
        <v>11.29</v>
      </c>
      <c r="E17">
        <v>-1.71</v>
      </c>
      <c r="F17">
        <v>16.690000000000001</v>
      </c>
      <c r="G17">
        <v>0.24</v>
      </c>
      <c r="H17" s="1">
        <f>IF(ISNUMBER(Main_M[[#This Row],[Free CF]]),IF(Main_M[[#This Row],[Free CF]]&lt;&gt;0,Main_M[[#This Row],[Current Price]]/Main_M[[#This Row],[Free CF]],""),"")</f>
        <v>-6.6023391812865491</v>
      </c>
      <c r="I17" s="1">
        <f>IF(ISNUMBER(Main_M[[#This Row],[BVPS]]),IF(Main_M[[#This Row],[BVPS]]&lt;&gt;0,Main_M[[#This Row],[Current Price]]/Main_M[[#This Row],[BVPS]],""),"")</f>
        <v>0.676452965847813</v>
      </c>
      <c r="J17">
        <v>1.23</v>
      </c>
      <c r="K17">
        <v>2.0699999999999998</v>
      </c>
      <c r="L17">
        <v>4.41</v>
      </c>
      <c r="M17" s="1">
        <f>IF(ISNUMBER(Main_M[[#This Row],[EPS]]),IF(Main_M[[#This Row],[EPS]]&lt;&gt;0,Main_M[[#This Row],[Current Price]]/Main_M[[#This Row],[EPS]],""),"")</f>
        <v>47.041666666666664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-1.5785903898851419</v>
      </c>
      <c r="P17" s="1">
        <f>(Main_M[[#This Row],[P/B]]-VLOOKUP(Main_M[[#This Row],[Industry]], Mean_PB_M, 2, FALSE))/(VLOOKUP(Main_M[[#This Row],[Industry]], Mean_PB_M, 3, FALSE))</f>
        <v>-1.4459790290825274</v>
      </c>
      <c r="Q17" s="1">
        <f>(Main_M[[#This Row],[ROE]]-VLOOKUP(Main_M[[#This Row],[Industry]], Mean_ROE_M, 2, FALSE))/(VLOOKUP(Main_M[[#This Row],[Industry]], Mean_ROE_M, 3, FALSE))</f>
        <v>-0.45762253976202366</v>
      </c>
      <c r="R17" s="1">
        <f>(Main_M[[#This Row],[ROA]]-VLOOKUP(Main_M[[#This Row],[Industry]], Mean_ROA_M, 2, FALSE))/(VLOOKUP(Main_M[[#This Row],[Industry]], Mean_ROA_M, 3, FALSE))</f>
        <v>-0.99912851990135421</v>
      </c>
      <c r="S17" s="1">
        <f>(Main_M[[#This Row],[A/E]]-VLOOKUP(Main_M[[#This Row],[Industry]], Mean_AE_M, 2, FALSE))/(VLOOKUP(Main_M[[#This Row],[Industry]], Mean_AE_M, 3, FALSE))</f>
        <v>2.2663489888263668</v>
      </c>
      <c r="T17" s="1">
        <f>(Main_M[[#This Row],[P/E]]-VLOOKUP(Main_M[[#This Row],[Industry]], Mean_PE_M, 2, FALSE))/(VLOOKUP(Main_M[[#This Row],[Industry]], Mean_PE_M, 3, FALSE))</f>
        <v>3.4353145913149858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8" spans="1:26" x14ac:dyDescent="0.25">
      <c r="A18" t="s">
        <v>107</v>
      </c>
      <c r="B18" t="s">
        <v>217</v>
      </c>
      <c r="C18" s="2">
        <v>6860</v>
      </c>
      <c r="D18">
        <f>RTD("tos.rtd", , "LAST", Main_M[[#This Row],[Symbol]])</f>
        <v>2.65</v>
      </c>
      <c r="E18">
        <v>-1.19</v>
      </c>
      <c r="F18">
        <v>1.28</v>
      </c>
      <c r="G18">
        <v>-1.25</v>
      </c>
      <c r="H18" s="1">
        <f>IF(ISNUMBER(Main_M[[#This Row],[Free CF]]),IF(Main_M[[#This Row],[Free CF]]&lt;&gt;0,Main_M[[#This Row],[Current Price]]/Main_M[[#This Row],[Free CF]],""),"")</f>
        <v>-2.2268907563025211</v>
      </c>
      <c r="I18" s="1">
        <f>IF(ISNUMBER(Main_M[[#This Row],[BVPS]]),IF(Main_M[[#This Row],[BVPS]]&lt;&gt;0,Main_M[[#This Row],[Current Price]]/Main_M[[#This Row],[BVPS]],""),"")</f>
        <v>2.0703125</v>
      </c>
      <c r="J18">
        <v>-54.15</v>
      </c>
      <c r="K18">
        <v>-20.65</v>
      </c>
      <c r="L18">
        <v>2.4900000000000002</v>
      </c>
      <c r="M18" s="1">
        <f>IF(ISNUMBER(Main_M[[#This Row],[EPS]]),IF(Main_M[[#This Row],[EPS]]&lt;&gt;0,Main_M[[#This Row],[Current Price]]/Main_M[[#This Row],[EPS]],""),"")</f>
        <v>-2.12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-0.49600920189251668</v>
      </c>
      <c r="P18" s="1">
        <f>(Main_M[[#This Row],[P/B]]-VLOOKUP(Main_M[[#This Row],[Industry]], Mean_PB_M, 2, FALSE))/(VLOOKUP(Main_M[[#This Row],[Industry]], Mean_PB_M, 3, FALSE))</f>
        <v>1.1679675313235069</v>
      </c>
      <c r="Q18" s="1">
        <f>(Main_M[[#This Row],[ROE]]-VLOOKUP(Main_M[[#This Row],[Industry]], Mean_ROE_M, 2, FALSE))/(VLOOKUP(Main_M[[#This Row],[Industry]], Mean_ROE_M, 3, FALSE))</f>
        <v>-0.98701934623532728</v>
      </c>
      <c r="R18" s="1">
        <f>(Main_M[[#This Row],[ROA]]-VLOOKUP(Main_M[[#This Row],[Industry]], Mean_ROA_M, 2, FALSE))/(VLOOKUP(Main_M[[#This Row],[Industry]], Mean_ROA_M, 3, FALSE))</f>
        <v>-0.81990791122968087</v>
      </c>
      <c r="S18" s="1">
        <f>(Main_M[[#This Row],[A/E]]-VLOOKUP(Main_M[[#This Row],[Industry]], Mean_AE_M, 2, FALSE))/(VLOOKUP(Main_M[[#This Row],[Industry]], Mean_AE_M, 3, FALSE))</f>
        <v>0.85773553868844865</v>
      </c>
      <c r="T18" s="1">
        <f>(Main_M[[#This Row],[P/E]]-VLOOKUP(Main_M[[#This Row],[Industry]], Mean_PE_M, 2, FALSE))/(VLOOKUP(Main_M[[#This Row],[Industry]], Mean_PE_M, 3, FALSE))</f>
        <v>-0.16220938254516232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107</v>
      </c>
      <c r="B19" t="s">
        <v>218</v>
      </c>
      <c r="C19" s="2">
        <v>8625</v>
      </c>
      <c r="D19">
        <f>RTD("tos.rtd", , "LAST", Main_M[[#This Row],[Symbol]])</f>
        <v>4.12</v>
      </c>
      <c r="E19">
        <v>-1.1299999999999999</v>
      </c>
      <c r="F19">
        <v>0.39</v>
      </c>
      <c r="G19">
        <v>-1.51</v>
      </c>
      <c r="H19" s="1">
        <f>IF(ISNUMBER(Main_M[[#This Row],[Free CF]]),IF(Main_M[[#This Row],[Free CF]]&lt;&gt;0,Main_M[[#This Row],[Current Price]]/Main_M[[#This Row],[Free CF]],""),"")</f>
        <v>-3.6460176991150446</v>
      </c>
      <c r="I19" s="1">
        <f>IF(ISNUMBER(Main_M[[#This Row],[BVPS]]),IF(Main_M[[#This Row],[BVPS]]&lt;&gt;0,Main_M[[#This Row],[Current Price]]/Main_M[[#This Row],[BVPS]],""),"")</f>
        <v>10.564102564102564</v>
      </c>
      <c r="J19">
        <v>-103.95</v>
      </c>
      <c r="K19">
        <v>-12.15</v>
      </c>
      <c r="L19">
        <v>18.03</v>
      </c>
      <c r="M19" s="1">
        <f>IF(ISNUMBER(Main_M[[#This Row],[EPS]]),IF(Main_M[[#This Row],[EPS]]&lt;&gt;0,Main_M[[#This Row],[Current Price]]/Main_M[[#This Row],[EPS]],""),"")</f>
        <v>-2.7284768211920531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-0.81328069158425575</v>
      </c>
      <c r="P19" s="1">
        <f>(Main_M[[#This Row],[P/B]]-VLOOKUP(Main_M[[#This Row],[Industry]], Mean_PB_M, 2, FALSE))/(VLOOKUP(Main_M[[#This Row],[Industry]], Mean_PB_M, 3, FALSE))</f>
        <v>5.048336378520168</v>
      </c>
      <c r="Q19" s="1">
        <f>(Main_M[[#This Row],[ROE]]-VLOOKUP(Main_M[[#This Row],[Industry]], Mean_ROE_M, 2, FALSE))/(VLOOKUP(Main_M[[#This Row],[Industry]], Mean_ROE_M, 3, FALSE))</f>
        <v>-1.6534567052731453</v>
      </c>
      <c r="R19" s="1">
        <f>(Main_M[[#This Row],[ROA]]-VLOOKUP(Main_M[[#This Row],[Industry]], Mean_ROA_M, 2, FALSE))/(VLOOKUP(Main_M[[#This Row],[Industry]], Mean_ROA_M, 3, FALSE))</f>
        <v>2.2511717818255766E-2</v>
      </c>
      <c r="S19" s="1">
        <f>(Main_M[[#This Row],[A/E]]-VLOOKUP(Main_M[[#This Row],[Industry]], Mean_AE_M, 2, FALSE))/(VLOOKUP(Main_M[[#This Row],[Industry]], Mean_AE_M, 3, FALSE))</f>
        <v>7.1204811633799876</v>
      </c>
      <c r="T19" s="1">
        <f>(Main_M[[#This Row],[P/E]]-VLOOKUP(Main_M[[#This Row],[Industry]], Mean_PE_M, 2, FALSE))/(VLOOKUP(Main_M[[#This Row],[Industry]], Mean_PE_M, 3, FALSE))</f>
        <v>-0.28197531261580927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107</v>
      </c>
      <c r="B20" t="s">
        <v>219</v>
      </c>
      <c r="C20" s="2">
        <v>2279</v>
      </c>
      <c r="D20">
        <f>RTD("tos.rtd", , "LAST", Main_M[[#This Row],[Symbol]])</f>
        <v>1.04</v>
      </c>
      <c r="E20">
        <v>-0.95</v>
      </c>
      <c r="F20">
        <v>-0.86</v>
      </c>
      <c r="G20">
        <v>-0.66</v>
      </c>
      <c r="H20" s="1">
        <f>IF(ISNUMBER(Main_M[[#This Row],[Free CF]]),IF(Main_M[[#This Row],[Free CF]]&lt;&gt;0,Main_M[[#This Row],[Current Price]]/Main_M[[#This Row],[Free CF]],""),"")</f>
        <v>-1.0947368421052632</v>
      </c>
      <c r="I20" s="1">
        <f>IF(ISNUMBER(Main_M[[#This Row],[BVPS]]),IF(Main_M[[#This Row],[BVPS]]&lt;&gt;0,Main_M[[#This Row],[Current Price]]/Main_M[[#This Row],[BVPS]],""),"")</f>
        <v>-1.2093023255813955</v>
      </c>
      <c r="J20">
        <v>121.69</v>
      </c>
      <c r="K20">
        <v>-22.77</v>
      </c>
      <c r="L20">
        <v>-2.19</v>
      </c>
      <c r="M20" s="1">
        <f>IF(ISNUMBER(Main_M[[#This Row],[EPS]]),IF(Main_M[[#This Row],[EPS]]&lt;&gt;0,Main_M[[#This Row],[Current Price]]/Main_M[[#This Row],[EPS]],""),"")</f>
        <v>-1.5757575757575757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-0.24289572199070478</v>
      </c>
      <c r="P20" s="1">
        <f>(Main_M[[#This Row],[P/B]]-VLOOKUP(Main_M[[#This Row],[Industry]], Mean_PB_M, 2, FALSE))/(VLOOKUP(Main_M[[#This Row],[Industry]], Mean_PB_M, 3, FALSE))</f>
        <v>-0.33031711003758973</v>
      </c>
      <c r="Q20" s="1">
        <f>(Main_M[[#This Row],[ROE]]-VLOOKUP(Main_M[[#This Row],[Industry]], Mean_ROE_M, 2, FALSE))/(VLOOKUP(Main_M[[#This Row],[Industry]], Mean_ROE_M, 3, FALSE))</f>
        <v>1.3661201158773217</v>
      </c>
      <c r="R20" s="1">
        <f>(Main_M[[#This Row],[ROA]]-VLOOKUP(Main_M[[#This Row],[Industry]], Mean_ROA_M, 2, FALSE))/(VLOOKUP(Main_M[[#This Row],[Industry]], Mean_ROA_M, 3, FALSE))</f>
        <v>-1.0300172775334018</v>
      </c>
      <c r="S20" s="1">
        <f>(Main_M[[#This Row],[A/E]]-VLOOKUP(Main_M[[#This Row],[Industry]], Mean_AE_M, 2, FALSE))/(VLOOKUP(Main_M[[#This Row],[Industry]], Mean_AE_M, 3, FALSE))</f>
        <v>-1.0283422942302387</v>
      </c>
      <c r="T20" s="1">
        <f>(Main_M[[#This Row],[P/E]]-VLOOKUP(Main_M[[#This Row],[Industry]], Mean_PE_M, 2, FALSE))/(VLOOKUP(Main_M[[#This Row],[Industry]], Mean_PE_M, 3, FALSE))</f>
        <v>-5.5086649430034634E-2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107</v>
      </c>
      <c r="B21" t="s">
        <v>220</v>
      </c>
      <c r="C21" s="2">
        <v>3927</v>
      </c>
      <c r="D21">
        <f>RTD("tos.rtd", , "LAST", Main_M[[#This Row],[Symbol]])</f>
        <v>82.54</v>
      </c>
      <c r="E21">
        <v>10.14</v>
      </c>
      <c r="F21">
        <v>74.28</v>
      </c>
      <c r="G21">
        <v>3.79</v>
      </c>
      <c r="H21" s="1">
        <f>IF(ISNUMBER(Main_M[[#This Row],[Free CF]]),IF(Main_M[[#This Row],[Free CF]]&lt;&gt;0,Main_M[[#This Row],[Current Price]]/Main_M[[#This Row],[Free CF]],""),"")</f>
        <v>8.1400394477317555</v>
      </c>
      <c r="I21" s="1">
        <f>IF(ISNUMBER(Main_M[[#This Row],[BVPS]]),IF(Main_M[[#This Row],[BVPS]]&lt;&gt;0,Main_M[[#This Row],[Current Price]]/Main_M[[#This Row],[BVPS]],""),"")</f>
        <v>1.1112008616047389</v>
      </c>
      <c r="J21">
        <v>5.09</v>
      </c>
      <c r="K21">
        <v>2.86</v>
      </c>
      <c r="L21">
        <v>1.7</v>
      </c>
      <c r="M21" s="1">
        <f>IF(ISNUMBER(Main_M[[#This Row],[EPS]]),IF(Main_M[[#This Row],[EPS]]&lt;&gt;0,Main_M[[#This Row],[Current Price]]/Main_M[[#This Row],[EPS]],""),"")</f>
        <v>21.778364116094988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1.8217055071564237</v>
      </c>
      <c r="P21" s="1">
        <f>(Main_M[[#This Row],[P/B]]-VLOOKUP(Main_M[[#This Row],[Industry]], Mean_PB_M, 2, FALSE))/(VLOOKUP(Main_M[[#This Row],[Industry]], Mean_PB_M, 3, FALSE))</f>
        <v>0.72979954100057365</v>
      </c>
      <c r="Q21" s="1">
        <f>(Main_M[[#This Row],[ROE]]-VLOOKUP(Main_M[[#This Row],[Industry]], Mean_ROE_M, 2, FALSE))/(VLOOKUP(Main_M[[#This Row],[Industry]], Mean_ROE_M, 3, FALSE))</f>
        <v>-0.1942532990586136</v>
      </c>
      <c r="R21" s="1">
        <f>(Main_M[[#This Row],[ROA]]-VLOOKUP(Main_M[[#This Row],[Industry]], Mean_ROA_M, 2, FALSE))/(VLOOKUP(Main_M[[#This Row],[Industry]], Mean_ROA_M, 3, FALSE))</f>
        <v>1.5101256745252596</v>
      </c>
      <c r="S21" s="1">
        <f>(Main_M[[#This Row],[A/E]]-VLOOKUP(Main_M[[#This Row],[Industry]], Mean_AE_M, 2, FALSE))/(VLOOKUP(Main_M[[#This Row],[Industry]], Mean_AE_M, 3, FALSE))</f>
        <v>0.53935915236243093</v>
      </c>
      <c r="T21" s="1">
        <f>(Main_M[[#This Row],[P/E]]-VLOOKUP(Main_M[[#This Row],[Industry]], Mean_PE_M, 2, FALSE))/(VLOOKUP(Main_M[[#This Row],[Industry]], Mean_PE_M, 3, FALSE))</f>
        <v>4.5416835281556933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2" spans="1:26" x14ac:dyDescent="0.25">
      <c r="A22" t="s">
        <v>107</v>
      </c>
      <c r="B22" t="s">
        <v>221</v>
      </c>
      <c r="C22" s="2">
        <v>8700</v>
      </c>
      <c r="D22">
        <f>RTD("tos.rtd", , "LAST", Main_M[[#This Row],[Symbol]])</f>
        <v>3.72</v>
      </c>
      <c r="E22">
        <v>-0.79</v>
      </c>
      <c r="F22">
        <v>-2.76</v>
      </c>
      <c r="G22">
        <v>-1.3</v>
      </c>
      <c r="H22" s="1">
        <f>IF(ISNUMBER(Main_M[[#This Row],[Free CF]]),IF(Main_M[[#This Row],[Free CF]]&lt;&gt;0,Main_M[[#This Row],[Current Price]]/Main_M[[#This Row],[Free CF]],""),"")</f>
        <v>-4.7088607594936711</v>
      </c>
      <c r="I22" s="1">
        <f>IF(ISNUMBER(Main_M[[#This Row],[BVPS]]),IF(Main_M[[#This Row],[BVPS]]&lt;&gt;0,Main_M[[#This Row],[Current Price]]/Main_M[[#This Row],[BVPS]],""),"")</f>
        <v>-1.347826086956522</v>
      </c>
      <c r="J22">
        <v>96.5</v>
      </c>
      <c r="K22">
        <v>-22.32</v>
      </c>
      <c r="L22">
        <v>-0.95</v>
      </c>
      <c r="M22" s="1">
        <f>IF(ISNUMBER(Main_M[[#This Row],[EPS]]),IF(Main_M[[#This Row],[EPS]]&lt;&gt;0,Main_M[[#This Row],[Current Price]]/Main_M[[#This Row],[EPS]],""),"")</f>
        <v>-2.8615384615384616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-1.0508984767885508</v>
      </c>
      <c r="P22" s="1">
        <f>(Main_M[[#This Row],[P/B]]-VLOOKUP(Main_M[[#This Row],[Industry]], Mean_PB_M, 2, FALSE))/(VLOOKUP(Main_M[[#This Row],[Industry]], Mean_PB_M, 3, FALSE))</f>
        <v>-0.39360137821232222</v>
      </c>
      <c r="Q22" s="1">
        <f>(Main_M[[#This Row],[ROE]]-VLOOKUP(Main_M[[#This Row],[Industry]], Mean_ROE_M, 2, FALSE))/(VLOOKUP(Main_M[[#This Row],[Industry]], Mean_ROE_M, 3, FALSE))</f>
        <v>1.0290205762355018</v>
      </c>
      <c r="R22" s="1">
        <f>(Main_M[[#This Row],[ROA]]-VLOOKUP(Main_M[[#This Row],[Industry]], Mean_ROA_M, 2, FALSE))/(VLOOKUP(Main_M[[#This Row],[Industry]], Mean_ROA_M, 3, FALSE))</f>
        <v>-0.98541859128968745</v>
      </c>
      <c r="S22" s="1">
        <f>(Main_M[[#This Row],[A/E]]-VLOOKUP(Main_M[[#This Row],[Industry]], Mean_AE_M, 2, FALSE))/(VLOOKUP(Main_M[[#This Row],[Industry]], Mean_AE_M, 3, FALSE))</f>
        <v>-0.52861227012357792</v>
      </c>
      <c r="T22" s="1">
        <f>(Main_M[[#This Row],[P/E]]-VLOOKUP(Main_M[[#This Row],[Industry]], Mean_PE_M, 2, FALSE))/(VLOOKUP(Main_M[[#This Row],[Industry]], Mean_PE_M, 3, FALSE))</f>
        <v>-0.30816571224614059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107</v>
      </c>
      <c r="B23" t="s">
        <v>222</v>
      </c>
      <c r="C23" s="2">
        <v>6403</v>
      </c>
      <c r="D23">
        <f>RTD("tos.rtd", , "LAST", Main_M[[#This Row],[Symbol]])</f>
        <v>28.6</v>
      </c>
      <c r="E23">
        <v>0.87</v>
      </c>
      <c r="F23">
        <v>-6.33</v>
      </c>
      <c r="G23">
        <v>-3.74</v>
      </c>
      <c r="H23" s="1">
        <f>IF(ISNUMBER(Main_M[[#This Row],[Free CF]]),IF(Main_M[[#This Row],[Free CF]]&lt;&gt;0,Main_M[[#This Row],[Current Price]]/Main_M[[#This Row],[Free CF]],""),"")</f>
        <v>32.873563218390807</v>
      </c>
      <c r="I23" s="1">
        <f>IF(ISNUMBER(Main_M[[#This Row],[BVPS]]),IF(Main_M[[#This Row],[BVPS]]&lt;&gt;0,Main_M[[#This Row],[Current Price]]/Main_M[[#This Row],[BVPS]],""),"")</f>
        <v>-4.5181674565560828</v>
      </c>
      <c r="J23">
        <v>61.5</v>
      </c>
      <c r="K23">
        <v>-13.51</v>
      </c>
      <c r="L23">
        <v>-2.78</v>
      </c>
      <c r="M23" s="1">
        <f>IF(ISNUMBER(Main_M[[#This Row],[EPS]]),IF(Main_M[[#This Row],[EPS]]&lt;&gt;0,Main_M[[#This Row],[Current Price]]/Main_M[[#This Row],[EPS]],""),"")</f>
        <v>-7.6470588235294121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7.3513319946155606</v>
      </c>
      <c r="P23" s="1">
        <f>(Main_M[[#This Row],[P/B]]-VLOOKUP(Main_M[[#This Row],[Industry]], Mean_PB_M, 2, FALSE))/(VLOOKUP(Main_M[[#This Row],[Industry]], Mean_PB_M, 3, FALSE))</f>
        <v>-1.8419646874922939</v>
      </c>
      <c r="Q23" s="1">
        <f>(Main_M[[#This Row],[ROE]]-VLOOKUP(Main_M[[#This Row],[Industry]], Mean_ROE_M, 2, FALSE))/(VLOOKUP(Main_M[[#This Row],[Industry]], Mean_ROE_M, 3, FALSE))</f>
        <v>0.5606409062290032</v>
      </c>
      <c r="R23" s="1">
        <f>(Main_M[[#This Row],[ROA]]-VLOOKUP(Main_M[[#This Row],[Industry]], Mean_ROA_M, 2, FALSE))/(VLOOKUP(Main_M[[#This Row],[Industry]], Mean_ROA_M, 3, FALSE))</f>
        <v>-0.11227542282941408</v>
      </c>
      <c r="S23" s="1">
        <f>(Main_M[[#This Row],[A/E]]-VLOOKUP(Main_M[[#This Row],[Industry]], Mean_AE_M, 2, FALSE))/(VLOOKUP(Main_M[[#This Row],[Industry]], Mean_AE_M, 3, FALSE))</f>
        <v>-1.2661170637648596</v>
      </c>
      <c r="T23" s="1">
        <f>(Main_M[[#This Row],[P/E]]-VLOOKUP(Main_M[[#This Row],[Industry]], Mean_PE_M, 2, FALSE))/(VLOOKUP(Main_M[[#This Row],[Industry]], Mean_PE_M, 3, FALSE))</f>
        <v>-1.25009526003571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107</v>
      </c>
      <c r="B24" t="s">
        <v>223</v>
      </c>
      <c r="C24" s="2">
        <v>2843</v>
      </c>
      <c r="D24">
        <f>RTD("tos.rtd", , "LAST", Main_M[[#This Row],[Symbol]])</f>
        <v>25</v>
      </c>
      <c r="E24">
        <v>7.17</v>
      </c>
      <c r="F24">
        <v>25.61</v>
      </c>
      <c r="G24">
        <v>2.73</v>
      </c>
      <c r="H24" s="1">
        <f>IF(ISNUMBER(Main_M[[#This Row],[Free CF]]),IF(Main_M[[#This Row],[Free CF]]&lt;&gt;0,Main_M[[#This Row],[Current Price]]/Main_M[[#This Row],[Free CF]],""),"")</f>
        <v>3.4867503486750349</v>
      </c>
      <c r="I24" s="1">
        <f>IF(ISNUMBER(Main_M[[#This Row],[BVPS]]),IF(Main_M[[#This Row],[BVPS]]&lt;&gt;0,Main_M[[#This Row],[Current Price]]/Main_M[[#This Row],[BVPS]],""),"")</f>
        <v>0.97618117922686454</v>
      </c>
      <c r="J24">
        <v>10.56</v>
      </c>
      <c r="K24">
        <v>1.9</v>
      </c>
      <c r="L24">
        <v>3.9</v>
      </c>
      <c r="M24" s="1">
        <f>IF(ISNUMBER(Main_M[[#This Row],[EPS]]),IF(Main_M[[#This Row],[EPS]]&lt;&gt;0,Main_M[[#This Row],[Current Price]]/Main_M[[#This Row],[EPS]],""),"")</f>
        <v>9.1575091575091569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0.78137858509960434</v>
      </c>
      <c r="P24" s="1">
        <f>(Main_M[[#This Row],[P/B]]-VLOOKUP(Main_M[[#This Row],[Industry]], Mean_PB_M, 2, FALSE))/(VLOOKUP(Main_M[[#This Row],[Industry]], Mean_PB_M, 3, FALSE))</f>
        <v>0.66811610341812511</v>
      </c>
      <c r="Q24" s="1">
        <f>(Main_M[[#This Row],[ROE]]-VLOOKUP(Main_M[[#This Row],[Industry]], Mean_ROE_M, 2, FALSE))/(VLOOKUP(Main_M[[#This Row],[Industry]], Mean_ROE_M, 3, FALSE))</f>
        <v>-0.12105224777474081</v>
      </c>
      <c r="R24" s="1">
        <f>(Main_M[[#This Row],[ROA]]-VLOOKUP(Main_M[[#This Row],[Industry]], Mean_ROA_M, 2, FALSE))/(VLOOKUP(Main_M[[#This Row],[Industry]], Mean_ROA_M, 3, FALSE))</f>
        <v>1.4149818105386691</v>
      </c>
      <c r="S24" s="1">
        <f>(Main_M[[#This Row],[A/E]]-VLOOKUP(Main_M[[#This Row],[Industry]], Mean_AE_M, 2, FALSE))/(VLOOKUP(Main_M[[#This Row],[Industry]], Mean_AE_M, 3, FALSE))</f>
        <v>1.4259769370677966</v>
      </c>
      <c r="T24" s="1">
        <f>(Main_M[[#This Row],[P/E]]-VLOOKUP(Main_M[[#This Row],[Industry]], Mean_PE_M, 2, FALSE))/(VLOOKUP(Main_M[[#This Row],[Industry]], Mean_PE_M, 3, FALSE))</f>
        <v>2.057532316872857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114</v>
      </c>
      <c r="B25" t="s">
        <v>303</v>
      </c>
      <c r="C25" s="2">
        <v>5544</v>
      </c>
      <c r="D25">
        <f>RTD("tos.rtd", , "LAST", Main_M[[#This Row],[Symbol]])</f>
        <v>393.87</v>
      </c>
      <c r="E25">
        <v>37.81</v>
      </c>
      <c r="F25">
        <v>112.9</v>
      </c>
      <c r="G25">
        <v>36.82</v>
      </c>
      <c r="H25" s="1">
        <f>IF(ISNUMBER(Main_M[[#This Row],[Free CF]]),IF(Main_M[[#This Row],[Free CF]]&lt;&gt;0,Main_M[[#This Row],[Current Price]]/Main_M[[#This Row],[Free CF]],""),"")</f>
        <v>10.417085427135678</v>
      </c>
      <c r="I25" s="1">
        <f>IF(ISNUMBER(Main_M[[#This Row],[BVPS]]),IF(Main_M[[#This Row],[BVPS]]&lt;&gt;0,Main_M[[#This Row],[Current Price]]/Main_M[[#This Row],[BVPS]],""),"")</f>
        <v>3.4886625332152348</v>
      </c>
      <c r="J25">
        <v>33.979999999999997</v>
      </c>
      <c r="K25">
        <v>12.81</v>
      </c>
      <c r="L25">
        <v>1.97</v>
      </c>
      <c r="M25" s="1">
        <f>IF(ISNUMBER(Main_M[[#This Row],[EPS]]),IF(Main_M[[#This Row],[EPS]]&lt;&gt;0,Main_M[[#This Row],[Current Price]]/Main_M[[#This Row],[EPS]],""),"")</f>
        <v>10.697175448126018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-0.54555959239622798</v>
      </c>
      <c r="P25" s="1">
        <f>(Main_M[[#This Row],[P/B]]-VLOOKUP(Main_M[[#This Row],[Industry]], Mean_PB_M, 2, FALSE))/(VLOOKUP(Main_M[[#This Row],[Industry]], Mean_PB_M, 3, FALSE))</f>
        <v>0.20532295221317076</v>
      </c>
      <c r="Q25" s="1">
        <f>(Main_M[[#This Row],[ROE]]-VLOOKUP(Main_M[[#This Row],[Industry]], Mean_ROE_M, 2, FALSE))/(VLOOKUP(Main_M[[#This Row],[Industry]], Mean_ROE_M, 3, FALSE))</f>
        <v>-0.24363301900269363</v>
      </c>
      <c r="R25" s="1">
        <f>(Main_M[[#This Row],[ROA]]-VLOOKUP(Main_M[[#This Row],[Industry]], Mean_ROA_M, 2, FALSE))/(VLOOKUP(Main_M[[#This Row],[Industry]], Mean_ROA_M, 3, FALSE))</f>
        <v>1.2764169784291355</v>
      </c>
      <c r="S25" s="1">
        <f>(Main_M[[#This Row],[A/E]]-VLOOKUP(Main_M[[#This Row],[Industry]], Mean_AE_M, 2, FALSE))/(VLOOKUP(Main_M[[#This Row],[Industry]], Mean_AE_M, 3, FALSE))</f>
        <v>1.2524895393238311</v>
      </c>
      <c r="T25" s="1">
        <f>(Main_M[[#This Row],[P/E]]-VLOOKUP(Main_M[[#This Row],[Industry]], Mean_PE_M, 2, FALSE))/(VLOOKUP(Main_M[[#This Row],[Industry]], Mean_PE_M, 3, FALSE))</f>
        <v>-0.13957646313900562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114</v>
      </c>
      <c r="B26" t="s">
        <v>304</v>
      </c>
      <c r="C26" s="2">
        <v>4789</v>
      </c>
      <c r="D26">
        <f>RTD("tos.rtd", , "LAST", Main_M[[#This Row],[Symbol]])</f>
        <v>46.77</v>
      </c>
      <c r="E26">
        <v>6.11</v>
      </c>
      <c r="F26">
        <v>-8.66</v>
      </c>
      <c r="G26">
        <v>1.54</v>
      </c>
      <c r="H26" s="1">
        <f>IF(ISNUMBER(Main_M[[#This Row],[Free CF]]),IF(Main_M[[#This Row],[Free CF]]&lt;&gt;0,Main_M[[#This Row],[Current Price]]/Main_M[[#This Row],[Free CF]],""),"")</f>
        <v>7.6546644844517182</v>
      </c>
      <c r="I26" s="1">
        <f>IF(ISNUMBER(Main_M[[#This Row],[BVPS]]),IF(Main_M[[#This Row],[BVPS]]&lt;&gt;0,Main_M[[#This Row],[Current Price]]/Main_M[[#This Row],[BVPS]],""),"")</f>
        <v>-5.4006928406466512</v>
      </c>
      <c r="J26">
        <v>-25.19</v>
      </c>
      <c r="K26">
        <v>10.6</v>
      </c>
      <c r="L26">
        <v>-2.33</v>
      </c>
      <c r="M26" s="1">
        <f>IF(ISNUMBER(Main_M[[#This Row],[EPS]]),IF(Main_M[[#This Row],[EPS]]&lt;&gt;0,Main_M[[#This Row],[Current Price]]/Main_M[[#This Row],[EPS]],""),"")</f>
        <v>30.370129870129873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-0.68535618706713286</v>
      </c>
      <c r="P26" s="1">
        <f>(Main_M[[#This Row],[P/B]]-VLOOKUP(Main_M[[#This Row],[Industry]], Mean_PB_M, 2, FALSE))/(VLOOKUP(Main_M[[#This Row],[Industry]], Mean_PB_M, 3, FALSE))</f>
        <v>-2.8665144507161857</v>
      </c>
      <c r="Q26" s="1">
        <f>(Main_M[[#This Row],[ROE]]-VLOOKUP(Main_M[[#This Row],[Industry]], Mean_ROE_M, 2, FALSE))/(VLOOKUP(Main_M[[#This Row],[Industry]], Mean_ROE_M, 3, FALSE))</f>
        <v>-0.5467682797725637</v>
      </c>
      <c r="R26" s="1">
        <f>(Main_M[[#This Row],[ROA]]-VLOOKUP(Main_M[[#This Row],[Industry]], Mean_ROA_M, 2, FALSE))/(VLOOKUP(Main_M[[#This Row],[Industry]], Mean_ROA_M, 3, FALSE))</f>
        <v>0.85140254329571463</v>
      </c>
      <c r="S26" s="1">
        <f>(Main_M[[#This Row],[A/E]]-VLOOKUP(Main_M[[#This Row],[Industry]], Mean_AE_M, 2, FALSE))/(VLOOKUP(Main_M[[#This Row],[Industry]], Mean_AE_M, 3, FALSE))</f>
        <v>-18.994521810647875</v>
      </c>
      <c r="T26" s="1">
        <f>(Main_M[[#This Row],[P/E]]-VLOOKUP(Main_M[[#This Row],[Industry]], Mean_PE_M, 2, FALSE))/(VLOOKUP(Main_M[[#This Row],[Industry]], Mean_PE_M, 3, FALSE))</f>
        <v>1.9503103252109959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114</v>
      </c>
      <c r="B27" t="s">
        <v>305</v>
      </c>
      <c r="C27" s="2">
        <v>6322</v>
      </c>
      <c r="D27">
        <f>RTD("tos.rtd", , "LAST", Main_M[[#This Row],[Symbol]])</f>
        <v>42.39</v>
      </c>
      <c r="E27">
        <v>1</v>
      </c>
      <c r="F27">
        <v>5.28</v>
      </c>
      <c r="G27">
        <v>-0.45</v>
      </c>
      <c r="H27" s="1">
        <f>IF(ISNUMBER(Main_M[[#This Row],[Free CF]]),IF(Main_M[[#This Row],[Free CF]]&lt;&gt;0,Main_M[[#This Row],[Current Price]]/Main_M[[#This Row],[Free CF]],""),"")</f>
        <v>42.39</v>
      </c>
      <c r="I27" s="1">
        <f>IF(ISNUMBER(Main_M[[#This Row],[BVPS]]),IF(Main_M[[#This Row],[BVPS]]&lt;&gt;0,Main_M[[#This Row],[Current Price]]/Main_M[[#This Row],[BVPS]],""),"")</f>
        <v>8.0284090909090899</v>
      </c>
      <c r="J27">
        <v>-8.42</v>
      </c>
      <c r="K27">
        <v>-3.44</v>
      </c>
      <c r="L27">
        <v>1.41</v>
      </c>
      <c r="M27" s="1">
        <f>IF(ISNUMBER(Main_M[[#This Row],[EPS]]),IF(Main_M[[#This Row],[EPS]]&lt;&gt;0,Main_M[[#This Row],[Current Price]]/Main_M[[#This Row],[EPS]],""),"")</f>
        <v>-94.2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1.0724793204739551</v>
      </c>
      <c r="P27" s="1">
        <f>(Main_M[[#This Row],[P/B]]-VLOOKUP(Main_M[[#This Row],[Industry]], Mean_PB_M, 2, FALSE))/(VLOOKUP(Main_M[[#This Row],[Industry]], Mean_PB_M, 3, FALSE))</f>
        <v>1.774093992321264</v>
      </c>
      <c r="Q27" s="1">
        <f>(Main_M[[#This Row],[ROE]]-VLOOKUP(Main_M[[#This Row],[Industry]], Mean_ROE_M, 2, FALSE))/(VLOOKUP(Main_M[[#This Row],[Industry]], Mean_ROE_M, 3, FALSE))</f>
        <v>-0.46085348641257184</v>
      </c>
      <c r="R27" s="1">
        <f>(Main_M[[#This Row],[ROA]]-VLOOKUP(Main_M[[#This Row],[Industry]], Mean_ROA_M, 2, FALSE))/(VLOOKUP(Main_M[[#This Row],[Industry]], Mean_ROA_M, 3, FALSE))</f>
        <v>-1.8486891622577812</v>
      </c>
      <c r="S27" s="1">
        <f>(Main_M[[#This Row],[A/E]]-VLOOKUP(Main_M[[#This Row],[Industry]], Mean_AE_M, 2, FALSE))/(VLOOKUP(Main_M[[#This Row],[Industry]], Mean_AE_M, 3, FALSE))</f>
        <v>-1.3843305434631819</v>
      </c>
      <c r="T27" s="1">
        <f>(Main_M[[#This Row],[P/E]]-VLOOKUP(Main_M[[#This Row],[Industry]], Mean_PE_M, 2, FALSE))/(VLOOKUP(Main_M[[#This Row],[Industry]], Mean_PE_M, 3, FALSE))</f>
        <v>-11.282957187849748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8" spans="1:26" x14ac:dyDescent="0.25">
      <c r="A28" t="s">
        <v>114</v>
      </c>
      <c r="B28" t="s">
        <v>306</v>
      </c>
      <c r="C28" s="2">
        <v>4057</v>
      </c>
      <c r="D28">
        <f>RTD("tos.rtd", , "LAST", Main_M[[#This Row],[Symbol]])</f>
        <v>24.57</v>
      </c>
      <c r="E28">
        <v>4.57</v>
      </c>
      <c r="F28">
        <v>6.9</v>
      </c>
      <c r="G28">
        <v>1.74</v>
      </c>
      <c r="H28" s="1">
        <f>IF(ISNUMBER(Main_M[[#This Row],[Free CF]]),IF(Main_M[[#This Row],[Free CF]]&lt;&gt;0,Main_M[[#This Row],[Current Price]]/Main_M[[#This Row],[Free CF]],""),"")</f>
        <v>5.3763676148796495</v>
      </c>
      <c r="I28" s="1">
        <f>IF(ISNUMBER(Main_M[[#This Row],[BVPS]]),IF(Main_M[[#This Row],[BVPS]]&lt;&gt;0,Main_M[[#This Row],[Current Price]]/Main_M[[#This Row],[BVPS]],""),"")</f>
        <v>3.560869565217391</v>
      </c>
      <c r="J28">
        <v>29.58</v>
      </c>
      <c r="K28">
        <v>3.92</v>
      </c>
      <c r="L28">
        <v>7.86</v>
      </c>
      <c r="M28" s="1">
        <f>IF(ISNUMBER(Main_M[[#This Row],[EPS]]),IF(Main_M[[#This Row],[EPS]]&lt;&gt;0,Main_M[[#This Row],[Current Price]]/Main_M[[#This Row],[EPS]],""),"")</f>
        <v>14.120689655172415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-0.80065293243067837</v>
      </c>
      <c r="P28" s="1">
        <f>(Main_M[[#This Row],[P/B]]-VLOOKUP(Main_M[[#This Row],[Industry]], Mean_PB_M, 2, FALSE))/(VLOOKUP(Main_M[[#This Row],[Industry]], Mean_PB_M, 3, FALSE))</f>
        <v>0.23027507217351589</v>
      </c>
      <c r="Q28" s="1">
        <f>(Main_M[[#This Row],[ROE]]-VLOOKUP(Main_M[[#This Row],[Industry]], Mean_ROE_M, 2, FALSE))/(VLOOKUP(Main_M[[#This Row],[Industry]], Mean_ROE_M, 3, FALSE))</f>
        <v>-0.26617476562069986</v>
      </c>
      <c r="R28" s="1">
        <f>(Main_M[[#This Row],[ROA]]-VLOOKUP(Main_M[[#This Row],[Industry]], Mean_ROA_M, 2, FALSE))/(VLOOKUP(Main_M[[#This Row],[Industry]], Mean_ROA_M, 3, FALSE))</f>
        <v>-0.43325647330666078</v>
      </c>
      <c r="S28" s="1">
        <f>(Main_M[[#This Row],[A/E]]-VLOOKUP(Main_M[[#This Row],[Industry]], Mean_AE_M, 2, FALSE))/(VLOOKUP(Main_M[[#This Row],[Industry]], Mean_AE_M, 3, FALSE))</f>
        <v>28.986186481494379</v>
      </c>
      <c r="T28" s="1">
        <f>(Main_M[[#This Row],[P/E]]-VLOOKUP(Main_M[[#This Row],[Industry]], Mean_PE_M, 2, FALSE))/(VLOOKUP(Main_M[[#This Row],[Industry]], Mean_PE_M, 3, FALSE))</f>
        <v>0.22410846986893784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114</v>
      </c>
      <c r="B29" t="s">
        <v>307</v>
      </c>
      <c r="C29" s="2">
        <v>3231</v>
      </c>
      <c r="D29">
        <f>RTD("tos.rtd", , "LAST", Main_M[[#This Row],[Symbol]])</f>
        <v>12.42</v>
      </c>
      <c r="E29">
        <v>1.43</v>
      </c>
      <c r="F29">
        <v>16.39</v>
      </c>
      <c r="G29">
        <v>2.0699999999999998</v>
      </c>
      <c r="H29" s="1">
        <f>IF(ISNUMBER(Main_M[[#This Row],[Free CF]]),IF(Main_M[[#This Row],[Free CF]]&lt;&gt;0,Main_M[[#This Row],[Current Price]]/Main_M[[#This Row],[Free CF]],""),"")</f>
        <v>8.685314685314685</v>
      </c>
      <c r="I29" s="1">
        <f>IF(ISNUMBER(Main_M[[#This Row],[BVPS]]),IF(Main_M[[#This Row],[BVPS]]&lt;&gt;0,Main_M[[#This Row],[Current Price]]/Main_M[[#This Row],[BVPS]],""),"")</f>
        <v>0.75777913361805971</v>
      </c>
      <c r="J29">
        <v>13.56</v>
      </c>
      <c r="K29">
        <v>3.5</v>
      </c>
      <c r="L29">
        <v>3.6</v>
      </c>
      <c r="M29" s="1">
        <f>IF(ISNUMBER(Main_M[[#This Row],[EPS]]),IF(Main_M[[#This Row],[EPS]]&lt;&gt;0,Main_M[[#This Row],[Current Price]]/Main_M[[#This Row],[EPS]],""),"")</f>
        <v>6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-0.63319853572905049</v>
      </c>
      <c r="P29" s="1">
        <f>(Main_M[[#This Row],[P/B]]-VLOOKUP(Main_M[[#This Row],[Industry]], Mean_PB_M, 2, FALSE))/(VLOOKUP(Main_M[[#This Row],[Industry]], Mean_PB_M, 3, FALSE))</f>
        <v>-0.73837087226681963</v>
      </c>
      <c r="Q29" s="1">
        <f>(Main_M[[#This Row],[ROE]]-VLOOKUP(Main_M[[#This Row],[Industry]], Mean_ROE_M, 2, FALSE))/(VLOOKUP(Main_M[[#This Row],[Industry]], Mean_ROE_M, 3, FALSE))</f>
        <v>-0.34824721580716794</v>
      </c>
      <c r="R29" s="1">
        <f>(Main_M[[#This Row],[ROA]]-VLOOKUP(Main_M[[#This Row],[Industry]], Mean_ROA_M, 2, FALSE))/(VLOOKUP(Main_M[[#This Row],[Industry]], Mean_ROA_M, 3, FALSE))</f>
        <v>-0.51402844740441489</v>
      </c>
      <c r="S29" s="1">
        <f>(Main_M[[#This Row],[A/E]]-VLOOKUP(Main_M[[#This Row],[Industry]], Mean_AE_M, 2, FALSE))/(VLOOKUP(Main_M[[#This Row],[Industry]], Mean_AE_M, 3, FALSE))</f>
        <v>8.927519423150315</v>
      </c>
      <c r="T29" s="1">
        <f>(Main_M[[#This Row],[P/E]]-VLOOKUP(Main_M[[#This Row],[Industry]], Mean_PE_M, 2, FALSE))/(VLOOKUP(Main_M[[#This Row],[Industry]], Mean_PE_M, 3, FALSE))</f>
        <v>-0.63856429694504069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114</v>
      </c>
      <c r="B30" t="s">
        <v>308</v>
      </c>
      <c r="C30" s="2">
        <v>5418</v>
      </c>
      <c r="D30">
        <f>RTD("tos.rtd", , "LAST", Main_M[[#This Row],[Symbol]])</f>
        <v>19.84</v>
      </c>
      <c r="E30">
        <v>0.62</v>
      </c>
      <c r="F30">
        <v>4.58</v>
      </c>
      <c r="G30">
        <v>1.1499999999999999</v>
      </c>
      <c r="H30" s="1">
        <f>IF(ISNUMBER(Main_M[[#This Row],[Free CF]]),IF(Main_M[[#This Row],[Free CF]]&lt;&gt;0,Main_M[[#This Row],[Current Price]]/Main_M[[#This Row],[Free CF]],""),"")</f>
        <v>32</v>
      </c>
      <c r="I30" s="1">
        <f>IF(ISNUMBER(Main_M[[#This Row],[BVPS]]),IF(Main_M[[#This Row],[BVPS]]&lt;&gt;0,Main_M[[#This Row],[Current Price]]/Main_M[[#This Row],[BVPS]],""),"")</f>
        <v>4.3318777292576423</v>
      </c>
      <c r="J30">
        <v>26.96</v>
      </c>
      <c r="K30">
        <v>12.37</v>
      </c>
      <c r="L30">
        <v>1.76</v>
      </c>
      <c r="M30" s="1">
        <f>IF(ISNUMBER(Main_M[[#This Row],[EPS]]),IF(Main_M[[#This Row],[EPS]]&lt;&gt;0,Main_M[[#This Row],[Current Price]]/Main_M[[#This Row],[EPS]],""),"")</f>
        <v>17.252173913043478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0.54667726178427922</v>
      </c>
      <c r="P30" s="1">
        <f>(Main_M[[#This Row],[P/B]]-VLOOKUP(Main_M[[#This Row],[Industry]], Mean_PB_M, 2, FALSE))/(VLOOKUP(Main_M[[#This Row],[Industry]], Mean_PB_M, 3, FALSE))</f>
        <v>0.49670740800146307</v>
      </c>
      <c r="Q30" s="1">
        <f>(Main_M[[#This Row],[ROE]]-VLOOKUP(Main_M[[#This Row],[Industry]], Mean_ROE_M, 2, FALSE))/(VLOOKUP(Main_M[[#This Row],[Industry]], Mean_ROE_M, 3, FALSE))</f>
        <v>-0.27959735110687628</v>
      </c>
      <c r="R30" s="1">
        <f>(Main_M[[#This Row],[ROA]]-VLOOKUP(Main_M[[#This Row],[Industry]], Mean_ROA_M, 2, FALSE))/(VLOOKUP(Main_M[[#This Row],[Industry]], Mean_ROA_M, 3, FALSE))</f>
        <v>1.1917987198505355</v>
      </c>
      <c r="S30" s="1">
        <f>(Main_M[[#This Row],[A/E]]-VLOOKUP(Main_M[[#This Row],[Industry]], Mean_AE_M, 2, FALSE))/(VLOOKUP(Main_M[[#This Row],[Industry]], Mean_AE_M, 3, FALSE))</f>
        <v>0.26368200827870153</v>
      </c>
      <c r="T30" s="1">
        <f>(Main_M[[#This Row],[P/E]]-VLOOKUP(Main_M[[#This Row],[Industry]], Mean_PE_M, 2, FALSE))/(VLOOKUP(Main_M[[#This Row],[Industry]], Mean_PE_M, 3, FALSE))</f>
        <v>0.55677063326676968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114</v>
      </c>
      <c r="B31" t="s">
        <v>309</v>
      </c>
      <c r="C31" s="2">
        <v>6781</v>
      </c>
      <c r="D31">
        <f>RTD("tos.rtd", , "LAST", Main_M[[#This Row],[Symbol]])</f>
        <v>113.94</v>
      </c>
      <c r="E31">
        <v>1.74</v>
      </c>
      <c r="F31">
        <v>27.63</v>
      </c>
      <c r="G31">
        <v>3.23</v>
      </c>
      <c r="H31" s="1">
        <f>IF(ISNUMBER(Main_M[[#This Row],[Free CF]]),IF(Main_M[[#This Row],[Free CF]]&lt;&gt;0,Main_M[[#This Row],[Current Price]]/Main_M[[#This Row],[Free CF]],""),"")</f>
        <v>65.482758620689651</v>
      </c>
      <c r="I31" s="1">
        <f>IF(ISNUMBER(Main_M[[#This Row],[BVPS]]),IF(Main_M[[#This Row],[BVPS]]&lt;&gt;0,Main_M[[#This Row],[Current Price]]/Main_M[[#This Row],[BVPS]],""),"")</f>
        <v>4.1237785016286646</v>
      </c>
      <c r="J31">
        <v>12.47</v>
      </c>
      <c r="K31">
        <v>6.42</v>
      </c>
      <c r="L31">
        <v>1.51</v>
      </c>
      <c r="M31" s="1">
        <f>IF(ISNUMBER(Main_M[[#This Row],[EPS]]),IF(Main_M[[#This Row],[EPS]]&lt;&gt;0,Main_M[[#This Row],[Current Price]]/Main_M[[#This Row],[EPS]],""),"")</f>
        <v>35.275541795665632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2.2411241735617686</v>
      </c>
      <c r="P31" s="1">
        <f>(Main_M[[#This Row],[P/B]]-VLOOKUP(Main_M[[#This Row],[Industry]], Mean_PB_M, 2, FALSE))/(VLOOKUP(Main_M[[#This Row],[Industry]], Mean_PB_M, 3, FALSE))</f>
        <v>0.42479589540393148</v>
      </c>
      <c r="Q31" s="1">
        <f>(Main_M[[#This Row],[ROE]]-VLOOKUP(Main_M[[#This Row],[Industry]], Mean_ROE_M, 2, FALSE))/(VLOOKUP(Main_M[[#This Row],[Industry]], Mean_ROE_M, 3, FALSE))</f>
        <v>-0.3538314212193559</v>
      </c>
      <c r="R31" s="1">
        <f>(Main_M[[#This Row],[ROA]]-VLOOKUP(Main_M[[#This Row],[Industry]], Mean_ROA_M, 2, FALSE))/(VLOOKUP(Main_M[[#This Row],[Industry]], Mean_ROA_M, 3, FALSE))</f>
        <v>4.7529086799018634E-2</v>
      </c>
      <c r="S31" s="1">
        <f>(Main_M[[#This Row],[A/E]]-VLOOKUP(Main_M[[#This Row],[Industry]], Mean_AE_M, 2, FALSE))/(VLOOKUP(Main_M[[#This Row],[Industry]], Mean_AE_M, 3, FALSE))</f>
        <v>-0.91346981439407204</v>
      </c>
      <c r="T31" s="1">
        <f>(Main_M[[#This Row],[P/E]]-VLOOKUP(Main_M[[#This Row],[Industry]], Mean_PE_M, 2, FALSE))/(VLOOKUP(Main_M[[#This Row],[Industry]], Mean_PE_M, 3, FALSE))</f>
        <v>2.4714194252821735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2" spans="1:26" x14ac:dyDescent="0.25">
      <c r="A32" t="s">
        <v>114</v>
      </c>
      <c r="B32" t="s">
        <v>310</v>
      </c>
      <c r="C32" s="2">
        <v>2787</v>
      </c>
      <c r="D32">
        <f>RTD("tos.rtd", , "LAST", Main_M[[#This Row],[Symbol]])</f>
        <v>6.18</v>
      </c>
      <c r="E32">
        <v>0.73</v>
      </c>
      <c r="F32">
        <v>-2.44</v>
      </c>
      <c r="G32">
        <v>-3.26</v>
      </c>
      <c r="H32" s="1">
        <f>IF(ISNUMBER(Main_M[[#This Row],[Free CF]]),IF(Main_M[[#This Row],[Free CF]]&lt;&gt;0,Main_M[[#This Row],[Current Price]]/Main_M[[#This Row],[Free CF]],""),"")</f>
        <v>8.4657534246575334</v>
      </c>
      <c r="I32" s="1">
        <f>IF(ISNUMBER(Main_M[[#This Row],[BVPS]]),IF(Main_M[[#This Row],[BVPS]]&lt;&gt;0,Main_M[[#This Row],[Current Price]]/Main_M[[#This Row],[BVPS]],""),"")</f>
        <v>-2.5327868852459017</v>
      </c>
      <c r="J32">
        <v>631.30999999999995</v>
      </c>
      <c r="K32">
        <v>4.17</v>
      </c>
      <c r="L32">
        <v>-9.52</v>
      </c>
      <c r="M32" s="1">
        <f>IF(ISNUMBER(Main_M[[#This Row],[EPS]]),IF(Main_M[[#This Row],[EPS]]&lt;&gt;0,Main_M[[#This Row],[Current Price]]/Main_M[[#This Row],[EPS]],""),"")</f>
        <v>-1.8957055214723926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-0.64430977373309573</v>
      </c>
      <c r="P32" s="1">
        <f>(Main_M[[#This Row],[P/B]]-VLOOKUP(Main_M[[#This Row],[Industry]], Mean_PB_M, 2, FALSE))/(VLOOKUP(Main_M[[#This Row],[Industry]], Mean_PB_M, 3, FALSE))</f>
        <v>-1.8754706222977733</v>
      </c>
      <c r="Q32" s="1">
        <f>(Main_M[[#This Row],[ROE]]-VLOOKUP(Main_M[[#This Row],[Industry]], Mean_ROE_M, 2, FALSE))/(VLOOKUP(Main_M[[#This Row],[Industry]], Mean_ROE_M, 3, FALSE))</f>
        <v>2.8165627781185925</v>
      </c>
      <c r="R32" s="1">
        <f>(Main_M[[#This Row],[ROA]]-VLOOKUP(Main_M[[#This Row],[Industry]], Mean_ROA_M, 2, FALSE))/(VLOOKUP(Main_M[[#This Row],[Industry]], Mean_ROA_M, 3, FALSE))</f>
        <v>-0.38517791729609285</v>
      </c>
      <c r="S32" s="1">
        <f>(Main_M[[#This Row],[A/E]]-VLOOKUP(Main_M[[#This Row],[Industry]], Mean_AE_M, 2, FALSE))/(VLOOKUP(Main_M[[#This Row],[Industry]], Mean_AE_M, 3, FALSE))</f>
        <v>-52.84940823071684</v>
      </c>
      <c r="T32" s="1">
        <f>(Main_M[[#This Row],[P/E]]-VLOOKUP(Main_M[[#This Row],[Industry]], Mean_PE_M, 2, FALSE))/(VLOOKUP(Main_M[[#This Row],[Industry]], Mean_PE_M, 3, FALSE))</f>
        <v>-1.4773366694144796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114</v>
      </c>
      <c r="B33" t="s">
        <v>311</v>
      </c>
      <c r="C33" s="2">
        <v>7306</v>
      </c>
      <c r="D33">
        <f>RTD("tos.rtd", , "LAST", Main_M[[#This Row],[Symbol]])</f>
        <v>14.84</v>
      </c>
      <c r="E33">
        <v>1.44</v>
      </c>
      <c r="F33">
        <v>10.62</v>
      </c>
      <c r="G33">
        <v>1.97</v>
      </c>
      <c r="H33" s="1">
        <f>IF(ISNUMBER(Main_M[[#This Row],[Free CF]]),IF(Main_M[[#This Row],[Free CF]]&lt;&gt;0,Main_M[[#This Row],[Current Price]]/Main_M[[#This Row],[Free CF]],""),"")</f>
        <v>10.305555555555555</v>
      </c>
      <c r="I33" s="1">
        <f>IF(ISNUMBER(Main_M[[#This Row],[BVPS]]),IF(Main_M[[#This Row],[BVPS]]&lt;&gt;0,Main_M[[#This Row],[Current Price]]/Main_M[[#This Row],[BVPS]],""),"")</f>
        <v>1.3973634651600755</v>
      </c>
      <c r="J33">
        <v>19.57</v>
      </c>
      <c r="K33">
        <v>7.63</v>
      </c>
      <c r="L33">
        <v>1.87</v>
      </c>
      <c r="M33" s="1">
        <f>IF(ISNUMBER(Main_M[[#This Row],[EPS]]),IF(Main_M[[#This Row],[EPS]]&lt;&gt;0,Main_M[[#This Row],[Current Price]]/Main_M[[#This Row],[EPS]],""),"")</f>
        <v>7.532994923857868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-0.55120373446381443</v>
      </c>
      <c r="P33" s="1">
        <f>(Main_M[[#This Row],[P/B]]-VLOOKUP(Main_M[[#This Row],[Industry]], Mean_PB_M, 2, FALSE))/(VLOOKUP(Main_M[[#This Row],[Industry]], Mean_PB_M, 3, FALSE))</f>
        <v>-0.51735382554875253</v>
      </c>
      <c r="Q33" s="1">
        <f>(Main_M[[#This Row],[ROE]]-VLOOKUP(Main_M[[#This Row],[Industry]], Mean_ROE_M, 2, FALSE))/(VLOOKUP(Main_M[[#This Row],[Industry]], Mean_ROE_M, 3, FALSE))</f>
        <v>-0.31745723917666402</v>
      </c>
      <c r="R33" s="1">
        <f>(Main_M[[#This Row],[ROA]]-VLOOKUP(Main_M[[#This Row],[Industry]], Mean_ROA_M, 2, FALSE))/(VLOOKUP(Main_M[[#This Row],[Industry]], Mean_ROA_M, 3, FALSE))</f>
        <v>0.28022929789016748</v>
      </c>
      <c r="S33" s="1">
        <f>(Main_M[[#This Row],[A/E]]-VLOOKUP(Main_M[[#This Row],[Industry]], Mean_AE_M, 2, FALSE))/(VLOOKUP(Main_M[[#This Row],[Industry]], Mean_AE_M, 3, FALSE))</f>
        <v>0.78162881025472231</v>
      </c>
      <c r="T33" s="1">
        <f>(Main_M[[#This Row],[P/E]]-VLOOKUP(Main_M[[#This Row],[Industry]], Mean_PE_M, 2, FALSE))/(VLOOKUP(Main_M[[#This Row],[Industry]], Mean_PE_M, 3, FALSE))</f>
        <v>-0.4757119988481775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112</v>
      </c>
      <c r="B34" t="s">
        <v>290</v>
      </c>
      <c r="C34" s="2">
        <v>4276</v>
      </c>
      <c r="D34">
        <f>RTD("tos.rtd", , "LAST", Main_M[[#This Row],[Symbol]])</f>
        <v>127.55</v>
      </c>
      <c r="E34">
        <v>6.17</v>
      </c>
      <c r="F34">
        <v>38.590000000000003</v>
      </c>
      <c r="G34">
        <v>5.28</v>
      </c>
      <c r="H34" s="1">
        <f>IF(ISNUMBER(Main_M[[#This Row],[Free CF]]),IF(Main_M[[#This Row],[Free CF]]&lt;&gt;0,Main_M[[#This Row],[Current Price]]/Main_M[[#This Row],[Free CF]],""),"")</f>
        <v>20.672609400324149</v>
      </c>
      <c r="I34" s="1">
        <f>IF(ISNUMBER(Main_M[[#This Row],[BVPS]]),IF(Main_M[[#This Row],[BVPS]]&lt;&gt;0,Main_M[[#This Row],[Current Price]]/Main_M[[#This Row],[BVPS]],""),"")</f>
        <v>3.3052604301632544</v>
      </c>
      <c r="J34">
        <v>14.63</v>
      </c>
      <c r="K34">
        <v>7.48</v>
      </c>
      <c r="L34">
        <v>1.89</v>
      </c>
      <c r="M34" s="1">
        <f>IF(ISNUMBER(Main_M[[#This Row],[EPS]]),IF(Main_M[[#This Row],[EPS]]&lt;&gt;0,Main_M[[#This Row],[Current Price]]/Main_M[[#This Row],[EPS]],""),"")</f>
        <v>24.157196969696969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0.42497738188583284</v>
      </c>
      <c r="P34" s="1">
        <f>(Main_M[[#This Row],[P/B]]-VLOOKUP(Main_M[[#This Row],[Industry]], Mean_PB_M, 2, FALSE))/(VLOOKUP(Main_M[[#This Row],[Industry]], Mean_PB_M, 3, FALSE))</f>
        <v>9.4215648339177865E-2</v>
      </c>
      <c r="Q34" s="1">
        <f>(Main_M[[#This Row],[ROE]]-VLOOKUP(Main_M[[#This Row],[Industry]], Mean_ROE_M, 2, FALSE))/(VLOOKUP(Main_M[[#This Row],[Industry]], Mean_ROE_M, 3, FALSE))</f>
        <v>-9.0788986153125889E-2</v>
      </c>
      <c r="R34" s="1">
        <f>(Main_M[[#This Row],[ROA]]-VLOOKUP(Main_M[[#This Row],[Industry]], Mean_ROA_M, 2, FALSE))/(VLOOKUP(Main_M[[#This Row],[Industry]], Mean_ROA_M, 3, FALSE))</f>
        <v>6.1637832908351911E-2</v>
      </c>
      <c r="S34" s="1">
        <f>(Main_M[[#This Row],[A/E]]-VLOOKUP(Main_M[[#This Row],[Industry]], Mean_AE_M, 2, FALSE))/(VLOOKUP(Main_M[[#This Row],[Industry]], Mean_AE_M, 3, FALSE))</f>
        <v>-0.28250602893742111</v>
      </c>
      <c r="T34" s="1">
        <f>(Main_M[[#This Row],[P/E]]-VLOOKUP(Main_M[[#This Row],[Industry]], Mean_PE_M, 2, FALSE))/(VLOOKUP(Main_M[[#This Row],[Industry]], Mean_PE_M, 3, FALSE))</f>
        <v>0.70771354980705203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112</v>
      </c>
      <c r="B35" t="s">
        <v>291</v>
      </c>
      <c r="C35" s="2">
        <v>7071</v>
      </c>
      <c r="D35">
        <f>RTD("tos.rtd", , "LAST", Main_M[[#This Row],[Symbol]])</f>
        <v>121.37</v>
      </c>
      <c r="E35">
        <v>3.7</v>
      </c>
      <c r="F35">
        <v>23.07</v>
      </c>
      <c r="G35">
        <v>2.77</v>
      </c>
      <c r="H35" s="1">
        <f>IF(ISNUMBER(Main_M[[#This Row],[Free CF]]),IF(Main_M[[#This Row],[Free CF]]&lt;&gt;0,Main_M[[#This Row],[Current Price]]/Main_M[[#This Row],[Free CF]],""),"")</f>
        <v>32.802702702702703</v>
      </c>
      <c r="I35" s="1">
        <f>IF(ISNUMBER(Main_M[[#This Row],[BVPS]]),IF(Main_M[[#This Row],[BVPS]]&lt;&gt;0,Main_M[[#This Row],[Current Price]]/Main_M[[#This Row],[BVPS]],""),"")</f>
        <v>5.2609449501517123</v>
      </c>
      <c r="J35">
        <v>12.63</v>
      </c>
      <c r="K35">
        <v>4.95</v>
      </c>
      <c r="L35">
        <v>2.89</v>
      </c>
      <c r="M35" s="1">
        <f>IF(ISNUMBER(Main_M[[#This Row],[EPS]]),IF(Main_M[[#This Row],[EPS]]&lt;&gt;0,Main_M[[#This Row],[Current Price]]/Main_M[[#This Row],[EPS]],""),"")</f>
        <v>43.815884476534301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2.2808960725708176</v>
      </c>
      <c r="P35" s="1">
        <f>(Main_M[[#This Row],[P/B]]-VLOOKUP(Main_M[[#This Row],[Industry]], Mean_PB_M, 2, FALSE))/(VLOOKUP(Main_M[[#This Row],[Industry]], Mean_PB_M, 3, FALSE))</f>
        <v>1.1797966255999655</v>
      </c>
      <c r="Q35" s="1">
        <f>(Main_M[[#This Row],[ROE]]-VLOOKUP(Main_M[[#This Row],[Industry]], Mean_ROE_M, 2, FALSE))/(VLOOKUP(Main_M[[#This Row],[Industry]], Mean_ROE_M, 3, FALSE))</f>
        <v>-0.14066250485123011</v>
      </c>
      <c r="R35" s="1">
        <f>(Main_M[[#This Row],[ROA]]-VLOOKUP(Main_M[[#This Row],[Industry]], Mean_ROA_M, 2, FALSE))/(VLOOKUP(Main_M[[#This Row],[Industry]], Mean_ROA_M, 3, FALSE))</f>
        <v>-0.48466181353732651</v>
      </c>
      <c r="S35" s="1">
        <f>(Main_M[[#This Row],[A/E]]-VLOOKUP(Main_M[[#This Row],[Industry]], Mean_AE_M, 2, FALSE))/(VLOOKUP(Main_M[[#This Row],[Industry]], Mean_AE_M, 3, FALSE))</f>
        <v>0.83532358196604406</v>
      </c>
      <c r="T35" s="1">
        <f>(Main_M[[#This Row],[P/E]]-VLOOKUP(Main_M[[#This Row],[Industry]], Mean_PE_M, 2, FALSE))/(VLOOKUP(Main_M[[#This Row],[Industry]], Mean_PE_M, 3, FALSE))</f>
        <v>3.53241774127883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6" spans="1:26" x14ac:dyDescent="0.25">
      <c r="A36" t="s">
        <v>112</v>
      </c>
      <c r="B36" t="s">
        <v>292</v>
      </c>
      <c r="C36" s="2">
        <v>7802</v>
      </c>
      <c r="D36">
        <f>RTD("tos.rtd", , "LAST", Main_M[[#This Row],[Symbol]])</f>
        <v>48.94</v>
      </c>
      <c r="E36">
        <v>3.61</v>
      </c>
      <c r="F36">
        <v>22.85</v>
      </c>
      <c r="G36">
        <v>2.29</v>
      </c>
      <c r="H36" s="1">
        <f>IF(ISNUMBER(Main_M[[#This Row],[Free CF]]),IF(Main_M[[#This Row],[Free CF]]&lt;&gt;0,Main_M[[#This Row],[Current Price]]/Main_M[[#This Row],[Free CF]],""),"")</f>
        <v>13.556786703601109</v>
      </c>
      <c r="I36" s="1">
        <f>IF(ISNUMBER(Main_M[[#This Row],[BVPS]]),IF(Main_M[[#This Row],[BVPS]]&lt;&gt;0,Main_M[[#This Row],[Current Price]]/Main_M[[#This Row],[BVPS]],""),"")</f>
        <v>2.1417943107221005</v>
      </c>
      <c r="J36">
        <v>9.68</v>
      </c>
      <c r="K36">
        <v>3.82</v>
      </c>
      <c r="L36">
        <v>2.02</v>
      </c>
      <c r="M36" s="1">
        <f>IF(ISNUMBER(Main_M[[#This Row],[EPS]]),IF(Main_M[[#This Row],[EPS]]&lt;&gt;0,Main_M[[#This Row],[Current Price]]/Main_M[[#This Row],[EPS]],""),"")</f>
        <v>21.37117903930131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-0.66375194716715291</v>
      </c>
      <c r="P36" s="1">
        <f>(Main_M[[#This Row],[P/B]]-VLOOKUP(Main_M[[#This Row],[Industry]], Mean_PB_M, 2, FALSE))/(VLOOKUP(Main_M[[#This Row],[Industry]], Mean_PB_M, 3, FALSE))</f>
        <v>-0.55161279384749873</v>
      </c>
      <c r="Q36" s="1">
        <f>(Main_M[[#This Row],[ROE]]-VLOOKUP(Main_M[[#This Row],[Industry]], Mean_ROE_M, 2, FALSE))/(VLOOKUP(Main_M[[#This Row],[Industry]], Mean_ROE_M, 3, FALSE))</f>
        <v>-0.21422594493093386</v>
      </c>
      <c r="R36" s="1">
        <f>(Main_M[[#This Row],[ROA]]-VLOOKUP(Main_M[[#This Row],[Industry]], Mean_ROA_M, 2, FALSE))/(VLOOKUP(Main_M[[#This Row],[Industry]], Mean_ROA_M, 3, FALSE))</f>
        <v>-0.72866126036879553</v>
      </c>
      <c r="S36" s="1">
        <f>(Main_M[[#This Row],[A/E]]-VLOOKUP(Main_M[[#This Row],[Industry]], Mean_AE_M, 2, FALSE))/(VLOOKUP(Main_M[[#This Row],[Industry]], Mean_AE_M, 3, FALSE))</f>
        <v>-0.13718817951997053</v>
      </c>
      <c r="T36" s="1">
        <f>(Main_M[[#This Row],[P/E]]-VLOOKUP(Main_M[[#This Row],[Industry]], Mean_PE_M, 2, FALSE))/(VLOOKUP(Main_M[[#This Row],[Industry]], Mean_PE_M, 3, FALSE))</f>
        <v>0.30739809015253267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112</v>
      </c>
      <c r="B37" t="s">
        <v>293</v>
      </c>
      <c r="C37" s="2">
        <v>4204</v>
      </c>
      <c r="D37">
        <f>RTD("tos.rtd", , "LAST", Main_M[[#This Row],[Symbol]])</f>
        <v>985.47</v>
      </c>
      <c r="E37">
        <v>86.28</v>
      </c>
      <c r="F37">
        <v>984.96</v>
      </c>
      <c r="G37">
        <v>141.53</v>
      </c>
      <c r="H37" s="1">
        <f>IF(ISNUMBER(Main_M[[#This Row],[Free CF]]),IF(Main_M[[#This Row],[Free CF]]&lt;&gt;0,Main_M[[#This Row],[Current Price]]/Main_M[[#This Row],[Free CF]],""),"")</f>
        <v>11.421766342141863</v>
      </c>
      <c r="I37" s="1">
        <f>IF(ISNUMBER(Main_M[[#This Row],[BVPS]]),IF(Main_M[[#This Row],[BVPS]]&lt;&gt;0,Main_M[[#This Row],[Current Price]]/Main_M[[#This Row],[BVPS]],""),"")</f>
        <v>1.0005177875243665</v>
      </c>
      <c r="J37">
        <v>14.86</v>
      </c>
      <c r="K37">
        <v>8.9499999999999993</v>
      </c>
      <c r="L37">
        <v>1.77</v>
      </c>
      <c r="M37" s="1">
        <f>IF(ISNUMBER(Main_M[[#This Row],[EPS]]),IF(Main_M[[#This Row],[EPS]]&lt;&gt;0,Main_M[[#This Row],[Current Price]]/Main_M[[#This Row],[EPS]],""),"")</f>
        <v>6.9629760474810993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7" s="1">
        <f>(Main_M[[#This Row],[P/FCF]]-VLOOKUP(Main_M[[#This Row],[Industry]], Mean_PFCF_M, 2, FALSE))/(VLOOKUP(Main_M[[#This Row],[Industry]], Mean_PFCF_M, 3, FALSE))</f>
        <v>-0.99041259973181583</v>
      </c>
      <c r="P37" s="1">
        <f>(Main_M[[#This Row],[P/B]]-VLOOKUP(Main_M[[#This Row],[Industry]], Mean_PB_M, 2, FALSE))/(VLOOKUP(Main_M[[#This Row],[Industry]], Mean_PB_M, 3, FALSE))</f>
        <v>-1.1851240124079965</v>
      </c>
      <c r="Q37" s="1">
        <f>(Main_M[[#This Row],[ROE]]-VLOOKUP(Main_M[[#This Row],[Industry]], Mean_ROE_M, 2, FALSE))/(VLOOKUP(Main_M[[#This Row],[Industry]], Mean_ROE_M, 3, FALSE))</f>
        <v>-8.5053531502843935E-2</v>
      </c>
      <c r="R37" s="1">
        <f>(Main_M[[#This Row],[ROA]]-VLOOKUP(Main_M[[#This Row],[Industry]], Mean_ROA_M, 2, FALSE))/(VLOOKUP(Main_M[[#This Row],[Industry]], Mean_ROA_M, 3, FALSE))</f>
        <v>0.37905304250327149</v>
      </c>
      <c r="S37" s="1">
        <f>(Main_M[[#This Row],[A/E]]-VLOOKUP(Main_M[[#This Row],[Industry]], Mean_AE_M, 2, FALSE))/(VLOOKUP(Main_M[[#This Row],[Industry]], Mean_AE_M, 3, FALSE))</f>
        <v>-0.41664558224583675</v>
      </c>
      <c r="T37" s="1">
        <f>(Main_M[[#This Row],[P/E]]-VLOOKUP(Main_M[[#This Row],[Industry]], Mean_PE_M, 2, FALSE))/(VLOOKUP(Main_M[[#This Row],[Industry]], Mean_PE_M, 3, FALSE))</f>
        <v>-1.7628780342538193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112</v>
      </c>
      <c r="B38" t="s">
        <v>294</v>
      </c>
      <c r="C38" s="2">
        <v>3403</v>
      </c>
      <c r="D38">
        <f>RTD("tos.rtd", , "LAST", Main_M[[#This Row],[Symbol]])</f>
        <v>22.47</v>
      </c>
      <c r="E38">
        <v>1.3</v>
      </c>
      <c r="F38">
        <v>6.11</v>
      </c>
      <c r="G38">
        <v>1.89</v>
      </c>
      <c r="H38" s="1">
        <f>IF(ISNUMBER(Main_M[[#This Row],[Free CF]]),IF(Main_M[[#This Row],[Free CF]]&lt;&gt;0,Main_M[[#This Row],[Current Price]]/Main_M[[#This Row],[Free CF]],""),"")</f>
        <v>17.284615384615382</v>
      </c>
      <c r="I38" s="1">
        <f>IF(ISNUMBER(Main_M[[#This Row],[BVPS]]),IF(Main_M[[#This Row],[BVPS]]&lt;&gt;0,Main_M[[#This Row],[Current Price]]/Main_M[[#This Row],[BVPS]],""),"")</f>
        <v>3.6775777414075281</v>
      </c>
      <c r="J38">
        <v>31.17</v>
      </c>
      <c r="K38">
        <v>10.83</v>
      </c>
      <c r="L38">
        <v>2.0499999999999998</v>
      </c>
      <c r="M38" s="1">
        <f>IF(ISNUMBER(Main_M[[#This Row],[EPS]]),IF(Main_M[[#This Row],[EPS]]&lt;&gt;0,Main_M[[#This Row],[Current Price]]/Main_M[[#This Row],[EPS]],""),"")</f>
        <v>11.888888888888889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-9.3389728814775946E-2</v>
      </c>
      <c r="P38" s="1">
        <f>(Main_M[[#This Row],[P/B]]-VLOOKUP(Main_M[[#This Row],[Industry]], Mean_PB_M, 2, FALSE))/(VLOOKUP(Main_M[[#This Row],[Industry]], Mean_PB_M, 3, FALSE))</f>
        <v>0.30088527550074728</v>
      </c>
      <c r="Q38" s="1">
        <f>(Main_M[[#This Row],[ROE]]-VLOOKUP(Main_M[[#This Row],[Industry]], Mean_ROE_M, 2, FALSE))/(VLOOKUP(Main_M[[#This Row],[Industry]], Mean_ROE_M, 3, FALSE))</f>
        <v>0.32166501348019599</v>
      </c>
      <c r="R38" s="1">
        <f>(Main_M[[#This Row],[ROA]]-VLOOKUP(Main_M[[#This Row],[Industry]], Mean_ROA_M, 2, FALSE))/(VLOOKUP(Main_M[[#This Row],[Industry]], Mean_ROA_M, 3, FALSE))</f>
        <v>0.78499902484235284</v>
      </c>
      <c r="S38" s="1">
        <f>(Main_M[[#This Row],[A/E]]-VLOOKUP(Main_M[[#This Row],[Industry]], Mean_AE_M, 2, FALSE))/(VLOOKUP(Main_M[[#This Row],[Industry]], Mean_AE_M, 3, FALSE))</f>
        <v>-0.1036532911928668</v>
      </c>
      <c r="T38" s="1">
        <f>(Main_M[[#This Row],[P/E]]-VLOOKUP(Main_M[[#This Row],[Industry]], Mean_PE_M, 2, FALSE))/(VLOOKUP(Main_M[[#This Row],[Industry]], Mean_PE_M, 3, FALSE))</f>
        <v>-1.0550868022547433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112</v>
      </c>
      <c r="B39" t="s">
        <v>295</v>
      </c>
      <c r="C39" s="2">
        <v>5515</v>
      </c>
      <c r="D39">
        <f>RTD("tos.rtd", , "LAST", Main_M[[#This Row],[Symbol]])</f>
        <v>195.09</v>
      </c>
      <c r="E39">
        <v>8.67</v>
      </c>
      <c r="F39">
        <v>27.55</v>
      </c>
      <c r="G39">
        <v>7.73</v>
      </c>
      <c r="H39" s="1">
        <f>IF(ISNUMBER(Main_M[[#This Row],[Free CF]]),IF(Main_M[[#This Row],[Free CF]]&lt;&gt;0,Main_M[[#This Row],[Current Price]]/Main_M[[#This Row],[Free CF]],""),"")</f>
        <v>22.501730103806228</v>
      </c>
      <c r="I39" s="1">
        <f>IF(ISNUMBER(Main_M[[#This Row],[BVPS]]),IF(Main_M[[#This Row],[BVPS]]&lt;&gt;0,Main_M[[#This Row],[Current Price]]/Main_M[[#This Row],[BVPS]],""),"")</f>
        <v>7.0813067150635209</v>
      </c>
      <c r="J39">
        <v>30.13</v>
      </c>
      <c r="K39">
        <v>17.79</v>
      </c>
      <c r="L39">
        <v>1.3</v>
      </c>
      <c r="M39" s="1">
        <f>IF(ISNUMBER(Main_M[[#This Row],[EPS]]),IF(Main_M[[#This Row],[EPS]]&lt;&gt;0,Main_M[[#This Row],[Current Price]]/Main_M[[#This Row],[EPS]],""),"")</f>
        <v>25.23803363518758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0.70483502324837721</v>
      </c>
      <c r="P39" s="1">
        <f>(Main_M[[#This Row],[P/B]]-VLOOKUP(Main_M[[#This Row],[Industry]], Mean_PB_M, 2, FALSE))/(VLOOKUP(Main_M[[#This Row],[Industry]], Mean_PB_M, 3, FALSE))</f>
        <v>2.1902612907969861</v>
      </c>
      <c r="Q39" s="1">
        <f>(Main_M[[#This Row],[ROE]]-VLOOKUP(Main_M[[#This Row],[Industry]], Mean_ROE_M, 2, FALSE))/(VLOOKUP(Main_M[[#This Row],[Industry]], Mean_ROE_M, 3, FALSE))</f>
        <v>0.2957307837571817</v>
      </c>
      <c r="R39" s="1">
        <f>(Main_M[[#This Row],[ROA]]-VLOOKUP(Main_M[[#This Row],[Industry]], Mean_ROA_M, 2, FALSE))/(VLOOKUP(Main_M[[#This Row],[Industry]], Mean_ROA_M, 3, FALSE))</f>
        <v>2.2878628743529932</v>
      </c>
      <c r="S39" s="1">
        <f>(Main_M[[#This Row],[A/E]]-VLOOKUP(Main_M[[#This Row],[Industry]], Mean_AE_M, 2, FALSE))/(VLOOKUP(Main_M[[#This Row],[Industry]], Mean_AE_M, 3, FALSE))</f>
        <v>-0.94202549937046531</v>
      </c>
      <c r="T39" s="1">
        <f>(Main_M[[#This Row],[P/E]]-VLOOKUP(Main_M[[#This Row],[Industry]], Mean_PE_M, 2, FALSE))/(VLOOKUP(Main_M[[#This Row],[Industry]], Mean_PE_M, 3, FALSE))</f>
        <v>0.86301607741708997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t="s">
        <v>112</v>
      </c>
      <c r="B40" t="s">
        <v>296</v>
      </c>
      <c r="C40" s="2">
        <v>6913</v>
      </c>
      <c r="D40">
        <f>RTD("tos.rtd", , "LAST", Main_M[[#This Row],[Symbol]])</f>
        <v>153.74</v>
      </c>
      <c r="E40">
        <v>5.7</v>
      </c>
      <c r="F40">
        <v>33.049999999999997</v>
      </c>
      <c r="G40">
        <v>6.39</v>
      </c>
      <c r="H40" s="1">
        <f>IF(ISNUMBER(Main_M[[#This Row],[Free CF]]),IF(Main_M[[#This Row],[Free CF]]&lt;&gt;0,Main_M[[#This Row],[Current Price]]/Main_M[[#This Row],[Free CF]],""),"")</f>
        <v>26.971929824561403</v>
      </c>
      <c r="I40" s="1">
        <f>IF(ISNUMBER(Main_M[[#This Row],[BVPS]]),IF(Main_M[[#This Row],[BVPS]]&lt;&gt;0,Main_M[[#This Row],[Current Price]]/Main_M[[#This Row],[BVPS]],""),"")</f>
        <v>4.6517397881996985</v>
      </c>
      <c r="J40">
        <v>23.76</v>
      </c>
      <c r="K40">
        <v>11.49</v>
      </c>
      <c r="L40">
        <v>1.56</v>
      </c>
      <c r="M40" s="1">
        <f>IF(ISNUMBER(Main_M[[#This Row],[EPS]]),IF(Main_M[[#This Row],[EPS]]&lt;&gt;0,Main_M[[#This Row],[Current Price]]/Main_M[[#This Row],[EPS]],""),"")</f>
        <v>24.05946791862285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1.3887808929159688</v>
      </c>
      <c r="P40" s="1">
        <f>(Main_M[[#This Row],[P/B]]-VLOOKUP(Main_M[[#This Row],[Industry]], Mean_PB_M, 2, FALSE))/(VLOOKUP(Main_M[[#This Row],[Industry]], Mean_PB_M, 3, FALSE))</f>
        <v>0.84163291447743394</v>
      </c>
      <c r="Q40" s="1">
        <f>(Main_M[[#This Row],[ROE]]-VLOOKUP(Main_M[[#This Row],[Industry]], Mean_ROE_M, 2, FALSE))/(VLOOKUP(Main_M[[#This Row],[Industry]], Mean_ROE_M, 3, FALSE))</f>
        <v>0.13688362670371987</v>
      </c>
      <c r="R40" s="1">
        <f>(Main_M[[#This Row],[ROA]]-VLOOKUP(Main_M[[#This Row],[Industry]], Mean_ROA_M, 2, FALSE))/(VLOOKUP(Main_M[[#This Row],[Industry]], Mean_ROA_M, 3, FALSE))</f>
        <v>0.92751197608905156</v>
      </c>
      <c r="S40" s="1">
        <f>(Main_M[[#This Row],[A/E]]-VLOOKUP(Main_M[[#This Row],[Industry]], Mean_AE_M, 2, FALSE))/(VLOOKUP(Main_M[[#This Row],[Industry]], Mean_AE_M, 3, FALSE))</f>
        <v>-0.65138980053556439</v>
      </c>
      <c r="T40" s="1">
        <f>(Main_M[[#This Row],[P/E]]-VLOOKUP(Main_M[[#This Row],[Industry]], Mean_PE_M, 2, FALSE))/(VLOOKUP(Main_M[[#This Row],[Industry]], Mean_PE_M, 3, FALSE))</f>
        <v>0.69367112402956266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112</v>
      </c>
      <c r="B41" t="s">
        <v>297</v>
      </c>
      <c r="C41" s="2">
        <v>2135</v>
      </c>
      <c r="D41">
        <f>RTD("tos.rtd", , "LAST", Main_M[[#This Row],[Symbol]])</f>
        <v>89.26</v>
      </c>
      <c r="E41">
        <v>5.03</v>
      </c>
      <c r="F41">
        <v>68.42</v>
      </c>
      <c r="G41">
        <v>4.68</v>
      </c>
      <c r="H41" s="1">
        <f>IF(ISNUMBER(Main_M[[#This Row],[Free CF]]),IF(Main_M[[#This Row],[Free CF]]&lt;&gt;0,Main_M[[#This Row],[Current Price]]/Main_M[[#This Row],[Free CF]],""),"")</f>
        <v>17.745526838966203</v>
      </c>
      <c r="I41" s="1">
        <f>IF(ISNUMBER(Main_M[[#This Row],[BVPS]]),IF(Main_M[[#This Row],[BVPS]]&lt;&gt;0,Main_M[[#This Row],[Current Price]]/Main_M[[#This Row],[BVPS]],""),"")</f>
        <v>1.3045893013738674</v>
      </c>
      <c r="J41">
        <v>6.86</v>
      </c>
      <c r="K41">
        <v>4.82</v>
      </c>
      <c r="L41">
        <v>1.26</v>
      </c>
      <c r="M41" s="1">
        <f>IF(ISNUMBER(Main_M[[#This Row],[EPS]]),IF(Main_M[[#This Row],[EPS]]&lt;&gt;0,Main_M[[#This Row],[Current Price]]/Main_M[[#This Row],[EPS]],""),"")</f>
        <v>19.072649572649574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-2.2869728551236961E-2</v>
      </c>
      <c r="P41" s="1">
        <f>(Main_M[[#This Row],[P/B]]-VLOOKUP(Main_M[[#This Row],[Industry]], Mean_PB_M, 2, FALSE))/(VLOOKUP(Main_M[[#This Row],[Industry]], Mean_PB_M, 3, FALSE))</f>
        <v>-1.0163369469134778</v>
      </c>
      <c r="Q41" s="1">
        <f>(Main_M[[#This Row],[ROE]]-VLOOKUP(Main_M[[#This Row],[Industry]], Mean_ROE_M, 2, FALSE))/(VLOOKUP(Main_M[[#This Row],[Industry]], Mean_ROE_M, 3, FALSE))</f>
        <v>-0.28454760629526077</v>
      </c>
      <c r="R41" s="1">
        <f>(Main_M[[#This Row],[ROA]]-VLOOKUP(Main_M[[#This Row],[Industry]], Mean_ROA_M, 2, FALSE))/(VLOOKUP(Main_M[[#This Row],[Industry]], Mean_ROA_M, 3, FALSE))</f>
        <v>-0.51273254635864596</v>
      </c>
      <c r="S41" s="1">
        <f>(Main_M[[#This Row],[A/E]]-VLOOKUP(Main_M[[#This Row],[Industry]], Mean_AE_M, 2, FALSE))/(VLOOKUP(Main_M[[#This Row],[Industry]], Mean_AE_M, 3, FALSE))</f>
        <v>-0.9867386838066039</v>
      </c>
      <c r="T41" s="1">
        <f>(Main_M[[#This Row],[P/E]]-VLOOKUP(Main_M[[#This Row],[Industry]], Mean_PE_M, 2, FALSE))/(VLOOKUP(Main_M[[#This Row],[Industry]], Mean_PE_M, 3, FALSE))</f>
        <v>-2.2871456907228437E-2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112</v>
      </c>
      <c r="B42" t="s">
        <v>298</v>
      </c>
      <c r="C42" s="2">
        <v>5559</v>
      </c>
      <c r="D42">
        <f>RTD("tos.rtd", , "LAST", Main_M[[#This Row],[Symbol]])</f>
        <v>10.01</v>
      </c>
      <c r="E42">
        <v>0.66</v>
      </c>
      <c r="F42">
        <v>6.2</v>
      </c>
      <c r="G42">
        <v>0.14000000000000001</v>
      </c>
      <c r="H42" s="1">
        <f>IF(ISNUMBER(Main_M[[#This Row],[Free CF]]),IF(Main_M[[#This Row],[Free CF]]&lt;&gt;0,Main_M[[#This Row],[Current Price]]/Main_M[[#This Row],[Free CF]],""),"")</f>
        <v>15.166666666666666</v>
      </c>
      <c r="I42" s="1">
        <f>IF(ISNUMBER(Main_M[[#This Row],[BVPS]]),IF(Main_M[[#This Row],[BVPS]]&lt;&gt;0,Main_M[[#This Row],[Current Price]]/Main_M[[#This Row],[BVPS]],""),"")</f>
        <v>1.6145161290322581</v>
      </c>
      <c r="J42">
        <v>2.2799999999999998</v>
      </c>
      <c r="K42">
        <v>-0.04</v>
      </c>
      <c r="L42">
        <v>1.46</v>
      </c>
      <c r="M42" s="1">
        <f>IF(ISNUMBER(Main_M[[#This Row],[EPS]]),IF(Main_M[[#This Row],[EPS]]&lt;&gt;0,Main_M[[#This Row],[Current Price]]/Main_M[[#This Row],[EPS]],""),"")</f>
        <v>71.499999999999986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-0.41743839963436108</v>
      </c>
      <c r="P42" s="1">
        <f>(Main_M[[#This Row],[P/B]]-VLOOKUP(Main_M[[#This Row],[Industry]], Mean_PB_M, 2, FALSE))/(VLOOKUP(Main_M[[#This Row],[Industry]], Mean_PB_M, 3, FALSE))</f>
        <v>-0.84429965510594374</v>
      </c>
      <c r="Q42" s="1">
        <f>(Main_M[[#This Row],[ROE]]-VLOOKUP(Main_M[[#This Row],[Industry]], Mean_ROE_M, 2, FALSE))/(VLOOKUP(Main_M[[#This Row],[Industry]], Mean_ROE_M, 3, FALSE))</f>
        <v>-0.39875796411391945</v>
      </c>
      <c r="R42" s="1">
        <f>(Main_M[[#This Row],[ROA]]-VLOOKUP(Main_M[[#This Row],[Industry]], Mean_ROA_M, 2, FALSE))/(VLOOKUP(Main_M[[#This Row],[Industry]], Mean_ROA_M, 3, FALSE))</f>
        <v>-1.5621460964479728</v>
      </c>
      <c r="S42" s="1">
        <f>(Main_M[[#This Row],[A/E]]-VLOOKUP(Main_M[[#This Row],[Industry]], Mean_AE_M, 2, FALSE))/(VLOOKUP(Main_M[[#This Row],[Industry]], Mean_AE_M, 3, FALSE))</f>
        <v>-0.76317276162591097</v>
      </c>
      <c r="T42" s="1">
        <f>(Main_M[[#This Row],[P/E]]-VLOOKUP(Main_M[[#This Row],[Industry]], Mean_PE_M, 2, FALSE))/(VLOOKUP(Main_M[[#This Row],[Industry]], Mean_PE_M, 3, FALSE))</f>
        <v>7.5102742044391766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3" spans="1:26" x14ac:dyDescent="0.25">
      <c r="A43" t="s">
        <v>112</v>
      </c>
      <c r="B43" t="s">
        <v>299</v>
      </c>
      <c r="C43" s="2">
        <v>6926</v>
      </c>
      <c r="D43">
        <f>RTD("tos.rtd", , "LAST", Main_M[[#This Row],[Symbol]])</f>
        <v>8.5500000000000007</v>
      </c>
      <c r="E43">
        <v>0.85</v>
      </c>
      <c r="F43">
        <v>4.33</v>
      </c>
      <c r="G43">
        <v>0.64</v>
      </c>
      <c r="H43" s="1">
        <f>IF(ISNUMBER(Main_M[[#This Row],[Free CF]]),IF(Main_M[[#This Row],[Free CF]]&lt;&gt;0,Main_M[[#This Row],[Current Price]]/Main_M[[#This Row],[Free CF]],""),"")</f>
        <v>10.058823529411766</v>
      </c>
      <c r="I43" s="1">
        <f>IF(ISNUMBER(Main_M[[#This Row],[BVPS]]),IF(Main_M[[#This Row],[BVPS]]&lt;&gt;0,Main_M[[#This Row],[Current Price]]/Main_M[[#This Row],[BVPS]],""),"")</f>
        <v>1.9745958429561201</v>
      </c>
      <c r="J43">
        <v>16.260000000000002</v>
      </c>
      <c r="K43">
        <v>4.82</v>
      </c>
      <c r="L43">
        <v>4.38</v>
      </c>
      <c r="M43" s="1">
        <f>IF(ISNUMBER(Main_M[[#This Row],[EPS]]),IF(Main_M[[#This Row],[EPS]]&lt;&gt;0,Main_M[[#This Row],[Current Price]]/Main_M[[#This Row],[EPS]],""),"")</f>
        <v>13.359375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-1.1989444698028027</v>
      </c>
      <c r="P43" s="1">
        <f>(Main_M[[#This Row],[P/B]]-VLOOKUP(Main_M[[#This Row],[Industry]], Mean_PB_M, 2, FALSE))/(VLOOKUP(Main_M[[#This Row],[Industry]], Mean_PB_M, 3, FALSE))</f>
        <v>-0.64442299619801413</v>
      </c>
      <c r="Q43" s="1">
        <f>(Main_M[[#This Row],[ROE]]-VLOOKUP(Main_M[[#This Row],[Industry]], Mean_ROE_M, 2, FALSE))/(VLOOKUP(Main_M[[#This Row],[Industry]], Mean_ROE_M, 3, FALSE))</f>
        <v>-5.0142068414170939E-2</v>
      </c>
      <c r="R43" s="1">
        <f>(Main_M[[#This Row],[ROA]]-VLOOKUP(Main_M[[#This Row],[Industry]], Mean_ROA_M, 2, FALSE))/(VLOOKUP(Main_M[[#This Row],[Industry]], Mean_ROA_M, 3, FALSE))</f>
        <v>-0.51273254635864596</v>
      </c>
      <c r="S43" s="1">
        <f>(Main_M[[#This Row],[A/E]]-VLOOKUP(Main_M[[#This Row],[Industry]], Mean_AE_M, 2, FALSE))/(VLOOKUP(Main_M[[#This Row],[Industry]], Mean_AE_M, 3, FALSE))</f>
        <v>2.5008897022122065</v>
      </c>
      <c r="T43" s="1">
        <f>(Main_M[[#This Row],[P/E]]-VLOOKUP(Main_M[[#This Row],[Industry]], Mean_PE_M, 2, FALSE))/(VLOOKUP(Main_M[[#This Row],[Industry]], Mean_PE_M, 3, FALSE))</f>
        <v>-0.84379658869842489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112</v>
      </c>
      <c r="B44" t="s">
        <v>300</v>
      </c>
      <c r="C44" s="2">
        <v>3901</v>
      </c>
      <c r="D44">
        <f>RTD("tos.rtd", , "LAST", Main_M[[#This Row],[Symbol]])</f>
        <v>54.27</v>
      </c>
      <c r="E44">
        <v>3.6</v>
      </c>
      <c r="F44">
        <v>2.67</v>
      </c>
      <c r="G44">
        <v>3.08</v>
      </c>
      <c r="H44" s="1">
        <f>IF(ISNUMBER(Main_M[[#This Row],[Free CF]]),IF(Main_M[[#This Row],[Free CF]]&lt;&gt;0,Main_M[[#This Row],[Current Price]]/Main_M[[#This Row],[Free CF]],""),"")</f>
        <v>15.075000000000001</v>
      </c>
      <c r="I44" s="1">
        <f>IF(ISNUMBER(Main_M[[#This Row],[BVPS]]),IF(Main_M[[#This Row],[BVPS]]&lt;&gt;0,Main_M[[#This Row],[Current Price]]/Main_M[[#This Row],[BVPS]],""),"")</f>
        <v>20.325842696629216</v>
      </c>
      <c r="J44">
        <v>132.22</v>
      </c>
      <c r="K44">
        <v>13.51</v>
      </c>
      <c r="L44">
        <v>10.71</v>
      </c>
      <c r="M44" s="1">
        <f>IF(ISNUMBER(Main_M[[#This Row],[EPS]]),IF(Main_M[[#This Row],[EPS]]&lt;&gt;0,Main_M[[#This Row],[Current Price]]/Main_M[[#This Row],[EPS]],""),"")</f>
        <v>17.620129870129869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-0.43146350857116489</v>
      </c>
      <c r="P44" s="1">
        <f>(Main_M[[#This Row],[P/B]]-VLOOKUP(Main_M[[#This Row],[Industry]], Mean_PB_M, 2, FALSE))/(VLOOKUP(Main_M[[#This Row],[Industry]], Mean_PB_M, 3, FALSE))</f>
        <v>9.542171155235966</v>
      </c>
      <c r="Q44" s="1">
        <f>(Main_M[[#This Row],[ROE]]-VLOOKUP(Main_M[[#This Row],[Industry]], Mean_ROE_M, 2, FALSE))/(VLOOKUP(Main_M[[#This Row],[Industry]], Mean_ROE_M, 3, FALSE))</f>
        <v>2.8415245457019114</v>
      </c>
      <c r="R44" s="1">
        <f>(Main_M[[#This Row],[ROA]]-VLOOKUP(Main_M[[#This Row],[Industry]], Mean_ROA_M, 2, FALSE))/(VLOOKUP(Main_M[[#This Row],[Industry]], Mean_ROA_M, 3, FALSE))</f>
        <v>1.3636879783895535</v>
      </c>
      <c r="S44" s="1">
        <f>(Main_M[[#This Row],[A/E]]-VLOOKUP(Main_M[[#This Row],[Industry]], Mean_AE_M, 2, FALSE))/(VLOOKUP(Main_M[[#This Row],[Industry]], Mean_AE_M, 3, FALSE))</f>
        <v>9.5767511392311402</v>
      </c>
      <c r="T44" s="1">
        <f>(Main_M[[#This Row],[P/E]]-VLOOKUP(Main_M[[#This Row],[Industry]], Mean_PE_M, 2, FALSE))/(VLOOKUP(Main_M[[#This Row],[Industry]], Mean_PE_M, 3, FALSE))</f>
        <v>-0.23158012530005684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112</v>
      </c>
      <c r="B45" t="s">
        <v>301</v>
      </c>
      <c r="C45" s="2">
        <v>8250</v>
      </c>
      <c r="D45">
        <f>RTD("tos.rtd", , "LAST", Main_M[[#This Row],[Symbol]])</f>
        <v>56.95</v>
      </c>
      <c r="E45">
        <v>4.96</v>
      </c>
      <c r="F45">
        <v>-6.52</v>
      </c>
      <c r="G45">
        <v>3.8</v>
      </c>
      <c r="H45" s="1">
        <f>IF(ISNUMBER(Main_M[[#This Row],[Free CF]]),IF(Main_M[[#This Row],[Free CF]]&lt;&gt;0,Main_M[[#This Row],[Current Price]]/Main_M[[#This Row],[Free CF]],""),"")</f>
        <v>11.481854838709678</v>
      </c>
      <c r="I45" s="1">
        <f>IF(ISNUMBER(Main_M[[#This Row],[BVPS]]),IF(Main_M[[#This Row],[BVPS]]&lt;&gt;0,Main_M[[#This Row],[Current Price]]/Main_M[[#This Row],[BVPS]],""),"")</f>
        <v>-8.7346625766871178</v>
      </c>
      <c r="J45">
        <v>-65.17</v>
      </c>
      <c r="K45">
        <v>17.25</v>
      </c>
      <c r="L45">
        <v>-3.11</v>
      </c>
      <c r="M45" s="1">
        <f>IF(ISNUMBER(Main_M[[#This Row],[EPS]]),IF(Main_M[[#This Row],[EPS]]&lt;&gt;0,Main_M[[#This Row],[Current Price]]/Main_M[[#This Row],[EPS]],""),"")</f>
        <v>14.986842105263159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-0.98121898834768073</v>
      </c>
      <c r="P45" s="1">
        <f>(Main_M[[#This Row],[P/B]]-VLOOKUP(Main_M[[#This Row],[Industry]], Mean_PB_M, 2, FALSE))/(VLOOKUP(Main_M[[#This Row],[Industry]], Mean_PB_M, 3, FALSE))</f>
        <v>-6.5890255648184564</v>
      </c>
      <c r="Q45" s="1">
        <f>(Main_M[[#This Row],[ROE]]-VLOOKUP(Main_M[[#This Row],[Industry]], Mean_ROE_M, 2, FALSE))/(VLOOKUP(Main_M[[#This Row],[Industry]], Mean_ROE_M, 3, FALSE))</f>
        <v>-2.0807423822074842</v>
      </c>
      <c r="R45" s="1">
        <f>(Main_M[[#This Row],[ROA]]-VLOOKUP(Main_M[[#This Row],[Industry]], Mean_ROA_M, 2, FALSE))/(VLOOKUP(Main_M[[#This Row],[Industry]], Mean_ROA_M, 3, FALSE))</f>
        <v>2.1712613687875129</v>
      </c>
      <c r="S45" s="1">
        <f>(Main_M[[#This Row],[A/E]]-VLOOKUP(Main_M[[#This Row],[Industry]], Mean_AE_M, 2, FALSE))/(VLOOKUP(Main_M[[#This Row],[Industry]], Mean_AE_M, 3, FALSE))</f>
        <v>-5.8716540834547448</v>
      </c>
      <c r="T45" s="1">
        <f>(Main_M[[#This Row],[P/E]]-VLOOKUP(Main_M[[#This Row],[Industry]], Mean_PE_M, 2, FALSE))/(VLOOKUP(Main_M[[#This Row],[Industry]], Mean_PE_M, 3, FALSE))</f>
        <v>-0.60995019625129931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112</v>
      </c>
      <c r="B46" t="s">
        <v>302</v>
      </c>
      <c r="C46" s="2">
        <v>2436</v>
      </c>
      <c r="D46">
        <f>RTD("tos.rtd", , "LAST", Main_M[[#This Row],[Symbol]])</f>
        <v>7.88</v>
      </c>
      <c r="E46">
        <v>-0.08</v>
      </c>
      <c r="F46">
        <v>3.18</v>
      </c>
      <c r="G46">
        <v>0.24</v>
      </c>
      <c r="H46" s="1">
        <f>IF(ISNUMBER(Main_M[[#This Row],[Free CF]]),IF(Main_M[[#This Row],[Free CF]]&lt;&gt;0,Main_M[[#This Row],[Current Price]]/Main_M[[#This Row],[Free CF]],""),"")</f>
        <v>-98.5</v>
      </c>
      <c r="I46" s="1">
        <f>IF(ISNUMBER(Main_M[[#This Row],[BVPS]]),IF(Main_M[[#This Row],[BVPS]]&lt;&gt;0,Main_M[[#This Row],[Current Price]]/Main_M[[#This Row],[BVPS]],""),"")</f>
        <v>2.4779874213836477</v>
      </c>
      <c r="J46">
        <v>8.2100000000000009</v>
      </c>
      <c r="K46">
        <v>4.2300000000000004</v>
      </c>
      <c r="L46">
        <v>2.99</v>
      </c>
      <c r="M46" s="1">
        <f>IF(ISNUMBER(Main_M[[#This Row],[EPS]]),IF(Main_M[[#This Row],[EPS]]&lt;&gt;0,Main_M[[#This Row],[Current Price]]/Main_M[[#This Row],[EPS]],""),"")</f>
        <v>32.833333333333336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-17.808573481271434</v>
      </c>
      <c r="P46" s="1">
        <f>(Main_M[[#This Row],[P/B]]-VLOOKUP(Main_M[[#This Row],[Industry]], Mean_PB_M, 2, FALSE))/(VLOOKUP(Main_M[[#This Row],[Industry]], Mean_PB_M, 3, FALSE))</f>
        <v>-0.36499535024137941</v>
      </c>
      <c r="Q46" s="1">
        <f>(Main_M[[#This Row],[ROE]]-VLOOKUP(Main_M[[#This Row],[Industry]], Mean_ROE_M, 2, FALSE))/(VLOOKUP(Main_M[[#This Row],[Industry]], Mean_ROE_M, 3, FALSE))</f>
        <v>-0.2508829811740404</v>
      </c>
      <c r="R46" s="1">
        <f>(Main_M[[#This Row],[ROA]]-VLOOKUP(Main_M[[#This Row],[Industry]], Mean_ROA_M, 2, FALSE))/(VLOOKUP(Main_M[[#This Row],[Industry]], Mean_ROA_M, 3, FALSE))</f>
        <v>-0.64013048762463409</v>
      </c>
      <c r="S46" s="1">
        <f>(Main_M[[#This Row],[A/E]]-VLOOKUP(Main_M[[#This Row],[Industry]], Mean_AE_M, 2, FALSE))/(VLOOKUP(Main_M[[#This Row],[Industry]], Mean_AE_M, 3, FALSE))</f>
        <v>0.94710654305639075</v>
      </c>
      <c r="T46" s="1">
        <f>(Main_M[[#This Row],[P/E]]-VLOOKUP(Main_M[[#This Row],[Industry]], Mean_PE_M, 2, FALSE))/(VLOOKUP(Main_M[[#This Row],[Industry]], Mean_PE_M, 3, FALSE))</f>
        <v>1.9543643622593376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111</v>
      </c>
      <c r="B47" t="s">
        <v>257</v>
      </c>
      <c r="C47" s="2">
        <v>5772</v>
      </c>
      <c r="D47">
        <f>RTD("tos.rtd", , "LAST", Main_M[[#This Row],[Symbol]])</f>
        <v>75.36</v>
      </c>
      <c r="E47">
        <v>5.34</v>
      </c>
      <c r="F47">
        <v>16.48</v>
      </c>
      <c r="G47">
        <v>6.13</v>
      </c>
      <c r="H47" s="1">
        <f>IF(ISNUMBER(Main_M[[#This Row],[Free CF]]),IF(Main_M[[#This Row],[Free CF]]&lt;&gt;0,Main_M[[#This Row],[Current Price]]/Main_M[[#This Row],[Free CF]],""),"")</f>
        <v>14.112359550561798</v>
      </c>
      <c r="I47" s="1">
        <f>IF(ISNUMBER(Main_M[[#This Row],[BVPS]]),IF(Main_M[[#This Row],[BVPS]]&lt;&gt;0,Main_M[[#This Row],[Current Price]]/Main_M[[#This Row],[BVPS]],""),"")</f>
        <v>4.5728155339805827</v>
      </c>
      <c r="J47">
        <v>35.549999999999997</v>
      </c>
      <c r="K47">
        <v>9.36</v>
      </c>
      <c r="L47">
        <v>4.79</v>
      </c>
      <c r="M47" s="1">
        <f>IF(ISNUMBER(Main_M[[#This Row],[EPS]]),IF(Main_M[[#This Row],[EPS]]&lt;&gt;0,Main_M[[#This Row],[Current Price]]/Main_M[[#This Row],[EPS]],""),"")</f>
        <v>12.293637846655791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47" s="1">
        <f>(Main_M[[#This Row],[P/FCF]]-VLOOKUP(Main_M[[#This Row],[Industry]], Mean_PFCF_M, 2, FALSE))/(VLOOKUP(Main_M[[#This Row],[Industry]], Mean_PFCF_M, 3, FALSE))</f>
        <v>-0.27445852209119376</v>
      </c>
      <c r="P47" s="1">
        <f>(Main_M[[#This Row],[P/B]]-VLOOKUP(Main_M[[#This Row],[Industry]], Mean_PB_M, 2, FALSE))/(VLOOKUP(Main_M[[#This Row],[Industry]], Mean_PB_M, 3, FALSE))</f>
        <v>-5.214428781817896E-2</v>
      </c>
      <c r="Q47" s="1">
        <f>(Main_M[[#This Row],[ROE]]-VLOOKUP(Main_M[[#This Row],[Industry]], Mean_ROE_M, 2, FALSE))/(VLOOKUP(Main_M[[#This Row],[Industry]], Mean_ROE_M, 3, FALSE))</f>
        <v>0.19448388571856917</v>
      </c>
      <c r="R47" s="1">
        <f>(Main_M[[#This Row],[ROA]]-VLOOKUP(Main_M[[#This Row],[Industry]], Mean_ROA_M, 2, FALSE))/(VLOOKUP(Main_M[[#This Row],[Industry]], Mean_ROA_M, 3, FALSE))</f>
        <v>0.81053234524547235</v>
      </c>
      <c r="S47" s="1">
        <f>(Main_M[[#This Row],[A/E]]-VLOOKUP(Main_M[[#This Row],[Industry]], Mean_AE_M, 2, FALSE))/(VLOOKUP(Main_M[[#This Row],[Industry]], Mean_AE_M, 3, FALSE))</f>
        <v>-2.2139919988976679E-2</v>
      </c>
      <c r="T47" s="1">
        <f>(Main_M[[#This Row],[P/E]]-VLOOKUP(Main_M[[#This Row],[Industry]], Mean_PE_M, 2, FALSE))/(VLOOKUP(Main_M[[#This Row],[Industry]], Mean_PE_M, 3, FALSE))</f>
        <v>-0.2497113289584198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t="s">
        <v>111</v>
      </c>
      <c r="B48" t="s">
        <v>258</v>
      </c>
      <c r="C48" s="2">
        <v>6681</v>
      </c>
      <c r="D48">
        <f>RTD("tos.rtd", , "LAST", Main_M[[#This Row],[Symbol]])</f>
        <v>98.36</v>
      </c>
      <c r="E48">
        <v>3.96</v>
      </c>
      <c r="F48">
        <v>14.72</v>
      </c>
      <c r="G48">
        <v>5.66</v>
      </c>
      <c r="H48" s="1">
        <f>IF(ISNUMBER(Main_M[[#This Row],[Free CF]]),IF(Main_M[[#This Row],[Free CF]]&lt;&gt;0,Main_M[[#This Row],[Current Price]]/Main_M[[#This Row],[Free CF]],""),"")</f>
        <v>24.838383838383837</v>
      </c>
      <c r="I48" s="1">
        <f>IF(ISNUMBER(Main_M[[#This Row],[BVPS]]),IF(Main_M[[#This Row],[BVPS]]&lt;&gt;0,Main_M[[#This Row],[Current Price]]/Main_M[[#This Row],[BVPS]],""),"")</f>
        <v>6.6820652173913038</v>
      </c>
      <c r="J48">
        <v>44.36</v>
      </c>
      <c r="K48">
        <v>6.12</v>
      </c>
      <c r="L48">
        <v>6.86</v>
      </c>
      <c r="M48" s="1">
        <f>IF(ISNUMBER(Main_M[[#This Row],[EPS]]),IF(Main_M[[#This Row],[EPS]]&lt;&gt;0,Main_M[[#This Row],[Current Price]]/Main_M[[#This Row],[EPS]],""),"")</f>
        <v>17.378091872791519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0.39971077028753843</v>
      </c>
      <c r="P48" s="1">
        <f>(Main_M[[#This Row],[P/B]]-VLOOKUP(Main_M[[#This Row],[Industry]], Mean_PB_M, 2, FALSE))/(VLOOKUP(Main_M[[#This Row],[Industry]], Mean_PB_M, 3, FALSE))</f>
        <v>0.28806696126678116</v>
      </c>
      <c r="Q48" s="1">
        <f>(Main_M[[#This Row],[ROE]]-VLOOKUP(Main_M[[#This Row],[Industry]], Mean_ROE_M, 2, FALSE))/(VLOOKUP(Main_M[[#This Row],[Industry]], Mean_ROE_M, 3, FALSE))</f>
        <v>0.20248710023837299</v>
      </c>
      <c r="R48" s="1">
        <f>(Main_M[[#This Row],[ROA]]-VLOOKUP(Main_M[[#This Row],[Industry]], Mean_ROA_M, 2, FALSE))/(VLOOKUP(Main_M[[#This Row],[Industry]], Mean_ROA_M, 3, FALSE))</f>
        <v>0.1497057728762399</v>
      </c>
      <c r="S48" s="1">
        <f>(Main_M[[#This Row],[A/E]]-VLOOKUP(Main_M[[#This Row],[Industry]], Mean_AE_M, 2, FALSE))/(VLOOKUP(Main_M[[#This Row],[Industry]], Mean_AE_M, 3, FALSE))</f>
        <v>0.41203556358432913</v>
      </c>
      <c r="T48" s="1">
        <f>(Main_M[[#This Row],[P/E]]-VLOOKUP(Main_M[[#This Row],[Industry]], Mean_PE_M, 2, FALSE))/(VLOOKUP(Main_M[[#This Row],[Industry]], Mean_PE_M, 3, FALSE))</f>
        <v>-1.1679107098592646E-2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t="s">
        <v>111</v>
      </c>
      <c r="B49" t="s">
        <v>259</v>
      </c>
      <c r="C49" s="2">
        <v>5634</v>
      </c>
      <c r="D49">
        <f>RTD("tos.rtd", , "LAST", Main_M[[#This Row],[Symbol]])</f>
        <v>30.52</v>
      </c>
      <c r="E49">
        <v>-0.27</v>
      </c>
      <c r="F49">
        <v>19.12</v>
      </c>
      <c r="G49">
        <v>-1.1000000000000001</v>
      </c>
      <c r="H49" s="1">
        <f>IF(ISNUMBER(Main_M[[#This Row],[Free CF]]),IF(Main_M[[#This Row],[Free CF]]&lt;&gt;0,Main_M[[#This Row],[Current Price]]/Main_M[[#This Row],[Free CF]],""),"")</f>
        <v>-113.03703703703702</v>
      </c>
      <c r="I49" s="1">
        <f>IF(ISNUMBER(Main_M[[#This Row],[BVPS]]),IF(Main_M[[#This Row],[BVPS]]&lt;&gt;0,Main_M[[#This Row],[Current Price]]/Main_M[[#This Row],[BVPS]],""),"")</f>
        <v>1.5962343096234308</v>
      </c>
      <c r="J49">
        <v>-3.77</v>
      </c>
      <c r="K49">
        <v>4.34</v>
      </c>
      <c r="L49">
        <v>7.99</v>
      </c>
      <c r="M49" s="1">
        <f>IF(ISNUMBER(Main_M[[#This Row],[EPS]]),IF(Main_M[[#This Row],[EPS]]&lt;&gt;0,Main_M[[#This Row],[Current Price]]/Main_M[[#This Row],[EPS]],""),"")</f>
        <v>-27.745454545454542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-8.2662564542633294</v>
      </c>
      <c r="P49" s="1">
        <f>(Main_M[[#This Row],[P/B]]-VLOOKUP(Main_M[[#This Row],[Industry]], Mean_PB_M, 2, FALSE))/(VLOOKUP(Main_M[[#This Row],[Industry]], Mean_PB_M, 3, FALSE))</f>
        <v>-0.53225170435877278</v>
      </c>
      <c r="Q49" s="1">
        <f>(Main_M[[#This Row],[ROE]]-VLOOKUP(Main_M[[#This Row],[Industry]], Mean_ROE_M, 2, FALSE))/(VLOOKUP(Main_M[[#This Row],[Industry]], Mean_ROE_M, 3, FALSE))</f>
        <v>0.15876465814550603</v>
      </c>
      <c r="R49" s="1">
        <f>(Main_M[[#This Row],[ROA]]-VLOOKUP(Main_M[[#This Row],[Industry]], Mean_ROA_M, 2, FALSE))/(VLOOKUP(Main_M[[#This Row],[Industry]], Mean_ROA_M, 3, FALSE))</f>
        <v>-0.2133409242895731</v>
      </c>
      <c r="S49" s="1">
        <f>(Main_M[[#This Row],[A/E]]-VLOOKUP(Main_M[[#This Row],[Industry]], Mean_AE_M, 2, FALSE))/(VLOOKUP(Main_M[[#This Row],[Industry]], Mean_AE_M, 3, FALSE))</f>
        <v>0.64904923336106124</v>
      </c>
      <c r="T49" s="1">
        <f>(Main_M[[#This Row],[P/E]]-VLOOKUP(Main_M[[#This Row],[Industry]], Mean_PE_M, 2, FALSE))/(VLOOKUP(Main_M[[#This Row],[Industry]], Mean_PE_M, 3, FALSE))</f>
        <v>-2.1241690532990489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t="s">
        <v>111</v>
      </c>
      <c r="B50" t="s">
        <v>260</v>
      </c>
      <c r="C50" s="2">
        <v>2363</v>
      </c>
      <c r="D50">
        <f>RTD("tos.rtd", , "LAST", Main_M[[#This Row],[Symbol]])</f>
        <v>10.35</v>
      </c>
      <c r="E50">
        <v>0.08</v>
      </c>
      <c r="F50">
        <v>2.73</v>
      </c>
      <c r="G50">
        <v>-0.27</v>
      </c>
      <c r="H50" s="1">
        <f>IF(ISNUMBER(Main_M[[#This Row],[Free CF]]),IF(Main_M[[#This Row],[Free CF]]&lt;&gt;0,Main_M[[#This Row],[Current Price]]/Main_M[[#This Row],[Free CF]],""),"")</f>
        <v>129.375</v>
      </c>
      <c r="I50" s="1">
        <f>IF(ISNUMBER(Main_M[[#This Row],[BVPS]]),IF(Main_M[[#This Row],[BVPS]]&lt;&gt;0,Main_M[[#This Row],[Current Price]]/Main_M[[#This Row],[BVPS]],""),"")</f>
        <v>3.7912087912087911</v>
      </c>
      <c r="J50">
        <v>-11.01</v>
      </c>
      <c r="K50">
        <v>-4.49</v>
      </c>
      <c r="L50">
        <v>1.38</v>
      </c>
      <c r="M50" s="1">
        <f>IF(ISNUMBER(Main_M[[#This Row],[EPS]]),IF(Main_M[[#This Row],[EPS]]&lt;&gt;0,Main_M[[#This Row],[Current Price]]/Main_M[[#This Row],[EPS]],""),"")</f>
        <v>-38.333333333333329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6.9702139366246909</v>
      </c>
      <c r="P50" s="1">
        <f>(Main_M[[#This Row],[P/B]]-VLOOKUP(Main_M[[#This Row],[Industry]], Mean_PB_M, 2, FALSE))/(VLOOKUP(Main_M[[#This Row],[Industry]], Mean_PB_M, 3, FALSE))</f>
        <v>-0.17821348121098371</v>
      </c>
      <c r="Q50" s="1">
        <f>(Main_M[[#This Row],[ROE]]-VLOOKUP(Main_M[[#This Row],[Industry]], Mean_ROE_M, 2, FALSE))/(VLOOKUP(Main_M[[#This Row],[Industry]], Mean_ROE_M, 3, FALSE))</f>
        <v>0.15218766914171722</v>
      </c>
      <c r="R50" s="1">
        <f>(Main_M[[#This Row],[ROA]]-VLOOKUP(Main_M[[#This Row],[Industry]], Mean_ROA_M, 2, FALSE))/(VLOOKUP(Main_M[[#This Row],[Industry]], Mean_ROA_M, 3, FALSE))</f>
        <v>-2.0142972928143643</v>
      </c>
      <c r="S50" s="1">
        <f>(Main_M[[#This Row],[A/E]]-VLOOKUP(Main_M[[#This Row],[Industry]], Mean_AE_M, 2, FALSE))/(VLOOKUP(Main_M[[#This Row],[Industry]], Mean_AE_M, 3, FALSE))</f>
        <v>-0.73737586152761081</v>
      </c>
      <c r="T50" s="1">
        <f>(Main_M[[#This Row],[P/E]]-VLOOKUP(Main_M[[#This Row],[Industry]], Mean_PE_M, 2, FALSE))/(VLOOKUP(Main_M[[#This Row],[Industry]], Mean_PE_M, 3, FALSE))</f>
        <v>-2.6198479009602518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1" spans="1:26" x14ac:dyDescent="0.25">
      <c r="A51" t="s">
        <v>111</v>
      </c>
      <c r="B51" t="s">
        <v>261</v>
      </c>
      <c r="C51" s="2">
        <v>3422</v>
      </c>
      <c r="D51">
        <f>RTD("tos.rtd", , "LAST", Main_M[[#This Row],[Symbol]])</f>
        <v>16.190000000000001</v>
      </c>
      <c r="E51">
        <v>4.72</v>
      </c>
      <c r="F51">
        <v>8.2200000000000006</v>
      </c>
      <c r="G51">
        <v>0.31</v>
      </c>
      <c r="H51" s="1">
        <f>IF(ISNUMBER(Main_M[[#This Row],[Free CF]]),IF(Main_M[[#This Row],[Free CF]]&lt;&gt;0,Main_M[[#This Row],[Current Price]]/Main_M[[#This Row],[Free CF]],""),"")</f>
        <v>3.4300847457627124</v>
      </c>
      <c r="I51" s="1">
        <f>IF(ISNUMBER(Main_M[[#This Row],[BVPS]]),IF(Main_M[[#This Row],[BVPS]]&lt;&gt;0,Main_M[[#This Row],[Current Price]]/Main_M[[#This Row],[BVPS]],""),"")</f>
        <v>1.9695863746958637</v>
      </c>
      <c r="J51">
        <v>7.68</v>
      </c>
      <c r="K51">
        <v>4.41</v>
      </c>
      <c r="L51">
        <v>6.18</v>
      </c>
      <c r="M51" s="1">
        <f>IF(ISNUMBER(Main_M[[#This Row],[EPS]]),IF(Main_M[[#This Row],[EPS]]&lt;&gt;0,Main_M[[#This Row],[Current Price]]/Main_M[[#This Row],[EPS]],""),"")</f>
        <v>52.225806451612911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-0.94587800175087344</v>
      </c>
      <c r="P51" s="1">
        <f>(Main_M[[#This Row],[P/B]]-VLOOKUP(Main_M[[#This Row],[Industry]], Mean_PB_M, 2, FALSE))/(VLOOKUP(Main_M[[#This Row],[Industry]], Mean_PB_M, 3, FALSE))</f>
        <v>-0.47203191463651056</v>
      </c>
      <c r="Q51" s="1">
        <f>(Main_M[[#This Row],[ROE]]-VLOOKUP(Main_M[[#This Row],[Industry]], Mean_ROE_M, 2, FALSE))/(VLOOKUP(Main_M[[#This Row],[Industry]], Mean_ROE_M, 3, FALSE))</f>
        <v>0.16916611174956436</v>
      </c>
      <c r="R51" s="1">
        <f>(Main_M[[#This Row],[ROA]]-VLOOKUP(Main_M[[#This Row],[Industry]], Mean_ROA_M, 2, FALSE))/(VLOOKUP(Main_M[[#This Row],[Industry]], Mean_ROA_M, 3, FALSE))</f>
        <v>-0.19906380698529952</v>
      </c>
      <c r="S51" s="1">
        <f>(Main_M[[#This Row],[A/E]]-VLOOKUP(Main_M[[#This Row],[Industry]], Mean_AE_M, 2, FALSE))/(VLOOKUP(Main_M[[#This Row],[Industry]], Mean_AE_M, 3, FALSE))</f>
        <v>0.26940786849744597</v>
      </c>
      <c r="T51" s="1">
        <f>(Main_M[[#This Row],[P/E]]-VLOOKUP(Main_M[[#This Row],[Industry]], Mean_PE_M, 2, FALSE))/(VLOOKUP(Main_M[[#This Row],[Industry]], Mean_PE_M, 3, FALSE))</f>
        <v>1.619740684543854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111</v>
      </c>
      <c r="B52" t="s">
        <v>262</v>
      </c>
      <c r="C52" s="2">
        <v>7943</v>
      </c>
      <c r="D52">
        <f>RTD("tos.rtd", , "LAST", Main_M[[#This Row],[Symbol]])</f>
        <v>88.69</v>
      </c>
      <c r="E52">
        <v>3.8</v>
      </c>
      <c r="F52">
        <v>7.4</v>
      </c>
      <c r="G52">
        <v>3.68</v>
      </c>
      <c r="H52" s="1">
        <f>IF(ISNUMBER(Main_M[[#This Row],[Free CF]]),IF(Main_M[[#This Row],[Free CF]]&lt;&gt;0,Main_M[[#This Row],[Current Price]]/Main_M[[#This Row],[Free CF]],""),"")</f>
        <v>23.339473684210528</v>
      </c>
      <c r="I52" s="1">
        <f>IF(ISNUMBER(Main_M[[#This Row],[BVPS]]),IF(Main_M[[#This Row],[BVPS]]&lt;&gt;0,Main_M[[#This Row],[Current Price]]/Main_M[[#This Row],[BVPS]],""),"")</f>
        <v>11.985135135135135</v>
      </c>
      <c r="J52">
        <v>47.97</v>
      </c>
      <c r="K52">
        <v>8.68</v>
      </c>
      <c r="L52">
        <v>8.52</v>
      </c>
      <c r="M52" s="1">
        <f>IF(ISNUMBER(Main_M[[#This Row],[EPS]]),IF(Main_M[[#This Row],[EPS]]&lt;&gt;0,Main_M[[#This Row],[Current Price]]/Main_M[[#This Row],[EPS]],""),"")</f>
        <v>24.100543478260867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0.30549886372625784</v>
      </c>
      <c r="P52" s="1">
        <f>(Main_M[[#This Row],[P/B]]-VLOOKUP(Main_M[[#This Row],[Industry]], Mean_PB_M, 2, FALSE))/(VLOOKUP(Main_M[[#This Row],[Industry]], Mean_PB_M, 3, FALSE))</f>
        <v>1.1434251746116884</v>
      </c>
      <c r="Q52" s="1">
        <f>(Main_M[[#This Row],[ROE]]-VLOOKUP(Main_M[[#This Row],[Industry]], Mean_ROE_M, 2, FALSE))/(VLOOKUP(Main_M[[#This Row],[Industry]], Mean_ROE_M, 3, FALSE))</f>
        <v>0.20576651050131192</v>
      </c>
      <c r="R52" s="1">
        <f>(Main_M[[#This Row],[ROA]]-VLOOKUP(Main_M[[#This Row],[Industry]], Mean_ROA_M, 2, FALSE))/(VLOOKUP(Main_M[[#This Row],[Industry]], Mean_ROA_M, 3, FALSE))</f>
        <v>0.67184034857538655</v>
      </c>
      <c r="S52" s="1">
        <f>(Main_M[[#This Row],[A/E]]-VLOOKUP(Main_M[[#This Row],[Industry]], Mean_AE_M, 2, FALSE))/(VLOOKUP(Main_M[[#This Row],[Industry]], Mean_AE_M, 3, FALSE))</f>
        <v>0.76021493688466113</v>
      </c>
      <c r="T52" s="1">
        <f>(Main_M[[#This Row],[P/E]]-VLOOKUP(Main_M[[#This Row],[Industry]], Mean_PE_M, 2, FALSE))/(VLOOKUP(Main_M[[#This Row],[Industry]], Mean_PE_M, 3, FALSE))</f>
        <v>0.30303710112547511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t="s">
        <v>111</v>
      </c>
      <c r="B53" t="s">
        <v>263</v>
      </c>
      <c r="C53" s="2">
        <v>8638</v>
      </c>
      <c r="D53">
        <f>RTD("tos.rtd", , "LAST", Main_M[[#This Row],[Symbol]])</f>
        <v>34.9</v>
      </c>
      <c r="E53">
        <v>3.86</v>
      </c>
      <c r="F53">
        <v>10.199999999999999</v>
      </c>
      <c r="G53">
        <v>2.2400000000000002</v>
      </c>
      <c r="H53" s="1">
        <f>IF(ISNUMBER(Main_M[[#This Row],[Free CF]]),IF(Main_M[[#This Row],[Free CF]]&lt;&gt;0,Main_M[[#This Row],[Current Price]]/Main_M[[#This Row],[Free CF]],""),"")</f>
        <v>9.0414507772020727</v>
      </c>
      <c r="I53" s="1">
        <f>IF(ISNUMBER(Main_M[[#This Row],[BVPS]]),IF(Main_M[[#This Row],[BVPS]]&lt;&gt;0,Main_M[[#This Row],[Current Price]]/Main_M[[#This Row],[BVPS]],""),"")</f>
        <v>3.4215686274509807</v>
      </c>
      <c r="J53">
        <v>25.82</v>
      </c>
      <c r="K53">
        <v>2.34</v>
      </c>
      <c r="L53">
        <v>14.68</v>
      </c>
      <c r="M53" s="1">
        <f>IF(ISNUMBER(Main_M[[#This Row],[EPS]]),IF(Main_M[[#This Row],[EPS]]&lt;&gt;0,Main_M[[#This Row],[Current Price]]/Main_M[[#This Row],[EPS]],""),"")</f>
        <v>15.580357142857141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-0.5931834184476612</v>
      </c>
      <c r="P53" s="1">
        <f>(Main_M[[#This Row],[P/B]]-VLOOKUP(Main_M[[#This Row],[Industry]], Mean_PB_M, 2, FALSE))/(VLOOKUP(Main_M[[#This Row],[Industry]], Mean_PB_M, 3, FALSE))</f>
        <v>-0.2378345601250092</v>
      </c>
      <c r="Q53" s="1">
        <f>(Main_M[[#This Row],[ROE]]-VLOOKUP(Main_M[[#This Row],[Industry]], Mean_ROE_M, 2, FALSE))/(VLOOKUP(Main_M[[#This Row],[Industry]], Mean_ROE_M, 3, FALSE))</f>
        <v>0.18564492121485848</v>
      </c>
      <c r="R53" s="1">
        <f>(Main_M[[#This Row],[ROA]]-VLOOKUP(Main_M[[#This Row],[Industry]], Mean_ROA_M, 2, FALSE))/(VLOOKUP(Main_M[[#This Row],[Industry]], Mean_ROA_M, 3, FALSE))</f>
        <v>-0.62125856155453152</v>
      </c>
      <c r="S53" s="1">
        <f>(Main_M[[#This Row],[A/E]]-VLOOKUP(Main_M[[#This Row],[Industry]], Mean_AE_M, 2, FALSE))/(VLOOKUP(Main_M[[#This Row],[Industry]], Mean_AE_M, 3, FALSE))</f>
        <v>2.0522540570834842</v>
      </c>
      <c r="T53" s="1">
        <f>(Main_M[[#This Row],[P/E]]-VLOOKUP(Main_M[[#This Row],[Industry]], Mean_PE_M, 2, FALSE))/(VLOOKUP(Main_M[[#This Row],[Industry]], Mean_PE_M, 3, FALSE))</f>
        <v>-9.5841298335098316E-2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111</v>
      </c>
      <c r="B54" t="s">
        <v>264</v>
      </c>
      <c r="C54" s="2">
        <v>2400</v>
      </c>
      <c r="D54">
        <f>RTD("tos.rtd", , "LAST", Main_M[[#This Row],[Symbol]])</f>
        <v>6.28</v>
      </c>
      <c r="E54">
        <v>0.75</v>
      </c>
      <c r="F54">
        <v>-3.16</v>
      </c>
      <c r="G54">
        <v>0.1</v>
      </c>
      <c r="H54" s="1">
        <f>IF(ISNUMBER(Main_M[[#This Row],[Free CF]]),IF(Main_M[[#This Row],[Free CF]]&lt;&gt;0,Main_M[[#This Row],[Current Price]]/Main_M[[#This Row],[Free CF]],""),"")</f>
        <v>8.3733333333333331</v>
      </c>
      <c r="I54" s="1">
        <f>IF(ISNUMBER(Main_M[[#This Row],[BVPS]]),IF(Main_M[[#This Row],[BVPS]]&lt;&gt;0,Main_M[[#This Row],[Current Price]]/Main_M[[#This Row],[BVPS]],""),"")</f>
        <v>-1.9873417721518987</v>
      </c>
      <c r="J54">
        <v>3.14</v>
      </c>
      <c r="K54">
        <v>3.74</v>
      </c>
      <c r="L54">
        <v>-6.02</v>
      </c>
      <c r="M54" s="1">
        <f>IF(ISNUMBER(Main_M[[#This Row],[EPS]]),IF(Main_M[[#This Row],[EPS]]&lt;&gt;0,Main_M[[#This Row],[Current Price]]/Main_M[[#This Row],[EPS]],""),"")</f>
        <v>62.8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-0.63517700826921986</v>
      </c>
      <c r="P54" s="1">
        <f>(Main_M[[#This Row],[P/B]]-VLOOKUP(Main_M[[#This Row],[Industry]], Mean_PB_M, 2, FALSE))/(VLOOKUP(Main_M[[#This Row],[Industry]], Mean_PB_M, 3, FALSE))</f>
        <v>-1.1102643050293262</v>
      </c>
      <c r="Q54" s="1">
        <f>(Main_M[[#This Row],[ROE]]-VLOOKUP(Main_M[[#This Row],[Industry]], Mean_ROE_M, 2, FALSE))/(VLOOKUP(Main_M[[#This Row],[Industry]], Mean_ROE_M, 3, FALSE))</f>
        <v>0.16504186726376305</v>
      </c>
      <c r="R54" s="1">
        <f>(Main_M[[#This Row],[ROA]]-VLOOKUP(Main_M[[#This Row],[Industry]], Mean_ROA_M, 2, FALSE))/(VLOOKUP(Main_M[[#This Row],[Industry]], Mean_ROA_M, 3, FALSE))</f>
        <v>-0.33571621546906055</v>
      </c>
      <c r="S54" s="1">
        <f>(Main_M[[#This Row],[A/E]]-VLOOKUP(Main_M[[#This Row],[Industry]], Mean_AE_M, 2, FALSE))/(VLOOKUP(Main_M[[#This Row],[Industry]], Mean_AE_M, 3, FALSE))</f>
        <v>-2.2895007786495731</v>
      </c>
      <c r="T54" s="1">
        <f>(Main_M[[#This Row],[P/E]]-VLOOKUP(Main_M[[#This Row],[Industry]], Mean_PE_M, 2, FALSE))/(VLOOKUP(Main_M[[#This Row],[Industry]], Mean_PE_M, 3, FALSE))</f>
        <v>2.1147788482798706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t="s">
        <v>111</v>
      </c>
      <c r="B55" t="s">
        <v>265</v>
      </c>
      <c r="C55" s="2">
        <v>2376</v>
      </c>
      <c r="D55">
        <f>RTD("tos.rtd", , "LAST", Main_M[[#This Row],[Symbol]])</f>
        <v>16.16</v>
      </c>
      <c r="E55">
        <v>-1.19</v>
      </c>
      <c r="F55">
        <v>19.45</v>
      </c>
      <c r="G55">
        <v>-2.0499999999999998</v>
      </c>
      <c r="H55" s="1">
        <f>IF(ISNUMBER(Main_M[[#This Row],[Free CF]]),IF(Main_M[[#This Row],[Free CF]]&lt;&gt;0,Main_M[[#This Row],[Current Price]]/Main_M[[#This Row],[Free CF]],""),"")</f>
        <v>-13.579831932773111</v>
      </c>
      <c r="I55" s="1">
        <f>IF(ISNUMBER(Main_M[[#This Row],[BVPS]]),IF(Main_M[[#This Row],[BVPS]]&lt;&gt;0,Main_M[[#This Row],[Current Price]]/Main_M[[#This Row],[BVPS]],""),"")</f>
        <v>0.8308483290488432</v>
      </c>
      <c r="J55">
        <v>-10.34</v>
      </c>
      <c r="K55">
        <v>0.65</v>
      </c>
      <c r="L55">
        <v>5.33</v>
      </c>
      <c r="M55" s="1">
        <f>IF(ISNUMBER(Main_M[[#This Row],[EPS]]),IF(Main_M[[#This Row],[EPS]]&lt;&gt;0,Main_M[[#This Row],[Current Price]]/Main_M[[#This Row],[EPS]],""),"")</f>
        <v>-7.8829268292682935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-2.0150125834811767</v>
      </c>
      <c r="P55" s="1">
        <f>(Main_M[[#This Row],[P/B]]-VLOOKUP(Main_M[[#This Row],[Industry]], Mean_PB_M, 2, FALSE))/(VLOOKUP(Main_M[[#This Row],[Industry]], Mean_PB_M, 3, FALSE))</f>
        <v>-0.65570457128647297</v>
      </c>
      <c r="Q55" s="1">
        <f>(Main_M[[#This Row],[ROE]]-VLOOKUP(Main_M[[#This Row],[Industry]], Mean_ROE_M, 2, FALSE))/(VLOOKUP(Main_M[[#This Row],[Industry]], Mean_ROE_M, 3, FALSE))</f>
        <v>0.15279631315173633</v>
      </c>
      <c r="R55" s="1">
        <f>(Main_M[[#This Row],[ROA]]-VLOOKUP(Main_M[[#This Row],[Industry]], Mean_ROA_M, 2, FALSE))/(VLOOKUP(Main_M[[#This Row],[Industry]], Mean_ROA_M, 3, FALSE))</f>
        <v>-0.9659489650434212</v>
      </c>
      <c r="S55" s="1">
        <f>(Main_M[[#This Row],[A/E]]-VLOOKUP(Main_M[[#This Row],[Industry]], Mean_AE_M, 2, FALSE))/(VLOOKUP(Main_M[[#This Row],[Industry]], Mean_AE_M, 3, FALSE))</f>
        <v>9.1123249638842219E-2</v>
      </c>
      <c r="T55" s="1">
        <f>(Main_M[[#This Row],[P/E]]-VLOOKUP(Main_M[[#This Row],[Industry]], Mean_PE_M, 2, FALSE))/(VLOOKUP(Main_M[[#This Row],[Industry]], Mean_PE_M, 3, FALSE))</f>
        <v>-1.1942911195556862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t="s">
        <v>111</v>
      </c>
      <c r="B56" t="s">
        <v>266</v>
      </c>
      <c r="C56" s="2">
        <v>2644</v>
      </c>
      <c r="D56">
        <f>RTD("tos.rtd", , "LAST", Main_M[[#This Row],[Symbol]])</f>
        <v>47.99</v>
      </c>
      <c r="E56">
        <v>4.1100000000000003</v>
      </c>
      <c r="F56">
        <v>3.64</v>
      </c>
      <c r="G56">
        <v>2.6</v>
      </c>
      <c r="H56" s="1">
        <f>IF(ISNUMBER(Main_M[[#This Row],[Free CF]]),IF(Main_M[[#This Row],[Free CF]]&lt;&gt;0,Main_M[[#This Row],[Current Price]]/Main_M[[#This Row],[Free CF]],""),"")</f>
        <v>11.67639902676399</v>
      </c>
      <c r="I56" s="1">
        <f>IF(ISNUMBER(Main_M[[#This Row],[BVPS]]),IF(Main_M[[#This Row],[BVPS]]&lt;&gt;0,Main_M[[#This Row],[Current Price]]/Main_M[[#This Row],[BVPS]],""),"")</f>
        <v>13.184065934065934</v>
      </c>
      <c r="J56">
        <v>105.79</v>
      </c>
      <c r="K56">
        <v>8.99</v>
      </c>
      <c r="L56">
        <v>18.809999999999999</v>
      </c>
      <c r="M56" s="1">
        <f>IF(ISNUMBER(Main_M[[#This Row],[EPS]]),IF(Main_M[[#This Row],[EPS]]&lt;&gt;0,Main_M[[#This Row],[Current Price]]/Main_M[[#This Row],[EPS]],""),"")</f>
        <v>18.457692307692309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-0.42756742232516476</v>
      </c>
      <c r="P56" s="1">
        <f>(Main_M[[#This Row],[P/B]]-VLOOKUP(Main_M[[#This Row],[Industry]], Mean_PB_M, 2, FALSE))/(VLOOKUP(Main_M[[#This Row],[Industry]], Mean_PB_M, 3, FALSE))</f>
        <v>1.3368066163057348</v>
      </c>
      <c r="Q56" s="1">
        <f>(Main_M[[#This Row],[ROE]]-VLOOKUP(Main_M[[#This Row],[Industry]], Mean_ROE_M, 2, FALSE))/(VLOOKUP(Main_M[[#This Row],[Industry]], Mean_ROE_M, 3, FALSE))</f>
        <v>0.25829158014206755</v>
      </c>
      <c r="R56" s="1">
        <f>(Main_M[[#This Row],[ROA]]-VLOOKUP(Main_M[[#This Row],[Industry]], Mean_ROA_M, 2, FALSE))/(VLOOKUP(Main_M[[#This Row],[Industry]], Mean_ROA_M, 3, FALSE))</f>
        <v>0.7350675823514552</v>
      </c>
      <c r="S56" s="1">
        <f>(Main_M[[#This Row],[A/E]]-VLOOKUP(Main_M[[#This Row],[Industry]], Mean_AE_M, 2, FALSE))/(VLOOKUP(Main_M[[#This Row],[Industry]], Mean_AE_M, 3, FALSE))</f>
        <v>2.9185075581258766</v>
      </c>
      <c r="T56" s="1">
        <f>(Main_M[[#This Row],[P/E]]-VLOOKUP(Main_M[[#This Row],[Industry]], Mean_PE_M, 2, FALSE))/(VLOOKUP(Main_M[[#This Row],[Industry]], Mean_PE_M, 3, FALSE))</f>
        <v>3.8863131835875558E-2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t="s">
        <v>111</v>
      </c>
      <c r="B57" t="s">
        <v>267</v>
      </c>
      <c r="C57" s="2">
        <v>4586</v>
      </c>
      <c r="D57">
        <f>RTD("tos.rtd", , "LAST", Main_M[[#This Row],[Symbol]])</f>
        <v>8.65</v>
      </c>
      <c r="E57">
        <v>0.4</v>
      </c>
      <c r="F57">
        <v>1.1499999999999999</v>
      </c>
      <c r="G57">
        <v>0.23</v>
      </c>
      <c r="H57" s="1">
        <f>IF(ISNUMBER(Main_M[[#This Row],[Free CF]]),IF(Main_M[[#This Row],[Free CF]]&lt;&gt;0,Main_M[[#This Row],[Current Price]]/Main_M[[#This Row],[Free CF]],""),"")</f>
        <v>21.625</v>
      </c>
      <c r="I57" s="1">
        <f>IF(ISNUMBER(Main_M[[#This Row],[BVPS]]),IF(Main_M[[#This Row],[BVPS]]&lt;&gt;0,Main_M[[#This Row],[Current Price]]/Main_M[[#This Row],[BVPS]],""),"")</f>
        <v>7.5217391304347831</v>
      </c>
      <c r="J57">
        <v>20.75</v>
      </c>
      <c r="K57">
        <v>12.02</v>
      </c>
      <c r="L57">
        <v>1.89</v>
      </c>
      <c r="M57" s="1">
        <f>IF(ISNUMBER(Main_M[[#This Row],[EPS]]),IF(Main_M[[#This Row],[EPS]]&lt;&gt;0,Main_M[[#This Row],[Current Price]]/Main_M[[#This Row],[EPS]],""),"")</f>
        <v>37.608695652173914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0.19773801222431997</v>
      </c>
      <c r="P57" s="1">
        <f>(Main_M[[#This Row],[P/B]]-VLOOKUP(Main_M[[#This Row],[Industry]], Mean_PB_M, 2, FALSE))/(VLOOKUP(Main_M[[#This Row],[Industry]], Mean_PB_M, 3, FALSE))</f>
        <v>0.42350209397171862</v>
      </c>
      <c r="Q57" s="1">
        <f>(Main_M[[#This Row],[ROE]]-VLOOKUP(Main_M[[#This Row],[Industry]], Mean_ROE_M, 2, FALSE))/(VLOOKUP(Main_M[[#This Row],[Industry]], Mean_ROE_M, 3, FALSE))</f>
        <v>0.1810392120644152</v>
      </c>
      <c r="R57" s="1">
        <f>(Main_M[[#This Row],[ROA]]-VLOOKUP(Main_M[[#This Row],[Industry]], Mean_ROA_M, 2, FALSE))/(VLOOKUP(Main_M[[#This Row],[Industry]], Mean_ROA_M, 3, FALSE))</f>
        <v>1.3530628028078671</v>
      </c>
      <c r="S57" s="1">
        <f>(Main_M[[#This Row],[A/E]]-VLOOKUP(Main_M[[#This Row],[Industry]], Mean_AE_M, 2, FALSE))/(VLOOKUP(Main_M[[#This Row],[Industry]], Mean_AE_M, 3, FALSE))</f>
        <v>-0.63040509021244862</v>
      </c>
      <c r="T57" s="1">
        <f>(Main_M[[#This Row],[P/E]]-VLOOKUP(Main_M[[#This Row],[Industry]], Mean_PE_M, 2, FALSE))/(VLOOKUP(Main_M[[#This Row],[Industry]], Mean_PE_M, 3, FALSE))</f>
        <v>0.93543056139655123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t="s">
        <v>111</v>
      </c>
      <c r="B58" t="s">
        <v>268</v>
      </c>
      <c r="C58" s="2">
        <v>6887</v>
      </c>
      <c r="D58">
        <f>RTD("tos.rtd", , "LAST", Main_M[[#This Row],[Symbol]])</f>
        <v>23.33</v>
      </c>
      <c r="E58">
        <v>0.43</v>
      </c>
      <c r="F58">
        <v>3.2</v>
      </c>
      <c r="G58">
        <v>0.11</v>
      </c>
      <c r="H58" s="1">
        <f>IF(ISNUMBER(Main_M[[#This Row],[Free CF]]),IF(Main_M[[#This Row],[Free CF]]&lt;&gt;0,Main_M[[#This Row],[Current Price]]/Main_M[[#This Row],[Free CF]],""),"")</f>
        <v>54.255813953488371</v>
      </c>
      <c r="I58" s="1">
        <f>IF(ISNUMBER(Main_M[[#This Row],[BVPS]]),IF(Main_M[[#This Row],[BVPS]]&lt;&gt;0,Main_M[[#This Row],[Current Price]]/Main_M[[#This Row],[BVPS]],""),"")</f>
        <v>7.2906249999999995</v>
      </c>
      <c r="J58">
        <v>3.73</v>
      </c>
      <c r="K58">
        <v>3.55</v>
      </c>
      <c r="L58">
        <v>2.48</v>
      </c>
      <c r="M58" s="1">
        <f>IF(ISNUMBER(Main_M[[#This Row],[EPS]]),IF(Main_M[[#This Row],[EPS]]&lt;&gt;0,Main_M[[#This Row],[Current Price]]/Main_M[[#This Row],[EPS]],""),"")</f>
        <v>212.09090909090907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2.2487022989397509</v>
      </c>
      <c r="P58" s="1">
        <f>(Main_M[[#This Row],[P/B]]-VLOOKUP(Main_M[[#This Row],[Industry]], Mean_PB_M, 2, FALSE))/(VLOOKUP(Main_M[[#This Row],[Industry]], Mean_PB_M, 3, FALSE))</f>
        <v>0.38622455987283527</v>
      </c>
      <c r="Q58" s="1">
        <f>(Main_M[[#This Row],[ROE]]-VLOOKUP(Main_M[[#This Row],[Industry]], Mean_ROE_M, 2, FALSE))/(VLOOKUP(Main_M[[#This Row],[Industry]], Mean_ROE_M, 3, FALSE))</f>
        <v>0.1655778373621381</v>
      </c>
      <c r="R58" s="1">
        <f>(Main_M[[#This Row],[ROA]]-VLOOKUP(Main_M[[#This Row],[Industry]], Mean_ROA_M, 2, FALSE))/(VLOOKUP(Main_M[[#This Row],[Industry]], Mean_ROA_M, 3, FALSE))</f>
        <v>-0.37446839100923168</v>
      </c>
      <c r="S58" s="1">
        <f>(Main_M[[#This Row],[A/E]]-VLOOKUP(Main_M[[#This Row],[Industry]], Mean_AE_M, 2, FALSE))/(VLOOKUP(Main_M[[#This Row],[Industry]], Mean_AE_M, 3, FALSE))</f>
        <v>-0.5066545900635353</v>
      </c>
      <c r="T58" s="1">
        <f>(Main_M[[#This Row],[P/E]]-VLOOKUP(Main_M[[#This Row],[Industry]], Mean_PE_M, 2, FALSE))/(VLOOKUP(Main_M[[#This Row],[Industry]], Mean_PE_M, 3, FALSE))</f>
        <v>9.1039357197386064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9" spans="1:26" x14ac:dyDescent="0.25">
      <c r="A59" t="s">
        <v>111</v>
      </c>
      <c r="B59" t="s">
        <v>269</v>
      </c>
      <c r="C59" s="2">
        <v>8931</v>
      </c>
      <c r="D59">
        <f>RTD("tos.rtd", , "LAST", Main_M[[#This Row],[Symbol]])</f>
        <v>96.79</v>
      </c>
      <c r="E59">
        <v>9.1300000000000008</v>
      </c>
      <c r="F59">
        <v>-2.1</v>
      </c>
      <c r="G59">
        <v>4.3499999999999996</v>
      </c>
      <c r="H59" s="1">
        <f>IF(ISNUMBER(Main_M[[#This Row],[Free CF]]),IF(Main_M[[#This Row],[Free CF]]&lt;&gt;0,Main_M[[#This Row],[Current Price]]/Main_M[[#This Row],[Free CF]],""),"")</f>
        <v>10.601314348302299</v>
      </c>
      <c r="I59" s="1">
        <f>IF(ISNUMBER(Main_M[[#This Row],[BVPS]]),IF(Main_M[[#This Row],[BVPS]]&lt;&gt;0,Main_M[[#This Row],[Current Price]]/Main_M[[#This Row],[BVPS]],""),"")</f>
        <v>-46.090476190476188</v>
      </c>
      <c r="J59">
        <v>-61.82</v>
      </c>
      <c r="K59">
        <v>5.35</v>
      </c>
      <c r="L59">
        <v>-57.9</v>
      </c>
      <c r="M59" s="1">
        <f>IF(ISNUMBER(Main_M[[#This Row],[EPS]]),IF(Main_M[[#This Row],[EPS]]&lt;&gt;0,Main_M[[#This Row],[Current Price]]/Main_M[[#This Row],[EPS]],""),"")</f>
        <v>22.250574712643683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-0.49514036990357324</v>
      </c>
      <c r="P59" s="1">
        <f>(Main_M[[#This Row],[P/B]]-VLOOKUP(Main_M[[#This Row],[Industry]], Mean_PB_M, 2, FALSE))/(VLOOKUP(Main_M[[#This Row],[Industry]], Mean_PB_M, 3, FALSE))</f>
        <v>-8.2238756365988817</v>
      </c>
      <c r="Q59" s="1">
        <f>(Main_M[[#This Row],[ROE]]-VLOOKUP(Main_M[[#This Row],[Industry]], Mean_ROE_M, 2, FALSE))/(VLOOKUP(Main_M[[#This Row],[Industry]], Mean_ROE_M, 3, FALSE))</f>
        <v>0.10603065100877371</v>
      </c>
      <c r="R59" s="1">
        <f>(Main_M[[#This Row],[ROA]]-VLOOKUP(Main_M[[#This Row],[Industry]], Mean_ROA_M, 2, FALSE))/(VLOOKUP(Main_M[[#This Row],[Industry]], Mean_ROA_M, 3, FALSE))</f>
        <v>-7.3425174707691674E-3</v>
      </c>
      <c r="S59" s="1">
        <f>(Main_M[[#This Row],[A/E]]-VLOOKUP(Main_M[[#This Row],[Industry]], Mean_AE_M, 2, FALSE))/(VLOOKUP(Main_M[[#This Row],[Industry]], Mean_AE_M, 3, FALSE))</f>
        <v>-13.171154927337062</v>
      </c>
      <c r="T59" s="1">
        <f>(Main_M[[#This Row],[P/E]]-VLOOKUP(Main_M[[#This Row],[Industry]], Mean_PE_M, 2, FALSE))/(VLOOKUP(Main_M[[#This Row],[Industry]], Mean_PE_M, 3, FALSE))</f>
        <v>0.2164295374839143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t="s">
        <v>111</v>
      </c>
      <c r="B60" t="s">
        <v>270</v>
      </c>
      <c r="C60" s="2">
        <v>3674</v>
      </c>
      <c r="D60">
        <f>RTD("tos.rtd", , "LAST", Main_M[[#This Row],[Symbol]])</f>
        <v>29.62</v>
      </c>
      <c r="E60">
        <v>1.66</v>
      </c>
      <c r="F60">
        <v>2.94</v>
      </c>
      <c r="G60">
        <v>1.26</v>
      </c>
      <c r="H60" s="1">
        <f>IF(ISNUMBER(Main_M[[#This Row],[Free CF]]),IF(Main_M[[#This Row],[Free CF]]&lt;&gt;0,Main_M[[#This Row],[Current Price]]/Main_M[[#This Row],[Free CF]],""),"")</f>
        <v>17.843373493975903</v>
      </c>
      <c r="I60" s="1">
        <f>IF(ISNUMBER(Main_M[[#This Row],[BVPS]]),IF(Main_M[[#This Row],[BVPS]]&lt;&gt;0,Main_M[[#This Row],[Current Price]]/Main_M[[#This Row],[BVPS]],""),"")</f>
        <v>10.07482993197279</v>
      </c>
      <c r="J60">
        <v>50.86</v>
      </c>
      <c r="K60">
        <v>14.02</v>
      </c>
      <c r="L60">
        <v>2.67</v>
      </c>
      <c r="M60" s="1">
        <f>IF(ISNUMBER(Main_M[[#This Row],[EPS]]),IF(Main_M[[#This Row],[EPS]]&lt;&gt;0,Main_M[[#This Row],[Current Price]]/Main_M[[#This Row],[EPS]],""),"")</f>
        <v>23.50793650793651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-3.9950845939229818E-2</v>
      </c>
      <c r="P60" s="1">
        <f>(Main_M[[#This Row],[P/B]]-VLOOKUP(Main_M[[#This Row],[Industry]], Mean_PB_M, 2, FALSE))/(VLOOKUP(Main_M[[#This Row],[Industry]], Mean_PB_M, 3, FALSE))</f>
        <v>0.83530265862276099</v>
      </c>
      <c r="Q60" s="1">
        <f>(Main_M[[#This Row],[ROE]]-VLOOKUP(Main_M[[#This Row],[Industry]], Mean_ROE_M, 2, FALSE))/(VLOOKUP(Main_M[[#This Row],[Industry]], Mean_ROE_M, 3, FALSE))</f>
        <v>0.20839185555945414</v>
      </c>
      <c r="R60" s="1">
        <f>(Main_M[[#This Row],[ROA]]-VLOOKUP(Main_M[[#This Row],[Industry]], Mean_ROA_M, 2, FALSE))/(VLOOKUP(Main_M[[#This Row],[Industry]], Mean_ROA_M, 3, FALSE))</f>
        <v>1.7609804400728255</v>
      </c>
      <c r="S60" s="1">
        <f>(Main_M[[#This Row],[A/E]]-VLOOKUP(Main_M[[#This Row],[Industry]], Mean_AE_M, 2, FALSE))/(VLOOKUP(Main_M[[#This Row],[Industry]], Mean_AE_M, 3, FALSE))</f>
        <v>-0.4668027340833768</v>
      </c>
      <c r="T60" s="1">
        <f>(Main_M[[#This Row],[P/E]]-VLOOKUP(Main_M[[#This Row],[Industry]], Mean_PE_M, 2, FALSE))/(VLOOKUP(Main_M[[#This Row],[Industry]], Mean_PE_M, 3, FALSE))</f>
        <v>0.27529379710289253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t="s">
        <v>111</v>
      </c>
      <c r="B61" t="s">
        <v>271</v>
      </c>
      <c r="C61" s="2">
        <v>5870</v>
      </c>
      <c r="D61">
        <f>RTD("tos.rtd", , "LAST", Main_M[[#This Row],[Symbol]])</f>
        <v>126.23</v>
      </c>
      <c r="E61">
        <v>3.64</v>
      </c>
      <c r="F61">
        <v>-0.97</v>
      </c>
      <c r="G61">
        <v>6.2</v>
      </c>
      <c r="H61" s="1">
        <f>IF(ISNUMBER(Main_M[[#This Row],[Free CF]]),IF(Main_M[[#This Row],[Free CF]]&lt;&gt;0,Main_M[[#This Row],[Current Price]]/Main_M[[#This Row],[Free CF]],""),"")</f>
        <v>34.678571428571431</v>
      </c>
      <c r="I61" s="1">
        <f>IF(ISNUMBER(Main_M[[#This Row],[BVPS]]),IF(Main_M[[#This Row],[BVPS]]&lt;&gt;0,Main_M[[#This Row],[Current Price]]/Main_M[[#This Row],[BVPS]],""),"")</f>
        <v>-130.13402061855672</v>
      </c>
      <c r="J61">
        <v>-6195.9</v>
      </c>
      <c r="K61">
        <v>12.19</v>
      </c>
      <c r="L61">
        <v>-55.9</v>
      </c>
      <c r="M61" s="1">
        <f>IF(ISNUMBER(Main_M[[#This Row],[EPS]]),IF(Main_M[[#This Row],[EPS]]&lt;&gt;0,Main_M[[#This Row],[Current Price]]/Main_M[[#This Row],[EPS]],""),"")</f>
        <v>20.359677419354838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1.0182020328966224</v>
      </c>
      <c r="P61" s="1">
        <f>(Main_M[[#This Row],[P/B]]-VLOOKUP(Main_M[[#This Row],[Industry]], Mean_PB_M, 2, FALSE))/(VLOOKUP(Main_M[[#This Row],[Industry]], Mean_PB_M, 3, FALSE))</f>
        <v>-21.779672018736811</v>
      </c>
      <c r="Q61" s="1">
        <f>(Main_M[[#This Row],[ROE]]-VLOOKUP(Main_M[[#This Row],[Industry]], Mean_ROE_M, 2, FALSE))/(VLOOKUP(Main_M[[#This Row],[Industry]], Mean_ROE_M, 3, FALSE))</f>
        <v>-5.4663141982123644</v>
      </c>
      <c r="R61" s="1">
        <f>(Main_M[[#This Row],[ROA]]-VLOOKUP(Main_M[[#This Row],[Industry]], Mean_ROA_M, 2, FALSE))/(VLOOKUP(Main_M[[#This Row],[Industry]], Mean_ROA_M, 3, FALSE))</f>
        <v>1.3877358019753885</v>
      </c>
      <c r="S61" s="1">
        <f>(Main_M[[#This Row],[A/E]]-VLOOKUP(Main_M[[#This Row],[Industry]], Mean_AE_M, 2, FALSE))/(VLOOKUP(Main_M[[#This Row],[Industry]], Mean_AE_M, 3, FALSE))</f>
        <v>-12.751661706493289</v>
      </c>
      <c r="T61" s="1">
        <f>(Main_M[[#This Row],[P/E]]-VLOOKUP(Main_M[[#This Row],[Industry]], Mean_PE_M, 2, FALSE))/(VLOOKUP(Main_M[[#This Row],[Industry]], Mean_PE_M, 3, FALSE))</f>
        <v>0.12790587659197847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t="s">
        <v>111</v>
      </c>
      <c r="B62" t="s">
        <v>272</v>
      </c>
      <c r="C62" s="2">
        <v>2853</v>
      </c>
      <c r="D62">
        <f>RTD("tos.rtd", , "LAST", Main_M[[#This Row],[Symbol]])</f>
        <v>6.24</v>
      </c>
      <c r="E62">
        <v>0.36</v>
      </c>
      <c r="F62">
        <v>2.23</v>
      </c>
      <c r="G62">
        <v>-0.3</v>
      </c>
      <c r="H62" s="1">
        <f>IF(ISNUMBER(Main_M[[#This Row],[Free CF]]),IF(Main_M[[#This Row],[Free CF]]&lt;&gt;0,Main_M[[#This Row],[Current Price]]/Main_M[[#This Row],[Free CF]],""),"")</f>
        <v>17.333333333333336</v>
      </c>
      <c r="I62" s="1">
        <f>IF(ISNUMBER(Main_M[[#This Row],[BVPS]]),IF(Main_M[[#This Row],[BVPS]]&lt;&gt;0,Main_M[[#This Row],[Current Price]]/Main_M[[#This Row],[BVPS]],""),"")</f>
        <v>2.7982062780269059</v>
      </c>
      <c r="J62">
        <v>-11.81</v>
      </c>
      <c r="K62">
        <v>3.34</v>
      </c>
      <c r="L62">
        <v>3.45</v>
      </c>
      <c r="M62" s="1">
        <f>IF(ISNUMBER(Main_M[[#This Row],[EPS]]),IF(Main_M[[#This Row],[EPS]]&lt;&gt;0,Main_M[[#This Row],[Current Price]]/Main_M[[#This Row],[EPS]],""),"")</f>
        <v>-20.8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-7.2008708662469612E-2</v>
      </c>
      <c r="P62" s="1">
        <f>(Main_M[[#This Row],[P/B]]-VLOOKUP(Main_M[[#This Row],[Industry]], Mean_PB_M, 2, FALSE))/(VLOOKUP(Main_M[[#This Row],[Industry]], Mean_PB_M, 3, FALSE))</f>
        <v>-0.33837973749214212</v>
      </c>
      <c r="Q62" s="1">
        <f>(Main_M[[#This Row],[ROE]]-VLOOKUP(Main_M[[#This Row],[Industry]], Mean_ROE_M, 2, FALSE))/(VLOOKUP(Main_M[[#This Row],[Industry]], Mean_ROE_M, 3, FALSE))</f>
        <v>0.15146093002527644</v>
      </c>
      <c r="R62" s="1">
        <f>(Main_M[[#This Row],[ROA]]-VLOOKUP(Main_M[[#This Row],[Industry]], Mean_ROA_M, 2, FALSE))/(VLOOKUP(Main_M[[#This Row],[Industry]], Mean_ROA_M, 3, FALSE))</f>
        <v>-0.4172997429220523</v>
      </c>
      <c r="S62" s="1">
        <f>(Main_M[[#This Row],[A/E]]-VLOOKUP(Main_M[[#This Row],[Industry]], Mean_AE_M, 2, FALSE))/(VLOOKUP(Main_M[[#This Row],[Industry]], Mean_AE_M, 3, FALSE))</f>
        <v>-0.30320037795430499</v>
      </c>
      <c r="T62" s="1">
        <f>(Main_M[[#This Row],[P/E]]-VLOOKUP(Main_M[[#This Row],[Industry]], Mean_PE_M, 2, FALSE))/(VLOOKUP(Main_M[[#This Row],[Industry]], Mean_PE_M, 3, FALSE))</f>
        <v>-1.7990128086397823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t="s">
        <v>111</v>
      </c>
      <c r="B63" t="s">
        <v>273</v>
      </c>
      <c r="C63" s="2">
        <v>3488</v>
      </c>
      <c r="D63">
        <f>RTD("tos.rtd", , "LAST", Main_M[[#This Row],[Symbol]])</f>
        <v>42.16</v>
      </c>
      <c r="E63">
        <v>2.09</v>
      </c>
      <c r="F63">
        <v>16.940000000000001</v>
      </c>
      <c r="G63">
        <v>0.34</v>
      </c>
      <c r="H63" s="1">
        <f>IF(ISNUMBER(Main_M[[#This Row],[Free CF]]),IF(Main_M[[#This Row],[Free CF]]&lt;&gt;0,Main_M[[#This Row],[Current Price]]/Main_M[[#This Row],[Free CF]],""),"")</f>
        <v>20.172248803827753</v>
      </c>
      <c r="I63" s="1">
        <f>IF(ISNUMBER(Main_M[[#This Row],[BVPS]]),IF(Main_M[[#This Row],[BVPS]]&lt;&gt;0,Main_M[[#This Row],[Current Price]]/Main_M[[#This Row],[BVPS]],""),"")</f>
        <v>2.4887839433293975</v>
      </c>
      <c r="J63">
        <v>2.57</v>
      </c>
      <c r="K63">
        <v>3.25</v>
      </c>
      <c r="L63">
        <v>7.45</v>
      </c>
      <c r="M63" s="1">
        <f>IF(ISNUMBER(Main_M[[#This Row],[EPS]]),IF(Main_M[[#This Row],[EPS]]&lt;&gt;0,Main_M[[#This Row],[Current Price]]/Main_M[[#This Row],[EPS]],""),"")</f>
        <v>123.99999999999999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0.10642736257030246</v>
      </c>
      <c r="P63" s="1">
        <f>(Main_M[[#This Row],[P/B]]-VLOOKUP(Main_M[[#This Row],[Industry]], Mean_PB_M, 2, FALSE))/(VLOOKUP(Main_M[[#This Row],[Industry]], Mean_PB_M, 3, FALSE))</f>
        <v>-0.38828798676683246</v>
      </c>
      <c r="Q63" s="1">
        <f>(Main_M[[#This Row],[ROE]]-VLOOKUP(Main_M[[#This Row],[Industry]], Mean_ROE_M, 2, FALSE))/(VLOOKUP(Main_M[[#This Row],[Industry]], Mean_ROE_M, 3, FALSE))</f>
        <v>0.16452406564329902</v>
      </c>
      <c r="R63" s="1">
        <f>(Main_M[[#This Row],[ROA]]-VLOOKUP(Main_M[[#This Row],[Industry]], Mean_ROA_M, 2, FALSE))/(VLOOKUP(Main_M[[#This Row],[Industry]], Mean_ROA_M, 3, FALSE))</f>
        <v>-0.43565603659897539</v>
      </c>
      <c r="S63" s="1">
        <f>(Main_M[[#This Row],[A/E]]-VLOOKUP(Main_M[[#This Row],[Industry]], Mean_AE_M, 2, FALSE))/(VLOOKUP(Main_M[[#This Row],[Industry]], Mean_AE_M, 3, FALSE))</f>
        <v>0.53578606373324233</v>
      </c>
      <c r="T63" s="1">
        <f>(Main_M[[#This Row],[P/E]]-VLOOKUP(Main_M[[#This Row],[Industry]], Mean_PE_M, 2, FALSE))/(VLOOKUP(Main_M[[#This Row],[Industry]], Mean_PE_M, 3, FALSE))</f>
        <v>4.9798990564555012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4" spans="1:26" x14ac:dyDescent="0.25">
      <c r="A64" t="s">
        <v>111</v>
      </c>
      <c r="B64" t="s">
        <v>274</v>
      </c>
      <c r="C64" s="2">
        <v>7734</v>
      </c>
      <c r="D64">
        <f>RTD("tos.rtd", , "LAST", Main_M[[#This Row],[Symbol]])</f>
        <v>19.34</v>
      </c>
      <c r="E64">
        <v>-1.27</v>
      </c>
      <c r="F64">
        <v>3.19</v>
      </c>
      <c r="G64">
        <v>1.77</v>
      </c>
      <c r="H64" s="1">
        <f>IF(ISNUMBER(Main_M[[#This Row],[Free CF]]),IF(Main_M[[#This Row],[Free CF]]&lt;&gt;0,Main_M[[#This Row],[Current Price]]/Main_M[[#This Row],[Free CF]],""),"")</f>
        <v>-15.228346456692913</v>
      </c>
      <c r="I64" s="1">
        <f>IF(ISNUMBER(Main_M[[#This Row],[BVPS]]),IF(Main_M[[#This Row],[BVPS]]&lt;&gt;0,Main_M[[#This Row],[Current Price]]/Main_M[[#This Row],[BVPS]],""),"")</f>
        <v>6.0626959247648902</v>
      </c>
      <c r="J64">
        <v>95.87</v>
      </c>
      <c r="K64">
        <v>4.4000000000000004</v>
      </c>
      <c r="L64">
        <v>15.08</v>
      </c>
      <c r="M64" s="1">
        <f>IF(ISNUMBER(Main_M[[#This Row],[EPS]]),IF(Main_M[[#This Row],[EPS]]&lt;&gt;0,Main_M[[#This Row],[Current Price]]/Main_M[[#This Row],[EPS]],""),"")</f>
        <v>10.926553672316384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-2.1186276639848538</v>
      </c>
      <c r="P64" s="1">
        <f>(Main_M[[#This Row],[P/B]]-VLOOKUP(Main_M[[#This Row],[Industry]], Mean_PB_M, 2, FALSE))/(VLOOKUP(Main_M[[#This Row],[Industry]], Mean_PB_M, 3, FALSE))</f>
        <v>0.18816584365771485</v>
      </c>
      <c r="Q64" s="1">
        <f>(Main_M[[#This Row],[ROE]]-VLOOKUP(Main_M[[#This Row],[Industry]], Mean_ROE_M, 2, FALSE))/(VLOOKUP(Main_M[[#This Row],[Industry]], Mean_ROE_M, 3, FALSE))</f>
        <v>0.24928001509820219</v>
      </c>
      <c r="R64" s="1">
        <f>(Main_M[[#This Row],[ROA]]-VLOOKUP(Main_M[[#This Row],[Industry]], Mean_ROA_M, 2, FALSE))/(VLOOKUP(Main_M[[#This Row],[Industry]], Mean_ROA_M, 3, FALSE))</f>
        <v>-0.20110339517162426</v>
      </c>
      <c r="S64" s="1">
        <f>(Main_M[[#This Row],[A/E]]-VLOOKUP(Main_M[[#This Row],[Industry]], Mean_AE_M, 2, FALSE))/(VLOOKUP(Main_M[[#This Row],[Industry]], Mean_AE_M, 3, FALSE))</f>
        <v>2.1361527012522386</v>
      </c>
      <c r="T64" s="1">
        <f>(Main_M[[#This Row],[P/E]]-VLOOKUP(Main_M[[#This Row],[Industry]], Mean_PE_M, 2, FALSE))/(VLOOKUP(Main_M[[#This Row],[Industry]], Mean_PE_M, 3, FALSE))</f>
        <v>-0.31371231742536315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t="s">
        <v>111</v>
      </c>
      <c r="B65" t="s">
        <v>275</v>
      </c>
      <c r="C65" s="2">
        <v>3110</v>
      </c>
      <c r="D65">
        <f>RTD("tos.rtd", , "LAST", Main_M[[#This Row],[Symbol]])</f>
        <v>51.04</v>
      </c>
      <c r="E65">
        <v>6.57</v>
      </c>
      <c r="F65">
        <v>-13.6</v>
      </c>
      <c r="G65">
        <v>5.52</v>
      </c>
      <c r="H65" s="1">
        <f>IF(ISNUMBER(Main_M[[#This Row],[Free CF]]),IF(Main_M[[#This Row],[Free CF]]&lt;&gt;0,Main_M[[#This Row],[Current Price]]/Main_M[[#This Row],[Free CF]],""),"")</f>
        <v>7.7686453576864531</v>
      </c>
      <c r="I65" s="1">
        <f>IF(ISNUMBER(Main_M[[#This Row],[BVPS]]),IF(Main_M[[#This Row],[BVPS]]&lt;&gt;0,Main_M[[#This Row],[Current Price]]/Main_M[[#This Row],[BVPS]],""),"")</f>
        <v>-3.7529411764705882</v>
      </c>
      <c r="J65">
        <v>-42.12</v>
      </c>
      <c r="K65">
        <v>6.87</v>
      </c>
      <c r="L65">
        <v>-7.49</v>
      </c>
      <c r="M65" s="1">
        <f>IF(ISNUMBER(Main_M[[#This Row],[EPS]]),IF(Main_M[[#This Row],[EPS]]&lt;&gt;0,Main_M[[#This Row],[Current Price]]/Main_M[[#This Row],[EPS]],""),"")</f>
        <v>9.2463768115942031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-0.67318382735824911</v>
      </c>
      <c r="P65" s="1">
        <f>(Main_M[[#This Row],[P/B]]-VLOOKUP(Main_M[[#This Row],[Industry]], Mean_PB_M, 2, FALSE))/(VLOOKUP(Main_M[[#This Row],[Industry]], Mean_PB_M, 3, FALSE))</f>
        <v>-1.3950465114467334</v>
      </c>
      <c r="Q65" s="1">
        <f>(Main_M[[#This Row],[ROE]]-VLOOKUP(Main_M[[#This Row],[Industry]], Mean_ROE_M, 2, FALSE))/(VLOOKUP(Main_M[[#This Row],[Industry]], Mean_ROE_M, 3, FALSE))</f>
        <v>0.12392660175112731</v>
      </c>
      <c r="R65" s="1">
        <f>(Main_M[[#This Row],[ROA]]-VLOOKUP(Main_M[[#This Row],[Industry]], Mean_ROA_M, 2, FALSE))/(VLOOKUP(Main_M[[#This Row],[Industry]], Mean_ROA_M, 3, FALSE))</f>
        <v>0.30267488685059929</v>
      </c>
      <c r="S65" s="1">
        <f>(Main_M[[#This Row],[A/E]]-VLOOKUP(Main_M[[#This Row],[Industry]], Mean_AE_M, 2, FALSE))/(VLOOKUP(Main_M[[#This Row],[Industry]], Mean_AE_M, 3, FALSE))</f>
        <v>-2.5978282959697472</v>
      </c>
      <c r="T65" s="1">
        <f>(Main_M[[#This Row],[P/E]]-VLOOKUP(Main_M[[#This Row],[Industry]], Mean_PE_M, 2, FALSE))/(VLOOKUP(Main_M[[#This Row],[Industry]], Mean_PE_M, 3, FALSE))</f>
        <v>-0.39237095593785032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t="s">
        <v>111</v>
      </c>
      <c r="B66" t="s">
        <v>276</v>
      </c>
      <c r="C66" s="2">
        <v>2012</v>
      </c>
      <c r="D66">
        <f>RTD("tos.rtd", , "LAST", Main_M[[#This Row],[Symbol]])</f>
        <v>72.319999999999993</v>
      </c>
      <c r="E66">
        <v>2.77</v>
      </c>
      <c r="F66">
        <v>70.02</v>
      </c>
      <c r="G66">
        <v>5.63</v>
      </c>
      <c r="H66" s="1">
        <f>IF(ISNUMBER(Main_M[[#This Row],[Free CF]]),IF(Main_M[[#This Row],[Free CF]]&lt;&gt;0,Main_M[[#This Row],[Current Price]]/Main_M[[#This Row],[Free CF]],""),"")</f>
        <v>26.108303249097471</v>
      </c>
      <c r="I66" s="1">
        <f>IF(ISNUMBER(Main_M[[#This Row],[BVPS]]),IF(Main_M[[#This Row],[BVPS]]&lt;&gt;0,Main_M[[#This Row],[Current Price]]/Main_M[[#This Row],[BVPS]],""),"")</f>
        <v>1.0328477577834905</v>
      </c>
      <c r="J66">
        <v>9</v>
      </c>
      <c r="K66">
        <v>3.33</v>
      </c>
      <c r="L66">
        <v>4.0199999999999996</v>
      </c>
      <c r="M66" s="1">
        <f>IF(ISNUMBER(Main_M[[#This Row],[EPS]]),IF(Main_M[[#This Row],[EPS]]&lt;&gt;0,Main_M[[#This Row],[Current Price]]/Main_M[[#This Row],[EPS]],""),"")</f>
        <v>12.845470692717583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0.47952978314124417</v>
      </c>
      <c r="P66" s="1">
        <f>(Main_M[[#This Row],[P/B]]-VLOOKUP(Main_M[[#This Row],[Industry]], Mean_PB_M, 2, FALSE))/(VLOOKUP(Main_M[[#This Row],[Industry]], Mean_PB_M, 3, FALSE))</f>
        <v>-0.62312309053302495</v>
      </c>
      <c r="Q66" s="1">
        <f>(Main_M[[#This Row],[ROE]]-VLOOKUP(Main_M[[#This Row],[Industry]], Mean_ROE_M, 2, FALSE))/(VLOOKUP(Main_M[[#This Row],[Industry]], Mean_ROE_M, 3, FALSE))</f>
        <v>0.17036523129169159</v>
      </c>
      <c r="R66" s="1">
        <f>(Main_M[[#This Row],[ROA]]-VLOOKUP(Main_M[[#This Row],[Industry]], Mean_ROA_M, 2, FALSE))/(VLOOKUP(Main_M[[#This Row],[Industry]], Mean_ROA_M, 3, FALSE))</f>
        <v>-0.41933933110837707</v>
      </c>
      <c r="S66" s="1">
        <f>(Main_M[[#This Row],[A/E]]-VLOOKUP(Main_M[[#This Row],[Industry]], Mean_AE_M, 2, FALSE))/(VLOOKUP(Main_M[[#This Row],[Industry]], Mean_AE_M, 3, FALSE))</f>
        <v>-0.18364481001382965</v>
      </c>
      <c r="T66" s="1">
        <f>(Main_M[[#This Row],[P/E]]-VLOOKUP(Main_M[[#This Row],[Industry]], Mean_PE_M, 2, FALSE))/(VLOOKUP(Main_M[[#This Row],[Industry]], Mean_PE_M, 3, FALSE))</f>
        <v>-0.22387689368412711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t="s">
        <v>111</v>
      </c>
      <c r="B67" t="s">
        <v>277</v>
      </c>
      <c r="C67" s="2">
        <v>6413</v>
      </c>
      <c r="D67">
        <f>RTD("tos.rtd", , "LAST", Main_M[[#This Row],[Symbol]])</f>
        <v>87.79</v>
      </c>
      <c r="E67">
        <v>2.87</v>
      </c>
      <c r="F67">
        <v>7.42</v>
      </c>
      <c r="G67">
        <v>4.22</v>
      </c>
      <c r="H67" s="1">
        <f>IF(ISNUMBER(Main_M[[#This Row],[Free CF]]),IF(Main_M[[#This Row],[Free CF]]&lt;&gt;0,Main_M[[#This Row],[Current Price]]/Main_M[[#This Row],[Free CF]],""),"")</f>
        <v>30.588850174216027</v>
      </c>
      <c r="I67" s="1">
        <f>IF(ISNUMBER(Main_M[[#This Row],[BVPS]]),IF(Main_M[[#This Row],[BVPS]]&lt;&gt;0,Main_M[[#This Row],[Current Price]]/Main_M[[#This Row],[BVPS]],""),"")</f>
        <v>11.831536388140163</v>
      </c>
      <c r="J67">
        <v>53.31</v>
      </c>
      <c r="K67">
        <v>8.51</v>
      </c>
      <c r="L67">
        <v>7.34</v>
      </c>
      <c r="M67" s="1">
        <f>IF(ISNUMBER(Main_M[[#This Row],[EPS]]),IF(Main_M[[#This Row],[EPS]]&lt;&gt;0,Main_M[[#This Row],[Current Price]]/Main_M[[#This Row],[EPS]],""),"")</f>
        <v>20.803317535545027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0.76114830915991272</v>
      </c>
      <c r="P67" s="1">
        <f>(Main_M[[#This Row],[P/B]]-VLOOKUP(Main_M[[#This Row],[Industry]], Mean_PB_M, 2, FALSE))/(VLOOKUP(Main_M[[#This Row],[Industry]], Mean_PB_M, 3, FALSE))</f>
        <v>1.1186504777211124</v>
      </c>
      <c r="Q67" s="1">
        <f>(Main_M[[#This Row],[ROE]]-VLOOKUP(Main_M[[#This Row],[Industry]], Mean_ROE_M, 2, FALSE))/(VLOOKUP(Main_M[[#This Row],[Industry]], Mean_ROE_M, 3, FALSE))</f>
        <v>0.21061749410355396</v>
      </c>
      <c r="R67" s="1">
        <f>(Main_M[[#This Row],[ROA]]-VLOOKUP(Main_M[[#This Row],[Industry]], Mean_ROA_M, 2, FALSE))/(VLOOKUP(Main_M[[#This Row],[Industry]], Mean_ROA_M, 3, FALSE))</f>
        <v>0.63716734940786512</v>
      </c>
      <c r="S67" s="1">
        <f>(Main_M[[#This Row],[A/E]]-VLOOKUP(Main_M[[#This Row],[Industry]], Mean_AE_M, 2, FALSE))/(VLOOKUP(Main_M[[#This Row],[Industry]], Mean_AE_M, 3, FALSE))</f>
        <v>0.51271393658683473</v>
      </c>
      <c r="T67" s="1">
        <f>(Main_M[[#This Row],[P/E]]-VLOOKUP(Main_M[[#This Row],[Industry]], Mean_PE_M, 2, FALSE))/(VLOOKUP(Main_M[[#This Row],[Industry]], Mean_PE_M, 3, FALSE))</f>
        <v>0.14867519459939504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t="s">
        <v>111</v>
      </c>
      <c r="B68" t="s">
        <v>278</v>
      </c>
      <c r="C68" s="2">
        <v>3651</v>
      </c>
      <c r="D68">
        <f>RTD("tos.rtd", , "LAST", Main_M[[#This Row],[Symbol]])</f>
        <v>37.159999999999997</v>
      </c>
      <c r="E68">
        <v>0.7</v>
      </c>
      <c r="F68">
        <v>20.350000000000001</v>
      </c>
      <c r="G68">
        <v>-3.22</v>
      </c>
      <c r="H68" s="1">
        <f>IF(ISNUMBER(Main_M[[#This Row],[Free CF]]),IF(Main_M[[#This Row],[Free CF]]&lt;&gt;0,Main_M[[#This Row],[Current Price]]/Main_M[[#This Row],[Free CF]],""),"")</f>
        <v>53.085714285714282</v>
      </c>
      <c r="I68" s="1">
        <f>IF(ISNUMBER(Main_M[[#This Row],[BVPS]]),IF(Main_M[[#This Row],[BVPS]]&lt;&gt;0,Main_M[[#This Row],[Current Price]]/Main_M[[#This Row],[BVPS]],""),"")</f>
        <v>1.8260442260442258</v>
      </c>
      <c r="J68">
        <v>-24.3</v>
      </c>
      <c r="K68">
        <v>5.38</v>
      </c>
      <c r="L68">
        <v>4.47</v>
      </c>
      <c r="M68" s="1">
        <f>IF(ISNUMBER(Main_M[[#This Row],[EPS]]),IF(Main_M[[#This Row],[EPS]]&lt;&gt;0,Main_M[[#This Row],[Current Price]]/Main_M[[#This Row],[EPS]],""),"")</f>
        <v>-11.540372670807452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2.1751573167666756</v>
      </c>
      <c r="P68" s="1">
        <f>(Main_M[[#This Row],[P/B]]-VLOOKUP(Main_M[[#This Row],[Industry]], Mean_PB_M, 2, FALSE))/(VLOOKUP(Main_M[[#This Row],[Industry]], Mean_PB_M, 3, FALSE))</f>
        <v>-0.49518453334884133</v>
      </c>
      <c r="Q68" s="1">
        <f>(Main_M[[#This Row],[ROE]]-VLOOKUP(Main_M[[#This Row],[Industry]], Mean_ROE_M, 2, FALSE))/(VLOOKUP(Main_M[[#This Row],[Industry]], Mean_ROE_M, 3, FALSE))</f>
        <v>0.14011471556984514</v>
      </c>
      <c r="R68" s="1">
        <f>(Main_M[[#This Row],[ROA]]-VLOOKUP(Main_M[[#This Row],[Industry]], Mean_ROA_M, 2, FALSE))/(VLOOKUP(Main_M[[#This Row],[Industry]], Mean_ROA_M, 3, FALSE))</f>
        <v>-1.2237529117947404E-3</v>
      </c>
      <c r="S68" s="1">
        <f>(Main_M[[#This Row],[A/E]]-VLOOKUP(Main_M[[#This Row],[Industry]], Mean_AE_M, 2, FALSE))/(VLOOKUP(Main_M[[#This Row],[Industry]], Mean_AE_M, 3, FALSE))</f>
        <v>-8.9258835323980532E-2</v>
      </c>
      <c r="T68" s="1">
        <f>(Main_M[[#This Row],[P/E]]-VLOOKUP(Main_M[[#This Row],[Industry]], Mean_PE_M, 2, FALSE))/(VLOOKUP(Main_M[[#This Row],[Industry]], Mean_PE_M, 3, FALSE))</f>
        <v>-1.3655169690802249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t="s">
        <v>111</v>
      </c>
      <c r="B69" t="s">
        <v>279</v>
      </c>
      <c r="C69" s="2">
        <v>7178</v>
      </c>
      <c r="D69">
        <f>RTD("tos.rtd", , "LAST", Main_M[[#This Row],[Symbol]])</f>
        <v>29.87</v>
      </c>
      <c r="E69">
        <v>0.25</v>
      </c>
      <c r="F69">
        <v>12.58</v>
      </c>
      <c r="G69">
        <v>0.74</v>
      </c>
      <c r="H69" s="1">
        <f>IF(ISNUMBER(Main_M[[#This Row],[Free CF]]),IF(Main_M[[#This Row],[Free CF]]&lt;&gt;0,Main_M[[#This Row],[Current Price]]/Main_M[[#This Row],[Free CF]],""),"")</f>
        <v>119.48</v>
      </c>
      <c r="I69" s="1">
        <f>IF(ISNUMBER(Main_M[[#This Row],[BVPS]]),IF(Main_M[[#This Row],[BVPS]]&lt;&gt;0,Main_M[[#This Row],[Current Price]]/Main_M[[#This Row],[BVPS]],""),"")</f>
        <v>2.374403815580286</v>
      </c>
      <c r="J69">
        <v>6.42</v>
      </c>
      <c r="K69">
        <v>3.18</v>
      </c>
      <c r="L69">
        <v>2.74</v>
      </c>
      <c r="M69" s="1">
        <f>IF(ISNUMBER(Main_M[[#This Row],[EPS]]),IF(Main_M[[#This Row],[EPS]]&lt;&gt;0,Main_M[[#This Row],[Current Price]]/Main_M[[#This Row],[EPS]],""),"")</f>
        <v>40.36486486486487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6.3482775164674603</v>
      </c>
      <c r="P69" s="1">
        <f>(Main_M[[#This Row],[P/B]]-VLOOKUP(Main_M[[#This Row],[Industry]], Mean_PB_M, 2, FALSE))/(VLOOKUP(Main_M[[#This Row],[Industry]], Mean_PB_M, 3, FALSE))</f>
        <v>-0.40673691978698506</v>
      </c>
      <c r="Q69" s="1">
        <f>(Main_M[[#This Row],[ROE]]-VLOOKUP(Main_M[[#This Row],[Industry]], Mean_ROE_M, 2, FALSE))/(VLOOKUP(Main_M[[#This Row],[Industry]], Mean_ROE_M, 3, FALSE))</f>
        <v>0.16802149764117016</v>
      </c>
      <c r="R69" s="1">
        <f>(Main_M[[#This Row],[ROA]]-VLOOKUP(Main_M[[#This Row],[Industry]], Mean_ROA_M, 2, FALSE))/(VLOOKUP(Main_M[[#This Row],[Industry]], Mean_ROA_M, 3, FALSE))</f>
        <v>-0.44993315390324889</v>
      </c>
      <c r="S69" s="1">
        <f>(Main_M[[#This Row],[A/E]]-VLOOKUP(Main_M[[#This Row],[Industry]], Mean_AE_M, 2, FALSE))/(VLOOKUP(Main_M[[#This Row],[Industry]], Mean_AE_M, 3, FALSE))</f>
        <v>-0.45212047135384464</v>
      </c>
      <c r="T69" s="1">
        <f>(Main_M[[#This Row],[P/E]]-VLOOKUP(Main_M[[#This Row],[Industry]], Mean_PE_M, 2, FALSE))/(VLOOKUP(Main_M[[#This Row],[Industry]], Mean_PE_M, 3, FALSE))</f>
        <v>1.0644625239526357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t="s">
        <v>111</v>
      </c>
      <c r="B70" t="s">
        <v>280</v>
      </c>
      <c r="C70" s="2">
        <v>5206</v>
      </c>
      <c r="D70">
        <f>RTD("tos.rtd", , "LAST", Main_M[[#This Row],[Symbol]])</f>
        <v>149.34</v>
      </c>
      <c r="E70">
        <v>10.58</v>
      </c>
      <c r="F70">
        <v>14.21</v>
      </c>
      <c r="G70">
        <v>6.89</v>
      </c>
      <c r="H70" s="1">
        <f>IF(ISNUMBER(Main_M[[#This Row],[Free CF]]),IF(Main_M[[#This Row],[Free CF]]&lt;&gt;0,Main_M[[#This Row],[Current Price]]/Main_M[[#This Row],[Free CF]],""),"")</f>
        <v>14.115311909262759</v>
      </c>
      <c r="I70" s="1">
        <f>IF(ISNUMBER(Main_M[[#This Row],[BVPS]]),IF(Main_M[[#This Row],[BVPS]]&lt;&gt;0,Main_M[[#This Row],[Current Price]]/Main_M[[#This Row],[BVPS]],""),"")</f>
        <v>10.509500351864883</v>
      </c>
      <c r="J70">
        <v>28.08</v>
      </c>
      <c r="K70">
        <v>6.21</v>
      </c>
      <c r="L70">
        <v>10.42</v>
      </c>
      <c r="M70" s="1">
        <f>IF(ISNUMBER(Main_M[[#This Row],[EPS]]),IF(Main_M[[#This Row],[EPS]]&lt;&gt;0,Main_M[[#This Row],[Current Price]]/Main_M[[#This Row],[EPS]],""),"")</f>
        <v>21.67489114658926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-0.27427295570397842</v>
      </c>
      <c r="P70" s="1">
        <f>(Main_M[[#This Row],[P/B]]-VLOOKUP(Main_M[[#This Row],[Industry]], Mean_PB_M, 2, FALSE))/(VLOOKUP(Main_M[[#This Row],[Industry]], Mean_PB_M, 3, FALSE))</f>
        <v>0.90541278719352702</v>
      </c>
      <c r="Q70" s="1">
        <f>(Main_M[[#This Row],[ROE]]-VLOOKUP(Main_M[[#This Row],[Industry]], Mean_ROE_M, 2, FALSE))/(VLOOKUP(Main_M[[#This Row],[Industry]], Mean_ROE_M, 3, FALSE))</f>
        <v>0.18769795921880364</v>
      </c>
      <c r="R70" s="1">
        <f>(Main_M[[#This Row],[ROA]]-VLOOKUP(Main_M[[#This Row],[Industry]], Mean_ROA_M, 2, FALSE))/(VLOOKUP(Main_M[[#This Row],[Industry]], Mean_ROA_M, 3, FALSE))</f>
        <v>0.168062066553163</v>
      </c>
      <c r="S70" s="1">
        <f>(Main_M[[#This Row],[A/E]]-VLOOKUP(Main_M[[#This Row],[Industry]], Mean_AE_M, 2, FALSE))/(VLOOKUP(Main_M[[#This Row],[Industry]], Mean_AE_M, 3, FALSE))</f>
        <v>1.1587334966862461</v>
      </c>
      <c r="T70" s="1">
        <f>(Main_M[[#This Row],[P/E]]-VLOOKUP(Main_M[[#This Row],[Industry]], Mean_PE_M, 2, FALSE))/(VLOOKUP(Main_M[[#This Row],[Industry]], Mean_PE_M, 3, FALSE))</f>
        <v>0.1894785143038957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t="s">
        <v>111</v>
      </c>
      <c r="B71" t="s">
        <v>281</v>
      </c>
      <c r="C71" s="2">
        <v>8549</v>
      </c>
      <c r="D71">
        <f>RTD("tos.rtd", , "LAST", Main_M[[#This Row],[Symbol]])</f>
        <v>93.83</v>
      </c>
      <c r="E71">
        <v>2.21</v>
      </c>
      <c r="F71">
        <v>-2.5499999999999998</v>
      </c>
      <c r="G71">
        <v>2</v>
      </c>
      <c r="H71" s="1">
        <f>IF(ISNUMBER(Main_M[[#This Row],[Free CF]]),IF(Main_M[[#This Row],[Free CF]]&lt;&gt;0,Main_M[[#This Row],[Current Price]]/Main_M[[#This Row],[Free CF]],""),"")</f>
        <v>42.457013574660635</v>
      </c>
      <c r="I71" s="1">
        <f>IF(ISNUMBER(Main_M[[#This Row],[BVPS]]),IF(Main_M[[#This Row],[BVPS]]&lt;&gt;0,Main_M[[#This Row],[Current Price]]/Main_M[[#This Row],[BVPS]],""),"")</f>
        <v>-36.79607843137255</v>
      </c>
      <c r="J71">
        <v>-104.22</v>
      </c>
      <c r="K71">
        <v>6.77</v>
      </c>
      <c r="L71">
        <v>-14.25</v>
      </c>
      <c r="M71" s="1">
        <f>IF(ISNUMBER(Main_M[[#This Row],[EPS]]),IF(Main_M[[#This Row],[EPS]]&lt;&gt;0,Main_M[[#This Row],[Current Price]]/Main_M[[#This Row],[EPS]],""),"")</f>
        <v>46.914999999999999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1.5071051620263698</v>
      </c>
      <c r="P71" s="1">
        <f>(Main_M[[#This Row],[P/B]]-VLOOKUP(Main_M[[#This Row],[Industry]], Mean_PB_M, 2, FALSE))/(VLOOKUP(Main_M[[#This Row],[Industry]], Mean_PB_M, 3, FALSE))</f>
        <v>-6.724736537047634</v>
      </c>
      <c r="Q71" s="1">
        <f>(Main_M[[#This Row],[ROE]]-VLOOKUP(Main_M[[#This Row],[Industry]], Mean_ROE_M, 2, FALSE))/(VLOOKUP(Main_M[[#This Row],[Industry]], Mean_ROE_M, 3, FALSE))</f>
        <v>6.7513477837413641E-2</v>
      </c>
      <c r="R71" s="1">
        <f>(Main_M[[#This Row],[ROA]]-VLOOKUP(Main_M[[#This Row],[Industry]], Mean_ROA_M, 2, FALSE))/(VLOOKUP(Main_M[[#This Row],[Industry]], Mean_ROA_M, 3, FALSE))</f>
        <v>0.28227900498735126</v>
      </c>
      <c r="S71" s="1">
        <f>(Main_M[[#This Row],[A/E]]-VLOOKUP(Main_M[[#This Row],[Industry]], Mean_AE_M, 2, FALSE))/(VLOOKUP(Main_M[[#This Row],[Industry]], Mean_AE_M, 3, FALSE))</f>
        <v>-4.0157153824217016</v>
      </c>
      <c r="T71" s="1">
        <f>(Main_M[[#This Row],[P/E]]-VLOOKUP(Main_M[[#This Row],[Industry]], Mean_PE_M, 2, FALSE))/(VLOOKUP(Main_M[[#This Row],[Industry]], Mean_PE_M, 3, FALSE))</f>
        <v>1.3711116177754605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t="s">
        <v>111</v>
      </c>
      <c r="B72" t="s">
        <v>282</v>
      </c>
      <c r="C72" s="2">
        <v>2504</v>
      </c>
      <c r="D72">
        <f>RTD("tos.rtd", , "LAST", Main_M[[#This Row],[Symbol]])</f>
        <v>49.24</v>
      </c>
      <c r="E72">
        <v>3.89</v>
      </c>
      <c r="F72">
        <v>-8.39</v>
      </c>
      <c r="G72">
        <v>3.79</v>
      </c>
      <c r="H72" s="1">
        <f>IF(ISNUMBER(Main_M[[#This Row],[Free CF]]),IF(Main_M[[#This Row],[Free CF]]&lt;&gt;0,Main_M[[#This Row],[Current Price]]/Main_M[[#This Row],[Free CF]],""),"")</f>
        <v>12.658097686375321</v>
      </c>
      <c r="I72" s="1">
        <f>IF(ISNUMBER(Main_M[[#This Row],[BVPS]]),IF(Main_M[[#This Row],[BVPS]]&lt;&gt;0,Main_M[[#This Row],[Current Price]]/Main_M[[#This Row],[BVPS]],""),"")</f>
        <v>-5.8688915375446955</v>
      </c>
      <c r="J72">
        <v>-67.930000000000007</v>
      </c>
      <c r="K72">
        <v>11.7</v>
      </c>
      <c r="L72">
        <v>-5.58</v>
      </c>
      <c r="M72" s="1">
        <f>IF(ISNUMBER(Main_M[[#This Row],[EPS]]),IF(Main_M[[#This Row],[EPS]]&lt;&gt;0,Main_M[[#This Row],[Current Price]]/Main_M[[#This Row],[EPS]],""),"")</f>
        <v>12.992084432717679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-0.36586412267566265</v>
      </c>
      <c r="P72" s="1">
        <f>(Main_M[[#This Row],[P/B]]-VLOOKUP(Main_M[[#This Row],[Industry]], Mean_PB_M, 2, FALSE))/(VLOOKUP(Main_M[[#This Row],[Industry]], Mean_PB_M, 3, FALSE))</f>
        <v>-1.7363385457680294</v>
      </c>
      <c r="Q72" s="1">
        <f>(Main_M[[#This Row],[ROE]]-VLOOKUP(Main_M[[#This Row],[Industry]], Mean_ROE_M, 2, FALSE))/(VLOOKUP(Main_M[[#This Row],[Industry]], Mean_ROE_M, 3, FALSE))</f>
        <v>0.10048018100695742</v>
      </c>
      <c r="R72" s="1">
        <f>(Main_M[[#This Row],[ROA]]-VLOOKUP(Main_M[[#This Row],[Industry]], Mean_ROA_M, 2, FALSE))/(VLOOKUP(Main_M[[#This Row],[Industry]], Mean_ROA_M, 3, FALSE))</f>
        <v>1.2877959808454738</v>
      </c>
      <c r="S72" s="1">
        <f>(Main_M[[#This Row],[A/E]]-VLOOKUP(Main_M[[#This Row],[Industry]], Mean_AE_M, 2, FALSE))/(VLOOKUP(Main_M[[#This Row],[Industry]], Mean_AE_M, 3, FALSE))</f>
        <v>-2.1972122700639436</v>
      </c>
      <c r="T72" s="1">
        <f>(Main_M[[#This Row],[P/E]]-VLOOKUP(Main_M[[#This Row],[Industry]], Mean_PE_M, 2, FALSE))/(VLOOKUP(Main_M[[#This Row],[Industry]], Mean_PE_M, 3, FALSE))</f>
        <v>-0.21701307033003428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t="s">
        <v>111</v>
      </c>
      <c r="B73" t="s">
        <v>283</v>
      </c>
      <c r="C73" s="2">
        <v>7413</v>
      </c>
      <c r="D73">
        <f>RTD("tos.rtd", , "LAST", Main_M[[#This Row],[Symbol]])</f>
        <v>70.23</v>
      </c>
      <c r="E73">
        <v>0.24</v>
      </c>
      <c r="F73">
        <v>4.66</v>
      </c>
      <c r="G73">
        <v>0.34</v>
      </c>
      <c r="H73" s="1">
        <f>IF(ISNUMBER(Main_M[[#This Row],[Free CF]]),IF(Main_M[[#This Row],[Free CF]]&lt;&gt;0,Main_M[[#This Row],[Current Price]]/Main_M[[#This Row],[Free CF]],""),"")</f>
        <v>292.625</v>
      </c>
      <c r="I73" s="1">
        <f>IF(ISNUMBER(Main_M[[#This Row],[BVPS]]),IF(Main_M[[#This Row],[BVPS]]&lt;&gt;0,Main_M[[#This Row],[Current Price]]/Main_M[[#This Row],[BVPS]],""),"")</f>
        <v>15.070815450643778</v>
      </c>
      <c r="J73">
        <v>9.23</v>
      </c>
      <c r="K73">
        <v>3.64</v>
      </c>
      <c r="L73">
        <v>4.6500000000000004</v>
      </c>
      <c r="M73" s="1">
        <f>IF(ISNUMBER(Main_M[[#This Row],[EPS]]),IF(Main_M[[#This Row],[EPS]]&lt;&gt;0,Main_M[[#This Row],[Current Price]]/Main_M[[#This Row],[EPS]],""),"")</f>
        <v>206.55882352941177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17.23106493113384</v>
      </c>
      <c r="P73" s="1">
        <f>(Main_M[[#This Row],[P/B]]-VLOOKUP(Main_M[[#This Row],[Industry]], Mean_PB_M, 2, FALSE))/(VLOOKUP(Main_M[[#This Row],[Industry]], Mean_PB_M, 3, FALSE))</f>
        <v>1.6411297198215935</v>
      </c>
      <c r="Q73" s="1">
        <f>(Main_M[[#This Row],[ROE]]-VLOOKUP(Main_M[[#This Row],[Industry]], Mean_ROE_M, 2, FALSE))/(VLOOKUP(Main_M[[#This Row],[Industry]], Mean_ROE_M, 3, FALSE))</f>
        <v>0.17057416878766832</v>
      </c>
      <c r="R73" s="1">
        <f>(Main_M[[#This Row],[ROA]]-VLOOKUP(Main_M[[#This Row],[Industry]], Mean_ROA_M, 2, FALSE))/(VLOOKUP(Main_M[[#This Row],[Industry]], Mean_ROA_M, 3, FALSE))</f>
        <v>-0.35611209733230847</v>
      </c>
      <c r="S73" s="1">
        <f>(Main_M[[#This Row],[A/E]]-VLOOKUP(Main_M[[#This Row],[Industry]], Mean_AE_M, 2, FALSE))/(VLOOKUP(Main_M[[#This Row],[Industry]], Mean_AE_M, 3, FALSE))</f>
        <v>-5.1504445448040767E-2</v>
      </c>
      <c r="T73" s="1">
        <f>(Main_M[[#This Row],[P/E]]-VLOOKUP(Main_M[[#This Row],[Industry]], Mean_PE_M, 2, FALSE))/(VLOOKUP(Main_M[[#This Row],[Industry]], Mean_PE_M, 3, FALSE))</f>
        <v>8.8449473188300676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4" spans="1:26" x14ac:dyDescent="0.25">
      <c r="A74" t="s">
        <v>111</v>
      </c>
      <c r="B74" t="s">
        <v>284</v>
      </c>
      <c r="C74" s="2">
        <v>2482</v>
      </c>
      <c r="D74">
        <f>RTD("tos.rtd", , "LAST", Main_M[[#This Row],[Symbol]])</f>
        <v>53.78</v>
      </c>
      <c r="E74">
        <v>2.2400000000000002</v>
      </c>
      <c r="F74">
        <v>8.64</v>
      </c>
      <c r="G74">
        <v>3.19</v>
      </c>
      <c r="H74" s="1">
        <f>IF(ISNUMBER(Main_M[[#This Row],[Free CF]]),IF(Main_M[[#This Row],[Free CF]]&lt;&gt;0,Main_M[[#This Row],[Current Price]]/Main_M[[#This Row],[Free CF]],""),"")</f>
        <v>24.008928571428569</v>
      </c>
      <c r="I74" s="1">
        <f>IF(ISNUMBER(Main_M[[#This Row],[BVPS]]),IF(Main_M[[#This Row],[BVPS]]&lt;&gt;0,Main_M[[#This Row],[Current Price]]/Main_M[[#This Row],[BVPS]],""),"")</f>
        <v>6.2245370370370372</v>
      </c>
      <c r="J74">
        <v>41.18</v>
      </c>
      <c r="K74">
        <v>4.13</v>
      </c>
      <c r="L74">
        <v>6.86</v>
      </c>
      <c r="M74" s="1">
        <f>IF(ISNUMBER(Main_M[[#This Row],[EPS]]),IF(Main_M[[#This Row],[EPS]]&lt;&gt;0,Main_M[[#This Row],[Current Price]]/Main_M[[#This Row],[EPS]],""),"")</f>
        <v>16.858934169278996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0.34757651668362538</v>
      </c>
      <c r="P74" s="1">
        <f>(Main_M[[#This Row],[P/B]]-VLOOKUP(Main_M[[#This Row],[Industry]], Mean_PB_M, 2, FALSE))/(VLOOKUP(Main_M[[#This Row],[Industry]], Mean_PB_M, 3, FALSE))</f>
        <v>0.21426999215775039</v>
      </c>
      <c r="Q74" s="1">
        <f>(Main_M[[#This Row],[ROE]]-VLOOKUP(Main_M[[#This Row],[Industry]], Mean_ROE_M, 2, FALSE))/(VLOOKUP(Main_M[[#This Row],[Industry]], Mean_ROE_M, 3, FALSE))</f>
        <v>0.19959831225052102</v>
      </c>
      <c r="R74" s="1">
        <f>(Main_M[[#This Row],[ROA]]-VLOOKUP(Main_M[[#This Row],[Industry]], Mean_ROA_M, 2, FALSE))/(VLOOKUP(Main_M[[#This Row],[Industry]], Mean_ROA_M, 3, FALSE))</f>
        <v>-0.25617227620239374</v>
      </c>
      <c r="S74" s="1">
        <f>(Main_M[[#This Row],[A/E]]-VLOOKUP(Main_M[[#This Row],[Industry]], Mean_AE_M, 2, FALSE))/(VLOOKUP(Main_M[[#This Row],[Industry]], Mean_AE_M, 3, FALSE))</f>
        <v>0.41203556358432913</v>
      </c>
      <c r="T74" s="1">
        <f>(Main_M[[#This Row],[P/E]]-VLOOKUP(Main_M[[#This Row],[Industry]], Mean_PE_M, 2, FALSE))/(VLOOKUP(Main_M[[#This Row],[Industry]], Mean_PE_M, 3, FALSE))</f>
        <v>-3.5983833039177321E-2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t="s">
        <v>111</v>
      </c>
      <c r="B75" t="s">
        <v>285</v>
      </c>
      <c r="C75" s="2">
        <v>6173</v>
      </c>
      <c r="D75">
        <f>RTD("tos.rtd", , "LAST", Main_M[[#This Row],[Symbol]])</f>
        <v>151.81</v>
      </c>
      <c r="E75">
        <v>8.7799999999999994</v>
      </c>
      <c r="F75">
        <v>5.83</v>
      </c>
      <c r="G75">
        <v>7.16</v>
      </c>
      <c r="H75" s="1">
        <f>IF(ISNUMBER(Main_M[[#This Row],[Free CF]]),IF(Main_M[[#This Row],[Free CF]]&lt;&gt;0,Main_M[[#This Row],[Current Price]]/Main_M[[#This Row],[Free CF]],""),"")</f>
        <v>17.290432801822323</v>
      </c>
      <c r="I75" s="1">
        <f>IF(ISNUMBER(Main_M[[#This Row],[BVPS]]),IF(Main_M[[#This Row],[BVPS]]&lt;&gt;0,Main_M[[#This Row],[Current Price]]/Main_M[[#This Row],[BVPS]],""),"")</f>
        <v>26.039451114922812</v>
      </c>
      <c r="J75">
        <v>314.08</v>
      </c>
      <c r="K75">
        <v>12.21</v>
      </c>
      <c r="L75">
        <v>9.93</v>
      </c>
      <c r="M75" s="1">
        <f>IF(ISNUMBER(Main_M[[#This Row],[EPS]]),IF(Main_M[[#This Row],[EPS]]&lt;&gt;0,Main_M[[#This Row],[Current Price]]/Main_M[[#This Row],[EPS]],""),"")</f>
        <v>21.202513966480446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-7.4705161718639557E-2</v>
      </c>
      <c r="P75" s="1">
        <f>(Main_M[[#This Row],[P/B]]-VLOOKUP(Main_M[[#This Row],[Industry]], Mean_PB_M, 2, FALSE))/(VLOOKUP(Main_M[[#This Row],[Industry]], Mean_PB_M, 3, FALSE))</f>
        <v>3.4103148805219687</v>
      </c>
      <c r="Q75" s="1">
        <f>(Main_M[[#This Row],[ROE]]-VLOOKUP(Main_M[[#This Row],[Industry]], Mean_ROE_M, 2, FALSE))/(VLOOKUP(Main_M[[#This Row],[Industry]], Mean_ROE_M, 3, FALSE))</f>
        <v>0.44750719334637379</v>
      </c>
      <c r="R75" s="1">
        <f>(Main_M[[#This Row],[ROA]]-VLOOKUP(Main_M[[#This Row],[Industry]], Mean_ROA_M, 2, FALSE))/(VLOOKUP(Main_M[[#This Row],[Industry]], Mean_ROA_M, 3, FALSE))</f>
        <v>1.3918149783480385</v>
      </c>
      <c r="S75" s="1">
        <f>(Main_M[[#This Row],[A/E]]-VLOOKUP(Main_M[[#This Row],[Industry]], Mean_AE_M, 2, FALSE))/(VLOOKUP(Main_M[[#This Row],[Industry]], Mean_AE_M, 3, FALSE))</f>
        <v>1.0559576575795215</v>
      </c>
      <c r="T75" s="1">
        <f>(Main_M[[#This Row],[P/E]]-VLOOKUP(Main_M[[#This Row],[Industry]], Mean_PE_M, 2, FALSE))/(VLOOKUP(Main_M[[#This Row],[Industry]], Mean_PE_M, 3, FALSE))</f>
        <v>0.16736385082986327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t="s">
        <v>111</v>
      </c>
      <c r="B76" t="s">
        <v>286</v>
      </c>
      <c r="C76" s="2">
        <v>2105</v>
      </c>
      <c r="D76">
        <f>RTD("tos.rtd", , "LAST", Main_M[[#This Row],[Symbol]])</f>
        <v>15.79</v>
      </c>
      <c r="E76">
        <v>-0.43</v>
      </c>
      <c r="F76">
        <v>3.81</v>
      </c>
      <c r="G76">
        <v>-0.79</v>
      </c>
      <c r="H76" s="1">
        <f>IF(ISNUMBER(Main_M[[#This Row],[Free CF]]),IF(Main_M[[#This Row],[Free CF]]&lt;&gt;0,Main_M[[#This Row],[Current Price]]/Main_M[[#This Row],[Free CF]],""),"")</f>
        <v>-36.720930232558139</v>
      </c>
      <c r="I76" s="1">
        <f>IF(ISNUMBER(Main_M[[#This Row],[BVPS]]),IF(Main_M[[#This Row],[BVPS]]&lt;&gt;0,Main_M[[#This Row],[Current Price]]/Main_M[[#This Row],[BVPS]],""),"")</f>
        <v>4.1443569553805775</v>
      </c>
      <c r="J76">
        <v>-19.46</v>
      </c>
      <c r="K76">
        <v>-6.64</v>
      </c>
      <c r="L76">
        <v>1.92</v>
      </c>
      <c r="M76" s="1">
        <f>IF(ISNUMBER(Main_M[[#This Row],[EPS]]),IF(Main_M[[#This Row],[EPS]]&lt;&gt;0,Main_M[[#This Row],[Current Price]]/Main_M[[#This Row],[EPS]],""),"")</f>
        <v>-19.987341772151897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-3.4695140322002156</v>
      </c>
      <c r="P76" s="1">
        <f>(Main_M[[#This Row],[P/B]]-VLOOKUP(Main_M[[#This Row],[Industry]], Mean_PB_M, 2, FALSE))/(VLOOKUP(Main_M[[#This Row],[Industry]], Mean_PB_M, 3, FALSE))</f>
        <v>-0.12125247797372546</v>
      </c>
      <c r="Q76" s="1">
        <f>(Main_M[[#This Row],[ROE]]-VLOOKUP(Main_M[[#This Row],[Industry]], Mean_ROE_M, 2, FALSE))/(VLOOKUP(Main_M[[#This Row],[Industry]], Mean_ROE_M, 3, FALSE))</f>
        <v>0.1445114872243117</v>
      </c>
      <c r="R76" s="1">
        <f>(Main_M[[#This Row],[ROA]]-VLOOKUP(Main_M[[#This Row],[Industry]], Mean_ROA_M, 2, FALSE))/(VLOOKUP(Main_M[[#This Row],[Industry]], Mean_ROA_M, 3, FALSE))</f>
        <v>-2.4528087528741946</v>
      </c>
      <c r="S76" s="1">
        <f>(Main_M[[#This Row],[A/E]]-VLOOKUP(Main_M[[#This Row],[Industry]], Mean_AE_M, 2, FALSE))/(VLOOKUP(Main_M[[#This Row],[Industry]], Mean_AE_M, 3, FALSE))</f>
        <v>-0.6241126918997919</v>
      </c>
      <c r="T76" s="1">
        <f>(Main_M[[#This Row],[P/E]]-VLOOKUP(Main_M[[#This Row],[Industry]], Mean_PE_M, 2, FALSE))/(VLOOKUP(Main_M[[#This Row],[Industry]], Mean_PE_M, 3, FALSE))</f>
        <v>-1.7609676532321386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t="s">
        <v>111</v>
      </c>
      <c r="B77" t="s">
        <v>287</v>
      </c>
      <c r="C77" s="2">
        <v>4100</v>
      </c>
      <c r="D77">
        <f>RTD("tos.rtd", , "LAST", Main_M[[#This Row],[Symbol]])</f>
        <v>113.94</v>
      </c>
      <c r="E77">
        <v>1</v>
      </c>
      <c r="F77">
        <v>11.77</v>
      </c>
      <c r="G77">
        <v>0.28999999999999998</v>
      </c>
      <c r="H77" s="1">
        <f>IF(ISNUMBER(Main_M[[#This Row],[Free CF]]),IF(Main_M[[#This Row],[Free CF]]&lt;&gt;0,Main_M[[#This Row],[Current Price]]/Main_M[[#This Row],[Free CF]],""),"")</f>
        <v>113.94</v>
      </c>
      <c r="I77" s="1">
        <f>IF(ISNUMBER(Main_M[[#This Row],[BVPS]]),IF(Main_M[[#This Row],[BVPS]]&lt;&gt;0,Main_M[[#This Row],[Current Price]]/Main_M[[#This Row],[BVPS]],""),"")</f>
        <v>9.6805437553101115</v>
      </c>
      <c r="J77">
        <v>2.71</v>
      </c>
      <c r="K77">
        <v>1.48</v>
      </c>
      <c r="L77">
        <v>3.65</v>
      </c>
      <c r="M77" s="1">
        <f>IF(ISNUMBER(Main_M[[#This Row],[EPS]]),IF(Main_M[[#This Row],[EPS]]&lt;&gt;0,Main_M[[#This Row],[Current Price]]/Main_M[[#This Row],[EPS]],""),"")</f>
        <v>392.89655172413796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6.0000685455052505</v>
      </c>
      <c r="P77" s="1">
        <f>(Main_M[[#This Row],[P/B]]-VLOOKUP(Main_M[[#This Row],[Industry]], Mean_PB_M, 2, FALSE))/(VLOOKUP(Main_M[[#This Row],[Industry]], Mean_PB_M, 3, FALSE))</f>
        <v>0.77170630314414668</v>
      </c>
      <c r="Q77" s="1">
        <f>(Main_M[[#This Row],[ROE]]-VLOOKUP(Main_M[[#This Row],[Industry]], Mean_ROE_M, 2, FALSE))/(VLOOKUP(Main_M[[#This Row],[Industry]], Mean_ROE_M, 3, FALSE))</f>
        <v>0.16465124498867617</v>
      </c>
      <c r="R77" s="1">
        <f>(Main_M[[#This Row],[ROA]]-VLOOKUP(Main_M[[#This Row],[Industry]], Mean_ROA_M, 2, FALSE))/(VLOOKUP(Main_M[[#This Row],[Industry]], Mean_ROA_M, 3, FALSE))</f>
        <v>-0.79666314557846363</v>
      </c>
      <c r="S77" s="1">
        <f>(Main_M[[#This Row],[A/E]]-VLOOKUP(Main_M[[#This Row],[Industry]], Mean_AE_M, 2, FALSE))/(VLOOKUP(Main_M[[#This Row],[Industry]], Mean_AE_M, 3, FALSE))</f>
        <v>-0.2612510558699277</v>
      </c>
      <c r="T77" s="1">
        <f>(Main_M[[#This Row],[P/E]]-VLOOKUP(Main_M[[#This Row],[Industry]], Mean_PE_M, 2, FALSE))/(VLOOKUP(Main_M[[#This Row],[Industry]], Mean_PE_M, 3, FALSE))</f>
        <v>17.568476576938696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8" spans="1:26" x14ac:dyDescent="0.25">
      <c r="A78" t="s">
        <v>111</v>
      </c>
      <c r="B78" t="s">
        <v>288</v>
      </c>
      <c r="C78" s="2">
        <v>2258</v>
      </c>
      <c r="D78">
        <f>RTD("tos.rtd", , "LAST", Main_M[[#This Row],[Symbol]])</f>
        <v>11.93</v>
      </c>
      <c r="E78">
        <v>1.21</v>
      </c>
      <c r="F78">
        <v>0.67</v>
      </c>
      <c r="G78">
        <v>0.94</v>
      </c>
      <c r="H78" s="1">
        <f>IF(ISNUMBER(Main_M[[#This Row],[Free CF]]),IF(Main_M[[#This Row],[Free CF]]&lt;&gt;0,Main_M[[#This Row],[Current Price]]/Main_M[[#This Row],[Free CF]],""),"")</f>
        <v>9.8595041322314056</v>
      </c>
      <c r="I78" s="1">
        <f>IF(ISNUMBER(Main_M[[#This Row],[BVPS]]),IF(Main_M[[#This Row],[BVPS]]&lt;&gt;0,Main_M[[#This Row],[Current Price]]/Main_M[[#This Row],[BVPS]],""),"")</f>
        <v>17.805970149253731</v>
      </c>
      <c r="J78">
        <v>90.4</v>
      </c>
      <c r="K78">
        <v>4.5999999999999996</v>
      </c>
      <c r="L78">
        <v>37.770000000000003</v>
      </c>
      <c r="M78" s="1">
        <f>IF(ISNUMBER(Main_M[[#This Row],[EPS]]),IF(Main_M[[#This Row],[EPS]]&lt;&gt;0,Main_M[[#This Row],[Current Price]]/Main_M[[#This Row],[EPS]],""),"")</f>
        <v>12.691489361702128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-0.5417658161106671</v>
      </c>
      <c r="P78" s="1">
        <f>(Main_M[[#This Row],[P/B]]-VLOOKUP(Main_M[[#This Row],[Industry]], Mean_PB_M, 2, FALSE))/(VLOOKUP(Main_M[[#This Row],[Industry]], Mean_PB_M, 3, FALSE))</f>
        <v>2.0822962653345902</v>
      </c>
      <c r="Q78" s="1">
        <f>(Main_M[[#This Row],[ROE]]-VLOOKUP(Main_M[[#This Row],[Industry]], Mean_ROE_M, 2, FALSE))/(VLOOKUP(Main_M[[#This Row],[Industry]], Mean_ROE_M, 3, FALSE))</f>
        <v>0.24431093638953852</v>
      </c>
      <c r="R78" s="1">
        <f>(Main_M[[#This Row],[ROA]]-VLOOKUP(Main_M[[#This Row],[Industry]], Mean_ROA_M, 2, FALSE))/(VLOOKUP(Main_M[[#This Row],[Industry]], Mean_ROA_M, 3, FALSE))</f>
        <v>-0.16031163144512856</v>
      </c>
      <c r="S78" s="1">
        <f>(Main_M[[#This Row],[A/E]]-VLOOKUP(Main_M[[#This Row],[Industry]], Mean_AE_M, 2, FALSE))/(VLOOKUP(Main_M[[#This Row],[Industry]], Mean_AE_M, 3, FALSE))</f>
        <v>6.8953032917248525</v>
      </c>
      <c r="T78" s="1">
        <f>(Main_M[[#This Row],[P/E]]-VLOOKUP(Main_M[[#This Row],[Industry]], Mean_PE_M, 2, FALSE))/(VLOOKUP(Main_M[[#This Row],[Industry]], Mean_PE_M, 3, FALSE))</f>
        <v>-0.23108563589285522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t="s">
        <v>111</v>
      </c>
      <c r="B79" t="s">
        <v>289</v>
      </c>
      <c r="C79" s="2">
        <v>7538</v>
      </c>
      <c r="D79">
        <f>RTD("tos.rtd", , "LAST", Main_M[[#This Row],[Symbol]])</f>
        <v>286.3</v>
      </c>
      <c r="E79">
        <v>3.08</v>
      </c>
      <c r="F79">
        <v>-25.62</v>
      </c>
      <c r="G79">
        <v>5.91</v>
      </c>
      <c r="H79" s="1">
        <f>IF(ISNUMBER(Main_M[[#This Row],[Free CF]]),IF(Main_M[[#This Row],[Free CF]]&lt;&gt;0,Main_M[[#This Row],[Current Price]]/Main_M[[#This Row],[Free CF]],""),"")</f>
        <v>92.954545454545453</v>
      </c>
      <c r="I79" s="1">
        <f>IF(ISNUMBER(Main_M[[#This Row],[BVPS]]),IF(Main_M[[#This Row],[BVPS]]&lt;&gt;0,Main_M[[#This Row],[Current Price]]/Main_M[[#This Row],[BVPS]],""),"")</f>
        <v>-11.174863387978142</v>
      </c>
      <c r="J79">
        <v>-29.97</v>
      </c>
      <c r="K79">
        <v>19.12</v>
      </c>
      <c r="L79">
        <v>-0.97</v>
      </c>
      <c r="M79" s="1">
        <f>IF(ISNUMBER(Main_M[[#This Row],[EPS]]),IF(Main_M[[#This Row],[EPS]]&lt;&gt;0,Main_M[[#This Row],[Current Price]]/Main_M[[#This Row],[EPS]],""),"")</f>
        <v>48.443316412859559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4.6810570775545379</v>
      </c>
      <c r="P79" s="1">
        <f>(Main_M[[#This Row],[P/B]]-VLOOKUP(Main_M[[#This Row],[Industry]], Mean_PB_M, 2, FALSE))/(VLOOKUP(Main_M[[#This Row],[Industry]], Mean_PB_M, 3, FALSE))</f>
        <v>-2.5921648261003871</v>
      </c>
      <c r="Q79" s="1">
        <f>(Main_M[[#This Row],[ROE]]-VLOOKUP(Main_M[[#This Row],[Industry]], Mean_ROE_M, 2, FALSE))/(VLOOKUP(Main_M[[#This Row],[Industry]], Mean_ROE_M, 3, FALSE))</f>
        <v>0.13496395208207129</v>
      </c>
      <c r="R79" s="1">
        <f>(Main_M[[#This Row],[ROA]]-VLOOKUP(Main_M[[#This Row],[Industry]], Mean_ROA_M, 2, FALSE))/(VLOOKUP(Main_M[[#This Row],[Industry]], Mean_ROA_M, 3, FALSE))</f>
        <v>2.8011704150984698</v>
      </c>
      <c r="S79" s="1">
        <f>(Main_M[[#This Row],[A/E]]-VLOOKUP(Main_M[[#This Row],[Industry]], Mean_AE_M, 2, FALSE))/(VLOOKUP(Main_M[[#This Row],[Industry]], Mean_AE_M, 3, FALSE))</f>
        <v>-1.2302803960190449</v>
      </c>
      <c r="T79" s="1">
        <f>(Main_M[[#This Row],[P/E]]-VLOOKUP(Main_M[[#This Row],[Industry]], Mean_PE_M, 2, FALSE))/(VLOOKUP(Main_M[[#This Row],[Industry]], Mean_PE_M, 3, FALSE))</f>
        <v>1.442660804686742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t="s">
        <v>108</v>
      </c>
      <c r="B80" t="s">
        <v>224</v>
      </c>
      <c r="C80" s="2">
        <v>6302</v>
      </c>
      <c r="D80">
        <f>RTD("tos.rtd", , "LAST", Main_M[[#This Row],[Symbol]])</f>
        <v>110.88</v>
      </c>
      <c r="E80">
        <v>7.89</v>
      </c>
      <c r="F80">
        <v>125.7</v>
      </c>
      <c r="G80">
        <v>7.66</v>
      </c>
      <c r="H80" s="1">
        <f>IF(ISNUMBER(Main_M[[#This Row],[Free CF]]),IF(Main_M[[#This Row],[Free CF]]&lt;&gt;0,Main_M[[#This Row],[Current Price]]/Main_M[[#This Row],[Free CF]],""),"")</f>
        <v>14.053231939163497</v>
      </c>
      <c r="I80" s="1">
        <f>IF(ISNUMBER(Main_M[[#This Row],[BVPS]]),IF(Main_M[[#This Row],[BVPS]]&lt;&gt;0,Main_M[[#This Row],[Current Price]]/Main_M[[#This Row],[BVPS]],""),"")</f>
        <v>0.88210023866348442</v>
      </c>
      <c r="J80">
        <v>6.26</v>
      </c>
      <c r="K80">
        <v>3.59</v>
      </c>
      <c r="L80">
        <v>1.71</v>
      </c>
      <c r="M80" s="1">
        <f>IF(ISNUMBER(Main_M[[#This Row],[EPS]]),IF(Main_M[[#This Row],[EPS]]&lt;&gt;0,Main_M[[#This Row],[Current Price]]/Main_M[[#This Row],[EPS]],""),"")</f>
        <v>14.475195822454307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-5.9677652577473012E-2</v>
      </c>
      <c r="P80" s="1">
        <f>(Main_M[[#This Row],[P/B]]-VLOOKUP(Main_M[[#This Row],[Industry]], Mean_PB_M, 2, FALSE))/(VLOOKUP(Main_M[[#This Row],[Industry]], Mean_PB_M, 3, FALSE))</f>
        <v>-0.79408858872657806</v>
      </c>
      <c r="Q80" s="1">
        <f>(Main_M[[#This Row],[ROE]]-VLOOKUP(Main_M[[#This Row],[Industry]], Mean_ROE_M, 2, FALSE))/(VLOOKUP(Main_M[[#This Row],[Industry]], Mean_ROE_M, 3, FALSE))</f>
        <v>-0.78216708803763746</v>
      </c>
      <c r="R80" s="1">
        <f>(Main_M[[#This Row],[ROA]]-VLOOKUP(Main_M[[#This Row],[Industry]], Mean_ROA_M, 2, FALSE))/(VLOOKUP(Main_M[[#This Row],[Industry]], Mean_ROA_M, 3, FALSE))</f>
        <v>-1.6254030402022241</v>
      </c>
      <c r="S80" s="1">
        <f>(Main_M[[#This Row],[A/E]]-VLOOKUP(Main_M[[#This Row],[Industry]], Mean_AE_M, 2, FALSE))/(VLOOKUP(Main_M[[#This Row],[Industry]], Mean_AE_M, 3, FALSE))</f>
        <v>-0.10917161899594101</v>
      </c>
      <c r="T80" s="1">
        <f>(Main_M[[#This Row],[P/E]]-VLOOKUP(Main_M[[#This Row],[Industry]], Mean_PE_M, 2, FALSE))/(VLOOKUP(Main_M[[#This Row],[Industry]], Mean_PE_M, 3, FALSE))</f>
        <v>0.16504727191135907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t="s">
        <v>108</v>
      </c>
      <c r="B81" t="s">
        <v>225</v>
      </c>
      <c r="C81" s="2">
        <v>8336</v>
      </c>
      <c r="D81">
        <f>RTD("tos.rtd", , "LAST", Main_M[[#This Row],[Symbol]])</f>
        <v>313.14999999999998</v>
      </c>
      <c r="E81">
        <v>23.17</v>
      </c>
      <c r="F81">
        <v>75.69</v>
      </c>
      <c r="G81">
        <v>20.29</v>
      </c>
      <c r="H81" s="1">
        <f>IF(ISNUMBER(Main_M[[#This Row],[Free CF]]),IF(Main_M[[#This Row],[Free CF]]&lt;&gt;0,Main_M[[#This Row],[Current Price]]/Main_M[[#This Row],[Free CF]],""),"")</f>
        <v>13.515321536469571</v>
      </c>
      <c r="I81" s="1">
        <f>IF(ISNUMBER(Main_M[[#This Row],[BVPS]]),IF(Main_M[[#This Row],[BVPS]]&lt;&gt;0,Main_M[[#This Row],[Current Price]]/Main_M[[#This Row],[BVPS]],""),"")</f>
        <v>4.1372704452371512</v>
      </c>
      <c r="J81">
        <v>26.09</v>
      </c>
      <c r="K81">
        <v>11.54</v>
      </c>
      <c r="L81">
        <v>2.14</v>
      </c>
      <c r="M81" s="1">
        <f>IF(ISNUMBER(Main_M[[#This Row],[EPS]]),IF(Main_M[[#This Row],[EPS]]&lt;&gt;0,Main_M[[#This Row],[Current Price]]/Main_M[[#This Row],[EPS]],""),"")</f>
        <v>15.433711187777229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-9.6435494963240512E-2</v>
      </c>
      <c r="P81" s="1">
        <f>(Main_M[[#This Row],[P/B]]-VLOOKUP(Main_M[[#This Row],[Industry]], Mean_PB_M, 2, FALSE))/(VLOOKUP(Main_M[[#This Row],[Industry]], Mean_PB_M, 3, FALSE))</f>
        <v>1.9572730980915867</v>
      </c>
      <c r="Q81" s="1">
        <f>(Main_M[[#This Row],[ROE]]-VLOOKUP(Main_M[[#This Row],[Industry]], Mean_ROE_M, 2, FALSE))/(VLOOKUP(Main_M[[#This Row],[Industry]], Mean_ROE_M, 3, FALSE))</f>
        <v>0.97591865287458257</v>
      </c>
      <c r="R81" s="1">
        <f>(Main_M[[#This Row],[ROA]]-VLOOKUP(Main_M[[#This Row],[Industry]], Mean_ROA_M, 2, FALSE))/(VLOOKUP(Main_M[[#This Row],[Industry]], Mean_ROA_M, 3, FALSE))</f>
        <v>1.0559282320228325</v>
      </c>
      <c r="S81" s="1">
        <f>(Main_M[[#This Row],[A/E]]-VLOOKUP(Main_M[[#This Row],[Industry]], Mean_AE_M, 2, FALSE))/(VLOOKUP(Main_M[[#This Row],[Industry]], Mean_AE_M, 3, FALSE))</f>
        <v>0.74435194769960256</v>
      </c>
      <c r="T81" s="1">
        <f>(Main_M[[#This Row],[P/E]]-VLOOKUP(Main_M[[#This Row],[Industry]], Mean_PE_M, 2, FALSE))/(VLOOKUP(Main_M[[#This Row],[Industry]], Mean_PE_M, 3, FALSE))</f>
        <v>0.27834351180268746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t="s">
        <v>108</v>
      </c>
      <c r="B82" t="s">
        <v>226</v>
      </c>
      <c r="C82" s="2">
        <v>4154</v>
      </c>
      <c r="D82">
        <f>RTD("tos.rtd", , "LAST", Main_M[[#This Row],[Symbol]])</f>
        <v>527.98</v>
      </c>
      <c r="E82">
        <v>16.87</v>
      </c>
      <c r="F82">
        <v>131.06</v>
      </c>
      <c r="G82">
        <v>20.25</v>
      </c>
      <c r="H82" s="1">
        <f>IF(ISNUMBER(Main_M[[#This Row],[Free CF]]),IF(Main_M[[#This Row],[Free CF]]&lt;&gt;0,Main_M[[#This Row],[Current Price]]/Main_M[[#This Row],[Free CF]],""),"")</f>
        <v>31.296976882039122</v>
      </c>
      <c r="I82" s="1">
        <f>IF(ISNUMBER(Main_M[[#This Row],[BVPS]]),IF(Main_M[[#This Row],[BVPS]]&lt;&gt;0,Main_M[[#This Row],[Current Price]]/Main_M[[#This Row],[BVPS]],""),"")</f>
        <v>4.0285365481458877</v>
      </c>
      <c r="J82">
        <v>16.329999999999998</v>
      </c>
      <c r="K82">
        <v>8.69</v>
      </c>
      <c r="L82">
        <v>1.31</v>
      </c>
      <c r="M82" s="1">
        <f>IF(ISNUMBER(Main_M[[#This Row],[EPS]]),IF(Main_M[[#This Row],[EPS]]&lt;&gt;0,Main_M[[#This Row],[Current Price]]/Main_M[[#This Row],[EPS]],""),"")</f>
        <v>26.073086419753086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1.1186651635796951</v>
      </c>
      <c r="P82" s="1">
        <f>(Main_M[[#This Row],[P/B]]-VLOOKUP(Main_M[[#This Row],[Industry]], Mean_PB_M, 2, FALSE))/(VLOOKUP(Main_M[[#This Row],[Industry]], Mean_PB_M, 3, FALSE))</f>
        <v>1.8653681408911371</v>
      </c>
      <c r="Q82" s="1">
        <f>(Main_M[[#This Row],[ROE]]-VLOOKUP(Main_M[[#This Row],[Industry]], Mean_ROE_M, 2, FALSE))/(VLOOKUP(Main_M[[#This Row],[Industry]], Mean_ROE_M, 3, FALSE))</f>
        <v>0.11061775366614737</v>
      </c>
      <c r="R82" s="1">
        <f>(Main_M[[#This Row],[ROA]]-VLOOKUP(Main_M[[#This Row],[Industry]], Mean_ROA_M, 2, FALSE))/(VLOOKUP(Main_M[[#This Row],[Industry]], Mean_ROA_M, 3, FALSE))</f>
        <v>9.4696266508189575E-2</v>
      </c>
      <c r="S82" s="1">
        <f>(Main_M[[#This Row],[A/E]]-VLOOKUP(Main_M[[#This Row],[Industry]], Mean_AE_M, 2, FALSE))/(VLOOKUP(Main_M[[#This Row],[Industry]], Mean_AE_M, 3, FALSE))</f>
        <v>-0.90314702987551587</v>
      </c>
      <c r="T82" s="1">
        <f>(Main_M[[#This Row],[P/E]]-VLOOKUP(Main_M[[#This Row],[Industry]], Mean_PE_M, 2, FALSE))/(VLOOKUP(Main_M[[#This Row],[Industry]], Mean_PE_M, 3, FALSE))</f>
        <v>1.5359145974468873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t="s">
        <v>108</v>
      </c>
      <c r="B83" t="s">
        <v>227</v>
      </c>
      <c r="C83" s="2">
        <v>2085</v>
      </c>
      <c r="D83">
        <f>RTD("tos.rtd", , "LAST", Main_M[[#This Row],[Symbol]])</f>
        <v>24.22</v>
      </c>
      <c r="E83">
        <v>-3.16</v>
      </c>
      <c r="F83">
        <v>13.28</v>
      </c>
      <c r="G83">
        <v>3.34</v>
      </c>
      <c r="H83" s="1">
        <f>IF(ISNUMBER(Main_M[[#This Row],[Free CF]]),IF(Main_M[[#This Row],[Free CF]]&lt;&gt;0,Main_M[[#This Row],[Current Price]]/Main_M[[#This Row],[Free CF]],""),"")</f>
        <v>-7.6645569620253156</v>
      </c>
      <c r="I83" s="1">
        <f>IF(ISNUMBER(Main_M[[#This Row],[BVPS]]),IF(Main_M[[#This Row],[BVPS]]&lt;&gt;0,Main_M[[#This Row],[Current Price]]/Main_M[[#This Row],[BVPS]],""),"")</f>
        <v>1.8237951807228916</v>
      </c>
      <c r="J83">
        <v>27.18</v>
      </c>
      <c r="K83">
        <v>9.2899999999999991</v>
      </c>
      <c r="L83">
        <v>2.67</v>
      </c>
      <c r="M83" s="1">
        <f>IF(ISNUMBER(Main_M[[#This Row],[EPS]]),IF(Main_M[[#This Row],[EPS]]&lt;&gt;0,Main_M[[#This Row],[Current Price]]/Main_M[[#This Row],[EPS]],""),"")</f>
        <v>7.2514970059880239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-1.5437520586482274</v>
      </c>
      <c r="P83" s="1">
        <f>(Main_M[[#This Row],[P/B]]-VLOOKUP(Main_M[[#This Row],[Industry]], Mean_PB_M, 2, FALSE))/(VLOOKUP(Main_M[[#This Row],[Industry]], Mean_PB_M, 3, FALSE))</f>
        <v>1.8585414789065297E-3</v>
      </c>
      <c r="Q83" s="1">
        <f>(Main_M[[#This Row],[ROE]]-VLOOKUP(Main_M[[#This Row],[Industry]], Mean_ROE_M, 2, FALSE))/(VLOOKUP(Main_M[[#This Row],[Industry]], Mean_ROE_M, 3, FALSE))</f>
        <v>1.0725557410033935</v>
      </c>
      <c r="R83" s="1">
        <f>(Main_M[[#This Row],[ROA]]-VLOOKUP(Main_M[[#This Row],[Industry]], Mean_ROA_M, 2, FALSE))/(VLOOKUP(Main_M[[#This Row],[Industry]], Mean_ROA_M, 3, FALSE))</f>
        <v>0.29706089082706166</v>
      </c>
      <c r="S83" s="1">
        <f>(Main_M[[#This Row],[A/E]]-VLOOKUP(Main_M[[#This Row],[Industry]], Mean_AE_M, 2, FALSE))/(VLOOKUP(Main_M[[#This Row],[Industry]], Mean_AE_M, 3, FALSE))</f>
        <v>1.7963693671150391</v>
      </c>
      <c r="T83" s="1">
        <f>(Main_M[[#This Row],[P/E]]-VLOOKUP(Main_M[[#This Row],[Industry]], Mean_PE_M, 2, FALSE))/(VLOOKUP(Main_M[[#This Row],[Industry]], Mean_PE_M, 3, FALSE))</f>
        <v>-0.68879184598044974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t="s">
        <v>108</v>
      </c>
      <c r="B84" t="s">
        <v>228</v>
      </c>
      <c r="C84" s="2">
        <v>2611</v>
      </c>
      <c r="D84">
        <f>RTD("tos.rtd", , "LAST", Main_M[[#This Row],[Symbol]])</f>
        <v>63.04</v>
      </c>
      <c r="E84">
        <v>1.95</v>
      </c>
      <c r="F84">
        <v>37.090000000000003</v>
      </c>
      <c r="G84">
        <v>8.31</v>
      </c>
      <c r="H84" s="1">
        <f>IF(ISNUMBER(Main_M[[#This Row],[Free CF]]),IF(Main_M[[#This Row],[Free CF]]&lt;&gt;0,Main_M[[#This Row],[Current Price]]/Main_M[[#This Row],[Free CF]],""),"")</f>
        <v>32.328205128205127</v>
      </c>
      <c r="I84" s="1">
        <f>IF(ISNUMBER(Main_M[[#This Row],[BVPS]]),IF(Main_M[[#This Row],[BVPS]]&lt;&gt;0,Main_M[[#This Row],[Current Price]]/Main_M[[#This Row],[BVPS]],""),"")</f>
        <v>1.6996495012132649</v>
      </c>
      <c r="J84">
        <v>25.68</v>
      </c>
      <c r="K84">
        <v>14.12</v>
      </c>
      <c r="L84">
        <v>1.38</v>
      </c>
      <c r="M84" s="1">
        <f>IF(ISNUMBER(Main_M[[#This Row],[EPS]]),IF(Main_M[[#This Row],[EPS]]&lt;&gt;0,Main_M[[#This Row],[Current Price]]/Main_M[[#This Row],[EPS]],""),"")</f>
        <v>7.5860409145607699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1.1891336377837349</v>
      </c>
      <c r="P84" s="1">
        <f>(Main_M[[#This Row],[P/B]]-VLOOKUP(Main_M[[#This Row],[Industry]], Mean_PB_M, 2, FALSE))/(VLOOKUP(Main_M[[#This Row],[Industry]], Mean_PB_M, 3, FALSE))</f>
        <v>-0.10307288898731291</v>
      </c>
      <c r="Q84" s="1">
        <f>(Main_M[[#This Row],[ROE]]-VLOOKUP(Main_M[[#This Row],[Industry]], Mean_ROE_M, 2, FALSE))/(VLOOKUP(Main_M[[#This Row],[Industry]], Mean_ROE_M, 3, FALSE))</f>
        <v>0.9395689224775069</v>
      </c>
      <c r="R84" s="1">
        <f>(Main_M[[#This Row],[ROA]]-VLOOKUP(Main_M[[#This Row],[Industry]], Mean_ROA_M, 2, FALSE))/(VLOOKUP(Main_M[[#This Row],[Industry]], Mean_ROA_M, 3, FALSE))</f>
        <v>1.9260961165939829</v>
      </c>
      <c r="S84" s="1">
        <f>(Main_M[[#This Row],[A/E]]-VLOOKUP(Main_M[[#This Row],[Industry]], Mean_AE_M, 2, FALSE))/(VLOOKUP(Main_M[[#This Row],[Industry]], Mean_AE_M, 3, FALSE))</f>
        <v>-0.76420133297159065</v>
      </c>
      <c r="T84" s="1">
        <f>(Main_M[[#This Row],[P/E]]-VLOOKUP(Main_M[[#This Row],[Industry]], Mean_PE_M, 2, FALSE))/(VLOOKUP(Main_M[[#This Row],[Industry]], Mean_PE_M, 3, FALSE))</f>
        <v>-0.64924885241866037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t="s">
        <v>108</v>
      </c>
      <c r="B85" t="s">
        <v>229</v>
      </c>
      <c r="C85" s="2">
        <v>4535</v>
      </c>
      <c r="D85">
        <f>RTD("tos.rtd", , "LAST", Main_M[[#This Row],[Symbol]])</f>
        <v>171.2</v>
      </c>
      <c r="E85">
        <v>9.7200000000000006</v>
      </c>
      <c r="F85">
        <v>25.61</v>
      </c>
      <c r="G85">
        <v>9</v>
      </c>
      <c r="H85" s="1">
        <f>IF(ISNUMBER(Main_M[[#This Row],[Free CF]]),IF(Main_M[[#This Row],[Free CF]]&lt;&gt;0,Main_M[[#This Row],[Current Price]]/Main_M[[#This Row],[Free CF]],""),"")</f>
        <v>17.613168724279834</v>
      </c>
      <c r="I85" s="1">
        <f>IF(ISNUMBER(Main_M[[#This Row],[BVPS]]),IF(Main_M[[#This Row],[BVPS]]&lt;&gt;0,Main_M[[#This Row],[Current Price]]/Main_M[[#This Row],[BVPS]],""),"")</f>
        <v>6.6848887153455676</v>
      </c>
      <c r="J85">
        <v>37.86</v>
      </c>
      <c r="K85">
        <v>12.15</v>
      </c>
      <c r="L85">
        <v>2.89</v>
      </c>
      <c r="M85" s="1">
        <f>IF(ISNUMBER(Main_M[[#This Row],[EPS]]),IF(Main_M[[#This Row],[EPS]]&lt;&gt;0,Main_M[[#This Row],[Current Price]]/Main_M[[#This Row],[EPS]],""),"")</f>
        <v>19.022222222222222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0.18358887395791293</v>
      </c>
      <c r="P85" s="1">
        <f>(Main_M[[#This Row],[P/B]]-VLOOKUP(Main_M[[#This Row],[Industry]], Mean_PB_M, 2, FALSE))/(VLOOKUP(Main_M[[#This Row],[Industry]], Mean_PB_M, 3, FALSE))</f>
        <v>4.1105919281973264</v>
      </c>
      <c r="Q85" s="1">
        <f>(Main_M[[#This Row],[ROE]]-VLOOKUP(Main_M[[#This Row],[Industry]], Mean_ROE_M, 2, FALSE))/(VLOOKUP(Main_M[[#This Row],[Industry]], Mean_ROE_M, 3, FALSE))</f>
        <v>2.0194218889077056</v>
      </c>
      <c r="R85" s="1">
        <f>(Main_M[[#This Row],[ROA]]-VLOOKUP(Main_M[[#This Row],[Industry]], Mean_ROA_M, 2, FALSE))/(VLOOKUP(Main_M[[#This Row],[Industry]], Mean_ROA_M, 3, FALSE))</f>
        <v>1.261665600080353</v>
      </c>
      <c r="S85" s="1">
        <f>(Main_M[[#This Row],[A/E]]-VLOOKUP(Main_M[[#This Row],[Industry]], Mean_AE_M, 2, FALSE))/(VLOOKUP(Main_M[[#This Row],[Industry]], Mean_AE_M, 3, FALSE))</f>
        <v>2.2330558430988057</v>
      </c>
      <c r="T85" s="1">
        <f>(Main_M[[#This Row],[P/E]]-VLOOKUP(Main_M[[#This Row],[Industry]], Mean_PE_M, 2, FALSE))/(VLOOKUP(Main_M[[#This Row],[Industry]], Mean_PE_M, 3, FALSE))</f>
        <v>0.7025044816940651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t="s">
        <v>108</v>
      </c>
      <c r="B86" t="s">
        <v>230</v>
      </c>
      <c r="C86" s="2">
        <v>3853</v>
      </c>
      <c r="D86">
        <f>RTD("tos.rtd", , "LAST", Main_M[[#This Row],[Symbol]])</f>
        <v>56</v>
      </c>
      <c r="E86">
        <v>-0.56000000000000005</v>
      </c>
      <c r="F86">
        <v>57.05</v>
      </c>
      <c r="G86">
        <v>8.2200000000000006</v>
      </c>
      <c r="H86" s="1">
        <f>IF(ISNUMBER(Main_M[[#This Row],[Free CF]]),IF(Main_M[[#This Row],[Free CF]]&lt;&gt;0,Main_M[[#This Row],[Current Price]]/Main_M[[#This Row],[Free CF]],""),"")</f>
        <v>-99.999999999999986</v>
      </c>
      <c r="I86" s="1">
        <f>IF(ISNUMBER(Main_M[[#This Row],[BVPS]]),IF(Main_M[[#This Row],[BVPS]]&lt;&gt;0,Main_M[[#This Row],[Current Price]]/Main_M[[#This Row],[BVPS]],""),"")</f>
        <v>0.98159509202453987</v>
      </c>
      <c r="J86">
        <v>15.7</v>
      </c>
      <c r="K86">
        <v>7.17</v>
      </c>
      <c r="L86">
        <v>1.71</v>
      </c>
      <c r="M86" s="1">
        <f>IF(ISNUMBER(Main_M[[#This Row],[EPS]]),IF(Main_M[[#This Row],[EPS]]&lt;&gt;0,Main_M[[#This Row],[Current Price]]/Main_M[[#This Row],[EPS]],""),"")</f>
        <v>6.8126520681265204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-7.8534490728945165</v>
      </c>
      <c r="P86" s="1">
        <f>(Main_M[[#This Row],[P/B]]-VLOOKUP(Main_M[[#This Row],[Industry]], Mean_PB_M, 2, FALSE))/(VLOOKUP(Main_M[[#This Row],[Industry]], Mean_PB_M, 3, FALSE))</f>
        <v>-0.7099927319199566</v>
      </c>
      <c r="Q86" s="1">
        <f>(Main_M[[#This Row],[ROE]]-VLOOKUP(Main_M[[#This Row],[Industry]], Mean_ROE_M, 2, FALSE))/(VLOOKUP(Main_M[[#This Row],[Industry]], Mean_ROE_M, 3, FALSE))</f>
        <v>5.4763289885275117E-2</v>
      </c>
      <c r="R86" s="1">
        <f>(Main_M[[#This Row],[ROA]]-VLOOKUP(Main_M[[#This Row],[Industry]], Mean_ROA_M, 2, FALSE))/(VLOOKUP(Main_M[[#This Row],[Industry]], Mean_ROA_M, 3, FALSE))</f>
        <v>-0.41796078176628659</v>
      </c>
      <c r="S86" s="1">
        <f>(Main_M[[#This Row],[A/E]]-VLOOKUP(Main_M[[#This Row],[Industry]], Mean_AE_M, 2, FALSE))/(VLOOKUP(Main_M[[#This Row],[Industry]], Mean_AE_M, 3, FALSE))</f>
        <v>-0.10917161899594101</v>
      </c>
      <c r="T86" s="1">
        <f>(Main_M[[#This Row],[P/E]]-VLOOKUP(Main_M[[#This Row],[Industry]], Mean_PE_M, 2, FALSE))/(VLOOKUP(Main_M[[#This Row],[Industry]], Mean_PE_M, 3, FALSE))</f>
        <v>-0.7406631911396393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t="s">
        <v>108</v>
      </c>
      <c r="B87" t="s">
        <v>231</v>
      </c>
      <c r="C87" s="2">
        <v>2918</v>
      </c>
      <c r="D87">
        <f>RTD("tos.rtd", , "LAST", Main_M[[#This Row],[Symbol]])</f>
        <v>114.19</v>
      </c>
      <c r="E87">
        <v>4.5999999999999996</v>
      </c>
      <c r="F87">
        <v>112.29</v>
      </c>
      <c r="G87">
        <v>18.93</v>
      </c>
      <c r="H87" s="1">
        <f>IF(ISNUMBER(Main_M[[#This Row],[Free CF]]),IF(Main_M[[#This Row],[Free CF]]&lt;&gt;0,Main_M[[#This Row],[Current Price]]/Main_M[[#This Row],[Free CF]],""),"")</f>
        <v>24.823913043478264</v>
      </c>
      <c r="I87" s="1">
        <f>IF(ISNUMBER(Main_M[[#This Row],[BVPS]]),IF(Main_M[[#This Row],[BVPS]]&lt;&gt;0,Main_M[[#This Row],[Current Price]]/Main_M[[#This Row],[BVPS]],""),"")</f>
        <v>1.0169204737732656</v>
      </c>
      <c r="J87">
        <v>19.02</v>
      </c>
      <c r="K87">
        <v>9.3800000000000008</v>
      </c>
      <c r="L87">
        <v>1.53</v>
      </c>
      <c r="M87" s="1">
        <f>IF(ISNUMBER(Main_M[[#This Row],[EPS]]),IF(Main_M[[#This Row],[EPS]]&lt;&gt;0,Main_M[[#This Row],[Current Price]]/Main_M[[#This Row],[EPS]],""),"")</f>
        <v>6.0322239830956157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0.67633153489503517</v>
      </c>
      <c r="P87" s="1">
        <f>(Main_M[[#This Row],[P/B]]-VLOOKUP(Main_M[[#This Row],[Industry]], Mean_PB_M, 2, FALSE))/(VLOOKUP(Main_M[[#This Row],[Industry]], Mean_PB_M, 3, FALSE))</f>
        <v>-0.68013472273831899</v>
      </c>
      <c r="Q87" s="1">
        <f>(Main_M[[#This Row],[ROE]]-VLOOKUP(Main_M[[#This Row],[Industry]], Mean_ROE_M, 2, FALSE))/(VLOOKUP(Main_M[[#This Row],[Industry]], Mean_ROE_M, 3, FALSE))</f>
        <v>0.34910744822257067</v>
      </c>
      <c r="R87" s="1">
        <f>(Main_M[[#This Row],[ROA]]-VLOOKUP(Main_M[[#This Row],[Industry]], Mean_ROA_M, 2, FALSE))/(VLOOKUP(Main_M[[#This Row],[Industry]], Mean_ROA_M, 3, FALSE))</f>
        <v>0.32741558447489305</v>
      </c>
      <c r="S87" s="1">
        <f>(Main_M[[#This Row],[A/E]]-VLOOKUP(Main_M[[#This Row],[Industry]], Mean_AE_M, 2, FALSE))/(VLOOKUP(Main_M[[#This Row],[Industry]], Mean_AE_M, 3, FALSE))</f>
        <v>-0.46646055389174967</v>
      </c>
      <c r="T87" s="1">
        <f>(Main_M[[#This Row],[P/E]]-VLOOKUP(Main_M[[#This Row],[Industry]], Mean_PE_M, 2, FALSE))/(VLOOKUP(Main_M[[#This Row],[Industry]], Mean_PE_M, 3, FALSE))</f>
        <v>-0.83290956583369857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t="s">
        <v>108</v>
      </c>
      <c r="B88" t="s">
        <v>232</v>
      </c>
      <c r="C88" s="2">
        <v>4892</v>
      </c>
      <c r="D88">
        <f>RTD("tos.rtd", , "LAST", Main_M[[#This Row],[Symbol]])</f>
        <v>71.069999999999993</v>
      </c>
      <c r="E88">
        <v>-5.26</v>
      </c>
      <c r="F88">
        <v>72.319999999999993</v>
      </c>
      <c r="G88">
        <v>9.89</v>
      </c>
      <c r="H88" s="1">
        <f>IF(ISNUMBER(Main_M[[#This Row],[Free CF]]),IF(Main_M[[#This Row],[Free CF]]&lt;&gt;0,Main_M[[#This Row],[Current Price]]/Main_M[[#This Row],[Free CF]],""),"")</f>
        <v>-13.511406844106464</v>
      </c>
      <c r="I88" s="1">
        <f>IF(ISNUMBER(Main_M[[#This Row],[BVPS]]),IF(Main_M[[#This Row],[BVPS]]&lt;&gt;0,Main_M[[#This Row],[Current Price]]/Main_M[[#This Row],[BVPS]],""),"")</f>
        <v>0.98271570796460173</v>
      </c>
      <c r="J88">
        <v>14.58</v>
      </c>
      <c r="K88">
        <v>7.79</v>
      </c>
      <c r="L88">
        <v>1.48</v>
      </c>
      <c r="M88" s="1">
        <f>IF(ISNUMBER(Main_M[[#This Row],[EPS]]),IF(Main_M[[#This Row],[EPS]]&lt;&gt;0,Main_M[[#This Row],[Current Price]]/Main_M[[#This Row],[EPS]],""),"")</f>
        <v>7.1860465116279055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-1.9432936650987565</v>
      </c>
      <c r="P88" s="1">
        <f>(Main_M[[#This Row],[P/B]]-VLOOKUP(Main_M[[#This Row],[Industry]], Mean_PB_M, 2, FALSE))/(VLOOKUP(Main_M[[#This Row],[Industry]], Mean_PB_M, 3, FALSE))</f>
        <v>-0.70904555571488515</v>
      </c>
      <c r="Q88" s="1">
        <f>(Main_M[[#This Row],[ROE]]-VLOOKUP(Main_M[[#This Row],[Industry]], Mean_ROE_M, 2, FALSE))/(VLOOKUP(Main_M[[#This Row],[Industry]], Mean_ROE_M, 3, FALSE))</f>
        <v>-4.4533534614053426E-2</v>
      </c>
      <c r="R88" s="1">
        <f>(Main_M[[#This Row],[ROA]]-VLOOKUP(Main_M[[#This Row],[Industry]], Mean_ROA_M, 2, FALSE))/(VLOOKUP(Main_M[[#This Row],[Industry]], Mean_ROA_M, 3, FALSE))</f>
        <v>-0.20885066997011859</v>
      </c>
      <c r="S88" s="1">
        <f>(Main_M[[#This Row],[A/E]]-VLOOKUP(Main_M[[#This Row],[Industry]], Mean_AE_M, 2, FALSE))/(VLOOKUP(Main_M[[#This Row],[Industry]], Mean_AE_M, 3, FALSE))</f>
        <v>-0.5657074802516967</v>
      </c>
      <c r="T88" s="1">
        <f>(Main_M[[#This Row],[P/E]]-VLOOKUP(Main_M[[#This Row],[Industry]], Mean_PE_M, 2, FALSE))/(VLOOKUP(Main_M[[#This Row],[Industry]], Mean_PE_M, 3, FALSE))</f>
        <v>-0.69652807554786189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t="s">
        <v>108</v>
      </c>
      <c r="B89" t="s">
        <v>233</v>
      </c>
      <c r="C89" s="2">
        <v>5015</v>
      </c>
      <c r="D89">
        <f>RTD("tos.rtd", , "LAST", Main_M[[#This Row],[Symbol]])</f>
        <v>92.82</v>
      </c>
      <c r="E89">
        <v>2.58</v>
      </c>
      <c r="F89">
        <v>26.72</v>
      </c>
      <c r="G89">
        <v>2.83</v>
      </c>
      <c r="H89" s="1">
        <f>IF(ISNUMBER(Main_M[[#This Row],[Free CF]]),IF(Main_M[[#This Row],[Free CF]]&lt;&gt;0,Main_M[[#This Row],[Current Price]]/Main_M[[#This Row],[Free CF]],""),"")</f>
        <v>35.97674418604651</v>
      </c>
      <c r="I89" s="1">
        <f>IF(ISNUMBER(Main_M[[#This Row],[BVPS]]),IF(Main_M[[#This Row],[BVPS]]&lt;&gt;0,Main_M[[#This Row],[Current Price]]/Main_M[[#This Row],[BVPS]],""),"")</f>
        <v>3.4738023952095807</v>
      </c>
      <c r="J89">
        <v>11.3</v>
      </c>
      <c r="K89">
        <v>6.48</v>
      </c>
      <c r="L89">
        <v>1.33</v>
      </c>
      <c r="M89" s="1">
        <f>IF(ISNUMBER(Main_M[[#This Row],[EPS]]),IF(Main_M[[#This Row],[EPS]]&lt;&gt;0,Main_M[[#This Row],[Current Price]]/Main_M[[#This Row],[EPS]],""),"")</f>
        <v>32.798586572438161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1.438454756979046</v>
      </c>
      <c r="P89" s="1">
        <f>(Main_M[[#This Row],[P/B]]-VLOOKUP(Main_M[[#This Row],[Industry]], Mean_PB_M, 2, FALSE))/(VLOOKUP(Main_M[[#This Row],[Industry]], Mean_PB_M, 3, FALSE))</f>
        <v>1.3964911858009723</v>
      </c>
      <c r="Q89" s="1">
        <f>(Main_M[[#This Row],[ROE]]-VLOOKUP(Main_M[[#This Row],[Industry]], Mean_ROE_M, 2, FALSE))/(VLOOKUP(Main_M[[#This Row],[Industry]], Mean_ROE_M, 3, FALSE))</f>
        <v>-0.33533137779065858</v>
      </c>
      <c r="R89" s="1">
        <f>(Main_M[[#This Row],[ROA]]-VLOOKUP(Main_M[[#This Row],[Industry]], Mean_ROA_M, 2, FALSE))/(VLOOKUP(Main_M[[#This Row],[Industry]], Mean_ROA_M, 3, FALSE))</f>
        <v>-0.65068009973298946</v>
      </c>
      <c r="S89" s="1">
        <f>(Main_M[[#This Row],[A/E]]-VLOOKUP(Main_M[[#This Row],[Industry]], Mean_AE_M, 2, FALSE))/(VLOOKUP(Main_M[[#This Row],[Industry]], Mean_AE_M, 3, FALSE))</f>
        <v>-0.86344825933153713</v>
      </c>
      <c r="T89" s="1">
        <f>(Main_M[[#This Row],[P/E]]-VLOOKUP(Main_M[[#This Row],[Industry]], Mean_PE_M, 2, FALSE))/(VLOOKUP(Main_M[[#This Row],[Industry]], Mean_PE_M, 3, FALSE))</f>
        <v>2.3308667768843718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t="s">
        <v>108</v>
      </c>
      <c r="B90" t="s">
        <v>234</v>
      </c>
      <c r="C90" s="2">
        <v>5854</v>
      </c>
      <c r="D90">
        <f>RTD("tos.rtd", , "LAST", Main_M[[#This Row],[Symbol]])</f>
        <v>61.23</v>
      </c>
      <c r="E90">
        <v>3.69</v>
      </c>
      <c r="F90">
        <v>59.15</v>
      </c>
      <c r="G90">
        <v>8.6</v>
      </c>
      <c r="H90" s="1">
        <f>IF(ISNUMBER(Main_M[[#This Row],[Free CF]]),IF(Main_M[[#This Row],[Free CF]]&lt;&gt;0,Main_M[[#This Row],[Current Price]]/Main_M[[#This Row],[Free CF]],""),"")</f>
        <v>16.59349593495935</v>
      </c>
      <c r="I90" s="1">
        <f>IF(ISNUMBER(Main_M[[#This Row],[BVPS]]),IF(Main_M[[#This Row],[BVPS]]&lt;&gt;0,Main_M[[#This Row],[Current Price]]/Main_M[[#This Row],[BVPS]],""),"")</f>
        <v>1.035164835164835</v>
      </c>
      <c r="J90">
        <v>15.97</v>
      </c>
      <c r="K90">
        <v>8.77</v>
      </c>
      <c r="L90">
        <v>1.58</v>
      </c>
      <c r="M90" s="1">
        <f>IF(ISNUMBER(Main_M[[#This Row],[EPS]]),IF(Main_M[[#This Row],[EPS]]&lt;&gt;0,Main_M[[#This Row],[Current Price]]/Main_M[[#This Row],[EPS]],""),"")</f>
        <v>7.1197674418604651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>
        <f>(Main_M[[#This Row],[P/FCF]]-VLOOKUP(Main_M[[#This Row],[Industry]], Mean_PFCF_M, 2, FALSE))/(VLOOKUP(Main_M[[#This Row],[Industry]], Mean_PFCF_M, 3, FALSE))</f>
        <v>0.11391003620502953</v>
      </c>
      <c r="P90" s="1">
        <f>(Main_M[[#This Row],[P/B]]-VLOOKUP(Main_M[[#This Row],[Industry]], Mean_PB_M, 2, FALSE))/(VLOOKUP(Main_M[[#This Row],[Industry]], Mean_PB_M, 3, FALSE))</f>
        <v>-0.66471407381745506</v>
      </c>
      <c r="Q90" s="1">
        <f>(Main_M[[#This Row],[ROE]]-VLOOKUP(Main_M[[#This Row],[Industry]], Mean_ROE_M, 2, FALSE))/(VLOOKUP(Main_M[[#This Row],[Industry]], Mean_ROE_M, 3, FALSE))</f>
        <v>7.8700917219934816E-2</v>
      </c>
      <c r="R90" s="1">
        <f>(Main_M[[#This Row],[ROA]]-VLOOKUP(Main_M[[#This Row],[Industry]], Mean_ROA_M, 2, FALSE))/(VLOOKUP(Main_M[[#This Row],[Industry]], Mean_ROA_M, 3, FALSE))</f>
        <v>0.12167821641737256</v>
      </c>
      <c r="S90" s="1">
        <f>(Main_M[[#This Row],[A/E]]-VLOOKUP(Main_M[[#This Row],[Industry]], Mean_AE_M, 2, FALSE))/(VLOOKUP(Main_M[[#This Row],[Industry]], Mean_AE_M, 3, FALSE))</f>
        <v>-0.3672136275318027</v>
      </c>
      <c r="T90" s="1">
        <f>(Main_M[[#This Row],[P/E]]-VLOOKUP(Main_M[[#This Row],[Industry]], Mean_PE_M, 2, FALSE))/(VLOOKUP(Main_M[[#This Row],[Industry]], Mean_PE_M, 3, FALSE))</f>
        <v>-0.70436224248958446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t="s">
        <v>108</v>
      </c>
      <c r="B91" t="s">
        <v>235</v>
      </c>
      <c r="C91" s="2">
        <v>2817</v>
      </c>
      <c r="D91">
        <f>RTD("tos.rtd", , "LAST", Main_M[[#This Row],[Symbol]])</f>
        <v>32.270000000000003</v>
      </c>
      <c r="E91">
        <v>5.32</v>
      </c>
      <c r="F91">
        <v>36.64</v>
      </c>
      <c r="G91">
        <v>4.51</v>
      </c>
      <c r="H91" s="1">
        <f>IF(ISNUMBER(Main_M[[#This Row],[Free CF]]),IF(Main_M[[#This Row],[Free CF]]&lt;&gt;0,Main_M[[#This Row],[Current Price]]/Main_M[[#This Row],[Free CF]],""),"")</f>
        <v>6.0657894736842106</v>
      </c>
      <c r="I91" s="1">
        <f>IF(ISNUMBER(Main_M[[#This Row],[BVPS]]),IF(Main_M[[#This Row],[BVPS]]&lt;&gt;0,Main_M[[#This Row],[Current Price]]/Main_M[[#This Row],[BVPS]],""),"")</f>
        <v>0.88073144104803502</v>
      </c>
      <c r="J91">
        <v>13.28</v>
      </c>
      <c r="K91">
        <v>6.93</v>
      </c>
      <c r="L91">
        <v>1.45</v>
      </c>
      <c r="M91" s="1">
        <f>IF(ISNUMBER(Main_M[[#This Row],[EPS]]),IF(Main_M[[#This Row],[EPS]]&lt;&gt;0,Main_M[[#This Row],[Current Price]]/Main_M[[#This Row],[EPS]],""),"")</f>
        <v>7.155210643015522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1" s="1">
        <f>(Main_M[[#This Row],[P/FCF]]-VLOOKUP(Main_M[[#This Row],[Industry]], Mean_PFCF_M, 2, FALSE))/(VLOOKUP(Main_M[[#This Row],[Industry]], Mean_PFCF_M, 3, FALSE))</f>
        <v>-0.60549559872813385</v>
      </c>
      <c r="P91" s="1">
        <f>(Main_M[[#This Row],[P/B]]-VLOOKUP(Main_M[[#This Row],[Industry]], Mean_PB_M, 2, FALSE))/(VLOOKUP(Main_M[[#This Row],[Industry]], Mean_PB_M, 3, FALSE))</f>
        <v>-0.79524553508488216</v>
      </c>
      <c r="Q91" s="1">
        <f>(Main_M[[#This Row],[ROE]]-VLOOKUP(Main_M[[#This Row],[Industry]], Mean_ROE_M, 2, FALSE))/(VLOOKUP(Main_M[[#This Row],[Industry]], Mean_ROE_M, 3, FALSE))</f>
        <v>-0.1597887773364885</v>
      </c>
      <c r="R91" s="1">
        <f>(Main_M[[#This Row],[ROA]]-VLOOKUP(Main_M[[#This Row],[Industry]], Mean_ROA_M, 2, FALSE))/(VLOOKUP(Main_M[[#This Row],[Industry]], Mean_ROA_M, 3, FALSE))</f>
        <v>-0.49890663149383552</v>
      </c>
      <c r="S91" s="1">
        <f>(Main_M[[#This Row],[A/E]]-VLOOKUP(Main_M[[#This Row],[Industry]], Mean_AE_M, 2, FALSE))/(VLOOKUP(Main_M[[#This Row],[Industry]], Mean_AE_M, 3, FALSE))</f>
        <v>-0.62525563606766488</v>
      </c>
      <c r="T91" s="1">
        <f>(Main_M[[#This Row],[P/E]]-VLOOKUP(Main_M[[#This Row],[Industry]], Mean_PE_M, 2, FALSE))/(VLOOKUP(Main_M[[#This Row],[Industry]], Mean_PE_M, 3, FALSE))</f>
        <v>-0.70017286632947762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t="s">
        <v>108</v>
      </c>
      <c r="B92" t="s">
        <v>236</v>
      </c>
      <c r="C92" s="2">
        <v>4256</v>
      </c>
      <c r="D92">
        <f>RTD("tos.rtd", , "LAST", Main_M[[#This Row],[Symbol]])</f>
        <v>84.05</v>
      </c>
      <c r="E92">
        <v>10.47</v>
      </c>
      <c r="F92">
        <v>46.76</v>
      </c>
      <c r="G92">
        <v>0.13</v>
      </c>
      <c r="H92" s="1">
        <f>IF(ISNUMBER(Main_M[[#This Row],[Free CF]]),IF(Main_M[[#This Row],[Free CF]]&lt;&gt;0,Main_M[[#This Row],[Current Price]]/Main_M[[#This Row],[Free CF]],""),"")</f>
        <v>8.0276981852913085</v>
      </c>
      <c r="I92" s="1">
        <f>IF(ISNUMBER(Main_M[[#This Row],[BVPS]]),IF(Main_M[[#This Row],[BVPS]]&lt;&gt;0,Main_M[[#This Row],[Current Price]]/Main_M[[#This Row],[BVPS]],""),"")</f>
        <v>1.7974764756201882</v>
      </c>
      <c r="J92">
        <v>0.96</v>
      </c>
      <c r="K92">
        <v>3.42</v>
      </c>
      <c r="L92">
        <v>6.42</v>
      </c>
      <c r="M92" s="1">
        <f>IF(ISNUMBER(Main_M[[#This Row],[EPS]]),IF(Main_M[[#This Row],[EPS]]&lt;&gt;0,Main_M[[#This Row],[Current Price]]/Main_M[[#This Row],[EPS]],""),"")</f>
        <v>646.53846153846155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-0.47142953338462351</v>
      </c>
      <c r="P92" s="1">
        <f>(Main_M[[#This Row],[P/B]]-VLOOKUP(Main_M[[#This Row],[Industry]], Mean_PB_M, 2, FALSE))/(VLOOKUP(Main_M[[#This Row],[Industry]], Mean_PB_M, 3, FALSE))</f>
        <v>-2.0386770523522897E-2</v>
      </c>
      <c r="Q92" s="1">
        <f>(Main_M[[#This Row],[ROE]]-VLOOKUP(Main_M[[#This Row],[Industry]], Mean_ROE_M, 2, FALSE))/(VLOOKUP(Main_M[[#This Row],[Industry]], Mean_ROE_M, 3, FALSE))</f>
        <v>-1.2520538468291031</v>
      </c>
      <c r="R92" s="1">
        <f>(Main_M[[#This Row],[ROA]]-VLOOKUP(Main_M[[#This Row],[Industry]], Mean_ROA_M, 2, FALSE))/(VLOOKUP(Main_M[[#This Row],[Industry]], Mean_ROA_M, 3, FALSE))</f>
        <v>-1.6827396837592379</v>
      </c>
      <c r="S92" s="1">
        <f>(Main_M[[#This Row],[A/E]]-VLOOKUP(Main_M[[#This Row],[Industry]], Mean_AE_M, 2, FALSE))/(VLOOKUP(Main_M[[#This Row],[Industry]], Mean_AE_M, 3, FALSE))</f>
        <v>9.2398888441110554</v>
      </c>
      <c r="T92" s="1">
        <f>(Main_M[[#This Row],[P/E]]-VLOOKUP(Main_M[[#This Row],[Industry]], Mean_PE_M, 2, FALSE))/(VLOOKUP(Main_M[[#This Row],[Industry]], Mean_PE_M, 3, FALSE))</f>
        <v>74.874743088766365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3" spans="1:26" x14ac:dyDescent="0.25">
      <c r="A93" t="s">
        <v>108</v>
      </c>
      <c r="B93" t="s">
        <v>237</v>
      </c>
      <c r="C93" s="2">
        <v>2088</v>
      </c>
      <c r="D93">
        <f>RTD("tos.rtd", , "LAST", Main_M[[#This Row],[Symbol]])</f>
        <v>6.06</v>
      </c>
      <c r="E93">
        <v>-0.02</v>
      </c>
      <c r="F93">
        <v>6.44</v>
      </c>
      <c r="G93">
        <v>-0.59</v>
      </c>
      <c r="H93" s="1">
        <f>IF(ISNUMBER(Main_M[[#This Row],[Free CF]]),IF(Main_M[[#This Row],[Free CF]]&lt;&gt;0,Main_M[[#This Row],[Current Price]]/Main_M[[#This Row],[Free CF]],""),"")</f>
        <v>-303</v>
      </c>
      <c r="I93" s="1">
        <f>IF(ISNUMBER(Main_M[[#This Row],[BVPS]]),IF(Main_M[[#This Row],[BVPS]]&lt;&gt;0,Main_M[[#This Row],[Current Price]]/Main_M[[#This Row],[BVPS]],""),"")</f>
        <v>0.94099378881987561</v>
      </c>
      <c r="J93">
        <v>-8.4600000000000009</v>
      </c>
      <c r="K93">
        <v>2.76</v>
      </c>
      <c r="L93">
        <v>4.1900000000000004</v>
      </c>
      <c r="M93" s="1">
        <f>IF(ISNUMBER(Main_M[[#This Row],[EPS]]),IF(Main_M[[#This Row],[EPS]]&lt;&gt;0,Main_M[[#This Row],[Current Price]]/Main_M[[#This Row],[EPS]],""),"")</f>
        <v>-10.271186440677965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-21.725354072204649</v>
      </c>
      <c r="P93" s="1">
        <f>(Main_M[[#This Row],[P/B]]-VLOOKUP(Main_M[[#This Row],[Industry]], Mean_PB_M, 2, FALSE))/(VLOOKUP(Main_M[[#This Row],[Industry]], Mean_PB_M, 3, FALSE))</f>
        <v>-0.7443100987496879</v>
      </c>
      <c r="Q93" s="1">
        <f>(Main_M[[#This Row],[ROE]]-VLOOKUP(Main_M[[#This Row],[Industry]], Mean_ROE_M, 2, FALSE))/(VLOOKUP(Main_M[[#This Row],[Industry]], Mean_ROE_M, 3, FALSE))</f>
        <v>-2.0872110671716708</v>
      </c>
      <c r="R93" s="1">
        <f>(Main_M[[#This Row],[ROA]]-VLOOKUP(Main_M[[#This Row],[Industry]], Mean_ROA_M, 2, FALSE))/(VLOOKUP(Main_M[[#This Row],[Industry]], Mean_ROA_M, 3, FALSE))</f>
        <v>-1.9053407705099974</v>
      </c>
      <c r="S93" s="1">
        <f>(Main_M[[#This Row],[A/E]]-VLOOKUP(Main_M[[#This Row],[Industry]], Mean_AE_M, 2, FALSE))/(VLOOKUP(Main_M[[#This Row],[Industry]], Mean_AE_M, 3, FALSE))</f>
        <v>4.8134759284574251</v>
      </c>
      <c r="T93" s="1">
        <f>(Main_M[[#This Row],[P/E]]-VLOOKUP(Main_M[[#This Row],[Industry]], Mean_PE_M, 2, FALSE))/(VLOOKUP(Main_M[[#This Row],[Industry]], Mean_PE_M, 3, FALSE))</f>
        <v>-2.7599679785033224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4" spans="1:26" x14ac:dyDescent="0.25">
      <c r="A94" t="s">
        <v>109</v>
      </c>
      <c r="B94" t="s">
        <v>238</v>
      </c>
      <c r="C94" s="2">
        <v>3015</v>
      </c>
      <c r="D94">
        <f>RTD("tos.rtd", , "LAST", Main_M[[#This Row],[Symbol]])</f>
        <v>52.26</v>
      </c>
      <c r="E94">
        <v>6.09</v>
      </c>
      <c r="F94">
        <v>28.47</v>
      </c>
      <c r="G94">
        <v>1.5</v>
      </c>
      <c r="H94" s="1">
        <f>IF(ISNUMBER(Main_M[[#This Row],[Free CF]]),IF(Main_M[[#This Row],[Free CF]]&lt;&gt;0,Main_M[[#This Row],[Current Price]]/Main_M[[#This Row],[Free CF]],""),"")</f>
        <v>8.5812807881773399</v>
      </c>
      <c r="I94" s="1">
        <f>IF(ISNUMBER(Main_M[[#This Row],[BVPS]]),IF(Main_M[[#This Row],[BVPS]]&lt;&gt;0,Main_M[[#This Row],[Current Price]]/Main_M[[#This Row],[BVPS]],""),"")</f>
        <v>1.8356164383561644</v>
      </c>
      <c r="J94">
        <v>5.16</v>
      </c>
      <c r="K94">
        <v>3.69</v>
      </c>
      <c r="L94">
        <v>3.13</v>
      </c>
      <c r="M94" s="1">
        <f>IF(ISNUMBER(Main_M[[#This Row],[EPS]]),IF(Main_M[[#This Row],[EPS]]&lt;&gt;0,Main_M[[#This Row],[Current Price]]/Main_M[[#This Row],[EPS]],""),"")</f>
        <v>34.839999999999996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-1.6714523166440196</v>
      </c>
      <c r="P94" s="1">
        <f>(Main_M[[#This Row],[P/B]]-VLOOKUP(Main_M[[#This Row],[Industry]], Mean_PB_M, 2, FALSE))/(VLOOKUP(Main_M[[#This Row],[Industry]], Mean_PB_M, 3, FALSE))</f>
        <v>-1.208882093445818</v>
      </c>
      <c r="Q94" s="1">
        <f>(Main_M[[#This Row],[ROE]]-VLOOKUP(Main_M[[#This Row],[Industry]], Mean_ROE_M, 2, FALSE))/(VLOOKUP(Main_M[[#This Row],[Industry]], Mean_ROE_M, 3, FALSE))</f>
        <v>-1.5202822204435682</v>
      </c>
      <c r="R94" s="1">
        <f>(Main_M[[#This Row],[ROA]]-VLOOKUP(Main_M[[#This Row],[Industry]], Mean_ROA_M, 2, FALSE))/(VLOOKUP(Main_M[[#This Row],[Industry]], Mean_ROA_M, 3, FALSE))</f>
        <v>-1.5831536492654166</v>
      </c>
      <c r="S94" s="1">
        <f>(Main_M[[#This Row],[A/E]]-VLOOKUP(Main_M[[#This Row],[Industry]], Mean_AE_M, 2, FALSE))/(VLOOKUP(Main_M[[#This Row],[Industry]], Mean_AE_M, 3, FALSE))</f>
        <v>-1.1083890935064998E-2</v>
      </c>
      <c r="T94" s="1">
        <f>(Main_M[[#This Row],[P/E]]-VLOOKUP(Main_M[[#This Row],[Industry]], Mean_PE_M, 2, FALSE))/(VLOOKUP(Main_M[[#This Row],[Industry]], Mean_PE_M, 3, FALSE))</f>
        <v>1.7925370443025821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5" spans="1:26" x14ac:dyDescent="0.25">
      <c r="A95" t="s">
        <v>109</v>
      </c>
      <c r="B95" t="s">
        <v>239</v>
      </c>
      <c r="C95" s="2">
        <v>2529</v>
      </c>
      <c r="D95">
        <f>RTD("tos.rtd", , "LAST", Main_M[[#This Row],[Symbol]])</f>
        <v>37.659999999999997</v>
      </c>
      <c r="E95">
        <v>2.93</v>
      </c>
      <c r="F95">
        <v>2.27</v>
      </c>
      <c r="G95">
        <v>0.57999999999999996</v>
      </c>
      <c r="H95" s="1">
        <f>IF(ISNUMBER(Main_M[[#This Row],[Free CF]]),IF(Main_M[[#This Row],[Free CF]]&lt;&gt;0,Main_M[[#This Row],[Current Price]]/Main_M[[#This Row],[Free CF]],""),"")</f>
        <v>12.853242320819112</v>
      </c>
      <c r="I95" s="1">
        <f>IF(ISNUMBER(Main_M[[#This Row],[BVPS]]),IF(Main_M[[#This Row],[BVPS]]&lt;&gt;0,Main_M[[#This Row],[Current Price]]/Main_M[[#This Row],[BVPS]],""),"")</f>
        <v>16.590308370044053</v>
      </c>
      <c r="J95">
        <v>11.82</v>
      </c>
      <c r="K95">
        <v>6.08</v>
      </c>
      <c r="L95">
        <v>26.08</v>
      </c>
      <c r="M95" s="1">
        <f>IF(ISNUMBER(Main_M[[#This Row],[EPS]]),IF(Main_M[[#This Row],[EPS]]&lt;&gt;0,Main_M[[#This Row],[Current Price]]/Main_M[[#This Row],[EPS]],""),"")</f>
        <v>64.931034482758619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-0.21251720493126333</v>
      </c>
      <c r="P95" s="1">
        <f>(Main_M[[#This Row],[P/B]]-VLOOKUP(Main_M[[#This Row],[Industry]], Mean_PB_M, 2, FALSE))/(VLOOKUP(Main_M[[#This Row],[Industry]], Mean_PB_M, 3, FALSE))</f>
        <v>5.9547656034255629</v>
      </c>
      <c r="Q95" s="1">
        <f>(Main_M[[#This Row],[ROE]]-VLOOKUP(Main_M[[#This Row],[Industry]], Mean_ROE_M, 2, FALSE))/(VLOOKUP(Main_M[[#This Row],[Industry]], Mean_ROE_M, 3, FALSE))</f>
        <v>-0.9015158980874366</v>
      </c>
      <c r="R95" s="1">
        <f>(Main_M[[#This Row],[ROA]]-VLOOKUP(Main_M[[#This Row],[Industry]], Mean_ROA_M, 2, FALSE))/(VLOOKUP(Main_M[[#This Row],[Industry]], Mean_ROA_M, 3, FALSE))</f>
        <v>-0.62685949044207701</v>
      </c>
      <c r="S95" s="1">
        <f>(Main_M[[#This Row],[A/E]]-VLOOKUP(Main_M[[#This Row],[Industry]], Mean_AE_M, 2, FALSE))/(VLOOKUP(Main_M[[#This Row],[Industry]], Mean_AE_M, 3, FALSE))</f>
        <v>21.186857522375938</v>
      </c>
      <c r="T95" s="1">
        <f>(Main_M[[#This Row],[P/E]]-VLOOKUP(Main_M[[#This Row],[Industry]], Mean_PE_M, 2, FALSE))/(VLOOKUP(Main_M[[#This Row],[Industry]], Mean_PE_M, 3, FALSE))</f>
        <v>5.7124364736977178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6" spans="1:26" x14ac:dyDescent="0.25">
      <c r="A96" t="s">
        <v>109</v>
      </c>
      <c r="B96" t="s">
        <v>240</v>
      </c>
      <c r="C96" s="2">
        <v>4104</v>
      </c>
      <c r="D96">
        <f>RTD("tos.rtd", , "LAST", Main_M[[#This Row],[Symbol]])</f>
        <v>70.28</v>
      </c>
      <c r="E96">
        <v>2.69</v>
      </c>
      <c r="F96">
        <v>12.7</v>
      </c>
      <c r="G96">
        <v>3.37</v>
      </c>
      <c r="H96" s="1">
        <f>IF(ISNUMBER(Main_M[[#This Row],[Free CF]]),IF(Main_M[[#This Row],[Free CF]]&lt;&gt;0,Main_M[[#This Row],[Current Price]]/Main_M[[#This Row],[Free CF]],""),"")</f>
        <v>26.12639405204461</v>
      </c>
      <c r="I96" s="1">
        <f>IF(ISNUMBER(Main_M[[#This Row],[BVPS]]),IF(Main_M[[#This Row],[BVPS]]&lt;&gt;0,Main_M[[#This Row],[Current Price]]/Main_M[[#This Row],[BVPS]],""),"")</f>
        <v>5.5338582677165356</v>
      </c>
      <c r="J96">
        <v>23.61</v>
      </c>
      <c r="K96">
        <v>8.6</v>
      </c>
      <c r="L96">
        <v>2.85</v>
      </c>
      <c r="M96" s="1">
        <f>IF(ISNUMBER(Main_M[[#This Row],[EPS]]),IF(Main_M[[#This Row],[EPS]]&lt;&gt;0,Main_M[[#This Row],[Current Price]]/Main_M[[#This Row],[EPS]],""),"")</f>
        <v>20.854599406528191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4.3204513051575359</v>
      </c>
      <c r="P96" s="1">
        <f>(Main_M[[#This Row],[P/B]]-VLOOKUP(Main_M[[#This Row],[Industry]], Mean_PB_M, 2, FALSE))/(VLOOKUP(Main_M[[#This Row],[Industry]], Mean_PB_M, 3, FALSE))</f>
        <v>0.58667566445446007</v>
      </c>
      <c r="Q96" s="1">
        <f>(Main_M[[#This Row],[ROE]]-VLOOKUP(Main_M[[#This Row],[Industry]], Mean_ROE_M, 2, FALSE))/(VLOOKUP(Main_M[[#This Row],[Industry]], Mean_ROE_M, 3, FALSE))</f>
        <v>0.19386772662409354</v>
      </c>
      <c r="R96" s="1">
        <f>(Main_M[[#This Row],[ROA]]-VLOOKUP(Main_M[[#This Row],[Industry]], Mean_ROA_M, 2, FALSE))/(VLOOKUP(Main_M[[#This Row],[Industry]], Mean_ROA_M, 3, FALSE))</f>
        <v>0.38145066865198785</v>
      </c>
      <c r="S96" s="1">
        <f>(Main_M[[#This Row],[A/E]]-VLOOKUP(Main_M[[#This Row],[Industry]], Mean_AE_M, 2, FALSE))/(VLOOKUP(Main_M[[#This Row],[Industry]], Mean_AE_M, 3, FALSE))</f>
        <v>-0.2697080127532383</v>
      </c>
      <c r="T96" s="1">
        <f>(Main_M[[#This Row],[P/E]]-VLOOKUP(Main_M[[#This Row],[Industry]], Mean_PE_M, 2, FALSE))/(VLOOKUP(Main_M[[#This Row],[Industry]], Mean_PE_M, 3, FALSE))</f>
        <v>-2.9313375550006557E-2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t="s">
        <v>109</v>
      </c>
      <c r="B97" t="s">
        <v>241</v>
      </c>
      <c r="C97" s="2">
        <v>8608</v>
      </c>
      <c r="D97">
        <f>RTD("tos.rtd", , "LAST", Main_M[[#This Row],[Symbol]])</f>
        <v>65.83</v>
      </c>
      <c r="E97">
        <v>4.3899999999999997</v>
      </c>
      <c r="F97">
        <v>8.57</v>
      </c>
      <c r="G97">
        <v>3.03</v>
      </c>
      <c r="H97" s="1">
        <f>IF(ISNUMBER(Main_M[[#This Row],[Free CF]]),IF(Main_M[[#This Row],[Free CF]]&lt;&gt;0,Main_M[[#This Row],[Current Price]]/Main_M[[#This Row],[Free CF]],""),"")</f>
        <v>14.995444191343964</v>
      </c>
      <c r="I97" s="1">
        <f>IF(ISNUMBER(Main_M[[#This Row],[BVPS]]),IF(Main_M[[#This Row],[BVPS]]&lt;&gt;0,Main_M[[#This Row],[Current Price]]/Main_M[[#This Row],[BVPS]],""),"")</f>
        <v>7.6814469078179695</v>
      </c>
      <c r="J97">
        <v>39.04</v>
      </c>
      <c r="K97">
        <v>8.35</v>
      </c>
      <c r="L97">
        <v>5.08</v>
      </c>
      <c r="M97" s="1">
        <f>IF(ISNUMBER(Main_M[[#This Row],[EPS]]),IF(Main_M[[#This Row],[EPS]]&lt;&gt;0,Main_M[[#This Row],[Current Price]]/Main_M[[#This Row],[EPS]],""),"")</f>
        <v>21.726072607260726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0.51907494574822821</v>
      </c>
      <c r="P97" s="1">
        <f>(Main_M[[#This Row],[P/B]]-VLOOKUP(Main_M[[#This Row],[Industry]], Mean_PB_M, 2, FALSE))/(VLOOKUP(Main_M[[#This Row],[Industry]], Mean_PB_M, 3, FALSE))</f>
        <v>1.6293655753464074</v>
      </c>
      <c r="Q97" s="1">
        <f>(Main_M[[#This Row],[ROE]]-VLOOKUP(Main_M[[#This Row],[Industry]], Mean_ROE_M, 2, FALSE))/(VLOOKUP(Main_M[[#This Row],[Industry]], Mean_ROE_M, 3, FALSE))</f>
        <v>1.6274359479386746</v>
      </c>
      <c r="R97" s="1">
        <f>(Main_M[[#This Row],[ROA]]-VLOOKUP(Main_M[[#This Row],[Industry]], Mean_ROA_M, 2, FALSE))/(VLOOKUP(Main_M[[#This Row],[Industry]], Mean_ROA_M, 3, FALSE))</f>
        <v>0.28141989890059255</v>
      </c>
      <c r="S97" s="1">
        <f>(Main_M[[#This Row],[A/E]]-VLOOKUP(Main_M[[#This Row],[Industry]], Mean_AE_M, 2, FALSE))/(VLOOKUP(Main_M[[#This Row],[Industry]], Mean_AE_M, 3, FALSE))</f>
        <v>1.790048386012929</v>
      </c>
      <c r="T97" s="1">
        <f>(Main_M[[#This Row],[P/E]]-VLOOKUP(Main_M[[#This Row],[Industry]], Mean_PE_M, 2, FALSE))/(VLOOKUP(Main_M[[#This Row],[Industry]], Mean_PE_M, 3, FALSE))</f>
        <v>8.4211711274175025E-2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t="s">
        <v>109</v>
      </c>
      <c r="B98" t="s">
        <v>242</v>
      </c>
      <c r="C98" s="2">
        <v>5628</v>
      </c>
      <c r="D98">
        <f>RTD("tos.rtd", , "LAST", Main_M[[#This Row],[Symbol]])</f>
        <v>19.670000000000002</v>
      </c>
      <c r="E98">
        <v>1.75</v>
      </c>
      <c r="F98">
        <v>6.5</v>
      </c>
      <c r="G98">
        <v>1.57</v>
      </c>
      <c r="H98" s="1">
        <f>IF(ISNUMBER(Main_M[[#This Row],[Free CF]]),IF(Main_M[[#This Row],[Free CF]]&lt;&gt;0,Main_M[[#This Row],[Current Price]]/Main_M[[#This Row],[Free CF]],""),"")</f>
        <v>11.24</v>
      </c>
      <c r="I98" s="1">
        <f>IF(ISNUMBER(Main_M[[#This Row],[BVPS]]),IF(Main_M[[#This Row],[BVPS]]&lt;&gt;0,Main_M[[#This Row],[Current Price]]/Main_M[[#This Row],[BVPS]],""),"")</f>
        <v>3.0261538461538464</v>
      </c>
      <c r="J98">
        <v>25.5</v>
      </c>
      <c r="K98">
        <v>7.29</v>
      </c>
      <c r="L98">
        <v>2.91</v>
      </c>
      <c r="M98" s="1">
        <f>IF(ISNUMBER(Main_M[[#This Row],[EPS]]),IF(Main_M[[#This Row],[EPS]]&lt;&gt;0,Main_M[[#This Row],[Current Price]]/Main_M[[#This Row],[EPS]],""),"")</f>
        <v>12.528662420382167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8" s="1">
        <f>(Main_M[[#This Row],[P/FCF]]-VLOOKUP(Main_M[[#This Row],[Industry]], Mean_PFCF_M, 2, FALSE))/(VLOOKUP(Main_M[[#This Row],[Industry]], Mean_PFCF_M, 3, FALSE))</f>
        <v>-0.76346220936544551</v>
      </c>
      <c r="P98" s="1">
        <f>(Main_M[[#This Row],[P/B]]-VLOOKUP(Main_M[[#This Row],[Industry]], Mean_PB_M, 2, FALSE))/(VLOOKUP(Main_M[[#This Row],[Industry]], Mean_PB_M, 3, FALSE))</f>
        <v>-0.63085643225985477</v>
      </c>
      <c r="Q98" s="1">
        <f>(Main_M[[#This Row],[ROE]]-VLOOKUP(Main_M[[#This Row],[Industry]], Mean_ROE_M, 2, FALSE))/(VLOOKUP(Main_M[[#This Row],[Industry]], Mean_ROE_M, 3, FALSE))</f>
        <v>0.36946357486029308</v>
      </c>
      <c r="R98" s="1">
        <f>(Main_M[[#This Row],[ROA]]-VLOOKUP(Main_M[[#This Row],[Industry]], Mean_ROA_M, 2, FALSE))/(VLOOKUP(Main_M[[#This Row],[Industry]], Mean_ROA_M, 3, FALSE))</f>
        <v>-0.1427105648453236</v>
      </c>
      <c r="S98" s="1">
        <f>(Main_M[[#This Row],[A/E]]-VLOOKUP(Main_M[[#This Row],[Industry]], Mean_AE_M, 2, FALSE))/(VLOOKUP(Main_M[[#This Row],[Industry]], Mean_AE_M, 3, FALSE))</f>
        <v>-0.21428855807791536</v>
      </c>
      <c r="T98" s="1">
        <f>(Main_M[[#This Row],[P/E]]-VLOOKUP(Main_M[[#This Row],[Industry]], Mean_PE_M, 2, FALSE))/(VLOOKUP(Main_M[[#This Row],[Industry]], Mean_PE_M, 3, FALSE))</f>
        <v>-1.1139166868743051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t="s">
        <v>109</v>
      </c>
      <c r="B99" t="s">
        <v>243</v>
      </c>
      <c r="C99" s="2">
        <v>2722</v>
      </c>
      <c r="D99">
        <f>RTD("tos.rtd", , "LAST", Main_M[[#This Row],[Symbol]])</f>
        <v>6.81</v>
      </c>
      <c r="E99">
        <v>0.4</v>
      </c>
      <c r="F99">
        <v>-1.28</v>
      </c>
      <c r="G99">
        <v>-0.77</v>
      </c>
      <c r="H99" s="1">
        <f>IF(ISNUMBER(Main_M[[#This Row],[Free CF]]),IF(Main_M[[#This Row],[Free CF]]&lt;&gt;0,Main_M[[#This Row],[Current Price]]/Main_M[[#This Row],[Free CF]],""),"")</f>
        <v>17.024999999999999</v>
      </c>
      <c r="I99" s="1">
        <f>IF(ISNUMBER(Main_M[[#This Row],[BVPS]]),IF(Main_M[[#This Row],[BVPS]]&lt;&gt;0,Main_M[[#This Row],[Current Price]]/Main_M[[#This Row],[BVPS]],""),"")</f>
        <v>-5.3203125</v>
      </c>
      <c r="J99">
        <v>58.32</v>
      </c>
      <c r="K99">
        <v>-3.33</v>
      </c>
      <c r="L99">
        <v>-4.24</v>
      </c>
      <c r="M99" s="1">
        <f>IF(ISNUMBER(Main_M[[#This Row],[EPS]]),IF(Main_M[[#This Row],[EPS]]&lt;&gt;0,Main_M[[#This Row],[Current Price]]/Main_M[[#This Row],[EPS]],""),"")</f>
        <v>-8.8441558441558428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1.212196877629903</v>
      </c>
      <c r="P99" s="1">
        <f>(Main_M[[#This Row],[P/B]]-VLOOKUP(Main_M[[#This Row],[Industry]], Mean_PB_M, 2, FALSE))/(VLOOKUP(Main_M[[#This Row],[Industry]], Mean_PB_M, 3, FALSE))</f>
        <v>-4.6832043019723457</v>
      </c>
      <c r="Q99" s="1">
        <f>(Main_M[[#This Row],[ROE]]-VLOOKUP(Main_M[[#This Row],[Industry]], Mean_ROE_M, 2, FALSE))/(VLOOKUP(Main_M[[#This Row],[Industry]], Mean_ROE_M, 3, FALSE))</f>
        <v>3.4186994156603285</v>
      </c>
      <c r="R99" s="1">
        <f>(Main_M[[#This Row],[ROA]]-VLOOKUP(Main_M[[#This Row],[Industry]], Mean_ROA_M, 2, FALSE))/(VLOOKUP(Main_M[[#This Row],[Industry]], Mean_ROA_M, 3, FALSE))</f>
        <v>-4.392017663884598</v>
      </c>
      <c r="S99" s="1">
        <f>(Main_M[[#This Row],[A/E]]-VLOOKUP(Main_M[[#This Row],[Industry]], Mean_AE_M, 2, FALSE))/(VLOOKUP(Main_M[[#This Row],[Industry]], Mean_AE_M, 3, FALSE))</f>
        <v>-6.8184402402205597</v>
      </c>
      <c r="T99" s="1">
        <f>(Main_M[[#This Row],[P/E]]-VLOOKUP(Main_M[[#This Row],[Industry]], Mean_PE_M, 2, FALSE))/(VLOOKUP(Main_M[[#This Row],[Industry]], Mean_PE_M, 3, FALSE))</f>
        <v>-3.8981113667791063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0" spans="1:26" x14ac:dyDescent="0.25">
      <c r="A100" t="s">
        <v>109</v>
      </c>
      <c r="B100" t="s">
        <v>244</v>
      </c>
      <c r="C100" s="2">
        <v>2312</v>
      </c>
      <c r="D100">
        <f>RTD("tos.rtd", , "LAST", Main_M[[#This Row],[Symbol]])</f>
        <v>31.67</v>
      </c>
      <c r="E100">
        <v>1.96</v>
      </c>
      <c r="F100">
        <v>8.92</v>
      </c>
      <c r="G100">
        <v>2.0499999999999998</v>
      </c>
      <c r="H100" s="1">
        <f>IF(ISNUMBER(Main_M[[#This Row],[Free CF]]),IF(Main_M[[#This Row],[Free CF]]&lt;&gt;0,Main_M[[#This Row],[Current Price]]/Main_M[[#This Row],[Free CF]],""),"")</f>
        <v>16.158163265306122</v>
      </c>
      <c r="I100" s="1">
        <f>IF(ISNUMBER(Main_M[[#This Row],[BVPS]]),IF(Main_M[[#This Row],[BVPS]]&lt;&gt;0,Main_M[[#This Row],[Current Price]]/Main_M[[#This Row],[BVPS]],""),"")</f>
        <v>3.5504484304932737</v>
      </c>
      <c r="J100">
        <v>24.01</v>
      </c>
      <c r="K100">
        <v>11.87</v>
      </c>
      <c r="L100">
        <v>1.74</v>
      </c>
      <c r="M100" s="1">
        <f>IF(ISNUMBER(Main_M[[#This Row],[EPS]]),IF(Main_M[[#This Row],[EPS]]&lt;&gt;0,Main_M[[#This Row],[Current Price]]/Main_M[[#This Row],[EPS]],""),"")</f>
        <v>15.44878048780488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0.91615990756260257</v>
      </c>
      <c r="P100" s="1">
        <f>(Main_M[[#This Row],[P/B]]-VLOOKUP(Main_M[[#This Row],[Industry]], Mean_PB_M, 2, FALSE))/(VLOOKUP(Main_M[[#This Row],[Industry]], Mean_PB_M, 3, FALSE))</f>
        <v>-0.37630271409519372</v>
      </c>
      <c r="Q100" s="1">
        <f>(Main_M[[#This Row],[ROE]]-VLOOKUP(Main_M[[#This Row],[Industry]], Mean_ROE_M, 2, FALSE))/(VLOOKUP(Main_M[[#This Row],[Industry]], Mean_ROE_M, 3, FALSE))</f>
        <v>0.23103086910794549</v>
      </c>
      <c r="R100" s="1">
        <f>(Main_M[[#This Row],[ROA]]-VLOOKUP(Main_M[[#This Row],[Industry]], Mean_ROA_M, 2, FALSE))/(VLOOKUP(Main_M[[#This Row],[Industry]], Mean_ROA_M, 3, FALSE))</f>
        <v>1.6898531370002388</v>
      </c>
      <c r="S100" s="1">
        <f>(Main_M[[#This Row],[A/E]]-VLOOKUP(Main_M[[#This Row],[Industry]], Mean_AE_M, 2, FALSE))/(VLOOKUP(Main_M[[#This Row],[Industry]], Mean_AE_M, 3, FALSE))</f>
        <v>-1.2949679242467118</v>
      </c>
      <c r="T100" s="1">
        <f>(Main_M[[#This Row],[P/E]]-VLOOKUP(Main_M[[#This Row],[Industry]], Mean_PE_M, 2, FALSE))/(VLOOKUP(Main_M[[#This Row],[Industry]], Mean_PE_M, 3, FALSE))</f>
        <v>-0.733518693152444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t="s">
        <v>115</v>
      </c>
      <c r="B101" t="s">
        <v>312</v>
      </c>
      <c r="C101" s="2">
        <v>3319</v>
      </c>
      <c r="D101">
        <f>RTD("tos.rtd", , "LAST", Main_M[[#This Row],[Symbol]])</f>
        <v>81.41</v>
      </c>
      <c r="E101">
        <v>10.38</v>
      </c>
      <c r="F101">
        <v>26.85</v>
      </c>
      <c r="G101">
        <v>10.69</v>
      </c>
      <c r="H101" s="1">
        <f>IF(ISNUMBER(Main_M[[#This Row],[Free CF]]),IF(Main_M[[#This Row],[Free CF]]&lt;&gt;0,Main_M[[#This Row],[Current Price]]/Main_M[[#This Row],[Free CF]],""),"")</f>
        <v>7.8429672447013479</v>
      </c>
      <c r="I101" s="1">
        <f>IF(ISNUMBER(Main_M[[#This Row],[BVPS]]),IF(Main_M[[#This Row],[BVPS]]&lt;&gt;0,Main_M[[#This Row],[Current Price]]/Main_M[[#This Row],[BVPS]],""),"")</f>
        <v>3.0320297951582864</v>
      </c>
      <c r="J101">
        <v>47.81</v>
      </c>
      <c r="K101">
        <v>14.94</v>
      </c>
      <c r="L101">
        <v>2.4700000000000002</v>
      </c>
      <c r="M101" s="1">
        <f>IF(ISNUMBER(Main_M[[#This Row],[EPS]]),IF(Main_M[[#This Row],[EPS]]&lt;&gt;0,Main_M[[#This Row],[Current Price]]/Main_M[[#This Row],[EPS]],""),"")</f>
        <v>7.6155285313376986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-0.62091586962560175</v>
      </c>
      <c r="P101" s="1">
        <f>(Main_M[[#This Row],[P/B]]-VLOOKUP(Main_M[[#This Row],[Industry]], Mean_PB_M, 2, FALSE))/(VLOOKUP(Main_M[[#This Row],[Industry]], Mean_PB_M, 3, FALSE))</f>
        <v>0.66952110928327413</v>
      </c>
      <c r="Q101" s="1">
        <f>(Main_M[[#This Row],[ROE]]-VLOOKUP(Main_M[[#This Row],[Industry]], Mean_ROE_M, 2, FALSE))/(VLOOKUP(Main_M[[#This Row],[Industry]], Mean_ROE_M, 3, FALSE))</f>
        <v>2.3255046040228762</v>
      </c>
      <c r="R101" s="1">
        <f>(Main_M[[#This Row],[ROA]]-VLOOKUP(Main_M[[#This Row],[Industry]], Mean_ROA_M, 2, FALSE))/(VLOOKUP(Main_M[[#This Row],[Industry]], Mean_ROA_M, 3, FALSE))</f>
        <v>3.3243714885234703</v>
      </c>
      <c r="S101" s="1">
        <f>(Main_M[[#This Row],[A/E]]-VLOOKUP(Main_M[[#This Row],[Industry]], Mean_AE_M, 2, FALSE))/(VLOOKUP(Main_M[[#This Row],[Industry]], Mean_AE_M, 3, FALSE))</f>
        <v>-0.58128115155375704</v>
      </c>
      <c r="T101" s="1">
        <f>(Main_M[[#This Row],[P/E]]-VLOOKUP(Main_M[[#This Row],[Industry]], Mean_PE_M, 2, FALSE))/(VLOOKUP(Main_M[[#This Row],[Industry]], Mean_PE_M, 3, FALSE))</f>
        <v>-1.0976818535392998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t="s">
        <v>115</v>
      </c>
      <c r="B102" t="s">
        <v>313</v>
      </c>
      <c r="C102" s="2">
        <v>3430</v>
      </c>
      <c r="D102">
        <f>RTD("tos.rtd", , "LAST", Main_M[[#This Row],[Symbol]])</f>
        <v>135.1</v>
      </c>
      <c r="E102">
        <v>1.66</v>
      </c>
      <c r="F102">
        <v>35.65</v>
      </c>
      <c r="G102">
        <v>5.6</v>
      </c>
      <c r="H102" s="1">
        <f>IF(ISNUMBER(Main_M[[#This Row],[Free CF]]),IF(Main_M[[#This Row],[Free CF]]&lt;&gt;0,Main_M[[#This Row],[Current Price]]/Main_M[[#This Row],[Free CF]],""),"")</f>
        <v>81.385542168674704</v>
      </c>
      <c r="I102" s="1">
        <f>IF(ISNUMBER(Main_M[[#This Row],[BVPS]]),IF(Main_M[[#This Row],[BVPS]]&lt;&gt;0,Main_M[[#This Row],[Current Price]]/Main_M[[#This Row],[BVPS]],""),"")</f>
        <v>3.7896213183730714</v>
      </c>
      <c r="J102">
        <v>17.27</v>
      </c>
      <c r="K102">
        <v>7.8</v>
      </c>
      <c r="L102">
        <v>1.85</v>
      </c>
      <c r="M102" s="1">
        <f>IF(ISNUMBER(Main_M[[#This Row],[EPS]]),IF(Main_M[[#This Row],[EPS]]&lt;&gt;0,Main_M[[#This Row],[Current Price]]/Main_M[[#This Row],[EPS]],""),"")</f>
        <v>24.125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1.6090186122729655</v>
      </c>
      <c r="P102" s="1">
        <f>(Main_M[[#This Row],[P/B]]-VLOOKUP(Main_M[[#This Row],[Industry]], Mean_PB_M, 2, FALSE))/(VLOOKUP(Main_M[[#This Row],[Industry]], Mean_PB_M, 3, FALSE))</f>
        <v>1.5342245015491838</v>
      </c>
      <c r="Q102" s="1">
        <f>(Main_M[[#This Row],[ROE]]-VLOOKUP(Main_M[[#This Row],[Industry]], Mean_ROE_M, 2, FALSE))/(VLOOKUP(Main_M[[#This Row],[Industry]], Mean_ROE_M, 3, FALSE))</f>
        <v>0.25664082673746058</v>
      </c>
      <c r="R102" s="1">
        <f>(Main_M[[#This Row],[ROA]]-VLOOKUP(Main_M[[#This Row],[Industry]], Mean_ROA_M, 2, FALSE))/(VLOOKUP(Main_M[[#This Row],[Industry]], Mean_ROA_M, 3, FALSE))</f>
        <v>0.92902789618727644</v>
      </c>
      <c r="S102" s="1">
        <f>(Main_M[[#This Row],[A/E]]-VLOOKUP(Main_M[[#This Row],[Industry]], Mean_AE_M, 2, FALSE))/(VLOOKUP(Main_M[[#This Row],[Industry]], Mean_AE_M, 3, FALSE))</f>
        <v>-1.1286089648158233</v>
      </c>
      <c r="T102" s="1">
        <f>(Main_M[[#This Row],[P/E]]-VLOOKUP(Main_M[[#This Row],[Industry]], Mean_PE_M, 2, FALSE))/(VLOOKUP(Main_M[[#This Row],[Industry]], Mean_PE_M, 3, FALSE))</f>
        <v>2.2732278727842115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t="s">
        <v>115</v>
      </c>
      <c r="B103" t="s">
        <v>314</v>
      </c>
      <c r="C103" s="2">
        <v>8764</v>
      </c>
      <c r="D103">
        <f>RTD("tos.rtd", , "LAST", Main_M[[#This Row],[Symbol]])</f>
        <v>25.4</v>
      </c>
      <c r="E103">
        <v>2.76</v>
      </c>
      <c r="F103">
        <v>8.73</v>
      </c>
      <c r="G103">
        <v>2.2000000000000002</v>
      </c>
      <c r="H103" s="1">
        <f>IF(ISNUMBER(Main_M[[#This Row],[Free CF]]),IF(Main_M[[#This Row],[Free CF]]&lt;&gt;0,Main_M[[#This Row],[Current Price]]/Main_M[[#This Row],[Free CF]],""),"")</f>
        <v>9.2028985507246386</v>
      </c>
      <c r="I103" s="1">
        <f>IF(ISNUMBER(Main_M[[#This Row],[BVPS]]),IF(Main_M[[#This Row],[BVPS]]&lt;&gt;0,Main_M[[#This Row],[Current Price]]/Main_M[[#This Row],[BVPS]],""),"")</f>
        <v>2.9095074455899197</v>
      </c>
      <c r="J103">
        <v>28.81</v>
      </c>
      <c r="K103">
        <v>6.08</v>
      </c>
      <c r="L103">
        <v>3.64</v>
      </c>
      <c r="M103" s="1">
        <f>IF(ISNUMBER(Main_M[[#This Row],[EPS]]),IF(Main_M[[#This Row],[EPS]]&lt;&gt;0,Main_M[[#This Row],[Current Price]]/Main_M[[#This Row],[EPS]],""),"")</f>
        <v>11.545454545454543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-0.57968046665732553</v>
      </c>
      <c r="P103" s="1">
        <f>(Main_M[[#This Row],[P/B]]-VLOOKUP(Main_M[[#This Row],[Industry]], Mean_PB_M, 2, FALSE))/(VLOOKUP(Main_M[[#This Row],[Industry]], Mean_PB_M, 3, FALSE))</f>
        <v>0.52967597103438735</v>
      </c>
      <c r="Q103" s="1">
        <f>(Main_M[[#This Row],[ROE]]-VLOOKUP(Main_M[[#This Row],[Industry]], Mean_ROE_M, 2, FALSE))/(VLOOKUP(Main_M[[#This Row],[Industry]], Mean_ROE_M, 3, FALSE))</f>
        <v>1.0383922343954071</v>
      </c>
      <c r="R103" s="1">
        <f>(Main_M[[#This Row],[ROA]]-VLOOKUP(Main_M[[#This Row],[Industry]], Mean_ROA_M, 2, FALSE))/(VLOOKUP(Main_M[[#This Row],[Industry]], Mean_ROA_M, 3, FALSE))</f>
        <v>0.35199834733317942</v>
      </c>
      <c r="S103" s="1">
        <f>(Main_M[[#This Row],[A/E]]-VLOOKUP(Main_M[[#This Row],[Industry]], Mean_AE_M, 2, FALSE))/(VLOOKUP(Main_M[[#This Row],[Industry]], Mean_AE_M, 3, FALSE))</f>
        <v>0.45157939927949653</v>
      </c>
      <c r="T103" s="1">
        <f>(Main_M[[#This Row],[P/E]]-VLOOKUP(Main_M[[#This Row],[Industry]], Mean_PE_M, 2, FALSE))/(VLOOKUP(Main_M[[#This Row],[Industry]], Mean_PE_M, 3, FALSE))</f>
        <v>-0.29526816937841932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t="s">
        <v>115</v>
      </c>
      <c r="B104" t="s">
        <v>315</v>
      </c>
      <c r="C104" s="2">
        <v>4798</v>
      </c>
      <c r="D104">
        <f>RTD("tos.rtd", , "LAST", Main_M[[#This Row],[Symbol]])</f>
        <v>59.33</v>
      </c>
      <c r="E104">
        <v>3.46</v>
      </c>
      <c r="F104">
        <v>26.78</v>
      </c>
      <c r="G104">
        <v>4.26</v>
      </c>
      <c r="H104" s="1">
        <f>IF(ISNUMBER(Main_M[[#This Row],[Free CF]]),IF(Main_M[[#This Row],[Free CF]]&lt;&gt;0,Main_M[[#This Row],[Current Price]]/Main_M[[#This Row],[Free CF]],""),"")</f>
        <v>17.147398843930635</v>
      </c>
      <c r="I104" s="1">
        <f>IF(ISNUMBER(Main_M[[#This Row],[BVPS]]),IF(Main_M[[#This Row],[BVPS]]&lt;&gt;0,Main_M[[#This Row],[Current Price]]/Main_M[[#This Row],[BVPS]],""),"")</f>
        <v>2.2154592979835699</v>
      </c>
      <c r="J104">
        <v>17.559999999999999</v>
      </c>
      <c r="K104">
        <v>6.93</v>
      </c>
      <c r="L104">
        <v>1.83</v>
      </c>
      <c r="M104" s="1">
        <f>IF(ISNUMBER(Main_M[[#This Row],[EPS]]),IF(Main_M[[#This Row],[EPS]]&lt;&gt;0,Main_M[[#This Row],[Current Price]]/Main_M[[#This Row],[EPS]],""),"")</f>
        <v>13.927230046948358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04" s="1">
        <f>(Main_M[[#This Row],[P/FCF]]-VLOOKUP(Main_M[[#This Row],[Industry]], Mean_PFCF_M, 2, FALSE))/(VLOOKUP(Main_M[[#This Row],[Industry]], Mean_PFCF_M, 3, FALSE))</f>
        <v>-0.33878986466810457</v>
      </c>
      <c r="P104" s="1">
        <f>(Main_M[[#This Row],[P/B]]-VLOOKUP(Main_M[[#This Row],[Industry]], Mean_PB_M, 2, FALSE))/(VLOOKUP(Main_M[[#This Row],[Industry]], Mean_PB_M, 3, FALSE))</f>
        <v>-0.2624999829472599</v>
      </c>
      <c r="Q104" s="1">
        <f>(Main_M[[#This Row],[ROE]]-VLOOKUP(Main_M[[#This Row],[Industry]], Mean_ROE_M, 2, FALSE))/(VLOOKUP(Main_M[[#This Row],[Industry]], Mean_ROE_M, 3, FALSE))</f>
        <v>0.27628622606335346</v>
      </c>
      <c r="R104" s="1">
        <f>(Main_M[[#This Row],[ROA]]-VLOOKUP(Main_M[[#This Row],[Industry]], Mean_ROA_M, 2, FALSE))/(VLOOKUP(Main_M[[#This Row],[Industry]], Mean_ROA_M, 3, FALSE))</f>
        <v>0.63715829880177377</v>
      </c>
      <c r="S104" s="1">
        <f>(Main_M[[#This Row],[A/E]]-VLOOKUP(Main_M[[#This Row],[Industry]], Mean_AE_M, 2, FALSE))/(VLOOKUP(Main_M[[#This Row],[Industry]], Mean_AE_M, 3, FALSE))</f>
        <v>-1.1462647007275029</v>
      </c>
      <c r="T104" s="1">
        <f>(Main_M[[#This Row],[P/E]]-VLOOKUP(Main_M[[#This Row],[Industry]], Mean_PE_M, 2, FALSE))/(VLOOKUP(Main_M[[#This Row],[Industry]], Mean_PE_M, 3, FALSE))</f>
        <v>0.19104359530432355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t="s">
        <v>115</v>
      </c>
      <c r="B105" t="s">
        <v>316</v>
      </c>
      <c r="C105" s="2">
        <v>7898</v>
      </c>
      <c r="D105">
        <f>RTD("tos.rtd", , "LAST", Main_M[[#This Row],[Symbol]])</f>
        <v>81.5</v>
      </c>
      <c r="E105">
        <v>1.17</v>
      </c>
      <c r="F105">
        <v>20.65</v>
      </c>
      <c r="G105">
        <v>1.89</v>
      </c>
      <c r="H105" s="1">
        <f>IF(ISNUMBER(Main_M[[#This Row],[Free CF]]),IF(Main_M[[#This Row],[Free CF]]&lt;&gt;0,Main_M[[#This Row],[Current Price]]/Main_M[[#This Row],[Free CF]],""),"")</f>
        <v>69.658119658119659</v>
      </c>
      <c r="I105" s="1">
        <f>IF(ISNUMBER(Main_M[[#This Row],[BVPS]]),IF(Main_M[[#This Row],[BVPS]]&lt;&gt;0,Main_M[[#This Row],[Current Price]]/Main_M[[#This Row],[BVPS]],""),"")</f>
        <v>3.9467312348668284</v>
      </c>
      <c r="J105">
        <v>9.74</v>
      </c>
      <c r="K105">
        <v>3.15</v>
      </c>
      <c r="L105">
        <v>2.42</v>
      </c>
      <c r="M105" s="1">
        <f>IF(ISNUMBER(Main_M[[#This Row],[EPS]]),IF(Main_M[[#This Row],[EPS]]&lt;&gt;0,Main_M[[#This Row],[Current Price]]/Main_M[[#This Row],[EPS]],""),"")</f>
        <v>43.121693121693127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1.253423450326095</v>
      </c>
      <c r="P105" s="1">
        <f>(Main_M[[#This Row],[P/B]]-VLOOKUP(Main_M[[#This Row],[Industry]], Mean_PB_M, 2, FALSE))/(VLOOKUP(Main_M[[#This Row],[Industry]], Mean_PB_M, 3, FALSE))</f>
        <v>1.7135473603561053</v>
      </c>
      <c r="Q105" s="1">
        <f>(Main_M[[#This Row],[ROE]]-VLOOKUP(Main_M[[#This Row],[Industry]], Mean_ROE_M, 2, FALSE))/(VLOOKUP(Main_M[[#This Row],[Industry]], Mean_ROE_M, 3, FALSE))</f>
        <v>-0.25346212817279401</v>
      </c>
      <c r="R105" s="1">
        <f>(Main_M[[#This Row],[ROA]]-VLOOKUP(Main_M[[#This Row],[Industry]], Mean_ROA_M, 2, FALSE))/(VLOOKUP(Main_M[[#This Row],[Industry]], Mean_ROA_M, 3, FALSE))</f>
        <v>-0.6309647794938581</v>
      </c>
      <c r="S105" s="1">
        <f>(Main_M[[#This Row],[A/E]]-VLOOKUP(Main_M[[#This Row],[Industry]], Mean_AE_M, 2, FALSE))/(VLOOKUP(Main_M[[#This Row],[Industry]], Mean_AE_M, 3, FALSE))</f>
        <v>-0.62542049133295619</v>
      </c>
      <c r="T105" s="1">
        <f>(Main_M[[#This Row],[P/E]]-VLOOKUP(Main_M[[#This Row],[Industry]], Mean_PE_M, 2, FALSE))/(VLOOKUP(Main_M[[#This Row],[Industry]], Mean_PE_M, 3, FALSE))</f>
        <v>6.1519793963232567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6" spans="1:26" x14ac:dyDescent="0.25">
      <c r="A106" t="s">
        <v>115</v>
      </c>
      <c r="B106" t="s">
        <v>317</v>
      </c>
      <c r="C106" s="2">
        <v>2587</v>
      </c>
      <c r="D106">
        <f>RTD("tos.rtd", , "LAST", Main_M[[#This Row],[Symbol]])</f>
        <v>46.54</v>
      </c>
      <c r="E106">
        <v>4.59</v>
      </c>
      <c r="F106">
        <v>29.33</v>
      </c>
      <c r="G106">
        <v>5.73</v>
      </c>
      <c r="H106" s="1">
        <f>IF(ISNUMBER(Main_M[[#This Row],[Free CF]]),IF(Main_M[[#This Row],[Free CF]]&lt;&gt;0,Main_M[[#This Row],[Current Price]]/Main_M[[#This Row],[Free CF]],""),"")</f>
        <v>10.139433551198257</v>
      </c>
      <c r="I106" s="1">
        <f>IF(ISNUMBER(Main_M[[#This Row],[BVPS]]),IF(Main_M[[#This Row],[BVPS]]&lt;&gt;0,Main_M[[#This Row],[Current Price]]/Main_M[[#This Row],[BVPS]],""),"")</f>
        <v>1.5867712240027276</v>
      </c>
      <c r="J106">
        <v>21.14</v>
      </c>
      <c r="K106">
        <v>6.94</v>
      </c>
      <c r="L106">
        <v>2.4500000000000002</v>
      </c>
      <c r="M106" s="1">
        <f>IF(ISNUMBER(Main_M[[#This Row],[EPS]]),IF(Main_M[[#This Row],[EPS]]&lt;&gt;0,Main_M[[#This Row],[Current Price]]/Main_M[[#This Row],[EPS]],""),"")</f>
        <v>8.1221640488656188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06" s="1">
        <f>(Main_M[[#This Row],[P/FCF]]-VLOOKUP(Main_M[[#This Row],[Industry]], Mean_PFCF_M, 2, FALSE))/(VLOOKUP(Main_M[[#This Row],[Industry]], Mean_PFCF_M, 3, FALSE))</f>
        <v>-0.55128315131692618</v>
      </c>
      <c r="P106" s="1">
        <f>(Main_M[[#This Row],[P/B]]-VLOOKUP(Main_M[[#This Row],[Industry]], Mean_PB_M, 2, FALSE))/(VLOOKUP(Main_M[[#This Row],[Industry]], Mean_PB_M, 3, FALSE))</f>
        <v>-0.98007494727831035</v>
      </c>
      <c r="Q106" s="1">
        <f>(Main_M[[#This Row],[ROE]]-VLOOKUP(Main_M[[#This Row],[Industry]], Mean_ROE_M, 2, FALSE))/(VLOOKUP(Main_M[[#This Row],[Industry]], Mean_ROE_M, 3, FALSE))</f>
        <v>0.5188052936036871</v>
      </c>
      <c r="R106" s="1">
        <f>(Main_M[[#This Row],[ROA]]-VLOOKUP(Main_M[[#This Row],[Industry]], Mean_ROA_M, 2, FALSE))/(VLOOKUP(Main_M[[#This Row],[Industry]], Mean_ROA_M, 3, FALSE))</f>
        <v>0.64051312176022801</v>
      </c>
      <c r="S106" s="1">
        <f>(Main_M[[#This Row],[A/E]]-VLOOKUP(Main_M[[#This Row],[Industry]], Mean_AE_M, 2, FALSE))/(VLOOKUP(Main_M[[#This Row],[Industry]], Mean_AE_M, 3, FALSE))</f>
        <v>-0.59893688746543661</v>
      </c>
      <c r="T106" s="1">
        <f>(Main_M[[#This Row],[P/E]]-VLOOKUP(Main_M[[#This Row],[Industry]], Mean_PE_M, 2, FALSE))/(VLOOKUP(Main_M[[#This Row],[Industry]], Mean_PE_M, 3, FALSE))</f>
        <v>-0.99423683429822107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t="s">
        <v>115</v>
      </c>
      <c r="B107" t="s">
        <v>318</v>
      </c>
      <c r="C107" s="2">
        <v>6532</v>
      </c>
      <c r="D107">
        <f>RTD("tos.rtd", , "LAST", Main_M[[#This Row],[Symbol]])</f>
        <v>33.67</v>
      </c>
      <c r="E107">
        <v>3</v>
      </c>
      <c r="F107">
        <v>-6.41</v>
      </c>
      <c r="G107">
        <v>3.61</v>
      </c>
      <c r="H107" s="1">
        <f>IF(ISNUMBER(Main_M[[#This Row],[Free CF]]),IF(Main_M[[#This Row],[Free CF]]&lt;&gt;0,Main_M[[#This Row],[Current Price]]/Main_M[[#This Row],[Free CF]],""),"")</f>
        <v>11.223333333333334</v>
      </c>
      <c r="I107" s="1">
        <f>IF(ISNUMBER(Main_M[[#This Row],[BVPS]]),IF(Main_M[[#This Row],[BVPS]]&lt;&gt;0,Main_M[[#This Row],[Current Price]]/Main_M[[#This Row],[BVPS]],""),"")</f>
        <v>-5.2527301092043679</v>
      </c>
      <c r="J107">
        <v>-53.04</v>
      </c>
      <c r="K107">
        <v>15.31</v>
      </c>
      <c r="L107">
        <v>-3.52</v>
      </c>
      <c r="M107" s="1">
        <f>IF(ISNUMBER(Main_M[[#This Row],[EPS]]),IF(Main_M[[#This Row],[EPS]]&lt;&gt;0,Main_M[[#This Row],[Current Price]]/Main_M[[#This Row],[EPS]],""),"")</f>
        <v>9.3268698060941837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-0.51841748810613952</v>
      </c>
      <c r="P107" s="1">
        <f>(Main_M[[#This Row],[P/B]]-VLOOKUP(Main_M[[#This Row],[Industry]], Mean_PB_M, 2, FALSE))/(VLOOKUP(Main_M[[#This Row],[Industry]], Mean_PB_M, 3, FALSE))</f>
        <v>-8.7865772945262854</v>
      </c>
      <c r="Q107" s="1">
        <f>(Main_M[[#This Row],[ROE]]-VLOOKUP(Main_M[[#This Row],[Industry]], Mean_ROE_M, 2, FALSE))/(VLOOKUP(Main_M[[#This Row],[Industry]], Mean_ROE_M, 3, FALSE))</f>
        <v>-4.5063523684471347</v>
      </c>
      <c r="R107" s="1">
        <f>(Main_M[[#This Row],[ROA]]-VLOOKUP(Main_M[[#This Row],[Industry]], Mean_ROA_M, 2, FALSE))/(VLOOKUP(Main_M[[#This Row],[Industry]], Mean_ROA_M, 3, FALSE))</f>
        <v>3.4484999379862704</v>
      </c>
      <c r="S107" s="1">
        <f>(Main_M[[#This Row],[A/E]]-VLOOKUP(Main_M[[#This Row],[Industry]], Mean_AE_M, 2, FALSE))/(VLOOKUP(Main_M[[#This Row],[Industry]], Mean_AE_M, 3, FALSE))</f>
        <v>-5.8691740571017821</v>
      </c>
      <c r="T107" s="1">
        <f>(Main_M[[#This Row],[P/E]]-VLOOKUP(Main_M[[#This Row],[Industry]], Mean_PE_M, 2, FALSE))/(VLOOKUP(Main_M[[#This Row],[Industry]], Mean_PE_M, 3, FALSE))</f>
        <v>-0.74825958650394364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t="s">
        <v>115</v>
      </c>
      <c r="B108" t="s">
        <v>319</v>
      </c>
      <c r="C108" s="2">
        <v>4526</v>
      </c>
      <c r="D108">
        <f>RTD("tos.rtd", , "LAST", Main_M[[#This Row],[Symbol]])</f>
        <v>101.69</v>
      </c>
      <c r="E108">
        <v>1.94</v>
      </c>
      <c r="F108">
        <v>32.86</v>
      </c>
      <c r="G108">
        <v>4.5999999999999996</v>
      </c>
      <c r="H108" s="1">
        <f>IF(ISNUMBER(Main_M[[#This Row],[Free CF]]),IF(Main_M[[#This Row],[Free CF]]&lt;&gt;0,Main_M[[#This Row],[Current Price]]/Main_M[[#This Row],[Free CF]],""),"")</f>
        <v>52.417525773195877</v>
      </c>
      <c r="I108" s="1">
        <f>IF(ISNUMBER(Main_M[[#This Row],[BVPS]]),IF(Main_M[[#This Row],[BVPS]]&lt;&gt;0,Main_M[[#This Row],[Current Price]]/Main_M[[#This Row],[BVPS]],""),"")</f>
        <v>3.094643944004869</v>
      </c>
      <c r="J108">
        <v>14.95</v>
      </c>
      <c r="K108">
        <v>4.93</v>
      </c>
      <c r="L108">
        <v>2.4</v>
      </c>
      <c r="M108" s="1">
        <f>IF(ISNUMBER(Main_M[[#This Row],[EPS]]),IF(Main_M[[#This Row],[EPS]]&lt;&gt;0,Main_M[[#This Row],[Current Price]]/Main_M[[#This Row],[EPS]],""),"")</f>
        <v>22.106521739130436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0.73065966578163088</v>
      </c>
      <c r="P108" s="1">
        <f>(Main_M[[#This Row],[P/B]]-VLOOKUP(Main_M[[#This Row],[Industry]], Mean_PB_M, 2, FALSE))/(VLOOKUP(Main_M[[#This Row],[Industry]], Mean_PB_M, 3, FALSE))</f>
        <v>0.74098794233564513</v>
      </c>
      <c r="Q108" s="1">
        <f>(Main_M[[#This Row],[ROE]]-VLOOKUP(Main_M[[#This Row],[Industry]], Mean_ROE_M, 2, FALSE))/(VLOOKUP(Main_M[[#This Row],[Industry]], Mean_ROE_M, 3, FALSE))</f>
        <v>9.9477632130317031E-2</v>
      </c>
      <c r="R108" s="1">
        <f>(Main_M[[#This Row],[ROA]]-VLOOKUP(Main_M[[#This Row],[Industry]], Mean_ROA_M, 2, FALSE))/(VLOOKUP(Main_M[[#This Row],[Industry]], Mean_ROA_M, 3, FALSE))</f>
        <v>-3.3806292889036756E-2</v>
      </c>
      <c r="S108" s="1">
        <f>(Main_M[[#This Row],[A/E]]-VLOOKUP(Main_M[[#This Row],[Industry]], Mean_AE_M, 2, FALSE))/(VLOOKUP(Main_M[[#This Row],[Industry]], Mean_AE_M, 3, FALSE))</f>
        <v>-0.64307622724463576</v>
      </c>
      <c r="T108" s="1">
        <f>(Main_M[[#This Row],[P/E]]-VLOOKUP(Main_M[[#This Row],[Industry]], Mean_PE_M, 2, FALSE))/(VLOOKUP(Main_M[[#This Row],[Industry]], Mean_PE_M, 3, FALSE))</f>
        <v>1.8610942672443187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t="s">
        <v>115</v>
      </c>
      <c r="B109" t="s">
        <v>320</v>
      </c>
      <c r="C109" s="2">
        <v>2680</v>
      </c>
      <c r="D109">
        <f>RTD("tos.rtd", , "LAST", Main_M[[#This Row],[Symbol]])</f>
        <v>67.900000000000006</v>
      </c>
      <c r="E109">
        <v>9.51</v>
      </c>
      <c r="F109">
        <v>42.87</v>
      </c>
      <c r="G109">
        <v>-0.81</v>
      </c>
      <c r="H109" s="1">
        <f>IF(ISNUMBER(Main_M[[#This Row],[Free CF]]),IF(Main_M[[#This Row],[Free CF]]&lt;&gt;0,Main_M[[#This Row],[Current Price]]/Main_M[[#This Row],[Free CF]],""),"")</f>
        <v>7.1398527865404846</v>
      </c>
      <c r="I109" s="1">
        <f>IF(ISNUMBER(Main_M[[#This Row],[BVPS]]),IF(Main_M[[#This Row],[BVPS]]&lt;&gt;0,Main_M[[#This Row],[Current Price]]/Main_M[[#This Row],[BVPS]],""),"")</f>
        <v>1.5838581758805694</v>
      </c>
      <c r="J109">
        <v>2.62</v>
      </c>
      <c r="K109">
        <v>5.0599999999999996</v>
      </c>
      <c r="L109">
        <v>3.09</v>
      </c>
      <c r="M109" s="1">
        <f>IF(ISNUMBER(Main_M[[#This Row],[EPS]]),IF(Main_M[[#This Row],[EPS]]&lt;&gt;0,Main_M[[#This Row],[Current Price]]/Main_M[[#This Row],[EPS]],""),"")</f>
        <v>-83.827160493827165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-0.64223548179032675</v>
      </c>
      <c r="P109" s="1">
        <f>(Main_M[[#This Row],[P/B]]-VLOOKUP(Main_M[[#This Row],[Industry]], Mean_PB_M, 2, FALSE))/(VLOOKUP(Main_M[[#This Row],[Industry]], Mean_PB_M, 3, FALSE))</f>
        <v>-0.98339985590766665</v>
      </c>
      <c r="Q109" s="1">
        <f>(Main_M[[#This Row],[ROE]]-VLOOKUP(Main_M[[#This Row],[Industry]], Mean_ROE_M, 2, FALSE))/(VLOOKUP(Main_M[[#This Row],[Industry]], Mean_ROE_M, 3, FALSE))</f>
        <v>-0.73579055300161378</v>
      </c>
      <c r="R109" s="1">
        <f>(Main_M[[#This Row],[ROA]]-VLOOKUP(Main_M[[#This Row],[Industry]], Mean_ROA_M, 2, FALSE))/(VLOOKUP(Main_M[[#This Row],[Industry]], Mean_ROA_M, 3, FALSE))</f>
        <v>9.8064055708658952E-3</v>
      </c>
      <c r="S109" s="1">
        <f>(Main_M[[#This Row],[A/E]]-VLOOKUP(Main_M[[#This Row],[Industry]], Mean_AE_M, 2, FALSE))/(VLOOKUP(Main_M[[#This Row],[Industry]], Mean_AE_M, 3, FALSE))</f>
        <v>-3.3953338291691323E-2</v>
      </c>
      <c r="T109" s="1">
        <f>(Main_M[[#This Row],[P/E]]-VLOOKUP(Main_M[[#This Row],[Industry]], Mean_PE_M, 2, FALSE))/(VLOOKUP(Main_M[[#This Row],[Industry]], Mean_PE_M, 3, FALSE))</f>
        <v>-19.768482455557621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0" spans="1:26" x14ac:dyDescent="0.25">
      <c r="A110" t="s">
        <v>115</v>
      </c>
      <c r="B110" t="s">
        <v>321</v>
      </c>
      <c r="C110" s="2">
        <v>4283</v>
      </c>
      <c r="D110">
        <f>RTD("tos.rtd", , "LAST", Main_M[[#This Row],[Symbol]])</f>
        <v>239.82</v>
      </c>
      <c r="E110">
        <v>28.43</v>
      </c>
      <c r="F110">
        <v>184.32</v>
      </c>
      <c r="G110">
        <v>20.94</v>
      </c>
      <c r="H110" s="1">
        <f>IF(ISNUMBER(Main_M[[#This Row],[Free CF]]),IF(Main_M[[#This Row],[Free CF]]&lt;&gt;0,Main_M[[#This Row],[Current Price]]/Main_M[[#This Row],[Free CF]],""),"")</f>
        <v>8.4354555047485054</v>
      </c>
      <c r="I110" s="1">
        <f>IF(ISNUMBER(Main_M[[#This Row],[BVPS]]),IF(Main_M[[#This Row],[BVPS]]&lt;&gt;0,Main_M[[#This Row],[Current Price]]/Main_M[[#This Row],[BVPS]],""),"")</f>
        <v>1.3011067708333333</v>
      </c>
      <c r="J110">
        <v>11.92</v>
      </c>
      <c r="K110">
        <v>6.05</v>
      </c>
      <c r="L110">
        <v>2.82</v>
      </c>
      <c r="M110" s="1">
        <f>IF(ISNUMBER(Main_M[[#This Row],[EPS]]),IF(Main_M[[#This Row],[EPS]]&lt;&gt;0,Main_M[[#This Row],[Current Price]]/Main_M[[#This Row],[EPS]],""),"")</f>
        <v>11.452722063037248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0" s="1">
        <f>(Main_M[[#This Row],[P/FCF]]-VLOOKUP(Main_M[[#This Row],[Industry]], Mean_PFCF_M, 2, FALSE))/(VLOOKUP(Main_M[[#This Row],[Industry]], Mean_PFCF_M, 3, FALSE))</f>
        <v>-0.60295062972796332</v>
      </c>
      <c r="P110" s="1">
        <f>(Main_M[[#This Row],[P/B]]-VLOOKUP(Main_M[[#This Row],[Industry]], Mean_PB_M, 2, FALSE))/(VLOOKUP(Main_M[[#This Row],[Industry]], Mean_PB_M, 3, FALSE))</f>
        <v>-1.3061279905557364</v>
      </c>
      <c r="Q110" s="1">
        <f>(Main_M[[#This Row],[ROE]]-VLOOKUP(Main_M[[#This Row],[Industry]], Mean_ROE_M, 2, FALSE))/(VLOOKUP(Main_M[[#This Row],[Industry]], Mean_ROE_M, 3, FALSE))</f>
        <v>-0.10578291944711606</v>
      </c>
      <c r="R110" s="1">
        <f>(Main_M[[#This Row],[ROA]]-VLOOKUP(Main_M[[#This Row],[Industry]], Mean_ROA_M, 2, FALSE))/(VLOOKUP(Main_M[[#This Row],[Industry]], Mean_ROA_M, 3, FALSE))</f>
        <v>0.3419338784578172</v>
      </c>
      <c r="S110" s="1">
        <f>(Main_M[[#This Row],[A/E]]-VLOOKUP(Main_M[[#This Row],[Industry]], Mean_AE_M, 2, FALSE))/(VLOOKUP(Main_M[[#This Row],[Industry]], Mean_AE_M, 3, FALSE))</f>
        <v>-0.27230577309936527</v>
      </c>
      <c r="T110" s="1">
        <f>(Main_M[[#This Row],[P/E]]-VLOOKUP(Main_M[[#This Row],[Industry]], Mean_PE_M, 2, FALSE))/(VLOOKUP(Main_M[[#This Row],[Industry]], Mean_PE_M, 3, FALSE))</f>
        <v>-0.31420232045163426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t="s">
        <v>115</v>
      </c>
      <c r="B111" t="s">
        <v>322</v>
      </c>
      <c r="C111" s="2">
        <v>6654</v>
      </c>
      <c r="D111">
        <f>RTD("tos.rtd", , "LAST", Main_M[[#This Row],[Symbol]])</f>
        <v>190.77</v>
      </c>
      <c r="E111">
        <v>-8.61</v>
      </c>
      <c r="F111">
        <v>63.43</v>
      </c>
      <c r="G111">
        <v>16.86</v>
      </c>
      <c r="H111" s="1">
        <f>IF(ISNUMBER(Main_M[[#This Row],[Free CF]]),IF(Main_M[[#This Row],[Free CF]]&lt;&gt;0,Main_M[[#This Row],[Current Price]]/Main_M[[#This Row],[Free CF]],""),"")</f>
        <v>-22.15679442508711</v>
      </c>
      <c r="I111" s="1">
        <f>IF(ISNUMBER(Main_M[[#This Row],[BVPS]]),IF(Main_M[[#This Row],[BVPS]]&lt;&gt;0,Main_M[[#This Row],[Current Price]]/Main_M[[#This Row],[BVPS]],""),"")</f>
        <v>3.0075673971306953</v>
      </c>
      <c r="J111">
        <v>28.45</v>
      </c>
      <c r="K111">
        <v>6.48</v>
      </c>
      <c r="L111">
        <v>5.54</v>
      </c>
      <c r="M111" s="1">
        <f>IF(ISNUMBER(Main_M[[#This Row],[EPS]]),IF(Main_M[[#This Row],[EPS]]&lt;&gt;0,Main_M[[#This Row],[Current Price]]/Main_M[[#This Row],[EPS]],""),"")</f>
        <v>11.314946619217082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-1.5305590669892697</v>
      </c>
      <c r="P111" s="1">
        <f>(Main_M[[#This Row],[P/B]]-VLOOKUP(Main_M[[#This Row],[Industry]], Mean_PB_M, 2, FALSE))/(VLOOKUP(Main_M[[#This Row],[Industry]], Mean_PB_M, 3, FALSE))</f>
        <v>0.6416001018416162</v>
      </c>
      <c r="Q111" s="1">
        <f>(Main_M[[#This Row],[ROE]]-VLOOKUP(Main_M[[#This Row],[Industry]], Mean_ROE_M, 2, FALSE))/(VLOOKUP(Main_M[[#This Row],[Industry]], Mean_ROE_M, 3, FALSE))</f>
        <v>1.0140048421287815</v>
      </c>
      <c r="R111" s="1">
        <f>(Main_M[[#This Row],[ROA]]-VLOOKUP(Main_M[[#This Row],[Industry]], Mean_ROA_M, 2, FALSE))/(VLOOKUP(Main_M[[#This Row],[Industry]], Mean_ROA_M, 3, FALSE))</f>
        <v>0.48619126567134163</v>
      </c>
      <c r="S111" s="1">
        <f>(Main_M[[#This Row],[A/E]]-VLOOKUP(Main_M[[#This Row],[Industry]], Mean_AE_M, 2, FALSE))/(VLOOKUP(Main_M[[#This Row],[Industry]], Mean_AE_M, 3, FALSE))</f>
        <v>2.1288743108890538</v>
      </c>
      <c r="T111" s="1">
        <f>(Main_M[[#This Row],[P/E]]-VLOOKUP(Main_M[[#This Row],[Industry]], Mean_PE_M, 2, FALSE))/(VLOOKUP(Main_M[[#This Row],[Industry]], Mean_PE_M, 3, FALSE))</f>
        <v>-0.34233335932247261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t="s">
        <v>115</v>
      </c>
      <c r="B112" t="s">
        <v>323</v>
      </c>
      <c r="C112" s="2">
        <v>5343</v>
      </c>
      <c r="D112">
        <f>RTD("tos.rtd", , "LAST", Main_M[[#This Row],[Symbol]])</f>
        <v>448.86</v>
      </c>
      <c r="E112">
        <v>24.6</v>
      </c>
      <c r="F112">
        <v>234.33</v>
      </c>
      <c r="G112">
        <v>35.53</v>
      </c>
      <c r="H112" s="1">
        <f>IF(ISNUMBER(Main_M[[#This Row],[Free CF]]),IF(Main_M[[#This Row],[Free CF]]&lt;&gt;0,Main_M[[#This Row],[Current Price]]/Main_M[[#This Row],[Free CF]],""),"")</f>
        <v>18.246341463414634</v>
      </c>
      <c r="I112" s="1">
        <f>IF(ISNUMBER(Main_M[[#This Row],[BVPS]]),IF(Main_M[[#This Row],[BVPS]]&lt;&gt;0,Main_M[[#This Row],[Current Price]]/Main_M[[#This Row],[BVPS]],""),"")</f>
        <v>1.9155037767251313</v>
      </c>
      <c r="J112">
        <v>16.559999999999999</v>
      </c>
      <c r="K112">
        <v>6.63</v>
      </c>
      <c r="L112">
        <v>3.3</v>
      </c>
      <c r="M112" s="1">
        <f>IF(ISNUMBER(Main_M[[#This Row],[EPS]]),IF(Main_M[[#This Row],[EPS]]&lt;&gt;0,Main_M[[#This Row],[Current Price]]/Main_M[[#This Row],[EPS]],""),"")</f>
        <v>12.633267661131438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-0.30546807734492953</v>
      </c>
      <c r="P112" s="1">
        <f>(Main_M[[#This Row],[P/B]]-VLOOKUP(Main_M[[#This Row],[Industry]], Mean_PB_M, 2, FALSE))/(VLOOKUP(Main_M[[#This Row],[Industry]], Mean_PB_M, 3, FALSE))</f>
        <v>-0.60486463304317484</v>
      </c>
      <c r="Q112" s="1">
        <f>(Main_M[[#This Row],[ROE]]-VLOOKUP(Main_M[[#This Row],[Industry]], Mean_ROE_M, 2, FALSE))/(VLOOKUP(Main_M[[#This Row],[Industry]], Mean_ROE_M, 3, FALSE))</f>
        <v>0.20854346976717089</v>
      </c>
      <c r="R112" s="1">
        <f>(Main_M[[#This Row],[ROA]]-VLOOKUP(Main_M[[#This Row],[Industry]], Mean_ROA_M, 2, FALSE))/(VLOOKUP(Main_M[[#This Row],[Industry]], Mean_ROA_M, 3, FALSE))</f>
        <v>0.53651361004815223</v>
      </c>
      <c r="S112" s="1">
        <f>(Main_M[[#This Row],[A/E]]-VLOOKUP(Main_M[[#This Row],[Industry]], Mean_AE_M, 2, FALSE))/(VLOOKUP(Main_M[[#This Row],[Industry]], Mean_AE_M, 3, FALSE))</f>
        <v>0.15143188878094391</v>
      </c>
      <c r="T112" s="1">
        <f>(Main_M[[#This Row],[P/E]]-VLOOKUP(Main_M[[#This Row],[Industry]], Mean_PE_M, 2, FALSE))/(VLOOKUP(Main_M[[#This Row],[Industry]], Mean_PE_M, 3, FALSE))</f>
        <v>-7.3158102498450173E-2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t="s">
        <v>115</v>
      </c>
      <c r="B113" t="s">
        <v>324</v>
      </c>
      <c r="C113" s="2">
        <v>7703</v>
      </c>
      <c r="D113">
        <f>RTD("tos.rtd", , "LAST", Main_M[[#This Row],[Symbol]])</f>
        <v>325.57</v>
      </c>
      <c r="E113">
        <v>4.28</v>
      </c>
      <c r="F113">
        <v>258.92</v>
      </c>
      <c r="G113">
        <v>31.74</v>
      </c>
      <c r="H113" s="1">
        <f>IF(ISNUMBER(Main_M[[#This Row],[Free CF]]),IF(Main_M[[#This Row],[Free CF]]&lt;&gt;0,Main_M[[#This Row],[Current Price]]/Main_M[[#This Row],[Free CF]],""),"")</f>
        <v>76.067757009345783</v>
      </c>
      <c r="I113" s="1">
        <f>IF(ISNUMBER(Main_M[[#This Row],[BVPS]]),IF(Main_M[[#This Row],[BVPS]]&lt;&gt;0,Main_M[[#This Row],[Current Price]]/Main_M[[#This Row],[BVPS]],""),"")</f>
        <v>1.2574154178896955</v>
      </c>
      <c r="J113">
        <v>13.14</v>
      </c>
      <c r="K113">
        <v>4.5</v>
      </c>
      <c r="L113">
        <v>3.47</v>
      </c>
      <c r="M113" s="1">
        <f>IF(ISNUMBER(Main_M[[#This Row],[EPS]]),IF(Main_M[[#This Row],[EPS]]&lt;&gt;0,Main_M[[#This Row],[Current Price]]/Main_M[[#This Row],[EPS]],""),"")</f>
        <v>10.257403906742281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1.4477744281201141</v>
      </c>
      <c r="P113" s="1">
        <f>(Main_M[[#This Row],[P/B]]-VLOOKUP(Main_M[[#This Row],[Industry]], Mean_PB_M, 2, FALSE))/(VLOOKUP(Main_M[[#This Row],[Industry]], Mean_PB_M, 3, FALSE))</f>
        <v>-1.3559966334132143</v>
      </c>
      <c r="Q113" s="1">
        <f>(Main_M[[#This Row],[ROE]]-VLOOKUP(Main_M[[#This Row],[Industry]], Mean_ROE_M, 2, FALSE))/(VLOOKUP(Main_M[[#This Row],[Industry]], Mean_ROE_M, 3, FALSE))</f>
        <v>-2.31367567657733E-2</v>
      </c>
      <c r="R113" s="1">
        <f>(Main_M[[#This Row],[ROA]]-VLOOKUP(Main_M[[#This Row],[Industry]], Mean_ROA_M, 2, FALSE))/(VLOOKUP(Main_M[[#This Row],[Industry]], Mean_ROA_M, 3, FALSE))</f>
        <v>-0.17806368010256091</v>
      </c>
      <c r="S113" s="1">
        <f>(Main_M[[#This Row],[A/E]]-VLOOKUP(Main_M[[#This Row],[Industry]], Mean_AE_M, 2, FALSE))/(VLOOKUP(Main_M[[#This Row],[Industry]], Mean_AE_M, 3, FALSE))</f>
        <v>0.3015056440302204</v>
      </c>
      <c r="T113" s="1">
        <f>(Main_M[[#This Row],[P/E]]-VLOOKUP(Main_M[[#This Row],[Industry]], Mean_PE_M, 2, FALSE))/(VLOOKUP(Main_M[[#This Row],[Industry]], Mean_PE_M, 3, FALSE))</f>
        <v>-0.55826280456550093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t="s">
        <v>115</v>
      </c>
      <c r="B114" t="s">
        <v>325</v>
      </c>
      <c r="C114" s="2">
        <v>2144</v>
      </c>
      <c r="D114">
        <f>RTD("tos.rtd", , "LAST", Main_M[[#This Row],[Symbol]])</f>
        <v>69.14</v>
      </c>
      <c r="E114">
        <v>2.36</v>
      </c>
      <c r="F114">
        <v>32.15</v>
      </c>
      <c r="G114">
        <v>7.02</v>
      </c>
      <c r="H114" s="1">
        <f>IF(ISNUMBER(Main_M[[#This Row],[Free CF]]),IF(Main_M[[#This Row],[Free CF]]&lt;&gt;0,Main_M[[#This Row],[Current Price]]/Main_M[[#This Row],[Free CF]],""),"")</f>
        <v>29.296610169491526</v>
      </c>
      <c r="I114" s="1">
        <f>IF(ISNUMBER(Main_M[[#This Row],[BVPS]]),IF(Main_M[[#This Row],[BVPS]]&lt;&gt;0,Main_M[[#This Row],[Current Price]]/Main_M[[#This Row],[BVPS]],""),"")</f>
        <v>2.1505443234836705</v>
      </c>
      <c r="J114">
        <v>24.52</v>
      </c>
      <c r="K114">
        <v>5.3</v>
      </c>
      <c r="L114">
        <v>5.39</v>
      </c>
      <c r="M114" s="1">
        <f>IF(ISNUMBER(Main_M[[#This Row],[EPS]]),IF(Main_M[[#This Row],[EPS]]&lt;&gt;0,Main_M[[#This Row],[Current Price]]/Main_M[[#This Row],[EPS]],""),"")</f>
        <v>9.8490028490028489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2.9594643091487315E-2</v>
      </c>
      <c r="P114" s="1">
        <f>(Main_M[[#This Row],[P/B]]-VLOOKUP(Main_M[[#This Row],[Industry]], Mean_PB_M, 2, FALSE))/(VLOOKUP(Main_M[[#This Row],[Industry]], Mean_PB_M, 3, FALSE))</f>
        <v>-0.33659294325484768</v>
      </c>
      <c r="Q114" s="1">
        <f>(Main_M[[#This Row],[ROE]]-VLOOKUP(Main_M[[#This Row],[Industry]], Mean_ROE_M, 2, FALSE))/(VLOOKUP(Main_M[[#This Row],[Industry]], Mean_ROE_M, 3, FALSE))</f>
        <v>0.74777580988478409</v>
      </c>
      <c r="R114" s="1">
        <f>(Main_M[[#This Row],[ROA]]-VLOOKUP(Main_M[[#This Row],[Industry]], Mean_ROA_M, 2, FALSE))/(VLOOKUP(Main_M[[#This Row],[Industry]], Mean_ROA_M, 3, FALSE))</f>
        <v>9.0322156573763232E-2</v>
      </c>
      <c r="S114" s="1">
        <f>(Main_M[[#This Row],[A/E]]-VLOOKUP(Main_M[[#This Row],[Industry]], Mean_AE_M, 2, FALSE))/(VLOOKUP(Main_M[[#This Row],[Industry]], Mean_AE_M, 3, FALSE))</f>
        <v>1.9964562915514568</v>
      </c>
      <c r="T114" s="1">
        <f>(Main_M[[#This Row],[P/E]]-VLOOKUP(Main_M[[#This Row],[Industry]], Mean_PE_M, 2, FALSE))/(VLOOKUP(Main_M[[#This Row],[Industry]], Mean_PE_M, 3, FALSE))</f>
        <v>-0.64165027704684796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5" spans="1:26" x14ac:dyDescent="0.25">
      <c r="A115" t="s">
        <v>115</v>
      </c>
      <c r="B115" t="s">
        <v>326</v>
      </c>
      <c r="C115" s="2">
        <v>4394</v>
      </c>
      <c r="D115">
        <f>RTD("tos.rtd", , "LAST", Main_M[[#This Row],[Symbol]])</f>
        <v>34.89</v>
      </c>
      <c r="E115">
        <v>0.39</v>
      </c>
      <c r="F115">
        <v>1.8</v>
      </c>
      <c r="G115">
        <v>2.1</v>
      </c>
      <c r="H115" s="1">
        <f>IF(ISNUMBER(Main_M[[#This Row],[Free CF]]),IF(Main_M[[#This Row],[Free CF]]&lt;&gt;0,Main_M[[#This Row],[Current Price]]/Main_M[[#This Row],[Free CF]],""),"")</f>
        <v>89.461538461538467</v>
      </c>
      <c r="I115" s="1">
        <f>IF(ISNUMBER(Main_M[[#This Row],[BVPS]]),IF(Main_M[[#This Row],[BVPS]]&lt;&gt;0,Main_M[[#This Row],[Current Price]]/Main_M[[#This Row],[BVPS]],""),"")</f>
        <v>19.383333333333333</v>
      </c>
      <c r="J115">
        <v>186.35</v>
      </c>
      <c r="K115">
        <v>9.86</v>
      </c>
      <c r="L115">
        <v>10.220000000000001</v>
      </c>
      <c r="M115" s="1">
        <f>IF(ISNUMBER(Main_M[[#This Row],[EPS]]),IF(Main_M[[#This Row],[EPS]]&lt;&gt;0,Main_M[[#This Row],[Current Price]]/Main_M[[#This Row],[EPS]],""),"")</f>
        <v>16.614285714285714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1.8538963939900068</v>
      </c>
      <c r="P115" s="1">
        <f>(Main_M[[#This Row],[P/B]]-VLOOKUP(Main_M[[#This Row],[Industry]], Mean_PB_M, 2, FALSE))/(VLOOKUP(Main_M[[#This Row],[Industry]], Mean_PB_M, 3, FALSE))</f>
        <v>19.332649198984686</v>
      </c>
      <c r="Q115" s="1">
        <f>(Main_M[[#This Row],[ROE]]-VLOOKUP(Main_M[[#This Row],[Industry]], Mean_ROE_M, 2, FALSE))/(VLOOKUP(Main_M[[#This Row],[Industry]], Mean_ROE_M, 3, FALSE))</f>
        <v>11.710586061296006</v>
      </c>
      <c r="R115" s="1">
        <f>(Main_M[[#This Row],[ROA]]-VLOOKUP(Main_M[[#This Row],[Industry]], Mean_ROA_M, 2, FALSE))/(VLOOKUP(Main_M[[#This Row],[Industry]], Mean_ROA_M, 3, FALSE))</f>
        <v>1.620121425628811</v>
      </c>
      <c r="S115" s="1">
        <f>(Main_M[[#This Row],[A/E]]-VLOOKUP(Main_M[[#This Row],[Industry]], Mean_AE_M, 2, FALSE))/(VLOOKUP(Main_M[[#This Row],[Industry]], Mean_AE_M, 3, FALSE))</f>
        <v>6.2603165142220689</v>
      </c>
      <c r="T115" s="1">
        <f>(Main_M[[#This Row],[P/E]]-VLOOKUP(Main_M[[#This Row],[Industry]], Mean_PE_M, 2, FALSE))/(VLOOKUP(Main_M[[#This Row],[Industry]], Mean_PE_M, 3, FALSE))</f>
        <v>0.73968757227193549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6" spans="1:26" x14ac:dyDescent="0.25">
      <c r="A116" t="s">
        <v>115</v>
      </c>
      <c r="B116" t="s">
        <v>327</v>
      </c>
      <c r="C116" s="2">
        <v>3540</v>
      </c>
      <c r="D116">
        <f>RTD("tos.rtd", , "LAST", Main_M[[#This Row],[Symbol]])</f>
        <v>225.67</v>
      </c>
      <c r="E116">
        <v>-11.56</v>
      </c>
      <c r="F116">
        <v>-8.74</v>
      </c>
      <c r="G116">
        <v>3.62</v>
      </c>
      <c r="H116" s="1">
        <f>IF(ISNUMBER(Main_M[[#This Row],[Free CF]]),IF(Main_M[[#This Row],[Free CF]]&lt;&gt;0,Main_M[[#This Row],[Current Price]]/Main_M[[#This Row],[Free CF]],""),"")</f>
        <v>-19.521626297577853</v>
      </c>
      <c r="I116" s="1">
        <f>IF(ISNUMBER(Main_M[[#This Row],[BVPS]]),IF(Main_M[[#This Row],[BVPS]]&lt;&gt;0,Main_M[[#This Row],[Current Price]]/Main_M[[#This Row],[BVPS]],""),"")</f>
        <v>-25.820366132723109</v>
      </c>
      <c r="J116">
        <v>-31.42</v>
      </c>
      <c r="K116">
        <v>5.08</v>
      </c>
      <c r="L116">
        <v>-27.84</v>
      </c>
      <c r="M116" s="1">
        <f>IF(ISNUMBER(Main_M[[#This Row],[EPS]]),IF(Main_M[[#This Row],[EPS]]&lt;&gt;0,Main_M[[#This Row],[Current Price]]/Main_M[[#This Row],[EPS]],""),"")</f>
        <v>62.339779005524854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-1.4506563401781984</v>
      </c>
      <c r="P116" s="1">
        <f>(Main_M[[#This Row],[P/B]]-VLOOKUP(Main_M[[#This Row],[Industry]], Mean_PB_M, 2, FALSE))/(VLOOKUP(Main_M[[#This Row],[Industry]], Mean_PB_M, 3, FALSE))</f>
        <v>-32.26216287784726</v>
      </c>
      <c r="Q116" s="1">
        <f>(Main_M[[#This Row],[ROE]]-VLOOKUP(Main_M[[#This Row],[Industry]], Mean_ROE_M, 2, FALSE))/(VLOOKUP(Main_M[[#This Row],[Industry]], Mean_ROE_M, 3, FALSE))</f>
        <v>-3.0417539773236677</v>
      </c>
      <c r="R116" s="1">
        <f>(Main_M[[#This Row],[ROA]]-VLOOKUP(Main_M[[#This Row],[Industry]], Mean_ROA_M, 2, FALSE))/(VLOOKUP(Main_M[[#This Row],[Industry]], Mean_ROA_M, 3, FALSE))</f>
        <v>1.6516051487774155E-2</v>
      </c>
      <c r="S116" s="1">
        <f>(Main_M[[#This Row],[A/E]]-VLOOKUP(Main_M[[#This Row],[Industry]], Mean_AE_M, 2, FALSE))/(VLOOKUP(Main_M[[#This Row],[Industry]], Mean_AE_M, 3, FALSE))</f>
        <v>-27.338548925704117</v>
      </c>
      <c r="T116" s="1">
        <f>(Main_M[[#This Row],[P/E]]-VLOOKUP(Main_M[[#This Row],[Industry]], Mean_PE_M, 2, FALSE))/(VLOOKUP(Main_M[[#This Row],[Industry]], Mean_PE_M, 3, FALSE))</f>
        <v>10.075934972375263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7" spans="1:26" x14ac:dyDescent="0.25">
      <c r="A117" t="s">
        <v>115</v>
      </c>
      <c r="B117" t="s">
        <v>328</v>
      </c>
      <c r="C117" s="2">
        <v>3907</v>
      </c>
      <c r="D117">
        <f>RTD("tos.rtd", , "LAST", Main_M[[#This Row],[Symbol]])</f>
        <v>39.01</v>
      </c>
      <c r="E117">
        <v>1.1000000000000001</v>
      </c>
      <c r="F117">
        <v>-22.13</v>
      </c>
      <c r="G117">
        <v>-2.88</v>
      </c>
      <c r="H117" s="1">
        <f>IF(ISNUMBER(Main_M[[#This Row],[Free CF]]),IF(Main_M[[#This Row],[Free CF]]&lt;&gt;0,Main_M[[#This Row],[Current Price]]/Main_M[[#This Row],[Free CF]],""),"")</f>
        <v>35.463636363636361</v>
      </c>
      <c r="I117" s="1">
        <f>IF(ISNUMBER(Main_M[[#This Row],[BVPS]]),IF(Main_M[[#This Row],[BVPS]]&lt;&gt;0,Main_M[[#This Row],[Current Price]]/Main_M[[#This Row],[BVPS]],""),"")</f>
        <v>-1.7627654767284229</v>
      </c>
      <c r="J117">
        <v>12.67</v>
      </c>
      <c r="K117">
        <v>-4.45</v>
      </c>
      <c r="L117">
        <v>-1.22</v>
      </c>
      <c r="M117" s="1">
        <f>IF(ISNUMBER(Main_M[[#This Row],[EPS]]),IF(Main_M[[#This Row],[EPS]]&lt;&gt;0,Main_M[[#This Row],[Current Price]]/Main_M[[#This Row],[EPS]],""),"")</f>
        <v>-13.545138888888889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0.21658924282248435</v>
      </c>
      <c r="P117" s="1">
        <f>(Main_M[[#This Row],[P/B]]-VLOOKUP(Main_M[[#This Row],[Industry]], Mean_PB_M, 2, FALSE))/(VLOOKUP(Main_M[[#This Row],[Industry]], Mean_PB_M, 3, FALSE))</f>
        <v>-4.8031849727850799</v>
      </c>
      <c r="Q117" s="1">
        <f>(Main_M[[#This Row],[ROE]]-VLOOKUP(Main_M[[#This Row],[Industry]], Mean_ROE_M, 2, FALSE))/(VLOOKUP(Main_M[[#This Row],[Industry]], Mean_ROE_M, 3, FALSE))</f>
        <v>-5.4975852224979145E-2</v>
      </c>
      <c r="R117" s="1">
        <f>(Main_M[[#This Row],[ROA]]-VLOOKUP(Main_M[[#This Row],[Industry]], Mean_ROA_M, 2, FALSE))/(VLOOKUP(Main_M[[#This Row],[Industry]], Mean_ROA_M, 3, FALSE))</f>
        <v>-3.1806302279189382</v>
      </c>
      <c r="S117" s="1">
        <f>(Main_M[[#This Row],[A/E]]-VLOOKUP(Main_M[[#This Row],[Industry]], Mean_AE_M, 2, FALSE))/(VLOOKUP(Main_M[[#This Row],[Industry]], Mean_AE_M, 3, FALSE))</f>
        <v>-3.8387644272586341</v>
      </c>
      <c r="T117" s="1">
        <f>(Main_M[[#This Row],[P/E]]-VLOOKUP(Main_M[[#This Row],[Industry]], Mean_PE_M, 2, FALSE))/(VLOOKUP(Main_M[[#This Row],[Industry]], Mean_PE_M, 3, FALSE))</f>
        <v>-5.4182744150720099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8" spans="1:26" x14ac:dyDescent="0.25">
      <c r="A118" t="s">
        <v>110</v>
      </c>
      <c r="B118" t="s">
        <v>245</v>
      </c>
      <c r="C118" s="2">
        <v>3567</v>
      </c>
      <c r="D118">
        <f>RTD("tos.rtd", , "LAST", Main_M[[#This Row],[Symbol]])</f>
        <v>68.63</v>
      </c>
      <c r="E118">
        <v>5.09</v>
      </c>
      <c r="F118">
        <v>30.68</v>
      </c>
      <c r="G118">
        <v>3.88</v>
      </c>
      <c r="H118" s="1">
        <f>IF(ISNUMBER(Main_M[[#This Row],[Free CF]]),IF(Main_M[[#This Row],[Free CF]]&lt;&gt;0,Main_M[[#This Row],[Current Price]]/Main_M[[#This Row],[Free CF]],""),"")</f>
        <v>13.483300589390963</v>
      </c>
      <c r="I118" s="1">
        <f>IF(ISNUMBER(Main_M[[#This Row],[BVPS]]),IF(Main_M[[#This Row],[BVPS]]&lt;&gt;0,Main_M[[#This Row],[Current Price]]/Main_M[[#This Row],[BVPS]],""),"")</f>
        <v>2.2369621903520209</v>
      </c>
      <c r="J118">
        <v>12.34</v>
      </c>
      <c r="K118">
        <v>6.23</v>
      </c>
      <c r="L118">
        <v>1.58</v>
      </c>
      <c r="M118" s="1">
        <f>IF(ISNUMBER(Main_M[[#This Row],[EPS]]),IF(Main_M[[#This Row],[EPS]]&lt;&gt;0,Main_M[[#This Row],[Current Price]]/Main_M[[#This Row],[EPS]],""),"")</f>
        <v>17.688144329896907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8" s="1">
        <f>(Main_M[[#This Row],[P/FCF]]-VLOOKUP(Main_M[[#This Row],[Industry]], Mean_PFCF_M, 2, FALSE))/(VLOOKUP(Main_M[[#This Row],[Industry]], Mean_PFCF_M, 3, FALSE))</f>
        <v>-0.23295523538515875</v>
      </c>
      <c r="P118" s="1">
        <f>(Main_M[[#This Row],[P/B]]-VLOOKUP(Main_M[[#This Row],[Industry]], Mean_PB_M, 2, FALSE))/(VLOOKUP(Main_M[[#This Row],[Industry]], Mean_PB_M, 3, FALSE))</f>
        <v>-0.35533691946077162</v>
      </c>
      <c r="Q118" s="1">
        <f>(Main_M[[#This Row],[ROE]]-VLOOKUP(Main_M[[#This Row],[Industry]], Mean_ROE_M, 2, FALSE))/(VLOOKUP(Main_M[[#This Row],[Industry]], Mean_ROE_M, 3, FALSE))</f>
        <v>-0.19793316508126543</v>
      </c>
      <c r="R118" s="1">
        <f>(Main_M[[#This Row],[ROA]]-VLOOKUP(Main_M[[#This Row],[Industry]], Mean_ROA_M, 2, FALSE))/(VLOOKUP(Main_M[[#This Row],[Industry]], Mean_ROA_M, 3, FALSE))</f>
        <v>0.2429378531073447</v>
      </c>
      <c r="S118" s="1">
        <f>(Main_M[[#This Row],[A/E]]-VLOOKUP(Main_M[[#This Row],[Industry]], Mean_AE_M, 2, FALSE))/(VLOOKUP(Main_M[[#This Row],[Industry]], Mean_AE_M, 3, FALSE))</f>
        <v>-1.3539331662653702</v>
      </c>
      <c r="T118" s="1">
        <f>(Main_M[[#This Row],[P/E]]-VLOOKUP(Main_M[[#This Row],[Industry]], Mean_PE_M, 2, FALSE))/(VLOOKUP(Main_M[[#This Row],[Industry]], Mean_PE_M, 3, FALSE))</f>
        <v>0.29673302052945372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9" spans="1:26" x14ac:dyDescent="0.25">
      <c r="A119" t="s">
        <v>110</v>
      </c>
      <c r="B119" t="s">
        <v>246</v>
      </c>
      <c r="C119" s="2">
        <v>7067</v>
      </c>
      <c r="D119">
        <f>RTD("tos.rtd", , "LAST", Main_M[[#This Row],[Symbol]])</f>
        <v>49.11</v>
      </c>
      <c r="E119">
        <v>2.15</v>
      </c>
      <c r="F119">
        <v>9.56</v>
      </c>
      <c r="G119">
        <v>2.56</v>
      </c>
      <c r="H119" s="1">
        <f>IF(ISNUMBER(Main_M[[#This Row],[Free CF]]),IF(Main_M[[#This Row],[Free CF]]&lt;&gt;0,Main_M[[#This Row],[Current Price]]/Main_M[[#This Row],[Free CF]],""),"")</f>
        <v>22.84186046511628</v>
      </c>
      <c r="I119" s="1">
        <f>IF(ISNUMBER(Main_M[[#This Row],[BVPS]]),IF(Main_M[[#This Row],[BVPS]]&lt;&gt;0,Main_M[[#This Row],[Current Price]]/Main_M[[#This Row],[BVPS]],""),"")</f>
        <v>5.1370292887029283</v>
      </c>
      <c r="J119">
        <v>23.48</v>
      </c>
      <c r="K119">
        <v>12.03</v>
      </c>
      <c r="L119">
        <v>2.5499999999999998</v>
      </c>
      <c r="M119" s="1">
        <f>IF(ISNUMBER(Main_M[[#This Row],[EPS]]),IF(Main_M[[#This Row],[EPS]]&lt;&gt;0,Main_M[[#This Row],[Current Price]]/Main_M[[#This Row],[EPS]],""),"")</f>
        <v>19.18359375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1.4236764438890879</v>
      </c>
      <c r="P119" s="1">
        <f>(Main_M[[#This Row],[P/B]]-VLOOKUP(Main_M[[#This Row],[Industry]], Mean_PB_M, 2, FALSE))/(VLOOKUP(Main_M[[#This Row],[Industry]], Mean_PB_M, 3, FALSE))</f>
        <v>1.9868194391088738</v>
      </c>
      <c r="Q119" s="1">
        <f>(Main_M[[#This Row],[ROE]]-VLOOKUP(Main_M[[#This Row],[Industry]], Mean_ROE_M, 2, FALSE))/(VLOOKUP(Main_M[[#This Row],[Industry]], Mean_ROE_M, 3, FALSE))</f>
        <v>0.31159322636998743</v>
      </c>
      <c r="R119" s="1">
        <f>(Main_M[[#This Row],[ROA]]-VLOOKUP(Main_M[[#This Row],[Industry]], Mean_ROA_M, 2, FALSE))/(VLOOKUP(Main_M[[#This Row],[Industry]], Mean_ROA_M, 3, FALSE))</f>
        <v>2.4274952919020731</v>
      </c>
      <c r="S119" s="1">
        <f>(Main_M[[#This Row],[A/E]]-VLOOKUP(Main_M[[#This Row],[Industry]], Mean_AE_M, 2, FALSE))/(VLOOKUP(Main_M[[#This Row],[Industry]], Mean_AE_M, 3, FALSE))</f>
        <v>6.3777028440370503E-2</v>
      </c>
      <c r="T119" s="1">
        <f>(Main_M[[#This Row],[P/E]]-VLOOKUP(Main_M[[#This Row],[Industry]], Mean_PE_M, 2, FALSE))/(VLOOKUP(Main_M[[#This Row],[Industry]], Mean_PE_M, 3, FALSE))</f>
        <v>0.37778805863761478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t="s">
        <v>110</v>
      </c>
      <c r="B120" t="s">
        <v>247</v>
      </c>
      <c r="C120" s="2">
        <v>3731</v>
      </c>
      <c r="D120">
        <f>RTD("tos.rtd", , "LAST", Main_M[[#This Row],[Symbol]])</f>
        <v>73.66</v>
      </c>
      <c r="E120">
        <v>6.23</v>
      </c>
      <c r="F120">
        <v>7.23</v>
      </c>
      <c r="G120">
        <v>4.3600000000000003</v>
      </c>
      <c r="H120" s="1">
        <f>IF(ISNUMBER(Main_M[[#This Row],[Free CF]]),IF(Main_M[[#This Row],[Free CF]]&lt;&gt;0,Main_M[[#This Row],[Current Price]]/Main_M[[#This Row],[Free CF]],""),"")</f>
        <v>11.823434991974317</v>
      </c>
      <c r="I120" s="1">
        <f>IF(ISNUMBER(Main_M[[#This Row],[BVPS]]),IF(Main_M[[#This Row],[BVPS]]&lt;&gt;0,Main_M[[#This Row],[Current Price]]/Main_M[[#This Row],[BVPS]],""),"")</f>
        <v>10.188105117565698</v>
      </c>
      <c r="J120">
        <v>63.68</v>
      </c>
      <c r="K120">
        <v>14.5</v>
      </c>
      <c r="L120">
        <v>4.13</v>
      </c>
      <c r="M120" s="1">
        <f>IF(ISNUMBER(Main_M[[#This Row],[EPS]]),IF(Main_M[[#This Row],[EPS]]&lt;&gt;0,Main_M[[#This Row],[Current Price]]/Main_M[[#This Row],[EPS]],""),"")</f>
        <v>16.894495412844034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-0.52678099154133995</v>
      </c>
      <c r="P120" s="1">
        <f>(Main_M[[#This Row],[P/B]]-VLOOKUP(Main_M[[#This Row],[Industry]], Mean_PB_M, 2, FALSE))/(VLOOKUP(Main_M[[#This Row],[Industry]], Mean_PB_M, 3, FALSE))</f>
        <v>6.0661765605063804</v>
      </c>
      <c r="Q120" s="1">
        <f>(Main_M[[#This Row],[ROE]]-VLOOKUP(Main_M[[#This Row],[Industry]], Mean_ROE_M, 2, FALSE))/(VLOOKUP(Main_M[[#This Row],[Industry]], Mean_ROE_M, 3, FALSE))</f>
        <v>2.1502791272982069</v>
      </c>
      <c r="R120" s="1">
        <f>(Main_M[[#This Row],[ROA]]-VLOOKUP(Main_M[[#This Row],[Industry]], Mean_ROA_M, 2, FALSE))/(VLOOKUP(Main_M[[#This Row],[Industry]], Mean_ROA_M, 3, FALSE))</f>
        <v>3.3578154425612081</v>
      </c>
      <c r="S120" s="1">
        <f>(Main_M[[#This Row],[A/E]]-VLOOKUP(Main_M[[#This Row],[Industry]], Mean_AE_M, 2, FALSE))/(VLOOKUP(Main_M[[#This Row],[Industry]], Mean_AE_M, 3, FALSE))</f>
        <v>2.3730369332187942</v>
      </c>
      <c r="T120" s="1">
        <f>(Main_M[[#This Row],[P/E]]-VLOOKUP(Main_M[[#This Row],[Industry]], Mean_PE_M, 2, FALSE))/(VLOOKUP(Main_M[[#This Row],[Industry]], Mean_PE_M, 3, FALSE))</f>
        <v>0.25371635787844493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1" spans="1:26" x14ac:dyDescent="0.25">
      <c r="A121" t="s">
        <v>110</v>
      </c>
      <c r="B121" t="s">
        <v>248</v>
      </c>
      <c r="C121" s="2">
        <v>6543</v>
      </c>
      <c r="D121">
        <f>RTD("tos.rtd", , "LAST", Main_M[[#This Row],[Symbol]])</f>
        <v>17.8</v>
      </c>
      <c r="E121">
        <v>1.1100000000000001</v>
      </c>
      <c r="F121">
        <v>5.15</v>
      </c>
      <c r="G121">
        <v>0.9</v>
      </c>
      <c r="H121" s="1">
        <f>IF(ISNUMBER(Main_M[[#This Row],[Free CF]]),IF(Main_M[[#This Row],[Free CF]]&lt;&gt;0,Main_M[[#This Row],[Current Price]]/Main_M[[#This Row],[Free CF]],""),"")</f>
        <v>16.036036036036034</v>
      </c>
      <c r="I121" s="1">
        <f>IF(ISNUMBER(Main_M[[#This Row],[BVPS]]),IF(Main_M[[#This Row],[BVPS]]&lt;&gt;0,Main_M[[#This Row],[Current Price]]/Main_M[[#This Row],[BVPS]],""),"")</f>
        <v>3.4563106796116503</v>
      </c>
      <c r="J121">
        <v>17.98</v>
      </c>
      <c r="K121">
        <v>7.41</v>
      </c>
      <c r="L121">
        <v>3.05</v>
      </c>
      <c r="M121" s="1">
        <f>IF(ISNUMBER(Main_M[[#This Row],[EPS]]),IF(Main_M[[#This Row],[EPS]]&lt;&gt;0,Main_M[[#This Row],[Current Price]]/Main_M[[#This Row],[EPS]],""),"")</f>
        <v>19.777777777777779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0.21892437706330703</v>
      </c>
      <c r="P121" s="1">
        <f>(Main_M[[#This Row],[P/B]]-VLOOKUP(Main_M[[#This Row],[Industry]], Mean_PB_M, 2, FALSE))/(VLOOKUP(Main_M[[#This Row],[Industry]], Mean_PB_M, 3, FALSE))</f>
        <v>0.62943506014470441</v>
      </c>
      <c r="Q121" s="1">
        <f>(Main_M[[#This Row],[ROE]]-VLOOKUP(Main_M[[#This Row],[Industry]], Mean_ROE_M, 2, FALSE))/(VLOOKUP(Main_M[[#This Row],[Industry]], Mean_ROE_M, 3, FALSE))</f>
        <v>6.0031722511648955E-2</v>
      </c>
      <c r="R121" s="1">
        <f>(Main_M[[#This Row],[ROA]]-VLOOKUP(Main_M[[#This Row],[Industry]], Mean_ROA_M, 2, FALSE))/(VLOOKUP(Main_M[[#This Row],[Industry]], Mean_ROA_M, 3, FALSE))</f>
        <v>0.68738229755178948</v>
      </c>
      <c r="S121" s="1">
        <f>(Main_M[[#This Row],[A/E]]-VLOOKUP(Main_M[[#This Row],[Industry]], Mean_AE_M, 2, FALSE))/(VLOOKUP(Main_M[[#This Row],[Industry]], Mean_AE_M, 3, FALSE))</f>
        <v>0.79455547931961856</v>
      </c>
      <c r="T121" s="1">
        <f>(Main_M[[#This Row],[P/E]]-VLOOKUP(Main_M[[#This Row],[Industry]], Mean_PE_M, 2, FALSE))/(VLOOKUP(Main_M[[#This Row],[Industry]], Mean_PE_M, 3, FALSE))</f>
        <v>0.40999350027098569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2" spans="1:26" x14ac:dyDescent="0.25">
      <c r="A122" t="s">
        <v>110</v>
      </c>
      <c r="B122" t="s">
        <v>249</v>
      </c>
      <c r="C122" s="2">
        <v>3750</v>
      </c>
      <c r="D122">
        <f>RTD("tos.rtd", , "LAST", Main_M[[#This Row],[Symbol]])</f>
        <v>80.5</v>
      </c>
      <c r="E122">
        <v>10.4</v>
      </c>
      <c r="F122">
        <v>96.54</v>
      </c>
      <c r="G122">
        <v>10.56</v>
      </c>
      <c r="H122" s="1">
        <f>IF(ISNUMBER(Main_M[[#This Row],[Free CF]]),IF(Main_M[[#This Row],[Free CF]]&lt;&gt;0,Main_M[[#This Row],[Current Price]]/Main_M[[#This Row],[Free CF]],""),"")</f>
        <v>7.740384615384615</v>
      </c>
      <c r="I122" s="1">
        <f>IF(ISNUMBER(Main_M[[#This Row],[BVPS]]),IF(Main_M[[#This Row],[BVPS]]&lt;&gt;0,Main_M[[#This Row],[Current Price]]/Main_M[[#This Row],[BVPS]],""),"")</f>
        <v>0.83385125336648014</v>
      </c>
      <c r="J122">
        <v>11.67</v>
      </c>
      <c r="K122">
        <v>4.21</v>
      </c>
      <c r="L122">
        <v>2.15</v>
      </c>
      <c r="M122" s="1">
        <f>IF(ISNUMBER(Main_M[[#This Row],[EPS]]),IF(Main_M[[#This Row],[EPS]]&lt;&gt;0,Main_M[[#This Row],[Current Price]]/Main_M[[#This Row],[EPS]],""),"")</f>
        <v>7.6231060606060606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-1.2495535860167162</v>
      </c>
      <c r="P122" s="1">
        <f>(Main_M[[#This Row],[P/B]]-VLOOKUP(Main_M[[#This Row],[Industry]], Mean_PB_M, 2, FALSE))/(VLOOKUP(Main_M[[#This Row],[Industry]], Mean_PB_M, 3, FALSE))</f>
        <v>-1.4885193912415178</v>
      </c>
      <c r="Q122" s="1">
        <f>(Main_M[[#This Row],[ROE]]-VLOOKUP(Main_M[[#This Row],[Industry]], Mean_ROE_M, 2, FALSE))/(VLOOKUP(Main_M[[#This Row],[Industry]], Mean_ROE_M, 3, FALSE))</f>
        <v>-0.22857793009673577</v>
      </c>
      <c r="R122" s="1">
        <f>(Main_M[[#This Row],[ROA]]-VLOOKUP(Main_M[[#This Row],[Industry]], Mean_ROA_M, 2, FALSE))/(VLOOKUP(Main_M[[#This Row],[Industry]], Mean_ROA_M, 3, FALSE))</f>
        <v>-0.51789077212806112</v>
      </c>
      <c r="S122" s="1">
        <f>(Main_M[[#This Row],[A/E]]-VLOOKUP(Main_M[[#This Row],[Industry]], Mean_AE_M, 2, FALSE))/(VLOOKUP(Main_M[[#This Row],[Industry]], Mean_AE_M, 3, FALSE))</f>
        <v>-0.52084573226302777</v>
      </c>
      <c r="T122" s="1">
        <f>(Main_M[[#This Row],[P/E]]-VLOOKUP(Main_M[[#This Row],[Industry]], Mean_PE_M, 2, FALSE))/(VLOOKUP(Main_M[[#This Row],[Industry]], Mean_PE_M, 3, FALSE))</f>
        <v>-0.24880335770607928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3" spans="1:26" x14ac:dyDescent="0.25">
      <c r="A123" t="s">
        <v>110</v>
      </c>
      <c r="B123" t="s">
        <v>250</v>
      </c>
      <c r="C123" s="2">
        <v>2360</v>
      </c>
      <c r="D123">
        <f>RTD("tos.rtd", , "LAST", Main_M[[#This Row],[Symbol]])</f>
        <v>5.99</v>
      </c>
      <c r="E123">
        <v>-0.35</v>
      </c>
      <c r="F123">
        <v>4.62</v>
      </c>
      <c r="G123">
        <v>-0.28999999999999998</v>
      </c>
      <c r="H123" s="1">
        <f>IF(ISNUMBER(Main_M[[#This Row],[Free CF]]),IF(Main_M[[#This Row],[Free CF]]&lt;&gt;0,Main_M[[#This Row],[Current Price]]/Main_M[[#This Row],[Free CF]],""),"")</f>
        <v>-17.114285714285717</v>
      </c>
      <c r="I123" s="1">
        <f>IF(ISNUMBER(Main_M[[#This Row],[BVPS]]),IF(Main_M[[#This Row],[BVPS]]&lt;&gt;0,Main_M[[#This Row],[Current Price]]/Main_M[[#This Row],[BVPS]],""),"")</f>
        <v>1.2965367965367967</v>
      </c>
      <c r="J123">
        <v>-6.12</v>
      </c>
      <c r="K123">
        <v>3.05</v>
      </c>
      <c r="L123">
        <v>2.33</v>
      </c>
      <c r="M123" s="1">
        <f>IF(ISNUMBER(Main_M[[#This Row],[EPS]]),IF(Main_M[[#This Row],[EPS]]&lt;&gt;0,Main_M[[#This Row],[Current Price]]/Main_M[[#This Row],[EPS]],""),"")</f>
        <v>-20.655172413793107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3" s="1">
        <f>(Main_M[[#This Row],[P/FCF]]-VLOOKUP(Main_M[[#This Row],[Industry]], Mean_PFCF_M, 2, FALSE))/(VLOOKUP(Main_M[[#This Row],[Industry]], Mean_PFCF_M, 3, FALSE))</f>
        <v>-5.6492726445923136</v>
      </c>
      <c r="P123" s="1">
        <f>(Main_M[[#This Row],[P/B]]-VLOOKUP(Main_M[[#This Row],[Industry]], Mean_PB_M, 2, FALSE))/(VLOOKUP(Main_M[[#This Row],[Industry]], Mean_PB_M, 3, FALSE))</f>
        <v>-1.1148446277952404</v>
      </c>
      <c r="Q123" s="1">
        <f>(Main_M[[#This Row],[ROE]]-VLOOKUP(Main_M[[#This Row],[Industry]], Mean_ROE_M, 2, FALSE))/(VLOOKUP(Main_M[[#This Row],[Industry]], Mean_ROE_M, 3, FALSE))</f>
        <v>-1.0422650489403433</v>
      </c>
      <c r="R123" s="1">
        <f>(Main_M[[#This Row],[ROA]]-VLOOKUP(Main_M[[#This Row],[Industry]], Mean_ROA_M, 2, FALSE))/(VLOOKUP(Main_M[[#This Row],[Industry]], Mean_ROA_M, 3, FALSE))</f>
        <v>-0.95480225988700695</v>
      </c>
      <c r="S123" s="1">
        <f>(Main_M[[#This Row],[A/E]]-VLOOKUP(Main_M[[#This Row],[Industry]], Mean_AE_M, 2, FALSE))/(VLOOKUP(Main_M[[#This Row],[Industry]], Mean_AE_M, 3, FALSE))</f>
        <v>-0.25776548994649828</v>
      </c>
      <c r="T123" s="1">
        <f>(Main_M[[#This Row],[P/E]]-VLOOKUP(Main_M[[#This Row],[Industry]], Mean_PE_M, 2, FALSE))/(VLOOKUP(Main_M[[#This Row],[Industry]], Mean_PE_M, 3, FALSE))</f>
        <v>-1.7815178103403944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t="s">
        <v>110</v>
      </c>
      <c r="B124" t="s">
        <v>251</v>
      </c>
      <c r="C124" s="2">
        <v>2459</v>
      </c>
      <c r="D124">
        <f>RTD("tos.rtd", , "LAST", Main_M[[#This Row],[Symbol]])</f>
        <v>6.27</v>
      </c>
      <c r="E124">
        <v>-0.35</v>
      </c>
      <c r="F124">
        <v>4.62</v>
      </c>
      <c r="G124">
        <v>-0.28999999999999998</v>
      </c>
      <c r="H124" s="1">
        <f>IF(ISNUMBER(Main_M[[#This Row],[Free CF]]),IF(Main_M[[#This Row],[Free CF]]&lt;&gt;0,Main_M[[#This Row],[Current Price]]/Main_M[[#This Row],[Free CF]],""),"")</f>
        <v>-17.914285714285715</v>
      </c>
      <c r="I124" s="1">
        <f>IF(ISNUMBER(Main_M[[#This Row],[BVPS]]),IF(Main_M[[#This Row],[BVPS]]&lt;&gt;0,Main_M[[#This Row],[Current Price]]/Main_M[[#This Row],[BVPS]],""),"")</f>
        <v>1.357142857142857</v>
      </c>
      <c r="J124">
        <v>-6.12</v>
      </c>
      <c r="K124">
        <v>3.05</v>
      </c>
      <c r="L124">
        <v>2.33</v>
      </c>
      <c r="M124" s="1">
        <f>IF(ISNUMBER(Main_M[[#This Row],[EPS]]),IF(Main_M[[#This Row],[EPS]]&lt;&gt;0,Main_M[[#This Row],[Current Price]]/Main_M[[#This Row],[EPS]],""),"")</f>
        <v>-21.620689655172413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-5.7908868844987165</v>
      </c>
      <c r="P124" s="1">
        <f>(Main_M[[#This Row],[P/B]]-VLOOKUP(Main_M[[#This Row],[Industry]], Mean_PB_M, 2, FALSE))/(VLOOKUP(Main_M[[#This Row],[Industry]], Mean_PB_M, 3, FALSE))</f>
        <v>-1.0658978740125231</v>
      </c>
      <c r="Q124" s="1">
        <f>(Main_M[[#This Row],[ROE]]-VLOOKUP(Main_M[[#This Row],[Industry]], Mean_ROE_M, 2, FALSE))/(VLOOKUP(Main_M[[#This Row],[Industry]], Mean_ROE_M, 3, FALSE))</f>
        <v>-1.0422650489403433</v>
      </c>
      <c r="R124" s="1">
        <f>(Main_M[[#This Row],[ROA]]-VLOOKUP(Main_M[[#This Row],[Industry]], Mean_ROA_M, 2, FALSE))/(VLOOKUP(Main_M[[#This Row],[Industry]], Mean_ROA_M, 3, FALSE))</f>
        <v>-0.95480225988700695</v>
      </c>
      <c r="S124" s="1">
        <f>(Main_M[[#This Row],[A/E]]-VLOOKUP(Main_M[[#This Row],[Industry]], Mean_AE_M, 2, FALSE))/(VLOOKUP(Main_M[[#This Row],[Industry]], Mean_AE_M, 3, FALSE))</f>
        <v>-0.25776548994649828</v>
      </c>
      <c r="T124" s="1">
        <f>(Main_M[[#This Row],[P/E]]-VLOOKUP(Main_M[[#This Row],[Industry]], Mean_PE_M, 2, FALSE))/(VLOOKUP(Main_M[[#This Row],[Industry]], Mean_PE_M, 3, FALSE))</f>
        <v>-1.833849929195134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t="s">
        <v>110</v>
      </c>
      <c r="B125" t="s">
        <v>252</v>
      </c>
      <c r="C125" s="2">
        <v>4955</v>
      </c>
      <c r="D125">
        <f>RTD("tos.rtd", , "LAST", Main_M[[#This Row],[Symbol]])</f>
        <v>14.95</v>
      </c>
      <c r="E125">
        <v>1.04</v>
      </c>
      <c r="F125">
        <v>4.3099999999999996</v>
      </c>
      <c r="G125">
        <v>-0.37</v>
      </c>
      <c r="H125" s="1">
        <f>IF(ISNUMBER(Main_M[[#This Row],[Free CF]]),IF(Main_M[[#This Row],[Free CF]]&lt;&gt;0,Main_M[[#This Row],[Current Price]]/Main_M[[#This Row],[Free CF]],""),"")</f>
        <v>14.374999999999998</v>
      </c>
      <c r="I125" s="1">
        <f>IF(ISNUMBER(Main_M[[#This Row],[BVPS]]),IF(Main_M[[#This Row],[BVPS]]&lt;&gt;0,Main_M[[#This Row],[Current Price]]/Main_M[[#This Row],[BVPS]],""),"")</f>
        <v>3.468677494199536</v>
      </c>
      <c r="J125">
        <v>-7.54</v>
      </c>
      <c r="K125">
        <v>2.98</v>
      </c>
      <c r="L125">
        <v>6.28</v>
      </c>
      <c r="M125" s="1">
        <f>IF(ISNUMBER(Main_M[[#This Row],[EPS]]),IF(Main_M[[#This Row],[EPS]]&lt;&gt;0,Main_M[[#This Row],[Current Price]]/Main_M[[#This Row],[EPS]],""),"")</f>
        <v>-40.405405405405403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5" s="1">
        <f>(Main_M[[#This Row],[P/FCF]]-VLOOKUP(Main_M[[#This Row],[Industry]], Mean_PFCF_M, 2, FALSE))/(VLOOKUP(Main_M[[#This Row],[Industry]], Mean_PFCF_M, 3, FALSE))</f>
        <v>-7.5108567562176654E-2</v>
      </c>
      <c r="P125" s="1">
        <f>(Main_M[[#This Row],[P/B]]-VLOOKUP(Main_M[[#This Row],[Industry]], Mean_PB_M, 2, FALSE))/(VLOOKUP(Main_M[[#This Row],[Industry]], Mean_PB_M, 3, FALSE))</f>
        <v>0.63942276471841553</v>
      </c>
      <c r="Q125" s="1">
        <f>(Main_M[[#This Row],[ROE]]-VLOOKUP(Main_M[[#This Row],[Industry]], Mean_ROE_M, 2, FALSE))/(VLOOKUP(Main_M[[#This Row],[Industry]], Mean_ROE_M, 3, FALSE))</f>
        <v>-1.1072136553910417</v>
      </c>
      <c r="R125" s="1">
        <f>(Main_M[[#This Row],[ROA]]-VLOOKUP(Main_M[[#This Row],[Industry]], Mean_ROA_M, 2, FALSE))/(VLOOKUP(Main_M[[#This Row],[Industry]], Mean_ROA_M, 3, FALSE))</f>
        <v>-0.9811676082862536</v>
      </c>
      <c r="S125" s="1">
        <f>(Main_M[[#This Row],[A/E]]-VLOOKUP(Main_M[[#This Row],[Industry]], Mean_AE_M, 2, FALSE))/(VLOOKUP(Main_M[[#This Row],[Industry]], Mean_AE_M, 3, FALSE))</f>
        <v>5.5153842719995616</v>
      </c>
      <c r="T125" s="1">
        <f>(Main_M[[#This Row],[P/E]]-VLOOKUP(Main_M[[#This Row],[Industry]], Mean_PE_M, 2, FALSE))/(VLOOKUP(Main_M[[#This Row],[Industry]], Mean_PE_M, 3, FALSE))</f>
        <v>-2.8520026199636019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6" spans="1:26" x14ac:dyDescent="0.25">
      <c r="A126" t="s">
        <v>110</v>
      </c>
      <c r="B126" t="s">
        <v>253</v>
      </c>
      <c r="C126" s="2">
        <v>2013</v>
      </c>
      <c r="D126">
        <f>RTD("tos.rtd", , "LAST", Main_M[[#This Row],[Symbol]])</f>
        <v>8.75</v>
      </c>
      <c r="E126">
        <v>0.63</v>
      </c>
      <c r="F126">
        <v>3.76</v>
      </c>
      <c r="G126">
        <v>0.31</v>
      </c>
      <c r="H126" s="1">
        <f>IF(ISNUMBER(Main_M[[#This Row],[Free CF]]),IF(Main_M[[#This Row],[Free CF]]&lt;&gt;0,Main_M[[#This Row],[Current Price]]/Main_M[[#This Row],[Free CF]],""),"")</f>
        <v>13.888888888888889</v>
      </c>
      <c r="I126" s="1">
        <f>IF(ISNUMBER(Main_M[[#This Row],[BVPS]]),IF(Main_M[[#This Row],[BVPS]]&lt;&gt;0,Main_M[[#This Row],[Current Price]]/Main_M[[#This Row],[BVPS]],""),"")</f>
        <v>2.3271276595744683</v>
      </c>
      <c r="J126">
        <v>9.65</v>
      </c>
      <c r="K126">
        <v>4.1100000000000003</v>
      </c>
      <c r="L126">
        <v>3.09</v>
      </c>
      <c r="M126" s="1">
        <f>IF(ISNUMBER(Main_M[[#This Row],[EPS]]),IF(Main_M[[#This Row],[EPS]]&lt;&gt;0,Main_M[[#This Row],[Current Price]]/Main_M[[#This Row],[EPS]],""),"")</f>
        <v>28.225806451612904</v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6" s="1">
        <f>(Main_M[[#This Row],[P/FCF]]-VLOOKUP(Main_M[[#This Row],[Industry]], Mean_PFCF_M, 2, FALSE))/(VLOOKUP(Main_M[[#This Row],[Industry]], Mean_PFCF_M, 3, FALSE))</f>
        <v>-0.16115888694974723</v>
      </c>
      <c r="P126" s="1">
        <f>(Main_M[[#This Row],[P/B]]-VLOOKUP(Main_M[[#This Row],[Industry]], Mean_PB_M, 2, FALSE))/(VLOOKUP(Main_M[[#This Row],[Industry]], Mean_PB_M, 3, FALSE))</f>
        <v>-0.28251735360215507</v>
      </c>
      <c r="Q126" s="1">
        <f>(Main_M[[#This Row],[ROE]]-VLOOKUP(Main_M[[#This Row],[Industry]], Mean_ROE_M, 2, FALSE))/(VLOOKUP(Main_M[[#This Row],[Industry]], Mean_ROE_M, 3, FALSE))</f>
        <v>-0.32096960969561644</v>
      </c>
      <c r="R126" s="1">
        <f>(Main_M[[#This Row],[ROA]]-VLOOKUP(Main_M[[#This Row],[Industry]], Mean_ROA_M, 2, FALSE))/(VLOOKUP(Main_M[[#This Row],[Industry]], Mean_ROA_M, 3, FALSE))</f>
        <v>-0.55555555555555625</v>
      </c>
      <c r="S126" s="1">
        <f>(Main_M[[#This Row],[A/E]]-VLOOKUP(Main_M[[#This Row],[Industry]], Mean_AE_M, 2, FALSE))/(VLOOKUP(Main_M[[#This Row],[Industry]], Mean_AE_M, 3, FALSE))</f>
        <v>0.85301775538995839</v>
      </c>
      <c r="T126" s="1">
        <f>(Main_M[[#This Row],[P/E]]-VLOOKUP(Main_M[[#This Row],[Industry]], Mean_PE_M, 2, FALSE))/(VLOOKUP(Main_M[[#This Row],[Industry]], Mean_PE_M, 3, FALSE))</f>
        <v>0.86788614237006656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7" spans="1:26" x14ac:dyDescent="0.25">
      <c r="A127" t="s">
        <v>110</v>
      </c>
      <c r="B127" t="s">
        <v>254</v>
      </c>
      <c r="C127" s="2">
        <v>9739</v>
      </c>
      <c r="D127">
        <f>RTD("tos.rtd", , "LAST", Main_M[[#This Row],[Symbol]])</f>
        <v>54.08</v>
      </c>
      <c r="E127">
        <v>2.14</v>
      </c>
      <c r="F127">
        <v>15.16</v>
      </c>
      <c r="G127">
        <v>1.21</v>
      </c>
      <c r="H127" s="1">
        <f>IF(ISNUMBER(Main_M[[#This Row],[Free CF]]),IF(Main_M[[#This Row],[Free CF]]&lt;&gt;0,Main_M[[#This Row],[Current Price]]/Main_M[[#This Row],[Free CF]],""),"")</f>
        <v>25.271028037383175</v>
      </c>
      <c r="I127" s="1">
        <f>IF(ISNUMBER(Main_M[[#This Row],[BVPS]]),IF(Main_M[[#This Row],[BVPS]]&lt;&gt;0,Main_M[[#This Row],[Current Price]]/Main_M[[#This Row],[BVPS]],""),"")</f>
        <v>3.5672823218997358</v>
      </c>
      <c r="J127">
        <v>8.4</v>
      </c>
      <c r="K127">
        <v>6.07</v>
      </c>
      <c r="L127">
        <v>1.82</v>
      </c>
      <c r="M127" s="1">
        <f>IF(ISNUMBER(Main_M[[#This Row],[EPS]]),IF(Main_M[[#This Row],[EPS]]&lt;&gt;0,Main_M[[#This Row],[Current Price]]/Main_M[[#This Row],[EPS]],""),"")</f>
        <v>44.694214876033058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7" s="1">
        <f>(Main_M[[#This Row],[P/FCF]]-VLOOKUP(Main_M[[#This Row],[Industry]], Mean_PFCF_M, 2, FALSE))/(VLOOKUP(Main_M[[#This Row],[Industry]], Mean_PFCF_M, 3, FALSE))</f>
        <v>1.8536823430789096</v>
      </c>
      <c r="P127" s="1">
        <f>(Main_M[[#This Row],[P/B]]-VLOOKUP(Main_M[[#This Row],[Industry]], Mean_PB_M, 2, FALSE))/(VLOOKUP(Main_M[[#This Row],[Industry]], Mean_PB_M, 3, FALSE))</f>
        <v>0.71905813740169355</v>
      </c>
      <c r="Q127" s="1">
        <f>(Main_M[[#This Row],[ROE]]-VLOOKUP(Main_M[[#This Row],[Industry]], Mean_ROE_M, 2, FALSE))/(VLOOKUP(Main_M[[#This Row],[Industry]], Mean_ROE_M, 3, FALSE))</f>
        <v>-0.37814267875432972</v>
      </c>
      <c r="R127" s="1">
        <f>(Main_M[[#This Row],[ROA]]-VLOOKUP(Main_M[[#This Row],[Industry]], Mean_ROA_M, 2, FALSE))/(VLOOKUP(Main_M[[#This Row],[Industry]], Mean_ROA_M, 3, FALSE))</f>
        <v>0.18267419962335213</v>
      </c>
      <c r="S127" s="1">
        <f>(Main_M[[#This Row],[A/E]]-VLOOKUP(Main_M[[#This Row],[Industry]], Mean_AE_M, 2, FALSE))/(VLOOKUP(Main_M[[#This Row],[Industry]], Mean_AE_M, 3, FALSE))</f>
        <v>-1.0031595098433312</v>
      </c>
      <c r="T127" s="1">
        <f>(Main_M[[#This Row],[P/E]]-VLOOKUP(Main_M[[#This Row],[Industry]], Mean_PE_M, 2, FALSE))/(VLOOKUP(Main_M[[#This Row],[Industry]], Mean_PE_M, 3, FALSE))</f>
        <v>1.7604923746357592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8" spans="1:26" x14ac:dyDescent="0.25">
      <c r="A128" t="s">
        <v>110</v>
      </c>
      <c r="B128" t="s">
        <v>255</v>
      </c>
      <c r="C128" s="2">
        <v>5648</v>
      </c>
      <c r="D128">
        <f>RTD("tos.rtd", , "LAST", Main_M[[#This Row],[Symbol]])</f>
        <v>120.26</v>
      </c>
      <c r="E128">
        <v>15.55</v>
      </c>
      <c r="F128">
        <v>32.49</v>
      </c>
      <c r="G128">
        <v>15.88</v>
      </c>
      <c r="H128" s="1">
        <f>IF(ISNUMBER(Main_M[[#This Row],[Free CF]]),IF(Main_M[[#This Row],[Free CF]]&lt;&gt;0,Main_M[[#This Row],[Current Price]]/Main_M[[#This Row],[Free CF]],""),"")</f>
        <v>7.7337620578778132</v>
      </c>
      <c r="I128" s="1">
        <f>IF(ISNUMBER(Main_M[[#This Row],[BVPS]]),IF(Main_M[[#This Row],[BVPS]]&lt;&gt;0,Main_M[[#This Row],[Current Price]]/Main_M[[#This Row],[BVPS]],""),"")</f>
        <v>3.7014465989535239</v>
      </c>
      <c r="J128">
        <v>57.76</v>
      </c>
      <c r="K128">
        <v>13.84</v>
      </c>
      <c r="L128">
        <v>2.62</v>
      </c>
      <c r="M128" s="1">
        <f>IF(ISNUMBER(Main_M[[#This Row],[EPS]]),IF(Main_M[[#This Row],[EPS]]&lt;&gt;0,Main_M[[#This Row],[Current Price]]/Main_M[[#This Row],[EPS]],""),"")</f>
        <v>7.5730478589420658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-1.2507258965761689</v>
      </c>
      <c r="P128" s="1">
        <f>(Main_M[[#This Row],[P/B]]-VLOOKUP(Main_M[[#This Row],[Industry]], Mean_PB_M, 2, FALSE))/(VLOOKUP(Main_M[[#This Row],[Industry]], Mean_PB_M, 3, FALSE))</f>
        <v>0.82741208368559682</v>
      </c>
      <c r="Q128" s="1">
        <f>(Main_M[[#This Row],[ROE]]-VLOOKUP(Main_M[[#This Row],[Industry]], Mean_ROE_M, 2, FALSE))/(VLOOKUP(Main_M[[#This Row],[Industry]], Mean_ROE_M, 3, FALSE))</f>
        <v>1.8795074722361409</v>
      </c>
      <c r="R128" s="1">
        <f>(Main_M[[#This Row],[ROA]]-VLOOKUP(Main_M[[#This Row],[Industry]], Mean_ROA_M, 2, FALSE))/(VLOOKUP(Main_M[[#This Row],[Industry]], Mean_ROA_M, 3, FALSE))</f>
        <v>3.1092278719397388</v>
      </c>
      <c r="S128" s="1">
        <f>(Main_M[[#This Row],[A/E]]-VLOOKUP(Main_M[[#This Row],[Industry]], Mean_AE_M, 2, FALSE))/(VLOOKUP(Main_M[[#This Row],[Industry]], Mean_AE_M, 3, FALSE))</f>
        <v>0.16608601156346564</v>
      </c>
      <c r="T128" s="1">
        <f>(Main_M[[#This Row],[P/E]]-VLOOKUP(Main_M[[#This Row],[Industry]], Mean_PE_M, 2, FALSE))/(VLOOKUP(Main_M[[#This Row],[Industry]], Mean_PE_M, 3, FALSE))</f>
        <v>-0.25151656845661163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9" spans="1:26" x14ac:dyDescent="0.25">
      <c r="A129" t="s">
        <v>110</v>
      </c>
      <c r="B129" t="s">
        <v>256</v>
      </c>
      <c r="C129" s="2">
        <v>9198</v>
      </c>
      <c r="D129">
        <f>RTD("tos.rtd", , "LAST", Main_M[[#This Row],[Symbol]])</f>
        <v>62.25</v>
      </c>
      <c r="E129">
        <v>0.75</v>
      </c>
      <c r="F129">
        <v>30.16</v>
      </c>
      <c r="G129">
        <v>4.16</v>
      </c>
      <c r="H129" s="1">
        <f>IF(ISNUMBER(Main_M[[#This Row],[Free CF]]),IF(Main_M[[#This Row],[Free CF]]&lt;&gt;0,Main_M[[#This Row],[Current Price]]/Main_M[[#This Row],[Free CF]],""),"")</f>
        <v>83</v>
      </c>
      <c r="I129" s="1">
        <f>IF(ISNUMBER(Main_M[[#This Row],[BVPS]]),IF(Main_M[[#This Row],[BVPS]]&lt;&gt;0,Main_M[[#This Row],[Current Price]]/Main_M[[#This Row],[BVPS]],""),"")</f>
        <v>2.0639920424403182</v>
      </c>
      <c r="J129">
        <v>14.83</v>
      </c>
      <c r="K129">
        <v>6.71</v>
      </c>
      <c r="L129">
        <v>1.92</v>
      </c>
      <c r="M129" s="1">
        <f>IF(ISNUMBER(Main_M[[#This Row],[EPS]]),IF(Main_M[[#This Row],[EPS]]&lt;&gt;0,Main_M[[#This Row],[Current Price]]/Main_M[[#This Row],[EPS]],""),"")</f>
        <v>14.963942307692307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12.072737949408912</v>
      </c>
      <c r="P129" s="1">
        <f>(Main_M[[#This Row],[P/B]]-VLOOKUP(Main_M[[#This Row],[Industry]], Mean_PB_M, 2, FALSE))/(VLOOKUP(Main_M[[#This Row],[Industry]], Mean_PB_M, 3, FALSE))</f>
        <v>-0.49503131894707852</v>
      </c>
      <c r="Q129" s="1">
        <f>(Main_M[[#This Row],[ROE]]-VLOOKUP(Main_M[[#This Row],[Industry]], Mean_ROE_M, 2, FALSE))/(VLOOKUP(Main_M[[#This Row],[Industry]], Mean_ROE_M, 3, FALSE))</f>
        <v>-8.4044411516308551E-2</v>
      </c>
      <c r="R129" s="1">
        <f>(Main_M[[#This Row],[ROA]]-VLOOKUP(Main_M[[#This Row],[Industry]], Mean_ROA_M, 2, FALSE))/(VLOOKUP(Main_M[[#This Row],[Industry]], Mean_ROA_M, 3, FALSE))</f>
        <v>0.42372881355932207</v>
      </c>
      <c r="S129" s="1">
        <f>(Main_M[[#This Row],[A/E]]-VLOOKUP(Main_M[[#This Row],[Industry]], Mean_AE_M, 2, FALSE))/(VLOOKUP(Main_M[[#This Row],[Industry]], Mean_AE_M, 3, FALSE))</f>
        <v>-0.85700381966748185</v>
      </c>
      <c r="T129" s="1">
        <f>(Main_M[[#This Row],[P/E]]-VLOOKUP(Main_M[[#This Row],[Industry]], Mean_PE_M, 2, FALSE))/(VLOOKUP(Main_M[[#This Row],[Industry]], Mean_PE_M, 3, FALSE))</f>
        <v>0.14907821137589419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50"/>
  <sheetViews>
    <sheetView workbookViewId="0">
      <selection activeCell="B24" sqref="B24"/>
    </sheetView>
  </sheetViews>
  <sheetFormatPr defaultRowHeight="15" x14ac:dyDescent="0.25"/>
  <cols>
    <col min="1" max="1" width="30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329</v>
      </c>
      <c r="C2" s="2">
        <v>1056</v>
      </c>
      <c r="D2">
        <f>RTD("tos.rtd", , "LAST", Main_S[[#This Row],[Symbol]])</f>
        <v>15.9</v>
      </c>
      <c r="E2">
        <v>3.85</v>
      </c>
      <c r="F2">
        <v>22.36</v>
      </c>
      <c r="G2">
        <v>-0.02</v>
      </c>
      <c r="H2" s="1">
        <f>IF(ISNUMBER(Main_S[[#This Row],[Free CF]]),IF(Main_S[[#This Row],[Free CF]]&lt;&gt;0,Main_S[[#This Row],[Current Price]]/Main_S[[#This Row],[Free CF]],""),"")</f>
        <v>4.1298701298701301</v>
      </c>
      <c r="I2" s="1">
        <f>IF(ISNUMBER(Main_S[[#This Row],[BVPS]]),IF(Main_S[[#This Row],[BVPS]]&lt;&gt;0,Main_S[[#This Row],[Current Price]]/Main_S[[#This Row],[BVPS]],""),"")</f>
        <v>0.71109123434704835</v>
      </c>
      <c r="J2">
        <v>3.31</v>
      </c>
      <c r="K2">
        <v>2.75</v>
      </c>
      <c r="L2">
        <v>4.55</v>
      </c>
      <c r="M2" s="1">
        <f>IF(ISNUMBER(Main_S[[#This Row],[EPS]]),IF(Main_S[[#This Row],[EPS]]&lt;&gt;0,Main_S[[#This Row],[Current Price]]/Main_S[[#This Row],[EPS]],""),"")</f>
        <v>-795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-0.7156551417953908</v>
      </c>
      <c r="P2" s="1">
        <f>(Main_S[[#This Row],[P/B]]-VLOOKUP(Main_S[[#This Row],[Industry]], Mean_PB_S, 2, FALSE))/(VLOOKUP(Main_S[[#This Row],[Industry]], Mean_PB_S, 3, FALSE))</f>
        <v>-0.81538969314511878</v>
      </c>
      <c r="Q2" s="1">
        <f>(Main_S[[#This Row],[ROE]]-VLOOKUP(Main_S[[#This Row],[Industry]], Mean_ROE_S, 2, FALSE))/(VLOOKUP(Main_S[[#This Row],[Industry]], Mean_ROE_S, 3, FALSE))</f>
        <v>-0.50320325560581669</v>
      </c>
      <c r="R2" s="1">
        <f>(Main_S[[#This Row],[ROA]]-VLOOKUP(Main_S[[#This Row],[Industry]], Mean_ROA_S, 2, FALSE))/(VLOOKUP(Main_S[[#This Row],[Industry]], Mean_ROA_S, 3, FALSE))</f>
        <v>-0.88052959000704967</v>
      </c>
      <c r="S2" s="1">
        <f>(Main_S[[#This Row],[A/E]]-VLOOKUP(Main_S[[#This Row],[Industry]], Mean_AE_S, 2, FALSE))/(VLOOKUP(Main_S[[#This Row],[Industry]], Mean_AE_S, 3, FALSE))</f>
        <v>2.0636580808891298</v>
      </c>
      <c r="T2" s="1">
        <f>(Main_S[[#This Row],[P/E]]-VLOOKUP(Main_S[[#This Row],[Industry]], Mean_PE_S, 2, FALSE))/(VLOOKUP(Main_S[[#This Row],[Industry]], Mean_PE_S, 3, FALSE))</f>
        <v>-53.703032804681889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" spans="1:26" x14ac:dyDescent="0.25">
      <c r="A3" t="s">
        <v>106</v>
      </c>
      <c r="B3" t="s">
        <v>330</v>
      </c>
      <c r="C3" s="2">
        <v>489</v>
      </c>
      <c r="D3">
        <f>RTD("tos.rtd", , "LAST", Main_S[[#This Row],[Symbol]])</f>
        <v>4.72</v>
      </c>
      <c r="E3">
        <v>1.88</v>
      </c>
      <c r="F3">
        <v>5.04</v>
      </c>
      <c r="G3">
        <v>0.18</v>
      </c>
      <c r="H3" s="1">
        <f>IF(ISNUMBER(Main_S[[#This Row],[Free CF]]),IF(Main_S[[#This Row],[Free CF]]&lt;&gt;0,Main_S[[#This Row],[Current Price]]/Main_S[[#This Row],[Free CF]],""),"")</f>
        <v>2.5106382978723403</v>
      </c>
      <c r="I3" s="1">
        <f>IF(ISNUMBER(Main_S[[#This Row],[BVPS]]),IF(Main_S[[#This Row],[BVPS]]&lt;&gt;0,Main_S[[#This Row],[Current Price]]/Main_S[[#This Row],[BVPS]],""),"")</f>
        <v>0.9365079365079364</v>
      </c>
      <c r="J3">
        <v>3.55</v>
      </c>
      <c r="K3">
        <v>3.01</v>
      </c>
      <c r="L3">
        <v>8.6199999999999992</v>
      </c>
      <c r="M3" s="1">
        <f>IF(ISNUMBER(Main_S[[#This Row],[EPS]]),IF(Main_S[[#This Row],[EPS]]&lt;&gt;0,Main_S[[#This Row],[Current Price]]/Main_S[[#This Row],[EPS]],""),"")</f>
        <v>26.222222222222221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-0.83955677725912747</v>
      </c>
      <c r="P3" s="1">
        <f>(Main_S[[#This Row],[P/B]]-VLOOKUP(Main_S[[#This Row],[Industry]], Mean_PB_S, 2, FALSE))/(VLOOKUP(Main_S[[#This Row],[Industry]], Mean_PB_S, 3, FALSE))</f>
        <v>-1.5860111371124815E-3</v>
      </c>
      <c r="Q3" s="1">
        <f>(Main_S[[#This Row],[ROE]]-VLOOKUP(Main_S[[#This Row],[Industry]], Mean_ROE_S, 2, FALSE))/(VLOOKUP(Main_S[[#This Row],[Industry]], Mean_ROE_S, 3, FALSE))</f>
        <v>-0.48304526168688933</v>
      </c>
      <c r="R3" s="1">
        <f>(Main_S[[#This Row],[ROA]]-VLOOKUP(Main_S[[#This Row],[Industry]], Mean_ROA_S, 2, FALSE))/(VLOOKUP(Main_S[[#This Row],[Industry]], Mean_ROA_S, 3, FALSE))</f>
        <v>-0.68651459559871675</v>
      </c>
      <c r="S3" s="1">
        <f>(Main_S[[#This Row],[A/E]]-VLOOKUP(Main_S[[#This Row],[Industry]], Mean_AE_S, 2, FALSE))/(VLOOKUP(Main_S[[#This Row],[Industry]], Mean_AE_S, 3, FALSE))</f>
        <v>6.2632022754985091</v>
      </c>
      <c r="T3" s="1">
        <f>(Main_S[[#This Row],[P/E]]-VLOOKUP(Main_S[[#This Row],[Industry]], Mean_PE_S, 2, FALSE))/(VLOOKUP(Main_S[[#This Row],[Industry]], Mean_PE_S, 3, FALSE))</f>
        <v>1.0862672810630469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106</v>
      </c>
      <c r="B4" t="s">
        <v>331</v>
      </c>
      <c r="C4" s="2">
        <v>440</v>
      </c>
      <c r="D4">
        <f>RTD("tos.rtd", , "LAST", Main_S[[#This Row],[Symbol]])</f>
        <v>24.55</v>
      </c>
      <c r="E4">
        <v>1.39</v>
      </c>
      <c r="F4">
        <v>-6.54</v>
      </c>
      <c r="G4">
        <v>-2.58</v>
      </c>
      <c r="H4" s="1">
        <f>IF(ISNUMBER(Main_S[[#This Row],[Free CF]]),IF(Main_S[[#This Row],[Free CF]]&lt;&gt;0,Main_S[[#This Row],[Current Price]]/Main_S[[#This Row],[Free CF]],""),"")</f>
        <v>17.661870503597125</v>
      </c>
      <c r="I4" s="1">
        <f>IF(ISNUMBER(Main_S[[#This Row],[BVPS]]),IF(Main_S[[#This Row],[BVPS]]&lt;&gt;0,Main_S[[#This Row],[Current Price]]/Main_S[[#This Row],[BVPS]],""),"")</f>
        <v>-3.7538226299694188</v>
      </c>
      <c r="J4">
        <v>36.75</v>
      </c>
      <c r="K4">
        <v>3.63</v>
      </c>
      <c r="L4">
        <v>-15.69</v>
      </c>
      <c r="M4" s="1">
        <f>IF(ISNUMBER(Main_S[[#This Row],[EPS]]),IF(Main_S[[#This Row],[EPS]]&lt;&gt;0,Main_S[[#This Row],[Current Price]]/Main_S[[#This Row],[EPS]],""),"")</f>
        <v>-9.5155038759689923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0.31979694373584139</v>
      </c>
      <c r="P4" s="1">
        <f>(Main_S[[#This Row],[P/B]]-VLOOKUP(Main_S[[#This Row],[Industry]], Mean_PB_S, 2, FALSE))/(VLOOKUP(Main_S[[#This Row],[Industry]], Mean_PB_S, 3, FALSE))</f>
        <v>-16.934706974417075</v>
      </c>
      <c r="Q4" s="1">
        <f>(Main_S[[#This Row],[ROE]]-VLOOKUP(Main_S[[#This Row],[Industry]], Mean_ROE_S, 2, FALSE))/(VLOOKUP(Main_S[[#This Row],[Industry]], Mean_ROE_S, 3, FALSE))</f>
        <v>2.3054772304313969</v>
      </c>
      <c r="R4" s="1">
        <f>(Main_S[[#This Row],[ROA]]-VLOOKUP(Main_S[[#This Row],[Industry]], Mean_ROA_S, 2, FALSE))/(VLOOKUP(Main_S[[#This Row],[Industry]], Mean_ROA_S, 3, FALSE))</f>
        <v>-0.22386345508653796</v>
      </c>
      <c r="S4" s="1">
        <f>(Main_S[[#This Row],[A/E]]-VLOOKUP(Main_S[[#This Row],[Industry]], Mean_AE_S, 2, FALSE))/(VLOOKUP(Main_S[[#This Row],[Industry]], Mean_AE_S, 3, FALSE))</f>
        <v>-18.820561697708865</v>
      </c>
      <c r="T4" s="1">
        <f>(Main_S[[#This Row],[P/E]]-VLOOKUP(Main_S[[#This Row],[Industry]], Mean_PE_S, 2, FALSE))/(VLOOKUP(Main_S[[#This Row],[Industry]], Mean_PE_S, 3, FALSE))</f>
        <v>-1.2980386310169978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106</v>
      </c>
      <c r="B5" t="s">
        <v>332</v>
      </c>
      <c r="C5" s="2">
        <v>589</v>
      </c>
      <c r="D5">
        <f>RTD("tos.rtd", , "LAST", Main_S[[#This Row],[Symbol]])</f>
        <v>1.74</v>
      </c>
      <c r="E5">
        <v>-0.22</v>
      </c>
      <c r="F5">
        <v>-0.69</v>
      </c>
      <c r="G5">
        <v>-0.34</v>
      </c>
      <c r="H5" s="1">
        <f>IF(ISNUMBER(Main_S[[#This Row],[Free CF]]),IF(Main_S[[#This Row],[Free CF]]&lt;&gt;0,Main_S[[#This Row],[Current Price]]/Main_S[[#This Row],[Free CF]],""),"")</f>
        <v>-7.9090909090909092</v>
      </c>
      <c r="I5" s="1">
        <f>IF(ISNUMBER(Main_S[[#This Row],[BVPS]]),IF(Main_S[[#This Row],[BVPS]]&lt;&gt;0,Main_S[[#This Row],[Current Price]]/Main_S[[#This Row],[BVPS]],""),"")</f>
        <v>-2.5217391304347827</v>
      </c>
      <c r="J5">
        <v>62.85</v>
      </c>
      <c r="K5">
        <v>-12.4</v>
      </c>
      <c r="L5">
        <v>-2.54</v>
      </c>
      <c r="M5" s="1">
        <f>IF(ISNUMBER(Main_S[[#This Row],[EPS]]),IF(Main_S[[#This Row],[EPS]]&lt;&gt;0,Main_S[[#This Row],[Current Price]]/Main_S[[#This Row],[EPS]],""),"")</f>
        <v>-5.117647058823529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-1.6368616871058923</v>
      </c>
      <c r="P5" s="1">
        <f>(Main_S[[#This Row],[P/B]]-VLOOKUP(Main_S[[#This Row],[Industry]], Mean_PB_S, 2, FALSE))/(VLOOKUP(Main_S[[#This Row],[Industry]], Mean_PB_S, 3, FALSE))</f>
        <v>-12.48661560030518</v>
      </c>
      <c r="Q5" s="1">
        <f>(Main_S[[#This Row],[ROE]]-VLOOKUP(Main_S[[#This Row],[Industry]], Mean_ROE_S, 2, FALSE))/(VLOOKUP(Main_S[[#This Row],[Industry]], Mean_ROE_S, 3, FALSE))</f>
        <v>4.4976590691147491</v>
      </c>
      <c r="R5" s="1">
        <f>(Main_S[[#This Row],[ROA]]-VLOOKUP(Main_S[[#This Row],[Industry]], Mean_ROA_S, 2, FALSE))/(VLOOKUP(Main_S[[#This Row],[Industry]], Mean_ROA_S, 3, FALSE))</f>
        <v>-12.185634071877223</v>
      </c>
      <c r="S5" s="1">
        <f>(Main_S[[#This Row],[A/E]]-VLOOKUP(Main_S[[#This Row],[Industry]], Mean_AE_S, 2, FALSE))/(VLOOKUP(Main_S[[#This Row],[Industry]], Mean_AE_S, 3, FALSE))</f>
        <v>-5.2520098158628352</v>
      </c>
      <c r="T5" s="1">
        <f>(Main_S[[#This Row],[P/E]]-VLOOKUP(Main_S[[#This Row],[Industry]], Mean_PE_S, 2, FALSE))/(VLOOKUP(Main_S[[#This Row],[Industry]], Mean_PE_S, 3, FALSE))</f>
        <v>-1.0046277973005187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106</v>
      </c>
      <c r="B6" t="s">
        <v>333</v>
      </c>
      <c r="C6" s="2">
        <v>848</v>
      </c>
      <c r="D6">
        <f>RTD("tos.rtd", , "LAST", Main_S[[#This Row],[Symbol]])</f>
        <v>26.33</v>
      </c>
      <c r="E6">
        <v>2.11</v>
      </c>
      <c r="F6">
        <v>28.82</v>
      </c>
      <c r="G6">
        <v>0.16</v>
      </c>
      <c r="H6" s="1">
        <f>IF(ISNUMBER(Main_S[[#This Row],[Free CF]]),IF(Main_S[[#This Row],[Free CF]]&lt;&gt;0,Main_S[[#This Row],[Current Price]]/Main_S[[#This Row],[Free CF]],""),"")</f>
        <v>12.478672985781991</v>
      </c>
      <c r="I6" s="1">
        <f>IF(ISNUMBER(Main_S[[#This Row],[BVPS]]),IF(Main_S[[#This Row],[BVPS]]&lt;&gt;0,Main_S[[#This Row],[Current Price]]/Main_S[[#This Row],[BVPS]],""),"")</f>
        <v>0.91360166551006239</v>
      </c>
      <c r="J6">
        <v>0.54</v>
      </c>
      <c r="K6">
        <v>1.78</v>
      </c>
      <c r="L6">
        <v>1.86</v>
      </c>
      <c r="M6" s="1">
        <f>IF(ISNUMBER(Main_S[[#This Row],[EPS]]),IF(Main_S[[#This Row],[EPS]]&lt;&gt;0,Main_S[[#This Row],[Current Price]]/Main_S[[#This Row],[EPS]],""),"")</f>
        <v>164.5625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-7.6814978472066198E-2</v>
      </c>
      <c r="P6" s="1">
        <f>(Main_S[[#This Row],[P/B]]-VLOOKUP(Main_S[[#This Row],[Industry]], Mean_PB_S, 2, FALSE))/(VLOOKUP(Main_S[[#This Row],[Industry]], Mean_PB_S, 3, FALSE))</f>
        <v>-8.428266804161362E-2</v>
      </c>
      <c r="Q6" s="1">
        <f>(Main_S[[#This Row],[ROE]]-VLOOKUP(Main_S[[#This Row],[Industry]], Mean_ROE_S, 2, FALSE))/(VLOOKUP(Main_S[[#This Row],[Industry]], Mean_ROE_S, 3, FALSE))</f>
        <v>-0.73586010208677011</v>
      </c>
      <c r="R6" s="1">
        <f>(Main_S[[#This Row],[ROA]]-VLOOKUP(Main_S[[#This Row],[Industry]], Mean_ROA_S, 2, FALSE))/(VLOOKUP(Main_S[[#This Row],[Industry]], Mean_ROA_S, 3, FALSE))</f>
        <v>-1.6043547614535225</v>
      </c>
      <c r="S6" s="1">
        <f>(Main_S[[#This Row],[A/E]]-VLOOKUP(Main_S[[#This Row],[Industry]], Mean_AE_S, 2, FALSE))/(VLOOKUP(Main_S[[#This Row],[Industry]], Mean_AE_S, 3, FALSE))</f>
        <v>-0.7119620379067495</v>
      </c>
      <c r="T6" s="1">
        <f>(Main_S[[#This Row],[P/E]]-VLOOKUP(Main_S[[#This Row],[Industry]], Mean_PE_S, 2, FALSE))/(VLOOKUP(Main_S[[#This Row],[Industry]], Mean_PE_S, 3, FALSE))</f>
        <v>10.315884780455253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" spans="1:26" x14ac:dyDescent="0.25">
      <c r="A7" t="s">
        <v>106</v>
      </c>
      <c r="B7" t="s">
        <v>334</v>
      </c>
      <c r="C7" s="2">
        <v>395</v>
      </c>
      <c r="D7">
        <f>RTD("tos.rtd", , "LAST", Main_S[[#This Row],[Symbol]])</f>
        <v>6.17</v>
      </c>
      <c r="E7">
        <v>1.27</v>
      </c>
      <c r="F7">
        <v>14.15</v>
      </c>
      <c r="G7">
        <v>-0.56999999999999995</v>
      </c>
      <c r="H7" s="1">
        <f>IF(ISNUMBER(Main_S[[#This Row],[Free CF]]),IF(Main_S[[#This Row],[Free CF]]&lt;&gt;0,Main_S[[#This Row],[Current Price]]/Main_S[[#This Row],[Free CF]],""),"")</f>
        <v>4.8582677165354333</v>
      </c>
      <c r="I7" s="1">
        <f>IF(ISNUMBER(Main_S[[#This Row],[BVPS]]),IF(Main_S[[#This Row],[BVPS]]&lt;&gt;0,Main_S[[#This Row],[Current Price]]/Main_S[[#This Row],[BVPS]],""),"")</f>
        <v>0.43604240282685508</v>
      </c>
      <c r="J7">
        <v>-4.05</v>
      </c>
      <c r="K7">
        <v>3.89</v>
      </c>
      <c r="L7">
        <v>2.63</v>
      </c>
      <c r="M7" s="1">
        <f>IF(ISNUMBER(Main_S[[#This Row],[EPS]]),IF(Main_S[[#This Row],[EPS]]&lt;&gt;0,Main_S[[#This Row],[Current Price]]/Main_S[[#This Row],[EPS]],""),"")</f>
        <v>-10.824561403508772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-0.65991905109346782</v>
      </c>
      <c r="P7" s="1">
        <f>(Main_S[[#This Row],[P/B]]-VLOOKUP(Main_S[[#This Row],[Industry]], Mean_PB_S, 2, FALSE))/(VLOOKUP(Main_S[[#This Row],[Industry]], Mean_PB_S, 3, FALSE))</f>
        <v>-1.8083762361891804</v>
      </c>
      <c r="Q7" s="1">
        <f>(Main_S[[#This Row],[ROE]]-VLOOKUP(Main_S[[#This Row],[Industry]], Mean_ROE_S, 2, FALSE))/(VLOOKUP(Main_S[[#This Row],[Industry]], Mean_ROE_S, 3, FALSE))</f>
        <v>-1.1213817357862561</v>
      </c>
      <c r="R7" s="1">
        <f>(Main_S[[#This Row],[ROA]]-VLOOKUP(Main_S[[#This Row],[Industry]], Mean_ROA_S, 2, FALSE))/(VLOOKUP(Main_S[[#This Row],[Industry]], Mean_ROA_S, 3, FALSE))</f>
        <v>-2.9848460678204774E-2</v>
      </c>
      <c r="S7" s="1">
        <f>(Main_S[[#This Row],[A/E]]-VLOOKUP(Main_S[[#This Row],[Industry]], Mean_AE_S, 2, FALSE))/(VLOOKUP(Main_S[[#This Row],[Industry]], Mean_AE_S, 3, FALSE))</f>
        <v>8.2546323235565267E-2</v>
      </c>
      <c r="T7" s="1">
        <f>(Main_S[[#This Row],[P/E]]-VLOOKUP(Main_S[[#This Row],[Industry]], Mean_PE_S, 2, FALSE))/(VLOOKUP(Main_S[[#This Row],[Industry]], Mean_PE_S, 3, FALSE))</f>
        <v>-1.3853747305100192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106</v>
      </c>
      <c r="B8" t="s">
        <v>335</v>
      </c>
      <c r="C8" s="2">
        <v>1628</v>
      </c>
      <c r="D8">
        <f>RTD("tos.rtd", , "LAST", Main_S[[#This Row],[Symbol]])</f>
        <v>44.8</v>
      </c>
      <c r="E8">
        <v>5.16</v>
      </c>
      <c r="F8">
        <v>38.61</v>
      </c>
      <c r="G8">
        <v>1.75</v>
      </c>
      <c r="H8" s="1">
        <f>IF(ISNUMBER(Main_S[[#This Row],[Free CF]]),IF(Main_S[[#This Row],[Free CF]]&lt;&gt;0,Main_S[[#This Row],[Current Price]]/Main_S[[#This Row],[Free CF]],""),"")</f>
        <v>8.6821705426356584</v>
      </c>
      <c r="I8" s="1">
        <f>IF(ISNUMBER(Main_S[[#This Row],[BVPS]]),IF(Main_S[[#This Row],[BVPS]]&lt;&gt;0,Main_S[[#This Row],[Current Price]]/Main_S[[#This Row],[BVPS]],""),"")</f>
        <v>1.1603211603211603</v>
      </c>
      <c r="J8">
        <v>4.49</v>
      </c>
      <c r="K8">
        <v>4.97</v>
      </c>
      <c r="L8">
        <v>2.44</v>
      </c>
      <c r="M8" s="1">
        <f>IF(ISNUMBER(Main_S[[#This Row],[EPS]]),IF(Main_S[[#This Row],[EPS]]&lt;&gt;0,Main_S[[#This Row],[Current Price]]/Main_S[[#This Row],[EPS]],""),"")</f>
        <v>25.599999999999998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-0.36731869292013064</v>
      </c>
      <c r="P8" s="1">
        <f>(Main_S[[#This Row],[P/B]]-VLOOKUP(Main_S[[#This Row],[Industry]], Mean_PB_S, 2, FALSE))/(VLOOKUP(Main_S[[#This Row],[Industry]], Mean_PB_S, 3, FALSE))</f>
        <v>0.80642876272504638</v>
      </c>
      <c r="Q8" s="1">
        <f>(Main_S[[#This Row],[ROE]]-VLOOKUP(Main_S[[#This Row],[Industry]], Mean_ROE_S, 2, FALSE))/(VLOOKUP(Main_S[[#This Row],[Industry]], Mean_ROE_S, 3, FALSE))</f>
        <v>-0.40409311883775706</v>
      </c>
      <c r="R8" s="1">
        <f>(Main_S[[#This Row],[ROA]]-VLOOKUP(Main_S[[#This Row],[Industry]], Mean_ROA_S, 2, FALSE))/(VLOOKUP(Main_S[[#This Row],[Industry]], Mean_ROA_S, 3, FALSE))</f>
        <v>0.77605997763333212</v>
      </c>
      <c r="S8" s="1">
        <f>(Main_S[[#This Row],[A/E]]-VLOOKUP(Main_S[[#This Row],[Industry]], Mean_AE_S, 2, FALSE))/(VLOOKUP(Main_S[[#This Row],[Industry]], Mean_AE_S, 3, FALSE))</f>
        <v>-0.11350119444890201</v>
      </c>
      <c r="T8" s="1">
        <f>(Main_S[[#This Row],[P/E]]-VLOOKUP(Main_S[[#This Row],[Industry]], Mean_PE_S, 2, FALSE))/(VLOOKUP(Main_S[[#This Row],[Industry]], Mean_PE_S, 3, FALSE))</f>
        <v>1.0447546196532009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t="s">
        <v>106</v>
      </c>
      <c r="B9" t="s">
        <v>336</v>
      </c>
      <c r="C9" s="2">
        <v>617</v>
      </c>
      <c r="D9">
        <f>RTD("tos.rtd", , "LAST", Main_S[[#This Row],[Symbol]])</f>
        <v>30.45</v>
      </c>
      <c r="E9">
        <v>0.88</v>
      </c>
      <c r="F9">
        <v>29.02</v>
      </c>
      <c r="G9">
        <v>2.58</v>
      </c>
      <c r="H9" s="1">
        <f>IF(ISNUMBER(Main_S[[#This Row],[Free CF]]),IF(Main_S[[#This Row],[Free CF]]&lt;&gt;0,Main_S[[#This Row],[Current Price]]/Main_S[[#This Row],[Free CF]],""),"")</f>
        <v>34.602272727272727</v>
      </c>
      <c r="I9" s="1">
        <f>IF(ISNUMBER(Main_S[[#This Row],[BVPS]]),IF(Main_S[[#This Row],[BVPS]]&lt;&gt;0,Main_S[[#This Row],[Current Price]]/Main_S[[#This Row],[BVPS]],""),"")</f>
        <v>1.0492763611302549</v>
      </c>
      <c r="J9">
        <v>8.94</v>
      </c>
      <c r="K9">
        <v>5.58</v>
      </c>
      <c r="L9">
        <v>3.02</v>
      </c>
      <c r="M9" s="1">
        <f>IF(ISNUMBER(Main_S[[#This Row],[EPS]]),IF(Main_S[[#This Row],[EPS]]&lt;&gt;0,Main_S[[#This Row],[Current Price]]/Main_S[[#This Row],[EPS]],""),"")</f>
        <v>11.802325581395348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1.61605576192945</v>
      </c>
      <c r="P9" s="1">
        <f>(Main_S[[#This Row],[P/B]]-VLOOKUP(Main_S[[#This Row],[Industry]], Mean_PB_S, 2, FALSE))/(VLOOKUP(Main_S[[#This Row],[Industry]], Mean_PB_S, 3, FALSE))</f>
        <v>0.40553270851474621</v>
      </c>
      <c r="Q9" s="1">
        <f>(Main_S[[#This Row],[ROE]]-VLOOKUP(Main_S[[#This Row],[Industry]], Mean_ROE_S, 2, FALSE))/(VLOOKUP(Main_S[[#This Row],[Industry]], Mean_ROE_S, 3, FALSE))</f>
        <v>-3.0330314924312134E-2</v>
      </c>
      <c r="R9" s="1">
        <f>(Main_S[[#This Row],[ROA]]-VLOOKUP(Main_S[[#This Row],[Industry]], Mean_ROA_S, 2, FALSE))/(VLOOKUP(Main_S[[#This Row],[Industry]], Mean_ROA_S, 3, FALSE))</f>
        <v>1.2312490029759597</v>
      </c>
      <c r="S9" s="1">
        <f>(Main_S[[#This Row],[A/E]]-VLOOKUP(Main_S[[#This Row],[Industry]], Mean_AE_S, 2, FALSE))/(VLOOKUP(Main_S[[#This Row],[Industry]], Mean_AE_S, 3, FALSE))</f>
        <v>0.48495964900894573</v>
      </c>
      <c r="T9" s="1">
        <f>(Main_S[[#This Row],[P/E]]-VLOOKUP(Main_S[[#This Row],[Industry]], Mean_PE_S, 2, FALSE))/(VLOOKUP(Main_S[[#This Row],[Industry]], Mean_PE_S, 3, FALSE))</f>
        <v>0.12421824868079828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106</v>
      </c>
      <c r="B10" t="s">
        <v>337</v>
      </c>
      <c r="C10" s="2">
        <v>798</v>
      </c>
      <c r="D10">
        <f>RTD("tos.rtd", , "LAST", Main_S[[#This Row],[Symbol]])</f>
        <v>28.32</v>
      </c>
      <c r="E10">
        <v>0.93</v>
      </c>
      <c r="F10">
        <v>20.95</v>
      </c>
      <c r="G10">
        <v>1.59</v>
      </c>
      <c r="H10" s="1">
        <f>IF(ISNUMBER(Main_S[[#This Row],[Free CF]]),IF(Main_S[[#This Row],[Free CF]]&lt;&gt;0,Main_S[[#This Row],[Current Price]]/Main_S[[#This Row],[Free CF]],""),"")</f>
        <v>30.451612903225804</v>
      </c>
      <c r="I10" s="1">
        <f>IF(ISNUMBER(Main_S[[#This Row],[BVPS]]),IF(Main_S[[#This Row],[BVPS]]&lt;&gt;0,Main_S[[#This Row],[Current Price]]/Main_S[[#This Row],[BVPS]],""),"")</f>
        <v>1.3517899761336516</v>
      </c>
      <c r="J10">
        <v>7.74</v>
      </c>
      <c r="K10">
        <v>5.83</v>
      </c>
      <c r="L10">
        <v>2.08</v>
      </c>
      <c r="M10" s="1">
        <f>IF(ISNUMBER(Main_S[[#This Row],[EPS]]),IF(Main_S[[#This Row],[EPS]]&lt;&gt;0,Main_S[[#This Row],[Current Price]]/Main_S[[#This Row],[EPS]],""),"")</f>
        <v>17.811320754716981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1.2984523587042713</v>
      </c>
      <c r="P10" s="1">
        <f>(Main_S[[#This Row],[P/B]]-VLOOKUP(Main_S[[#This Row],[Industry]], Mean_PB_S, 2, FALSE))/(VLOOKUP(Main_S[[#This Row],[Industry]], Mean_PB_S, 3, FALSE))</f>
        <v>1.4976731372732341</v>
      </c>
      <c r="Q10" s="1">
        <f>(Main_S[[#This Row],[ROE]]-VLOOKUP(Main_S[[#This Row],[Industry]], Mean_ROE_S, 2, FALSE))/(VLOOKUP(Main_S[[#This Row],[Industry]], Mean_ROE_S, 3, FALSE))</f>
        <v>-0.13112028451894894</v>
      </c>
      <c r="R10" s="1">
        <f>(Main_S[[#This Row],[ROA]]-VLOOKUP(Main_S[[#This Row],[Industry]], Mean_ROA_S, 2, FALSE))/(VLOOKUP(Main_S[[#This Row],[Industry]], Mean_ROA_S, 3, FALSE))</f>
        <v>1.4178018822147416</v>
      </c>
      <c r="S10" s="1">
        <f>(Main_S[[#This Row],[A/E]]-VLOOKUP(Main_S[[#This Row],[Industry]], Mean_AE_S, 2, FALSE))/(VLOOKUP(Main_S[[#This Row],[Industry]], Mean_AE_S, 3, FALSE))</f>
        <v>-0.48495964900894528</v>
      </c>
      <c r="T10" s="1">
        <f>(Main_S[[#This Row],[P/E]]-VLOOKUP(Main_S[[#This Row],[Industry]], Mean_PE_S, 2, FALSE))/(VLOOKUP(Main_S[[#This Row],[Industry]], Mean_PE_S, 3, FALSE))</f>
        <v>0.52511904125070852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106</v>
      </c>
      <c r="B11" t="s">
        <v>338</v>
      </c>
      <c r="C11" s="2">
        <v>984</v>
      </c>
      <c r="D11">
        <f>RTD("tos.rtd", , "LAST", Main_S[[#This Row],[Symbol]])</f>
        <v>38.85</v>
      </c>
      <c r="E11">
        <v>1.42</v>
      </c>
      <c r="F11">
        <v>8.15</v>
      </c>
      <c r="G11">
        <v>1.65</v>
      </c>
      <c r="H11" s="1">
        <f>IF(ISNUMBER(Main_S[[#This Row],[Free CF]]),IF(Main_S[[#This Row],[Free CF]]&lt;&gt;0,Main_S[[#This Row],[Current Price]]/Main_S[[#This Row],[Free CF]],""),"")</f>
        <v>27.359154929577468</v>
      </c>
      <c r="I11" s="1">
        <f>IF(ISNUMBER(Main_S[[#This Row],[BVPS]]),IF(Main_S[[#This Row],[BVPS]]&lt;&gt;0,Main_S[[#This Row],[Current Price]]/Main_S[[#This Row],[BVPS]],""),"")</f>
        <v>4.7668711656441713</v>
      </c>
      <c r="J11">
        <v>22.44</v>
      </c>
      <c r="K11">
        <v>13.75</v>
      </c>
      <c r="L11">
        <v>1.27</v>
      </c>
      <c r="M11" s="1">
        <f>IF(ISNUMBER(Main_S[[#This Row],[EPS]]),IF(Main_S[[#This Row],[EPS]]&lt;&gt;0,Main_S[[#This Row],[Current Price]]/Main_S[[#This Row],[EPS]],""),"")</f>
        <v>23.545454545454547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1.0618212642765126</v>
      </c>
      <c r="P11" s="1">
        <f>(Main_S[[#This Row],[P/B]]-VLOOKUP(Main_S[[#This Row],[Industry]], Mean_PB_S, 2, FALSE))/(VLOOKUP(Main_S[[#This Row],[Industry]], Mean_PB_S, 3, FALSE))</f>
        <v>13.826864451572222</v>
      </c>
      <c r="Q11" s="1">
        <f>(Main_S[[#This Row],[ROE]]-VLOOKUP(Main_S[[#This Row],[Industry]], Mean_ROE_S, 2, FALSE))/(VLOOKUP(Main_S[[#This Row],[Industry]], Mean_ROE_S, 3, FALSE))</f>
        <v>1.1035568430153526</v>
      </c>
      <c r="R11" s="1">
        <f>(Main_S[[#This Row],[ROA]]-VLOOKUP(Main_S[[#This Row],[Industry]], Mean_ROA_S, 2, FALSE))/(VLOOKUP(Main_S[[#This Row],[Industry]], Mean_ROA_S, 3, FALSE))</f>
        <v>7.3277970964993475</v>
      </c>
      <c r="S11" s="1">
        <f>(Main_S[[#This Row],[A/E]]-VLOOKUP(Main_S[[#This Row],[Industry]], Mean_AE_S, 2, FALSE))/(VLOOKUP(Main_S[[#This Row],[Industry]], Mean_AE_S, 3, FALSE))</f>
        <v>-1.3207411717690429</v>
      </c>
      <c r="T11" s="1">
        <f>(Main_S[[#This Row],[P/E]]-VLOOKUP(Main_S[[#This Row],[Industry]], Mean_PE_S, 2, FALSE))/(VLOOKUP(Main_S[[#This Row],[Industry]], Mean_PE_S, 3, FALSE))</f>
        <v>0.90768196817978108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107</v>
      </c>
      <c r="B12" t="s">
        <v>339</v>
      </c>
      <c r="C12" s="2">
        <v>1248</v>
      </c>
      <c r="D12">
        <f>RTD("tos.rtd", , "LAST", Main_S[[#This Row],[Symbol]])</f>
        <v>2.14</v>
      </c>
      <c r="E12">
        <v>-1.4</v>
      </c>
      <c r="F12">
        <v>-1.26</v>
      </c>
      <c r="G12">
        <v>-1.72</v>
      </c>
      <c r="H12" s="1">
        <f>IF(ISNUMBER(Main_S[[#This Row],[Free CF]]),IF(Main_S[[#This Row],[Free CF]]&lt;&gt;0,Main_S[[#This Row],[Current Price]]/Main_S[[#This Row],[Free CF]],""),"")</f>
        <v>-1.5285714285714287</v>
      </c>
      <c r="I12" s="1">
        <f>IF(ISNUMBER(Main_S[[#This Row],[BVPS]]),IF(Main_S[[#This Row],[BVPS]]&lt;&gt;0,Main_S[[#This Row],[Current Price]]/Main_S[[#This Row],[BVPS]],""),"")</f>
        <v>-1.6984126984126986</v>
      </c>
      <c r="J12">
        <v>131.24</v>
      </c>
      <c r="K12">
        <v>-25.4</v>
      </c>
      <c r="L12">
        <v>-2.68</v>
      </c>
      <c r="M12" s="1">
        <f>IF(ISNUMBER(Main_S[[#This Row],[EPS]]),IF(Main_S[[#This Row],[EPS]]&lt;&gt;0,Main_S[[#This Row],[Current Price]]/Main_S[[#This Row],[EPS]],""),"")</f>
        <v>-1.2441860465116279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-0.79724231959250169</v>
      </c>
      <c r="P12" s="1">
        <f>(Main_S[[#This Row],[P/B]]-VLOOKUP(Main_S[[#This Row],[Industry]], Mean_PB_S, 2, FALSE))/(VLOOKUP(Main_S[[#This Row],[Industry]], Mean_PB_S, 3, FALSE))</f>
        <v>-1.4012591690392433</v>
      </c>
      <c r="Q12" s="1">
        <f>(Main_S[[#This Row],[ROE]]-VLOOKUP(Main_S[[#This Row],[Industry]], Mean_ROE_S, 2, FALSE))/(VLOOKUP(Main_S[[#This Row],[Industry]], Mean_ROE_S, 3, FALSE))</f>
        <v>1.0638395685195776</v>
      </c>
      <c r="R12" s="1">
        <f>(Main_S[[#This Row],[ROA]]-VLOOKUP(Main_S[[#This Row],[Industry]], Mean_ROA_S, 2, FALSE))/(VLOOKUP(Main_S[[#This Row],[Industry]], Mean_ROA_S, 3, FALSE))</f>
        <v>-1.079371559571265</v>
      </c>
      <c r="S12" s="1">
        <f>(Main_S[[#This Row],[A/E]]-VLOOKUP(Main_S[[#This Row],[Industry]], Mean_AE_S, 2, FALSE))/(VLOOKUP(Main_S[[#This Row],[Industry]], Mean_AE_S, 3, FALSE))</f>
        <v>-1.0882215468688925</v>
      </c>
      <c r="T12" s="1">
        <f>(Main_S[[#This Row],[P/E]]-VLOOKUP(Main_S[[#This Row],[Industry]], Mean_PE_S, 2, FALSE))/(VLOOKUP(Main_S[[#This Row],[Industry]], Mean_PE_S, 3, FALSE))</f>
        <v>0.59844610419518784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t="s">
        <v>107</v>
      </c>
      <c r="B13" t="s">
        <v>340</v>
      </c>
      <c r="C13" s="2">
        <v>340</v>
      </c>
      <c r="D13">
        <f>RTD("tos.rtd", , "LAST", Main_S[[#This Row],[Symbol]])</f>
        <v>0.158</v>
      </c>
      <c r="E13">
        <v>-0.95</v>
      </c>
      <c r="F13">
        <v>-0.86</v>
      </c>
      <c r="G13">
        <v>-0.66</v>
      </c>
      <c r="H13" s="1">
        <f>IF(ISNUMBER(Main_S[[#This Row],[Free CF]]),IF(Main_S[[#This Row],[Free CF]]&lt;&gt;0,Main_S[[#This Row],[Current Price]]/Main_S[[#This Row],[Free CF]],""),"")</f>
        <v>-0.16631578947368422</v>
      </c>
      <c r="I13" s="1">
        <f>IF(ISNUMBER(Main_S[[#This Row],[BVPS]]),IF(Main_S[[#This Row],[BVPS]]&lt;&gt;0,Main_S[[#This Row],[Current Price]]/Main_S[[#This Row],[BVPS]],""),"")</f>
        <v>-0.18372093023255814</v>
      </c>
      <c r="J13">
        <v>121.69</v>
      </c>
      <c r="K13">
        <v>-22.77</v>
      </c>
      <c r="L13">
        <v>-2.19</v>
      </c>
      <c r="M13" s="1">
        <f>IF(ISNUMBER(Main_S[[#This Row],[EPS]]),IF(Main_S[[#This Row],[EPS]]&lt;&gt;0,Main_S[[#This Row],[Current Price]]/Main_S[[#This Row],[EPS]],""),"")</f>
        <v>-0.23939393939393938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-0.61296349453974486</v>
      </c>
      <c r="P13" s="1">
        <f>(Main_S[[#This Row],[P/B]]-VLOOKUP(Main_S[[#This Row],[Industry]], Mean_PB_S, 2, FALSE))/(VLOOKUP(Main_S[[#This Row],[Industry]], Mean_PB_S, 3, FALSE))</f>
        <v>-0.33120894911396326</v>
      </c>
      <c r="Q13" s="1">
        <f>(Main_S[[#This Row],[ROE]]-VLOOKUP(Main_S[[#This Row],[Industry]], Mean_ROE_S, 2, FALSE))/(VLOOKUP(Main_S[[#This Row],[Industry]], Mean_ROE_S, 3, FALSE))</f>
        <v>0.92445600589971244</v>
      </c>
      <c r="R13" s="1">
        <f>(Main_S[[#This Row],[ROA]]-VLOOKUP(Main_S[[#This Row],[Industry]], Mean_ROA_S, 2, FALSE))/(VLOOKUP(Main_S[[#This Row],[Industry]], Mean_ROA_S, 3, FALSE))</f>
        <v>-0.84577787912095215</v>
      </c>
      <c r="S13" s="1">
        <f>(Main_S[[#This Row],[A/E]]-VLOOKUP(Main_S[[#This Row],[Industry]], Mean_AE_S, 2, FALSE))/(VLOOKUP(Main_S[[#This Row],[Industry]], Mean_AE_S, 3, FALSE))</f>
        <v>-0.88431005242692029</v>
      </c>
      <c r="T13" s="1">
        <f>(Main_S[[#This Row],[P/E]]-VLOOKUP(Main_S[[#This Row],[Industry]], Mean_PE_S, 2, FALSE))/(VLOOKUP(Main_S[[#This Row],[Industry]], Mean_PE_S, 3, FALSE))</f>
        <v>0.81046009875232428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t="s">
        <v>107</v>
      </c>
      <c r="B14" t="s">
        <v>341</v>
      </c>
      <c r="C14" s="2">
        <v>906</v>
      </c>
      <c r="D14">
        <f>RTD("tos.rtd", , "LAST", Main_S[[#This Row],[Symbol]])</f>
        <v>37.270000000000003</v>
      </c>
      <c r="E14">
        <v>2.52</v>
      </c>
      <c r="F14">
        <v>43.44</v>
      </c>
      <c r="G14">
        <v>-0.2</v>
      </c>
      <c r="H14" s="1">
        <f>IF(ISNUMBER(Main_S[[#This Row],[Free CF]]),IF(Main_S[[#This Row],[Free CF]]&lt;&gt;0,Main_S[[#This Row],[Current Price]]/Main_S[[#This Row],[Free CF]],""),"")</f>
        <v>14.789682539682541</v>
      </c>
      <c r="I14" s="1">
        <f>IF(ISNUMBER(Main_S[[#This Row],[BVPS]]),IF(Main_S[[#This Row],[BVPS]]&lt;&gt;0,Main_S[[#This Row],[Current Price]]/Main_S[[#This Row],[BVPS]],""),"")</f>
        <v>0.85796500920810326</v>
      </c>
      <c r="J14">
        <v>-0.45</v>
      </c>
      <c r="K14">
        <v>1.7</v>
      </c>
      <c r="L14">
        <v>1.8</v>
      </c>
      <c r="M14" s="1">
        <f>IF(ISNUMBER(Main_S[[#This Row],[EPS]]),IF(Main_S[[#This Row],[EPS]]&lt;&gt;0,Main_S[[#This Row],[Current Price]]/Main_S[[#This Row],[EPS]],""),"")</f>
        <v>-186.35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1.4102058141322464</v>
      </c>
      <c r="P14" s="1">
        <f>(Main_S[[#This Row],[P/B]]-VLOOKUP(Main_S[[#This Row],[Industry]], Mean_PB_S, 2, FALSE))/(VLOOKUP(Main_S[[#This Row],[Industry]], Mean_PB_S, 3, FALSE))</f>
        <v>0.40468748341948868</v>
      </c>
      <c r="Q14" s="1">
        <f>(Main_S[[#This Row],[ROE]]-VLOOKUP(Main_S[[#This Row],[Industry]], Mean_ROE_S, 2, FALSE))/(VLOOKUP(Main_S[[#This Row],[Industry]], Mean_ROE_S, 3, FALSE))</f>
        <v>-0.85819408188985014</v>
      </c>
      <c r="R14" s="1">
        <f>(Main_S[[#This Row],[ROA]]-VLOOKUP(Main_S[[#This Row],[Industry]], Mean_ROA_S, 2, FALSE))/(VLOOKUP(Main_S[[#This Row],[Industry]], Mean_ROA_S, 3, FALSE))</f>
        <v>1.3276203568559128</v>
      </c>
      <c r="S14" s="1">
        <f>(Main_S[[#This Row],[A/E]]-VLOOKUP(Main_S[[#This Row],[Industry]], Mean_AE_S, 2, FALSE))/(VLOOKUP(Main_S[[#This Row],[Industry]], Mean_AE_S, 3, FALSE))</f>
        <v>0.77611211660056778</v>
      </c>
      <c r="T14" s="1">
        <f>(Main_S[[#This Row],[P/E]]-VLOOKUP(Main_S[[#This Row],[Industry]], Mean_PE_S, 2, FALSE))/(VLOOKUP(Main_S[[#This Row],[Industry]], Mean_PE_S, 3, FALSE))</f>
        <v>-38.459407509530017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" spans="1:26" x14ac:dyDescent="0.25">
      <c r="A15" t="s">
        <v>107</v>
      </c>
      <c r="B15" t="s">
        <v>342</v>
      </c>
      <c r="C15" s="2">
        <v>270</v>
      </c>
      <c r="D15">
        <f>RTD("tos.rtd", , "LAST", Main_S[[#This Row],[Symbol]])</f>
        <v>3.55</v>
      </c>
      <c r="E15">
        <v>-0.12</v>
      </c>
      <c r="F15">
        <v>1.64</v>
      </c>
      <c r="G15">
        <v>-0.33</v>
      </c>
      <c r="H15" s="1">
        <f>IF(ISNUMBER(Main_S[[#This Row],[Free CF]]),IF(Main_S[[#This Row],[Free CF]]&lt;&gt;0,Main_S[[#This Row],[Current Price]]/Main_S[[#This Row],[Free CF]],""),"")</f>
        <v>-29.583333333333332</v>
      </c>
      <c r="I15" s="1">
        <f>IF(ISNUMBER(Main_S[[#This Row],[BVPS]]),IF(Main_S[[#This Row],[BVPS]]&lt;&gt;0,Main_S[[#This Row],[Current Price]]/Main_S[[#This Row],[BVPS]],""),"")</f>
        <v>2.1646341463414633</v>
      </c>
      <c r="J15">
        <v>-19.079999999999998</v>
      </c>
      <c r="K15">
        <v>-6.52</v>
      </c>
      <c r="L15">
        <v>2.81</v>
      </c>
      <c r="M15" s="1">
        <f>IF(ISNUMBER(Main_S[[#This Row],[EPS]]),IF(Main_S[[#This Row],[EPS]]&lt;&gt;0,Main_S[[#This Row],[Current Price]]/Main_S[[#This Row],[EPS]],""),"")</f>
        <v>-10.757575757575756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-4.5923439235532095</v>
      </c>
      <c r="P15" s="1">
        <f>(Main_S[[#This Row],[P/B]]-VLOOKUP(Main_S[[#This Row],[Industry]], Mean_PB_S, 2, FALSE))/(VLOOKUP(Main_S[[#This Row],[Industry]], Mean_PB_S, 3, FALSE))</f>
        <v>1.327780634733718</v>
      </c>
      <c r="Q15" s="1">
        <f>(Main_S[[#This Row],[ROE]]-VLOOKUP(Main_S[[#This Row],[Industry]], Mean_ROE_S, 2, FALSE))/(VLOOKUP(Main_S[[#This Row],[Industry]], Mean_ROE_S, 3, FALSE))</f>
        <v>-1.1301014925294404</v>
      </c>
      <c r="R15" s="1">
        <f>(Main_S[[#This Row],[ROA]]-VLOOKUP(Main_S[[#This Row],[Industry]], Mean_ROA_S, 2, FALSE))/(VLOOKUP(Main_S[[#This Row],[Industry]], Mean_ROA_S, 3, FALSE))</f>
        <v>0.59752908183630393</v>
      </c>
      <c r="S15" s="1">
        <f>(Main_S[[#This Row],[A/E]]-VLOOKUP(Main_S[[#This Row],[Industry]], Mean_AE_S, 2, FALSE))/(VLOOKUP(Main_S[[#This Row],[Industry]], Mean_AE_S, 3, FALSE))</f>
        <v>1.196419482695245</v>
      </c>
      <c r="T15" s="1">
        <f>(Main_S[[#This Row],[P/E]]-VLOOKUP(Main_S[[#This Row],[Industry]], Mean_PE_S, 2, FALSE))/(VLOOKUP(Main_S[[#This Row],[Industry]], Mean_PE_S, 3, FALSE))</f>
        <v>-1.4089062029475121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114</v>
      </c>
      <c r="B16" t="s">
        <v>433</v>
      </c>
      <c r="C16" s="2">
        <v>676</v>
      </c>
      <c r="D16">
        <f>RTD("tos.rtd", , "LAST", Main_S[[#This Row],[Symbol]])</f>
        <v>26.45</v>
      </c>
      <c r="E16">
        <v>1.02</v>
      </c>
      <c r="F16">
        <v>1.03</v>
      </c>
      <c r="G16">
        <v>-1.51</v>
      </c>
      <c r="H16" s="1">
        <f>IF(ISNUMBER(Main_S[[#This Row],[Free CF]]),IF(Main_S[[#This Row],[Free CF]]&lt;&gt;0,Main_S[[#This Row],[Current Price]]/Main_S[[#This Row],[Free CF]],""),"")</f>
        <v>25.931372549019606</v>
      </c>
      <c r="I16" s="1">
        <f>IF(ISNUMBER(Main_S[[#This Row],[BVPS]]),IF(Main_S[[#This Row],[BVPS]]&lt;&gt;0,Main_S[[#This Row],[Current Price]]/Main_S[[#This Row],[BVPS]],""),"")</f>
        <v>25.679611650485434</v>
      </c>
      <c r="J16">
        <v>-15295</v>
      </c>
      <c r="K16">
        <v>0.5</v>
      </c>
      <c r="L16">
        <v>15.01</v>
      </c>
      <c r="M16" s="1">
        <f>IF(ISNUMBER(Main_S[[#This Row],[EPS]]),IF(Main_S[[#This Row],[EPS]]&lt;&gt;0,Main_S[[#This Row],[Current Price]]/Main_S[[#This Row],[EPS]],""),"")</f>
        <v>-17.516556291390728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0.62214323648395831</v>
      </c>
      <c r="P16" s="1">
        <f>(Main_S[[#This Row],[P/B]]-VLOOKUP(Main_S[[#This Row],[Industry]], Mean_PB_S, 2, FALSE))/(VLOOKUP(Main_S[[#This Row],[Industry]], Mean_PB_S, 3, FALSE))</f>
        <v>6.3036037424931264</v>
      </c>
      <c r="Q16" s="1">
        <f>(Main_S[[#This Row],[ROE]]-VLOOKUP(Main_S[[#This Row],[Industry]], Mean_ROE_S, 2, FALSE))/(VLOOKUP(Main_S[[#This Row],[Industry]], Mean_ROE_S, 3, FALSE))</f>
        <v>-282.27516766343746</v>
      </c>
      <c r="R16" s="1">
        <f>(Main_S[[#This Row],[ROA]]-VLOOKUP(Main_S[[#This Row],[Industry]], Mean_ROA_S, 2, FALSE))/(VLOOKUP(Main_S[[#This Row],[Industry]], Mean_ROA_S, 3, FALSE))</f>
        <v>-0.75863750583315204</v>
      </c>
      <c r="S16" s="1">
        <f>(Main_S[[#This Row],[A/E]]-VLOOKUP(Main_S[[#This Row],[Industry]], Mean_AE_S, 2, FALSE))/(VLOOKUP(Main_S[[#This Row],[Industry]], Mean_AE_S, 3, FALSE))</f>
        <v>5.0135832127585784</v>
      </c>
      <c r="T16" s="1">
        <f>(Main_S[[#This Row],[P/E]]-VLOOKUP(Main_S[[#This Row],[Industry]], Mean_PE_S, 2, FALSE))/(VLOOKUP(Main_S[[#This Row],[Industry]], Mean_PE_S, 3, FALSE))</f>
        <v>-0.81983334074924463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t="s">
        <v>114</v>
      </c>
      <c r="B17" t="s">
        <v>434</v>
      </c>
      <c r="C17" s="2">
        <v>812</v>
      </c>
      <c r="D17">
        <f>RTD("tos.rtd", , "LAST", Main_S[[#This Row],[Symbol]])</f>
        <v>2.78</v>
      </c>
      <c r="E17">
        <v>0.32</v>
      </c>
      <c r="F17">
        <v>0.28999999999999998</v>
      </c>
      <c r="G17">
        <v>-0.14000000000000001</v>
      </c>
      <c r="H17" s="1">
        <f>IF(ISNUMBER(Main_S[[#This Row],[Free CF]]),IF(Main_S[[#This Row],[Free CF]]&lt;&gt;0,Main_S[[#This Row],[Current Price]]/Main_S[[#This Row],[Free CF]],""),"")</f>
        <v>8.6875</v>
      </c>
      <c r="I17" s="1">
        <f>IF(ISNUMBER(Main_S[[#This Row],[BVPS]]),IF(Main_S[[#This Row],[BVPS]]&lt;&gt;0,Main_S[[#This Row],[Current Price]]/Main_S[[#This Row],[BVPS]],""),"")</f>
        <v>9.5862068965517242</v>
      </c>
      <c r="J17">
        <v>-39.68</v>
      </c>
      <c r="K17">
        <v>0.04</v>
      </c>
      <c r="L17">
        <v>7.87</v>
      </c>
      <c r="M17" s="1">
        <f>IF(ISNUMBER(Main_S[[#This Row],[EPS]]),IF(Main_S[[#This Row],[EPS]]&lt;&gt;0,Main_S[[#This Row],[Current Price]]/Main_S[[#This Row],[EPS]],""),"")</f>
        <v>-19.857142857142854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-0.3783663137587337</v>
      </c>
      <c r="P17" s="1">
        <f>(Main_S[[#This Row],[P/B]]-VLOOKUP(Main_S[[#This Row],[Industry]], Mean_PB_S, 2, FALSE))/(VLOOKUP(Main_S[[#This Row],[Industry]], Mean_PB_S, 3, FALSE))</f>
        <v>1.4889857229278809</v>
      </c>
      <c r="Q17" s="1">
        <f>(Main_S[[#This Row],[ROE]]-VLOOKUP(Main_S[[#This Row],[Industry]], Mean_ROE_S, 2, FALSE))/(VLOOKUP(Main_S[[#This Row],[Industry]], Mean_ROE_S, 3, FALSE))</f>
        <v>-6.0135896230922197E-4</v>
      </c>
      <c r="R17" s="1">
        <f>(Main_S[[#This Row],[ROA]]-VLOOKUP(Main_S[[#This Row],[Industry]], Mean_ROA_S, 2, FALSE))/(VLOOKUP(Main_S[[#This Row],[Industry]], Mean_ROA_S, 3, FALSE))</f>
        <v>-1.0281149210325728</v>
      </c>
      <c r="S17" s="1">
        <f>(Main_S[[#This Row],[A/E]]-VLOOKUP(Main_S[[#This Row],[Industry]], Mean_AE_S, 2, FALSE))/(VLOOKUP(Main_S[[#This Row],[Industry]], Mean_AE_S, 3, FALSE))</f>
        <v>1.5962100252553566</v>
      </c>
      <c r="T17" s="1">
        <f>(Main_S[[#This Row],[P/E]]-VLOOKUP(Main_S[[#This Row],[Industry]], Mean_PE_S, 2, FALSE))/(VLOOKUP(Main_S[[#This Row],[Industry]], Mean_PE_S, 3, FALSE))</f>
        <v>-1.0268128827155227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114</v>
      </c>
      <c r="B18" t="s">
        <v>435</v>
      </c>
      <c r="C18" s="2">
        <v>294</v>
      </c>
      <c r="D18">
        <f>RTD("tos.rtd", , "LAST", Main_S[[#This Row],[Symbol]])</f>
        <v>3.45</v>
      </c>
      <c r="E18">
        <v>-0.55000000000000004</v>
      </c>
      <c r="F18">
        <v>0.71</v>
      </c>
      <c r="G18">
        <v>-0.9</v>
      </c>
      <c r="H18" s="1">
        <f>IF(ISNUMBER(Main_S[[#This Row],[Free CF]]),IF(Main_S[[#This Row],[Free CF]]&lt;&gt;0,Main_S[[#This Row],[Current Price]]/Main_S[[#This Row],[Free CF]],""),"")</f>
        <v>-6.2727272727272725</v>
      </c>
      <c r="I18" s="1">
        <f>IF(ISNUMBER(Main_S[[#This Row],[BVPS]]),IF(Main_S[[#This Row],[BVPS]]&lt;&gt;0,Main_S[[#This Row],[Current Price]]/Main_S[[#This Row],[BVPS]],""),"")</f>
        <v>4.859154929577465</v>
      </c>
      <c r="J18">
        <v>-127.87</v>
      </c>
      <c r="K18">
        <v>-21.6</v>
      </c>
      <c r="L18">
        <v>2.21</v>
      </c>
      <c r="M18" s="1">
        <f>IF(ISNUMBER(Main_S[[#This Row],[EPS]]),IF(Main_S[[#This Row],[EPS]]&lt;&gt;0,Main_S[[#This Row],[Current Price]]/Main_S[[#This Row],[EPS]],""),"")</f>
        <v>-3.8333333333333335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-1.2463761078241515</v>
      </c>
      <c r="P18" s="1">
        <f>(Main_S[[#This Row],[P/B]]-VLOOKUP(Main_S[[#This Row],[Industry]], Mean_PB_S, 2, FALSE))/(VLOOKUP(Main_S[[#This Row],[Industry]], Mean_PB_S, 3, FALSE))</f>
        <v>7.4807062315207701E-2</v>
      </c>
      <c r="Q18" s="1">
        <f>(Main_S[[#This Row],[ROE]]-VLOOKUP(Main_S[[#This Row],[Industry]], Mean_ROE_S, 2, FALSE))/(VLOOKUP(Main_S[[#This Row],[Industry]], Mean_ROE_S, 3, FALSE))</f>
        <v>-1.6324120323792981</v>
      </c>
      <c r="R18" s="1">
        <f>(Main_S[[#This Row],[ROA]]-VLOOKUP(Main_S[[#This Row],[Industry]], Mean_ROA_S, 2, FALSE))/(VLOOKUP(Main_S[[#This Row],[Industry]], Mean_ROA_S, 3, FALSE))</f>
        <v>-13.705269844761849</v>
      </c>
      <c r="S18" s="1">
        <f>(Main_S[[#This Row],[A/E]]-VLOOKUP(Main_S[[#This Row],[Industry]], Mean_AE_S, 2, FALSE))/(VLOOKUP(Main_S[[#This Row],[Industry]], Mean_AE_S, 3, FALSE))</f>
        <v>-1.1128000925693267</v>
      </c>
      <c r="T18" s="1">
        <f>(Main_S[[#This Row],[P/E]]-VLOOKUP(Main_S[[#This Row],[Industry]], Mean_PE_S, 2, FALSE))/(VLOOKUP(Main_S[[#This Row],[Industry]], Mean_PE_S, 3, FALSE))</f>
        <v>0.39018267058810757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114</v>
      </c>
      <c r="B19" t="s">
        <v>436</v>
      </c>
      <c r="C19" s="2">
        <v>726</v>
      </c>
      <c r="D19">
        <f>RTD("tos.rtd", , "LAST", Main_S[[#This Row],[Symbol]])</f>
        <v>8.06</v>
      </c>
      <c r="E19">
        <v>1.64</v>
      </c>
      <c r="F19">
        <v>34.25</v>
      </c>
      <c r="G19">
        <v>0.98</v>
      </c>
      <c r="H19" s="1">
        <f>IF(ISNUMBER(Main_S[[#This Row],[Free CF]]),IF(Main_S[[#This Row],[Free CF]]&lt;&gt;0,Main_S[[#This Row],[Current Price]]/Main_S[[#This Row],[Free CF]],""),"")</f>
        <v>4.9146341463414638</v>
      </c>
      <c r="I19" s="1">
        <f>IF(ISNUMBER(Main_S[[#This Row],[BVPS]]),IF(Main_S[[#This Row],[BVPS]]&lt;&gt;0,Main_S[[#This Row],[Current Price]]/Main_S[[#This Row],[BVPS]],""),"")</f>
        <v>0.23532846715328468</v>
      </c>
      <c r="J19">
        <v>2.83</v>
      </c>
      <c r="K19">
        <v>2.2599999999999998</v>
      </c>
      <c r="L19">
        <v>3.57</v>
      </c>
      <c r="M19" s="1">
        <f>IF(ISNUMBER(Main_S[[#This Row],[EPS]]),IF(Main_S[[#This Row],[EPS]]&lt;&gt;0,Main_S[[#This Row],[Current Price]]/Main_S[[#This Row],[EPS]],""),"")</f>
        <v>8.2244897959183678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-0.5972723806900001</v>
      </c>
      <c r="P19" s="1">
        <f>(Main_S[[#This Row],[P/B]]-VLOOKUP(Main_S[[#This Row],[Industry]], Mean_PB_S, 2, FALSE))/(VLOOKUP(Main_S[[#This Row],[Industry]], Mean_PB_S, 3, FALSE))</f>
        <v>-1.3084899183866907</v>
      </c>
      <c r="Q19" s="1">
        <f>(Main_S[[#This Row],[ROE]]-VLOOKUP(Main_S[[#This Row],[Industry]], Mean_ROE_S, 2, FALSE))/(VLOOKUP(Main_S[[#This Row],[Industry]], Mean_ROE_S, 3, FALSE))</f>
        <v>0.78597616373818058</v>
      </c>
      <c r="R19" s="1">
        <f>(Main_S[[#This Row],[ROA]]-VLOOKUP(Main_S[[#This Row],[Industry]], Mean_ROA_S, 2, FALSE))/(VLOOKUP(Main_S[[#This Row],[Industry]], Mean_ROA_S, 3, FALSE))</f>
        <v>0.27240651753854483</v>
      </c>
      <c r="S19" s="1">
        <f>(Main_S[[#This Row],[A/E]]-VLOOKUP(Main_S[[#This Row],[Industry]], Mean_AE_S, 2, FALSE))/(VLOOKUP(Main_S[[#This Row],[Industry]], Mean_AE_S, 3, FALSE))</f>
        <v>-0.46187186637823674</v>
      </c>
      <c r="T19" s="1">
        <f>(Main_S[[#This Row],[P/E]]-VLOOKUP(Main_S[[#This Row],[Industry]], Mean_PE_S, 2, FALSE))/(VLOOKUP(Main_S[[#This Row],[Industry]], Mean_PE_S, 3, FALSE))</f>
        <v>1.4564635528766601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t="s">
        <v>114</v>
      </c>
      <c r="B20" t="s">
        <v>437</v>
      </c>
      <c r="C20" s="2">
        <v>1779</v>
      </c>
      <c r="D20">
        <f>RTD("tos.rtd", , "LAST", Main_S[[#This Row],[Symbol]])</f>
        <v>9.84</v>
      </c>
      <c r="E20">
        <v>0.23</v>
      </c>
      <c r="F20">
        <v>2.62</v>
      </c>
      <c r="G20">
        <v>0.14000000000000001</v>
      </c>
      <c r="H20" s="1">
        <f>IF(ISNUMBER(Main_S[[#This Row],[Free CF]]),IF(Main_S[[#This Row],[Free CF]]&lt;&gt;0,Main_S[[#This Row],[Current Price]]/Main_S[[#This Row],[Free CF]],""),"")</f>
        <v>42.782608695652172</v>
      </c>
      <c r="I20" s="1">
        <f>IF(ISNUMBER(Main_S[[#This Row],[BVPS]]),IF(Main_S[[#This Row],[BVPS]]&lt;&gt;0,Main_S[[#This Row],[Current Price]]/Main_S[[#This Row],[BVPS]],""),"")</f>
        <v>3.7557251908396942</v>
      </c>
      <c r="J20">
        <v>6.13</v>
      </c>
      <c r="K20">
        <v>4.38</v>
      </c>
      <c r="L20">
        <v>4.49</v>
      </c>
      <c r="M20" s="1">
        <f>IF(ISNUMBER(Main_S[[#This Row],[EPS]]),IF(Main_S[[#This Row],[EPS]]&lt;&gt;0,Main_S[[#This Row],[Current Price]]/Main_S[[#This Row],[EPS]],""),"")</f>
        <v>70.285714285714278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1.5998715657889266</v>
      </c>
      <c r="P20" s="1">
        <f>(Main_S[[#This Row],[P/B]]-VLOOKUP(Main_S[[#This Row],[Industry]], Mean_PB_S, 2, FALSE))/(VLOOKUP(Main_S[[#This Row],[Industry]], Mean_PB_S, 3, FALSE))</f>
        <v>-0.25530286685639808</v>
      </c>
      <c r="Q20" s="1">
        <f>(Main_S[[#This Row],[ROE]]-VLOOKUP(Main_S[[#This Row],[Industry]], Mean_ROE_S, 2, FALSE))/(VLOOKUP(Main_S[[#This Row],[Industry]], Mean_ROE_S, 3, FALSE))</f>
        <v>0.84703722760342692</v>
      </c>
      <c r="R20" s="1">
        <f>(Main_S[[#This Row],[ROA]]-VLOOKUP(Main_S[[#This Row],[Industry]], Mean_ROA_S, 2, FALSE))/(VLOOKUP(Main_S[[#This Row],[Industry]], Mean_ROA_S, 3, FALSE))</f>
        <v>1.5143459093271798</v>
      </c>
      <c r="S20" s="1">
        <f>(Main_S[[#This Row],[A/E]]-VLOOKUP(Main_S[[#This Row],[Industry]], Mean_AE_S, 2, FALSE))/(VLOOKUP(Main_S[[#This Row],[Industry]], Mean_AE_S, 3, FALSE))</f>
        <v>-2.1538066307793383E-2</v>
      </c>
      <c r="T20" s="1">
        <f>(Main_S[[#This Row],[P/E]]-VLOOKUP(Main_S[[#This Row],[Industry]], Mean_PE_S, 2, FALSE))/(VLOOKUP(Main_S[[#This Row],[Industry]], Mean_PE_S, 3, FALSE))</f>
        <v>6.9445766638038604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" spans="1:26" x14ac:dyDescent="0.25">
      <c r="A21" t="s">
        <v>113</v>
      </c>
      <c r="B21" t="s">
        <v>431</v>
      </c>
      <c r="C21" s="2">
        <v>550</v>
      </c>
      <c r="D21">
        <f>RTD("tos.rtd", , "LAST", Main_S[[#This Row],[Symbol]])</f>
        <v>22.6</v>
      </c>
      <c r="E21">
        <v>5.59</v>
      </c>
      <c r="F21">
        <v>26.62</v>
      </c>
      <c r="G21">
        <v>2.15</v>
      </c>
      <c r="H21" s="1">
        <f>IF(ISNUMBER(Main_S[[#This Row],[Free CF]]),IF(Main_S[[#This Row],[Free CF]]&lt;&gt;0,Main_S[[#This Row],[Current Price]]/Main_S[[#This Row],[Free CF]],""),"")</f>
        <v>4.0429338103756711</v>
      </c>
      <c r="I21" s="1">
        <f>IF(ISNUMBER(Main_S[[#This Row],[BVPS]]),IF(Main_S[[#This Row],[BVPS]]&lt;&gt;0,Main_S[[#This Row],[Current Price]]/Main_S[[#This Row],[BVPS]],""),"")</f>
        <v>0.84898572501878289</v>
      </c>
      <c r="J21">
        <v>8.07</v>
      </c>
      <c r="K21">
        <v>2.0099999999999998</v>
      </c>
      <c r="L21">
        <v>3.05</v>
      </c>
      <c r="M21" s="1">
        <f>IF(ISNUMBER(Main_S[[#This Row],[EPS]]),IF(Main_S[[#This Row],[EPS]]&lt;&gt;0,Main_S[[#This Row],[Current Price]]/Main_S[[#This Row],[EPS]],""),"")</f>
        <v>10.511627906976745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-0.99999999999999978</v>
      </c>
      <c r="P21" s="1">
        <f>(Main_S[[#This Row],[P/B]]-VLOOKUP(Main_S[[#This Row],[Industry]], Mean_PB_S, 2, FALSE))/(VLOOKUP(Main_S[[#This Row],[Industry]], Mean_PB_S, 3, FALSE))</f>
        <v>-0.99999999999999556</v>
      </c>
      <c r="Q21" s="1">
        <f>(Main_S[[#This Row],[ROE]]-VLOOKUP(Main_S[[#This Row],[Industry]], Mean_ROE_S, 2, FALSE))/(VLOOKUP(Main_S[[#This Row],[Industry]], Mean_ROE_S, 3, FALSE))</f>
        <v>-0.99999999999999756</v>
      </c>
      <c r="R21" s="1">
        <f>(Main_S[[#This Row],[ROA]]-VLOOKUP(Main_S[[#This Row],[Industry]], Mean_ROA_S, 2, FALSE))/(VLOOKUP(Main_S[[#This Row],[Industry]], Mean_ROA_S, 3, FALSE))</f>
        <v>-0.99999999999999978</v>
      </c>
      <c r="S21" s="1">
        <f>(Main_S[[#This Row],[A/E]]-VLOOKUP(Main_S[[#This Row],[Industry]], Mean_AE_S, 2, FALSE))/(VLOOKUP(Main_S[[#This Row],[Industry]], Mean_AE_S, 3, FALSE))</f>
        <v>1.0000000000000004</v>
      </c>
      <c r="T21" s="1">
        <f>(Main_S[[#This Row],[P/E]]-VLOOKUP(Main_S[[#This Row],[Industry]], Mean_PE_S, 2, FALSE))/(VLOOKUP(Main_S[[#This Row],[Industry]], Mean_PE_S, 3, FALSE))</f>
        <v>0.99999999999985389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t="s">
        <v>113</v>
      </c>
      <c r="B22" t="s">
        <v>432</v>
      </c>
      <c r="C22" s="2">
        <v>301</v>
      </c>
      <c r="D22">
        <f>RTD("tos.rtd", , "LAST", Main_S[[#This Row],[Symbol]])</f>
        <v>32.130000000000003</v>
      </c>
      <c r="E22">
        <v>3.84</v>
      </c>
      <c r="F22">
        <v>25.72</v>
      </c>
      <c r="G22">
        <v>3.16</v>
      </c>
      <c r="H22" s="1">
        <f>IF(ISNUMBER(Main_S[[#This Row],[Free CF]]),IF(Main_S[[#This Row],[Free CF]]&lt;&gt;0,Main_S[[#This Row],[Current Price]]/Main_S[[#This Row],[Free CF]],""),"")</f>
        <v>8.3671875000000018</v>
      </c>
      <c r="I22" s="1">
        <f>IF(ISNUMBER(Main_S[[#This Row],[BVPS]]),IF(Main_S[[#This Row],[BVPS]]&lt;&gt;0,Main_S[[#This Row],[Current Price]]/Main_S[[#This Row],[BVPS]],""),"")</f>
        <v>1.2492223950233283</v>
      </c>
      <c r="J22">
        <v>12.37</v>
      </c>
      <c r="K22">
        <v>7.18</v>
      </c>
      <c r="L22">
        <v>1.32</v>
      </c>
      <c r="M22" s="1">
        <f>IF(ISNUMBER(Main_S[[#This Row],[EPS]]),IF(Main_S[[#This Row],[EPS]]&lt;&gt;0,Main_S[[#This Row],[Current Price]]/Main_S[[#This Row],[EPS]],""),"")</f>
        <v>10.167721518987342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1.0000000000000002</v>
      </c>
      <c r="P22" s="1">
        <f>(Main_S[[#This Row],[P/B]]-VLOOKUP(Main_S[[#This Row],[Industry]], Mean_PB_S, 2, FALSE))/(VLOOKUP(Main_S[[#This Row],[Industry]], Mean_PB_S, 3, FALSE))</f>
        <v>0.99999999999999667</v>
      </c>
      <c r="Q22" s="1">
        <f>(Main_S[[#This Row],[ROE]]-VLOOKUP(Main_S[[#This Row],[Industry]], Mean_ROE_S, 2, FALSE))/(VLOOKUP(Main_S[[#This Row],[Industry]], Mean_ROE_S, 3, FALSE))</f>
        <v>0.99999999999999833</v>
      </c>
      <c r="R22" s="1">
        <f>(Main_S[[#This Row],[ROA]]-VLOOKUP(Main_S[[#This Row],[Industry]], Mean_ROA_S, 2, FALSE))/(VLOOKUP(Main_S[[#This Row],[Industry]], Mean_ROA_S, 3, FALSE))</f>
        <v>0.99999999999999978</v>
      </c>
      <c r="S22" s="1">
        <f>(Main_S[[#This Row],[A/E]]-VLOOKUP(Main_S[[#This Row],[Industry]], Mean_AE_S, 2, FALSE))/(VLOOKUP(Main_S[[#This Row],[Industry]], Mean_AE_S, 3, FALSE))</f>
        <v>-1.0000000000000007</v>
      </c>
      <c r="T22" s="1">
        <f>(Main_S[[#This Row],[P/E]]-VLOOKUP(Main_S[[#This Row],[Industry]], Mean_PE_S, 2, FALSE))/(VLOOKUP(Main_S[[#This Row],[Industry]], Mean_PE_S, 3, FALSE))</f>
        <v>-0.99999999999985389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112</v>
      </c>
      <c r="B23" t="s">
        <v>415</v>
      </c>
      <c r="C23" s="2">
        <v>1764</v>
      </c>
      <c r="D23">
        <f>RTD("tos.rtd", , "LAST", Main_S[[#This Row],[Symbol]])</f>
        <v>19.22</v>
      </c>
      <c r="E23">
        <v>1.87</v>
      </c>
      <c r="F23">
        <v>7.65</v>
      </c>
      <c r="G23">
        <v>1.1200000000000001</v>
      </c>
      <c r="H23" s="1">
        <f>IF(ISNUMBER(Main_S[[#This Row],[Free CF]]),IF(Main_S[[#This Row],[Free CF]]&lt;&gt;0,Main_S[[#This Row],[Current Price]]/Main_S[[#This Row],[Free CF]],""),"")</f>
        <v>10.27807486631016</v>
      </c>
      <c r="I23" s="1">
        <f>IF(ISNUMBER(Main_S[[#This Row],[BVPS]]),IF(Main_S[[#This Row],[BVPS]]&lt;&gt;0,Main_S[[#This Row],[Current Price]]/Main_S[[#This Row],[BVPS]],""),"")</f>
        <v>2.5124183006535947</v>
      </c>
      <c r="J23">
        <v>16.32</v>
      </c>
      <c r="K23">
        <v>7.72</v>
      </c>
      <c r="L23">
        <v>2.0699999999999998</v>
      </c>
      <c r="M23" s="1">
        <f>IF(ISNUMBER(Main_S[[#This Row],[EPS]]),IF(Main_S[[#This Row],[EPS]]&lt;&gt;0,Main_S[[#This Row],[Current Price]]/Main_S[[#This Row],[EPS]],""),"")</f>
        <v>17.160714285714285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3" s="1">
        <f>(Main_S[[#This Row],[P/FCF]]-VLOOKUP(Main_S[[#This Row],[Industry]], Mean_PFCF_S, 2, FALSE))/(VLOOKUP(Main_S[[#This Row],[Industry]], Mean_PFCF_S, 3, FALSE))</f>
        <v>-0.58271754444673107</v>
      </c>
      <c r="P23" s="1">
        <f>(Main_S[[#This Row],[P/B]]-VLOOKUP(Main_S[[#This Row],[Industry]], Mean_PB_S, 2, FALSE))/(VLOOKUP(Main_S[[#This Row],[Industry]], Mean_PB_S, 3, FALSE))</f>
        <v>-0.33920751027810875</v>
      </c>
      <c r="Q23" s="1">
        <f>(Main_S[[#This Row],[ROE]]-VLOOKUP(Main_S[[#This Row],[Industry]], Mean_ROE_S, 2, FALSE))/(VLOOKUP(Main_S[[#This Row],[Industry]], Mean_ROE_S, 3, FALSE))</f>
        <v>0.92982586565996561</v>
      </c>
      <c r="R23" s="1">
        <f>(Main_S[[#This Row],[ROA]]-VLOOKUP(Main_S[[#This Row],[Industry]], Mean_ROA_S, 2, FALSE))/(VLOOKUP(Main_S[[#This Row],[Industry]], Mean_ROA_S, 3, FALSE))</f>
        <v>0.72353871629203681</v>
      </c>
      <c r="S23" s="1">
        <f>(Main_S[[#This Row],[A/E]]-VLOOKUP(Main_S[[#This Row],[Industry]], Mean_AE_S, 2, FALSE))/(VLOOKUP(Main_S[[#This Row],[Industry]], Mean_AE_S, 3, FALSE))</f>
        <v>-0.41184423293048056</v>
      </c>
      <c r="T23" s="1">
        <f>(Main_S[[#This Row],[P/E]]-VLOOKUP(Main_S[[#This Row],[Industry]], Mean_PE_S, 2, FALSE))/(VLOOKUP(Main_S[[#This Row],[Industry]], Mean_PE_S, 3, FALSE))</f>
        <v>0.25966813075086304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t="s">
        <v>112</v>
      </c>
      <c r="B24" t="s">
        <v>416</v>
      </c>
      <c r="C24" s="2">
        <v>458</v>
      </c>
      <c r="D24">
        <f>RTD("tos.rtd", , "LAST", Main_S[[#This Row],[Symbol]])</f>
        <v>27.57</v>
      </c>
      <c r="E24">
        <v>1.23</v>
      </c>
      <c r="F24">
        <v>14.92</v>
      </c>
      <c r="G24">
        <v>0.55000000000000004</v>
      </c>
      <c r="H24" s="1">
        <f>IF(ISNUMBER(Main_S[[#This Row],[Free CF]]),IF(Main_S[[#This Row],[Free CF]]&lt;&gt;0,Main_S[[#This Row],[Current Price]]/Main_S[[#This Row],[Free CF]],""),"")</f>
        <v>22.414634146341463</v>
      </c>
      <c r="I24" s="1">
        <f>IF(ISNUMBER(Main_S[[#This Row],[BVPS]]),IF(Main_S[[#This Row],[BVPS]]&lt;&gt;0,Main_S[[#This Row],[Current Price]]/Main_S[[#This Row],[BVPS]],""),"")</f>
        <v>1.8478552278820375</v>
      </c>
      <c r="J24">
        <v>5.41</v>
      </c>
      <c r="K24">
        <v>4.3</v>
      </c>
      <c r="L24">
        <v>2.16</v>
      </c>
      <c r="M24" s="1">
        <f>IF(ISNUMBER(Main_S[[#This Row],[EPS]]),IF(Main_S[[#This Row],[EPS]]&lt;&gt;0,Main_S[[#This Row],[Current Price]]/Main_S[[#This Row],[EPS]],""),"")</f>
        <v>50.127272727272725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0.18242861520974707</v>
      </c>
      <c r="P24" s="1">
        <f>(Main_S[[#This Row],[P/B]]-VLOOKUP(Main_S[[#This Row],[Industry]], Mean_PB_S, 2, FALSE))/(VLOOKUP(Main_S[[#This Row],[Industry]], Mean_PB_S, 3, FALSE))</f>
        <v>-0.79587771542087016</v>
      </c>
      <c r="Q24" s="1">
        <f>(Main_S[[#This Row],[ROE]]-VLOOKUP(Main_S[[#This Row],[Industry]], Mean_ROE_S, 2, FALSE))/(VLOOKUP(Main_S[[#This Row],[Industry]], Mean_ROE_S, 3, FALSE))</f>
        <v>0.39404894613159208</v>
      </c>
      <c r="R24" s="1">
        <f>(Main_S[[#This Row],[ROA]]-VLOOKUP(Main_S[[#This Row],[Industry]], Mean_ROA_S, 2, FALSE))/(VLOOKUP(Main_S[[#This Row],[Industry]], Mean_ROA_S, 3, FALSE))</f>
        <v>0.34045392469546981</v>
      </c>
      <c r="S24" s="1">
        <f>(Main_S[[#This Row],[A/E]]-VLOOKUP(Main_S[[#This Row],[Industry]], Mean_AE_S, 2, FALSE))/(VLOOKUP(Main_S[[#This Row],[Industry]], Mean_AE_S, 3, FALSE))</f>
        <v>-0.31697700560097292</v>
      </c>
      <c r="T24" s="1">
        <f>(Main_S[[#This Row],[P/E]]-VLOOKUP(Main_S[[#This Row],[Industry]], Mean_PE_S, 2, FALSE))/(VLOOKUP(Main_S[[#This Row],[Industry]], Mean_PE_S, 3, FALSE))</f>
        <v>1.6285331659489806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112</v>
      </c>
      <c r="B25" t="s">
        <v>417</v>
      </c>
      <c r="C25" s="2">
        <v>1415</v>
      </c>
      <c r="D25">
        <f>RTD("tos.rtd", , "LAST", Main_S[[#This Row],[Symbol]])</f>
        <v>9.09</v>
      </c>
      <c r="E25">
        <v>0.42</v>
      </c>
      <c r="F25">
        <v>3.78</v>
      </c>
      <c r="G25">
        <v>-0.42</v>
      </c>
      <c r="H25" s="1">
        <f>IF(ISNUMBER(Main_S[[#This Row],[Free CF]]),IF(Main_S[[#This Row],[Free CF]]&lt;&gt;0,Main_S[[#This Row],[Current Price]]/Main_S[[#This Row],[Free CF]],""),"")</f>
        <v>21.642857142857142</v>
      </c>
      <c r="I25" s="1">
        <f>IF(ISNUMBER(Main_S[[#This Row],[BVPS]]),IF(Main_S[[#This Row],[BVPS]]&lt;&gt;0,Main_S[[#This Row],[Current Price]]/Main_S[[#This Row],[BVPS]],""),"")</f>
        <v>2.4047619047619047</v>
      </c>
      <c r="J25">
        <v>-10.83</v>
      </c>
      <c r="K25">
        <v>-6</v>
      </c>
      <c r="L25">
        <v>1.56</v>
      </c>
      <c r="M25" s="1">
        <f>IF(ISNUMBER(Main_S[[#This Row],[EPS]]),IF(Main_S[[#This Row],[EPS]]&lt;&gt;0,Main_S[[#This Row],[Current Price]]/Main_S[[#This Row],[EPS]],""),"")</f>
        <v>-21.642857142857142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0.13377213879811545</v>
      </c>
      <c r="P25" s="1">
        <f>(Main_S[[#This Row],[P/B]]-VLOOKUP(Main_S[[#This Row],[Industry]], Mean_PB_S, 2, FALSE))/(VLOOKUP(Main_S[[#This Row],[Industry]], Mean_PB_S, 3, FALSE))</f>
        <v>-0.41318614437788265</v>
      </c>
      <c r="Q25" s="1">
        <f>(Main_S[[#This Row],[ROE]]-VLOOKUP(Main_S[[#This Row],[Industry]], Mean_ROE_S, 2, FALSE))/(VLOOKUP(Main_S[[#This Row],[Industry]], Mean_ROE_S, 3, FALSE))</f>
        <v>-0.40347783417462102</v>
      </c>
      <c r="R25" s="1">
        <f>(Main_S[[#This Row],[ROA]]-VLOOKUP(Main_S[[#This Row],[Industry]], Mean_ROA_S, 2, FALSE))/(VLOOKUP(Main_S[[#This Row],[Industry]], Mean_ROA_S, 3, FALSE))</f>
        <v>-0.81328097397255361</v>
      </c>
      <c r="S25" s="1">
        <f>(Main_S[[#This Row],[A/E]]-VLOOKUP(Main_S[[#This Row],[Industry]], Mean_AE_S, 2, FALSE))/(VLOOKUP(Main_S[[#This Row],[Industry]], Mean_AE_S, 3, FALSE))</f>
        <v>-0.94942518779768847</v>
      </c>
      <c r="T25" s="1">
        <f>(Main_S[[#This Row],[P/E]]-VLOOKUP(Main_S[[#This Row],[Industry]], Mean_PE_S, 2, FALSE))/(VLOOKUP(Main_S[[#This Row],[Industry]], Mean_PE_S, 3, FALSE))</f>
        <v>-1.3515662437303901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112</v>
      </c>
      <c r="B26" t="s">
        <v>418</v>
      </c>
      <c r="C26" s="2">
        <v>1058</v>
      </c>
      <c r="D26">
        <f>RTD("tos.rtd", , "LAST", Main_S[[#This Row],[Symbol]])</f>
        <v>9.18</v>
      </c>
      <c r="E26">
        <v>-0.09</v>
      </c>
      <c r="F26">
        <v>-2.46</v>
      </c>
      <c r="G26">
        <v>0.1</v>
      </c>
      <c r="H26" s="1">
        <f>IF(ISNUMBER(Main_S[[#This Row],[Free CF]]),IF(Main_S[[#This Row],[Free CF]]&lt;&gt;0,Main_S[[#This Row],[Current Price]]/Main_S[[#This Row],[Free CF]],""),"")</f>
        <v>-102</v>
      </c>
      <c r="I26" s="1">
        <f>IF(ISNUMBER(Main_S[[#This Row],[BVPS]]),IF(Main_S[[#This Row],[BVPS]]&lt;&gt;0,Main_S[[#This Row],[Current Price]]/Main_S[[#This Row],[BVPS]],""),"")</f>
        <v>-3.7317073170731705</v>
      </c>
      <c r="J26">
        <v>-3.57</v>
      </c>
      <c r="K26">
        <v>5.34</v>
      </c>
      <c r="L26">
        <v>-0.85</v>
      </c>
      <c r="M26" s="1">
        <f>IF(ISNUMBER(Main_S[[#This Row],[EPS]]),IF(Main_S[[#This Row],[EPS]]&lt;&gt;0,Main_S[[#This Row],[Current Price]]/Main_S[[#This Row],[EPS]],""),"")</f>
        <v>91.8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-7.66125898402335</v>
      </c>
      <c r="P26" s="1">
        <f>(Main_S[[#This Row],[P/B]]-VLOOKUP(Main_S[[#This Row],[Industry]], Mean_PB_S, 2, FALSE))/(VLOOKUP(Main_S[[#This Row],[Industry]], Mean_PB_S, 3, FALSE))</f>
        <v>-4.6300058462317759</v>
      </c>
      <c r="Q26" s="1">
        <f>(Main_S[[#This Row],[ROE]]-VLOOKUP(Main_S[[#This Row],[Industry]], Mean_ROE_S, 2, FALSE))/(VLOOKUP(Main_S[[#This Row],[Industry]], Mean_ROE_S, 3, FALSE))</f>
        <v>-4.6948005047582411E-2</v>
      </c>
      <c r="R26" s="1">
        <f>(Main_S[[#This Row],[ROA]]-VLOOKUP(Main_S[[#This Row],[Industry]], Mean_ROA_S, 2, FALSE))/(VLOOKUP(Main_S[[#This Row],[Industry]], Mean_ROA_S, 3, FALSE))</f>
        <v>0.45694754553185279</v>
      </c>
      <c r="S26" s="1">
        <f>(Main_S[[#This Row],[A/E]]-VLOOKUP(Main_S[[#This Row],[Industry]], Mean_AE_S, 2, FALSE))/(VLOOKUP(Main_S[[#This Row],[Industry]], Mean_AE_S, 3, FALSE))</f>
        <v>-3.4897587196211628</v>
      </c>
      <c r="T26" s="1">
        <f>(Main_S[[#This Row],[P/E]]-VLOOKUP(Main_S[[#This Row],[Industry]], Mean_PE_S, 2, FALSE))/(VLOOKUP(Main_S[[#This Row],[Industry]], Mean_PE_S, 3, FALSE))</f>
        <v>3.3589030310991106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7" spans="1:26" x14ac:dyDescent="0.25">
      <c r="A27" t="s">
        <v>112</v>
      </c>
      <c r="B27" t="s">
        <v>419</v>
      </c>
      <c r="C27" s="2">
        <v>812</v>
      </c>
      <c r="D27">
        <f>RTD("tos.rtd", , "LAST", Main_S[[#This Row],[Symbol]])</f>
        <v>3.72</v>
      </c>
      <c r="E27">
        <v>0.04</v>
      </c>
      <c r="F27">
        <v>1.05</v>
      </c>
      <c r="G27">
        <v>-0.56000000000000005</v>
      </c>
      <c r="H27" s="1">
        <f>IF(ISNUMBER(Main_S[[#This Row],[Free CF]]),IF(Main_S[[#This Row],[Free CF]]&lt;&gt;0,Main_S[[#This Row],[Current Price]]/Main_S[[#This Row],[Free CF]],""),"")</f>
        <v>93</v>
      </c>
      <c r="I27" s="1">
        <f>IF(ISNUMBER(Main_S[[#This Row],[BVPS]]),IF(Main_S[[#This Row],[BVPS]]&lt;&gt;0,Main_S[[#This Row],[Current Price]]/Main_S[[#This Row],[BVPS]],""),"")</f>
        <v>3.5428571428571427</v>
      </c>
      <c r="J27">
        <v>-41.63</v>
      </c>
      <c r="K27">
        <v>-13.14</v>
      </c>
      <c r="L27">
        <v>3.01</v>
      </c>
      <c r="M27" s="1">
        <f>IF(ISNUMBER(Main_S[[#This Row],[EPS]]),IF(Main_S[[#This Row],[EPS]]&lt;&gt;0,Main_S[[#This Row],[Current Price]]/Main_S[[#This Row],[EPS]],""),"")</f>
        <v>-6.6428571428571423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4.6324642772722022</v>
      </c>
      <c r="P27" s="1">
        <f>(Main_S[[#This Row],[P/B]]-VLOOKUP(Main_S[[#This Row],[Industry]], Mean_PB_S, 2, FALSE))/(VLOOKUP(Main_S[[#This Row],[Industry]], Mean_PB_S, 3, FALSE))</f>
        <v>0.36888286780090618</v>
      </c>
      <c r="Q27" s="1">
        <f>(Main_S[[#This Row],[ROE]]-VLOOKUP(Main_S[[#This Row],[Industry]], Mean_ROE_S, 2, FALSE))/(VLOOKUP(Main_S[[#This Row],[Industry]], Mean_ROE_S, 3, FALSE))</f>
        <v>-1.9160286244105427</v>
      </c>
      <c r="R27" s="1">
        <f>(Main_S[[#This Row],[ROA]]-VLOOKUP(Main_S[[#This Row],[Industry]], Mean_ROA_S, 2, FALSE))/(VLOOKUP(Main_S[[#This Row],[Industry]], Mean_ROA_S, 3, FALSE))</f>
        <v>-1.613054486253106</v>
      </c>
      <c r="S27" s="1">
        <f>(Main_S[[#This Row],[A/E]]-VLOOKUP(Main_S[[#This Row],[Industry]], Mean_AE_S, 2, FALSE))/(VLOOKUP(Main_S[[#This Row],[Industry]], Mean_AE_S, 3, FALSE))</f>
        <v>0.57899125251104033</v>
      </c>
      <c r="T27" s="1">
        <f>(Main_S[[#This Row],[P/E]]-VLOOKUP(Main_S[[#This Row],[Industry]], Mean_PE_S, 2, FALSE))/(VLOOKUP(Main_S[[#This Row],[Industry]], Mean_PE_S, 3, FALSE))</f>
        <v>-0.72872368755724126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112</v>
      </c>
      <c r="B28" t="s">
        <v>420</v>
      </c>
      <c r="C28" s="2">
        <v>1549</v>
      </c>
      <c r="D28">
        <f>RTD("tos.rtd", , "LAST", Main_S[[#This Row],[Symbol]])</f>
        <v>13.46</v>
      </c>
      <c r="E28">
        <v>-0.17</v>
      </c>
      <c r="F28">
        <v>7.33</v>
      </c>
      <c r="G28">
        <v>-0.96</v>
      </c>
      <c r="H28" s="1">
        <f>IF(ISNUMBER(Main_S[[#This Row],[Free CF]]),IF(Main_S[[#This Row],[Free CF]]&lt;&gt;0,Main_S[[#This Row],[Current Price]]/Main_S[[#This Row],[Free CF]],""),"")</f>
        <v>-79.17647058823529</v>
      </c>
      <c r="I28" s="1">
        <f>IF(ISNUMBER(Main_S[[#This Row],[BVPS]]),IF(Main_S[[#This Row],[BVPS]]&lt;&gt;0,Main_S[[#This Row],[Current Price]]/Main_S[[#This Row],[BVPS]],""),"")</f>
        <v>1.8362892223738063</v>
      </c>
      <c r="J28">
        <v>-13.54</v>
      </c>
      <c r="K28">
        <v>0.45</v>
      </c>
      <c r="L28">
        <v>4.22</v>
      </c>
      <c r="M28" s="1">
        <f>IF(ISNUMBER(Main_S[[#This Row],[EPS]]),IF(Main_S[[#This Row],[EPS]]&lt;&gt;0,Main_S[[#This Row],[Current Price]]/Main_S[[#This Row],[EPS]],""),"")</f>
        <v>-14.020833333333334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-6.2223556279501446</v>
      </c>
      <c r="P28" s="1">
        <f>(Main_S[[#This Row],[P/B]]-VLOOKUP(Main_S[[#This Row],[Industry]], Mean_PB_S, 2, FALSE))/(VLOOKUP(Main_S[[#This Row],[Industry]], Mean_PB_S, 3, FALSE))</f>
        <v>-0.80382556916799208</v>
      </c>
      <c r="Q28" s="1">
        <f>(Main_S[[#This Row],[ROE]]-VLOOKUP(Main_S[[#This Row],[Industry]], Mean_ROE_S, 2, FALSE))/(VLOOKUP(Main_S[[#This Row],[Industry]], Mean_ROE_S, 3, FALSE))</f>
        <v>-0.53656266019862586</v>
      </c>
      <c r="R28" s="1">
        <f>(Main_S[[#This Row],[ROA]]-VLOOKUP(Main_S[[#This Row],[Industry]], Mean_ROA_S, 2, FALSE))/(VLOOKUP(Main_S[[#This Row],[Industry]], Mean_ROA_S, 3, FALSE))</f>
        <v>-9.0796498593063199E-2</v>
      </c>
      <c r="S28" s="1">
        <f>(Main_S[[#This Row],[A/E]]-VLOOKUP(Main_S[[#This Row],[Industry]], Mean_AE_S, 2, FALSE))/(VLOOKUP(Main_S[[#This Row],[Industry]], Mean_AE_S, 3, FALSE))</f>
        <v>1.8544284199410832</v>
      </c>
      <c r="T28" s="1">
        <f>(Main_S[[#This Row],[P/E]]-VLOOKUP(Main_S[[#This Row],[Industry]], Mean_PE_S, 2, FALSE))/(VLOOKUP(Main_S[[#This Row],[Industry]], Mean_PE_S, 3, FALSE))</f>
        <v>-1.0350781908812963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t="s">
        <v>112</v>
      </c>
      <c r="B29" t="s">
        <v>421</v>
      </c>
      <c r="C29" s="2">
        <v>590</v>
      </c>
      <c r="D29">
        <f>RTD("tos.rtd", , "LAST", Main_S[[#This Row],[Symbol]])</f>
        <v>20.64</v>
      </c>
      <c r="E29">
        <v>-0.9</v>
      </c>
      <c r="F29">
        <v>5.67</v>
      </c>
      <c r="G29">
        <v>0.32</v>
      </c>
      <c r="H29" s="1">
        <f>IF(ISNUMBER(Main_S[[#This Row],[Free CF]]),IF(Main_S[[#This Row],[Free CF]]&lt;&gt;0,Main_S[[#This Row],[Current Price]]/Main_S[[#This Row],[Free CF]],""),"")</f>
        <v>-22.933333333333334</v>
      </c>
      <c r="I29" s="1">
        <f>IF(ISNUMBER(Main_S[[#This Row],[BVPS]]),IF(Main_S[[#This Row],[BVPS]]&lt;&gt;0,Main_S[[#This Row],[Current Price]]/Main_S[[#This Row],[BVPS]],""),"")</f>
        <v>3.6402116402116405</v>
      </c>
      <c r="J29">
        <v>5.73</v>
      </c>
      <c r="K29">
        <v>2.3199999999999998</v>
      </c>
      <c r="L29">
        <v>2.4500000000000002</v>
      </c>
      <c r="M29" s="1">
        <f>IF(ISNUMBER(Main_S[[#This Row],[EPS]]),IF(Main_S[[#This Row],[EPS]]&lt;&gt;0,Main_S[[#This Row],[Current Price]]/Main_S[[#This Row],[EPS]],""),"")</f>
        <v>64.5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-2.6765219625202645</v>
      </c>
      <c r="P29" s="1">
        <f>(Main_S[[#This Row],[P/B]]-VLOOKUP(Main_S[[#This Row],[Industry]], Mean_PB_S, 2, FALSE))/(VLOOKUP(Main_S[[#This Row],[Industry]], Mean_PB_S, 3, FALSE))</f>
        <v>0.43578230910304366</v>
      </c>
      <c r="Q29" s="1">
        <f>(Main_S[[#This Row],[ROE]]-VLOOKUP(Main_S[[#This Row],[Industry]], Mean_ROE_S, 2, FALSE))/(VLOOKUP(Main_S[[#This Row],[Industry]], Mean_ROE_S, 3, FALSE))</f>
        <v>0.40976375953664063</v>
      </c>
      <c r="R29" s="1">
        <f>(Main_S[[#This Row],[ROA]]-VLOOKUP(Main_S[[#This Row],[Industry]], Mean_ROA_S, 2, FALSE))/(VLOOKUP(Main_S[[#This Row],[Industry]], Mean_ROA_S, 3, FALSE))</f>
        <v>0.11866799271850997</v>
      </c>
      <c r="S29" s="1">
        <f>(Main_S[[#This Row],[A/E]]-VLOOKUP(Main_S[[#This Row],[Industry]], Mean_AE_S, 2, FALSE))/(VLOOKUP(Main_S[[#This Row],[Industry]], Mean_AE_S, 3, FALSE))</f>
        <v>-1.1293717539227022E-2</v>
      </c>
      <c r="T29" s="1">
        <f>(Main_S[[#This Row],[P/E]]-VLOOKUP(Main_S[[#This Row],[Industry]], Mean_PE_S, 2, FALSE))/(VLOOKUP(Main_S[[#This Row],[Industry]], Mean_PE_S, 3, FALSE))</f>
        <v>2.2253295788639798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112</v>
      </c>
      <c r="B30" t="s">
        <v>422</v>
      </c>
      <c r="C30" s="2">
        <v>580</v>
      </c>
      <c r="D30">
        <f>RTD("tos.rtd", , "LAST", Main_S[[#This Row],[Symbol]])</f>
        <v>20.27</v>
      </c>
      <c r="H30" s="1" t="str">
        <f>IF(ISNUMBER(Main_S[[#This Row],[Free CF]]),IF(Main_S[[#This Row],[Free CF]]&lt;&gt;0,Main_S[[#This Row],[Current Price]]/Main_S[[#This Row],[Free CF]],""),"")</f>
        <v/>
      </c>
      <c r="I30" s="1" t="str">
        <f>IF(ISNUMBER(Main_S[[#This Row],[BVPS]]),IF(Main_S[[#This Row],[BVPS]]&lt;&gt;0,Main_S[[#This Row],[Current Price]]/Main_S[[#This Row],[BVPS]],""),"")</f>
        <v/>
      </c>
      <c r="J30">
        <v>-37.03</v>
      </c>
      <c r="K30">
        <v>-11.7</v>
      </c>
      <c r="L30">
        <v>2.4300000000000002</v>
      </c>
      <c r="M30" s="1" t="str">
        <f>IF(ISNUMBER(Main_S[[#This Row],[EPS]]),IF(Main_S[[#This Row],[EPS]]&lt;&gt;0,Main_S[[#This Row],[Current Price]]/Main_S[[#This Row],[EPS]],""),"")</f>
        <v/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 t="e">
        <f>(Main_S[[#This Row],[P/FCF]]-VLOOKUP(Main_S[[#This Row],[Industry]], Mean_PFCF_S, 2, FALSE))/(VLOOKUP(Main_S[[#This Row],[Industry]], Mean_PFCF_S, 3, FALSE))</f>
        <v>#VALUE!</v>
      </c>
      <c r="P30" s="1" t="e">
        <f>(Main_S[[#This Row],[P/B]]-VLOOKUP(Main_S[[#This Row],[Industry]], Mean_PB_S, 2, FALSE))/(VLOOKUP(Main_S[[#This Row],[Industry]], Mean_PB_S, 3, FALSE))</f>
        <v>#VALUE!</v>
      </c>
      <c r="Q30" s="1">
        <f>(Main_S[[#This Row],[ROE]]-VLOOKUP(Main_S[[#This Row],[Industry]], Mean_ROE_S, 2, FALSE))/(VLOOKUP(Main_S[[#This Row],[Industry]], Mean_ROE_S, 3, FALSE))</f>
        <v>-1.6901281817129699</v>
      </c>
      <c r="R30" s="1">
        <f>(Main_S[[#This Row],[ROA]]-VLOOKUP(Main_S[[#This Row],[Industry]], Mean_ROA_S, 2, FALSE))/(VLOOKUP(Main_S[[#This Row],[Industry]], Mean_ROA_S, 3, FALSE))</f>
        <v>-1.4517556266334988</v>
      </c>
      <c r="S30" s="1">
        <f>(Main_S[[#This Row],[A/E]]-VLOOKUP(Main_S[[#This Row],[Industry]], Mean_AE_S, 2, FALSE))/(VLOOKUP(Main_S[[#This Row],[Industry]], Mean_AE_S, 3, FALSE))</f>
        <v>-3.2375323612450893E-2</v>
      </c>
      <c r="T30" s="1" t="e">
        <f>(Main_S[[#This Row],[P/E]]-VLOOKUP(Main_S[[#This Row],[Industry]], Mean_PE_S, 2, FALSE))/(VLOOKUP(Main_S[[#This Row],[Industry]], Mean_PE_S, 3, FALSE))</f>
        <v>#VALUE!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1" spans="1:26" x14ac:dyDescent="0.25">
      <c r="A31" t="s">
        <v>112</v>
      </c>
      <c r="B31" t="s">
        <v>423</v>
      </c>
      <c r="C31" s="2">
        <v>1989</v>
      </c>
      <c r="D31">
        <f>RTD("tos.rtd", , "LAST", Main_S[[#This Row],[Symbol]])</f>
        <v>31.31</v>
      </c>
      <c r="E31">
        <v>2.54</v>
      </c>
      <c r="F31">
        <v>14.8</v>
      </c>
      <c r="G31">
        <v>2.25</v>
      </c>
      <c r="H31" s="1">
        <f>IF(ISNUMBER(Main_S[[#This Row],[Free CF]]),IF(Main_S[[#This Row],[Free CF]]&lt;&gt;0,Main_S[[#This Row],[Current Price]]/Main_S[[#This Row],[Free CF]],""),"")</f>
        <v>12.326771653543306</v>
      </c>
      <c r="I31" s="1">
        <f>IF(ISNUMBER(Main_S[[#This Row],[BVPS]]),IF(Main_S[[#This Row],[BVPS]]&lt;&gt;0,Main_S[[#This Row],[Current Price]]/Main_S[[#This Row],[BVPS]],""),"")</f>
        <v>2.1155405405405405</v>
      </c>
      <c r="J31">
        <v>16.54</v>
      </c>
      <c r="K31">
        <v>9.83</v>
      </c>
      <c r="L31">
        <v>1.31</v>
      </c>
      <c r="M31" s="1">
        <f>IF(ISNUMBER(Main_S[[#This Row],[EPS]]),IF(Main_S[[#This Row],[EPS]]&lt;&gt;0,Main_S[[#This Row],[Current Price]]/Main_S[[#This Row],[EPS]],""),"")</f>
        <v>13.915555555555555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31" s="1">
        <f>(Main_S[[#This Row],[P/FCF]]-VLOOKUP(Main_S[[#This Row],[Industry]], Mean_PFCF_S, 2, FALSE))/(VLOOKUP(Main_S[[#This Row],[Industry]], Mean_PFCF_S, 3, FALSE))</f>
        <v>-0.45355799906955363</v>
      </c>
      <c r="P31" s="1">
        <f>(Main_S[[#This Row],[P/B]]-VLOOKUP(Main_S[[#This Row],[Industry]], Mean_PB_S, 2, FALSE))/(VLOOKUP(Main_S[[#This Row],[Industry]], Mean_PB_S, 3, FALSE))</f>
        <v>-0.61193143303770203</v>
      </c>
      <c r="Q31" s="1">
        <f>(Main_S[[#This Row],[ROE]]-VLOOKUP(Main_S[[#This Row],[Industry]], Mean_ROE_S, 2, FALSE))/(VLOOKUP(Main_S[[#This Row],[Industry]], Mean_ROE_S, 3, FALSE))</f>
        <v>0.94062979987593642</v>
      </c>
      <c r="R31" s="1">
        <f>(Main_S[[#This Row],[ROA]]-VLOOKUP(Main_S[[#This Row],[Industry]], Mean_ROA_S, 2, FALSE))/(VLOOKUP(Main_S[[#This Row],[Industry]], Mean_ROA_S, 3, FALSE))</f>
        <v>0.95988635087354468</v>
      </c>
      <c r="S31" s="1">
        <f>(Main_S[[#This Row],[A/E]]-VLOOKUP(Main_S[[#This Row],[Industry]], Mean_AE_S, 2, FALSE))/(VLOOKUP(Main_S[[#This Row],[Industry]], Mean_AE_S, 3, FALSE))</f>
        <v>-1.2129452637129867</v>
      </c>
      <c r="T31" s="1">
        <f>(Main_S[[#This Row],[P/E]]-VLOOKUP(Main_S[[#This Row],[Industry]], Mean_PE_S, 2, FALSE))/(VLOOKUP(Main_S[[#This Row],[Industry]], Mean_PE_S, 3, FALSE))</f>
        <v>0.12491993350555146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t="s">
        <v>112</v>
      </c>
      <c r="B32" t="s">
        <v>424</v>
      </c>
      <c r="C32" s="2">
        <v>335</v>
      </c>
      <c r="D32">
        <f>RTD("tos.rtd", , "LAST", Main_S[[#This Row],[Symbol]])</f>
        <v>7.08</v>
      </c>
      <c r="E32">
        <v>0.7</v>
      </c>
      <c r="F32">
        <v>1.68</v>
      </c>
      <c r="G32">
        <v>1.04</v>
      </c>
      <c r="H32" s="1">
        <f>IF(ISNUMBER(Main_S[[#This Row],[Free CF]]),IF(Main_S[[#This Row],[Free CF]]&lt;&gt;0,Main_S[[#This Row],[Current Price]]/Main_S[[#This Row],[Free CF]],""),"")</f>
        <v>10.114285714285716</v>
      </c>
      <c r="I32" s="1">
        <f>IF(ISNUMBER(Main_S[[#This Row],[BVPS]]),IF(Main_S[[#This Row],[BVPS]]&lt;&gt;0,Main_S[[#This Row],[Current Price]]/Main_S[[#This Row],[BVPS]],""),"")</f>
        <v>4.2142857142857144</v>
      </c>
      <c r="J32">
        <v>81.72</v>
      </c>
      <c r="K32">
        <v>21.21</v>
      </c>
      <c r="L32">
        <v>2.2400000000000002</v>
      </c>
      <c r="M32" s="1">
        <f>IF(ISNUMBER(Main_S[[#This Row],[EPS]]),IF(Main_S[[#This Row],[EPS]]&lt;&gt;0,Main_S[[#This Row],[Current Price]]/Main_S[[#This Row],[EPS]],""),"")</f>
        <v>6.8076923076923075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-0.59304358807847868</v>
      </c>
      <c r="P32" s="1">
        <f>(Main_S[[#This Row],[P/B]]-VLOOKUP(Main_S[[#This Row],[Industry]], Mean_PB_S, 2, FALSE))/(VLOOKUP(Main_S[[#This Row],[Industry]], Mean_PB_S, 3, FALSE))</f>
        <v>0.83027086243358095</v>
      </c>
      <c r="Q32" s="1">
        <f>(Main_S[[#This Row],[ROE]]-VLOOKUP(Main_S[[#This Row],[Industry]], Mean_ROE_S, 2, FALSE))/(VLOOKUP(Main_S[[#This Row],[Industry]], Mean_ROE_S, 3, FALSE))</f>
        <v>4.1415408553167605</v>
      </c>
      <c r="R32" s="1">
        <f>(Main_S[[#This Row],[ROA]]-VLOOKUP(Main_S[[#This Row],[Industry]], Mean_ROA_S, 2, FALSE))/(VLOOKUP(Main_S[[#This Row],[Industry]], Mean_ROA_S, 3, FALSE))</f>
        <v>2.2345953942562735</v>
      </c>
      <c r="S32" s="1">
        <f>(Main_S[[#This Row],[A/E]]-VLOOKUP(Main_S[[#This Row],[Industry]], Mean_AE_S, 2, FALSE))/(VLOOKUP(Main_S[[#This Row],[Industry]], Mean_AE_S, 3, FALSE))</f>
        <v>-0.23265058130807742</v>
      </c>
      <c r="T32" s="1">
        <f>(Main_S[[#This Row],[P/E]]-VLOOKUP(Main_S[[#This Row],[Industry]], Mean_PE_S, 2, FALSE))/(VLOOKUP(Main_S[[#This Row],[Industry]], Mean_PE_S, 3, FALSE))</f>
        <v>-0.17021871410967027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112</v>
      </c>
      <c r="B33" t="s">
        <v>425</v>
      </c>
      <c r="C33" s="2">
        <v>968</v>
      </c>
      <c r="D33">
        <f>RTD("tos.rtd", , "LAST", Main_S[[#This Row],[Symbol]])</f>
        <v>7.14</v>
      </c>
      <c r="E33">
        <v>0.19</v>
      </c>
      <c r="F33">
        <v>1.41</v>
      </c>
      <c r="G33">
        <v>-0.46</v>
      </c>
      <c r="H33" s="1">
        <f>IF(ISNUMBER(Main_S[[#This Row],[Free CF]]),IF(Main_S[[#This Row],[Free CF]]&lt;&gt;0,Main_S[[#This Row],[Current Price]]/Main_S[[#This Row],[Free CF]],""),"")</f>
        <v>37.578947368421048</v>
      </c>
      <c r="I33" s="1">
        <f>IF(ISNUMBER(Main_S[[#This Row],[BVPS]]),IF(Main_S[[#This Row],[BVPS]]&lt;&gt;0,Main_S[[#This Row],[Current Price]]/Main_S[[#This Row],[BVPS]],""),"")</f>
        <v>5.0638297872340425</v>
      </c>
      <c r="J33">
        <v>-27.17</v>
      </c>
      <c r="K33">
        <v>-4.91</v>
      </c>
      <c r="L33">
        <v>3.05</v>
      </c>
      <c r="M33" s="1">
        <f>IF(ISNUMBER(Main_S[[#This Row],[EPS]]),IF(Main_S[[#This Row],[EPS]]&lt;&gt;0,Main_S[[#This Row],[Current Price]]/Main_S[[#This Row],[EPS]],""),"")</f>
        <v>-15.521739130434781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1.1384587187987292</v>
      </c>
      <c r="P33" s="1">
        <f>(Main_S[[#This Row],[P/B]]-VLOOKUP(Main_S[[#This Row],[Industry]], Mean_PB_S, 2, FALSE))/(VLOOKUP(Main_S[[#This Row],[Industry]], Mean_PB_S, 3, FALSE))</f>
        <v>1.41405512906931</v>
      </c>
      <c r="Q33" s="1">
        <f>(Main_S[[#This Row],[ROE]]-VLOOKUP(Main_S[[#This Row],[Industry]], Mean_ROE_S, 2, FALSE))/(VLOOKUP(Main_S[[#This Row],[Industry]], Mean_ROE_S, 3, FALSE))</f>
        <v>-1.2059154936699121</v>
      </c>
      <c r="R33" s="1">
        <f>(Main_S[[#This Row],[ROA]]-VLOOKUP(Main_S[[#This Row],[Industry]], Mean_ROA_S, 2, FALSE))/(VLOOKUP(Main_S[[#This Row],[Industry]], Mean_ROA_S, 3, FALSE))</f>
        <v>-0.69118669828826762</v>
      </c>
      <c r="S33" s="1">
        <f>(Main_S[[#This Row],[A/E]]-VLOOKUP(Main_S[[#This Row],[Industry]], Mean_AE_S, 2, FALSE))/(VLOOKUP(Main_S[[#This Row],[Industry]], Mean_AE_S, 3, FALSE))</f>
        <v>0.62115446465748814</v>
      </c>
      <c r="T33" s="1">
        <f>(Main_S[[#This Row],[P/E]]-VLOOKUP(Main_S[[#This Row],[Industry]], Mean_PE_S, 2, FALSE))/(VLOOKUP(Main_S[[#This Row],[Industry]], Mean_PE_S, 3, FALSE))</f>
        <v>-1.0974000577640803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112</v>
      </c>
      <c r="B34" t="s">
        <v>426</v>
      </c>
      <c r="C34" s="2">
        <v>1610</v>
      </c>
      <c r="D34">
        <f>RTD("tos.rtd", , "LAST", Main_S[[#This Row],[Symbol]])</f>
        <v>31.67</v>
      </c>
      <c r="E34">
        <v>1.38</v>
      </c>
      <c r="F34">
        <v>5.15</v>
      </c>
      <c r="G34">
        <v>0.97</v>
      </c>
      <c r="H34" s="1">
        <f>IF(ISNUMBER(Main_S[[#This Row],[Free CF]]),IF(Main_S[[#This Row],[Free CF]]&lt;&gt;0,Main_S[[#This Row],[Current Price]]/Main_S[[#This Row],[Free CF]],""),"")</f>
        <v>22.949275362318843</v>
      </c>
      <c r="I34" s="1">
        <f>IF(ISNUMBER(Main_S[[#This Row],[BVPS]]),IF(Main_S[[#This Row],[BVPS]]&lt;&gt;0,Main_S[[#This Row],[Current Price]]/Main_S[[#This Row],[BVPS]],""),"")</f>
        <v>6.1495145631067958</v>
      </c>
      <c r="J34">
        <v>21.41</v>
      </c>
      <c r="K34">
        <v>6.09</v>
      </c>
      <c r="L34">
        <v>2.69</v>
      </c>
      <c r="M34" s="1">
        <f>IF(ISNUMBER(Main_S[[#This Row],[EPS]]),IF(Main_S[[#This Row],[EPS]]&lt;&gt;0,Main_S[[#This Row],[Current Price]]/Main_S[[#This Row],[EPS]],""),"")</f>
        <v>32.649484536082475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0.21613492881645716</v>
      </c>
      <c r="P34" s="1">
        <f>(Main_S[[#This Row],[P/B]]-VLOOKUP(Main_S[[#This Row],[Industry]], Mean_PB_S, 2, FALSE))/(VLOOKUP(Main_S[[#This Row],[Industry]], Mean_PB_S, 3, FALSE))</f>
        <v>2.1601090547718802</v>
      </c>
      <c r="Q34" s="1">
        <f>(Main_S[[#This Row],[ROE]]-VLOOKUP(Main_S[[#This Row],[Industry]], Mean_ROE_S, 2, FALSE))/(VLOOKUP(Main_S[[#This Row],[Industry]], Mean_ROE_S, 3, FALSE))</f>
        <v>1.1797896163840189</v>
      </c>
      <c r="R34" s="1">
        <f>(Main_S[[#This Row],[ROA]]-VLOOKUP(Main_S[[#This Row],[Industry]], Mean_ROA_S, 2, FALSE))/(VLOOKUP(Main_S[[#This Row],[Industry]], Mean_ROA_S, 3, FALSE))</f>
        <v>0.5409573682503982</v>
      </c>
      <c r="S34" s="1">
        <f>(Main_S[[#This Row],[A/E]]-VLOOKUP(Main_S[[#This Row],[Industry]], Mean_AE_S, 2, FALSE))/(VLOOKUP(Main_S[[#This Row],[Industry]], Mean_AE_S, 3, FALSE))</f>
        <v>0.24168555533945893</v>
      </c>
      <c r="T34" s="1">
        <f>(Main_S[[#This Row],[P/E]]-VLOOKUP(Main_S[[#This Row],[Industry]], Mean_PE_S, 2, FALSE))/(VLOOKUP(Main_S[[#This Row],[Industry]], Mean_PE_S, 3, FALSE))</f>
        <v>0.90280581439872631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112</v>
      </c>
      <c r="B35" t="s">
        <v>427</v>
      </c>
      <c r="C35" s="2">
        <v>346</v>
      </c>
      <c r="D35">
        <f>RTD("tos.rtd", , "LAST", Main_S[[#This Row],[Symbol]])</f>
        <v>4.08</v>
      </c>
      <c r="E35">
        <v>0.1</v>
      </c>
      <c r="F35">
        <v>10.06</v>
      </c>
      <c r="G35">
        <v>0.97</v>
      </c>
      <c r="H35" s="1">
        <f>IF(ISNUMBER(Main_S[[#This Row],[Free CF]]),IF(Main_S[[#This Row],[Free CF]]&lt;&gt;0,Main_S[[#This Row],[Current Price]]/Main_S[[#This Row],[Free CF]],""),"")</f>
        <v>40.799999999999997</v>
      </c>
      <c r="I35" s="1">
        <f>IF(ISNUMBER(Main_S[[#This Row],[BVPS]]),IF(Main_S[[#This Row],[BVPS]]&lt;&gt;0,Main_S[[#This Row],[Current Price]]/Main_S[[#This Row],[BVPS]],""),"")</f>
        <v>0.40556660039761427</v>
      </c>
      <c r="J35">
        <v>10.220000000000001</v>
      </c>
      <c r="K35">
        <v>1.68</v>
      </c>
      <c r="L35">
        <v>1.44</v>
      </c>
      <c r="M35" s="1">
        <f>IF(ISNUMBER(Main_S[[#This Row],[EPS]]),IF(Main_S[[#This Row],[EPS]]&lt;&gt;0,Main_S[[#This Row],[Current Price]]/Main_S[[#This Row],[EPS]],""),"")</f>
        <v>4.2061855670103094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1.3415291273253926</v>
      </c>
      <c r="P35" s="1">
        <f>(Main_S[[#This Row],[P/B]]-VLOOKUP(Main_S[[#This Row],[Industry]], Mean_PB_S, 2, FALSE))/(VLOOKUP(Main_S[[#This Row],[Industry]], Mean_PB_S, 3, FALSE))</f>
        <v>-1.786980396828499</v>
      </c>
      <c r="Q35" s="1">
        <f>(Main_S[[#This Row],[ROE]]-VLOOKUP(Main_S[[#This Row],[Industry]], Mean_ROE_S, 2, FALSE))/(VLOOKUP(Main_S[[#This Row],[Industry]], Mean_ROE_S, 3, FALSE))</f>
        <v>0.63026223512622803</v>
      </c>
      <c r="R35" s="1">
        <f>(Main_S[[#This Row],[ROA]]-VLOOKUP(Main_S[[#This Row],[Industry]], Mean_ROA_S, 2, FALSE))/(VLOOKUP(Main_S[[#This Row],[Industry]], Mean_ROA_S, 3, FALSE))</f>
        <v>4.6979610665351244E-2</v>
      </c>
      <c r="S35" s="1">
        <f>(Main_S[[#This Row],[A/E]]-VLOOKUP(Main_S[[#This Row],[Industry]], Mean_AE_S, 2, FALSE))/(VLOOKUP(Main_S[[#This Row],[Industry]], Mean_AE_S, 3, FALSE))</f>
        <v>-1.0759148242370318</v>
      </c>
      <c r="T35" s="1">
        <f>(Main_S[[#This Row],[P/E]]-VLOOKUP(Main_S[[#This Row],[Industry]], Mean_PE_S, 2, FALSE))/(VLOOKUP(Main_S[[#This Row],[Industry]], Mean_PE_S, 3, FALSE))</f>
        <v>-0.27824065466087383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112</v>
      </c>
      <c r="B36" t="s">
        <v>428</v>
      </c>
      <c r="C36" s="2">
        <v>642</v>
      </c>
      <c r="D36">
        <f>RTD("tos.rtd", , "LAST", Main_S[[#This Row],[Symbol]])</f>
        <v>42.33</v>
      </c>
      <c r="E36">
        <v>2.02</v>
      </c>
      <c r="F36">
        <v>14.21</v>
      </c>
      <c r="G36">
        <v>2.99</v>
      </c>
      <c r="H36" s="1">
        <f>IF(ISNUMBER(Main_S[[#This Row],[Free CF]]),IF(Main_S[[#This Row],[Free CF]]&lt;&gt;0,Main_S[[#This Row],[Current Price]]/Main_S[[#This Row],[Free CF]],""),"")</f>
        <v>20.955445544554454</v>
      </c>
      <c r="I36" s="1">
        <f>IF(ISNUMBER(Main_S[[#This Row],[BVPS]]),IF(Main_S[[#This Row],[BVPS]]&lt;&gt;0,Main_S[[#This Row],[Current Price]]/Main_S[[#This Row],[BVPS]],""),"")</f>
        <v>2.9788881069669242</v>
      </c>
      <c r="J36">
        <v>23.3</v>
      </c>
      <c r="K36">
        <v>4.3899999999999997</v>
      </c>
      <c r="L36">
        <v>5.72</v>
      </c>
      <c r="M36" s="1">
        <f>IF(ISNUMBER(Main_S[[#This Row],[EPS]]),IF(Main_S[[#This Row],[EPS]]&lt;&gt;0,Main_S[[#This Row],[Current Price]]/Main_S[[#This Row],[EPS]],""),"")</f>
        <v>14.157190635451503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9.0434456971766136E-2</v>
      </c>
      <c r="P36" s="1">
        <f>(Main_S[[#This Row],[P/B]]-VLOOKUP(Main_S[[#This Row],[Industry]], Mean_PB_S, 2, FALSE))/(VLOOKUP(Main_S[[#This Row],[Industry]], Mean_PB_S, 3, FALSE))</f>
        <v>-1.8661769971471624E-2</v>
      </c>
      <c r="Q36" s="1">
        <f>(Main_S[[#This Row],[ROE]]-VLOOKUP(Main_S[[#This Row],[Industry]], Mean_ROE_S, 2, FALSE))/(VLOOKUP(Main_S[[#This Row],[Industry]], Mean_ROE_S, 3, FALSE))</f>
        <v>1.2726052330575868</v>
      </c>
      <c r="R36" s="1">
        <f>(Main_S[[#This Row],[ROA]]-VLOOKUP(Main_S[[#This Row],[Industry]], Mean_ROA_S, 2, FALSE))/(VLOOKUP(Main_S[[#This Row],[Industry]], Mean_ROA_S, 3, FALSE))</f>
        <v>0.35053510342169525</v>
      </c>
      <c r="S36" s="1">
        <f>(Main_S[[#This Row],[A/E]]-VLOOKUP(Main_S[[#This Row],[Industry]], Mean_AE_S, 2, FALSE))/(VLOOKUP(Main_S[[#This Row],[Industry]], Mean_AE_S, 3, FALSE))</f>
        <v>3.4355488754328722</v>
      </c>
      <c r="T36" s="1">
        <f>(Main_S[[#This Row],[P/E]]-VLOOKUP(Main_S[[#This Row],[Industry]], Mean_PE_S, 2, FALSE))/(VLOOKUP(Main_S[[#This Row],[Industry]], Mean_PE_S, 3, FALSE))</f>
        <v>0.13495330756045115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112</v>
      </c>
      <c r="B37" t="s">
        <v>105</v>
      </c>
      <c r="C37" s="2">
        <v>592</v>
      </c>
      <c r="D37">
        <f>RTD("tos.rtd", , "LAST", Main_S[[#This Row],[Symbol]])</f>
        <v>21.22</v>
      </c>
      <c r="E37">
        <v>-0.28000000000000003</v>
      </c>
      <c r="F37">
        <v>13.16</v>
      </c>
      <c r="G37">
        <v>-2.5499999999999998</v>
      </c>
      <c r="H37" s="1">
        <f>IF(ISNUMBER(Main_S[[#This Row],[Free CF]]),IF(Main_S[[#This Row],[Free CF]]&lt;&gt;0,Main_S[[#This Row],[Current Price]]/Main_S[[#This Row],[Free CF]],""),"")</f>
        <v>-75.785714285714278</v>
      </c>
      <c r="I37" s="1">
        <f>IF(ISNUMBER(Main_S[[#This Row],[BVPS]]),IF(Main_S[[#This Row],[BVPS]]&lt;&gt;0,Main_S[[#This Row],[Current Price]]/Main_S[[#This Row],[BVPS]],""),"")</f>
        <v>1.6124620060790273</v>
      </c>
      <c r="J37">
        <v>-17.170000000000002</v>
      </c>
      <c r="K37">
        <v>2.4900000000000002</v>
      </c>
      <c r="L37">
        <v>4.4800000000000004</v>
      </c>
      <c r="M37" s="1">
        <f>IF(ISNUMBER(Main_S[[#This Row],[EPS]]),IF(Main_S[[#This Row],[EPS]]&lt;&gt;0,Main_S[[#This Row],[Current Price]]/Main_S[[#This Row],[EPS]],""),"")</f>
        <v>-8.321568627450981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-6.0085862965158521</v>
      </c>
      <c r="P37" s="1">
        <f>(Main_S[[#This Row],[P/B]]-VLOOKUP(Main_S[[#This Row],[Industry]], Mean_PB_S, 2, FALSE))/(VLOOKUP(Main_S[[#This Row],[Industry]], Mean_PB_S, 3, FALSE))</f>
        <v>-0.95763372518782908</v>
      </c>
      <c r="Q37" s="1">
        <f>(Main_S[[#This Row],[ROE]]-VLOOKUP(Main_S[[#This Row],[Industry]], Mean_ROE_S, 2, FALSE))/(VLOOKUP(Main_S[[#This Row],[Industry]], Mean_ROE_S, 3, FALSE))</f>
        <v>-0.71482757476214531</v>
      </c>
      <c r="R37" s="1">
        <f>(Main_S[[#This Row],[ROA]]-VLOOKUP(Main_S[[#This Row],[Industry]], Mean_ROA_S, 2, FALSE))/(VLOOKUP(Main_S[[#This Row],[Industry]], Mean_ROA_S, 3, FALSE))</f>
        <v>0.1377102192013803</v>
      </c>
      <c r="S37" s="1">
        <f>(Main_S[[#This Row],[A/E]]-VLOOKUP(Main_S[[#This Row],[Industry]], Mean_AE_S, 2, FALSE))/(VLOOKUP(Main_S[[#This Row],[Industry]], Mean_AE_S, 3, FALSE))</f>
        <v>2.128489298892994</v>
      </c>
      <c r="T37" s="1">
        <f>(Main_S[[#This Row],[P/E]]-VLOOKUP(Main_S[[#This Row],[Industry]], Mean_PE_S, 2, FALSE))/(VLOOKUP(Main_S[[#This Row],[Industry]], Mean_PE_S, 3, FALSE))</f>
        <v>-0.79842855103335109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t="s">
        <v>112</v>
      </c>
      <c r="B38" t="s">
        <v>429</v>
      </c>
      <c r="C38" s="2">
        <v>1916</v>
      </c>
      <c r="D38">
        <f>RTD("tos.rtd", , "LAST", Main_S[[#This Row],[Symbol]])</f>
        <v>19.440000000000001</v>
      </c>
      <c r="E38">
        <v>0.64</v>
      </c>
      <c r="F38">
        <v>5.17</v>
      </c>
      <c r="G38">
        <v>0.63</v>
      </c>
      <c r="H38" s="1">
        <f>IF(ISNUMBER(Main_S[[#This Row],[Free CF]]),IF(Main_S[[#This Row],[Free CF]]&lt;&gt;0,Main_S[[#This Row],[Current Price]]/Main_S[[#This Row],[Free CF]],""),"")</f>
        <v>30.375</v>
      </c>
      <c r="I38" s="1">
        <f>IF(ISNUMBER(Main_S[[#This Row],[BVPS]]),IF(Main_S[[#This Row],[BVPS]]&lt;&gt;0,Main_S[[#This Row],[Current Price]]/Main_S[[#This Row],[BVPS]],""),"")</f>
        <v>3.7601547388781436</v>
      </c>
      <c r="J38">
        <v>12.8</v>
      </c>
      <c r="K38">
        <v>6.88</v>
      </c>
      <c r="L38">
        <v>1.34</v>
      </c>
      <c r="M38" s="1">
        <f>IF(ISNUMBER(Main_S[[#This Row],[EPS]]),IF(Main_S[[#This Row],[EPS]]&lt;&gt;0,Main_S[[#This Row],[Current Price]]/Main_S[[#This Row],[EPS]],""),"")</f>
        <v>30.857142857142858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0.68428776835613059</v>
      </c>
      <c r="P38" s="1">
        <f>(Main_S[[#This Row],[P/B]]-VLOOKUP(Main_S[[#This Row],[Industry]], Mean_PB_S, 2, FALSE))/(VLOOKUP(Main_S[[#This Row],[Industry]], Mean_PB_S, 3, FALSE))</f>
        <v>0.51820404109163265</v>
      </c>
      <c r="Q38" s="1">
        <f>(Main_S[[#This Row],[ROE]]-VLOOKUP(Main_S[[#This Row],[Industry]], Mean_ROE_S, 2, FALSE))/(VLOOKUP(Main_S[[#This Row],[Industry]], Mean_ROE_S, 3, FALSE))</f>
        <v>0.75696291820443173</v>
      </c>
      <c r="R38" s="1">
        <f>(Main_S[[#This Row],[ROA]]-VLOOKUP(Main_S[[#This Row],[Industry]], Mean_ROA_S, 2, FALSE))/(VLOOKUP(Main_S[[#This Row],[Industry]], Mean_ROA_S, 3, FALSE))</f>
        <v>0.62944771484726603</v>
      </c>
      <c r="S38" s="1">
        <f>(Main_S[[#This Row],[A/E]]-VLOOKUP(Main_S[[#This Row],[Industry]], Mean_AE_S, 2, FALSE))/(VLOOKUP(Main_S[[#This Row],[Industry]], Mean_AE_S, 3, FALSE))</f>
        <v>-1.1813228546031509</v>
      </c>
      <c r="T38" s="1">
        <f>(Main_S[[#This Row],[P/E]]-VLOOKUP(Main_S[[#This Row],[Industry]], Mean_PE_S, 2, FALSE))/(VLOOKUP(Main_S[[#This Row],[Industry]], Mean_PE_S, 3, FALSE))</f>
        <v>0.82838270287563132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112</v>
      </c>
      <c r="B39" t="s">
        <v>430</v>
      </c>
      <c r="C39" s="2">
        <v>294</v>
      </c>
      <c r="D39">
        <f>RTD("tos.rtd", , "LAST", Main_S[[#This Row],[Symbol]])</f>
        <v>3.33</v>
      </c>
      <c r="E39">
        <v>0.12</v>
      </c>
      <c r="F39">
        <v>0.12</v>
      </c>
      <c r="G39">
        <v>-0.72</v>
      </c>
      <c r="H39" s="1">
        <f>IF(ISNUMBER(Main_S[[#This Row],[Free CF]]),IF(Main_S[[#This Row],[Free CF]]&lt;&gt;0,Main_S[[#This Row],[Current Price]]/Main_S[[#This Row],[Free CF]],""),"")</f>
        <v>27.75</v>
      </c>
      <c r="I39" s="1">
        <f>IF(ISNUMBER(Main_S[[#This Row],[BVPS]]),IF(Main_S[[#This Row],[BVPS]]&lt;&gt;0,Main_S[[#This Row],[Current Price]]/Main_S[[#This Row],[BVPS]],""),"")</f>
        <v>27.75</v>
      </c>
      <c r="J39">
        <v>-96.04</v>
      </c>
      <c r="K39">
        <v>-15.52</v>
      </c>
      <c r="L39">
        <v>20.75</v>
      </c>
      <c r="M39" s="1">
        <f>IF(ISNUMBER(Main_S[[#This Row],[EPS]]),IF(Main_S[[#This Row],[EPS]]&lt;&gt;0,Main_S[[#This Row],[Current Price]]/Main_S[[#This Row],[EPS]],""),"")</f>
        <v>-4.625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0.51879533983869042</v>
      </c>
      <c r="P39" s="1">
        <f>(Main_S[[#This Row],[P/B]]-VLOOKUP(Main_S[[#This Row],[Industry]], Mean_PB_S, 2, FALSE))/(VLOOKUP(Main_S[[#This Row],[Industry]], Mean_PB_S, 3, FALSE))</f>
        <v>17.003392589185314</v>
      </c>
      <c r="Q39" s="1">
        <f>(Main_S[[#This Row],[ROE]]-VLOOKUP(Main_S[[#This Row],[Industry]], Mean_ROE_S, 2, FALSE))/(VLOOKUP(Main_S[[#This Row],[Industry]], Mean_ROE_S, 3, FALSE))</f>
        <v>-4.5880379911877016</v>
      </c>
      <c r="R39" s="1">
        <f>(Main_S[[#This Row],[ROA]]-VLOOKUP(Main_S[[#This Row],[Industry]], Mean_ROA_S, 2, FALSE))/(VLOOKUP(Main_S[[#This Row],[Industry]], Mean_ROA_S, 3, FALSE))</f>
        <v>-1.87964565701329</v>
      </c>
      <c r="S39" s="1">
        <f>(Main_S[[#This Row],[A/E]]-VLOOKUP(Main_S[[#This Row],[Industry]], Mean_AE_S, 2, FALSE))/(VLOOKUP(Main_S[[#This Row],[Industry]], Mean_AE_S, 3, FALSE))</f>
        <v>19.278375839460598</v>
      </c>
      <c r="T39" s="1">
        <f>(Main_S[[#This Row],[P/E]]-VLOOKUP(Main_S[[#This Row],[Industry]], Mean_PE_S, 2, FALSE))/(VLOOKUP(Main_S[[#This Row],[Industry]], Mean_PE_S, 3, FALSE))</f>
        <v>-0.64493653416728192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111</v>
      </c>
      <c r="B40" t="s">
        <v>376</v>
      </c>
      <c r="C40" s="2">
        <v>979</v>
      </c>
      <c r="D40">
        <f>RTD("tos.rtd", , "LAST", Main_S[[#This Row],[Symbol]])</f>
        <v>11.83</v>
      </c>
      <c r="E40">
        <v>0.77</v>
      </c>
      <c r="F40">
        <v>3.05</v>
      </c>
      <c r="G40">
        <v>0.49</v>
      </c>
      <c r="H40" s="1">
        <f>IF(ISNUMBER(Main_S[[#This Row],[Free CF]]),IF(Main_S[[#This Row],[Free CF]]&lt;&gt;0,Main_S[[#This Row],[Current Price]]/Main_S[[#This Row],[Free CF]],""),"")</f>
        <v>15.363636363636363</v>
      </c>
      <c r="I40" s="1">
        <f>IF(ISNUMBER(Main_S[[#This Row],[BVPS]]),IF(Main_S[[#This Row],[BVPS]]&lt;&gt;0,Main_S[[#This Row],[Current Price]]/Main_S[[#This Row],[BVPS]],""),"")</f>
        <v>3.8786885245901641</v>
      </c>
      <c r="J40">
        <v>18.260000000000002</v>
      </c>
      <c r="K40">
        <v>6.48</v>
      </c>
      <c r="L40">
        <v>4.04</v>
      </c>
      <c r="M40" s="1">
        <f>IF(ISNUMBER(Main_S[[#This Row],[EPS]]),IF(Main_S[[#This Row],[EPS]]&lt;&gt;0,Main_S[[#This Row],[Current Price]]/Main_S[[#This Row],[EPS]],""),"")</f>
        <v>24.142857142857142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0.55803477977245941</v>
      </c>
      <c r="P40" s="1">
        <f>(Main_S[[#This Row],[P/B]]-VLOOKUP(Main_S[[#This Row],[Industry]], Mean_PB_S, 2, FALSE))/(VLOOKUP(Main_S[[#This Row],[Industry]], Mean_PB_S, 3, FALSE))</f>
        <v>0.67819758155507803</v>
      </c>
      <c r="Q40" s="1">
        <f>(Main_S[[#This Row],[ROE]]-VLOOKUP(Main_S[[#This Row],[Industry]], Mean_ROE_S, 2, FALSE))/(VLOOKUP(Main_S[[#This Row],[Industry]], Mean_ROE_S, 3, FALSE))</f>
        <v>0.54917660543499003</v>
      </c>
      <c r="R40" s="1">
        <f>(Main_S[[#This Row],[ROA]]-VLOOKUP(Main_S[[#This Row],[Industry]], Mean_ROA_S, 2, FALSE))/(VLOOKUP(Main_S[[#This Row],[Industry]], Mean_ROA_S, 3, FALSE))</f>
        <v>0.78525342393330677</v>
      </c>
      <c r="S40" s="1">
        <f>(Main_S[[#This Row],[A/E]]-VLOOKUP(Main_S[[#This Row],[Industry]], Mean_AE_S, 2, FALSE))/(VLOOKUP(Main_S[[#This Row],[Industry]], Mean_AE_S, 3, FALSE))</f>
        <v>0.73734606704816519</v>
      </c>
      <c r="T40" s="1">
        <f>(Main_S[[#This Row],[P/E]]-VLOOKUP(Main_S[[#This Row],[Industry]], Mean_PE_S, 2, FALSE))/(VLOOKUP(Main_S[[#This Row],[Industry]], Mean_PE_S, 3, FALSE))</f>
        <v>0.84356016837591796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111</v>
      </c>
      <c r="B41" t="s">
        <v>377</v>
      </c>
      <c r="C41" s="2">
        <v>500</v>
      </c>
      <c r="D41">
        <f>RTD("tos.rtd", , "LAST", Main_S[[#This Row],[Symbol]])</f>
        <v>12.17</v>
      </c>
      <c r="E41">
        <v>0.73</v>
      </c>
      <c r="F41">
        <v>2.74</v>
      </c>
      <c r="G41">
        <v>1.2</v>
      </c>
      <c r="H41" s="1">
        <f>IF(ISNUMBER(Main_S[[#This Row],[Free CF]]),IF(Main_S[[#This Row],[Free CF]]&lt;&gt;0,Main_S[[#This Row],[Current Price]]/Main_S[[#This Row],[Free CF]],""),"")</f>
        <v>16.671232876712327</v>
      </c>
      <c r="I41" s="1">
        <f>IF(ISNUMBER(Main_S[[#This Row],[BVPS]]),IF(Main_S[[#This Row],[BVPS]]&lt;&gt;0,Main_S[[#This Row],[Current Price]]/Main_S[[#This Row],[BVPS]],""),"")</f>
        <v>4.4416058394160585</v>
      </c>
      <c r="J41">
        <v>57.26</v>
      </c>
      <c r="K41">
        <v>6.55</v>
      </c>
      <c r="L41">
        <v>6.29</v>
      </c>
      <c r="M41" s="1">
        <f>IF(ISNUMBER(Main_S[[#This Row],[EPS]]),IF(Main_S[[#This Row],[EPS]]&lt;&gt;0,Main_S[[#This Row],[Current Price]]/Main_S[[#This Row],[EPS]],""),"")</f>
        <v>10.141666666666667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0.62442728128683245</v>
      </c>
      <c r="P41" s="1">
        <f>(Main_S[[#This Row],[P/B]]-VLOOKUP(Main_S[[#This Row],[Industry]], Mean_PB_S, 2, FALSE))/(VLOOKUP(Main_S[[#This Row],[Industry]], Mean_PB_S, 3, FALSE))</f>
        <v>0.85275488957878243</v>
      </c>
      <c r="Q41" s="1">
        <f>(Main_S[[#This Row],[ROE]]-VLOOKUP(Main_S[[#This Row],[Industry]], Mean_ROE_S, 2, FALSE))/(VLOOKUP(Main_S[[#This Row],[Industry]], Mean_ROE_S, 3, FALSE))</f>
        <v>2.5407613314860513</v>
      </c>
      <c r="R41" s="1">
        <f>(Main_S[[#This Row],[ROA]]-VLOOKUP(Main_S[[#This Row],[Industry]], Mean_ROA_S, 2, FALSE))/(VLOOKUP(Main_S[[#This Row],[Industry]], Mean_ROA_S, 3, FALSE))</f>
        <v>0.80715292181192466</v>
      </c>
      <c r="S41" s="1">
        <f>(Main_S[[#This Row],[A/E]]-VLOOKUP(Main_S[[#This Row],[Industry]], Mean_AE_S, 2, FALSE))/(VLOOKUP(Main_S[[#This Row],[Industry]], Mean_AE_S, 3, FALSE))</f>
        <v>1.2790570734857341</v>
      </c>
      <c r="T41" s="1">
        <f>(Main_S[[#This Row],[P/E]]-VLOOKUP(Main_S[[#This Row],[Industry]], Mean_PE_S, 2, FALSE))/(VLOOKUP(Main_S[[#This Row],[Industry]], Mean_PE_S, 3, FALSE))</f>
        <v>0.12198846004745302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111</v>
      </c>
      <c r="B42" t="s">
        <v>378</v>
      </c>
      <c r="C42" s="2">
        <v>576</v>
      </c>
      <c r="D42">
        <f>RTD("tos.rtd", , "LAST", Main_S[[#This Row],[Symbol]])</f>
        <v>10.85</v>
      </c>
      <c r="E42">
        <v>-2.77</v>
      </c>
      <c r="F42">
        <v>0.76</v>
      </c>
      <c r="G42">
        <v>-11.71</v>
      </c>
      <c r="H42" s="1">
        <f>IF(ISNUMBER(Main_S[[#This Row],[Free CF]]),IF(Main_S[[#This Row],[Free CF]]&lt;&gt;0,Main_S[[#This Row],[Current Price]]/Main_S[[#This Row],[Free CF]],""),"")</f>
        <v>-3.9169675090252705</v>
      </c>
      <c r="I42" s="1">
        <f>IF(ISNUMBER(Main_S[[#This Row],[BVPS]]),IF(Main_S[[#This Row],[BVPS]]&lt;&gt;0,Main_S[[#This Row],[Current Price]]/Main_S[[#This Row],[BVPS]],""),"")</f>
        <v>14.276315789473683</v>
      </c>
      <c r="J42">
        <v>-170.3</v>
      </c>
      <c r="K42">
        <v>0.41</v>
      </c>
      <c r="L42">
        <v>189.64</v>
      </c>
      <c r="M42" s="1">
        <f>IF(ISNUMBER(Main_S[[#This Row],[EPS]]),IF(Main_S[[#This Row],[EPS]]&lt;&gt;0,Main_S[[#This Row],[Current Price]]/Main_S[[#This Row],[EPS]],""),"")</f>
        <v>-0.92655849701110149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-0.42092739167174303</v>
      </c>
      <c r="P42" s="1">
        <f>(Main_S[[#This Row],[P/B]]-VLOOKUP(Main_S[[#This Row],[Industry]], Mean_PB_S, 2, FALSE))/(VLOOKUP(Main_S[[#This Row],[Industry]], Mean_PB_S, 3, FALSE))</f>
        <v>3.9024398945727499</v>
      </c>
      <c r="Q42" s="1">
        <f>(Main_S[[#This Row],[ROE]]-VLOOKUP(Main_S[[#This Row],[Industry]], Mean_ROE_S, 2, FALSE))/(VLOOKUP(Main_S[[#This Row],[Industry]], Mean_ROE_S, 3, FALSE))</f>
        <v>-9.0798802136467582</v>
      </c>
      <c r="R42" s="1">
        <f>(Main_S[[#This Row],[ROA]]-VLOOKUP(Main_S[[#This Row],[Industry]], Mean_ROA_S, 2, FALSE))/(VLOOKUP(Main_S[[#This Row],[Industry]], Mean_ROA_S, 3, FALSE))</f>
        <v>-1.1137458921125787</v>
      </c>
      <c r="S42" s="1">
        <f>(Main_S[[#This Row],[A/E]]-VLOOKUP(Main_S[[#This Row],[Industry]], Mean_AE_S, 2, FALSE))/(VLOOKUP(Main_S[[#This Row],[Industry]], Mean_AE_S, 3, FALSE))</f>
        <v>45.422485086964961</v>
      </c>
      <c r="T42" s="1">
        <f>(Main_S[[#This Row],[P/E]]-VLOOKUP(Main_S[[#This Row],[Industry]], Mean_PE_S, 2, FALSE))/(VLOOKUP(Main_S[[#This Row],[Industry]], Mean_PE_S, 3, FALSE))</f>
        <v>-0.44842861649331905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111</v>
      </c>
      <c r="B43" t="s">
        <v>379</v>
      </c>
      <c r="C43" s="2">
        <v>371</v>
      </c>
      <c r="D43">
        <f>RTD("tos.rtd", , "LAST", Main_S[[#This Row],[Symbol]])</f>
        <v>8.25</v>
      </c>
      <c r="E43">
        <v>-0.16</v>
      </c>
      <c r="F43">
        <v>0.44</v>
      </c>
      <c r="G43">
        <v>-0.06</v>
      </c>
      <c r="H43" s="1">
        <f>IF(ISNUMBER(Main_S[[#This Row],[Free CF]]),IF(Main_S[[#This Row],[Free CF]]&lt;&gt;0,Main_S[[#This Row],[Current Price]]/Main_S[[#This Row],[Free CF]],""),"")</f>
        <v>-51.5625</v>
      </c>
      <c r="I43" s="1">
        <f>IF(ISNUMBER(Main_S[[#This Row],[BVPS]]),IF(Main_S[[#This Row],[BVPS]]&lt;&gt;0,Main_S[[#This Row],[Current Price]]/Main_S[[#This Row],[BVPS]],""),"")</f>
        <v>18.75</v>
      </c>
      <c r="J43">
        <v>-11.54</v>
      </c>
      <c r="K43">
        <v>-1.66</v>
      </c>
      <c r="L43">
        <v>3.82</v>
      </c>
      <c r="M43" s="1">
        <f>IF(ISNUMBER(Main_S[[#This Row],[EPS]]),IF(Main_S[[#This Row],[EPS]]&lt;&gt;0,Main_S[[#This Row],[Current Price]]/Main_S[[#This Row],[EPS]],""),"")</f>
        <v>-137.5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-2.8401033809215526</v>
      </c>
      <c r="P43" s="1">
        <f>(Main_S[[#This Row],[P/B]]-VLOOKUP(Main_S[[#This Row],[Industry]], Mean_PB_S, 2, FALSE))/(VLOOKUP(Main_S[[#This Row],[Industry]], Mean_PB_S, 3, FALSE))</f>
        <v>5.2897027343721525</v>
      </c>
      <c r="Q43" s="1">
        <f>(Main_S[[#This Row],[ROE]]-VLOOKUP(Main_S[[#This Row],[Industry]], Mean_ROE_S, 2, FALSE))/(VLOOKUP(Main_S[[#This Row],[Industry]], Mean_ROE_S, 3, FALSE))</f>
        <v>-0.9725983903681289</v>
      </c>
      <c r="R43" s="1">
        <f>(Main_S[[#This Row],[ROA]]-VLOOKUP(Main_S[[#This Row],[Industry]], Mean_ROA_S, 2, FALSE))/(VLOOKUP(Main_S[[#This Row],[Industry]], Mean_ROA_S, 3, FALSE))</f>
        <v>-1.7613453293802861</v>
      </c>
      <c r="S43" s="1">
        <f>(Main_S[[#This Row],[A/E]]-VLOOKUP(Main_S[[#This Row],[Industry]], Mean_AE_S, 2, FALSE))/(VLOOKUP(Main_S[[#This Row],[Industry]], Mean_AE_S, 3, FALSE))</f>
        <v>0.68437876864093616</v>
      </c>
      <c r="T43" s="1">
        <f>(Main_S[[#This Row],[P/E]]-VLOOKUP(Main_S[[#This Row],[Industry]], Mean_PE_S, 2, FALSE))/(VLOOKUP(Main_S[[#This Row],[Industry]], Mean_PE_S, 3, FALSE))</f>
        <v>-7.486939496349784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4" spans="1:26" x14ac:dyDescent="0.25">
      <c r="A44" t="s">
        <v>111</v>
      </c>
      <c r="B44" t="s">
        <v>380</v>
      </c>
      <c r="C44" s="2">
        <v>1214</v>
      </c>
      <c r="D44">
        <f>RTD("tos.rtd", , "LAST", Main_S[[#This Row],[Symbol]])</f>
        <v>14.06</v>
      </c>
      <c r="E44">
        <v>1.91</v>
      </c>
      <c r="F44">
        <v>2.96</v>
      </c>
      <c r="G44">
        <v>0.17</v>
      </c>
      <c r="H44" s="1">
        <f>IF(ISNUMBER(Main_S[[#This Row],[Free CF]]),IF(Main_S[[#This Row],[Free CF]]&lt;&gt;0,Main_S[[#This Row],[Current Price]]/Main_S[[#This Row],[Free CF]],""),"")</f>
        <v>7.3612565445026181</v>
      </c>
      <c r="I44" s="1">
        <f>IF(ISNUMBER(Main_S[[#This Row],[BVPS]]),IF(Main_S[[#This Row],[BVPS]]&lt;&gt;0,Main_S[[#This Row],[Current Price]]/Main_S[[#This Row],[BVPS]],""),"")</f>
        <v>4.75</v>
      </c>
      <c r="J44">
        <v>6.23</v>
      </c>
      <c r="K44">
        <v>4.0199999999999996</v>
      </c>
      <c r="L44">
        <v>7.51</v>
      </c>
      <c r="M44" s="1">
        <f>IF(ISNUMBER(Main_S[[#This Row],[EPS]]),IF(Main_S[[#This Row],[EPS]]&lt;&gt;0,Main_S[[#This Row],[Current Price]]/Main_S[[#This Row],[EPS]],""),"")</f>
        <v>82.705882352941174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0.15171829839043879</v>
      </c>
      <c r="P44" s="1">
        <f>(Main_S[[#This Row],[P/B]]-VLOOKUP(Main_S[[#This Row],[Industry]], Mean_PB_S, 2, FALSE))/(VLOOKUP(Main_S[[#This Row],[Industry]], Mean_PB_S, 3, FALSE))</f>
        <v>0.94838608276461067</v>
      </c>
      <c r="Q44" s="1">
        <f>(Main_S[[#This Row],[ROE]]-VLOOKUP(Main_S[[#This Row],[Industry]], Mean_ROE_S, 2, FALSE))/(VLOOKUP(Main_S[[#This Row],[Industry]], Mean_ROE_S, 3, FALSE))</f>
        <v>-6.5150683139222051E-2</v>
      </c>
      <c r="R44" s="1">
        <f>(Main_S[[#This Row],[ROA]]-VLOOKUP(Main_S[[#This Row],[Industry]], Mean_ROA_S, 2, FALSE))/(VLOOKUP(Main_S[[#This Row],[Industry]], Mean_ROA_S, 3, FALSE))</f>
        <v>1.5642498484726895E-2</v>
      </c>
      <c r="S44" s="1">
        <f>(Main_S[[#This Row],[A/E]]-VLOOKUP(Main_S[[#This Row],[Industry]], Mean_AE_S, 2, FALSE))/(VLOOKUP(Main_S[[#This Row],[Industry]], Mean_AE_S, 3, FALSE))</f>
        <v>1.5727848191985492</v>
      </c>
      <c r="T44" s="1">
        <f>(Main_S[[#This Row],[P/E]]-VLOOKUP(Main_S[[#This Row],[Industry]], Mean_PE_S, 2, FALSE))/(VLOOKUP(Main_S[[#This Row],[Industry]], Mean_PE_S, 3, FALSE))</f>
        <v>3.8616908207360545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5" spans="1:26" x14ac:dyDescent="0.25">
      <c r="A45" t="s">
        <v>111</v>
      </c>
      <c r="B45" t="s">
        <v>381</v>
      </c>
      <c r="C45" s="2">
        <v>684</v>
      </c>
      <c r="D45">
        <f>RTD("tos.rtd", , "LAST", Main_S[[#This Row],[Symbol]])</f>
        <v>29.42</v>
      </c>
      <c r="E45">
        <v>1.51</v>
      </c>
      <c r="F45">
        <v>17.89</v>
      </c>
      <c r="G45">
        <v>1.71</v>
      </c>
      <c r="H45" s="1">
        <f>IF(ISNUMBER(Main_S[[#This Row],[Free CF]]),IF(Main_S[[#This Row],[Free CF]]&lt;&gt;0,Main_S[[#This Row],[Current Price]]/Main_S[[#This Row],[Free CF]],""),"")</f>
        <v>19.483443708609272</v>
      </c>
      <c r="I45" s="1">
        <f>IF(ISNUMBER(Main_S[[#This Row],[BVPS]]),IF(Main_S[[#This Row],[BVPS]]&lt;&gt;0,Main_S[[#This Row],[Current Price]]/Main_S[[#This Row],[BVPS]],""),"")</f>
        <v>1.6444941307993293</v>
      </c>
      <c r="J45">
        <v>10.029999999999999</v>
      </c>
      <c r="K45">
        <v>2.2200000000000002</v>
      </c>
      <c r="L45">
        <v>2.2799999999999998</v>
      </c>
      <c r="M45" s="1">
        <f>IF(ISNUMBER(Main_S[[#This Row],[EPS]]),IF(Main_S[[#This Row],[EPS]]&lt;&gt;0,Main_S[[#This Row],[Current Price]]/Main_S[[#This Row],[EPS]],""),"")</f>
        <v>17.204678362573102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0.76721575620884164</v>
      </c>
      <c r="P45" s="1">
        <f>(Main_S[[#This Row],[P/B]]-VLOOKUP(Main_S[[#This Row],[Industry]], Mean_PB_S, 2, FALSE))/(VLOOKUP(Main_S[[#This Row],[Industry]], Mean_PB_S, 3, FALSE))</f>
        <v>-1.4612798780091144E-2</v>
      </c>
      <c r="Q45" s="1">
        <f>(Main_S[[#This Row],[ROE]]-VLOOKUP(Main_S[[#This Row],[Industry]], Mean_ROE_S, 2, FALSE))/(VLOOKUP(Main_S[[#This Row],[Industry]], Mean_ROE_S, 3, FALSE))</f>
        <v>0.12890116196318901</v>
      </c>
      <c r="R45" s="1">
        <f>(Main_S[[#This Row],[ROA]]-VLOOKUP(Main_S[[#This Row],[Industry]], Mean_ROA_S, 2, FALSE))/(VLOOKUP(Main_S[[#This Row],[Industry]], Mean_ROA_S, 3, FALSE))</f>
        <v>-0.54748744696545315</v>
      </c>
      <c r="S45" s="1">
        <f>(Main_S[[#This Row],[A/E]]-VLOOKUP(Main_S[[#This Row],[Industry]], Mean_AE_S, 2, FALSE))/(VLOOKUP(Main_S[[#This Row],[Industry]], Mean_AE_S, 3, FALSE))</f>
        <v>0.31360767979033344</v>
      </c>
      <c r="T45" s="1">
        <f>(Main_S[[#This Row],[P/E]]-VLOOKUP(Main_S[[#This Row],[Industry]], Mean_PE_S, 2, FALSE))/(VLOOKUP(Main_S[[#This Row],[Industry]], Mean_PE_S, 3, FALSE))</f>
        <v>0.48599103711587177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111</v>
      </c>
      <c r="B46" t="s">
        <v>382</v>
      </c>
      <c r="C46" s="2">
        <v>1466</v>
      </c>
      <c r="D46">
        <f>RTD("tos.rtd", , "LAST", Main_S[[#This Row],[Symbol]])</f>
        <v>82.3</v>
      </c>
      <c r="E46">
        <v>4.8499999999999996</v>
      </c>
      <c r="F46">
        <v>29.01</v>
      </c>
      <c r="G46">
        <v>3.96</v>
      </c>
      <c r="H46" s="1">
        <f>IF(ISNUMBER(Main_S[[#This Row],[Free CF]]),IF(Main_S[[#This Row],[Free CF]]&lt;&gt;0,Main_S[[#This Row],[Current Price]]/Main_S[[#This Row],[Free CF]],""),"")</f>
        <v>16.969072164948454</v>
      </c>
      <c r="I46" s="1">
        <f>IF(ISNUMBER(Main_S[[#This Row],[BVPS]]),IF(Main_S[[#This Row],[BVPS]]&lt;&gt;0,Main_S[[#This Row],[Current Price]]/Main_S[[#This Row],[BVPS]],""),"")</f>
        <v>2.836952774905205</v>
      </c>
      <c r="J46">
        <v>14.24</v>
      </c>
      <c r="K46">
        <v>11.02</v>
      </c>
      <c r="L46">
        <v>1.33</v>
      </c>
      <c r="M46" s="1">
        <f>IF(ISNUMBER(Main_S[[#This Row],[EPS]]),IF(Main_S[[#This Row],[EPS]]&lt;&gt;0,Main_S[[#This Row],[Current Price]]/Main_S[[#This Row],[EPS]],""),"")</f>
        <v>20.782828282828284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0.63954990909863352</v>
      </c>
      <c r="P46" s="1">
        <f>(Main_S[[#This Row],[P/B]]-VLOOKUP(Main_S[[#This Row],[Industry]], Mean_PB_S, 2, FALSE))/(VLOOKUP(Main_S[[#This Row],[Industry]], Mean_PB_S, 3, FALSE))</f>
        <v>0.35516152750635099</v>
      </c>
      <c r="Q46" s="1">
        <f>(Main_S[[#This Row],[ROE]]-VLOOKUP(Main_S[[#This Row],[Industry]], Mean_ROE_S, 2, FALSE))/(VLOOKUP(Main_S[[#This Row],[Industry]], Mean_ROE_S, 3, FALSE))</f>
        <v>0.34389017982664982</v>
      </c>
      <c r="R46" s="1">
        <f>(Main_S[[#This Row],[ROA]]-VLOOKUP(Main_S[[#This Row],[Industry]], Mean_ROA_S, 2, FALSE))/(VLOOKUP(Main_S[[#This Row],[Industry]], Mean_ROA_S, 3, FALSE))</f>
        <v>2.2055922863465387</v>
      </c>
      <c r="S46" s="1">
        <f>(Main_S[[#This Row],[A/E]]-VLOOKUP(Main_S[[#This Row],[Industry]], Mean_AE_S, 2, FALSE))/(VLOOKUP(Main_S[[#This Row],[Industry]], Mean_AE_S, 3, FALSE))</f>
        <v>8.488525485002664E-2</v>
      </c>
      <c r="T46" s="1">
        <f>(Main_S[[#This Row],[P/E]]-VLOOKUP(Main_S[[#This Row],[Industry]], Mean_PE_S, 2, FALSE))/(VLOOKUP(Main_S[[#This Row],[Industry]], Mean_PE_S, 3, FALSE))</f>
        <v>0.67039619573466869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111</v>
      </c>
      <c r="B47" t="s">
        <v>383</v>
      </c>
      <c r="C47" s="2">
        <v>578</v>
      </c>
      <c r="D47">
        <f>RTD("tos.rtd", , "LAST", Main_S[[#This Row],[Symbol]])</f>
        <v>3.35</v>
      </c>
      <c r="E47">
        <v>0.54</v>
      </c>
      <c r="F47">
        <v>3.07</v>
      </c>
      <c r="G47">
        <v>-0.5</v>
      </c>
      <c r="H47" s="1">
        <f>IF(ISNUMBER(Main_S[[#This Row],[Free CF]]),IF(Main_S[[#This Row],[Free CF]]&lt;&gt;0,Main_S[[#This Row],[Current Price]]/Main_S[[#This Row],[Free CF]],""),"")</f>
        <v>6.2037037037037033</v>
      </c>
      <c r="I47" s="1">
        <f>IF(ISNUMBER(Main_S[[#This Row],[BVPS]]),IF(Main_S[[#This Row],[BVPS]]&lt;&gt;0,Main_S[[#This Row],[Current Price]]/Main_S[[#This Row],[BVPS]],""),"")</f>
        <v>1.0912052117263844</v>
      </c>
      <c r="J47">
        <v>-15.39</v>
      </c>
      <c r="K47">
        <v>0.78</v>
      </c>
      <c r="L47">
        <v>5.05</v>
      </c>
      <c r="M47" s="1">
        <f>IF(ISNUMBER(Main_S[[#This Row],[EPS]]),IF(Main_S[[#This Row],[EPS]]&lt;&gt;0,Main_S[[#This Row],[Current Price]]/Main_S[[#This Row],[EPS]],""),"")</f>
        <v>-6.7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9.2944182700177708E-2</v>
      </c>
      <c r="P47" s="1">
        <f>(Main_S[[#This Row],[P/B]]-VLOOKUP(Main_S[[#This Row],[Industry]], Mean_PB_S, 2, FALSE))/(VLOOKUP(Main_S[[#This Row],[Industry]], Mean_PB_S, 3, FALSE))</f>
        <v>-0.18618439860304209</v>
      </c>
      <c r="Q47" s="1">
        <f>(Main_S[[#This Row],[ROE]]-VLOOKUP(Main_S[[#This Row],[Industry]], Mean_ROE_S, 2, FALSE))/(VLOOKUP(Main_S[[#This Row],[Industry]], Mean_ROE_S, 3, FALSE))</f>
        <v>-1.1692035492218875</v>
      </c>
      <c r="R47" s="1">
        <f>(Main_S[[#This Row],[ROA]]-VLOOKUP(Main_S[[#This Row],[Industry]], Mean_ROA_S, 2, FALSE))/(VLOOKUP(Main_S[[#This Row],[Industry]], Mean_ROA_S, 3, FALSE))</f>
        <v>-0.99799140332559722</v>
      </c>
      <c r="S47" s="1">
        <f>(Main_S[[#This Row],[A/E]]-VLOOKUP(Main_S[[#This Row],[Industry]], Mean_AE_S, 2, FALSE))/(VLOOKUP(Main_S[[#This Row],[Industry]], Mean_AE_S, 3, FALSE))</f>
        <v>0.98051411882680717</v>
      </c>
      <c r="T47" s="1">
        <f>(Main_S[[#This Row],[P/E]]-VLOOKUP(Main_S[[#This Row],[Industry]], Mean_PE_S, 2, FALSE))/(VLOOKUP(Main_S[[#This Row],[Industry]], Mean_PE_S, 3, FALSE))</f>
        <v>-0.74597131868928657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111</v>
      </c>
      <c r="B48" t="s">
        <v>384</v>
      </c>
      <c r="C48" s="2">
        <v>1120</v>
      </c>
      <c r="D48">
        <f>RTD("tos.rtd", , "LAST", Main_S[[#This Row],[Symbol]])</f>
        <v>12.15</v>
      </c>
      <c r="E48">
        <v>0.84</v>
      </c>
      <c r="F48">
        <v>0.86</v>
      </c>
      <c r="G48">
        <v>0.1</v>
      </c>
      <c r="H48" s="1">
        <f>IF(ISNUMBER(Main_S[[#This Row],[Free CF]]),IF(Main_S[[#This Row],[Free CF]]&lt;&gt;0,Main_S[[#This Row],[Current Price]]/Main_S[[#This Row],[Free CF]],""),"")</f>
        <v>14.464285714285715</v>
      </c>
      <c r="I48" s="1">
        <f>IF(ISNUMBER(Main_S[[#This Row],[BVPS]]),IF(Main_S[[#This Row],[BVPS]]&lt;&gt;0,Main_S[[#This Row],[Current Price]]/Main_S[[#This Row],[BVPS]],""),"")</f>
        <v>14.127906976744187</v>
      </c>
      <c r="J48">
        <v>11.23</v>
      </c>
      <c r="K48">
        <v>6.41</v>
      </c>
      <c r="L48">
        <v>4.76</v>
      </c>
      <c r="M48" s="1">
        <f>IF(ISNUMBER(Main_S[[#This Row],[EPS]]),IF(Main_S[[#This Row],[EPS]]&lt;&gt;0,Main_S[[#This Row],[Current Price]]/Main_S[[#This Row],[EPS]],""),"")</f>
        <v>121.5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0.51237073987034598</v>
      </c>
      <c r="P48" s="1">
        <f>(Main_S[[#This Row],[P/B]]-VLOOKUP(Main_S[[#This Row],[Industry]], Mean_PB_S, 2, FALSE))/(VLOOKUP(Main_S[[#This Row],[Industry]], Mean_PB_S, 3, FALSE))</f>
        <v>3.8564192052907593</v>
      </c>
      <c r="Q48" s="1">
        <f>(Main_S[[#This Row],[ROE]]-VLOOKUP(Main_S[[#This Row],[Industry]], Mean_ROE_S, 2, FALSE))/(VLOOKUP(Main_S[[#This Row],[Industry]], Mean_ROE_S, 3, FALSE))</f>
        <v>0.19018069199552942</v>
      </c>
      <c r="R48" s="1">
        <f>(Main_S[[#This Row],[ROA]]-VLOOKUP(Main_S[[#This Row],[Industry]], Mean_ROA_S, 2, FALSE))/(VLOOKUP(Main_S[[#This Row],[Industry]], Mean_ROA_S, 3, FALSE))</f>
        <v>0.76335392605468855</v>
      </c>
      <c r="S48" s="1">
        <f>(Main_S[[#This Row],[A/E]]-VLOOKUP(Main_S[[#This Row],[Industry]], Mean_AE_S, 2, FALSE))/(VLOOKUP(Main_S[[#This Row],[Industry]], Mean_AE_S, 3, FALSE))</f>
        <v>0.91069358910818721</v>
      </c>
      <c r="T48" s="1">
        <f>(Main_S[[#This Row],[P/E]]-VLOOKUP(Main_S[[#This Row],[Industry]], Mean_PE_S, 2, FALSE))/(VLOOKUP(Main_S[[#This Row],[Industry]], Mean_PE_S, 3, FALSE))</f>
        <v>5.8610020786813228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9" spans="1:26" x14ac:dyDescent="0.25">
      <c r="A49" t="s">
        <v>111</v>
      </c>
      <c r="B49" t="s">
        <v>385</v>
      </c>
      <c r="C49" s="2">
        <v>1627</v>
      </c>
      <c r="D49">
        <f>RTD("tos.rtd", , "LAST", Main_S[[#This Row],[Symbol]])</f>
        <v>19.47</v>
      </c>
      <c r="E49">
        <v>7.0000000000000007E-2</v>
      </c>
      <c r="F49">
        <v>-1.1299999999999999</v>
      </c>
      <c r="G49">
        <v>-0.03</v>
      </c>
      <c r="H49" s="1">
        <f>IF(ISNUMBER(Main_S[[#This Row],[Free CF]]),IF(Main_S[[#This Row],[Free CF]]&lt;&gt;0,Main_S[[#This Row],[Current Price]]/Main_S[[#This Row],[Free CF]],""),"")</f>
        <v>278.14285714285711</v>
      </c>
      <c r="I49" s="1">
        <f>IF(ISNUMBER(Main_S[[#This Row],[BVPS]]),IF(Main_S[[#This Row],[BVPS]]&lt;&gt;0,Main_S[[#This Row],[Current Price]]/Main_S[[#This Row],[BVPS]],""),"")</f>
        <v>-17.23008849557522</v>
      </c>
      <c r="J49">
        <v>54.03</v>
      </c>
      <c r="K49">
        <v>8.6199999999999992</v>
      </c>
      <c r="L49">
        <v>-9.58</v>
      </c>
      <c r="M49" s="1">
        <f>IF(ISNUMBER(Main_S[[#This Row],[EPS]]),IF(Main_S[[#This Row],[EPS]]&lt;&gt;0,Main_S[[#This Row],[Current Price]]/Main_S[[#This Row],[EPS]],""),"")</f>
        <v>-649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13.90050674192935</v>
      </c>
      <c r="P49" s="1">
        <f>(Main_S[[#This Row],[P/B]]-VLOOKUP(Main_S[[#This Row],[Industry]], Mean_PB_S, 2, FALSE))/(VLOOKUP(Main_S[[#This Row],[Industry]], Mean_PB_S, 3, FALSE))</f>
        <v>-5.867508502210252</v>
      </c>
      <c r="Q49" s="1">
        <f>(Main_S[[#This Row],[ROE]]-VLOOKUP(Main_S[[#This Row],[Industry]], Mean_ROE_S, 2, FALSE))/(VLOOKUP(Main_S[[#This Row],[Industry]], Mean_ROE_S, 3, FALSE))</f>
        <v>2.3758172631490018</v>
      </c>
      <c r="R49" s="1">
        <f>(Main_S[[#This Row],[ROA]]-VLOOKUP(Main_S[[#This Row],[Industry]], Mean_ROA_S, 2, FALSE))/(VLOOKUP(Main_S[[#This Row],[Industry]], Mean_ROA_S, 3, FALSE))</f>
        <v>1.4547523590796316</v>
      </c>
      <c r="S49" s="1">
        <f>(Main_S[[#This Row],[A/E]]-VLOOKUP(Main_S[[#This Row],[Industry]], Mean_AE_S, 2, FALSE))/(VLOOKUP(Main_S[[#This Row],[Industry]], Mean_AE_S, 3, FALSE))</f>
        <v>-2.5418112252539187</v>
      </c>
      <c r="T49" s="1">
        <f>(Main_S[[#This Row],[P/E]]-VLOOKUP(Main_S[[#This Row],[Industry]], Mean_PE_S, 2, FALSE))/(VLOOKUP(Main_S[[#This Row],[Industry]], Mean_PE_S, 3, FALSE))</f>
        <v>-33.847835695687273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0" spans="1:26" x14ac:dyDescent="0.25">
      <c r="A50" t="s">
        <v>111</v>
      </c>
      <c r="B50" t="s">
        <v>386</v>
      </c>
      <c r="C50" s="2">
        <v>526</v>
      </c>
      <c r="D50">
        <f>RTD("tos.rtd", , "LAST", Main_S[[#This Row],[Symbol]])</f>
        <v>10.55</v>
      </c>
      <c r="E50">
        <v>1.0900000000000001</v>
      </c>
      <c r="F50">
        <v>-4.6500000000000004</v>
      </c>
      <c r="G50">
        <v>-0.67</v>
      </c>
      <c r="H50" s="1">
        <f>IF(ISNUMBER(Main_S[[#This Row],[Free CF]]),IF(Main_S[[#This Row],[Free CF]]&lt;&gt;0,Main_S[[#This Row],[Current Price]]/Main_S[[#This Row],[Free CF]],""),"")</f>
        <v>9.6788990825688082</v>
      </c>
      <c r="I50" s="1">
        <f>IF(ISNUMBER(Main_S[[#This Row],[BVPS]]),IF(Main_S[[#This Row],[BVPS]]&lt;&gt;0,Main_S[[#This Row],[Current Price]]/Main_S[[#This Row],[BVPS]],""),"")</f>
        <v>-2.268817204301075</v>
      </c>
      <c r="J50">
        <v>21.75</v>
      </c>
      <c r="K50">
        <v>1.99</v>
      </c>
      <c r="L50">
        <v>-3.46</v>
      </c>
      <c r="M50" s="1">
        <f>IF(ISNUMBER(Main_S[[#This Row],[EPS]]),IF(Main_S[[#This Row],[EPS]]&lt;&gt;0,Main_S[[#This Row],[Current Price]]/Main_S[[#This Row],[EPS]],""),"")</f>
        <v>-15.746268656716419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0.26939533727788917</v>
      </c>
      <c r="P50" s="1">
        <f>(Main_S[[#This Row],[P/B]]-VLOOKUP(Main_S[[#This Row],[Industry]], Mean_PB_S, 2, FALSE))/(VLOOKUP(Main_S[[#This Row],[Industry]], Mean_PB_S, 3, FALSE))</f>
        <v>-1.2281073460655145</v>
      </c>
      <c r="Q50" s="1">
        <f>(Main_S[[#This Row],[ROE]]-VLOOKUP(Main_S[[#This Row],[Industry]], Mean_ROE_S, 2, FALSE))/(VLOOKUP(Main_S[[#This Row],[Industry]], Mean_ROE_S, 3, FALSE))</f>
        <v>0.72739790527904646</v>
      </c>
      <c r="R50" s="1">
        <f>(Main_S[[#This Row],[ROA]]-VLOOKUP(Main_S[[#This Row],[Industry]], Mean_ROA_S, 2, FALSE))/(VLOOKUP(Main_S[[#This Row],[Industry]], Mean_ROA_S, 3, FALSE))</f>
        <v>-0.61944293999519839</v>
      </c>
      <c r="S50" s="1">
        <f>(Main_S[[#This Row],[A/E]]-VLOOKUP(Main_S[[#This Row],[Industry]], Mean_AE_S, 2, FALSE))/(VLOOKUP(Main_S[[#This Row],[Industry]], Mean_AE_S, 3, FALSE))</f>
        <v>-1.0683572877437313</v>
      </c>
      <c r="T50" s="1">
        <f>(Main_S[[#This Row],[P/E]]-VLOOKUP(Main_S[[#This Row],[Industry]], Mean_PE_S, 2, FALSE))/(VLOOKUP(Main_S[[#This Row],[Industry]], Mean_PE_S, 3, FALSE))</f>
        <v>-1.2121839268046763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111</v>
      </c>
      <c r="B51" t="s">
        <v>387</v>
      </c>
      <c r="C51" s="2">
        <v>1652</v>
      </c>
      <c r="D51">
        <f>RTD("tos.rtd", , "LAST", Main_S[[#This Row],[Symbol]])</f>
        <v>13.43</v>
      </c>
      <c r="E51">
        <v>0.19</v>
      </c>
      <c r="F51">
        <v>4.3099999999999996</v>
      </c>
      <c r="G51">
        <v>0.49</v>
      </c>
      <c r="H51" s="1">
        <f>IF(ISNUMBER(Main_S[[#This Row],[Free CF]]),IF(Main_S[[#This Row],[Free CF]]&lt;&gt;0,Main_S[[#This Row],[Current Price]]/Main_S[[#This Row],[Free CF]],""),"")</f>
        <v>70.68421052631578</v>
      </c>
      <c r="I51" s="1">
        <f>IF(ISNUMBER(Main_S[[#This Row],[BVPS]]),IF(Main_S[[#This Row],[BVPS]]&lt;&gt;0,Main_S[[#This Row],[Current Price]]/Main_S[[#This Row],[BVPS]],""),"")</f>
        <v>3.1160092807424595</v>
      </c>
      <c r="J51">
        <v>11.21</v>
      </c>
      <c r="K51">
        <v>4.2699999999999996</v>
      </c>
      <c r="L51">
        <v>3.52</v>
      </c>
      <c r="M51" s="1">
        <f>IF(ISNUMBER(Main_S[[#This Row],[EPS]]),IF(Main_S[[#This Row],[EPS]]&lt;&gt;0,Main_S[[#This Row],[Current Price]]/Main_S[[#This Row],[EPS]],""),"")</f>
        <v>27.408163265306122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3.3669068340667057</v>
      </c>
      <c r="P51" s="1">
        <f>(Main_S[[#This Row],[P/B]]-VLOOKUP(Main_S[[#This Row],[Industry]], Mean_PB_S, 2, FALSE))/(VLOOKUP(Main_S[[#This Row],[Industry]], Mean_PB_S, 3, FALSE))</f>
        <v>0.44169528861568602</v>
      </c>
      <c r="Q51" s="1">
        <f>(Main_S[[#This Row],[ROE]]-VLOOKUP(Main_S[[#This Row],[Industry]], Mean_ROE_S, 2, FALSE))/(VLOOKUP(Main_S[[#This Row],[Industry]], Mean_ROE_S, 3, FALSE))</f>
        <v>0.18915936649499043</v>
      </c>
      <c r="R51" s="1">
        <f>(Main_S[[#This Row],[ROA]]-VLOOKUP(Main_S[[#This Row],[Industry]], Mean_ROA_S, 2, FALSE))/(VLOOKUP(Main_S[[#This Row],[Industry]], Mean_ROA_S, 3, FALSE))</f>
        <v>9.3854990908363037E-2</v>
      </c>
      <c r="S51" s="1">
        <f>(Main_S[[#This Row],[A/E]]-VLOOKUP(Main_S[[#This Row],[Industry]], Mean_AE_S, 2, FALSE))/(VLOOKUP(Main_S[[#This Row],[Industry]], Mean_AE_S, 3, FALSE))</f>
        <v>0.61215063444926043</v>
      </c>
      <c r="T51" s="1">
        <f>(Main_S[[#This Row],[P/E]]-VLOOKUP(Main_S[[#This Row],[Industry]], Mean_PE_S, 2, FALSE))/(VLOOKUP(Main_S[[#This Row],[Industry]], Mean_PE_S, 3, FALSE))</f>
        <v>1.0118424670131394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111</v>
      </c>
      <c r="B52" t="s">
        <v>388</v>
      </c>
      <c r="C52" s="2">
        <v>946</v>
      </c>
      <c r="D52">
        <f>RTD("tos.rtd", , "LAST", Main_S[[#This Row],[Symbol]])</f>
        <v>2.94</v>
      </c>
      <c r="E52">
        <v>-0.04</v>
      </c>
      <c r="F52">
        <v>-4.2</v>
      </c>
      <c r="G52">
        <v>-0.73</v>
      </c>
      <c r="H52" s="1">
        <f>IF(ISNUMBER(Main_S[[#This Row],[Free CF]]),IF(Main_S[[#This Row],[Free CF]]&lt;&gt;0,Main_S[[#This Row],[Current Price]]/Main_S[[#This Row],[Free CF]],""),"")</f>
        <v>-73.5</v>
      </c>
      <c r="I52" s="1">
        <f>IF(ISNUMBER(Main_S[[#This Row],[BVPS]]),IF(Main_S[[#This Row],[BVPS]]&lt;&gt;0,Main_S[[#This Row],[Current Price]]/Main_S[[#This Row],[BVPS]],""),"")</f>
        <v>-0.7</v>
      </c>
      <c r="J52">
        <v>18.87</v>
      </c>
      <c r="K52">
        <v>4.3499999999999996</v>
      </c>
      <c r="L52">
        <v>-2.86</v>
      </c>
      <c r="M52" s="1">
        <f>IF(ISNUMBER(Main_S[[#This Row],[EPS]]),IF(Main_S[[#This Row],[EPS]]&lt;&gt;0,Main_S[[#This Row],[Current Price]]/Main_S[[#This Row],[EPS]],""),"")</f>
        <v>-4.0273972602739727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-3.9539680076674206</v>
      </c>
      <c r="P52" s="1">
        <f>(Main_S[[#This Row],[P/B]]-VLOOKUP(Main_S[[#This Row],[Industry]], Mean_PB_S, 2, FALSE))/(VLOOKUP(Main_S[[#This Row],[Industry]], Mean_PB_S, 3, FALSE))</f>
        <v>-0.74162647089689671</v>
      </c>
      <c r="Q52" s="1">
        <f>(Main_S[[#This Row],[ROE]]-VLOOKUP(Main_S[[#This Row],[Industry]], Mean_ROE_S, 2, FALSE))/(VLOOKUP(Main_S[[#This Row],[Industry]], Mean_ROE_S, 3, FALSE))</f>
        <v>0.58032703320142964</v>
      </c>
      <c r="R52" s="1">
        <f>(Main_S[[#This Row],[ROA]]-VLOOKUP(Main_S[[#This Row],[Industry]], Mean_ROA_S, 2, FALSE))/(VLOOKUP(Main_S[[#This Row],[Industry]], Mean_ROA_S, 3, FALSE))</f>
        <v>0.11888298848392662</v>
      </c>
      <c r="S52" s="1">
        <f>(Main_S[[#This Row],[A/E]]-VLOOKUP(Main_S[[#This Row],[Industry]], Mean_AE_S, 2, FALSE))/(VLOOKUP(Main_S[[#This Row],[Industry]], Mean_AE_S, 3, FALSE))</f>
        <v>-0.92390101936037949</v>
      </c>
      <c r="T52" s="1">
        <f>(Main_S[[#This Row],[P/E]]-VLOOKUP(Main_S[[#This Row],[Industry]], Mean_PE_S, 2, FALSE))/(VLOOKUP(Main_S[[#This Row],[Industry]], Mean_PE_S, 3, FALSE))</f>
        <v>-0.60823485064630944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111</v>
      </c>
      <c r="B53" t="s">
        <v>389</v>
      </c>
      <c r="C53" s="2">
        <v>1231</v>
      </c>
      <c r="D53">
        <f>RTD("tos.rtd", , "LAST", Main_S[[#This Row],[Symbol]])</f>
        <v>6.26</v>
      </c>
      <c r="E53">
        <v>0.04</v>
      </c>
      <c r="F53">
        <v>-1.73</v>
      </c>
      <c r="G53">
        <v>-0.84</v>
      </c>
      <c r="H53" s="1">
        <f>IF(ISNUMBER(Main_S[[#This Row],[Free CF]]),IF(Main_S[[#This Row],[Free CF]]&lt;&gt;0,Main_S[[#This Row],[Current Price]]/Main_S[[#This Row],[Free CF]],""),"")</f>
        <v>156.5</v>
      </c>
      <c r="I53" s="1">
        <f>IF(ISNUMBER(Main_S[[#This Row],[BVPS]]),IF(Main_S[[#This Row],[BVPS]]&lt;&gt;0,Main_S[[#This Row],[Current Price]]/Main_S[[#This Row],[BVPS]],""),"")</f>
        <v>-3.6184971098265897</v>
      </c>
      <c r="J53">
        <v>65.87</v>
      </c>
      <c r="K53">
        <v>0.06</v>
      </c>
      <c r="L53">
        <v>-7.29</v>
      </c>
      <c r="M53" s="1">
        <f>IF(ISNUMBER(Main_S[[#This Row],[EPS]]),IF(Main_S[[#This Row],[EPS]]&lt;&gt;0,Main_S[[#This Row],[Current Price]]/Main_S[[#This Row],[EPS]],""),"")</f>
        <v>-7.4523809523809526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7.7241568539416798</v>
      </c>
      <c r="P53" s="1">
        <f>(Main_S[[#This Row],[P/B]]-VLOOKUP(Main_S[[#This Row],[Industry]], Mean_PB_S, 2, FALSE))/(VLOOKUP(Main_S[[#This Row],[Industry]], Mean_PB_S, 3, FALSE))</f>
        <v>-1.6466350495082296</v>
      </c>
      <c r="Q53" s="1">
        <f>(Main_S[[#This Row],[ROE]]-VLOOKUP(Main_S[[#This Row],[Industry]], Mean_ROE_S, 2, FALSE))/(VLOOKUP(Main_S[[#This Row],[Industry]], Mean_ROE_S, 3, FALSE))</f>
        <v>2.9804419594680938</v>
      </c>
      <c r="R53" s="1">
        <f>(Main_S[[#This Row],[ROA]]-VLOOKUP(Main_S[[#This Row],[Industry]], Mean_ROA_S, 2, FALSE))/(VLOOKUP(Main_S[[#This Row],[Industry]], Mean_ROA_S, 3, FALSE))</f>
        <v>-1.2232433815056694</v>
      </c>
      <c r="S53" s="1">
        <f>(Main_S[[#This Row],[A/E]]-VLOOKUP(Main_S[[#This Row],[Industry]], Mean_AE_S, 2, FALSE))/(VLOOKUP(Main_S[[#This Row],[Industry]], Mean_AE_S, 3, FALSE))</f>
        <v>-1.9904698009241262</v>
      </c>
      <c r="T53" s="1">
        <f>(Main_S[[#This Row],[P/E]]-VLOOKUP(Main_S[[#This Row],[Industry]], Mean_PE_S, 2, FALSE))/(VLOOKUP(Main_S[[#This Row],[Industry]], Mean_PE_S, 3, FALSE))</f>
        <v>-0.78474636500027972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t="s">
        <v>111</v>
      </c>
      <c r="B54" t="s">
        <v>390</v>
      </c>
      <c r="C54" s="2">
        <v>675</v>
      </c>
      <c r="D54">
        <f>RTD("tos.rtd", , "LAST", Main_S[[#This Row],[Symbol]])</f>
        <v>6.99</v>
      </c>
      <c r="E54">
        <v>1.21</v>
      </c>
      <c r="F54">
        <v>4.26</v>
      </c>
      <c r="G54">
        <v>0.7</v>
      </c>
      <c r="H54" s="1">
        <f>IF(ISNUMBER(Main_S[[#This Row],[Free CF]]),IF(Main_S[[#This Row],[Free CF]]&lt;&gt;0,Main_S[[#This Row],[Current Price]]/Main_S[[#This Row],[Free CF]],""),"")</f>
        <v>5.7768595041322319</v>
      </c>
      <c r="I54" s="1">
        <f>IF(ISNUMBER(Main_S[[#This Row],[BVPS]]),IF(Main_S[[#This Row],[BVPS]]&lt;&gt;0,Main_S[[#This Row],[Current Price]]/Main_S[[#This Row],[BVPS]],""),"")</f>
        <v>1.6408450704225352</v>
      </c>
      <c r="J54">
        <v>17.89</v>
      </c>
      <c r="K54">
        <v>9.98</v>
      </c>
      <c r="L54">
        <v>1.72</v>
      </c>
      <c r="M54" s="1">
        <f>IF(ISNUMBER(Main_S[[#This Row],[EPS]]),IF(Main_S[[#This Row],[EPS]]&lt;&gt;0,Main_S[[#This Row],[Current Price]]/Main_S[[#This Row],[EPS]],""),"")</f>
        <v>9.9857142857142858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7.1271400704311455E-2</v>
      </c>
      <c r="P54" s="1">
        <f>(Main_S[[#This Row],[P/B]]-VLOOKUP(Main_S[[#This Row],[Industry]], Mean_PB_S, 2, FALSE))/(VLOOKUP(Main_S[[#This Row],[Industry]], Mean_PB_S, 3, FALSE))</f>
        <v>-1.5744350678412372E-2</v>
      </c>
      <c r="Q54" s="1">
        <f>(Main_S[[#This Row],[ROE]]-VLOOKUP(Main_S[[#This Row],[Industry]], Mean_ROE_S, 2, FALSE))/(VLOOKUP(Main_S[[#This Row],[Industry]], Mean_ROE_S, 3, FALSE))</f>
        <v>0.53028208367501839</v>
      </c>
      <c r="R54" s="1">
        <f>(Main_S[[#This Row],[ROA]]-VLOOKUP(Main_S[[#This Row],[Industry]], Mean_ROA_S, 2, FALSE))/(VLOOKUP(Main_S[[#This Row],[Industry]], Mean_ROA_S, 3, FALSE))</f>
        <v>1.8802283178642127</v>
      </c>
      <c r="S54" s="1">
        <f>(Main_S[[#This Row],[A/E]]-VLOOKUP(Main_S[[#This Row],[Industry]], Mean_AE_S, 2, FALSE))/(VLOOKUP(Main_S[[#This Row],[Industry]], Mean_AE_S, 3, FALSE))</f>
        <v>0.17878182929920525</v>
      </c>
      <c r="T54" s="1">
        <f>(Main_S[[#This Row],[P/E]]-VLOOKUP(Main_S[[#This Row],[Industry]], Mean_PE_S, 2, FALSE))/(VLOOKUP(Main_S[[#This Row],[Industry]], Mean_PE_S, 3, FALSE))</f>
        <v>0.11395122734691485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t="s">
        <v>111</v>
      </c>
      <c r="B55" t="s">
        <v>391</v>
      </c>
      <c r="C55" s="2">
        <v>1771</v>
      </c>
      <c r="D55">
        <f>RTD("tos.rtd", , "LAST", Main_S[[#This Row],[Symbol]])</f>
        <v>8.4700000000000006</v>
      </c>
      <c r="E55">
        <v>-0.44</v>
      </c>
      <c r="F55">
        <v>0.84</v>
      </c>
      <c r="G55">
        <v>-0.27</v>
      </c>
      <c r="H55" s="1">
        <f>IF(ISNUMBER(Main_S[[#This Row],[Free CF]]),IF(Main_S[[#This Row],[Free CF]]&lt;&gt;0,Main_S[[#This Row],[Current Price]]/Main_S[[#This Row],[Free CF]],""),"")</f>
        <v>-19.25</v>
      </c>
      <c r="I55" s="1">
        <f>IF(ISNUMBER(Main_S[[#This Row],[BVPS]]),IF(Main_S[[#This Row],[BVPS]]&lt;&gt;0,Main_S[[#This Row],[Current Price]]/Main_S[[#This Row],[BVPS]],""),"")</f>
        <v>10.083333333333334</v>
      </c>
      <c r="J55">
        <v>17.82</v>
      </c>
      <c r="K55">
        <v>7.98</v>
      </c>
      <c r="L55">
        <v>2.42</v>
      </c>
      <c r="M55" s="1">
        <f>IF(ISNUMBER(Main_S[[#This Row],[EPS]]),IF(Main_S[[#This Row],[EPS]]&lt;&gt;0,Main_S[[#This Row],[Current Price]]/Main_S[[#This Row],[EPS]],""),"")</f>
        <v>-31.37037037037037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-1.199453774005274</v>
      </c>
      <c r="P55" s="1">
        <f>(Main_S[[#This Row],[P/B]]-VLOOKUP(Main_S[[#This Row],[Industry]], Mean_PB_S, 2, FALSE))/(VLOOKUP(Main_S[[#This Row],[Industry]], Mean_PB_S, 3, FALSE))</f>
        <v>2.6022209976627222</v>
      </c>
      <c r="Q55" s="1">
        <f>(Main_S[[#This Row],[ROE]]-VLOOKUP(Main_S[[#This Row],[Industry]], Mean_ROE_S, 2, FALSE))/(VLOOKUP(Main_S[[#This Row],[Industry]], Mean_ROE_S, 3, FALSE))</f>
        <v>0.52670744442313189</v>
      </c>
      <c r="R55" s="1">
        <f>(Main_S[[#This Row],[ROA]]-VLOOKUP(Main_S[[#This Row],[Industry]], Mean_ROA_S, 2, FALSE))/(VLOOKUP(Main_S[[#This Row],[Industry]], Mean_ROA_S, 3, FALSE))</f>
        <v>1.2545283784751236</v>
      </c>
      <c r="S55" s="1">
        <f>(Main_S[[#This Row],[A/E]]-VLOOKUP(Main_S[[#This Row],[Industry]], Mean_AE_S, 2, FALSE))/(VLOOKUP(Main_S[[#This Row],[Industry]], Mean_AE_S, 3, FALSE))</f>
        <v>0.34731414241311553</v>
      </c>
      <c r="T55" s="1">
        <f>(Main_S[[#This Row],[P/E]]-VLOOKUP(Main_S[[#This Row],[Industry]], Mean_PE_S, 2, FALSE))/(VLOOKUP(Main_S[[#This Row],[Industry]], Mean_PE_S, 3, FALSE))</f>
        <v>-2.0173947254000288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t="s">
        <v>111</v>
      </c>
      <c r="B56" t="s">
        <v>392</v>
      </c>
      <c r="C56" s="2">
        <v>1368</v>
      </c>
      <c r="D56">
        <f>RTD("tos.rtd", , "LAST", Main_S[[#This Row],[Symbol]])</f>
        <v>9.16</v>
      </c>
      <c r="E56">
        <v>-0.17</v>
      </c>
      <c r="F56">
        <v>-1.25</v>
      </c>
      <c r="G56">
        <v>0.01</v>
      </c>
      <c r="H56" s="1">
        <f>IF(ISNUMBER(Main_S[[#This Row],[Free CF]]),IF(Main_S[[#This Row],[Free CF]]&lt;&gt;0,Main_S[[#This Row],[Current Price]]/Main_S[[#This Row],[Free CF]],""),"")</f>
        <v>-53.882352941176471</v>
      </c>
      <c r="I56" s="1">
        <f>IF(ISNUMBER(Main_S[[#This Row],[BVPS]]),IF(Main_S[[#This Row],[BVPS]]&lt;&gt;0,Main_S[[#This Row],[Current Price]]/Main_S[[#This Row],[BVPS]],""),"")</f>
        <v>-7.3280000000000003</v>
      </c>
      <c r="J56">
        <v>-159.56</v>
      </c>
      <c r="K56">
        <v>3.15</v>
      </c>
      <c r="L56">
        <v>-18.03</v>
      </c>
      <c r="M56" s="1">
        <f>IF(ISNUMBER(Main_S[[#This Row],[EPS]]),IF(Main_S[[#This Row],[EPS]]&lt;&gt;0,Main_S[[#This Row],[Current Price]]/Main_S[[#This Row],[EPS]],""),"")</f>
        <v>916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-2.9578926518242916</v>
      </c>
      <c r="P56" s="1">
        <f>(Main_S[[#This Row],[P/B]]-VLOOKUP(Main_S[[#This Row],[Industry]], Mean_PB_S, 2, FALSE))/(VLOOKUP(Main_S[[#This Row],[Industry]], Mean_PB_S, 3, FALSE))</f>
        <v>-2.7969298113865246</v>
      </c>
      <c r="Q56" s="1">
        <f>(Main_S[[#This Row],[ROE]]-VLOOKUP(Main_S[[#This Row],[Industry]], Mean_ROE_S, 2, FALSE))/(VLOOKUP(Main_S[[#This Row],[Industry]], Mean_ROE_S, 3, FALSE))</f>
        <v>-8.5314284198573116</v>
      </c>
      <c r="R56" s="1">
        <f>(Main_S[[#This Row],[ROA]]-VLOOKUP(Main_S[[#This Row],[Industry]], Mean_ROA_S, 2, FALSE))/(VLOOKUP(Main_S[[#This Row],[Industry]], Mean_ROA_S, 3, FALSE))</f>
        <v>-0.25653697514952678</v>
      </c>
      <c r="S56" s="1">
        <f>(Main_S[[#This Row],[A/E]]-VLOOKUP(Main_S[[#This Row],[Industry]], Mean_AE_S, 2, FALSE))/(VLOOKUP(Main_S[[#This Row],[Industry]], Mean_AE_S, 3, FALSE))</f>
        <v>-4.5762370049861225</v>
      </c>
      <c r="T56" s="1">
        <f>(Main_S[[#This Row],[P/E]]-VLOOKUP(Main_S[[#This Row],[Industry]], Mean_PE_S, 2, FALSE))/(VLOOKUP(Main_S[[#This Row],[Industry]], Mean_PE_S, 3, FALSE))</f>
        <v>46.806714748033507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7" spans="1:26" x14ac:dyDescent="0.25">
      <c r="A57" t="s">
        <v>111</v>
      </c>
      <c r="B57" t="s">
        <v>393</v>
      </c>
      <c r="C57" s="2">
        <v>724</v>
      </c>
      <c r="D57">
        <f>RTD("tos.rtd", , "LAST", Main_S[[#This Row],[Symbol]])</f>
        <v>21.49</v>
      </c>
      <c r="E57">
        <v>-5.58</v>
      </c>
      <c r="F57">
        <v>4.0999999999999996</v>
      </c>
      <c r="G57">
        <v>1.46</v>
      </c>
      <c r="H57" s="1">
        <f>IF(ISNUMBER(Main_S[[#This Row],[Free CF]]),IF(Main_S[[#This Row],[Free CF]]&lt;&gt;0,Main_S[[#This Row],[Current Price]]/Main_S[[#This Row],[Free CF]],""),"")</f>
        <v>-3.8512544802867379</v>
      </c>
      <c r="I57" s="1">
        <f>IF(ISNUMBER(Main_S[[#This Row],[BVPS]]),IF(Main_S[[#This Row],[BVPS]]&lt;&gt;0,Main_S[[#This Row],[Current Price]]/Main_S[[#This Row],[BVPS]],""),"")</f>
        <v>5.2414634146341461</v>
      </c>
      <c r="J57">
        <v>29.37</v>
      </c>
      <c r="K57">
        <v>3.86</v>
      </c>
      <c r="L57">
        <v>27.54</v>
      </c>
      <c r="M57" s="1">
        <f>IF(ISNUMBER(Main_S[[#This Row],[EPS]]),IF(Main_S[[#This Row],[EPS]]&lt;&gt;0,Main_S[[#This Row],[Current Price]]/Main_S[[#This Row],[EPS]],""),"")</f>
        <v>14.71917808219178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-0.41759084839068611</v>
      </c>
      <c r="P57" s="1">
        <f>(Main_S[[#This Row],[P/B]]-VLOOKUP(Main_S[[#This Row],[Industry]], Mean_PB_S, 2, FALSE))/(VLOOKUP(Main_S[[#This Row],[Industry]], Mean_PB_S, 3, FALSE))</f>
        <v>1.1007859617365479</v>
      </c>
      <c r="Q57" s="1">
        <f>(Main_S[[#This Row],[ROE]]-VLOOKUP(Main_S[[#This Row],[Industry]], Mean_ROE_S, 2, FALSE))/(VLOOKUP(Main_S[[#This Row],[Industry]], Mean_ROE_S, 3, FALSE))</f>
        <v>1.1165229209844079</v>
      </c>
      <c r="R57" s="1">
        <f>(Main_S[[#This Row],[ROA]]-VLOOKUP(Main_S[[#This Row],[Industry]], Mean_ROA_S, 2, FALSE))/(VLOOKUP(Main_S[[#This Row],[Industry]], Mean_ROA_S, 3, FALSE))</f>
        <v>-3.4413496666400138E-2</v>
      </c>
      <c r="S57" s="1">
        <f>(Main_S[[#This Row],[A/E]]-VLOOKUP(Main_S[[#This Row],[Industry]], Mean_AE_S, 2, FALSE))/(VLOOKUP(Main_S[[#This Row],[Industry]], Mean_AE_S, 3, FALSE))</f>
        <v>6.3952165787294408</v>
      </c>
      <c r="T57" s="1">
        <f>(Main_S[[#This Row],[P/E]]-VLOOKUP(Main_S[[#This Row],[Industry]], Mean_PE_S, 2, FALSE))/(VLOOKUP(Main_S[[#This Row],[Industry]], Mean_PE_S, 3, FALSE))</f>
        <v>0.35789716635427593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t="s">
        <v>111</v>
      </c>
      <c r="B58" t="s">
        <v>394</v>
      </c>
      <c r="C58" s="2">
        <v>285</v>
      </c>
      <c r="D58">
        <f>RTD("tos.rtd", , "LAST", Main_S[[#This Row],[Symbol]])</f>
        <v>9.42</v>
      </c>
      <c r="E58">
        <v>-0.02</v>
      </c>
      <c r="F58">
        <v>-6.43</v>
      </c>
      <c r="G58">
        <v>-2.27</v>
      </c>
      <c r="H58" s="1">
        <f>IF(ISNUMBER(Main_S[[#This Row],[Free CF]]),IF(Main_S[[#This Row],[Free CF]]&lt;&gt;0,Main_S[[#This Row],[Current Price]]/Main_S[[#This Row],[Free CF]],""),"")</f>
        <v>-471</v>
      </c>
      <c r="I58" s="1">
        <f>IF(ISNUMBER(Main_S[[#This Row],[BVPS]]),IF(Main_S[[#This Row],[BVPS]]&lt;&gt;0,Main_S[[#This Row],[Current Price]]/Main_S[[#This Row],[BVPS]],""),"")</f>
        <v>-1.4650077760497668</v>
      </c>
      <c r="J58">
        <v>68.33</v>
      </c>
      <c r="K58">
        <v>9.7799999999999994</v>
      </c>
      <c r="L58">
        <v>-1.86</v>
      </c>
      <c r="M58" s="1">
        <f>IF(ISNUMBER(Main_S[[#This Row],[EPS]]),IF(Main_S[[#This Row],[EPS]]&lt;&gt;0,Main_S[[#This Row],[Current Price]]/Main_S[[#This Row],[EPS]],""),"")</f>
        <v>-4.1497797356828192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-24.136814235883151</v>
      </c>
      <c r="P58" s="1">
        <f>(Main_S[[#This Row],[P/B]]-VLOOKUP(Main_S[[#This Row],[Industry]], Mean_PB_S, 2, FALSE))/(VLOOKUP(Main_S[[#This Row],[Industry]], Mean_PB_S, 3, FALSE))</f>
        <v>-0.97885082780933297</v>
      </c>
      <c r="Q58" s="1">
        <f>(Main_S[[#This Row],[ROE]]-VLOOKUP(Main_S[[#This Row],[Industry]], Mean_ROE_S, 2, FALSE))/(VLOOKUP(Main_S[[#This Row],[Industry]], Mean_ROE_S, 3, FALSE))</f>
        <v>3.1060649960343909</v>
      </c>
      <c r="R58" s="1">
        <f>(Main_S[[#This Row],[ROA]]-VLOOKUP(Main_S[[#This Row],[Industry]], Mean_ROA_S, 2, FALSE))/(VLOOKUP(Main_S[[#This Row],[Industry]], Mean_ROA_S, 3, FALSE))</f>
        <v>1.8176583239253035</v>
      </c>
      <c r="S58" s="1">
        <f>(Main_S[[#This Row],[A/E]]-VLOOKUP(Main_S[[#This Row],[Industry]], Mean_AE_S, 2, FALSE))/(VLOOKUP(Main_S[[#This Row],[Industry]], Mean_AE_S, 3, FALSE))</f>
        <v>-0.68314057205479339</v>
      </c>
      <c r="T58" s="1">
        <f>(Main_S[[#This Row],[P/E]]-VLOOKUP(Main_S[[#This Row],[Industry]], Mean_PE_S, 2, FALSE))/(VLOOKUP(Main_S[[#This Row],[Industry]], Mean_PE_S, 3, FALSE))</f>
        <v>-0.61454200945544069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111</v>
      </c>
      <c r="B59" t="s">
        <v>395</v>
      </c>
      <c r="C59" s="2">
        <v>1681</v>
      </c>
      <c r="D59">
        <f>RTD("tos.rtd", , "LAST", Main_S[[#This Row],[Symbol]])</f>
        <v>8.16</v>
      </c>
      <c r="E59">
        <v>-0.28999999999999998</v>
      </c>
      <c r="F59">
        <v>2.41</v>
      </c>
      <c r="G59">
        <v>0.71</v>
      </c>
      <c r="H59" s="1">
        <f>IF(ISNUMBER(Main_S[[#This Row],[Free CF]]),IF(Main_S[[#This Row],[Free CF]]&lt;&gt;0,Main_S[[#This Row],[Current Price]]/Main_S[[#This Row],[Free CF]],""),"")</f>
        <v>-28.137931034482762</v>
      </c>
      <c r="I59" s="1">
        <f>IF(ISNUMBER(Main_S[[#This Row],[BVPS]]),IF(Main_S[[#This Row],[BVPS]]&lt;&gt;0,Main_S[[#This Row],[Current Price]]/Main_S[[#This Row],[BVPS]],""),"")</f>
        <v>3.3858921161825726</v>
      </c>
      <c r="J59">
        <v>29.11</v>
      </c>
      <c r="K59">
        <v>6.88</v>
      </c>
      <c r="L59">
        <v>5.69</v>
      </c>
      <c r="M59" s="1">
        <f>IF(ISNUMBER(Main_S[[#This Row],[EPS]]),IF(Main_S[[#This Row],[EPS]]&lt;&gt;0,Main_S[[#This Row],[Current Price]]/Main_S[[#This Row],[EPS]],""),"")</f>
        <v>11.492957746478874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-1.6507336365359706</v>
      </c>
      <c r="P59" s="1">
        <f>(Main_S[[#This Row],[P/B]]-VLOOKUP(Main_S[[#This Row],[Industry]], Mean_PB_S, 2, FALSE))/(VLOOKUP(Main_S[[#This Row],[Industry]], Mean_PB_S, 3, FALSE))</f>
        <v>0.52538434914991605</v>
      </c>
      <c r="Q59" s="1">
        <f>(Main_S[[#This Row],[ROE]]-VLOOKUP(Main_S[[#This Row],[Industry]], Mean_ROE_S, 2, FALSE))/(VLOOKUP(Main_S[[#This Row],[Industry]], Mean_ROE_S, 3, FALSE))</f>
        <v>1.1032456894774005</v>
      </c>
      <c r="R59" s="1">
        <f>(Main_S[[#This Row],[ROA]]-VLOOKUP(Main_S[[#This Row],[Industry]], Mean_ROA_S, 2, FALSE))/(VLOOKUP(Main_S[[#This Row],[Industry]], Mean_ROA_S, 3, FALSE))</f>
        <v>0.91039341181112443</v>
      </c>
      <c r="S59" s="1">
        <f>(Main_S[[#This Row],[A/E]]-VLOOKUP(Main_S[[#This Row],[Industry]], Mean_AE_S, 2, FALSE))/(VLOOKUP(Main_S[[#This Row],[Industry]], Mean_AE_S, 3, FALSE))</f>
        <v>1.1346008051023826</v>
      </c>
      <c r="T59" s="1">
        <f>(Main_S[[#This Row],[P/E]]-VLOOKUP(Main_S[[#This Row],[Industry]], Mean_PE_S, 2, FALSE))/(VLOOKUP(Main_S[[#This Row],[Industry]], Mean_PE_S, 3, FALSE))</f>
        <v>0.19162921056557669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t="s">
        <v>111</v>
      </c>
      <c r="B60" t="s">
        <v>396</v>
      </c>
      <c r="C60" s="2">
        <v>736</v>
      </c>
      <c r="D60">
        <f>RTD("tos.rtd", , "LAST", Main_S[[#This Row],[Symbol]])</f>
        <v>237.4</v>
      </c>
      <c r="E60">
        <v>68.239999999999995</v>
      </c>
      <c r="F60">
        <v>923.25</v>
      </c>
      <c r="G60">
        <v>-13.45</v>
      </c>
      <c r="H60" s="1">
        <f>IF(ISNUMBER(Main_S[[#This Row],[Free CF]]),IF(Main_S[[#This Row],[Free CF]]&lt;&gt;0,Main_S[[#This Row],[Current Price]]/Main_S[[#This Row],[Free CF]],""),"")</f>
        <v>3.4788980070339979</v>
      </c>
      <c r="I60" s="1">
        <f>IF(ISNUMBER(Main_S[[#This Row],[BVPS]]),IF(Main_S[[#This Row],[BVPS]]&lt;&gt;0,Main_S[[#This Row],[Current Price]]/Main_S[[#This Row],[BVPS]],""),"")</f>
        <v>0.25713512049823994</v>
      </c>
      <c r="J60">
        <v>-0.64</v>
      </c>
      <c r="K60">
        <v>1.68</v>
      </c>
      <c r="L60">
        <v>1.51</v>
      </c>
      <c r="M60" s="1">
        <f>IF(ISNUMBER(Main_S[[#This Row],[EPS]]),IF(Main_S[[#This Row],[EPS]]&lt;&gt;0,Main_S[[#This Row],[Current Price]]/Main_S[[#This Row],[EPS]],""),"")</f>
        <v>-17.650557620817846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-4.5406344036050976E-2</v>
      </c>
      <c r="P60" s="1">
        <f>(Main_S[[#This Row],[P/B]]-VLOOKUP(Main_S[[#This Row],[Industry]], Mean_PB_S, 2, FALSE))/(VLOOKUP(Main_S[[#This Row],[Industry]], Mean_PB_S, 3, FALSE))</f>
        <v>-0.44482456829279676</v>
      </c>
      <c r="Q60" s="1">
        <f>(Main_S[[#This Row],[ROE]]-VLOOKUP(Main_S[[#This Row],[Industry]], Mean_ROE_S, 2, FALSE))/(VLOOKUP(Main_S[[#This Row],[Industry]], Mean_ROE_S, 3, FALSE))</f>
        <v>-0.41597599257437062</v>
      </c>
      <c r="R60" s="1">
        <f>(Main_S[[#This Row],[ROA]]-VLOOKUP(Main_S[[#This Row],[Industry]], Mean_ROA_S, 2, FALSE))/(VLOOKUP(Main_S[[#This Row],[Industry]], Mean_ROA_S, 3, FALSE))</f>
        <v>-0.71642643060050726</v>
      </c>
      <c r="S60" s="1">
        <f>(Main_S[[#This Row],[A/E]]-VLOOKUP(Main_S[[#This Row],[Industry]], Mean_AE_S, 2, FALSE))/(VLOOKUP(Main_S[[#This Row],[Industry]], Mean_AE_S, 3, FALSE))</f>
        <v>0.12822213536503213</v>
      </c>
      <c r="T60" s="1">
        <f>(Main_S[[#This Row],[P/E]]-VLOOKUP(Main_S[[#This Row],[Industry]], Mean_PE_S, 2, FALSE))/(VLOOKUP(Main_S[[#This Row],[Industry]], Mean_PE_S, 3, FALSE))</f>
        <v>-1.3103242273251485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111</v>
      </c>
      <c r="B61" t="s">
        <v>397</v>
      </c>
      <c r="C61" s="2">
        <v>829</v>
      </c>
      <c r="D61">
        <f>RTD("tos.rtd", , "LAST", Main_S[[#This Row],[Symbol]])</f>
        <v>42.84</v>
      </c>
      <c r="E61">
        <v>1.06</v>
      </c>
      <c r="F61">
        <v>16.3</v>
      </c>
      <c r="G61">
        <v>0.95</v>
      </c>
      <c r="H61" s="1">
        <f>IF(ISNUMBER(Main_S[[#This Row],[Free CF]]),IF(Main_S[[#This Row],[Free CF]]&lt;&gt;0,Main_S[[#This Row],[Current Price]]/Main_S[[#This Row],[Free CF]],""),"")</f>
        <v>40.415094339622641</v>
      </c>
      <c r="I61" s="1">
        <f>IF(ISNUMBER(Main_S[[#This Row],[BVPS]]),IF(Main_S[[#This Row],[BVPS]]&lt;&gt;0,Main_S[[#This Row],[Current Price]]/Main_S[[#This Row],[BVPS]],""),"")</f>
        <v>2.6282208588957054</v>
      </c>
      <c r="J61">
        <v>4.54</v>
      </c>
      <c r="K61">
        <v>1.93</v>
      </c>
      <c r="L61">
        <v>2.81</v>
      </c>
      <c r="M61" s="1">
        <f>IF(ISNUMBER(Main_S[[#This Row],[EPS]]),IF(Main_S[[#This Row],[EPS]]&lt;&gt;0,Main_S[[#This Row],[Current Price]]/Main_S[[#This Row],[EPS]],""),"")</f>
        <v>45.09473684210527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1.8300089285068983</v>
      </c>
      <c r="P61" s="1">
        <f>(Main_S[[#This Row],[P/B]]-VLOOKUP(Main_S[[#This Row],[Industry]], Mean_PB_S, 2, FALSE))/(VLOOKUP(Main_S[[#This Row],[Industry]], Mean_PB_S, 3, FALSE))</f>
        <v>0.29043500302820907</v>
      </c>
      <c r="Q61" s="1">
        <f>(Main_S[[#This Row],[ROE]]-VLOOKUP(Main_S[[#This Row],[Industry]], Mean_ROE_S, 2, FALSE))/(VLOOKUP(Main_S[[#This Row],[Industry]], Mean_ROE_S, 3, FALSE))</f>
        <v>-0.15145268793476807</v>
      </c>
      <c r="R61" s="1">
        <f>(Main_S[[#This Row],[ROA]]-VLOOKUP(Main_S[[#This Row],[Industry]], Mean_ROA_S, 2, FALSE))/(VLOOKUP(Main_S[[#This Row],[Industry]], Mean_ROA_S, 3, FALSE))</f>
        <v>-0.63821393817687122</v>
      </c>
      <c r="S61" s="1">
        <f>(Main_S[[#This Row],[A/E]]-VLOOKUP(Main_S[[#This Row],[Industry]], Mean_AE_S, 2, FALSE))/(VLOOKUP(Main_S[[#This Row],[Industry]], Mean_AE_S, 3, FALSE))</f>
        <v>0.44121071686229418</v>
      </c>
      <c r="T61" s="1">
        <f>(Main_S[[#This Row],[P/E]]-VLOOKUP(Main_S[[#This Row],[Industry]], Mean_PE_S, 2, FALSE))/(VLOOKUP(Main_S[[#This Row],[Industry]], Mean_PE_S, 3, FALSE))</f>
        <v>1.9233457518224213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111</v>
      </c>
      <c r="B62" t="s">
        <v>398</v>
      </c>
      <c r="C62" s="2">
        <v>617</v>
      </c>
      <c r="D62">
        <f>RTD("tos.rtd", , "LAST", Main_S[[#This Row],[Symbol]])</f>
        <v>8.43</v>
      </c>
      <c r="E62">
        <v>0.09</v>
      </c>
      <c r="F62">
        <v>1.6</v>
      </c>
      <c r="G62">
        <v>-0.61</v>
      </c>
      <c r="H62" s="1">
        <f>IF(ISNUMBER(Main_S[[#This Row],[Free CF]]),IF(Main_S[[#This Row],[Free CF]]&lt;&gt;0,Main_S[[#This Row],[Current Price]]/Main_S[[#This Row],[Free CF]],""),"")</f>
        <v>93.666666666666671</v>
      </c>
      <c r="I62" s="1">
        <f>IF(ISNUMBER(Main_S[[#This Row],[BVPS]]),IF(Main_S[[#This Row],[BVPS]]&lt;&gt;0,Main_S[[#This Row],[Current Price]]/Main_S[[#This Row],[BVPS]],""),"")</f>
        <v>5.2687499999999998</v>
      </c>
      <c r="J62">
        <v>-16.93</v>
      </c>
      <c r="K62">
        <v>3.81</v>
      </c>
      <c r="L62">
        <v>24.98</v>
      </c>
      <c r="M62" s="1">
        <f>IF(ISNUMBER(Main_S[[#This Row],[EPS]]),IF(Main_S[[#This Row],[EPS]]&lt;&gt;0,Main_S[[#This Row],[Current Price]]/Main_S[[#This Row],[EPS]],""),"")</f>
        <v>-13.819672131147541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4.5338285402991945</v>
      </c>
      <c r="P62" s="1">
        <f>(Main_S[[#This Row],[P/B]]-VLOOKUP(Main_S[[#This Row],[Industry]], Mean_PB_S, 2, FALSE))/(VLOOKUP(Main_S[[#This Row],[Industry]], Mean_PB_S, 3, FALSE))</f>
        <v>1.1092473694089973</v>
      </c>
      <c r="Q62" s="1">
        <f>(Main_S[[#This Row],[ROE]]-VLOOKUP(Main_S[[#This Row],[Industry]], Mean_ROE_S, 2, FALSE))/(VLOOKUP(Main_S[[#This Row],[Industry]], Mean_ROE_S, 3, FALSE))</f>
        <v>-1.247845612763391</v>
      </c>
      <c r="R62" s="1">
        <f>(Main_S[[#This Row],[ROA]]-VLOOKUP(Main_S[[#This Row],[Industry]], Mean_ROA_S, 2, FALSE))/(VLOOKUP(Main_S[[#This Row],[Industry]], Mean_ROA_S, 3, FALSE))</f>
        <v>-5.0055995151127311E-2</v>
      </c>
      <c r="S62" s="1">
        <f>(Main_S[[#This Row],[A/E]]-VLOOKUP(Main_S[[#This Row],[Industry]], Mean_AE_S, 2, FALSE))/(VLOOKUP(Main_S[[#This Row],[Industry]], Mean_AE_S, 3, FALSE))</f>
        <v>5.77886983362714</v>
      </c>
      <c r="T62" s="1">
        <f>(Main_S[[#This Row],[P/E]]-VLOOKUP(Main_S[[#This Row],[Industry]], Mean_PE_S, 2, FALSE))/(VLOOKUP(Main_S[[#This Row],[Industry]], Mean_PE_S, 3, FALSE))</f>
        <v>-1.112893973669729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t="s">
        <v>111</v>
      </c>
      <c r="B63" t="s">
        <v>399</v>
      </c>
      <c r="C63" s="2">
        <v>987</v>
      </c>
      <c r="D63">
        <f>RTD("tos.rtd", , "LAST", Main_S[[#This Row],[Symbol]])</f>
        <v>54.19</v>
      </c>
      <c r="E63">
        <v>2.11</v>
      </c>
      <c r="F63">
        <v>20.7</v>
      </c>
      <c r="G63">
        <v>1.6</v>
      </c>
      <c r="H63" s="1">
        <f>IF(ISNUMBER(Main_S[[#This Row],[Free CF]]),IF(Main_S[[#This Row],[Free CF]]&lt;&gt;0,Main_S[[#This Row],[Current Price]]/Main_S[[#This Row],[Free CF]],""),"")</f>
        <v>25.682464454976305</v>
      </c>
      <c r="I63" s="1">
        <f>IF(ISNUMBER(Main_S[[#This Row],[BVPS]]),IF(Main_S[[#This Row],[BVPS]]&lt;&gt;0,Main_S[[#This Row],[Current Price]]/Main_S[[#This Row],[BVPS]],""),"")</f>
        <v>2.6178743961352655</v>
      </c>
      <c r="J63">
        <v>7.8</v>
      </c>
      <c r="K63">
        <v>2.02</v>
      </c>
      <c r="L63">
        <v>4.66</v>
      </c>
      <c r="M63" s="1">
        <f>IF(ISNUMBER(Main_S[[#This Row],[EPS]]),IF(Main_S[[#This Row],[EPS]]&lt;&gt;0,Main_S[[#This Row],[Current Price]]/Main_S[[#This Row],[EPS]],""),"")</f>
        <v>33.868749999999999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1.0819676618426655</v>
      </c>
      <c r="P63" s="1">
        <f>(Main_S[[#This Row],[P/B]]-VLOOKUP(Main_S[[#This Row],[Industry]], Mean_PB_S, 2, FALSE))/(VLOOKUP(Main_S[[#This Row],[Industry]], Mean_PB_S, 3, FALSE))</f>
        <v>0.28722662652341369</v>
      </c>
      <c r="Q63" s="1">
        <f>(Main_S[[#This Row],[ROE]]-VLOOKUP(Main_S[[#This Row],[Industry]], Mean_ROE_S, 2, FALSE))/(VLOOKUP(Main_S[[#This Row],[Industry]], Mean_ROE_S, 3, FALSE))</f>
        <v>1.5023368653089881E-2</v>
      </c>
      <c r="R63" s="1">
        <f>(Main_S[[#This Row],[ROA]]-VLOOKUP(Main_S[[#This Row],[Industry]], Mean_ROA_S, 2, FALSE))/(VLOOKUP(Main_S[[#This Row],[Industry]], Mean_ROA_S, 3, FALSE))</f>
        <v>-0.61005744090436209</v>
      </c>
      <c r="S63" s="1">
        <f>(Main_S[[#This Row],[A/E]]-VLOOKUP(Main_S[[#This Row],[Industry]], Mean_AE_S, 2, FALSE))/(VLOOKUP(Main_S[[#This Row],[Industry]], Mean_AE_S, 3, FALSE))</f>
        <v>0.88661754437762863</v>
      </c>
      <c r="T63" s="1">
        <f>(Main_S[[#This Row],[P/E]]-VLOOKUP(Main_S[[#This Row],[Industry]], Mean_PE_S, 2, FALSE))/(VLOOKUP(Main_S[[#This Row],[Industry]], Mean_PE_S, 3, FALSE))</f>
        <v>1.3447981978050887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111</v>
      </c>
      <c r="B64" t="s">
        <v>400</v>
      </c>
      <c r="C64" s="2">
        <v>319</v>
      </c>
      <c r="D64">
        <f>RTD("tos.rtd", , "LAST", Main_S[[#This Row],[Symbol]])</f>
        <v>24.65</v>
      </c>
      <c r="E64">
        <v>6.3</v>
      </c>
      <c r="F64">
        <v>-14.14</v>
      </c>
      <c r="G64">
        <v>4.22</v>
      </c>
      <c r="H64" s="1">
        <f>IF(ISNUMBER(Main_S[[#This Row],[Free CF]]),IF(Main_S[[#This Row],[Free CF]]&lt;&gt;0,Main_S[[#This Row],[Current Price]]/Main_S[[#This Row],[Free CF]],""),"")</f>
        <v>3.9126984126984126</v>
      </c>
      <c r="I64" s="1">
        <f>IF(ISNUMBER(Main_S[[#This Row],[BVPS]]),IF(Main_S[[#This Row],[BVPS]]&lt;&gt;0,Main_S[[#This Row],[Current Price]]/Main_S[[#This Row],[BVPS]],""),"")</f>
        <v>-1.743281471004243</v>
      </c>
      <c r="J64">
        <v>-27.79</v>
      </c>
      <c r="K64">
        <v>5.92</v>
      </c>
      <c r="L64">
        <v>-8.2899999999999991</v>
      </c>
      <c r="M64" s="1">
        <f>IF(ISNUMBER(Main_S[[#This Row],[EPS]]),IF(Main_S[[#This Row],[EPS]]&lt;&gt;0,Main_S[[#This Row],[Current Price]]/Main_S[[#This Row],[EPS]],""),"")</f>
        <v>5.8412322274881516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-2.3380364460547864E-2</v>
      </c>
      <c r="P64" s="1">
        <f>(Main_S[[#This Row],[P/B]]-VLOOKUP(Main_S[[#This Row],[Industry]], Mean_PB_S, 2, FALSE))/(VLOOKUP(Main_S[[#This Row],[Industry]], Mean_PB_S, 3, FALSE))</f>
        <v>-1.065141843924349</v>
      </c>
      <c r="Q64" s="1">
        <f>(Main_S[[#This Row],[ROE]]-VLOOKUP(Main_S[[#This Row],[Industry]], Mean_ROE_S, 2, FALSE))/(VLOOKUP(Main_S[[#This Row],[Industry]], Mean_ROE_S, 3, FALSE))</f>
        <v>-1.8024253595560711</v>
      </c>
      <c r="R64" s="1">
        <f>(Main_S[[#This Row],[ROA]]-VLOOKUP(Main_S[[#This Row],[Industry]], Mean_ROA_S, 2, FALSE))/(VLOOKUP(Main_S[[#This Row],[Industry]], Mean_ROA_S, 3, FALSE))</f>
        <v>0.61005744090436165</v>
      </c>
      <c r="S64" s="1">
        <f>(Main_S[[#This Row],[A/E]]-VLOOKUP(Main_S[[#This Row],[Industry]], Mean_AE_S, 2, FALSE))/(VLOOKUP(Main_S[[#This Row],[Industry]], Mean_AE_S, 3, FALSE))</f>
        <v>-2.2312302482297124</v>
      </c>
      <c r="T64" s="1">
        <f>(Main_S[[#This Row],[P/E]]-VLOOKUP(Main_S[[#This Row],[Industry]], Mean_PE_S, 2, FALSE))/(VLOOKUP(Main_S[[#This Row],[Industry]], Mean_PE_S, 3, FALSE))</f>
        <v>-9.9640681425158931E-2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t="s">
        <v>111</v>
      </c>
      <c r="B65" t="s">
        <v>401</v>
      </c>
      <c r="C65" s="2">
        <v>739</v>
      </c>
      <c r="D65">
        <f>RTD("tos.rtd", , "LAST", Main_S[[#This Row],[Symbol]])</f>
        <v>3.21</v>
      </c>
      <c r="E65">
        <v>-0.44</v>
      </c>
      <c r="F65">
        <v>6.67</v>
      </c>
      <c r="G65">
        <v>0.02</v>
      </c>
      <c r="H65" s="1">
        <f>IF(ISNUMBER(Main_S[[#This Row],[Free CF]]),IF(Main_S[[#This Row],[Free CF]]&lt;&gt;0,Main_S[[#This Row],[Current Price]]/Main_S[[#This Row],[Free CF]],""),"")</f>
        <v>-7.295454545454545</v>
      </c>
      <c r="I65" s="1">
        <f>IF(ISNUMBER(Main_S[[#This Row],[BVPS]]),IF(Main_S[[#This Row],[BVPS]]&lt;&gt;0,Main_S[[#This Row],[Current Price]]/Main_S[[#This Row],[BVPS]],""),"")</f>
        <v>0.48125937031484256</v>
      </c>
      <c r="J65">
        <v>0.31</v>
      </c>
      <c r="K65">
        <v>-0.23</v>
      </c>
      <c r="L65">
        <v>2.71</v>
      </c>
      <c r="M65" s="1">
        <f>IF(ISNUMBER(Main_S[[#This Row],[EPS]]),IF(Main_S[[#This Row],[EPS]]&lt;&gt;0,Main_S[[#This Row],[Current Price]]/Main_S[[#This Row],[EPS]],""),"")</f>
        <v>160.5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-0.59246823277934635</v>
      </c>
      <c r="P65" s="1">
        <f>(Main_S[[#This Row],[P/B]]-VLOOKUP(Main_S[[#This Row],[Industry]], Mean_PB_S, 2, FALSE))/(VLOOKUP(Main_S[[#This Row],[Industry]], Mean_PB_S, 3, FALSE))</f>
        <v>-0.37532497273866355</v>
      </c>
      <c r="Q65" s="1">
        <f>(Main_S[[#This Row],[ROE]]-VLOOKUP(Main_S[[#This Row],[Industry]], Mean_ROE_S, 2, FALSE))/(VLOOKUP(Main_S[[#This Row],[Industry]], Mean_ROE_S, 3, FALSE))</f>
        <v>-0.36746303129876784</v>
      </c>
      <c r="R65" s="1">
        <f>(Main_S[[#This Row],[ROA]]-VLOOKUP(Main_S[[#This Row],[Industry]], Mean_ROA_S, 2, FALSE))/(VLOOKUP(Main_S[[#This Row],[Industry]], Mean_ROA_S, 3, FALSE))</f>
        <v>-1.3139698727170874</v>
      </c>
      <c r="S65" s="1">
        <f>(Main_S[[#This Row],[A/E]]-VLOOKUP(Main_S[[#This Row],[Industry]], Mean_AE_S, 2, FALSE))/(VLOOKUP(Main_S[[#This Row],[Industry]], Mean_AE_S, 3, FALSE))</f>
        <v>0.41713467213173555</v>
      </c>
      <c r="T65" s="1">
        <f>(Main_S[[#This Row],[P/E]]-VLOOKUP(Main_S[[#This Row],[Industry]], Mean_PE_S, 2, FALSE))/(VLOOKUP(Main_S[[#This Row],[Industry]], Mean_PE_S, 3, FALSE))</f>
        <v>7.8709237830296361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6" spans="1:26" x14ac:dyDescent="0.25">
      <c r="A66" t="s">
        <v>111</v>
      </c>
      <c r="B66" t="s">
        <v>402</v>
      </c>
      <c r="C66" s="2">
        <v>975</v>
      </c>
      <c r="D66">
        <f>RTD("tos.rtd", , "LAST", Main_S[[#This Row],[Symbol]])</f>
        <v>16.98</v>
      </c>
      <c r="E66">
        <v>-0.21</v>
      </c>
      <c r="F66">
        <v>9.81</v>
      </c>
      <c r="G66">
        <v>0.3</v>
      </c>
      <c r="H66" s="1">
        <f>IF(ISNUMBER(Main_S[[#This Row],[Free CF]]),IF(Main_S[[#This Row],[Free CF]]&lt;&gt;0,Main_S[[#This Row],[Current Price]]/Main_S[[#This Row],[Free CF]],""),"")</f>
        <v>-80.857142857142861</v>
      </c>
      <c r="I66" s="1">
        <f>IF(ISNUMBER(Main_S[[#This Row],[BVPS]]),IF(Main_S[[#This Row],[BVPS]]&lt;&gt;0,Main_S[[#This Row],[Current Price]]/Main_S[[#This Row],[BVPS]],""),"")</f>
        <v>1.7308868501529051</v>
      </c>
      <c r="J66">
        <v>3.27</v>
      </c>
      <c r="K66">
        <v>1.99</v>
      </c>
      <c r="L66">
        <v>2.54</v>
      </c>
      <c r="M66" s="1">
        <f>IF(ISNUMBER(Main_S[[#This Row],[EPS]]),IF(Main_S[[#This Row],[EPS]]&lt;&gt;0,Main_S[[#This Row],[Current Price]]/Main_S[[#This Row],[EPS]],""),"")</f>
        <v>56.6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-4.3275229333648548</v>
      </c>
      <c r="P66" s="1">
        <f>(Main_S[[#This Row],[P/B]]-VLOOKUP(Main_S[[#This Row],[Industry]], Mean_PB_S, 2, FALSE))/(VLOOKUP(Main_S[[#This Row],[Industry]], Mean_PB_S, 3, FALSE))</f>
        <v>1.2177069156147139E-2</v>
      </c>
      <c r="Q66" s="1">
        <f>(Main_S[[#This Row],[ROE]]-VLOOKUP(Main_S[[#This Row],[Industry]], Mean_ROE_S, 2, FALSE))/(VLOOKUP(Main_S[[#This Row],[Industry]], Mean_ROE_S, 3, FALSE))</f>
        <v>-0.21630685721899495</v>
      </c>
      <c r="R66" s="1">
        <f>(Main_S[[#This Row],[ROA]]-VLOOKUP(Main_S[[#This Row],[Industry]], Mean_ROA_S, 2, FALSE))/(VLOOKUP(Main_S[[#This Row],[Industry]], Mean_ROA_S, 3, FALSE))</f>
        <v>-0.61944293999519839</v>
      </c>
      <c r="S66" s="1">
        <f>(Main_S[[#This Row],[A/E]]-VLOOKUP(Main_S[[#This Row],[Industry]], Mean_AE_S, 2, FALSE))/(VLOOKUP(Main_S[[#This Row],[Industry]], Mean_AE_S, 3, FALSE))</f>
        <v>0.37620539608978593</v>
      </c>
      <c r="T66" s="1">
        <f>(Main_S[[#This Row],[P/E]]-VLOOKUP(Main_S[[#This Row],[Industry]], Mean_PE_S, 2, FALSE))/(VLOOKUP(Main_S[[#This Row],[Industry]], Mean_PE_S, 3, FALSE))</f>
        <v>2.5162862168298994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t="s">
        <v>111</v>
      </c>
      <c r="B67" t="s">
        <v>403</v>
      </c>
      <c r="C67" s="2">
        <v>1235</v>
      </c>
      <c r="D67">
        <f>RTD("tos.rtd", , "LAST", Main_S[[#This Row],[Symbol]])</f>
        <v>23.62</v>
      </c>
      <c r="E67">
        <v>0.15</v>
      </c>
      <c r="F67">
        <v>0.55000000000000004</v>
      </c>
      <c r="G67">
        <v>0.04</v>
      </c>
      <c r="H67" s="1">
        <f>IF(ISNUMBER(Main_S[[#This Row],[Free CF]]),IF(Main_S[[#This Row],[Free CF]]&lt;&gt;0,Main_S[[#This Row],[Current Price]]/Main_S[[#This Row],[Free CF]],""),"")</f>
        <v>157.46666666666667</v>
      </c>
      <c r="I67" s="1">
        <f>IF(ISNUMBER(Main_S[[#This Row],[BVPS]]),IF(Main_S[[#This Row],[BVPS]]&lt;&gt;0,Main_S[[#This Row],[Current Price]]/Main_S[[#This Row],[BVPS]],""),"")</f>
        <v>42.945454545454545</v>
      </c>
      <c r="J67">
        <v>6.75</v>
      </c>
      <c r="K67">
        <v>5.55</v>
      </c>
      <c r="L67">
        <v>1.9</v>
      </c>
      <c r="M67" s="1">
        <f>IF(ISNUMBER(Main_S[[#This Row],[EPS]]),IF(Main_S[[#This Row],[EPS]]&lt;&gt;0,Main_S[[#This Row],[Current Price]]/Main_S[[#This Row],[EPS]],""),"")</f>
        <v>590.5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7.7732388279977185</v>
      </c>
      <c r="P67" s="1">
        <f>(Main_S[[#This Row],[P/B]]-VLOOKUP(Main_S[[#This Row],[Industry]], Mean_PB_S, 2, FALSE))/(VLOOKUP(Main_S[[#This Row],[Industry]], Mean_PB_S, 3, FALSE))</f>
        <v>12.792569142328954</v>
      </c>
      <c r="Q67" s="1">
        <f>(Main_S[[#This Row],[ROE]]-VLOOKUP(Main_S[[#This Row],[Industry]], Mean_ROE_S, 2, FALSE))/(VLOOKUP(Main_S[[#This Row],[Industry]], Mean_ROE_S, 3, FALSE))</f>
        <v>-3.8596220125207921E-2</v>
      </c>
      <c r="R67" s="1">
        <f>(Main_S[[#This Row],[ROA]]-VLOOKUP(Main_S[[#This Row],[Industry]], Mean_ROA_S, 2, FALSE))/(VLOOKUP(Main_S[[#This Row],[Industry]], Mean_ROA_S, 3, FALSE))</f>
        <v>0.49430295211738012</v>
      </c>
      <c r="S67" s="1">
        <f>(Main_S[[#This Row],[A/E]]-VLOOKUP(Main_S[[#This Row],[Industry]], Mean_AE_S, 2, FALSE))/(VLOOKUP(Main_S[[#This Row],[Industry]], Mean_AE_S, 3, FALSE))</f>
        <v>0.22211870981421072</v>
      </c>
      <c r="T67" s="1">
        <f>(Main_S[[#This Row],[P/E]]-VLOOKUP(Main_S[[#This Row],[Industry]], Mean_PE_S, 2, FALSE))/(VLOOKUP(Main_S[[#This Row],[Industry]], Mean_PE_S, 3, FALSE))</f>
        <v>30.031598984818736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t="s">
        <v>111</v>
      </c>
      <c r="B68" t="s">
        <v>404</v>
      </c>
      <c r="C68" s="2">
        <v>501</v>
      </c>
      <c r="D68">
        <f>RTD("tos.rtd", , "LAST", Main_S[[#This Row],[Symbol]])</f>
        <v>26.07</v>
      </c>
      <c r="E68">
        <v>4.41</v>
      </c>
      <c r="F68">
        <v>-43.88</v>
      </c>
      <c r="G68">
        <v>-2.15</v>
      </c>
      <c r="H68" s="1">
        <f>IF(ISNUMBER(Main_S[[#This Row],[Free CF]]),IF(Main_S[[#This Row],[Free CF]]&lt;&gt;0,Main_S[[#This Row],[Current Price]]/Main_S[[#This Row],[Free CF]],""),"")</f>
        <v>5.9115646258503398</v>
      </c>
      <c r="I68" s="1">
        <f>IF(ISNUMBER(Main_S[[#This Row],[BVPS]]),IF(Main_S[[#This Row],[BVPS]]&lt;&gt;0,Main_S[[#This Row],[Current Price]]/Main_S[[#This Row],[BVPS]],""),"")</f>
        <v>-0.59412032816773019</v>
      </c>
      <c r="J68">
        <v>5.43</v>
      </c>
      <c r="K68">
        <v>5.56</v>
      </c>
      <c r="L68">
        <v>-3.35</v>
      </c>
      <c r="M68" s="1">
        <f>IF(ISNUMBER(Main_S[[#This Row],[EPS]]),IF(Main_S[[#This Row],[EPS]]&lt;&gt;0,Main_S[[#This Row],[Current Price]]/Main_S[[#This Row],[EPS]],""),"")</f>
        <v>-12.125581395348838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7.8110979969191086E-2</v>
      </c>
      <c r="P68" s="1">
        <f>(Main_S[[#This Row],[P/B]]-VLOOKUP(Main_S[[#This Row],[Industry]], Mean_PB_S, 2, FALSE))/(VLOOKUP(Main_S[[#This Row],[Industry]], Mean_PB_S, 3, FALSE))</f>
        <v>-0.70879381501174143</v>
      </c>
      <c r="Q68" s="1">
        <f>(Main_S[[#This Row],[ROE]]-VLOOKUP(Main_S[[#This Row],[Industry]], Mean_ROE_S, 2, FALSE))/(VLOOKUP(Main_S[[#This Row],[Industry]], Mean_ROE_S, 3, FALSE))</f>
        <v>-0.10600370316078232</v>
      </c>
      <c r="R68" s="1">
        <f>(Main_S[[#This Row],[ROA]]-VLOOKUP(Main_S[[#This Row],[Industry]], Mean_ROA_S, 2, FALSE))/(VLOOKUP(Main_S[[#This Row],[Industry]], Mean_ROA_S, 3, FALSE))</f>
        <v>0.49743145181432552</v>
      </c>
      <c r="S68" s="1">
        <f>(Main_S[[#This Row],[A/E]]-VLOOKUP(Main_S[[#This Row],[Industry]], Mean_AE_S, 2, FALSE))/(VLOOKUP(Main_S[[#This Row],[Industry]], Mean_AE_S, 3, FALSE))</f>
        <v>-1.0418736385401168</v>
      </c>
      <c r="T68" s="1">
        <f>(Main_S[[#This Row],[P/E]]-VLOOKUP(Main_S[[#This Row],[Industry]], Mean_PE_S, 2, FALSE))/(VLOOKUP(Main_S[[#This Row],[Industry]], Mean_PE_S, 3, FALSE))</f>
        <v>-1.0255865444641594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111</v>
      </c>
      <c r="B69" t="s">
        <v>405</v>
      </c>
      <c r="C69" s="2">
        <v>731</v>
      </c>
      <c r="D69">
        <f>RTD("tos.rtd", , "LAST", Main_S[[#This Row],[Symbol]])</f>
        <v>67.11</v>
      </c>
      <c r="E69">
        <v>-2.4</v>
      </c>
      <c r="F69">
        <v>18.62</v>
      </c>
      <c r="G69">
        <v>-0.91</v>
      </c>
      <c r="H69" s="1">
        <f>IF(ISNUMBER(Main_S[[#This Row],[Free CF]]),IF(Main_S[[#This Row],[Free CF]]&lt;&gt;0,Main_S[[#This Row],[Current Price]]/Main_S[[#This Row],[Free CF]],""),"")</f>
        <v>-27.962500000000002</v>
      </c>
      <c r="I69" s="1">
        <f>IF(ISNUMBER(Main_S[[#This Row],[BVPS]]),IF(Main_S[[#This Row],[BVPS]]&lt;&gt;0,Main_S[[#This Row],[Current Price]]/Main_S[[#This Row],[BVPS]],""),"")</f>
        <v>3.6041890440386677</v>
      </c>
      <c r="J69">
        <v>-5.38</v>
      </c>
      <c r="K69">
        <v>-0.68</v>
      </c>
      <c r="L69">
        <v>1.82</v>
      </c>
      <c r="M69" s="1">
        <f>IF(ISNUMBER(Main_S[[#This Row],[EPS]]),IF(Main_S[[#This Row],[EPS]]&lt;&gt;0,Main_S[[#This Row],[Current Price]]/Main_S[[#This Row],[EPS]],""),"")</f>
        <v>-73.747252747252745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-1.641826221208619</v>
      </c>
      <c r="P69" s="1">
        <f>(Main_S[[#This Row],[P/B]]-VLOOKUP(Main_S[[#This Row],[Industry]], Mean_PB_S, 2, FALSE))/(VLOOKUP(Main_S[[#This Row],[Industry]], Mean_PB_S, 3, FALSE))</f>
        <v>0.59307692685680435</v>
      </c>
      <c r="Q69" s="1">
        <f>(Main_S[[#This Row],[ROE]]-VLOOKUP(Main_S[[#This Row],[Industry]], Mean_ROE_S, 2, FALSE))/(VLOOKUP(Main_S[[#This Row],[Industry]], Mean_ROE_S, 3, FALSE))</f>
        <v>-0.65803013620211503</v>
      </c>
      <c r="R69" s="1">
        <f>(Main_S[[#This Row],[ROA]]-VLOOKUP(Main_S[[#This Row],[Industry]], Mean_ROA_S, 2, FALSE))/(VLOOKUP(Main_S[[#This Row],[Industry]], Mean_ROA_S, 3, FALSE))</f>
        <v>-1.4547523590796323</v>
      </c>
      <c r="S69" s="1">
        <f>(Main_S[[#This Row],[A/E]]-VLOOKUP(Main_S[[#This Row],[Industry]], Mean_AE_S, 2, FALSE))/(VLOOKUP(Main_S[[#This Row],[Industry]], Mean_AE_S, 3, FALSE))</f>
        <v>0.20285787402976388</v>
      </c>
      <c r="T69" s="1">
        <f>(Main_S[[#This Row],[P/E]]-VLOOKUP(Main_S[[#This Row],[Industry]], Mean_PE_S, 2, FALSE))/(VLOOKUP(Main_S[[#This Row],[Industry]], Mean_PE_S, 3, FALSE))</f>
        <v>-4.2013489728849374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0" spans="1:26" x14ac:dyDescent="0.25">
      <c r="A70" t="s">
        <v>111</v>
      </c>
      <c r="B70" t="s">
        <v>406</v>
      </c>
      <c r="C70" s="2">
        <v>267</v>
      </c>
      <c r="D70">
        <f>RTD("tos.rtd", , "LAST", Main_S[[#This Row],[Symbol]])</f>
        <v>9.44</v>
      </c>
      <c r="E70">
        <v>0.75</v>
      </c>
      <c r="F70">
        <v>8.84</v>
      </c>
      <c r="G70">
        <v>0.86</v>
      </c>
      <c r="H70" s="1">
        <f>IF(ISNUMBER(Main_S[[#This Row],[Free CF]]),IF(Main_S[[#This Row],[Free CF]]&lt;&gt;0,Main_S[[#This Row],[Current Price]]/Main_S[[#This Row],[Free CF]],""),"")</f>
        <v>12.586666666666666</v>
      </c>
      <c r="I70" s="1">
        <f>IF(ISNUMBER(Main_S[[#This Row],[BVPS]]),IF(Main_S[[#This Row],[BVPS]]&lt;&gt;0,Main_S[[#This Row],[Current Price]]/Main_S[[#This Row],[BVPS]],""),"")</f>
        <v>1.0678733031674208</v>
      </c>
      <c r="J70">
        <v>9.68</v>
      </c>
      <c r="K70">
        <v>4.16</v>
      </c>
      <c r="L70">
        <v>2.2200000000000002</v>
      </c>
      <c r="M70" s="1">
        <f>IF(ISNUMBER(Main_S[[#This Row],[EPS]]),IF(Main_S[[#This Row],[EPS]]&lt;&gt;0,Main_S[[#This Row],[Current Price]]/Main_S[[#This Row],[EPS]],""),"")</f>
        <v>10.976744186046512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0.41703565430238587</v>
      </c>
      <c r="P70" s="1">
        <f>(Main_S[[#This Row],[P/B]]-VLOOKUP(Main_S[[#This Row],[Industry]], Mean_PB_S, 2, FALSE))/(VLOOKUP(Main_S[[#This Row],[Industry]], Mean_PB_S, 3, FALSE))</f>
        <v>-0.1934194845416716</v>
      </c>
      <c r="Q70" s="1">
        <f>(Main_S[[#This Row],[ROE]]-VLOOKUP(Main_S[[#This Row],[Industry]], Mean_ROE_S, 2, FALSE))/(VLOOKUP(Main_S[[#This Row],[Industry]], Mean_ROE_S, 3, FALSE))</f>
        <v>0.11102796570375643</v>
      </c>
      <c r="R70" s="1">
        <f>(Main_S[[#This Row],[ROA]]-VLOOKUP(Main_S[[#This Row],[Industry]], Mean_ROA_S, 2, FALSE))/(VLOOKUP(Main_S[[#This Row],[Industry]], Mean_ROA_S, 3, FALSE))</f>
        <v>5.9441494241963308E-2</v>
      </c>
      <c r="S70" s="1">
        <f>(Main_S[[#This Row],[A/E]]-VLOOKUP(Main_S[[#This Row],[Industry]], Mean_AE_S, 2, FALSE))/(VLOOKUP(Main_S[[#This Row],[Industry]], Mean_AE_S, 3, FALSE))</f>
        <v>0.29916205295199838</v>
      </c>
      <c r="T70" s="1">
        <f>(Main_S[[#This Row],[P/E]]-VLOOKUP(Main_S[[#This Row],[Industry]], Mean_PE_S, 2, FALSE))/(VLOOKUP(Main_S[[#This Row],[Industry]], Mean_PE_S, 3, FALSE))</f>
        <v>0.16502539417604015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111</v>
      </c>
      <c r="B71" t="s">
        <v>407</v>
      </c>
      <c r="C71" s="2">
        <v>404</v>
      </c>
      <c r="D71">
        <f>RTD("tos.rtd", , "LAST", Main_S[[#This Row],[Symbol]])</f>
        <v>102</v>
      </c>
      <c r="E71">
        <v>6.03</v>
      </c>
      <c r="F71">
        <v>-4.6399999999999997</v>
      </c>
      <c r="G71">
        <v>5.8</v>
      </c>
      <c r="H71" s="1">
        <f>IF(ISNUMBER(Main_S[[#This Row],[Free CF]]),IF(Main_S[[#This Row],[Free CF]]&lt;&gt;0,Main_S[[#This Row],[Current Price]]/Main_S[[#This Row],[Free CF]],""),"")</f>
        <v>16.915422885572138</v>
      </c>
      <c r="I71" s="1">
        <f>IF(ISNUMBER(Main_S[[#This Row],[BVPS]]),IF(Main_S[[#This Row],[BVPS]]&lt;&gt;0,Main_S[[#This Row],[Current Price]]/Main_S[[#This Row],[BVPS]],""),"")</f>
        <v>-21.982758620689658</v>
      </c>
      <c r="J71">
        <v>-87.83</v>
      </c>
      <c r="K71">
        <v>50.38</v>
      </c>
      <c r="L71">
        <v>-2.57</v>
      </c>
      <c r="M71" s="1">
        <f>IF(ISNUMBER(Main_S[[#This Row],[EPS]]),IF(Main_S[[#This Row],[EPS]]&lt;&gt;0,Main_S[[#This Row],[Current Price]]/Main_S[[#This Row],[EPS]],""),"")</f>
        <v>17.586206896551726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0.63682589612779894</v>
      </c>
      <c r="P71" s="1">
        <f>(Main_S[[#This Row],[P/B]]-VLOOKUP(Main_S[[#This Row],[Industry]], Mean_PB_S, 2, FALSE))/(VLOOKUP(Main_S[[#This Row],[Industry]], Mean_PB_S, 3, FALSE))</f>
        <v>-7.3412832131928951</v>
      </c>
      <c r="Q71" s="1">
        <f>(Main_S[[#This Row],[ROE]]-VLOOKUP(Main_S[[#This Row],[Industry]], Mean_ROE_S, 2, FALSE))/(VLOOKUP(Main_S[[#This Row],[Industry]], Mean_ROE_S, 3, FALSE))</f>
        <v>-4.8684445121741664</v>
      </c>
      <c r="R71" s="1">
        <f>(Main_S[[#This Row],[ROA]]-VLOOKUP(Main_S[[#This Row],[Industry]], Mean_ROA_S, 2, FALSE))/(VLOOKUP(Main_S[[#This Row],[Industry]], Mean_ROA_S, 3, FALSE))</f>
        <v>14.519367093523813</v>
      </c>
      <c r="S71" s="1">
        <f>(Main_S[[#This Row],[A/E]]-VLOOKUP(Main_S[[#This Row],[Industry]], Mean_AE_S, 2, FALSE))/(VLOOKUP(Main_S[[#This Row],[Industry]], Mean_AE_S, 3, FALSE))</f>
        <v>-0.85408048964175953</v>
      </c>
      <c r="T71" s="1">
        <f>(Main_S[[#This Row],[P/E]]-VLOOKUP(Main_S[[#This Row],[Industry]], Mean_PE_S, 2, FALSE))/(VLOOKUP(Main_S[[#This Row],[Industry]], Mean_PE_S, 3, FALSE))</f>
        <v>0.50565366484079055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t="s">
        <v>111</v>
      </c>
      <c r="B72" t="s">
        <v>408</v>
      </c>
      <c r="C72" s="2">
        <v>258</v>
      </c>
      <c r="D72">
        <f>RTD("tos.rtd", , "LAST", Main_S[[#This Row],[Symbol]])</f>
        <v>10.31</v>
      </c>
      <c r="E72">
        <v>0.01</v>
      </c>
      <c r="F72">
        <v>1.95</v>
      </c>
      <c r="G72">
        <v>1.31</v>
      </c>
      <c r="H72" s="1">
        <f>IF(ISNUMBER(Main_S[[#This Row],[Free CF]]),IF(Main_S[[#This Row],[Free CF]]&lt;&gt;0,Main_S[[#This Row],[Current Price]]/Main_S[[#This Row],[Free CF]],""),"")</f>
        <v>1031</v>
      </c>
      <c r="I72" s="1">
        <f>IF(ISNUMBER(Main_S[[#This Row],[BVPS]]),IF(Main_S[[#This Row],[BVPS]]&lt;&gt;0,Main_S[[#This Row],[Current Price]]/Main_S[[#This Row],[BVPS]],""),"")</f>
        <v>5.2871794871794879</v>
      </c>
      <c r="J72">
        <v>114.75</v>
      </c>
      <c r="K72">
        <v>2.97</v>
      </c>
      <c r="L72">
        <v>4.51</v>
      </c>
      <c r="M72" s="1">
        <f>IF(ISNUMBER(Main_S[[#This Row],[EPS]]),IF(Main_S[[#This Row],[EPS]]&lt;&gt;0,Main_S[[#This Row],[Current Price]]/Main_S[[#This Row],[EPS]],""),"")</f>
        <v>7.8702290076335881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52.12641855601629</v>
      </c>
      <c r="P72" s="1">
        <f>(Main_S[[#This Row],[P/B]]-VLOOKUP(Main_S[[#This Row],[Industry]], Mean_PB_S, 2, FALSE))/(VLOOKUP(Main_S[[#This Row],[Industry]], Mean_PB_S, 3, FALSE))</f>
        <v>1.1149622436642044</v>
      </c>
      <c r="Q72" s="1">
        <f>(Main_S[[#This Row],[ROE]]-VLOOKUP(Main_S[[#This Row],[Industry]], Mean_ROE_S, 2, FALSE))/(VLOOKUP(Main_S[[#This Row],[Industry]], Mean_ROE_S, 3, FALSE))</f>
        <v>5.4765614827854243</v>
      </c>
      <c r="R72" s="1">
        <f>(Main_S[[#This Row],[ROA]]-VLOOKUP(Main_S[[#This Row],[Industry]], Mean_ROA_S, 2, FALSE))/(VLOOKUP(Main_S[[#This Row],[Industry]], Mean_ROA_S, 3, FALSE))</f>
        <v>-0.31284996969454471</v>
      </c>
      <c r="S72" s="1">
        <f>(Main_S[[#This Row],[A/E]]-VLOOKUP(Main_S[[#This Row],[Industry]], Mean_AE_S, 2, FALSE))/(VLOOKUP(Main_S[[#This Row],[Industry]], Mean_AE_S, 3, FALSE))</f>
        <v>0.85050347728179065</v>
      </c>
      <c r="T72" s="1">
        <f>(Main_S[[#This Row],[P/E]]-VLOOKUP(Main_S[[#This Row],[Industry]], Mean_PE_S, 2, FALSE))/(VLOOKUP(Main_S[[#This Row],[Industry]], Mean_PE_S, 3, FALSE))</f>
        <v>4.9266177150245572E-3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t="s">
        <v>111</v>
      </c>
      <c r="B73" t="s">
        <v>409</v>
      </c>
      <c r="C73" s="2">
        <v>722</v>
      </c>
      <c r="D73">
        <f>RTD("tos.rtd", , "LAST", Main_S[[#This Row],[Symbol]])</f>
        <v>12.3</v>
      </c>
      <c r="E73">
        <v>0.16</v>
      </c>
      <c r="F73">
        <v>6.3</v>
      </c>
      <c r="G73">
        <v>0.46</v>
      </c>
      <c r="H73" s="1">
        <f>IF(ISNUMBER(Main_S[[#This Row],[Free CF]]),IF(Main_S[[#This Row],[Free CF]]&lt;&gt;0,Main_S[[#This Row],[Current Price]]/Main_S[[#This Row],[Free CF]],""),"")</f>
        <v>76.875</v>
      </c>
      <c r="I73" s="1">
        <f>IF(ISNUMBER(Main_S[[#This Row],[BVPS]]),IF(Main_S[[#This Row],[BVPS]]&lt;&gt;0,Main_S[[#This Row],[Current Price]]/Main_S[[#This Row],[BVPS]],""),"")</f>
        <v>1.9523809523809526</v>
      </c>
      <c r="J73">
        <v>7.38</v>
      </c>
      <c r="K73">
        <v>2.48</v>
      </c>
      <c r="L73">
        <v>3.74</v>
      </c>
      <c r="M73" s="1">
        <f>IF(ISNUMBER(Main_S[[#This Row],[EPS]]),IF(Main_S[[#This Row],[EPS]]&lt;&gt;0,Main_S[[#This Row],[Current Price]]/Main_S[[#This Row],[EPS]],""),"")</f>
        <v>26.739130434782609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3.68124080130853</v>
      </c>
      <c r="P73" s="1">
        <f>(Main_S[[#This Row],[P/B]]-VLOOKUP(Main_S[[#This Row],[Industry]], Mean_PB_S, 2, FALSE))/(VLOOKUP(Main_S[[#This Row],[Industry]], Mean_PB_S, 3, FALSE))</f>
        <v>8.0861071601538964E-2</v>
      </c>
      <c r="Q73" s="1">
        <f>(Main_S[[#This Row],[ROE]]-VLOOKUP(Main_S[[#This Row],[Industry]], Mean_ROE_S, 2, FALSE))/(VLOOKUP(Main_S[[#This Row],[Industry]], Mean_ROE_S, 3, FALSE))</f>
        <v>-6.4244668582292387E-3</v>
      </c>
      <c r="R73" s="1">
        <f>(Main_S[[#This Row],[ROA]]-VLOOKUP(Main_S[[#This Row],[Industry]], Mean_ROA_S, 2, FALSE))/(VLOOKUP(Main_S[[#This Row],[Industry]], Mean_ROA_S, 3, FALSE))</f>
        <v>-0.4661464548448716</v>
      </c>
      <c r="S73" s="1">
        <f>(Main_S[[#This Row],[A/E]]-VLOOKUP(Main_S[[#This Row],[Industry]], Mean_AE_S, 2, FALSE))/(VLOOKUP(Main_S[[#This Row],[Industry]], Mean_AE_S, 3, FALSE))</f>
        <v>0.66511793285648935</v>
      </c>
      <c r="T73" s="1">
        <f>(Main_S[[#This Row],[P/E]]-VLOOKUP(Main_S[[#This Row],[Industry]], Mean_PE_S, 2, FALSE))/(VLOOKUP(Main_S[[#This Row],[Industry]], Mean_PE_S, 3, FALSE))</f>
        <v>0.97736288734670873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t="s">
        <v>111</v>
      </c>
      <c r="B74" t="s">
        <v>410</v>
      </c>
      <c r="C74" s="2">
        <v>1089</v>
      </c>
      <c r="D74">
        <f>RTD("tos.rtd", , "LAST", Main_S[[#This Row],[Symbol]])</f>
        <v>41.45</v>
      </c>
      <c r="E74">
        <v>1.04</v>
      </c>
      <c r="F74">
        <v>-13.16</v>
      </c>
      <c r="G74">
        <v>2.54</v>
      </c>
      <c r="H74" s="1">
        <f>IF(ISNUMBER(Main_S[[#This Row],[Free CF]]),IF(Main_S[[#This Row],[Free CF]]&lt;&gt;0,Main_S[[#This Row],[Current Price]]/Main_S[[#This Row],[Free CF]],""),"")</f>
        <v>39.855769230769234</v>
      </c>
      <c r="I74" s="1">
        <f>IF(ISNUMBER(Main_S[[#This Row],[BVPS]]),IF(Main_S[[#This Row],[BVPS]]&lt;&gt;0,Main_S[[#This Row],[Current Price]]/Main_S[[#This Row],[BVPS]],""),"")</f>
        <v>-3.1496960486322192</v>
      </c>
      <c r="J74">
        <v>-19.670000000000002</v>
      </c>
      <c r="K74">
        <v>13.82</v>
      </c>
      <c r="L74">
        <v>-2.0699999999999998</v>
      </c>
      <c r="M74" s="1">
        <f>IF(ISNUMBER(Main_S[[#This Row],[EPS]]),IF(Main_S[[#This Row],[EPS]]&lt;&gt;0,Main_S[[#This Row],[Current Price]]/Main_S[[#This Row],[EPS]],""),"")</f>
        <v>16.318897637795278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1.8016095004224497</v>
      </c>
      <c r="P74" s="1">
        <f>(Main_S[[#This Row],[P/B]]-VLOOKUP(Main_S[[#This Row],[Industry]], Mean_PB_S, 2, FALSE))/(VLOOKUP(Main_S[[#This Row],[Industry]], Mean_PB_S, 3, FALSE))</f>
        <v>-1.501262631418629</v>
      </c>
      <c r="Q74" s="1">
        <f>(Main_S[[#This Row],[ROE]]-VLOOKUP(Main_S[[#This Row],[Industry]], Mean_ROE_S, 2, FALSE))/(VLOOKUP(Main_S[[#This Row],[Industry]], Mean_ROE_S, 3, FALSE))</f>
        <v>-1.3877672063372348</v>
      </c>
      <c r="R74" s="1">
        <f>(Main_S[[#This Row],[ROA]]-VLOOKUP(Main_S[[#This Row],[Industry]], Mean_ROA_S, 2, FALSE))/(VLOOKUP(Main_S[[#This Row],[Industry]], Mean_ROA_S, 3, FALSE))</f>
        <v>3.0815722014912637</v>
      </c>
      <c r="S74" s="1">
        <f>(Main_S[[#This Row],[A/E]]-VLOOKUP(Main_S[[#This Row],[Industry]], Mean_AE_S, 2, FALSE))/(VLOOKUP(Main_S[[#This Row],[Industry]], Mean_AE_S, 3, FALSE))</f>
        <v>-0.73370026598896643</v>
      </c>
      <c r="T74" s="1">
        <f>(Main_S[[#This Row],[P/E]]-VLOOKUP(Main_S[[#This Row],[Industry]], Mean_PE_S, 2, FALSE))/(VLOOKUP(Main_S[[#This Row],[Industry]], Mean_PE_S, 3, FALSE))</f>
        <v>0.44034103957678644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t="s">
        <v>111</v>
      </c>
      <c r="B75" t="s">
        <v>411</v>
      </c>
      <c r="C75" s="2">
        <v>361</v>
      </c>
      <c r="D75">
        <f>RTD("tos.rtd", , "LAST", Main_S[[#This Row],[Symbol]])</f>
        <v>44.99</v>
      </c>
      <c r="E75">
        <v>3.32</v>
      </c>
      <c r="F75">
        <v>30.26</v>
      </c>
      <c r="G75">
        <v>0.53</v>
      </c>
      <c r="H75" s="1">
        <f>IF(ISNUMBER(Main_S[[#This Row],[Free CF]]),IF(Main_S[[#This Row],[Free CF]]&lt;&gt;0,Main_S[[#This Row],[Current Price]]/Main_S[[#This Row],[Free CF]],""),"")</f>
        <v>13.55120481927711</v>
      </c>
      <c r="I75" s="1">
        <f>IF(ISNUMBER(Main_S[[#This Row],[BVPS]]),IF(Main_S[[#This Row],[BVPS]]&lt;&gt;0,Main_S[[#This Row],[Current Price]]/Main_S[[#This Row],[BVPS]],""),"")</f>
        <v>1.4867812293456708</v>
      </c>
      <c r="J75">
        <v>1.74</v>
      </c>
      <c r="K75">
        <v>5.58</v>
      </c>
      <c r="L75">
        <v>2.1800000000000002</v>
      </c>
      <c r="M75" s="1">
        <f>IF(ISNUMBER(Main_S[[#This Row],[EPS]]),IF(Main_S[[#This Row],[EPS]]&lt;&gt;0,Main_S[[#This Row],[Current Price]]/Main_S[[#This Row],[EPS]],""),"")</f>
        <v>84.886792452830193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0.46600955421530127</v>
      </c>
      <c r="P75" s="1">
        <f>(Main_S[[#This Row],[P/B]]-VLOOKUP(Main_S[[#This Row],[Industry]], Mean_PB_S, 2, FALSE))/(VLOOKUP(Main_S[[#This Row],[Industry]], Mean_PB_S, 3, FALSE))</f>
        <v>-6.3518630583955918E-2</v>
      </c>
      <c r="Q75" s="1">
        <f>(Main_S[[#This Row],[ROE]]-VLOOKUP(Main_S[[#This Row],[Industry]], Mean_ROE_S, 2, FALSE))/(VLOOKUP(Main_S[[#This Row],[Industry]], Mean_ROE_S, 3, FALSE))</f>
        <v>-0.29443825801022888</v>
      </c>
      <c r="R75" s="1">
        <f>(Main_S[[#This Row],[ROA]]-VLOOKUP(Main_S[[#This Row],[Industry]], Mean_ROA_S, 2, FALSE))/(VLOOKUP(Main_S[[#This Row],[Industry]], Mean_ROA_S, 3, FALSE))</f>
        <v>0.50368845120821659</v>
      </c>
      <c r="S75" s="1">
        <f>(Main_S[[#This Row],[A/E]]-VLOOKUP(Main_S[[#This Row],[Industry]], Mean_AE_S, 2, FALSE))/(VLOOKUP(Main_S[[#This Row],[Industry]], Mean_AE_S, 3, FALSE))</f>
        <v>0.28953163505977492</v>
      </c>
      <c r="T75" s="1">
        <f>(Main_S[[#This Row],[P/E]]-VLOOKUP(Main_S[[#This Row],[Industry]], Mean_PE_S, 2, FALSE))/(VLOOKUP(Main_S[[#This Row],[Industry]], Mean_PE_S, 3, FALSE))</f>
        <v>3.974087193684757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6" spans="1:26" x14ac:dyDescent="0.25">
      <c r="A76" t="s">
        <v>111</v>
      </c>
      <c r="B76" t="s">
        <v>412</v>
      </c>
      <c r="C76" s="2">
        <v>341</v>
      </c>
      <c r="D76">
        <f>RTD("tos.rtd", , "LAST", Main_S[[#This Row],[Symbol]])</f>
        <v>8.9</v>
      </c>
      <c r="E76">
        <v>-0.87</v>
      </c>
      <c r="F76">
        <v>2.57</v>
      </c>
      <c r="G76">
        <v>-1.07</v>
      </c>
      <c r="H76" s="1">
        <f>IF(ISNUMBER(Main_S[[#This Row],[Free CF]]),IF(Main_S[[#This Row],[Free CF]]&lt;&gt;0,Main_S[[#This Row],[Current Price]]/Main_S[[#This Row],[Free CF]],""),"")</f>
        <v>-10.229885057471265</v>
      </c>
      <c r="I76" s="1">
        <f>IF(ISNUMBER(Main_S[[#This Row],[BVPS]]),IF(Main_S[[#This Row],[BVPS]]&lt;&gt;0,Main_S[[#This Row],[Current Price]]/Main_S[[#This Row],[BVPS]],""),"")</f>
        <v>3.4630350194552535</v>
      </c>
      <c r="J76">
        <v>-61.4</v>
      </c>
      <c r="K76">
        <v>-33.61</v>
      </c>
      <c r="L76">
        <v>1.06</v>
      </c>
      <c r="M76" s="1">
        <f>IF(ISNUMBER(Main_S[[#This Row],[EPS]]),IF(Main_S[[#This Row],[EPS]]&lt;&gt;0,Main_S[[#This Row],[Current Price]]/Main_S[[#This Row],[EPS]],""),"")</f>
        <v>-8.3177570093457938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-0.74146234546215839</v>
      </c>
      <c r="P76" s="1">
        <f>(Main_S[[#This Row],[P/B]]-VLOOKUP(Main_S[[#This Row],[Industry]], Mean_PB_S, 2, FALSE))/(VLOOKUP(Main_S[[#This Row],[Industry]], Mean_PB_S, 3, FALSE))</f>
        <v>0.54930590418784753</v>
      </c>
      <c r="Q76" s="1">
        <f>(Main_S[[#This Row],[ROE]]-VLOOKUP(Main_S[[#This Row],[Industry]], Mean_ROE_S, 2, FALSE))/(VLOOKUP(Main_S[[#This Row],[Industry]], Mean_ROE_S, 3, FALSE))</f>
        <v>-3.5187628632118706</v>
      </c>
      <c r="R76" s="1">
        <f>(Main_S[[#This Row],[ROA]]-VLOOKUP(Main_S[[#This Row],[Industry]], Mean_ROA_S, 2, FALSE))/(VLOOKUP(Main_S[[#This Row],[Industry]], Mean_ROA_S, 3, FALSE))</f>
        <v>-11.756901861120983</v>
      </c>
      <c r="S76" s="1">
        <f>(Main_S[[#This Row],[A/E]]-VLOOKUP(Main_S[[#This Row],[Industry]], Mean_AE_S, 2, FALSE))/(VLOOKUP(Main_S[[#This Row],[Industry]], Mean_AE_S, 3, FALSE))</f>
        <v>1.9879934077518365E-2</v>
      </c>
      <c r="T76" s="1">
        <f>(Main_S[[#This Row],[P/E]]-VLOOKUP(Main_S[[#This Row],[Industry]], Mean_PE_S, 2, FALSE))/(VLOOKUP(Main_S[[#This Row],[Industry]], Mean_PE_S, 3, FALSE))</f>
        <v>-0.82934477831610021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t="s">
        <v>111</v>
      </c>
      <c r="B77" t="s">
        <v>413</v>
      </c>
      <c r="C77" s="2">
        <v>317</v>
      </c>
      <c r="D77">
        <f>RTD("tos.rtd", , "LAST", Main_S[[#This Row],[Symbol]])</f>
        <v>7.05</v>
      </c>
      <c r="H77" s="1" t="str">
        <f>IF(ISNUMBER(Main_S[[#This Row],[Free CF]]),IF(Main_S[[#This Row],[Free CF]]&lt;&gt;0,Main_S[[#This Row],[Current Price]]/Main_S[[#This Row],[Free CF]],""),"")</f>
        <v/>
      </c>
      <c r="I77" s="1" t="str">
        <f>IF(ISNUMBER(Main_S[[#This Row],[BVPS]]),IF(Main_S[[#This Row],[BVPS]]&lt;&gt;0,Main_S[[#This Row],[Current Price]]/Main_S[[#This Row],[BVPS]],""),"")</f>
        <v/>
      </c>
      <c r="J77">
        <v>96.22</v>
      </c>
      <c r="K77">
        <v>-0.94</v>
      </c>
      <c r="L77">
        <v>-6.41</v>
      </c>
      <c r="M77" s="1" t="str">
        <f>IF(ISNUMBER(Main_S[[#This Row],[EPS]]),IF(Main_S[[#This Row],[EPS]]&lt;&gt;0,Main_S[[#This Row],[Current Price]]/Main_S[[#This Row],[EPS]],""),"")</f>
        <v/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 t="e">
        <f>(Main_S[[#This Row],[P/FCF]]-VLOOKUP(Main_S[[#This Row],[Industry]], Mean_PFCF_S, 2, FALSE))/(VLOOKUP(Main_S[[#This Row],[Industry]], Mean_PFCF_S, 3, FALSE))</f>
        <v>#VALUE!</v>
      </c>
      <c r="P77" s="1" t="e">
        <f>(Main_S[[#This Row],[P/B]]-VLOOKUP(Main_S[[#This Row],[Industry]], Mean_PB_S, 2, FALSE))/(VLOOKUP(Main_S[[#This Row],[Industry]], Mean_PB_S, 3, FALSE))</f>
        <v>#VALUE!</v>
      </c>
      <c r="Q77" s="1">
        <f>(Main_S[[#This Row],[ROE]]-VLOOKUP(Main_S[[#This Row],[Industry]], Mean_ROE_S, 2, FALSE))/(VLOOKUP(Main_S[[#This Row],[Industry]], Mean_ROE_S, 3, FALSE))</f>
        <v>4.530303406536035</v>
      </c>
      <c r="R77" s="1">
        <f>(Main_S[[#This Row],[ROA]]-VLOOKUP(Main_S[[#This Row],[Industry]], Mean_ROA_S, 2, FALSE))/(VLOOKUP(Main_S[[#This Row],[Industry]], Mean_ROA_S, 3, FALSE))</f>
        <v>-1.5360933512002137</v>
      </c>
      <c r="S77" s="1">
        <f>(Main_S[[#This Row],[A/E]]-VLOOKUP(Main_S[[#This Row],[Industry]], Mean_AE_S, 2, FALSE))/(VLOOKUP(Main_S[[#This Row],[Industry]], Mean_AE_S, 3, FALSE))</f>
        <v>-1.7786006072952105</v>
      </c>
      <c r="T77" s="1" t="e">
        <f>(Main_S[[#This Row],[P/E]]-VLOOKUP(Main_S[[#This Row],[Industry]], Mean_PE_S, 2, FALSE))/(VLOOKUP(Main_S[[#This Row],[Industry]], Mean_PE_S, 3, FALSE))</f>
        <v>#VALUE!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8" spans="1:26" x14ac:dyDescent="0.25">
      <c r="A78" t="s">
        <v>111</v>
      </c>
      <c r="B78" t="s">
        <v>414</v>
      </c>
      <c r="C78" s="2">
        <v>297</v>
      </c>
      <c r="D78">
        <f>RTD("tos.rtd", , "LAST", Main_S[[#This Row],[Symbol]])</f>
        <v>7.76</v>
      </c>
      <c r="E78">
        <v>-1.94</v>
      </c>
      <c r="F78">
        <v>2.5499999999999998</v>
      </c>
      <c r="G78">
        <v>-0.86</v>
      </c>
      <c r="H78" s="1">
        <f>IF(ISNUMBER(Main_S[[#This Row],[Free CF]]),IF(Main_S[[#This Row],[Free CF]]&lt;&gt;0,Main_S[[#This Row],[Current Price]]/Main_S[[#This Row],[Free CF]],""),"")</f>
        <v>-4</v>
      </c>
      <c r="I78" s="1">
        <f>IF(ISNUMBER(Main_S[[#This Row],[BVPS]]),IF(Main_S[[#This Row],[BVPS]]&lt;&gt;0,Main_S[[#This Row],[Current Price]]/Main_S[[#This Row],[BVPS]],""),"")</f>
        <v>3.0431372549019611</v>
      </c>
      <c r="J78">
        <v>-34.18</v>
      </c>
      <c r="K78">
        <v>-13.08</v>
      </c>
      <c r="L78">
        <v>1.86</v>
      </c>
      <c r="M78" s="1">
        <f>IF(ISNUMBER(Main_S[[#This Row],[EPS]]),IF(Main_S[[#This Row],[EPS]]&lt;&gt;0,Main_S[[#This Row],[Current Price]]/Main_S[[#This Row],[EPS]],""),"")</f>
        <v>-9.0232558139534884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-0.42514332122467047</v>
      </c>
      <c r="P78" s="1">
        <f>(Main_S[[#This Row],[P/B]]-VLOOKUP(Main_S[[#This Row],[Industry]], Mean_PB_S, 2, FALSE))/(VLOOKUP(Main_S[[#This Row],[Industry]], Mean_PB_S, 3, FALSE))</f>
        <v>0.41909810724299096</v>
      </c>
      <c r="Q78" s="1">
        <f>(Main_S[[#This Row],[ROE]]-VLOOKUP(Main_S[[#This Row],[Industry]], Mean_ROE_S, 2, FALSE))/(VLOOKUP(Main_S[[#This Row],[Industry]], Mean_ROE_S, 3, FALSE))</f>
        <v>-2.1287388569782837</v>
      </c>
      <c r="R78" s="1">
        <f>(Main_S[[#This Row],[ROA]]-VLOOKUP(Main_S[[#This Row],[Industry]], Mean_ROA_S, 2, FALSE))/(VLOOKUP(Main_S[[#This Row],[Industry]], Mean_ROA_S, 3, FALSE))</f>
        <v>-5.3340919832919846</v>
      </c>
      <c r="S78" s="1">
        <f>(Main_S[[#This Row],[A/E]]-VLOOKUP(Main_S[[#This Row],[Industry]], Mean_AE_S, 2, FALSE))/(VLOOKUP(Main_S[[#This Row],[Industry]], Mean_AE_S, 3, FALSE))</f>
        <v>0.21248829192198734</v>
      </c>
      <c r="T78" s="1">
        <f>(Main_S[[#This Row],[P/E]]-VLOOKUP(Main_S[[#This Row],[Industry]], Mean_PE_S, 2, FALSE))/(VLOOKUP(Main_S[[#This Row],[Industry]], Mean_PE_S, 3, FALSE))</f>
        <v>-0.86570368497694095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t="s">
        <v>108</v>
      </c>
      <c r="B79" t="s">
        <v>343</v>
      </c>
      <c r="C79" s="2">
        <v>1068</v>
      </c>
      <c r="D79">
        <f>RTD("tos.rtd", , "LAST", Main_S[[#This Row],[Symbol]])</f>
        <v>11.24</v>
      </c>
      <c r="E79">
        <v>7.0000000000000007E-2</v>
      </c>
      <c r="F79">
        <v>3.87</v>
      </c>
      <c r="G79">
        <v>-0.56999999999999995</v>
      </c>
      <c r="H79" s="1">
        <f>IF(ISNUMBER(Main_S[[#This Row],[Free CF]]),IF(Main_S[[#This Row],[Free CF]]&lt;&gt;0,Main_S[[#This Row],[Current Price]]/Main_S[[#This Row],[Free CF]],""),"")</f>
        <v>160.57142857142856</v>
      </c>
      <c r="I79" s="1">
        <f>IF(ISNUMBER(Main_S[[#This Row],[BVPS]]),IF(Main_S[[#This Row],[BVPS]]&lt;&gt;0,Main_S[[#This Row],[Current Price]]/Main_S[[#This Row],[BVPS]],""),"")</f>
        <v>2.9043927648578811</v>
      </c>
      <c r="J79">
        <v>-12.95</v>
      </c>
      <c r="K79">
        <v>-4.12</v>
      </c>
      <c r="L79">
        <v>2.0499999999999998</v>
      </c>
      <c r="M79" s="1">
        <f>IF(ISNUMBER(Main_S[[#This Row],[EPS]]),IF(Main_S[[#This Row],[EPS]]&lt;&gt;0,Main_S[[#This Row],[Current Price]]/Main_S[[#This Row],[EPS]],""),"")</f>
        <v>-19.719298245614038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14.497142116054686</v>
      </c>
      <c r="P79" s="1">
        <f>(Main_S[[#This Row],[P/B]]-VLOOKUP(Main_S[[#This Row],[Industry]], Mean_PB_S, 2, FALSE))/(VLOOKUP(Main_S[[#This Row],[Industry]], Mean_PB_S, 3, FALSE))</f>
        <v>1.7501485332073123</v>
      </c>
      <c r="Q79" s="1">
        <f>(Main_S[[#This Row],[ROE]]-VLOOKUP(Main_S[[#This Row],[Industry]], Mean_ROE_S, 2, FALSE))/(VLOOKUP(Main_S[[#This Row],[Industry]], Mean_ROE_S, 3, FALSE))</f>
        <v>-8.6530960260356675</v>
      </c>
      <c r="R79" s="1">
        <f>(Main_S[[#This Row],[ROA]]-VLOOKUP(Main_S[[#This Row],[Industry]], Mean_ROA_S, 2, FALSE))/(VLOOKUP(Main_S[[#This Row],[Industry]], Mean_ROA_S, 3, FALSE))</f>
        <v>-4.8424494333681842</v>
      </c>
      <c r="S79" s="1">
        <f>(Main_S[[#This Row],[A/E]]-VLOOKUP(Main_S[[#This Row],[Industry]], Mean_AE_S, 2, FALSE))/(VLOOKUP(Main_S[[#This Row],[Industry]], Mean_AE_S, 3, FALSE))</f>
        <v>0.6228113541097513</v>
      </c>
      <c r="T79" s="1">
        <f>(Main_S[[#This Row],[P/E]]-VLOOKUP(Main_S[[#This Row],[Industry]], Mean_PE_S, 2, FALSE))/(VLOOKUP(Main_S[[#This Row],[Industry]], Mean_PE_S, 3, FALSE))</f>
        <v>-4.7564300708326765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0" spans="1:26" x14ac:dyDescent="0.25">
      <c r="A80" t="s">
        <v>108</v>
      </c>
      <c r="B80" t="s">
        <v>344</v>
      </c>
      <c r="C80" s="2">
        <v>643</v>
      </c>
      <c r="D80">
        <f>RTD("tos.rtd", , "LAST", Main_S[[#This Row],[Symbol]])</f>
        <v>27.48</v>
      </c>
      <c r="E80">
        <v>2.54</v>
      </c>
      <c r="F80">
        <v>18.7</v>
      </c>
      <c r="G80">
        <v>2.25</v>
      </c>
      <c r="H80" s="1">
        <f>IF(ISNUMBER(Main_S[[#This Row],[Free CF]]),IF(Main_S[[#This Row],[Free CF]]&lt;&gt;0,Main_S[[#This Row],[Current Price]]/Main_S[[#This Row],[Free CF]],""),"")</f>
        <v>10.818897637795276</v>
      </c>
      <c r="I80" s="1">
        <f>IF(ISNUMBER(Main_S[[#This Row],[BVPS]]),IF(Main_S[[#This Row],[BVPS]]&lt;&gt;0,Main_S[[#This Row],[Current Price]]/Main_S[[#This Row],[BVPS]],""),"")</f>
        <v>1.4695187165775403</v>
      </c>
      <c r="J80">
        <v>12.09</v>
      </c>
      <c r="K80">
        <v>5.83</v>
      </c>
      <c r="L80">
        <v>1.54</v>
      </c>
      <c r="M80" s="1">
        <f>IF(ISNUMBER(Main_S[[#This Row],[EPS]]),IF(Main_S[[#This Row],[EPS]]&lt;&gt;0,Main_S[[#This Row],[Current Price]]/Main_S[[#This Row],[EPS]],""),"")</f>
        <v>12.213333333333333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0.11266102691479805</v>
      </c>
      <c r="P80" s="1">
        <f>(Main_S[[#This Row],[P/B]]-VLOOKUP(Main_S[[#This Row],[Industry]], Mean_PB_S, 2, FALSE))/(VLOOKUP(Main_S[[#This Row],[Industry]], Mean_PB_S, 3, FALSE))</f>
        <v>-6.3355947976122592E-3</v>
      </c>
      <c r="Q80" s="1">
        <f>(Main_S[[#This Row],[ROE]]-VLOOKUP(Main_S[[#This Row],[Industry]], Mean_ROE_S, 2, FALSE))/(VLOOKUP(Main_S[[#This Row],[Industry]], Mean_ROE_S, 3, FALSE))</f>
        <v>0.6604091818514185</v>
      </c>
      <c r="R80" s="1">
        <f>(Main_S[[#This Row],[ROA]]-VLOOKUP(Main_S[[#This Row],[Industry]], Mean_ROA_S, 2, FALSE))/(VLOOKUP(Main_S[[#This Row],[Industry]], Mean_ROA_S, 3, FALSE))</f>
        <v>0.5127702340274688</v>
      </c>
      <c r="S80" s="1">
        <f>(Main_S[[#This Row],[A/E]]-VLOOKUP(Main_S[[#This Row],[Industry]], Mean_AE_S, 2, FALSE))/(VLOOKUP(Main_S[[#This Row],[Industry]], Mean_AE_S, 3, FALSE))</f>
        <v>-0.77031930639890245</v>
      </c>
      <c r="T80" s="1">
        <f>(Main_S[[#This Row],[P/E]]-VLOOKUP(Main_S[[#This Row],[Industry]], Mean_PE_S, 2, FALSE))/(VLOOKUP(Main_S[[#This Row],[Industry]], Mean_PE_S, 3, FALSE))</f>
        <v>0.55552630202341025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t="s">
        <v>108</v>
      </c>
      <c r="B81" t="s">
        <v>345</v>
      </c>
      <c r="C81" s="2">
        <v>1231</v>
      </c>
      <c r="D81">
        <f>RTD("tos.rtd", , "LAST", Main_S[[#This Row],[Symbol]])</f>
        <v>9.58</v>
      </c>
      <c r="E81">
        <v>1.81</v>
      </c>
      <c r="F81">
        <v>5.53</v>
      </c>
      <c r="G81">
        <v>-3.73</v>
      </c>
      <c r="H81" s="1">
        <f>IF(ISNUMBER(Main_S[[#This Row],[Free CF]]),IF(Main_S[[#This Row],[Free CF]]&lt;&gt;0,Main_S[[#This Row],[Current Price]]/Main_S[[#This Row],[Free CF]],""),"")</f>
        <v>5.2928176795580111</v>
      </c>
      <c r="I81" s="1">
        <f>IF(ISNUMBER(Main_S[[#This Row],[BVPS]]),IF(Main_S[[#This Row],[BVPS]]&lt;&gt;0,Main_S[[#This Row],[Current Price]]/Main_S[[#This Row],[BVPS]],""),"")</f>
        <v>1.7323688969258588</v>
      </c>
      <c r="J81">
        <v>-50.31</v>
      </c>
      <c r="K81">
        <v>3.46</v>
      </c>
      <c r="L81">
        <v>5.01</v>
      </c>
      <c r="M81" s="1">
        <f>IF(ISNUMBER(Main_S[[#This Row],[EPS]]),IF(Main_S[[#This Row],[EPS]]&lt;&gt;0,Main_S[[#This Row],[Current Price]]/Main_S[[#This Row],[EPS]],""),"")</f>
        <v>-2.5683646112600536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-0.41814664732455648</v>
      </c>
      <c r="P81" s="1">
        <f>(Main_S[[#This Row],[P/B]]-VLOOKUP(Main_S[[#This Row],[Industry]], Mean_PB_S, 2, FALSE))/(VLOOKUP(Main_S[[#This Row],[Industry]], Mean_PB_S, 3, FALSE))</f>
        <v>0.31542935061929001</v>
      </c>
      <c r="Q81" s="1">
        <f>(Main_S[[#This Row],[ROE]]-VLOOKUP(Main_S[[#This Row],[Industry]], Mean_ROE_S, 2, FALSE))/(VLOOKUP(Main_S[[#This Row],[Industry]], Mean_ROE_S, 3, FALSE))</f>
        <v>-22.548964818633976</v>
      </c>
      <c r="R81" s="1">
        <f>(Main_S[[#This Row],[ROA]]-VLOOKUP(Main_S[[#This Row],[Industry]], Mean_ROA_S, 2, FALSE))/(VLOOKUP(Main_S[[#This Row],[Industry]], Mean_ROA_S, 3, FALSE))</f>
        <v>-0.76279465157330484</v>
      </c>
      <c r="S81" s="1">
        <f>(Main_S[[#This Row],[A/E]]-VLOOKUP(Main_S[[#This Row],[Industry]], Mean_AE_S, 2, FALSE))/(VLOOKUP(Main_S[[#This Row],[Industry]], Mean_AE_S, 3, FALSE))</f>
        <v>8.7084324425521373</v>
      </c>
      <c r="T81" s="1">
        <f>(Main_S[[#This Row],[P/E]]-VLOOKUP(Main_S[[#This Row],[Industry]], Mean_PE_S, 2, FALSE))/(VLOOKUP(Main_S[[#This Row],[Industry]], Mean_PE_S, 3, FALSE))</f>
        <v>-1.9033920744433526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t="s">
        <v>108</v>
      </c>
      <c r="B82" t="s">
        <v>346</v>
      </c>
      <c r="C82" s="2">
        <v>303</v>
      </c>
      <c r="D82">
        <f>RTD("tos.rtd", , "LAST", Main_S[[#This Row],[Symbol]])</f>
        <v>21.34</v>
      </c>
      <c r="E82">
        <v>1.1299999999999999</v>
      </c>
      <c r="F82">
        <v>14.63</v>
      </c>
      <c r="G82">
        <v>0.69</v>
      </c>
      <c r="H82" s="1">
        <f>IF(ISNUMBER(Main_S[[#This Row],[Free CF]]),IF(Main_S[[#This Row],[Free CF]]&lt;&gt;0,Main_S[[#This Row],[Current Price]]/Main_S[[#This Row],[Free CF]],""),"")</f>
        <v>18.884955752212392</v>
      </c>
      <c r="I82" s="1">
        <f>IF(ISNUMBER(Main_S[[#This Row],[BVPS]]),IF(Main_S[[#This Row],[BVPS]]&lt;&gt;0,Main_S[[#This Row],[Current Price]]/Main_S[[#This Row],[BVPS]],""),"")</f>
        <v>1.4586466165413532</v>
      </c>
      <c r="J82">
        <v>5.33</v>
      </c>
      <c r="K82">
        <v>1.68</v>
      </c>
      <c r="L82">
        <v>2.46</v>
      </c>
      <c r="M82" s="1">
        <f>IF(ISNUMBER(Main_S[[#This Row],[EPS]]),IF(Main_S[[#This Row],[EPS]]&lt;&gt;0,Main_S[[#This Row],[Current Price]]/Main_S[[#This Row],[EPS]],""),"")</f>
        <v>30.927536231884059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0.88744633229408609</v>
      </c>
      <c r="P82" s="1">
        <f>(Main_S[[#This Row],[P/B]]-VLOOKUP(Main_S[[#This Row],[Industry]], Mean_PB_S, 2, FALSE))/(VLOOKUP(Main_S[[#This Row],[Industry]], Mean_PB_S, 3, FALSE))</f>
        <v>-1.9644547715487719E-2</v>
      </c>
      <c r="Q82" s="1">
        <f>(Main_S[[#This Row],[ROE]]-VLOOKUP(Main_S[[#This Row],[Industry]], Mean_ROE_S, 2, FALSE))/(VLOOKUP(Main_S[[#This Row],[Industry]], Mean_ROE_S, 3, FALSE))</f>
        <v>-1.8539396682011655</v>
      </c>
      <c r="R82" s="1">
        <f>(Main_S[[#This Row],[ROA]]-VLOOKUP(Main_S[[#This Row],[Industry]], Mean_ROA_S, 2, FALSE))/(VLOOKUP(Main_S[[#This Row],[Industry]], Mean_ROA_S, 3, FALSE))</f>
        <v>-1.7208138483536328</v>
      </c>
      <c r="S82" s="1">
        <f>(Main_S[[#This Row],[A/E]]-VLOOKUP(Main_S[[#This Row],[Industry]], Mean_AE_S, 2, FALSE))/(VLOOKUP(Main_S[[#This Row],[Industry]], Mean_AE_S, 3, FALSE))</f>
        <v>1.7427791400088659</v>
      </c>
      <c r="T82" s="1">
        <f>(Main_S[[#This Row],[P/E]]-VLOOKUP(Main_S[[#This Row],[Industry]], Mean_PE_S, 2, FALSE))/(VLOOKUP(Main_S[[#This Row],[Industry]], Mean_PE_S, 3, FALSE))</f>
        <v>3.6686123345387198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3" spans="1:26" x14ac:dyDescent="0.25">
      <c r="A83" t="s">
        <v>108</v>
      </c>
      <c r="B83" t="s">
        <v>347</v>
      </c>
      <c r="C83" s="2">
        <v>1672</v>
      </c>
      <c r="D83">
        <f>RTD("tos.rtd", , "LAST", Main_S[[#This Row],[Symbol]])</f>
        <v>43.61</v>
      </c>
      <c r="E83">
        <v>2.65</v>
      </c>
      <c r="F83">
        <v>24.66</v>
      </c>
      <c r="G83">
        <v>2.91</v>
      </c>
      <c r="H83" s="1">
        <f>IF(ISNUMBER(Main_S[[#This Row],[Free CF]]),IF(Main_S[[#This Row],[Free CF]]&lt;&gt;0,Main_S[[#This Row],[Current Price]]/Main_S[[#This Row],[Free CF]],""),"")</f>
        <v>16.456603773584906</v>
      </c>
      <c r="I83" s="1">
        <f>IF(ISNUMBER(Main_S[[#This Row],[BVPS]]),IF(Main_S[[#This Row],[BVPS]]&lt;&gt;0,Main_S[[#This Row],[Current Price]]/Main_S[[#This Row],[BVPS]],""),"")</f>
        <v>1.7684509326845093</v>
      </c>
      <c r="J83">
        <v>12.47</v>
      </c>
      <c r="K83">
        <v>5.05</v>
      </c>
      <c r="L83">
        <v>1.92</v>
      </c>
      <c r="M83" s="1">
        <f>IF(ISNUMBER(Main_S[[#This Row],[EPS]]),IF(Main_S[[#This Row],[EPS]]&lt;&gt;0,Main_S[[#This Row],[Current Price]]/Main_S[[#This Row],[EPS]],""),"")</f>
        <v>14.986254295532644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0.65419095492872525</v>
      </c>
      <c r="P83" s="1">
        <f>(Main_S[[#This Row],[P/B]]-VLOOKUP(Main_S[[#This Row],[Industry]], Mean_PB_S, 2, FALSE))/(VLOOKUP(Main_S[[#This Row],[Industry]], Mean_PB_S, 3, FALSE))</f>
        <v>0.35959874875714881</v>
      </c>
      <c r="Q83" s="1">
        <f>(Main_S[[#This Row],[ROE]]-VLOOKUP(Main_S[[#This Row],[Industry]], Mean_ROE_S, 2, FALSE))/(VLOOKUP(Main_S[[#This Row],[Industry]], Mean_ROE_S, 3, FALSE))</f>
        <v>0.80174831839283633</v>
      </c>
      <c r="R83" s="1">
        <f>(Main_S[[#This Row],[ROA]]-VLOOKUP(Main_S[[#This Row],[Industry]], Mean_ROA_S, 2, FALSE))/(VLOOKUP(Main_S[[#This Row],[Industry]], Mean_ROA_S, 3, FALSE))</f>
        <v>9.2964069146201436E-2</v>
      </c>
      <c r="S83" s="1">
        <f>(Main_S[[#This Row],[A/E]]-VLOOKUP(Main_S[[#This Row],[Industry]], Mean_AE_S, 2, FALSE))/(VLOOKUP(Main_S[[#This Row],[Industry]], Mean_AE_S, 3, FALSE))</f>
        <v>0.26769961711734952</v>
      </c>
      <c r="T83" s="1">
        <f>(Main_S[[#This Row],[P/E]]-VLOOKUP(Main_S[[#This Row],[Industry]], Mean_PE_S, 2, FALSE))/(VLOOKUP(Main_S[[#This Row],[Industry]], Mean_PE_S, 3, FALSE))</f>
        <v>1.0167985006571068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t="s">
        <v>108</v>
      </c>
      <c r="B84" t="s">
        <v>348</v>
      </c>
      <c r="C84" s="2">
        <v>637</v>
      </c>
      <c r="D84">
        <f>RTD("tos.rtd", , "LAST", Main_S[[#This Row],[Symbol]])</f>
        <v>23.34</v>
      </c>
      <c r="E84">
        <v>-2.56</v>
      </c>
      <c r="F84">
        <v>41.44</v>
      </c>
      <c r="G84">
        <v>3.1</v>
      </c>
      <c r="H84" s="1">
        <f>IF(ISNUMBER(Main_S[[#This Row],[Free CF]]),IF(Main_S[[#This Row],[Free CF]]&lt;&gt;0,Main_S[[#This Row],[Current Price]]/Main_S[[#This Row],[Free CF]],""),"")</f>
        <v>-9.1171875</v>
      </c>
      <c r="I84" s="1">
        <f>IF(ISNUMBER(Main_S[[#This Row],[BVPS]]),IF(Main_S[[#This Row],[BVPS]]&lt;&gt;0,Main_S[[#This Row],[Current Price]]/Main_S[[#This Row],[BVPS]],""),"")</f>
        <v>0.56322393822393824</v>
      </c>
      <c r="J84">
        <v>7.97</v>
      </c>
      <c r="K84">
        <v>2.5299999999999998</v>
      </c>
      <c r="L84">
        <v>2.16</v>
      </c>
      <c r="M84" s="1">
        <f>IF(ISNUMBER(Main_S[[#This Row],[EPS]]),IF(Main_S[[#This Row],[EPS]]&lt;&gt;0,Main_S[[#This Row],[Current Price]]/Main_S[[#This Row],[EPS]],""),"")</f>
        <v>7.5290322580645155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-1.8022998613468406</v>
      </c>
      <c r="P84" s="1">
        <f>(Main_S[[#This Row],[P/B]]-VLOOKUP(Main_S[[#This Row],[Industry]], Mean_PB_S, 2, FALSE))/(VLOOKUP(Main_S[[#This Row],[Industry]], Mean_PB_S, 3, FALSE))</f>
        <v>-1.1157656492192423</v>
      </c>
      <c r="Q84" s="1">
        <f>(Main_S[[#This Row],[ROE]]-VLOOKUP(Main_S[[#This Row],[Industry]], Mean_ROE_S, 2, FALSE))/(VLOOKUP(Main_S[[#This Row],[Industry]], Mean_ROE_S, 3, FALSE))</f>
        <v>-0.87200461433447596</v>
      </c>
      <c r="R84" s="1">
        <f>(Main_S[[#This Row],[ROA]]-VLOOKUP(Main_S[[#This Row],[Industry]], Mean_ROA_S, 2, FALSE))/(VLOOKUP(Main_S[[#This Row],[Industry]], Mean_ROA_S, 3, FALSE))</f>
        <v>-1.2633327712394313</v>
      </c>
      <c r="S84" s="1">
        <f>(Main_S[[#This Row],[A/E]]-VLOOKUP(Main_S[[#This Row],[Industry]], Mean_AE_S, 2, FALSE))/(VLOOKUP(Main_S[[#This Row],[Industry]], Mean_AE_S, 3, FALSE))</f>
        <v>0.92329051618024627</v>
      </c>
      <c r="T84" s="1">
        <f>(Main_S[[#This Row],[P/E]]-VLOOKUP(Main_S[[#This Row],[Industry]], Mean_PE_S, 2, FALSE))/(VLOOKUP(Main_S[[#This Row],[Industry]], Mean_PE_S, 3, FALSE))</f>
        <v>-0.22370177028979094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t="s">
        <v>108</v>
      </c>
      <c r="B85" t="s">
        <v>349</v>
      </c>
      <c r="C85" s="2">
        <v>1627</v>
      </c>
      <c r="D85">
        <f>RTD("tos.rtd", , "LAST", Main_S[[#This Row],[Symbol]])</f>
        <v>56.87</v>
      </c>
      <c r="E85">
        <v>-2.2200000000000002</v>
      </c>
      <c r="F85">
        <v>84.41</v>
      </c>
      <c r="G85">
        <v>9.6999999999999993</v>
      </c>
      <c r="H85" s="1">
        <f>IF(ISNUMBER(Main_S[[#This Row],[Free CF]]),IF(Main_S[[#This Row],[Free CF]]&lt;&gt;0,Main_S[[#This Row],[Current Price]]/Main_S[[#This Row],[Free CF]],""),"")</f>
        <v>-25.617117117117115</v>
      </c>
      <c r="I85" s="1">
        <f>IF(ISNUMBER(Main_S[[#This Row],[BVPS]]),IF(Main_S[[#This Row],[BVPS]]&lt;&gt;0,Main_S[[#This Row],[Current Price]]/Main_S[[#This Row],[BVPS]],""),"")</f>
        <v>0.67373533941476127</v>
      </c>
      <c r="J85">
        <v>12.36</v>
      </c>
      <c r="K85">
        <v>5.91</v>
      </c>
      <c r="L85">
        <v>1.77</v>
      </c>
      <c r="M85" s="1">
        <f>IF(ISNUMBER(Main_S[[#This Row],[EPS]]),IF(Main_S[[#This Row],[EPS]]&lt;&gt;0,Main_S[[#This Row],[Current Price]]/Main_S[[#This Row],[EPS]],""),"")</f>
        <v>5.8628865979381448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-3.3872007913668143</v>
      </c>
      <c r="P85" s="1">
        <f>(Main_S[[#This Row],[P/B]]-VLOOKUP(Main_S[[#This Row],[Industry]], Mean_PB_S, 2, FALSE))/(VLOOKUP(Main_S[[#This Row],[Industry]], Mean_PB_S, 3, FALSE))</f>
        <v>-0.98048442200079555</v>
      </c>
      <c r="Q85" s="1">
        <f>(Main_S[[#This Row],[ROE]]-VLOOKUP(Main_S[[#This Row],[Industry]], Mean_ROE_S, 2, FALSE))/(VLOOKUP(Main_S[[#This Row],[Industry]], Mean_ROE_S, 3, FALSE))</f>
        <v>0.76083435781505715</v>
      </c>
      <c r="R85" s="1">
        <f>(Main_S[[#This Row],[ROA]]-VLOOKUP(Main_S[[#This Row],[Industry]], Mean_ROA_S, 2, FALSE))/(VLOOKUP(Main_S[[#This Row],[Industry]], Mean_ROA_S, 3, FALSE))</f>
        <v>0.55582727657939368</v>
      </c>
      <c r="S85" s="1">
        <f>(Main_S[[#This Row],[A/E]]-VLOOKUP(Main_S[[#This Row],[Industry]], Mean_AE_S, 2, FALSE))/(VLOOKUP(Main_S[[#This Row],[Industry]], Mean_AE_S, 3, FALSE))</f>
        <v>-0.14204469479696036</v>
      </c>
      <c r="T85" s="1">
        <f>(Main_S[[#This Row],[P/E]]-VLOOKUP(Main_S[[#This Row],[Industry]], Mean_PE_S, 2, FALSE))/(VLOOKUP(Main_S[[#This Row],[Industry]], Mean_PE_S, 3, FALSE))</f>
        <v>-0.50086317603029873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t="s">
        <v>108</v>
      </c>
      <c r="B86" t="s">
        <v>350</v>
      </c>
      <c r="C86" s="2">
        <v>590</v>
      </c>
      <c r="D86">
        <f>RTD("tos.rtd", , "LAST", Main_S[[#This Row],[Symbol]])</f>
        <v>112.42</v>
      </c>
      <c r="E86">
        <v>4.62</v>
      </c>
      <c r="F86">
        <v>114.12</v>
      </c>
      <c r="G86">
        <v>32.36</v>
      </c>
      <c r="H86" s="1">
        <f>IF(ISNUMBER(Main_S[[#This Row],[Free CF]]),IF(Main_S[[#This Row],[Free CF]]&lt;&gt;0,Main_S[[#This Row],[Current Price]]/Main_S[[#This Row],[Free CF]],""),"")</f>
        <v>24.333333333333332</v>
      </c>
      <c r="I86" s="1">
        <f>IF(ISNUMBER(Main_S[[#This Row],[BVPS]]),IF(Main_S[[#This Row],[BVPS]]&lt;&gt;0,Main_S[[#This Row],[Current Price]]/Main_S[[#This Row],[BVPS]],""),"")</f>
        <v>0.98510339992989837</v>
      </c>
      <c r="J86">
        <v>34.729999999999997</v>
      </c>
      <c r="K86">
        <v>7.04</v>
      </c>
      <c r="L86">
        <v>3.75</v>
      </c>
      <c r="M86" s="1">
        <f>IF(ISNUMBER(Main_S[[#This Row],[EPS]]),IF(Main_S[[#This Row],[EPS]]&lt;&gt;0,Main_S[[#This Row],[Current Price]]/Main_S[[#This Row],[EPS]],""),"")</f>
        <v>3.4740420271940669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1.4107903038017231</v>
      </c>
      <c r="P86" s="1">
        <f>(Main_S[[#This Row],[P/B]]-VLOOKUP(Main_S[[#This Row],[Industry]], Mean_PB_S, 2, FALSE))/(VLOOKUP(Main_S[[#This Row],[Industry]], Mean_PB_S, 3, FALSE))</f>
        <v>-0.59932688631466602</v>
      </c>
      <c r="Q86" s="1">
        <f>(Main_S[[#This Row],[ROE]]-VLOOKUP(Main_S[[#This Row],[Industry]], Mean_ROE_S, 2, FALSE))/(VLOOKUP(Main_S[[#This Row],[Industry]], Mean_ROE_S, 3, FALSE))</f>
        <v>9.0812461589506039</v>
      </c>
      <c r="R86" s="1">
        <f>(Main_S[[#This Row],[ROA]]-VLOOKUP(Main_S[[#This Row],[Industry]], Mean_ROA_S, 2, FALSE))/(VLOOKUP(Main_S[[#This Row],[Industry]], Mean_ROA_S, 3, FALSE))</f>
        <v>1.1640080026253321</v>
      </c>
      <c r="S86" s="1">
        <f>(Main_S[[#This Row],[A/E]]-VLOOKUP(Main_S[[#This Row],[Industry]], Mean_AE_S, 2, FALSE))/(VLOOKUP(Main_S[[#This Row],[Industry]], Mean_AE_S, 3, FALSE))</f>
        <v>5.2665802224719327</v>
      </c>
      <c r="T86" s="1">
        <f>(Main_S[[#This Row],[P/E]]-VLOOKUP(Main_S[[#This Row],[Industry]], Mean_PE_S, 2, FALSE))/(VLOOKUP(Main_S[[#This Row],[Industry]], Mean_PE_S, 3, FALSE))</f>
        <v>-0.89824471065122224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t="s">
        <v>108</v>
      </c>
      <c r="B87" t="s">
        <v>351</v>
      </c>
      <c r="C87" s="2">
        <v>601</v>
      </c>
      <c r="D87">
        <f>RTD("tos.rtd", , "LAST", Main_S[[#This Row],[Symbol]])</f>
        <v>23.54</v>
      </c>
      <c r="E87">
        <v>1.1100000000000001</v>
      </c>
      <c r="F87">
        <v>20.45</v>
      </c>
      <c r="G87">
        <v>2.48</v>
      </c>
      <c r="H87" s="1">
        <f>IF(ISNUMBER(Main_S[[#This Row],[Free CF]]),IF(Main_S[[#This Row],[Free CF]]&lt;&gt;0,Main_S[[#This Row],[Current Price]]/Main_S[[#This Row],[Free CF]],""),"")</f>
        <v>21.207207207207205</v>
      </c>
      <c r="I87" s="1">
        <f>IF(ISNUMBER(Main_S[[#This Row],[BVPS]]),IF(Main_S[[#This Row],[BVPS]]&lt;&gt;0,Main_S[[#This Row],[Current Price]]/Main_S[[#This Row],[BVPS]],""),"")</f>
        <v>1.1511002444987775</v>
      </c>
      <c r="J87">
        <v>13.25</v>
      </c>
      <c r="K87">
        <v>7.64</v>
      </c>
      <c r="L87">
        <v>1.08</v>
      </c>
      <c r="M87" s="1">
        <f>IF(ISNUMBER(Main_S[[#This Row],[EPS]]),IF(Main_S[[#This Row],[EPS]]&lt;&gt;0,Main_S[[#This Row],[Current Price]]/Main_S[[#This Row],[EPS]],""),"")</f>
        <v>9.491935483870968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1.1105102226359762</v>
      </c>
      <c r="P87" s="1">
        <f>(Main_S[[#This Row],[P/B]]-VLOOKUP(Main_S[[#This Row],[Industry]], Mean_PB_S, 2, FALSE))/(VLOOKUP(Main_S[[#This Row],[Industry]], Mean_PB_S, 3, FALSE))</f>
        <v>-0.39612380857165674</v>
      </c>
      <c r="Q87" s="1">
        <f>(Main_S[[#This Row],[ROE]]-VLOOKUP(Main_S[[#This Row],[Industry]], Mean_ROE_S, 2, FALSE))/(VLOOKUP(Main_S[[#This Row],[Industry]], Mean_ROE_S, 3, FALSE))</f>
        <v>1.0918654933989034</v>
      </c>
      <c r="R87" s="1">
        <f>(Main_S[[#This Row],[ROA]]-VLOOKUP(Main_S[[#This Row],[Industry]], Mean_ROA_S, 2, FALSE))/(VLOOKUP(Main_S[[#This Row],[Industry]], Mean_ROA_S, 3, FALSE))</f>
        <v>1.4869358217647684</v>
      </c>
      <c r="S87" s="1">
        <f>(Main_S[[#This Row],[A/E]]-VLOOKUP(Main_S[[#This Row],[Industry]], Mean_AE_S, 2, FALSE))/(VLOOKUP(Main_S[[#This Row],[Industry]], Mean_AE_S, 3, FALSE))</f>
        <v>-2.0268685296027869</v>
      </c>
      <c r="T87" s="1">
        <f>(Main_S[[#This Row],[P/E]]-VLOOKUP(Main_S[[#This Row],[Industry]], Mean_PE_S, 2, FALSE))/(VLOOKUP(Main_S[[#This Row],[Industry]], Mean_PE_S, 3, FALSE))</f>
        <v>0.10282491367122029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t="s">
        <v>108</v>
      </c>
      <c r="B88" t="s">
        <v>352</v>
      </c>
      <c r="C88" s="2">
        <v>1266</v>
      </c>
      <c r="D88">
        <f>RTD("tos.rtd", , "LAST", Main_S[[#This Row],[Symbol]])</f>
        <v>59.58</v>
      </c>
      <c r="E88">
        <v>-7.37</v>
      </c>
      <c r="F88">
        <v>87.27</v>
      </c>
      <c r="G88">
        <v>7.76</v>
      </c>
      <c r="H88" s="1">
        <f>IF(ISNUMBER(Main_S[[#This Row],[Free CF]]),IF(Main_S[[#This Row],[Free CF]]&lt;&gt;0,Main_S[[#This Row],[Current Price]]/Main_S[[#This Row],[Free CF]],""),"")</f>
        <v>-8.0841248303934865</v>
      </c>
      <c r="I88" s="1">
        <f>IF(ISNUMBER(Main_S[[#This Row],[BVPS]]),IF(Main_S[[#This Row],[BVPS]]&lt;&gt;0,Main_S[[#This Row],[Current Price]]/Main_S[[#This Row],[BVPS]],""),"")</f>
        <v>0.6827088346510829</v>
      </c>
      <c r="J88">
        <v>9.36</v>
      </c>
      <c r="K88">
        <v>3.33</v>
      </c>
      <c r="L88">
        <v>1.9</v>
      </c>
      <c r="M88" s="1">
        <f>IF(ISNUMBER(Main_S[[#This Row],[EPS]]),IF(Main_S[[#This Row],[EPS]]&lt;&gt;0,Main_S[[#This Row],[Current Price]]/Main_S[[#This Row],[EPS]],""),"")</f>
        <v>7.677835051546392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-1.7030690146813048</v>
      </c>
      <c r="P88" s="1">
        <f>(Main_S[[#This Row],[P/B]]-VLOOKUP(Main_S[[#This Row],[Industry]], Mean_PB_S, 2, FALSE))/(VLOOKUP(Main_S[[#This Row],[Industry]], Mean_PB_S, 3, FALSE))</f>
        <v>-0.96949962373629506</v>
      </c>
      <c r="Q88" s="1">
        <f>(Main_S[[#This Row],[ROE]]-VLOOKUP(Main_S[[#This Row],[Industry]], Mean_ROE_S, 2, FALSE))/(VLOOKUP(Main_S[[#This Row],[Industry]], Mean_ROE_S, 3, FALSE))</f>
        <v>-0.35500093066981753</v>
      </c>
      <c r="R88" s="1">
        <f>(Main_S[[#This Row],[ROA]]-VLOOKUP(Main_S[[#This Row],[Industry]], Mean_ROA_S, 2, FALSE))/(VLOOKUP(Main_S[[#This Row],[Industry]], Mean_ROA_S, 3, FALSE))</f>
        <v>-0.83276234572018271</v>
      </c>
      <c r="S88" s="1">
        <f>(Main_S[[#This Row],[A/E]]-VLOOKUP(Main_S[[#This Row],[Industry]], Mean_AE_S, 2, FALSE))/(VLOOKUP(Main_S[[#This Row],[Industry]], Mean_AE_S, 3, FALSE))</f>
        <v>0.21306704219544145</v>
      </c>
      <c r="T88" s="1">
        <f>(Main_S[[#This Row],[P/E]]-VLOOKUP(Main_S[[#This Row],[Industry]], Mean_PE_S, 2, FALSE))/(VLOOKUP(Main_S[[#This Row],[Industry]], Mean_PE_S, 3, FALSE))</f>
        <v>-0.1989485974991099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t="s">
        <v>108</v>
      </c>
      <c r="B89" t="s">
        <v>353</v>
      </c>
      <c r="C89" s="2">
        <v>973</v>
      </c>
      <c r="D89">
        <f>RTD("tos.rtd", , "LAST", Main_S[[#This Row],[Symbol]])</f>
        <v>20.77</v>
      </c>
      <c r="E89">
        <v>1.72</v>
      </c>
      <c r="F89">
        <v>8.32</v>
      </c>
      <c r="G89">
        <v>1.81</v>
      </c>
      <c r="H89" s="1">
        <f>IF(ISNUMBER(Main_S[[#This Row],[Free CF]]),IF(Main_S[[#This Row],[Free CF]]&lt;&gt;0,Main_S[[#This Row],[Current Price]]/Main_S[[#This Row],[Free CF]],""),"")</f>
        <v>12.075581395348838</v>
      </c>
      <c r="I89" s="1">
        <f>IF(ISNUMBER(Main_S[[#This Row],[BVPS]]),IF(Main_S[[#This Row],[BVPS]]&lt;&gt;0,Main_S[[#This Row],[Current Price]]/Main_S[[#This Row],[BVPS]],""),"")</f>
        <v>2.4963942307692308</v>
      </c>
      <c r="J89">
        <v>36.630000000000003</v>
      </c>
      <c r="K89">
        <v>17.98</v>
      </c>
      <c r="L89">
        <v>6.46</v>
      </c>
      <c r="M89" s="1">
        <f>IF(ISNUMBER(Main_S[[#This Row],[EPS]]),IF(Main_S[[#This Row],[EPS]]&lt;&gt;0,Main_S[[#This Row],[Current Price]]/Main_S[[#This Row],[EPS]],""),"")</f>
        <v>11.47513812154696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0.23337179976690861</v>
      </c>
      <c r="P89" s="1">
        <f>(Main_S[[#This Row],[P/B]]-VLOOKUP(Main_S[[#This Row],[Industry]], Mean_PB_S, 2, FALSE))/(VLOOKUP(Main_S[[#This Row],[Industry]], Mean_PB_S, 3, FALSE))</f>
        <v>1.2507019439858622</v>
      </c>
      <c r="Q89" s="1">
        <f>(Main_S[[#This Row],[ROE]]-VLOOKUP(Main_S[[#This Row],[Industry]], Mean_ROE_S, 2, FALSE))/(VLOOKUP(Main_S[[#This Row],[Industry]], Mean_ROE_S, 3, FALSE))</f>
        <v>9.7879418416576947</v>
      </c>
      <c r="R89" s="1">
        <f>(Main_S[[#This Row],[ROA]]-VLOOKUP(Main_S[[#This Row],[Industry]], Mean_ROA_S, 2, FALSE))/(VLOOKUP(Main_S[[#This Row],[Industry]], Mean_ROA_S, 3, FALSE))</f>
        <v>7.0520585716010551</v>
      </c>
      <c r="S89" s="1">
        <f>(Main_S[[#This Row],[A/E]]-VLOOKUP(Main_S[[#This Row],[Industry]], Mean_AE_S, 2, FALSE))/(VLOOKUP(Main_S[[#This Row],[Industry]], Mean_AE_S, 3, FALSE))</f>
        <v>12.669294124390468</v>
      </c>
      <c r="T89" s="1">
        <f>(Main_S[[#This Row],[P/E]]-VLOOKUP(Main_S[[#This Row],[Industry]], Mean_PE_S, 2, FALSE))/(VLOOKUP(Main_S[[#This Row],[Industry]], Mean_PE_S, 3, FALSE))</f>
        <v>0.43272838134575181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t="s">
        <v>108</v>
      </c>
      <c r="B90" t="s">
        <v>354</v>
      </c>
      <c r="C90" s="2">
        <v>1292</v>
      </c>
      <c r="D90">
        <f>RTD("tos.rtd", , "LAST", Main_S[[#This Row],[Symbol]])</f>
        <v>6.25</v>
      </c>
      <c r="E90">
        <v>1.1499999999999999</v>
      </c>
      <c r="F90">
        <v>2.19</v>
      </c>
      <c r="G90">
        <v>0.28999999999999998</v>
      </c>
      <c r="H90" s="1">
        <f>IF(ISNUMBER(Main_S[[#This Row],[Free CF]]),IF(Main_S[[#This Row],[Free CF]]&lt;&gt;0,Main_S[[#This Row],[Current Price]]/Main_S[[#This Row],[Free CF]],""),"")</f>
        <v>5.4347826086956523</v>
      </c>
      <c r="I90" s="1">
        <f>IF(ISNUMBER(Main_S[[#This Row],[BVPS]]),IF(Main_S[[#This Row],[BVPS]]&lt;&gt;0,Main_S[[#This Row],[Current Price]]/Main_S[[#This Row],[BVPS]],""),"")</f>
        <v>2.8538812785388128</v>
      </c>
      <c r="J90">
        <v>12.55</v>
      </c>
      <c r="K90">
        <v>6.71</v>
      </c>
      <c r="L90">
        <v>1.48</v>
      </c>
      <c r="M90" s="1">
        <f>IF(ISNUMBER(Main_S[[#This Row],[EPS]]),IF(Main_S[[#This Row],[EPS]]&lt;&gt;0,Main_S[[#This Row],[Current Price]]/Main_S[[#This Row],[EPS]],""),"")</f>
        <v>21.551724137931036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-0.40451020441591212</v>
      </c>
      <c r="P90" s="1">
        <f>(Main_S[[#This Row],[P/B]]-VLOOKUP(Main_S[[#This Row],[Industry]], Mean_PB_S, 2, FALSE))/(VLOOKUP(Main_S[[#This Row],[Industry]], Mean_PB_S, 3, FALSE))</f>
        <v>1.6883154935006472</v>
      </c>
      <c r="Q90" s="1">
        <f>(Main_S[[#This Row],[ROE]]-VLOOKUP(Main_S[[#This Row],[Industry]], Mean_ROE_S, 2, FALSE))/(VLOOKUP(Main_S[[#This Row],[Industry]], Mean_ROE_S, 3, FALSE))</f>
        <v>0.83150392608576629</v>
      </c>
      <c r="R90" s="1">
        <f>(Main_S[[#This Row],[ROA]]-VLOOKUP(Main_S[[#This Row],[Industry]], Mean_ROA_S, 2, FALSE))/(VLOOKUP(Main_S[[#This Row],[Industry]], Mean_ROA_S, 3, FALSE))</f>
        <v>0.98639770209864208</v>
      </c>
      <c r="S90" s="1">
        <f>(Main_S[[#This Row],[A/E]]-VLOOKUP(Main_S[[#This Row],[Industry]], Mean_AE_S, 2, FALSE))/(VLOOKUP(Main_S[[#This Row],[Industry]], Mean_AE_S, 3, FALSE))</f>
        <v>-0.93421703116462662</v>
      </c>
      <c r="T90" s="1">
        <f>(Main_S[[#This Row],[P/E]]-VLOOKUP(Main_S[[#This Row],[Industry]], Mean_PE_S, 2, FALSE))/(VLOOKUP(Main_S[[#This Row],[Industry]], Mean_PE_S, 3, FALSE))</f>
        <v>2.1089568241544843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t="s">
        <v>108</v>
      </c>
      <c r="B91" t="s">
        <v>355</v>
      </c>
      <c r="C91" s="2">
        <v>562</v>
      </c>
      <c r="D91">
        <f>RTD("tos.rtd", , "LAST", Main_S[[#This Row],[Symbol]])</f>
        <v>31.78</v>
      </c>
      <c r="E91">
        <v>3.61</v>
      </c>
      <c r="F91">
        <v>73.650000000000006</v>
      </c>
      <c r="G91">
        <v>5.37</v>
      </c>
      <c r="H91" s="1">
        <f>IF(ISNUMBER(Main_S[[#This Row],[Free CF]]),IF(Main_S[[#This Row],[Free CF]]&lt;&gt;0,Main_S[[#This Row],[Current Price]]/Main_S[[#This Row],[Free CF]],""),"")</f>
        <v>8.8033240997229925</v>
      </c>
      <c r="I91" s="1">
        <f>IF(ISNUMBER(Main_S[[#This Row],[BVPS]]),IF(Main_S[[#This Row],[BVPS]]&lt;&gt;0,Main_S[[#This Row],[Current Price]]/Main_S[[#This Row],[BVPS]],""),"")</f>
        <v>0.43150033944331295</v>
      </c>
      <c r="J91">
        <v>7.45</v>
      </c>
      <c r="K91">
        <v>4.47</v>
      </c>
      <c r="L91">
        <v>1.86</v>
      </c>
      <c r="M91" s="1">
        <f>IF(ISNUMBER(Main_S[[#This Row],[EPS]]),IF(Main_S[[#This Row],[EPS]]&lt;&gt;0,Main_S[[#This Row],[Current Price]]/Main_S[[#This Row],[EPS]],""),"")</f>
        <v>5.9180633147113593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-8.0944912573600494E-2</v>
      </c>
      <c r="P91" s="1">
        <f>(Main_S[[#This Row],[P/B]]-VLOOKUP(Main_S[[#This Row],[Industry]], Mean_PB_S, 2, FALSE))/(VLOOKUP(Main_S[[#This Row],[Industry]], Mean_PB_S, 3, FALSE))</f>
        <v>-1.2770135377145067</v>
      </c>
      <c r="Q91" s="1">
        <f>(Main_S[[#This Row],[ROE]]-VLOOKUP(Main_S[[#This Row],[Industry]], Mean_ROE_S, 2, FALSE))/(VLOOKUP(Main_S[[#This Row],[Industry]], Mean_ROE_S, 3, FALSE))</f>
        <v>-1.0654160643385207</v>
      </c>
      <c r="R91" s="1">
        <f>(Main_S[[#This Row],[ROA]]-VLOOKUP(Main_S[[#This Row],[Industry]], Mean_ROA_S, 2, FALSE))/(VLOOKUP(Main_S[[#This Row],[Industry]], Mean_ROA_S, 3, FALSE))</f>
        <v>-0.21919948935525374</v>
      </c>
      <c r="S91" s="1">
        <f>(Main_S[[#This Row],[A/E]]-VLOOKUP(Main_S[[#This Row],[Industry]], Mean_AE_S, 2, FALSE))/(VLOOKUP(Main_S[[#This Row],[Industry]], Mean_AE_S, 3, FALSE))</f>
        <v>0.10380189235162593</v>
      </c>
      <c r="T91" s="1">
        <f>(Main_S[[#This Row],[P/E]]-VLOOKUP(Main_S[[#This Row],[Industry]], Mean_PE_S, 2, FALSE))/(VLOOKUP(Main_S[[#This Row],[Industry]], Mean_PE_S, 3, FALSE))</f>
        <v>-0.49168459293819983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t="s">
        <v>109</v>
      </c>
      <c r="B92" t="s">
        <v>356</v>
      </c>
      <c r="C92" s="2">
        <v>251</v>
      </c>
      <c r="D92">
        <f>RTD("tos.rtd", , "LAST", Main_S[[#This Row],[Symbol]])</f>
        <v>27.29</v>
      </c>
      <c r="E92">
        <v>3.42</v>
      </c>
      <c r="F92">
        <v>43.15</v>
      </c>
      <c r="G92">
        <v>-4.45</v>
      </c>
      <c r="H92" s="1">
        <f>IF(ISNUMBER(Main_S[[#This Row],[Free CF]]),IF(Main_S[[#This Row],[Free CF]]&lt;&gt;0,Main_S[[#This Row],[Current Price]]/Main_S[[#This Row],[Free CF]],""),"")</f>
        <v>7.9795321637426904</v>
      </c>
      <c r="I92" s="1">
        <f>IF(ISNUMBER(Main_S[[#This Row],[BVPS]]),IF(Main_S[[#This Row],[BVPS]]&lt;&gt;0,Main_S[[#This Row],[Current Price]]/Main_S[[#This Row],[BVPS]],""),"")</f>
        <v>0.63244495944380075</v>
      </c>
      <c r="J92">
        <v>-9.6999999999999993</v>
      </c>
      <c r="K92">
        <v>-4.5</v>
      </c>
      <c r="L92">
        <v>1.42</v>
      </c>
      <c r="M92" s="1">
        <f>IF(ISNUMBER(Main_S[[#This Row],[EPS]]),IF(Main_S[[#This Row],[EPS]]&lt;&gt;0,Main_S[[#This Row],[Current Price]]/Main_S[[#This Row],[EPS]],""),"")</f>
        <v>-6.1325842696629209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-1.8744669495035506</v>
      </c>
      <c r="P92" s="1">
        <f>(Main_S[[#This Row],[P/B]]-VLOOKUP(Main_S[[#This Row],[Industry]], Mean_PB_S, 2, FALSE))/(VLOOKUP(Main_S[[#This Row],[Industry]], Mean_PB_S, 3, FALSE))</f>
        <v>-1.4104656239268729</v>
      </c>
      <c r="Q92" s="1">
        <f>(Main_S[[#This Row],[ROE]]-VLOOKUP(Main_S[[#This Row],[Industry]], Mean_ROE_S, 2, FALSE))/(VLOOKUP(Main_S[[#This Row],[Industry]], Mean_ROE_S, 3, FALSE))</f>
        <v>-1.0359773720076151</v>
      </c>
      <c r="R92" s="1">
        <f>(Main_S[[#This Row],[ROA]]-VLOOKUP(Main_S[[#This Row],[Industry]], Mean_ROA_S, 2, FALSE))/(VLOOKUP(Main_S[[#This Row],[Industry]], Mean_ROA_S, 3, FALSE))</f>
        <v>-2.1496840605933514</v>
      </c>
      <c r="S92" s="1">
        <f>(Main_S[[#This Row],[A/E]]-VLOOKUP(Main_S[[#This Row],[Industry]], Mean_AE_S, 2, FALSE))/(VLOOKUP(Main_S[[#This Row],[Industry]], Mean_AE_S, 3, FALSE))</f>
        <v>-0.34416888916568783</v>
      </c>
      <c r="T92" s="1">
        <f>(Main_S[[#This Row],[P/E]]-VLOOKUP(Main_S[[#This Row],[Industry]], Mean_PE_S, 2, FALSE))/(VLOOKUP(Main_S[[#This Row],[Industry]], Mean_PE_S, 3, FALSE))</f>
        <v>-0.23858984029861124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t="s">
        <v>109</v>
      </c>
      <c r="B93" t="s">
        <v>357</v>
      </c>
      <c r="C93" s="2">
        <v>583</v>
      </c>
      <c r="D93">
        <f>RTD("tos.rtd", , "LAST", Main_S[[#This Row],[Symbol]])</f>
        <v>32.49</v>
      </c>
      <c r="E93">
        <v>1.08</v>
      </c>
      <c r="F93">
        <v>25.84</v>
      </c>
      <c r="G93">
        <v>-4.42</v>
      </c>
      <c r="H93" s="1">
        <f>IF(ISNUMBER(Main_S[[#This Row],[Free CF]]),IF(Main_S[[#This Row],[Free CF]]&lt;&gt;0,Main_S[[#This Row],[Current Price]]/Main_S[[#This Row],[Free CF]],""),"")</f>
        <v>30.083333333333332</v>
      </c>
      <c r="I93" s="1">
        <f>IF(ISNUMBER(Main_S[[#This Row],[BVPS]]),IF(Main_S[[#This Row],[BVPS]]&lt;&gt;0,Main_S[[#This Row],[Current Price]]/Main_S[[#This Row],[BVPS]],""),"")</f>
        <v>1.2573529411764706</v>
      </c>
      <c r="J93">
        <v>-15.76</v>
      </c>
      <c r="K93">
        <v>0.3</v>
      </c>
      <c r="L93">
        <v>1.45</v>
      </c>
      <c r="M93" s="1">
        <f>IF(ISNUMBER(Main_S[[#This Row],[EPS]]),IF(Main_S[[#This Row],[EPS]]&lt;&gt;0,Main_S[[#This Row],[Current Price]]/Main_S[[#This Row],[EPS]],""),"")</f>
        <v>-7.3506787330316747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4.8633231762757232</v>
      </c>
      <c r="P93" s="1">
        <f>(Main_S[[#This Row],[P/B]]-VLOOKUP(Main_S[[#This Row],[Industry]], Mean_PB_S, 2, FALSE))/(VLOOKUP(Main_S[[#This Row],[Industry]], Mean_PB_S, 3, FALSE))</f>
        <v>-0.36666105019806783</v>
      </c>
      <c r="Q93" s="1">
        <f>(Main_S[[#This Row],[ROE]]-VLOOKUP(Main_S[[#This Row],[Industry]], Mean_ROE_S, 2, FALSE))/(VLOOKUP(Main_S[[#This Row],[Industry]], Mean_ROE_S, 3, FALSE))</f>
        <v>-1.6997915802408847</v>
      </c>
      <c r="R93" s="1">
        <f>(Main_S[[#This Row],[ROA]]-VLOOKUP(Main_S[[#This Row],[Industry]], Mean_ROA_S, 2, FALSE))/(VLOOKUP(Main_S[[#This Row],[Industry]], Mean_ROA_S, 3, FALSE))</f>
        <v>-0.48002653780239884</v>
      </c>
      <c r="S93" s="1">
        <f>(Main_S[[#This Row],[A/E]]-VLOOKUP(Main_S[[#This Row],[Industry]], Mean_AE_S, 2, FALSE))/(VLOOKUP(Main_S[[#This Row],[Industry]], Mean_AE_S, 3, FALSE))</f>
        <v>-0.22370977795769686</v>
      </c>
      <c r="T93" s="1">
        <f>(Main_S[[#This Row],[P/E]]-VLOOKUP(Main_S[[#This Row],[Industry]], Mean_PE_S, 2, FALSE))/(VLOOKUP(Main_S[[#This Row],[Industry]], Mean_PE_S, 3, FALSE))</f>
        <v>-0.27984179313876739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t="s">
        <v>109</v>
      </c>
      <c r="B94" t="s">
        <v>358</v>
      </c>
      <c r="C94" s="2">
        <v>296</v>
      </c>
      <c r="D94">
        <f>RTD("tos.rtd", , "LAST", Main_S[[#This Row],[Symbol]])</f>
        <v>17.54</v>
      </c>
      <c r="E94">
        <v>-0.81</v>
      </c>
      <c r="F94">
        <v>10.63</v>
      </c>
      <c r="G94">
        <v>-0.42</v>
      </c>
      <c r="H94" s="1">
        <f>IF(ISNUMBER(Main_S[[#This Row],[Free CF]]),IF(Main_S[[#This Row],[Free CF]]&lt;&gt;0,Main_S[[#This Row],[Current Price]]/Main_S[[#This Row],[Free CF]],""),"")</f>
        <v>-21.654320987654319</v>
      </c>
      <c r="I94" s="1">
        <f>IF(ISNUMBER(Main_S[[#This Row],[BVPS]]),IF(Main_S[[#This Row],[BVPS]]&lt;&gt;0,Main_S[[#This Row],[Current Price]]/Main_S[[#This Row],[BVPS]],""),"")</f>
        <v>1.6500470366886169</v>
      </c>
      <c r="J94">
        <v>-3.79</v>
      </c>
      <c r="K94">
        <v>-0.21</v>
      </c>
      <c r="L94">
        <v>1.4</v>
      </c>
      <c r="M94" s="1">
        <f>IF(ISNUMBER(Main_S[[#This Row],[EPS]]),IF(Main_S[[#This Row],[EPS]]&lt;&gt;0,Main_S[[#This Row],[Current Price]]/Main_S[[#This Row],[EPS]],""),"")</f>
        <v>-41.761904761904759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-10.907604807573305</v>
      </c>
      <c r="P94" s="1">
        <f>(Main_S[[#This Row],[P/B]]-VLOOKUP(Main_S[[#This Row],[Industry]], Mean_PB_S, 2, FALSE))/(VLOOKUP(Main_S[[#This Row],[Industry]], Mean_PB_S, 3, FALSE))</f>
        <v>0.28926895062439634</v>
      </c>
      <c r="Q94" s="1">
        <f>(Main_S[[#This Row],[ROE]]-VLOOKUP(Main_S[[#This Row],[Industry]], Mean_ROE_S, 2, FALSE))/(VLOOKUP(Main_S[[#This Row],[Industry]], Mean_ROE_S, 3, FALSE))</f>
        <v>-0.3885942085325948</v>
      </c>
      <c r="R94" s="1">
        <f>(Main_S[[#This Row],[ROA]]-VLOOKUP(Main_S[[#This Row],[Industry]], Mean_ROA_S, 2, FALSE))/(VLOOKUP(Main_S[[#This Row],[Industry]], Mean_ROA_S, 3, FALSE))</f>
        <v>-0.65742764959893762</v>
      </c>
      <c r="S94" s="1">
        <f>(Main_S[[#This Row],[A/E]]-VLOOKUP(Main_S[[#This Row],[Industry]], Mean_AE_S, 2, FALSE))/(VLOOKUP(Main_S[[#This Row],[Industry]], Mean_AE_S, 3, FALSE))</f>
        <v>-0.42447496330434847</v>
      </c>
      <c r="T94" s="1">
        <f>(Main_S[[#This Row],[P/E]]-VLOOKUP(Main_S[[#This Row],[Industry]], Mean_PE_S, 2, FALSE))/(VLOOKUP(Main_S[[#This Row],[Industry]], Mean_PE_S, 3, FALSE))</f>
        <v>-1.4452114060907728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t="s">
        <v>109</v>
      </c>
      <c r="B95" t="s">
        <v>359</v>
      </c>
      <c r="C95" s="2">
        <v>1281</v>
      </c>
      <c r="D95">
        <f>RTD("tos.rtd", , "LAST", Main_S[[#This Row],[Symbol]])</f>
        <v>6.55</v>
      </c>
      <c r="E95">
        <v>0.45</v>
      </c>
      <c r="F95">
        <v>13.15</v>
      </c>
      <c r="G95">
        <v>-7.88</v>
      </c>
      <c r="H95" s="1">
        <f>IF(ISNUMBER(Main_S[[#This Row],[Free CF]]),IF(Main_S[[#This Row],[Free CF]]&lt;&gt;0,Main_S[[#This Row],[Current Price]]/Main_S[[#This Row],[Free CF]],""),"")</f>
        <v>14.555555555555555</v>
      </c>
      <c r="I95" s="1">
        <f>IF(ISNUMBER(Main_S[[#This Row],[BVPS]]),IF(Main_S[[#This Row],[BVPS]]&lt;&gt;0,Main_S[[#This Row],[Current Price]]/Main_S[[#This Row],[BVPS]],""),"")</f>
        <v>0.49809885931558934</v>
      </c>
      <c r="J95">
        <v>-46.06</v>
      </c>
      <c r="K95">
        <v>1.5</v>
      </c>
      <c r="L95">
        <v>3.17</v>
      </c>
      <c r="M95" s="1">
        <f>IF(ISNUMBER(Main_S[[#This Row],[EPS]]),IF(Main_S[[#This Row],[EPS]]&lt;&gt;0,Main_S[[#This Row],[Current Price]]/Main_S[[#This Row],[EPS]],""),"")</f>
        <v>-0.83121827411167515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0.13006906384092806</v>
      </c>
      <c r="P95" s="1">
        <f>(Main_S[[#This Row],[P/B]]-VLOOKUP(Main_S[[#This Row],[Industry]], Mean_PB_S, 2, FALSE))/(VLOOKUP(Main_S[[#This Row],[Industry]], Mean_PB_S, 3, FALSE))</f>
        <v>-1.6348683806137683</v>
      </c>
      <c r="Q95" s="1">
        <f>(Main_S[[#This Row],[ROE]]-VLOOKUP(Main_S[[#This Row],[Industry]], Mean_ROE_S, 2, FALSE))/(VLOOKUP(Main_S[[#This Row],[Industry]], Mean_ROE_S, 3, FALSE))</f>
        <v>-5.0188626214072336</v>
      </c>
      <c r="R95" s="1">
        <f>(Main_S[[#This Row],[ROA]]-VLOOKUP(Main_S[[#This Row],[Industry]], Mean_ROA_S, 2, FALSE))/(VLOOKUP(Main_S[[#This Row],[Industry]], Mean_ROA_S, 3, FALSE))</f>
        <v>-6.2612157104660698E-2</v>
      </c>
      <c r="S95" s="1">
        <f>(Main_S[[#This Row],[A/E]]-VLOOKUP(Main_S[[#This Row],[Industry]], Mean_AE_S, 2, FALSE))/(VLOOKUP(Main_S[[#This Row],[Industry]], Mean_AE_S, 3, FALSE))</f>
        <v>6.682612597967112</v>
      </c>
      <c r="T95" s="1">
        <f>(Main_S[[#This Row],[P/E]]-VLOOKUP(Main_S[[#This Row],[Industry]], Mean_PE_S, 2, FALSE))/(VLOOKUP(Main_S[[#This Row],[Industry]], Mean_PE_S, 3, FALSE))</f>
        <v>-5.9053928582803103E-2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t="s">
        <v>109</v>
      </c>
      <c r="B96" t="s">
        <v>360</v>
      </c>
      <c r="C96" s="2">
        <v>291</v>
      </c>
      <c r="D96">
        <f>RTD("tos.rtd", , "LAST", Main_S[[#This Row],[Symbol]])</f>
        <v>8.61</v>
      </c>
      <c r="E96">
        <v>0.59</v>
      </c>
      <c r="F96">
        <v>3.62</v>
      </c>
      <c r="G96">
        <v>0.43</v>
      </c>
      <c r="H96" s="1">
        <f>IF(ISNUMBER(Main_S[[#This Row],[Free CF]]),IF(Main_S[[#This Row],[Free CF]]&lt;&gt;0,Main_S[[#This Row],[Current Price]]/Main_S[[#This Row],[Free CF]],""),"")</f>
        <v>14.59322033898305</v>
      </c>
      <c r="I96" s="1">
        <f>IF(ISNUMBER(Main_S[[#This Row],[BVPS]]),IF(Main_S[[#This Row],[BVPS]]&lt;&gt;0,Main_S[[#This Row],[Current Price]]/Main_S[[#This Row],[BVPS]],""),"")</f>
        <v>2.3784530386740328</v>
      </c>
      <c r="J96">
        <v>11.13</v>
      </c>
      <c r="K96">
        <v>5.01</v>
      </c>
      <c r="L96">
        <v>1.45</v>
      </c>
      <c r="M96" s="1">
        <f>IF(ISNUMBER(Main_S[[#This Row],[EPS]]),IF(Main_S[[#This Row],[EPS]]&lt;&gt;0,Main_S[[#This Row],[Current Price]]/Main_S[[#This Row],[EPS]],""),"")</f>
        <v>20.023255813953487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0.14155022963319569</v>
      </c>
      <c r="P96" s="1">
        <f>(Main_S[[#This Row],[P/B]]-VLOOKUP(Main_S[[#This Row],[Industry]], Mean_PB_S, 2, FALSE))/(VLOOKUP(Main_S[[#This Row],[Industry]], Mean_PB_S, 3, FALSE))</f>
        <v>1.5059497078388973</v>
      </c>
      <c r="Q96" s="1">
        <f>(Main_S[[#This Row],[ROE]]-VLOOKUP(Main_S[[#This Row],[Industry]], Mean_ROE_S, 2, FALSE))/(VLOOKUP(Main_S[[#This Row],[Industry]], Mean_ROE_S, 3, FALSE))</f>
        <v>1.2457470434212639</v>
      </c>
      <c r="R96" s="1">
        <f>(Main_S[[#This Row],[ROA]]-VLOOKUP(Main_S[[#This Row],[Industry]], Mean_ROA_S, 2, FALSE))/(VLOOKUP(Main_S[[#This Row],[Industry]], Mean_ROA_S, 3, FALSE))</f>
        <v>1.1583249064362235</v>
      </c>
      <c r="S96" s="1">
        <f>(Main_S[[#This Row],[A/E]]-VLOOKUP(Main_S[[#This Row],[Industry]], Mean_AE_S, 2, FALSE))/(VLOOKUP(Main_S[[#This Row],[Industry]], Mean_AE_S, 3, FALSE))</f>
        <v>-0.22370977795769686</v>
      </c>
      <c r="T96" s="1">
        <f>(Main_S[[#This Row],[P/E]]-VLOOKUP(Main_S[[#This Row],[Industry]], Mean_PE_S, 2, FALSE))/(VLOOKUP(Main_S[[#This Row],[Industry]], Mean_PE_S, 3, FALSE))</f>
        <v>0.64720310439632711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t="s">
        <v>109</v>
      </c>
      <c r="B97" t="s">
        <v>361</v>
      </c>
      <c r="C97" s="2">
        <v>1894</v>
      </c>
      <c r="D97">
        <f>RTD("tos.rtd", , "LAST", Main_S[[#This Row],[Symbol]])</f>
        <v>38.64</v>
      </c>
      <c r="E97">
        <v>2.99</v>
      </c>
      <c r="F97">
        <v>21.82</v>
      </c>
      <c r="G97">
        <v>0.71</v>
      </c>
      <c r="H97" s="1">
        <f>IF(ISNUMBER(Main_S[[#This Row],[Free CF]]),IF(Main_S[[#This Row],[Free CF]]&lt;&gt;0,Main_S[[#This Row],[Current Price]]/Main_S[[#This Row],[Free CF]],""),"")</f>
        <v>12.923076923076922</v>
      </c>
      <c r="I97" s="1">
        <f>IF(ISNUMBER(Main_S[[#This Row],[BVPS]]),IF(Main_S[[#This Row],[BVPS]]&lt;&gt;0,Main_S[[#This Row],[Current Price]]/Main_S[[#This Row],[BVPS]],""),"")</f>
        <v>1.7708524289642529</v>
      </c>
      <c r="J97">
        <v>3.11</v>
      </c>
      <c r="K97">
        <v>2.44</v>
      </c>
      <c r="L97">
        <v>4.4400000000000004</v>
      </c>
      <c r="M97" s="1">
        <f>IF(ISNUMBER(Main_S[[#This Row],[EPS]]),IF(Main_S[[#This Row],[EPS]]&lt;&gt;0,Main_S[[#This Row],[Current Price]]/Main_S[[#This Row],[EPS]],""),"")</f>
        <v>54.422535211267608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-0.36755115659394005</v>
      </c>
      <c r="P97" s="1">
        <f>(Main_S[[#This Row],[P/B]]-VLOOKUP(Main_S[[#This Row],[Industry]], Mean_PB_S, 2, FALSE))/(VLOOKUP(Main_S[[#This Row],[Industry]], Mean_PB_S, 3, FALSE))</f>
        <v>0.49105421289418544</v>
      </c>
      <c r="Q97" s="1">
        <f>(Main_S[[#This Row],[ROE]]-VLOOKUP(Main_S[[#This Row],[Industry]], Mean_ROE_S, 2, FALSE))/(VLOOKUP(Main_S[[#This Row],[Industry]], Mean_ROE_S, 3, FALSE))</f>
        <v>0.36723385034687067</v>
      </c>
      <c r="R97" s="1">
        <f>(Main_S[[#This Row],[ROA]]-VLOOKUP(Main_S[[#This Row],[Industry]], Mean_ROA_S, 2, FALSE))/(VLOOKUP(Main_S[[#This Row],[Industry]], Mean_ROA_S, 3, FALSE))</f>
        <v>0.26436244110856749</v>
      </c>
      <c r="S97" s="1">
        <f>(Main_S[[#This Row],[A/E]]-VLOOKUP(Main_S[[#This Row],[Industry]], Mean_AE_S, 2, FALSE))/(VLOOKUP(Main_S[[#This Row],[Industry]], Mean_AE_S, 3, FALSE))</f>
        <v>11.78204830577206</v>
      </c>
      <c r="T97" s="1">
        <f>(Main_S[[#This Row],[P/E]]-VLOOKUP(Main_S[[#This Row],[Industry]], Mean_PE_S, 2, FALSE))/(VLOOKUP(Main_S[[#This Row],[Industry]], Mean_PE_S, 3, FALSE))</f>
        <v>1.81216813305993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t="s">
        <v>109</v>
      </c>
      <c r="B98" t="s">
        <v>362</v>
      </c>
      <c r="C98" s="2">
        <v>546</v>
      </c>
      <c r="D98">
        <f>RTD("tos.rtd", , "LAST", Main_S[[#This Row],[Symbol]])</f>
        <v>36.99</v>
      </c>
      <c r="E98">
        <v>2.3199999999999998</v>
      </c>
      <c r="F98">
        <v>19.39</v>
      </c>
      <c r="G98">
        <v>1.83</v>
      </c>
      <c r="H98" s="1">
        <f>IF(ISNUMBER(Main_S[[#This Row],[Free CF]]),IF(Main_S[[#This Row],[Free CF]]&lt;&gt;0,Main_S[[#This Row],[Current Price]]/Main_S[[#This Row],[Free CF]],""),"")</f>
        <v>15.943965517241381</v>
      </c>
      <c r="I98" s="1">
        <f>IF(ISNUMBER(Main_S[[#This Row],[BVPS]]),IF(Main_S[[#This Row],[BVPS]]&lt;&gt;0,Main_S[[#This Row],[Current Price]]/Main_S[[#This Row],[BVPS]],""),"")</f>
        <v>1.9076843733883446</v>
      </c>
      <c r="J98">
        <v>9.56</v>
      </c>
      <c r="K98">
        <v>5.59</v>
      </c>
      <c r="L98">
        <v>1.18</v>
      </c>
      <c r="M98" s="1">
        <f>IF(ISNUMBER(Main_S[[#This Row],[EPS]]),IF(Main_S[[#This Row],[EPS]]&lt;&gt;0,Main_S[[#This Row],[Current Price]]/Main_S[[#This Row],[EPS]],""),"")</f>
        <v>20.21311475409836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0.55329106346922019</v>
      </c>
      <c r="P98" s="1">
        <f>(Main_S[[#This Row],[P/B]]-VLOOKUP(Main_S[[#This Row],[Industry]], Mean_PB_S, 2, FALSE))/(VLOOKUP(Main_S[[#This Row],[Industry]], Mean_PB_S, 3, FALSE))</f>
        <v>0.71960915793755387</v>
      </c>
      <c r="Q98" s="1">
        <f>(Main_S[[#This Row],[ROE]]-VLOOKUP(Main_S[[#This Row],[Industry]], Mean_ROE_S, 2, FALSE))/(VLOOKUP(Main_S[[#This Row],[Industry]], Mean_ROE_S, 3, FALSE))</f>
        <v>1.0737687749515885</v>
      </c>
      <c r="R98" s="1">
        <f>(Main_S[[#This Row],[ROA]]-VLOOKUP(Main_S[[#This Row],[Industry]], Mean_ROA_S, 2, FALSE))/(VLOOKUP(Main_S[[#This Row],[Industry]], Mean_ROA_S, 3, FALSE))</f>
        <v>1.3600751904401303</v>
      </c>
      <c r="S98" s="1">
        <f>(Main_S[[#This Row],[A/E]]-VLOOKUP(Main_S[[#This Row],[Industry]], Mean_AE_S, 2, FALSE))/(VLOOKUP(Main_S[[#This Row],[Industry]], Mean_AE_S, 3, FALSE))</f>
        <v>-1.3078417788296146</v>
      </c>
      <c r="T98" s="1">
        <f>(Main_S[[#This Row],[P/E]]-VLOOKUP(Main_S[[#This Row],[Industry]], Mean_PE_S, 2, FALSE))/(VLOOKUP(Main_S[[#This Row],[Industry]], Mean_PE_S, 3, FALSE))</f>
        <v>0.65363286192389858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t="s">
        <v>109</v>
      </c>
      <c r="B99" t="s">
        <v>363</v>
      </c>
      <c r="C99" s="2">
        <v>405</v>
      </c>
      <c r="D99">
        <f>RTD("tos.rtd", , "LAST", Main_S[[#This Row],[Symbol]])</f>
        <v>9.6999999999999993</v>
      </c>
      <c r="E99">
        <v>-0.4</v>
      </c>
      <c r="F99">
        <v>8.27</v>
      </c>
      <c r="G99">
        <v>0.66</v>
      </c>
      <c r="H99" s="1">
        <f>IF(ISNUMBER(Main_S[[#This Row],[Free CF]]),IF(Main_S[[#This Row],[Free CF]]&lt;&gt;0,Main_S[[#This Row],[Current Price]]/Main_S[[#This Row],[Free CF]],""),"")</f>
        <v>-24.249999999999996</v>
      </c>
      <c r="I99" s="1">
        <f>IF(ISNUMBER(Main_S[[#This Row],[BVPS]]),IF(Main_S[[#This Row],[BVPS]]&lt;&gt;0,Main_S[[#This Row],[Current Price]]/Main_S[[#This Row],[BVPS]],""),"")</f>
        <v>1.1729141475211609</v>
      </c>
      <c r="J99">
        <v>8.0500000000000007</v>
      </c>
      <c r="K99">
        <v>3.59</v>
      </c>
      <c r="L99">
        <v>1.59</v>
      </c>
      <c r="M99" s="1">
        <f>IF(ISNUMBER(Main_S[[#This Row],[EPS]]),IF(Main_S[[#This Row],[EPS]]&lt;&gt;0,Main_S[[#This Row],[Current Price]]/Main_S[[#This Row],[EPS]],""),"")</f>
        <v>14.696969696969695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-11.698832537360161</v>
      </c>
      <c r="P99" s="1">
        <f>(Main_S[[#This Row],[P/B]]-VLOOKUP(Main_S[[#This Row],[Industry]], Mean_PB_S, 2, FALSE))/(VLOOKUP(Main_S[[#This Row],[Industry]], Mean_PB_S, 3, FALSE))</f>
        <v>-0.50770197397244132</v>
      </c>
      <c r="Q99" s="1">
        <f>(Main_S[[#This Row],[ROE]]-VLOOKUP(Main_S[[#This Row],[Industry]], Mean_ROE_S, 2, FALSE))/(VLOOKUP(Main_S[[#This Row],[Industry]], Mean_ROE_S, 3, FALSE))</f>
        <v>0.90836292438521271</v>
      </c>
      <c r="R99" s="1">
        <f>(Main_S[[#This Row],[ROA]]-VLOOKUP(Main_S[[#This Row],[Industry]], Mean_ROA_S, 2, FALSE))/(VLOOKUP(Main_S[[#This Row],[Industry]], Mean_ROA_S, 3, FALSE))</f>
        <v>0.66438455594389989</v>
      </c>
      <c r="S99" s="1">
        <f>(Main_S[[#This Row],[A/E]]-VLOOKUP(Main_S[[#This Row],[Industry]], Mean_AE_S, 2, FALSE))/(VLOOKUP(Main_S[[#This Row],[Industry]], Mean_AE_S, 3, FALSE))</f>
        <v>0.33843274101292764</v>
      </c>
      <c r="T99" s="1">
        <f>(Main_S[[#This Row],[P/E]]-VLOOKUP(Main_S[[#This Row],[Industry]], Mean_PE_S, 2, FALSE))/(VLOOKUP(Main_S[[#This Row],[Industry]], Mean_PE_S, 3, FALSE))</f>
        <v>0.46682324854890922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t="s">
        <v>109</v>
      </c>
      <c r="B100" t="s">
        <v>364</v>
      </c>
      <c r="C100" s="2">
        <v>691</v>
      </c>
      <c r="D100">
        <f>RTD("tos.rtd", , "LAST", Main_S[[#This Row],[Symbol]])</f>
        <v>6.76</v>
      </c>
      <c r="E100">
        <v>0.36</v>
      </c>
      <c r="F100">
        <v>3.34</v>
      </c>
      <c r="G100">
        <v>-0.15</v>
      </c>
      <c r="H100" s="1">
        <f>IF(ISNUMBER(Main_S[[#This Row],[Free CF]]),IF(Main_S[[#This Row],[Free CF]]&lt;&gt;0,Main_S[[#This Row],[Current Price]]/Main_S[[#This Row],[Free CF]],""),"")</f>
        <v>18.777777777777779</v>
      </c>
      <c r="I100" s="1">
        <f>IF(ISNUMBER(Main_S[[#This Row],[BVPS]]),IF(Main_S[[#This Row],[BVPS]]&lt;&gt;0,Main_S[[#This Row],[Current Price]]/Main_S[[#This Row],[BVPS]],""),"")</f>
        <v>2.0239520958083834</v>
      </c>
      <c r="J100">
        <v>-4.54</v>
      </c>
      <c r="K100">
        <v>1.4</v>
      </c>
      <c r="L100">
        <v>2.0499999999999998</v>
      </c>
      <c r="M100" s="1">
        <f>IF(ISNUMBER(Main_S[[#This Row],[EPS]]),IF(Main_S[[#This Row],[EPS]]&lt;&gt;0,Main_S[[#This Row],[Current Price]]/Main_S[[#This Row],[EPS]],""),"")</f>
        <v>-45.06666666666667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1.4171077491541464</v>
      </c>
      <c r="P100" s="1">
        <f>(Main_S[[#This Row],[P/B]]-VLOOKUP(Main_S[[#This Row],[Industry]], Mean_PB_S, 2, FALSE))/(VLOOKUP(Main_S[[#This Row],[Industry]], Mean_PB_S, 3, FALSE))</f>
        <v>0.91381499941612332</v>
      </c>
      <c r="Q100" s="1">
        <f>(Main_S[[#This Row],[ROE]]-VLOOKUP(Main_S[[#This Row],[Industry]], Mean_ROE_S, 2, FALSE))/(VLOOKUP(Main_S[[#This Row],[Industry]], Mean_ROE_S, 3, FALSE))</f>
        <v>-0.47074943232384103</v>
      </c>
      <c r="R100" s="1">
        <f>(Main_S[[#This Row],[ROA]]-VLOOKUP(Main_S[[#This Row],[Industry]], Mean_ROA_S, 2, FALSE))/(VLOOKUP(Main_S[[#This Row],[Industry]], Mean_ROA_S, 3, FALSE))</f>
        <v>-9.739668882947225E-2</v>
      </c>
      <c r="S100" s="1">
        <f>(Main_S[[#This Row],[A/E]]-VLOOKUP(Main_S[[#This Row],[Industry]], Mean_AE_S, 2, FALSE))/(VLOOKUP(Main_S[[#This Row],[Industry]], Mean_AE_S, 3, FALSE))</f>
        <v>2.1854724462021196</v>
      </c>
      <c r="T100" s="1">
        <f>(Main_S[[#This Row],[P/E]]-VLOOKUP(Main_S[[#This Row],[Industry]], Mean_PE_S, 2, FALSE))/(VLOOKUP(Main_S[[#This Row],[Industry]], Mean_PE_S, 3, FALSE))</f>
        <v>-1.5571303798181102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t="s">
        <v>115</v>
      </c>
      <c r="B101" t="s">
        <v>438</v>
      </c>
      <c r="C101" s="2">
        <v>1927</v>
      </c>
      <c r="D101">
        <f>RTD("tos.rtd", , "LAST", Main_S[[#This Row],[Symbol]])</f>
        <v>12.72</v>
      </c>
      <c r="E101">
        <v>1.32</v>
      </c>
      <c r="F101">
        <v>9.3699999999999992</v>
      </c>
      <c r="G101">
        <v>1.68</v>
      </c>
      <c r="H101" s="1">
        <f>IF(ISNUMBER(Main_S[[#This Row],[Free CF]]),IF(Main_S[[#This Row],[Free CF]]&lt;&gt;0,Main_S[[#This Row],[Current Price]]/Main_S[[#This Row],[Free CF]],""),"")</f>
        <v>9.6363636363636367</v>
      </c>
      <c r="I101" s="1">
        <f>IF(ISNUMBER(Main_S[[#This Row],[BVPS]]),IF(Main_S[[#This Row],[BVPS]]&lt;&gt;0,Main_S[[#This Row],[Current Price]]/Main_S[[#This Row],[BVPS]],""),"")</f>
        <v>1.3575240128068304</v>
      </c>
      <c r="J101">
        <v>18.8</v>
      </c>
      <c r="K101">
        <v>7.61</v>
      </c>
      <c r="L101">
        <v>2.17</v>
      </c>
      <c r="M101" s="1">
        <f>IF(ISNUMBER(Main_S[[#This Row],[EPS]]),IF(Main_S[[#This Row],[EPS]]&lt;&gt;0,Main_S[[#This Row],[Current Price]]/Main_S[[#This Row],[EPS]],""),"")</f>
        <v>7.5714285714285721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01" s="1">
        <f>(Main_S[[#This Row],[P/FCF]]-VLOOKUP(Main_S[[#This Row],[Industry]], Mean_PFCF_S, 2, FALSE))/(VLOOKUP(Main_S[[#This Row],[Industry]], Mean_PFCF_S, 3, FALSE))</f>
        <v>-3.8373923873069198E-2</v>
      </c>
      <c r="P101" s="1">
        <f>(Main_S[[#This Row],[P/B]]-VLOOKUP(Main_S[[#This Row],[Industry]], Mean_PB_S, 2, FALSE))/(VLOOKUP(Main_S[[#This Row],[Industry]], Mean_PB_S, 3, FALSE))</f>
        <v>-8.6805957034256573E-2</v>
      </c>
      <c r="Q101" s="1">
        <f>(Main_S[[#This Row],[ROE]]-VLOOKUP(Main_S[[#This Row],[Industry]], Mean_ROE_S, 2, FALSE))/(VLOOKUP(Main_S[[#This Row],[Industry]], Mean_ROE_S, 3, FALSE))</f>
        <v>0.59753831765255572</v>
      </c>
      <c r="R101" s="1">
        <f>(Main_S[[#This Row],[ROA]]-VLOOKUP(Main_S[[#This Row],[Industry]], Mean_ROA_S, 2, FALSE))/(VLOOKUP(Main_S[[#This Row],[Industry]], Mean_ROA_S, 3, FALSE))</f>
        <v>1.3656060445543499</v>
      </c>
      <c r="S101" s="1">
        <f>(Main_S[[#This Row],[A/E]]-VLOOKUP(Main_S[[#This Row],[Industry]], Mean_AE_S, 2, FALSE))/(VLOOKUP(Main_S[[#This Row],[Industry]], Mean_AE_S, 3, FALSE))</f>
        <v>-0.32164697007823095</v>
      </c>
      <c r="T101" s="1">
        <f>(Main_S[[#This Row],[P/E]]-VLOOKUP(Main_S[[#This Row],[Industry]], Mean_PE_S, 2, FALSE))/(VLOOKUP(Main_S[[#This Row],[Industry]], Mean_PE_S, 3, FALSE))</f>
        <v>-9.9301705432973536E-2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t="s">
        <v>115</v>
      </c>
      <c r="B102" t="s">
        <v>439</v>
      </c>
      <c r="C102" s="2">
        <v>1844</v>
      </c>
      <c r="D102">
        <f>RTD("tos.rtd", , "LAST", Main_S[[#This Row],[Symbol]])</f>
        <v>39.28</v>
      </c>
      <c r="E102">
        <v>4</v>
      </c>
      <c r="F102">
        <v>8.4499999999999993</v>
      </c>
      <c r="G102">
        <v>3.89</v>
      </c>
      <c r="H102" s="1">
        <f>IF(ISNUMBER(Main_S[[#This Row],[Free CF]]),IF(Main_S[[#This Row],[Free CF]]&lt;&gt;0,Main_S[[#This Row],[Current Price]]/Main_S[[#This Row],[Free CF]],""),"")</f>
        <v>9.82</v>
      </c>
      <c r="I102" s="1">
        <f>IF(ISNUMBER(Main_S[[#This Row],[BVPS]]),IF(Main_S[[#This Row],[BVPS]]&lt;&gt;0,Main_S[[#This Row],[Current Price]]/Main_S[[#This Row],[BVPS]],""),"")</f>
        <v>4.6485207100591719</v>
      </c>
      <c r="J102">
        <v>46.7</v>
      </c>
      <c r="K102">
        <v>16.73</v>
      </c>
      <c r="L102">
        <v>2.15</v>
      </c>
      <c r="M102" s="1">
        <f>IF(ISNUMBER(Main_S[[#This Row],[EPS]]),IF(Main_S[[#This Row],[EPS]]&lt;&gt;0,Main_S[[#This Row],[Current Price]]/Main_S[[#This Row],[EPS]],""),"")</f>
        <v>10.097686375321336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-2.4790480105628409E-2</v>
      </c>
      <c r="P102" s="1">
        <f>(Main_S[[#This Row],[P/B]]-VLOOKUP(Main_S[[#This Row],[Industry]], Mean_PB_S, 2, FALSE))/(VLOOKUP(Main_S[[#This Row],[Industry]], Mean_PB_S, 3, FALSE))</f>
        <v>2.3289553856323284</v>
      </c>
      <c r="Q102" s="1">
        <f>(Main_S[[#This Row],[ROE]]-VLOOKUP(Main_S[[#This Row],[Industry]], Mean_ROE_S, 2, FALSE))/(VLOOKUP(Main_S[[#This Row],[Industry]], Mean_ROE_S, 3, FALSE))</f>
        <v>1.8730528034108962</v>
      </c>
      <c r="R102" s="1">
        <f>(Main_S[[#This Row],[ROA]]-VLOOKUP(Main_S[[#This Row],[Industry]], Mean_ROA_S, 2, FALSE))/(VLOOKUP(Main_S[[#This Row],[Industry]], Mean_ROA_S, 3, FALSE))</f>
        <v>3.8124286626949537</v>
      </c>
      <c r="S102" s="1">
        <f>(Main_S[[#This Row],[A/E]]-VLOOKUP(Main_S[[#This Row],[Industry]], Mean_AE_S, 2, FALSE))/(VLOOKUP(Main_S[[#This Row],[Industry]], Mean_AE_S, 3, FALSE))</f>
        <v>-0.33421576819851712</v>
      </c>
      <c r="T102" s="1">
        <f>(Main_S[[#This Row],[P/E]]-VLOOKUP(Main_S[[#This Row],[Industry]], Mean_PE_S, 2, FALSE))/(VLOOKUP(Main_S[[#This Row],[Industry]], Mean_PE_S, 3, FALSE))</f>
        <v>4.366080191852735E-2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t="s">
        <v>115</v>
      </c>
      <c r="B103" t="s">
        <v>440</v>
      </c>
      <c r="C103" s="2">
        <v>509</v>
      </c>
      <c r="D103">
        <f>RTD("tos.rtd", , "LAST", Main_S[[#This Row],[Symbol]])</f>
        <v>17.510000000000002</v>
      </c>
      <c r="E103">
        <v>1.58</v>
      </c>
      <c r="F103">
        <v>17.809999999999999</v>
      </c>
      <c r="G103">
        <v>3.09</v>
      </c>
      <c r="H103" s="1">
        <f>IF(ISNUMBER(Main_S[[#This Row],[Free CF]]),IF(Main_S[[#This Row],[Free CF]]&lt;&gt;0,Main_S[[#This Row],[Current Price]]/Main_S[[#This Row],[Free CF]],""),"")</f>
        <v>11.08227848101266</v>
      </c>
      <c r="I103" s="1">
        <f>IF(ISNUMBER(Main_S[[#This Row],[BVPS]]),IF(Main_S[[#This Row],[BVPS]]&lt;&gt;0,Main_S[[#This Row],[Current Price]]/Main_S[[#This Row],[BVPS]],""),"")</f>
        <v>0.9831555306007862</v>
      </c>
      <c r="J103">
        <v>18.079999999999998</v>
      </c>
      <c r="K103">
        <v>5.48</v>
      </c>
      <c r="L103">
        <v>3.16</v>
      </c>
      <c r="M103" s="1">
        <f>IF(ISNUMBER(Main_S[[#This Row],[EPS]]),IF(Main_S[[#This Row],[EPS]]&lt;&gt;0,Main_S[[#This Row],[Current Price]]/Main_S[[#This Row],[EPS]],""),"")</f>
        <v>5.6666666666666679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6.8579310202562874E-2</v>
      </c>
      <c r="P103" s="1">
        <f>(Main_S[[#This Row],[P/B]]-VLOOKUP(Main_S[[#This Row],[Industry]], Mean_PB_S, 2, FALSE))/(VLOOKUP(Main_S[[#This Row],[Industry]], Mean_PB_S, 3, FALSE))</f>
        <v>-0.36161173486478349</v>
      </c>
      <c r="Q103" s="1">
        <f>(Main_S[[#This Row],[ROE]]-VLOOKUP(Main_S[[#This Row],[Industry]], Mean_ROE_S, 2, FALSE))/(VLOOKUP(Main_S[[#This Row],[Industry]], Mean_ROE_S, 3, FALSE))</f>
        <v>0.56462181479427587</v>
      </c>
      <c r="R103" s="1">
        <f>(Main_S[[#This Row],[ROA]]-VLOOKUP(Main_S[[#This Row],[Industry]], Mean_ROA_S, 2, FALSE))/(VLOOKUP(Main_S[[#This Row],[Industry]], Mean_ROA_S, 3, FALSE))</f>
        <v>0.79414418308072232</v>
      </c>
      <c r="S103" s="1">
        <f>(Main_S[[#This Row],[A/E]]-VLOOKUP(Main_S[[#This Row],[Industry]], Mean_AE_S, 2, FALSE))/(VLOOKUP(Main_S[[#This Row],[Industry]], Mean_AE_S, 3, FALSE))</f>
        <v>0.30050853687593237</v>
      </c>
      <c r="T103" s="1">
        <f>(Main_S[[#This Row],[P/E]]-VLOOKUP(Main_S[[#This Row],[Industry]], Mean_PE_S, 2, FALSE))/(VLOOKUP(Main_S[[#This Row],[Industry]], Mean_PE_S, 3, FALSE))</f>
        <v>-0.2070933715854838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t="s">
        <v>115</v>
      </c>
      <c r="B104" t="s">
        <v>441</v>
      </c>
      <c r="C104" s="2">
        <v>551</v>
      </c>
      <c r="D104">
        <f>RTD("tos.rtd", , "LAST", Main_S[[#This Row],[Symbol]])</f>
        <v>5.74</v>
      </c>
      <c r="E104">
        <v>0.6</v>
      </c>
      <c r="F104">
        <v>-1.82</v>
      </c>
      <c r="G104">
        <v>0.15</v>
      </c>
      <c r="H104" s="1">
        <f>IF(ISNUMBER(Main_S[[#This Row],[Free CF]]),IF(Main_S[[#This Row],[Free CF]]&lt;&gt;0,Main_S[[#This Row],[Current Price]]/Main_S[[#This Row],[Free CF]],""),"")</f>
        <v>9.5666666666666682</v>
      </c>
      <c r="I104" s="1">
        <f>IF(ISNUMBER(Main_S[[#This Row],[BVPS]]),IF(Main_S[[#This Row],[BVPS]]&lt;&gt;0,Main_S[[#This Row],[Current Price]]/Main_S[[#This Row],[BVPS]],""),"")</f>
        <v>-3.1538461538461537</v>
      </c>
      <c r="J104">
        <v>-8.1</v>
      </c>
      <c r="K104">
        <v>7.41</v>
      </c>
      <c r="L104">
        <v>-2.56</v>
      </c>
      <c r="M104" s="1">
        <f>IF(ISNUMBER(Main_S[[#This Row],[EPS]]),IF(Main_S[[#This Row],[EPS]]&lt;&gt;0,Main_S[[#This Row],[Current Price]]/Main_S[[#This Row],[EPS]],""),"")</f>
        <v>38.266666666666673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-4.3529356326058186E-2</v>
      </c>
      <c r="P104" s="1">
        <f>(Main_S[[#This Row],[P/B]]-VLOOKUP(Main_S[[#This Row],[Industry]], Mean_PB_S, 2, FALSE))/(VLOOKUP(Main_S[[#This Row],[Industry]], Mean_PB_S, 3, FALSE))</f>
        <v>-3.3983843795099382</v>
      </c>
      <c r="Q104" s="1">
        <f>(Main_S[[#This Row],[ROE]]-VLOOKUP(Main_S[[#This Row],[Industry]], Mean_ROE_S, 2, FALSE))/(VLOOKUP(Main_S[[#This Row],[Industry]], Mean_ROE_S, 3, FALSE))</f>
        <v>-0.63225880302484017</v>
      </c>
      <c r="R104" s="1">
        <f>(Main_S[[#This Row],[ROA]]-VLOOKUP(Main_S[[#This Row],[Industry]], Mean_ROA_S, 2, FALSE))/(VLOOKUP(Main_S[[#This Row],[Industry]], Mean_ROA_S, 3, FALSE))</f>
        <v>1.3119476538056527</v>
      </c>
      <c r="S104" s="1">
        <f>(Main_S[[#This Row],[A/E]]-VLOOKUP(Main_S[[#This Row],[Industry]], Mean_AE_S, 2, FALSE))/(VLOOKUP(Main_S[[#This Row],[Industry]], Mean_AE_S, 3, FALSE))</f>
        <v>-3.2941677255258996</v>
      </c>
      <c r="T104" s="1">
        <f>(Main_S[[#This Row],[P/E]]-VLOOKUP(Main_S[[#This Row],[Industry]], Mean_PE_S, 2, FALSE))/(VLOOKUP(Main_S[[#This Row],[Industry]], Mean_PE_S, 3, FALSE))</f>
        <v>1.6377609946147302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t="s">
        <v>115</v>
      </c>
      <c r="B105" t="s">
        <v>442</v>
      </c>
      <c r="C105" s="2">
        <v>1126</v>
      </c>
      <c r="D105">
        <f>RTD("tos.rtd", , "LAST", Main_S[[#This Row],[Symbol]])</f>
        <v>13.31</v>
      </c>
      <c r="E105">
        <v>1.1100000000000001</v>
      </c>
      <c r="F105">
        <v>30.64</v>
      </c>
      <c r="G105">
        <v>0.19</v>
      </c>
      <c r="H105" s="1">
        <f>IF(ISNUMBER(Main_S[[#This Row],[Free CF]]),IF(Main_S[[#This Row],[Free CF]]&lt;&gt;0,Main_S[[#This Row],[Current Price]]/Main_S[[#This Row],[Free CF]],""),"")</f>
        <v>11.990990990990991</v>
      </c>
      <c r="I105" s="1">
        <f>IF(ISNUMBER(Main_S[[#This Row],[BVPS]]),IF(Main_S[[#This Row],[BVPS]]&lt;&gt;0,Main_S[[#This Row],[Current Price]]/Main_S[[#This Row],[BVPS]],""),"")</f>
        <v>0.4343994778067885</v>
      </c>
      <c r="J105">
        <v>0.62</v>
      </c>
      <c r="K105">
        <v>1.77</v>
      </c>
      <c r="L105">
        <v>2.3199999999999998</v>
      </c>
      <c r="M105" s="1">
        <f>IF(ISNUMBER(Main_S[[#This Row],[EPS]]),IF(Main_S[[#This Row],[EPS]]&lt;&gt;0,Main_S[[#This Row],[Current Price]]/Main_S[[#This Row],[EPS]],""),"")</f>
        <v>70.05263157894737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0.13579609143061586</v>
      </c>
      <c r="P105" s="1">
        <f>(Main_S[[#This Row],[P/B]]-VLOOKUP(Main_S[[#This Row],[Industry]], Mean_PB_S, 2, FALSE))/(VLOOKUP(Main_S[[#This Row],[Industry]], Mean_PB_S, 3, FALSE))</f>
        <v>-0.7644269853330814</v>
      </c>
      <c r="Q105" s="1">
        <f>(Main_S[[#This Row],[ROE]]-VLOOKUP(Main_S[[#This Row],[Industry]], Mean_ROE_S, 2, FALSE))/(VLOOKUP(Main_S[[#This Row],[Industry]], Mean_ROE_S, 3, FALSE))</f>
        <v>-0.23360337951900778</v>
      </c>
      <c r="R105" s="1">
        <f>(Main_S[[#This Row],[ROA]]-VLOOKUP(Main_S[[#This Row],[Industry]], Mean_ROA_S, 2, FALSE))/(VLOOKUP(Main_S[[#This Row],[Industry]], Mean_ROA_S, 3, FALSE))</f>
        <v>-0.20121896530761543</v>
      </c>
      <c r="S105" s="1">
        <f>(Main_S[[#This Row],[A/E]]-VLOOKUP(Main_S[[#This Row],[Industry]], Mean_AE_S, 2, FALSE))/(VLOOKUP(Main_S[[#This Row],[Industry]], Mean_AE_S, 3, FALSE))</f>
        <v>-0.2273809841760851</v>
      </c>
      <c r="T105" s="1">
        <f>(Main_S[[#This Row],[P/E]]-VLOOKUP(Main_S[[#This Row],[Industry]], Mean_PE_S, 2, FALSE))/(VLOOKUP(Main_S[[#This Row],[Industry]], Mean_PE_S, 3, FALSE))</f>
        <v>3.4365486066487132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6" spans="1:26" x14ac:dyDescent="0.25">
      <c r="A106" t="s">
        <v>115</v>
      </c>
      <c r="B106" t="s">
        <v>443</v>
      </c>
      <c r="C106" s="2">
        <v>578</v>
      </c>
      <c r="D106">
        <f>RTD("tos.rtd", , "LAST", Main_S[[#This Row],[Symbol]])</f>
        <v>12.15</v>
      </c>
      <c r="E106">
        <v>0.69</v>
      </c>
      <c r="F106">
        <v>9.77</v>
      </c>
      <c r="G106">
        <v>0.77</v>
      </c>
      <c r="H106" s="1">
        <f>IF(ISNUMBER(Main_S[[#This Row],[Free CF]]),IF(Main_S[[#This Row],[Free CF]]&lt;&gt;0,Main_S[[#This Row],[Current Price]]/Main_S[[#This Row],[Free CF]],""),"")</f>
        <v>17.608695652173914</v>
      </c>
      <c r="I106" s="1">
        <f>IF(ISNUMBER(Main_S[[#This Row],[BVPS]]),IF(Main_S[[#This Row],[BVPS]]&lt;&gt;0,Main_S[[#This Row],[Current Price]]/Main_S[[#This Row],[BVPS]],""),"")</f>
        <v>1.2436028659160696</v>
      </c>
      <c r="J106">
        <v>11.01</v>
      </c>
      <c r="K106">
        <v>4.18</v>
      </c>
      <c r="L106">
        <v>5.48</v>
      </c>
      <c r="M106" s="1">
        <f>IF(ISNUMBER(Main_S[[#This Row],[EPS]]),IF(Main_S[[#This Row],[EPS]]&lt;&gt;0,Main_S[[#This Row],[Current Price]]/Main_S[[#This Row],[EPS]],""),"")</f>
        <v>15.779220779220779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0.55133348204445287</v>
      </c>
      <c r="P106" s="1">
        <f>(Main_S[[#This Row],[P/B]]-VLOOKUP(Main_S[[#This Row],[Industry]], Mean_PB_S, 2, FALSE))/(VLOOKUP(Main_S[[#This Row],[Industry]], Mean_PB_S, 3, FALSE))</f>
        <v>-0.17042995550277884</v>
      </c>
      <c r="Q106" s="1">
        <f>(Main_S[[#This Row],[ROE]]-VLOOKUP(Main_S[[#This Row],[Industry]], Mean_ROE_S, 2, FALSE))/(VLOOKUP(Main_S[[#This Row],[Industry]], Mean_ROE_S, 3, FALSE))</f>
        <v>0.2414000436720013</v>
      </c>
      <c r="R106" s="1">
        <f>(Main_S[[#This Row],[ROA]]-VLOOKUP(Main_S[[#This Row],[Industry]], Mean_ROA_S, 2, FALSE))/(VLOOKUP(Main_S[[#This Row],[Industry]], Mean_ROA_S, 3, FALSE))</f>
        <v>0.44536464321418873</v>
      </c>
      <c r="S106" s="1">
        <f>(Main_S[[#This Row],[A/E]]-VLOOKUP(Main_S[[#This Row],[Industry]], Mean_AE_S, 2, FALSE))/(VLOOKUP(Main_S[[#This Row],[Industry]], Mean_AE_S, 3, FALSE))</f>
        <v>1.7584891188291232</v>
      </c>
      <c r="T106" s="1">
        <f>(Main_S[[#This Row],[P/E]]-VLOOKUP(Main_S[[#This Row],[Industry]], Mean_PE_S, 2, FALSE))/(VLOOKUP(Main_S[[#This Row],[Industry]], Mean_PE_S, 3, FALSE))</f>
        <v>0.36518238326057079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t="s">
        <v>115</v>
      </c>
      <c r="B107" t="s">
        <v>444</v>
      </c>
      <c r="C107" s="2">
        <v>994</v>
      </c>
      <c r="D107">
        <f>RTD("tos.rtd", , "LAST", Main_S[[#This Row],[Symbol]])</f>
        <v>8.9</v>
      </c>
      <c r="E107">
        <v>-0.2</v>
      </c>
      <c r="F107">
        <v>4.93</v>
      </c>
      <c r="G107">
        <v>-0.42</v>
      </c>
      <c r="H107" s="1">
        <f>IF(ISNUMBER(Main_S[[#This Row],[Free CF]]),IF(Main_S[[#This Row],[Free CF]]&lt;&gt;0,Main_S[[#This Row],[Current Price]]/Main_S[[#This Row],[Free CF]],""),"")</f>
        <v>-44.5</v>
      </c>
      <c r="I107" s="1">
        <f>IF(ISNUMBER(Main_S[[#This Row],[BVPS]]),IF(Main_S[[#This Row],[BVPS]]&lt;&gt;0,Main_S[[#This Row],[Current Price]]/Main_S[[#This Row],[BVPS]],""),"")</f>
        <v>1.8052738336713998</v>
      </c>
      <c r="J107">
        <v>-8.2100000000000009</v>
      </c>
      <c r="K107">
        <v>0.41</v>
      </c>
      <c r="L107">
        <v>1.73</v>
      </c>
      <c r="M107" s="1">
        <f>IF(ISNUMBER(Main_S[[#This Row],[EPS]]),IF(Main_S[[#This Row],[EPS]]&lt;&gt;0,Main_S[[#This Row],[Current Price]]/Main_S[[#This Row],[EPS]],""),"")</f>
        <v>-21.190476190476193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-4.0428000444230641</v>
      </c>
      <c r="P107" s="1">
        <f>(Main_S[[#This Row],[P/B]]-VLOOKUP(Main_S[[#This Row],[Industry]], Mean_PB_S, 2, FALSE))/(VLOOKUP(Main_S[[#This Row],[Industry]], Mean_PB_S, 3, FALSE))</f>
        <v>0.24186550876623841</v>
      </c>
      <c r="Q107" s="1">
        <f>(Main_S[[#This Row],[ROE]]-VLOOKUP(Main_S[[#This Row],[Industry]], Mean_ROE_S, 2, FALSE))/(VLOOKUP(Main_S[[#This Row],[Industry]], Mean_ROE_S, 3, FALSE))</f>
        <v>-0.63728771318374422</v>
      </c>
      <c r="R107" s="1">
        <f>(Main_S[[#This Row],[ROA]]-VLOOKUP(Main_S[[#This Row],[Industry]], Mean_ROA_S, 2, FALSE))/(VLOOKUP(Main_S[[#This Row],[Industry]], Mean_ROA_S, 3, FALSE))</f>
        <v>-0.566096022398758</v>
      </c>
      <c r="S107" s="1">
        <f>(Main_S[[#This Row],[A/E]]-VLOOKUP(Main_S[[#This Row],[Industry]], Mean_AE_S, 2, FALSE))/(VLOOKUP(Main_S[[#This Row],[Industry]], Mean_AE_S, 3, FALSE))</f>
        <v>-0.59816052872452574</v>
      </c>
      <c r="T107" s="1">
        <f>(Main_S[[#This Row],[P/E]]-VLOOKUP(Main_S[[#This Row],[Industry]], Mean_PE_S, 2, FALSE))/(VLOOKUP(Main_S[[#This Row],[Industry]], Mean_PE_S, 3, FALSE))</f>
        <v>-1.7269558643358793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t="s">
        <v>115</v>
      </c>
      <c r="B108" t="s">
        <v>445</v>
      </c>
      <c r="C108" s="2">
        <v>784</v>
      </c>
      <c r="D108">
        <f>RTD("tos.rtd", , "LAST", Main_S[[#This Row],[Symbol]])</f>
        <v>5.5</v>
      </c>
      <c r="E108">
        <v>0.01</v>
      </c>
      <c r="F108">
        <v>-3.66</v>
      </c>
      <c r="G108">
        <v>-1.24</v>
      </c>
      <c r="H108" s="1">
        <f>IF(ISNUMBER(Main_S[[#This Row],[Free CF]]),IF(Main_S[[#This Row],[Free CF]]&lt;&gt;0,Main_S[[#This Row],[Current Price]]/Main_S[[#This Row],[Free CF]],""),"")</f>
        <v>550</v>
      </c>
      <c r="I108" s="1">
        <f>IF(ISNUMBER(Main_S[[#This Row],[BVPS]]),IF(Main_S[[#This Row],[BVPS]]&lt;&gt;0,Main_S[[#This Row],[Current Price]]/Main_S[[#This Row],[BVPS]],""),"")</f>
        <v>-1.5027322404371584</v>
      </c>
      <c r="J108">
        <v>37.770000000000003</v>
      </c>
      <c r="K108">
        <v>-8.09</v>
      </c>
      <c r="L108">
        <v>-1.04</v>
      </c>
      <c r="M108" s="1">
        <f>IF(ISNUMBER(Main_S[[#This Row],[EPS]]),IF(Main_S[[#This Row],[EPS]]&lt;&gt;0,Main_S[[#This Row],[Current Price]]/Main_S[[#This Row],[EPS]],""),"")</f>
        <v>-4.435483870967742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39.931918033388342</v>
      </c>
      <c r="P108" s="1">
        <f>(Main_S[[#This Row],[P/B]]-VLOOKUP(Main_S[[#This Row],[Industry]], Mean_PB_S, 2, FALSE))/(VLOOKUP(Main_S[[#This Row],[Industry]], Mean_PB_S, 3, FALSE))</f>
        <v>-2.1863815939457463</v>
      </c>
      <c r="Q108" s="1">
        <f>(Main_S[[#This Row],[ROE]]-VLOOKUP(Main_S[[#This Row],[Industry]], Mean_ROE_S, 2, FALSE))/(VLOOKUP(Main_S[[#This Row],[Industry]], Mean_ROE_S, 3, FALSE))</f>
        <v>1.4647967332380654</v>
      </c>
      <c r="R108" s="1">
        <f>(Main_S[[#This Row],[ROA]]-VLOOKUP(Main_S[[#This Row],[Industry]], Mean_ROA_S, 2, FALSE))/(VLOOKUP(Main_S[[#This Row],[Industry]], Mean_ROA_S, 3, FALSE))</f>
        <v>-2.8465776292183995</v>
      </c>
      <c r="S108" s="1">
        <f>(Main_S[[#This Row],[A/E]]-VLOOKUP(Main_S[[#This Row],[Industry]], Mean_AE_S, 2, FALSE))/(VLOOKUP(Main_S[[#This Row],[Industry]], Mean_AE_S, 3, FALSE))</f>
        <v>-2.3389390683841542</v>
      </c>
      <c r="T108" s="1">
        <f>(Main_S[[#This Row],[P/E]]-VLOOKUP(Main_S[[#This Row],[Industry]], Mean_PE_S, 2, FALSE))/(VLOOKUP(Main_S[[#This Row],[Industry]], Mean_PE_S, 3, FALSE))</f>
        <v>-0.77878038162740648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t="s">
        <v>115</v>
      </c>
      <c r="B109" t="s">
        <v>446</v>
      </c>
      <c r="C109" s="2">
        <v>1216</v>
      </c>
      <c r="D109">
        <f>RTD("tos.rtd", , "LAST", Main_S[[#This Row],[Symbol]])</f>
        <v>20.32</v>
      </c>
      <c r="E109">
        <v>0.3</v>
      </c>
      <c r="F109">
        <v>6.15</v>
      </c>
      <c r="G109">
        <v>0.7</v>
      </c>
      <c r="H109" s="1">
        <f>IF(ISNUMBER(Main_S[[#This Row],[Free CF]]),IF(Main_S[[#This Row],[Free CF]]&lt;&gt;0,Main_S[[#This Row],[Current Price]]/Main_S[[#This Row],[Free CF]],""),"")</f>
        <v>67.733333333333334</v>
      </c>
      <c r="I109" s="1">
        <f>IF(ISNUMBER(Main_S[[#This Row],[BVPS]]),IF(Main_S[[#This Row],[BVPS]]&lt;&gt;0,Main_S[[#This Row],[Current Price]]/Main_S[[#This Row],[BVPS]],""),"")</f>
        <v>3.3040650406504062</v>
      </c>
      <c r="J109">
        <v>11.85</v>
      </c>
      <c r="K109">
        <v>5.33</v>
      </c>
      <c r="L109">
        <v>1.52</v>
      </c>
      <c r="M109" s="1">
        <f>IF(ISNUMBER(Main_S[[#This Row],[EPS]]),IF(Main_S[[#This Row],[EPS]]&lt;&gt;0,Main_S[[#This Row],[Current Price]]/Main_S[[#This Row],[EPS]],""),"")</f>
        <v>29.028571428571432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4.2590152495489582</v>
      </c>
      <c r="P109" s="1">
        <f>(Main_S[[#This Row],[P/B]]-VLOOKUP(Main_S[[#This Row],[Industry]], Mean_PB_S, 2, FALSE))/(VLOOKUP(Main_S[[#This Row],[Industry]], Mean_PB_S, 3, FALSE))</f>
        <v>1.3420555702061123</v>
      </c>
      <c r="Q109" s="1">
        <f>(Main_S[[#This Row],[ROE]]-VLOOKUP(Main_S[[#This Row],[Industry]], Mean_ROE_S, 2, FALSE))/(VLOOKUP(Main_S[[#This Row],[Industry]], Mean_ROE_S, 3, FALSE))</f>
        <v>0.27980263033999431</v>
      </c>
      <c r="R109" s="1">
        <f>(Main_S[[#This Row],[ROA]]-VLOOKUP(Main_S[[#This Row],[Industry]], Mean_ROA_S, 2, FALSE))/(VLOOKUP(Main_S[[#This Row],[Industry]], Mean_ROA_S, 3, FALSE))</f>
        <v>0.75390039001919917</v>
      </c>
      <c r="S109" s="1">
        <f>(Main_S[[#This Row],[A/E]]-VLOOKUP(Main_S[[#This Row],[Industry]], Mean_AE_S, 2, FALSE))/(VLOOKUP(Main_S[[#This Row],[Industry]], Mean_AE_S, 3, FALSE))</f>
        <v>-0.73013290898753003</v>
      </c>
      <c r="T109" s="1">
        <f>(Main_S[[#This Row],[P/E]]-VLOOKUP(Main_S[[#This Row],[Industry]], Mean_PE_S, 2, FALSE))/(VLOOKUP(Main_S[[#This Row],[Industry]], Mean_PE_S, 3, FALSE))</f>
        <v>1.114971413775055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t="s">
        <v>115</v>
      </c>
      <c r="B110" t="s">
        <v>447</v>
      </c>
      <c r="C110" s="2">
        <v>485</v>
      </c>
      <c r="D110">
        <f>RTD("tos.rtd", , "LAST", Main_S[[#This Row],[Symbol]])</f>
        <v>19.43</v>
      </c>
      <c r="E110">
        <v>2.56</v>
      </c>
      <c r="F110">
        <v>23.88</v>
      </c>
      <c r="G110">
        <v>2.68</v>
      </c>
      <c r="H110" s="1">
        <f>IF(ISNUMBER(Main_S[[#This Row],[Free CF]]),IF(Main_S[[#This Row],[Free CF]]&lt;&gt;0,Main_S[[#This Row],[Current Price]]/Main_S[[#This Row],[Free CF]],""),"")</f>
        <v>7.58984375</v>
      </c>
      <c r="I110" s="1">
        <f>IF(ISNUMBER(Main_S[[#This Row],[BVPS]]),IF(Main_S[[#This Row],[BVPS]]&lt;&gt;0,Main_S[[#This Row],[Current Price]]/Main_S[[#This Row],[BVPS]],""),"")</f>
        <v>0.81365159128978226</v>
      </c>
      <c r="J110">
        <v>11.97</v>
      </c>
      <c r="K110">
        <v>5.26</v>
      </c>
      <c r="L110">
        <v>1.73</v>
      </c>
      <c r="M110" s="1">
        <f>IF(ISNUMBER(Main_S[[#This Row],[EPS]]),IF(Main_S[[#This Row],[EPS]]&lt;&gt;0,Main_S[[#This Row],[Current Price]]/Main_S[[#This Row],[EPS]],""),"")</f>
        <v>7.2499999999999991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10" s="1">
        <f>(Main_S[[#This Row],[P/FCF]]-VLOOKUP(Main_S[[#This Row],[Industry]], Mean_PFCF_S, 2, FALSE))/(VLOOKUP(Main_S[[#This Row],[Industry]], Mean_PFCF_S, 3, FALSE))</f>
        <v>-0.1897534613726076</v>
      </c>
      <c r="P110" s="1">
        <f>(Main_S[[#This Row],[P/B]]-VLOOKUP(Main_S[[#This Row],[Industry]], Mean_PB_S, 2, FALSE))/(VLOOKUP(Main_S[[#This Row],[Industry]], Mean_PB_S, 3, FALSE))</f>
        <v>-0.48603637022193913</v>
      </c>
      <c r="Q110" s="1">
        <f>(Main_S[[#This Row],[ROE]]-VLOOKUP(Main_S[[#This Row],[Industry]], Mean_ROE_S, 2, FALSE))/(VLOOKUP(Main_S[[#This Row],[Industry]], Mean_ROE_S, 3, FALSE))</f>
        <v>0.28528871414970763</v>
      </c>
      <c r="R110" s="1">
        <f>(Main_S[[#This Row],[ROA]]-VLOOKUP(Main_S[[#This Row],[Industry]], Mean_ROA_S, 2, FALSE))/(VLOOKUP(Main_S[[#This Row],[Industry]], Mean_ROA_S, 3, FALSE))</f>
        <v>0.73511995325715496</v>
      </c>
      <c r="S110" s="1">
        <f>(Main_S[[#This Row],[A/E]]-VLOOKUP(Main_S[[#This Row],[Industry]], Mean_AE_S, 2, FALSE))/(VLOOKUP(Main_S[[#This Row],[Industry]], Mean_AE_S, 3, FALSE))</f>
        <v>-0.59816052872452574</v>
      </c>
      <c r="T110" s="1">
        <f>(Main_S[[#This Row],[P/E]]-VLOOKUP(Main_S[[#This Row],[Industry]], Mean_PE_S, 2, FALSE))/(VLOOKUP(Main_S[[#This Row],[Industry]], Mean_PE_S, 3, FALSE))</f>
        <v>-0.11749154909620974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t="s">
        <v>115</v>
      </c>
      <c r="B111" t="s">
        <v>448</v>
      </c>
      <c r="C111" s="2">
        <v>428</v>
      </c>
      <c r="D111">
        <f>RTD("tos.rtd", , "LAST", Main_S[[#This Row],[Symbol]])</f>
        <v>4.4400000000000004</v>
      </c>
      <c r="E111">
        <v>0.1</v>
      </c>
      <c r="F111">
        <v>1.54</v>
      </c>
      <c r="G111">
        <v>-0.56999999999999995</v>
      </c>
      <c r="H111" s="1">
        <f>IF(ISNUMBER(Main_S[[#This Row],[Free CF]]),IF(Main_S[[#This Row],[Free CF]]&lt;&gt;0,Main_S[[#This Row],[Current Price]]/Main_S[[#This Row],[Free CF]],""),"")</f>
        <v>44.4</v>
      </c>
      <c r="I111" s="1">
        <f>IF(ISNUMBER(Main_S[[#This Row],[BVPS]]),IF(Main_S[[#This Row],[BVPS]]&lt;&gt;0,Main_S[[#This Row],[Current Price]]/Main_S[[#This Row],[BVPS]],""),"")</f>
        <v>2.8831168831168834</v>
      </c>
      <c r="J111">
        <v>-34.369999999999997</v>
      </c>
      <c r="K111">
        <v>-6.55</v>
      </c>
      <c r="L111">
        <v>2.39</v>
      </c>
      <c r="M111" s="1">
        <f>IF(ISNUMBER(Main_S[[#This Row],[EPS]]),IF(Main_S[[#This Row],[EPS]]&lt;&gt;0,Main_S[[#This Row],[Current Price]]/Main_S[[#This Row],[EPS]],""),"")</f>
        <v>-7.7894736842105274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2.5330661239830485</v>
      </c>
      <c r="P111" s="1">
        <f>(Main_S[[#This Row],[P/B]]-VLOOKUP(Main_S[[#This Row],[Industry]], Mean_PB_S, 2, FALSE))/(VLOOKUP(Main_S[[#This Row],[Industry]], Mean_PB_S, 3, FALSE))</f>
        <v>1.0330579078610762</v>
      </c>
      <c r="Q111" s="1">
        <f>(Main_S[[#This Row],[ROE]]-VLOOKUP(Main_S[[#This Row],[Industry]], Mean_ROE_S, 2, FALSE))/(VLOOKUP(Main_S[[#This Row],[Industry]], Mean_ROE_S, 3, FALSE))</f>
        <v>-1.8332539837012412</v>
      </c>
      <c r="R111" s="1">
        <f>(Main_S[[#This Row],[ROA]]-VLOOKUP(Main_S[[#This Row],[Industry]], Mean_ROA_S, 2, FALSE))/(VLOOKUP(Main_S[[#This Row],[Industry]], Mean_ROA_S, 3, FALSE))</f>
        <v>-2.4334080204534292</v>
      </c>
      <c r="S111" s="1">
        <f>(Main_S[[#This Row],[A/E]]-VLOOKUP(Main_S[[#This Row],[Industry]], Mean_AE_S, 2, FALSE))/(VLOOKUP(Main_S[[#This Row],[Industry]], Mean_AE_S, 3, FALSE))</f>
        <v>-0.18339019075508348</v>
      </c>
      <c r="T111" s="1">
        <f>(Main_S[[#This Row],[P/E]]-VLOOKUP(Main_S[[#This Row],[Industry]], Mean_PE_S, 2, FALSE))/(VLOOKUP(Main_S[[#This Row],[Industry]], Mean_PE_S, 3, FALSE))</f>
        <v>-0.96858476049709941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t="s">
        <v>115</v>
      </c>
      <c r="B112" t="s">
        <v>449</v>
      </c>
      <c r="C112" s="2">
        <v>759</v>
      </c>
      <c r="D112">
        <f>RTD("tos.rtd", , "LAST", Main_S[[#This Row],[Symbol]])</f>
        <v>6.3</v>
      </c>
      <c r="E112">
        <v>-0.02</v>
      </c>
      <c r="F112">
        <v>0.48</v>
      </c>
      <c r="G112">
        <v>-0.28999999999999998</v>
      </c>
      <c r="H112" s="1">
        <f>IF(ISNUMBER(Main_S[[#This Row],[Free CF]]),IF(Main_S[[#This Row],[Free CF]]&lt;&gt;0,Main_S[[#This Row],[Current Price]]/Main_S[[#This Row],[Free CF]],""),"")</f>
        <v>-315</v>
      </c>
      <c r="I112" s="1">
        <f>IF(ISNUMBER(Main_S[[#This Row],[BVPS]]),IF(Main_S[[#This Row],[BVPS]]&lt;&gt;0,Main_S[[#This Row],[Current Price]]/Main_S[[#This Row],[BVPS]],""),"")</f>
        <v>13.125</v>
      </c>
      <c r="J112">
        <v>-44.15</v>
      </c>
      <c r="K112">
        <v>-10.1</v>
      </c>
      <c r="L112">
        <v>3.08</v>
      </c>
      <c r="M112" s="1">
        <f>IF(ISNUMBER(Main_S[[#This Row],[EPS]]),IF(Main_S[[#This Row],[EPS]]&lt;&gt;0,Main_S[[#This Row],[Current Price]]/Main_S[[#This Row],[EPS]],""),"")</f>
        <v>-21.724137931034484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-24.051481692947853</v>
      </c>
      <c r="P112" s="1">
        <f>(Main_S[[#This Row],[P/B]]-VLOOKUP(Main_S[[#This Row],[Industry]], Mean_PB_S, 2, FALSE))/(VLOOKUP(Main_S[[#This Row],[Industry]], Mean_PB_S, 3, FALSE))</f>
        <v>8.5511284457418562</v>
      </c>
      <c r="Q112" s="1">
        <f>(Main_S[[#This Row],[ROE]]-VLOOKUP(Main_S[[#This Row],[Industry]], Mean_ROE_S, 2, FALSE))/(VLOOKUP(Main_S[[#This Row],[Industry]], Mean_ROE_S, 3, FALSE))</f>
        <v>-2.2803698141928743</v>
      </c>
      <c r="R112" s="1">
        <f>(Main_S[[#This Row],[ROA]]-VLOOKUP(Main_S[[#This Row],[Industry]], Mean_ROA_S, 2, FALSE))/(VLOOKUP(Main_S[[#This Row],[Industry]], Mean_ROA_S, 3, FALSE))</f>
        <v>-3.3858444562428085</v>
      </c>
      <c r="S112" s="1">
        <f>(Main_S[[#This Row],[A/E]]-VLOOKUP(Main_S[[#This Row],[Industry]], Mean_AE_S, 2, FALSE))/(VLOOKUP(Main_S[[#This Row],[Industry]], Mean_AE_S, 3, FALSE))</f>
        <v>0.25023334439478784</v>
      </c>
      <c r="T112" s="1">
        <f>(Main_S[[#This Row],[P/E]]-VLOOKUP(Main_S[[#This Row],[Industry]], Mean_PE_S, 2, FALSE))/(VLOOKUP(Main_S[[#This Row],[Industry]], Mean_PE_S, 3, FALSE))</f>
        <v>-1.7571561156286084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t="s">
        <v>115</v>
      </c>
      <c r="B113" t="s">
        <v>450</v>
      </c>
      <c r="C113" s="2">
        <v>1536</v>
      </c>
      <c r="D113">
        <f>RTD("tos.rtd", , "LAST", Main_S[[#This Row],[Symbol]])</f>
        <v>22.74</v>
      </c>
      <c r="E113">
        <v>3.13</v>
      </c>
      <c r="F113">
        <v>8.1</v>
      </c>
      <c r="G113">
        <v>2.0499999999999998</v>
      </c>
      <c r="H113" s="1">
        <f>IF(ISNUMBER(Main_S[[#This Row],[Free CF]]),IF(Main_S[[#This Row],[Free CF]]&lt;&gt;0,Main_S[[#This Row],[Current Price]]/Main_S[[#This Row],[Free CF]],""),"")</f>
        <v>7.2651757188498403</v>
      </c>
      <c r="I113" s="1">
        <f>IF(ISNUMBER(Main_S[[#This Row],[BVPS]]),IF(Main_S[[#This Row],[BVPS]]&lt;&gt;0,Main_S[[#This Row],[Current Price]]/Main_S[[#This Row],[BVPS]],""),"")</f>
        <v>2.8074074074074074</v>
      </c>
      <c r="J113">
        <v>30.67</v>
      </c>
      <c r="K113">
        <v>4.4800000000000004</v>
      </c>
      <c r="L113">
        <v>7.08</v>
      </c>
      <c r="M113" s="1">
        <f>IF(ISNUMBER(Main_S[[#This Row],[EPS]]),IF(Main_S[[#This Row],[EPS]]&lt;&gt;0,Main_S[[#This Row],[Current Price]]/Main_S[[#This Row],[EPS]],""),"")</f>
        <v>11.092682926829269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-0.21376891156387146</v>
      </c>
      <c r="P113" s="1">
        <f>(Main_S[[#This Row],[P/B]]-VLOOKUP(Main_S[[#This Row],[Industry]], Mean_PB_S, 2, FALSE))/(VLOOKUP(Main_S[[#This Row],[Industry]], Mean_PB_S, 3, FALSE))</f>
        <v>0.97748324719818114</v>
      </c>
      <c r="Q113" s="1">
        <f>(Main_S[[#This Row],[ROE]]-VLOOKUP(Main_S[[#This Row],[Industry]], Mean_ROE_S, 2, FALSE))/(VLOOKUP(Main_S[[#This Row],[Industry]], Mean_ROE_S, 3, FALSE))</f>
        <v>1.1402034411633621</v>
      </c>
      <c r="R113" s="1">
        <f>(Main_S[[#This Row],[ROA]]-VLOOKUP(Main_S[[#This Row],[Industry]], Mean_ROA_S, 2, FALSE))/(VLOOKUP(Main_S[[#This Row],[Industry]], Mean_ROA_S, 3, FALSE))</f>
        <v>0.52585222933723508</v>
      </c>
      <c r="S113" s="1">
        <f>(Main_S[[#This Row],[A/E]]-VLOOKUP(Main_S[[#This Row],[Industry]], Mean_AE_S, 2, FALSE))/(VLOOKUP(Main_S[[#This Row],[Industry]], Mean_AE_S, 3, FALSE))</f>
        <v>2.7639929684520128</v>
      </c>
      <c r="T113" s="1">
        <f>(Main_S[[#This Row],[P/E]]-VLOOKUP(Main_S[[#This Row],[Industry]], Mean_PE_S, 2, FALSE))/(VLOOKUP(Main_S[[#This Row],[Industry]], Mean_PE_S, 3, FALSE))</f>
        <v>9.9968278372624481E-2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t="s">
        <v>115</v>
      </c>
      <c r="B114" t="s">
        <v>451</v>
      </c>
      <c r="C114" s="2">
        <v>279</v>
      </c>
      <c r="D114">
        <f>RTD("tos.rtd", , "LAST", Main_S[[#This Row],[Symbol]])</f>
        <v>1.0900000000000001</v>
      </c>
      <c r="E114">
        <v>0.13</v>
      </c>
      <c r="F114">
        <v>1.49</v>
      </c>
      <c r="G114">
        <v>0.05</v>
      </c>
      <c r="H114" s="1">
        <f>IF(ISNUMBER(Main_S[[#This Row],[Free CF]]),IF(Main_S[[#This Row],[Free CF]]&lt;&gt;0,Main_S[[#This Row],[Current Price]]/Main_S[[#This Row],[Free CF]],""),"")</f>
        <v>8.384615384615385</v>
      </c>
      <c r="I114" s="1">
        <f>IF(ISNUMBER(Main_S[[#This Row],[BVPS]]),IF(Main_S[[#This Row],[BVPS]]&lt;&gt;0,Main_S[[#This Row],[Current Price]]/Main_S[[#This Row],[BVPS]],""),"")</f>
        <v>0.73154362416107388</v>
      </c>
      <c r="J114">
        <v>3.25</v>
      </c>
      <c r="K114">
        <v>-0.02</v>
      </c>
      <c r="L114">
        <v>1.61</v>
      </c>
      <c r="M114" s="1">
        <f>IF(ISNUMBER(Main_S[[#This Row],[EPS]]),IF(Main_S[[#This Row],[EPS]]&lt;&gt;0,Main_S[[#This Row],[Current Price]]/Main_S[[#This Row],[EPS]],""),"")</f>
        <v>21.8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-0.13096480103879279</v>
      </c>
      <c r="P114" s="1">
        <f>(Main_S[[#This Row],[P/B]]-VLOOKUP(Main_S[[#This Row],[Industry]], Mean_PB_S, 2, FALSE))/(VLOOKUP(Main_S[[#This Row],[Industry]], Mean_PB_S, 3, FALSE))</f>
        <v>-0.54630785365432233</v>
      </c>
      <c r="Q114" s="1">
        <f>(Main_S[[#This Row],[ROE]]-VLOOKUP(Main_S[[#This Row],[Industry]], Mean_ROE_S, 2, FALSE))/(VLOOKUP(Main_S[[#This Row],[Industry]], Mean_ROE_S, 3, FALSE))</f>
        <v>-0.11336670935612483</v>
      </c>
      <c r="R114" s="1">
        <f>(Main_S[[#This Row],[ROA]]-VLOOKUP(Main_S[[#This Row],[Industry]], Mean_ROA_S, 2, FALSE))/(VLOOKUP(Main_S[[#This Row],[Industry]], Mean_ROA_S, 3, FALSE))</f>
        <v>-0.68146156250845757</v>
      </c>
      <c r="S114" s="1">
        <f>(Main_S[[#This Row],[A/E]]-VLOOKUP(Main_S[[#This Row],[Industry]], Mean_AE_S, 2, FALSE))/(VLOOKUP(Main_S[[#This Row],[Industry]], Mean_AE_S, 3, FALSE))</f>
        <v>-0.67357331744624238</v>
      </c>
      <c r="T114" s="1">
        <f>(Main_S[[#This Row],[P/E]]-VLOOKUP(Main_S[[#This Row],[Industry]], Mean_PE_S, 2, FALSE))/(VLOOKUP(Main_S[[#This Row],[Industry]], Mean_PE_S, 3, FALSE))</f>
        <v>0.70590204072627838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t="s">
        <v>115</v>
      </c>
      <c r="B115" t="s">
        <v>452</v>
      </c>
      <c r="C115" s="2">
        <v>520</v>
      </c>
      <c r="D115">
        <f>RTD("tos.rtd", , "LAST", Main_S[[#This Row],[Symbol]])</f>
        <v>2.66</v>
      </c>
      <c r="E115">
        <v>0.33</v>
      </c>
      <c r="F115">
        <v>2.27</v>
      </c>
      <c r="G115">
        <v>0</v>
      </c>
      <c r="H115" s="1">
        <f>IF(ISNUMBER(Main_S[[#This Row],[Free CF]]),IF(Main_S[[#This Row],[Free CF]]&lt;&gt;0,Main_S[[#This Row],[Current Price]]/Main_S[[#This Row],[Free CF]],""),"")</f>
        <v>8.0606060606060606</v>
      </c>
      <c r="I115" s="1">
        <f>IF(ISNUMBER(Main_S[[#This Row],[BVPS]]),IF(Main_S[[#This Row],[BVPS]]&lt;&gt;0,Main_S[[#This Row],[Current Price]]/Main_S[[#This Row],[BVPS]],""),"")</f>
        <v>1.1718061674008811</v>
      </c>
      <c r="J115">
        <v>-0.22</v>
      </c>
      <c r="K115">
        <v>0.34</v>
      </c>
      <c r="L115">
        <v>1.38</v>
      </c>
      <c r="M115" s="1" t="str">
        <f>IF(ISNUMBER(Main_S[[#This Row],[EPS]]),IF(Main_S[[#This Row],[EPS]]&lt;&gt;0,Main_S[[#This Row],[Current Price]]/Main_S[[#This Row],[EPS]],""),"")</f>
        <v/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-0.15493152715803971</v>
      </c>
      <c r="P115" s="1">
        <f>(Main_S[[#This Row],[P/B]]-VLOOKUP(Main_S[[#This Row],[Industry]], Mean_PB_S, 2, FALSE))/(VLOOKUP(Main_S[[#This Row],[Industry]], Mean_PB_S, 3, FALSE))</f>
        <v>-0.2231324358634818</v>
      </c>
      <c r="Q115" s="1">
        <f>(Main_S[[#This Row],[ROE]]-VLOOKUP(Main_S[[#This Row],[Industry]], Mean_ROE_S, 2, FALSE))/(VLOOKUP(Main_S[[#This Row],[Industry]], Mean_ROE_S, 3, FALSE))</f>
        <v>-0.27200596618700079</v>
      </c>
      <c r="R115" s="1">
        <f>(Main_S[[#This Row],[ROA]]-VLOOKUP(Main_S[[#This Row],[Industry]], Mean_ROA_S, 2, FALSE))/(VLOOKUP(Main_S[[#This Row],[Industry]], Mean_ROA_S, 3, FALSE))</f>
        <v>-0.58487645916080222</v>
      </c>
      <c r="S115" s="1">
        <f>(Main_S[[#This Row],[A/E]]-VLOOKUP(Main_S[[#This Row],[Industry]], Mean_AE_S, 2, FALSE))/(VLOOKUP(Main_S[[#This Row],[Industry]], Mean_AE_S, 3, FALSE))</f>
        <v>-0.81811449582953299</v>
      </c>
      <c r="T115" s="1" t="e">
        <f>(Main_S[[#This Row],[P/E]]-VLOOKUP(Main_S[[#This Row],[Industry]], Mean_PE_S, 2, FALSE))/(VLOOKUP(Main_S[[#This Row],[Industry]], Mean_PE_S, 3, FALSE))</f>
        <v>#VALUE!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6" spans="1:26" x14ac:dyDescent="0.25">
      <c r="A116" t="s">
        <v>115</v>
      </c>
      <c r="B116" t="s">
        <v>453</v>
      </c>
      <c r="C116" s="2">
        <v>347</v>
      </c>
      <c r="D116">
        <f>RTD("tos.rtd", , "LAST", Main_S[[#This Row],[Symbol]])</f>
        <v>9.5</v>
      </c>
      <c r="E116">
        <v>1.56</v>
      </c>
      <c r="F116">
        <v>1.38</v>
      </c>
      <c r="G116">
        <v>0.74</v>
      </c>
      <c r="H116" s="1">
        <f>IF(ISNUMBER(Main_S[[#This Row],[Free CF]]),IF(Main_S[[#This Row],[Free CF]]&lt;&gt;0,Main_S[[#This Row],[Current Price]]/Main_S[[#This Row],[Free CF]],""),"")</f>
        <v>6.0897435897435894</v>
      </c>
      <c r="I116" s="1">
        <f>IF(ISNUMBER(Main_S[[#This Row],[BVPS]]),IF(Main_S[[#This Row],[BVPS]]&lt;&gt;0,Main_S[[#This Row],[Current Price]]/Main_S[[#This Row],[BVPS]],""),"")</f>
        <v>6.8840579710144931</v>
      </c>
      <c r="J116">
        <v>44.29</v>
      </c>
      <c r="K116">
        <v>8.4700000000000006</v>
      </c>
      <c r="L116">
        <v>10.119999999999999</v>
      </c>
      <c r="M116" s="1">
        <f>IF(ISNUMBER(Main_S[[#This Row],[EPS]]),IF(Main_S[[#This Row],[EPS]]&lt;&gt;0,Main_S[[#This Row],[Current Price]]/Main_S[[#This Row],[EPS]],""),"")</f>
        <v>12.837837837837839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-0.30071474250928609</v>
      </c>
      <c r="P116" s="1">
        <f>(Main_S[[#This Row],[P/B]]-VLOOKUP(Main_S[[#This Row],[Industry]], Mean_PB_S, 2, FALSE))/(VLOOKUP(Main_S[[#This Row],[Industry]], Mean_PB_S, 3, FALSE))</f>
        <v>3.9699550559193</v>
      </c>
      <c r="Q116" s="1">
        <f>(Main_S[[#This Row],[ROE]]-VLOOKUP(Main_S[[#This Row],[Industry]], Mean_ROE_S, 2, FALSE))/(VLOOKUP(Main_S[[#This Row],[Industry]], Mean_ROE_S, 3, FALSE))</f>
        <v>1.7628739535658207</v>
      </c>
      <c r="R116" s="1">
        <f>(Main_S[[#This Row],[ROA]]-VLOOKUP(Main_S[[#This Row],[Industry]], Mean_ROA_S, 2, FALSE))/(VLOOKUP(Main_S[[#This Row],[Industry]], Mean_ROA_S, 3, FALSE))</f>
        <v>1.5963371247737492</v>
      </c>
      <c r="S116" s="1">
        <f>(Main_S[[#This Row],[A/E]]-VLOOKUP(Main_S[[#This Row],[Industry]], Mean_AE_S, 2, FALSE))/(VLOOKUP(Main_S[[#This Row],[Industry]], Mean_AE_S, 3, FALSE))</f>
        <v>4.6744502827355037</v>
      </c>
      <c r="T116" s="1">
        <f>(Main_S[[#This Row],[P/E]]-VLOOKUP(Main_S[[#This Row],[Industry]], Mean_PE_S, 2, FALSE))/(VLOOKUP(Main_S[[#This Row],[Industry]], Mean_PE_S, 3, FALSE))</f>
        <v>0.19872768503734548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t="s">
        <v>115</v>
      </c>
      <c r="B117" t="s">
        <v>454</v>
      </c>
      <c r="C117" s="2">
        <v>476</v>
      </c>
      <c r="D117">
        <f>RTD("tos.rtd", , "LAST", Main_S[[#This Row],[Symbol]])</f>
        <v>41.78</v>
      </c>
      <c r="E117">
        <v>2.0499999999999998</v>
      </c>
      <c r="F117">
        <v>10.73</v>
      </c>
      <c r="G117">
        <v>3.8</v>
      </c>
      <c r="H117" s="1">
        <f>IF(ISNUMBER(Main_S[[#This Row],[Free CF]]),IF(Main_S[[#This Row],[Free CF]]&lt;&gt;0,Main_S[[#This Row],[Current Price]]/Main_S[[#This Row],[Free CF]],""),"")</f>
        <v>20.380487804878051</v>
      </c>
      <c r="I117" s="1">
        <f>IF(ISNUMBER(Main_S[[#This Row],[BVPS]]),IF(Main_S[[#This Row],[BVPS]]&lt;&gt;0,Main_S[[#This Row],[Current Price]]/Main_S[[#This Row],[BVPS]],""),"")</f>
        <v>3.8937558247903077</v>
      </c>
      <c r="J117">
        <v>38.54</v>
      </c>
      <c r="K117">
        <v>14.78</v>
      </c>
      <c r="L117">
        <v>2.08</v>
      </c>
      <c r="M117" s="1">
        <f>IF(ISNUMBER(Main_S[[#This Row],[EPS]]),IF(Main_S[[#This Row],[EPS]]&lt;&gt;0,Main_S[[#This Row],[Current Price]]/Main_S[[#This Row],[EPS]],""),"")</f>
        <v>10.994736842105263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0.75636086385345946</v>
      </c>
      <c r="P117" s="1">
        <f>(Main_S[[#This Row],[P/B]]-VLOOKUP(Main_S[[#This Row],[Industry]], Mean_PB_S, 2, FALSE))/(VLOOKUP(Main_S[[#This Row],[Industry]], Mean_PB_S, 3, FALSE))</f>
        <v>1.774919025110604</v>
      </c>
      <c r="Q117" s="1">
        <f>(Main_S[[#This Row],[ROE]]-VLOOKUP(Main_S[[#This Row],[Industry]], Mean_ROE_S, 2, FALSE))/(VLOOKUP(Main_S[[#This Row],[Industry]], Mean_ROE_S, 3, FALSE))</f>
        <v>1.4999991043503922</v>
      </c>
      <c r="R117" s="1">
        <f>(Main_S[[#This Row],[ROA]]-VLOOKUP(Main_S[[#This Row],[Industry]], Mean_ROA_S, 2, FALSE))/(VLOOKUP(Main_S[[#This Row],[Industry]], Mean_ROA_S, 3, FALSE))</f>
        <v>3.2892593528951535</v>
      </c>
      <c r="S117" s="1">
        <f>(Main_S[[#This Row],[A/E]]-VLOOKUP(Main_S[[#This Row],[Industry]], Mean_AE_S, 2, FALSE))/(VLOOKUP(Main_S[[#This Row],[Industry]], Mean_AE_S, 3, FALSE))</f>
        <v>-0.37820656161951843</v>
      </c>
      <c r="T117" s="1">
        <f>(Main_S[[#This Row],[P/E]]-VLOOKUP(Main_S[[#This Row],[Industry]], Mean_PE_S, 2, FALSE))/(VLOOKUP(Main_S[[#This Row],[Industry]], Mean_PE_S, 3, FALSE))</f>
        <v>9.4425448248228822E-2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t="s">
        <v>115</v>
      </c>
      <c r="B118" t="s">
        <v>455</v>
      </c>
      <c r="C118" s="2">
        <v>351</v>
      </c>
      <c r="D118">
        <f>RTD("tos.rtd", , "LAST", Main_S[[#This Row],[Symbol]])</f>
        <v>10.81</v>
      </c>
      <c r="E118">
        <v>-3.75</v>
      </c>
      <c r="F118">
        <v>8.32</v>
      </c>
      <c r="G118">
        <v>-3.83</v>
      </c>
      <c r="H118" s="1">
        <f>IF(ISNUMBER(Main_S[[#This Row],[Free CF]]),IF(Main_S[[#This Row],[Free CF]]&lt;&gt;0,Main_S[[#This Row],[Current Price]]/Main_S[[#This Row],[Free CF]],""),"")</f>
        <v>-2.8826666666666667</v>
      </c>
      <c r="I118" s="1">
        <f>IF(ISNUMBER(Main_S[[#This Row],[BVPS]]),IF(Main_S[[#This Row],[BVPS]]&lt;&gt;0,Main_S[[#This Row],[Current Price]]/Main_S[[#This Row],[BVPS]],""),"")</f>
        <v>1.2992788461538463</v>
      </c>
      <c r="J118">
        <v>-36.83</v>
      </c>
      <c r="K118">
        <v>1.85</v>
      </c>
      <c r="L118">
        <v>3.84</v>
      </c>
      <c r="M118" s="1">
        <f>IF(ISNUMBER(Main_S[[#This Row],[EPS]]),IF(Main_S[[#This Row],[EPS]]&lt;&gt;0,Main_S[[#This Row],[Current Price]]/Main_S[[#This Row],[EPS]],""),"")</f>
        <v>-2.8224543080939948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-0.96439718406370933</v>
      </c>
      <c r="P118" s="1">
        <f>(Main_S[[#This Row],[P/B]]-VLOOKUP(Main_S[[#This Row],[Industry]], Mean_PB_S, 2, FALSE))/(VLOOKUP(Main_S[[#This Row],[Industry]], Mean_PB_S, 3, FALSE))</f>
        <v>-0.12956091394895905</v>
      </c>
      <c r="Q118" s="1">
        <f>(Main_S[[#This Row],[ROE]]-VLOOKUP(Main_S[[#This Row],[Industry]], Mean_ROE_S, 2, FALSE))/(VLOOKUP(Main_S[[#This Row],[Industry]], Mean_ROE_S, 3, FALSE))</f>
        <v>-1.9457187018003637</v>
      </c>
      <c r="R118" s="1">
        <f>(Main_S[[#This Row],[ROA]]-VLOOKUP(Main_S[[#This Row],[Industry]], Mean_ROA_S, 2, FALSE))/(VLOOKUP(Main_S[[#This Row],[Industry]], Mean_ROA_S, 3, FALSE))</f>
        <v>-0.17975560900813642</v>
      </c>
      <c r="S118" s="1">
        <f>(Main_S[[#This Row],[A/E]]-VLOOKUP(Main_S[[#This Row],[Industry]], Mean_AE_S, 2, FALSE))/(VLOOKUP(Main_S[[#This Row],[Industry]], Mean_AE_S, 3, FALSE))</f>
        <v>0.72784767296566044</v>
      </c>
      <c r="T118" s="1">
        <f>(Main_S[[#This Row],[P/E]]-VLOOKUP(Main_S[[#This Row],[Industry]], Mean_PE_S, 2, FALSE))/(VLOOKUP(Main_S[[#This Row],[Industry]], Mean_PE_S, 3, FALSE))</f>
        <v>-0.68749803095631279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t="s">
        <v>115</v>
      </c>
      <c r="B119" t="s">
        <v>456</v>
      </c>
      <c r="C119" s="2">
        <v>1234</v>
      </c>
      <c r="D119">
        <f>RTD("tos.rtd", , "LAST", Main_S[[#This Row],[Symbol]])</f>
        <v>18.86</v>
      </c>
      <c r="E119">
        <v>0.49</v>
      </c>
      <c r="F119">
        <v>10.36</v>
      </c>
      <c r="G119">
        <v>-0.35</v>
      </c>
      <c r="H119" s="1">
        <f>IF(ISNUMBER(Main_S[[#This Row],[Free CF]]),IF(Main_S[[#This Row],[Free CF]]&lt;&gt;0,Main_S[[#This Row],[Current Price]]/Main_S[[#This Row],[Free CF]],""),"")</f>
        <v>38.489795918367349</v>
      </c>
      <c r="I119" s="1">
        <f>IF(ISNUMBER(Main_S[[#This Row],[BVPS]]),IF(Main_S[[#This Row],[BVPS]]&lt;&gt;0,Main_S[[#This Row],[Current Price]]/Main_S[[#This Row],[BVPS]],""),"")</f>
        <v>1.8204633204633205</v>
      </c>
      <c r="J119">
        <v>-3.3</v>
      </c>
      <c r="K119">
        <v>1.02</v>
      </c>
      <c r="L119">
        <v>2.46</v>
      </c>
      <c r="M119" s="1">
        <f>IF(ISNUMBER(Main_S[[#This Row],[EPS]]),IF(Main_S[[#This Row],[EPS]]&lt;&gt;0,Main_S[[#This Row],[Current Price]]/Main_S[[#This Row],[EPS]],""),"")</f>
        <v>-53.885714285714286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2.0958927711283373</v>
      </c>
      <c r="P119" s="1">
        <f>(Main_S[[#This Row],[P/B]]-VLOOKUP(Main_S[[#This Row],[Industry]], Mean_PB_S, 2, FALSE))/(VLOOKUP(Main_S[[#This Row],[Industry]], Mean_PB_S, 3, FALSE))</f>
        <v>0.25301537562496318</v>
      </c>
      <c r="Q119" s="1">
        <f>(Main_S[[#This Row],[ROE]]-VLOOKUP(Main_S[[#This Row],[Industry]], Mean_ROE_S, 2, FALSE))/(VLOOKUP(Main_S[[#This Row],[Industry]], Mean_ROE_S, 3, FALSE))</f>
        <v>-0.41281545063630859</v>
      </c>
      <c r="R119" s="1">
        <f>(Main_S[[#This Row],[ROA]]-VLOOKUP(Main_S[[#This Row],[Industry]], Mean_ROA_S, 2, FALSE))/(VLOOKUP(Main_S[[#This Row],[Industry]], Mean_ROA_S, 3, FALSE))</f>
        <v>-0.40243793061523087</v>
      </c>
      <c r="S119" s="1">
        <f>(Main_S[[#This Row],[A/E]]-VLOOKUP(Main_S[[#This Row],[Industry]], Mean_AE_S, 2, FALSE))/(VLOOKUP(Main_S[[#This Row],[Industry]], Mean_AE_S, 3, FALSE))</f>
        <v>-0.13939939733408213</v>
      </c>
      <c r="T119" s="1">
        <f>(Main_S[[#This Row],[P/E]]-VLOOKUP(Main_S[[#This Row],[Industry]], Mean_PE_S, 2, FALSE))/(VLOOKUP(Main_S[[#This Row],[Industry]], Mean_PE_S, 3, FALSE))</f>
        <v>-3.577199813843718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0" spans="1:26" x14ac:dyDescent="0.25">
      <c r="A120" t="s">
        <v>115</v>
      </c>
      <c r="B120" t="s">
        <v>457</v>
      </c>
      <c r="C120" s="2">
        <v>361</v>
      </c>
      <c r="D120">
        <f>RTD("tos.rtd", , "LAST", Main_S[[#This Row],[Symbol]])</f>
        <v>5.24</v>
      </c>
      <c r="E120">
        <v>-0.16</v>
      </c>
      <c r="F120">
        <v>7.77</v>
      </c>
      <c r="G120">
        <v>-0.12</v>
      </c>
      <c r="H120" s="1">
        <f>IF(ISNUMBER(Main_S[[#This Row],[Free CF]]),IF(Main_S[[#This Row],[Free CF]]&lt;&gt;0,Main_S[[#This Row],[Current Price]]/Main_S[[#This Row],[Free CF]],""),"")</f>
        <v>-32.75</v>
      </c>
      <c r="I120" s="1">
        <f>IF(ISNUMBER(Main_S[[#This Row],[BVPS]]),IF(Main_S[[#This Row],[BVPS]]&lt;&gt;0,Main_S[[#This Row],[Current Price]]/Main_S[[#This Row],[BVPS]],""),"")</f>
        <v>0.67438867438867445</v>
      </c>
      <c r="J120">
        <v>-1.52</v>
      </c>
      <c r="K120">
        <v>-0.92</v>
      </c>
      <c r="L120">
        <v>2.2999999999999998</v>
      </c>
      <c r="M120" s="1">
        <f>IF(ISNUMBER(Main_S[[#This Row],[EPS]]),IF(Main_S[[#This Row],[EPS]]&lt;&gt;0,Main_S[[#This Row],[Current Price]]/Main_S[[#This Row],[EPS]],""),"")</f>
        <v>-43.666666666666671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-3.1736613776202316</v>
      </c>
      <c r="P120" s="1">
        <f>(Main_S[[#This Row],[P/B]]-VLOOKUP(Main_S[[#This Row],[Industry]], Mean_PB_S, 2, FALSE))/(VLOOKUP(Main_S[[#This Row],[Industry]], Mean_PB_S, 3, FALSE))</f>
        <v>-0.58826253513956661</v>
      </c>
      <c r="Q120" s="1">
        <f>(Main_S[[#This Row],[ROE]]-VLOOKUP(Main_S[[#This Row],[Industry]], Mean_ROE_S, 2, FALSE))/(VLOOKUP(Main_S[[#This Row],[Industry]], Mean_ROE_S, 3, FALSE))</f>
        <v>-0.33143854079222818</v>
      </c>
      <c r="R120" s="1">
        <f>(Main_S[[#This Row],[ROA]]-VLOOKUP(Main_S[[#This Row],[Industry]], Mean_ROA_S, 2, FALSE))/(VLOOKUP(Main_S[[#This Row],[Industry]], Mean_ROA_S, 3, FALSE))</f>
        <v>-0.92292432087759602</v>
      </c>
      <c r="S120" s="1">
        <f>(Main_S[[#This Row],[A/E]]-VLOOKUP(Main_S[[#This Row],[Industry]], Mean_AE_S, 2, FALSE))/(VLOOKUP(Main_S[[#This Row],[Industry]], Mean_AE_S, 3, FALSE))</f>
        <v>-0.23994978229637123</v>
      </c>
      <c r="T120" s="1">
        <f>(Main_S[[#This Row],[P/E]]-VLOOKUP(Main_S[[#This Row],[Industry]], Mean_PE_S, 2, FALSE))/(VLOOKUP(Main_S[[#This Row],[Industry]], Mean_PE_S, 3, FALSE))</f>
        <v>-2.9988975249355008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1" spans="1:26" x14ac:dyDescent="0.25">
      <c r="A121" t="s">
        <v>115</v>
      </c>
      <c r="B121" t="s">
        <v>458</v>
      </c>
      <c r="C121" s="2">
        <v>450</v>
      </c>
      <c r="D121">
        <f>RTD("tos.rtd", , "LAST", Main_S[[#This Row],[Symbol]])</f>
        <v>23.99</v>
      </c>
      <c r="E121">
        <v>-1.99</v>
      </c>
      <c r="F121">
        <v>44.81</v>
      </c>
      <c r="G121">
        <v>2.44</v>
      </c>
      <c r="H121" s="1">
        <f>IF(ISNUMBER(Main_S[[#This Row],[Free CF]]),IF(Main_S[[#This Row],[Free CF]]&lt;&gt;0,Main_S[[#This Row],[Current Price]]/Main_S[[#This Row],[Free CF]],""),"")</f>
        <v>-12.055276381909547</v>
      </c>
      <c r="I121" s="1">
        <f>IF(ISNUMBER(Main_S[[#This Row],[BVPS]]),IF(Main_S[[#This Row],[BVPS]]&lt;&gt;0,Main_S[[#This Row],[Current Price]]/Main_S[[#This Row],[BVPS]],""),"")</f>
        <v>0.5353715688462396</v>
      </c>
      <c r="J121">
        <v>5.94</v>
      </c>
      <c r="K121">
        <v>2.82</v>
      </c>
      <c r="L121">
        <v>2.69</v>
      </c>
      <c r="M121" s="1">
        <f>IF(ISNUMBER(Main_S[[#This Row],[EPS]]),IF(Main_S[[#This Row],[EPS]]&lt;&gt;0,Main_S[[#This Row],[Current Price]]/Main_S[[#This Row],[EPS]],""),"")</f>
        <v>9.8319672131147531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-1.6428882290857441</v>
      </c>
      <c r="P121" s="1">
        <f>(Main_S[[#This Row],[P/B]]-VLOOKUP(Main_S[[#This Row],[Industry]], Mean_PB_S, 2, FALSE))/(VLOOKUP(Main_S[[#This Row],[Industry]], Mean_PB_S, 3, FALSE))</f>
        <v>-0.69030826183968808</v>
      </c>
      <c r="Q121" s="1">
        <f>(Main_S[[#This Row],[ROE]]-VLOOKUP(Main_S[[#This Row],[Industry]], Mean_ROE_S, 2, FALSE))/(VLOOKUP(Main_S[[#This Row],[Industry]], Mean_ROE_S, 3, FALSE))</f>
        <v>9.6130027116147852E-3</v>
      </c>
      <c r="R121" s="1">
        <f>(Main_S[[#This Row],[ROA]]-VLOOKUP(Main_S[[#This Row],[Industry]], Mean_ROA_S, 2, FALSE))/(VLOOKUP(Main_S[[#This Row],[Industry]], Mean_ROA_S, 3, FALSE))</f>
        <v>8.0487586123046115E-2</v>
      </c>
      <c r="S121" s="1">
        <f>(Main_S[[#This Row],[A/E]]-VLOOKUP(Main_S[[#This Row],[Industry]], Mean_AE_S, 2, FALSE))/(VLOOKUP(Main_S[[#This Row],[Industry]], Mean_AE_S, 3, FALSE))</f>
        <v>5.1417810492083073E-3</v>
      </c>
      <c r="T121" s="1">
        <f>(Main_S[[#This Row],[P/E]]-VLOOKUP(Main_S[[#This Row],[Industry]], Mean_PE_S, 2, FALSE))/(VLOOKUP(Main_S[[#This Row],[Industry]], Mean_PE_S, 3, FALSE))</f>
        <v>2.8623588526506566E-2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t="s">
        <v>115</v>
      </c>
      <c r="B122" t="s">
        <v>459</v>
      </c>
      <c r="C122" s="2">
        <v>411</v>
      </c>
      <c r="D122">
        <f>RTD("tos.rtd", , "LAST", Main_S[[#This Row],[Symbol]])</f>
        <v>18.46</v>
      </c>
      <c r="E122">
        <v>0.94</v>
      </c>
      <c r="F122">
        <v>27.07</v>
      </c>
      <c r="G122">
        <v>3.08</v>
      </c>
      <c r="H122" s="1">
        <f>IF(ISNUMBER(Main_S[[#This Row],[Free CF]]),IF(Main_S[[#This Row],[Free CF]]&lt;&gt;0,Main_S[[#This Row],[Current Price]]/Main_S[[#This Row],[Free CF]],""),"")</f>
        <v>19.638297872340427</v>
      </c>
      <c r="I122" s="1">
        <f>IF(ISNUMBER(Main_S[[#This Row],[BVPS]]),IF(Main_S[[#This Row],[BVPS]]&lt;&gt;0,Main_S[[#This Row],[Current Price]]/Main_S[[#This Row],[BVPS]],""),"")</f>
        <v>0.68193572220169929</v>
      </c>
      <c r="J122">
        <v>11.11</v>
      </c>
      <c r="K122">
        <v>3.84</v>
      </c>
      <c r="L122">
        <v>4.37</v>
      </c>
      <c r="M122" s="1">
        <f>IF(ISNUMBER(Main_S[[#This Row],[EPS]]),IF(Main_S[[#This Row],[EPS]]&lt;&gt;0,Main_S[[#This Row],[Current Price]]/Main_S[[#This Row],[EPS]],""),"")</f>
        <v>5.9935064935064934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0.70146163249343951</v>
      </c>
      <c r="P122" s="1">
        <f>(Main_S[[#This Row],[P/B]]-VLOOKUP(Main_S[[#This Row],[Industry]], Mean_PB_S, 2, FALSE))/(VLOOKUP(Main_S[[#This Row],[Industry]], Mean_PB_S, 3, FALSE))</f>
        <v>-0.58272261272846737</v>
      </c>
      <c r="Q122" s="1">
        <f>(Main_S[[#This Row],[ROE]]-VLOOKUP(Main_S[[#This Row],[Industry]], Mean_ROE_S, 2, FALSE))/(VLOOKUP(Main_S[[#This Row],[Industry]], Mean_ROE_S, 3, FALSE))</f>
        <v>0.24597178018009569</v>
      </c>
      <c r="R122" s="1">
        <f>(Main_S[[#This Row],[ROA]]-VLOOKUP(Main_S[[#This Row],[Industry]], Mean_ROA_S, 2, FALSE))/(VLOOKUP(Main_S[[#This Row],[Industry]], Mean_ROA_S, 3, FALSE))</f>
        <v>0.35414537894140308</v>
      </c>
      <c r="S122" s="1">
        <f>(Main_S[[#This Row],[A/E]]-VLOOKUP(Main_S[[#This Row],[Industry]], Mean_AE_S, 2, FALSE))/(VLOOKUP(Main_S[[#This Row],[Industry]], Mean_AE_S, 3, FALSE))</f>
        <v>1.060920823153243</v>
      </c>
      <c r="T122" s="1">
        <f>(Main_S[[#This Row],[P/E]]-VLOOKUP(Main_S[[#This Row],[Industry]], Mean_PE_S, 2, FALSE))/(VLOOKUP(Main_S[[#This Row],[Industry]], Mean_PE_S, 3, FALSE))</f>
        <v>-0.18859730159795085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t="s">
        <v>115</v>
      </c>
      <c r="B123" t="s">
        <v>460</v>
      </c>
      <c r="C123" s="2">
        <v>385</v>
      </c>
      <c r="D123">
        <f>RTD("tos.rtd", , "LAST", Main_S[[#This Row],[Symbol]])</f>
        <v>13.73</v>
      </c>
      <c r="H123" s="1" t="str">
        <f>IF(ISNUMBER(Main_S[[#This Row],[Free CF]]),IF(Main_S[[#This Row],[Free CF]]&lt;&gt;0,Main_S[[#This Row],[Current Price]]/Main_S[[#This Row],[Free CF]],""),"")</f>
        <v/>
      </c>
      <c r="I123" s="1" t="str">
        <f>IF(ISNUMBER(Main_S[[#This Row],[BVPS]]),IF(Main_S[[#This Row],[BVPS]]&lt;&gt;0,Main_S[[#This Row],[Current Price]]/Main_S[[#This Row],[BVPS]],""),"")</f>
        <v/>
      </c>
      <c r="J123">
        <v>38</v>
      </c>
      <c r="K123">
        <v>18.55</v>
      </c>
      <c r="L123">
        <v>2.0499999999999998</v>
      </c>
      <c r="M123" s="1" t="str">
        <f>IF(ISNUMBER(Main_S[[#This Row],[EPS]]),IF(Main_S[[#This Row],[EPS]]&lt;&gt;0,Main_S[[#This Row],[Current Price]]/Main_S[[#This Row],[EPS]],""),"")</f>
        <v/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 t="e">
        <f>(Main_S[[#This Row],[P/FCF]]-VLOOKUP(Main_S[[#This Row],[Industry]], Mean_PFCF_S, 2, FALSE))/(VLOOKUP(Main_S[[#This Row],[Industry]], Mean_PFCF_S, 3, FALSE))</f>
        <v>#VALUE!</v>
      </c>
      <c r="P123" s="1" t="e">
        <f>(Main_S[[#This Row],[P/B]]-VLOOKUP(Main_S[[#This Row],[Industry]], Mean_PB_S, 2, FALSE))/(VLOOKUP(Main_S[[#This Row],[Industry]], Mean_PB_S, 3, FALSE))</f>
        <v>#VALUE!</v>
      </c>
      <c r="Q123" s="1">
        <f>(Main_S[[#This Row],[ROE]]-VLOOKUP(Main_S[[#This Row],[Industry]], Mean_ROE_S, 2, FALSE))/(VLOOKUP(Main_S[[#This Row],[Industry]], Mean_ROE_S, 3, FALSE))</f>
        <v>1.4753117272066825</v>
      </c>
      <c r="R123" s="1">
        <f>(Main_S[[#This Row],[ROA]]-VLOOKUP(Main_S[[#This Row],[Industry]], Mean_ROA_S, 2, FALSE))/(VLOOKUP(Main_S[[#This Row],[Industry]], Mean_ROA_S, 3, FALSE))</f>
        <v>4.3007200185081009</v>
      </c>
      <c r="S123" s="1">
        <f>(Main_S[[#This Row],[A/E]]-VLOOKUP(Main_S[[#This Row],[Industry]], Mean_AE_S, 2, FALSE))/(VLOOKUP(Main_S[[#This Row],[Industry]], Mean_AE_S, 3, FALSE))</f>
        <v>-0.39705975879994782</v>
      </c>
      <c r="T123" s="1" t="e">
        <f>(Main_S[[#This Row],[P/E]]-VLOOKUP(Main_S[[#This Row],[Industry]], Mean_PE_S, 2, FALSE))/(VLOOKUP(Main_S[[#This Row],[Industry]], Mean_PE_S, 3, FALSE))</f>
        <v>#VALUE!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4" spans="1:26" x14ac:dyDescent="0.25">
      <c r="A124" t="s">
        <v>115</v>
      </c>
      <c r="B124" t="s">
        <v>461</v>
      </c>
      <c r="C124" s="2">
        <v>819</v>
      </c>
      <c r="D124">
        <f>RTD("tos.rtd", , "LAST", Main_S[[#This Row],[Symbol]])</f>
        <v>9.36</v>
      </c>
      <c r="E124">
        <v>1.34</v>
      </c>
      <c r="F124">
        <v>6.44</v>
      </c>
      <c r="G124">
        <v>1.66</v>
      </c>
      <c r="H124" s="1">
        <f>IF(ISNUMBER(Main_S[[#This Row],[Free CF]]),IF(Main_S[[#This Row],[Free CF]]&lt;&gt;0,Main_S[[#This Row],[Current Price]]/Main_S[[#This Row],[Free CF]],""),"")</f>
        <v>6.9850746268656705</v>
      </c>
      <c r="I124" s="1">
        <f>IF(ISNUMBER(Main_S[[#This Row],[BVPS]]),IF(Main_S[[#This Row],[BVPS]]&lt;&gt;0,Main_S[[#This Row],[Current Price]]/Main_S[[#This Row],[BVPS]],""),"")</f>
        <v>1.4534161490683228</v>
      </c>
      <c r="J124">
        <v>29.39</v>
      </c>
      <c r="K124">
        <v>6.56</v>
      </c>
      <c r="L124">
        <v>4.13</v>
      </c>
      <c r="M124" s="1">
        <f>IF(ISNUMBER(Main_S[[#This Row],[EPS]]),IF(Main_S[[#This Row],[EPS]]&lt;&gt;0,Main_S[[#This Row],[Current Price]]/Main_S[[#This Row],[EPS]],""),"")</f>
        <v>5.6385542168674698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-0.23448777876873433</v>
      </c>
      <c r="P124" s="1">
        <f>(Main_S[[#This Row],[P/B]]-VLOOKUP(Main_S[[#This Row],[Industry]], Mean_PB_S, 2, FALSE))/(VLOOKUP(Main_S[[#This Row],[Industry]], Mean_PB_S, 3, FALSE))</f>
        <v>-1.641618239861594E-2</v>
      </c>
      <c r="Q124" s="1">
        <f>(Main_S[[#This Row],[ROE]]-VLOOKUP(Main_S[[#This Row],[Industry]], Mean_ROE_S, 2, FALSE))/(VLOOKUP(Main_S[[#This Row],[Industry]], Mean_ROE_S, 3, FALSE))</f>
        <v>1.0816852138597537</v>
      </c>
      <c r="R124" s="1">
        <f>(Main_S[[#This Row],[ROA]]-VLOOKUP(Main_S[[#This Row],[Industry]], Mean_ROA_S, 2, FALSE))/(VLOOKUP(Main_S[[#This Row],[Industry]], Mean_ROA_S, 3, FALSE))</f>
        <v>1.0838994931236883</v>
      </c>
      <c r="S124" s="1">
        <f>(Main_S[[#This Row],[A/E]]-VLOOKUP(Main_S[[#This Row],[Industry]], Mean_AE_S, 2, FALSE))/(VLOOKUP(Main_S[[#This Row],[Industry]], Mean_AE_S, 3, FALSE))</f>
        <v>0.91009524570980938</v>
      </c>
      <c r="T124" s="1">
        <f>(Main_S[[#This Row],[P/E]]-VLOOKUP(Main_S[[#This Row],[Industry]], Mean_PE_S, 2, FALSE))/(VLOOKUP(Main_S[[#This Row],[Industry]], Mean_PE_S, 3, FALSE))</f>
        <v>-0.2086842726823131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t="s">
        <v>115</v>
      </c>
      <c r="B125" t="s">
        <v>462</v>
      </c>
      <c r="C125" s="2">
        <v>1338</v>
      </c>
      <c r="D125">
        <f>RTD("tos.rtd", , "LAST", Main_S[[#This Row],[Symbol]])</f>
        <v>25.37</v>
      </c>
      <c r="E125">
        <v>2.58</v>
      </c>
      <c r="F125">
        <v>11.75</v>
      </c>
      <c r="G125">
        <v>2.13</v>
      </c>
      <c r="H125" s="1">
        <f>IF(ISNUMBER(Main_S[[#This Row],[Free CF]]),IF(Main_S[[#This Row],[Free CF]]&lt;&gt;0,Main_S[[#This Row],[Current Price]]/Main_S[[#This Row],[Free CF]],""),"")</f>
        <v>9.8333333333333339</v>
      </c>
      <c r="I125" s="1">
        <f>IF(ISNUMBER(Main_S[[#This Row],[BVPS]]),IF(Main_S[[#This Row],[BVPS]]&lt;&gt;0,Main_S[[#This Row],[Current Price]]/Main_S[[#This Row],[BVPS]],""),"")</f>
        <v>2.159148936170213</v>
      </c>
      <c r="J125">
        <v>19.18</v>
      </c>
      <c r="K125">
        <v>7.39</v>
      </c>
      <c r="L125">
        <v>4.4800000000000004</v>
      </c>
      <c r="M125" s="1">
        <f>IF(ISNUMBER(Main_S[[#This Row],[EPS]]),IF(Main_S[[#This Row],[EPS]]&lt;&gt;0,Main_S[[#This Row],[Current Price]]/Main_S[[#This Row],[EPS]],""),"")</f>
        <v>11.910798122065728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-2.3804223462447868E-2</v>
      </c>
      <c r="P125" s="1">
        <f>(Main_S[[#This Row],[P/B]]-VLOOKUP(Main_S[[#This Row],[Industry]], Mean_PB_S, 2, FALSE))/(VLOOKUP(Main_S[[#This Row],[Industry]], Mean_PB_S, 3, FALSE))</f>
        <v>0.50162808873556719</v>
      </c>
      <c r="Q125" s="1">
        <f>(Main_S[[#This Row],[ROE]]-VLOOKUP(Main_S[[#This Row],[Industry]], Mean_ROE_S, 2, FALSE))/(VLOOKUP(Main_S[[#This Row],[Industry]], Mean_ROE_S, 3, FALSE))</f>
        <v>0.61491091638331441</v>
      </c>
      <c r="R125" s="1">
        <f>(Main_S[[#This Row],[ROA]]-VLOOKUP(Main_S[[#This Row],[Industry]], Mean_ROA_S, 2, FALSE))/(VLOOKUP(Main_S[[#This Row],[Industry]], Mean_ROA_S, 3, FALSE))</f>
        <v>1.3065818147307826</v>
      </c>
      <c r="S125" s="1">
        <f>(Main_S[[#This Row],[A/E]]-VLOOKUP(Main_S[[#This Row],[Industry]], Mean_AE_S, 2, FALSE))/(VLOOKUP(Main_S[[#This Row],[Industry]], Mean_AE_S, 3, FALSE))</f>
        <v>1.130049212814817</v>
      </c>
      <c r="T125" s="1">
        <f>(Main_S[[#This Row],[P/E]]-VLOOKUP(Main_S[[#This Row],[Industry]], Mean_PE_S, 2, FALSE))/(VLOOKUP(Main_S[[#This Row],[Industry]], Mean_PE_S, 3, FALSE))</f>
        <v>0.14626592837221714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t="s">
        <v>115</v>
      </c>
      <c r="B126" t="s">
        <v>463</v>
      </c>
      <c r="C126" s="2">
        <v>1327</v>
      </c>
      <c r="D126">
        <f>RTD("tos.rtd", , "LAST", Main_S[[#This Row],[Symbol]])</f>
        <v>412.61</v>
      </c>
      <c r="E126">
        <v>12.4</v>
      </c>
      <c r="F126">
        <v>-13.01</v>
      </c>
      <c r="G126">
        <v>11.19</v>
      </c>
      <c r="H126" s="1">
        <f>IF(ISNUMBER(Main_S[[#This Row],[Free CF]]),IF(Main_S[[#This Row],[Free CF]]&lt;&gt;0,Main_S[[#This Row],[Current Price]]/Main_S[[#This Row],[Free CF]],""),"")</f>
        <v>33.274999999999999</v>
      </c>
      <c r="I126" s="1">
        <f>IF(ISNUMBER(Main_S[[#This Row],[BVPS]]),IF(Main_S[[#This Row],[BVPS]]&lt;&gt;0,Main_S[[#This Row],[Current Price]]/Main_S[[#This Row],[BVPS]],""),"")</f>
        <v>-31.714834742505765</v>
      </c>
      <c r="J126">
        <v>-83.42</v>
      </c>
      <c r="K126">
        <v>90.04</v>
      </c>
      <c r="L126">
        <v>-0.81</v>
      </c>
      <c r="M126" s="1">
        <f>IF(ISNUMBER(Main_S[[#This Row],[EPS]]),IF(Main_S[[#This Row],[EPS]]&lt;&gt;0,Main_S[[#This Row],[Current Price]]/Main_S[[#This Row],[EPS]],""),"")</f>
        <v>36.873100983020556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1.7101582373293027</v>
      </c>
      <c r="P126" s="1">
        <f>(Main_S[[#This Row],[P/B]]-VLOOKUP(Main_S[[#This Row],[Industry]], Mean_PB_S, 2, FALSE))/(VLOOKUP(Main_S[[#This Row],[Industry]], Mean_PB_S, 3, FALSE))</f>
        <v>-24.363623329287876</v>
      </c>
      <c r="Q126" s="1">
        <f>(Main_S[[#This Row],[ROE]]-VLOOKUP(Main_S[[#This Row],[Industry]], Mean_ROE_S, 2, FALSE))/(VLOOKUP(Main_S[[#This Row],[Industry]], Mean_ROE_S, 3, FALSE))</f>
        <v>-4.0756907409215488</v>
      </c>
      <c r="R126" s="1">
        <f>(Main_S[[#This Row],[ROA]]-VLOOKUP(Main_S[[#This Row],[Industry]], Mean_ROA_S, 2, FALSE))/(VLOOKUP(Main_S[[#This Row],[Industry]], Mean_ROA_S, 3, FALSE))</f>
        <v>23.480911791630007</v>
      </c>
      <c r="S126" s="1">
        <f>(Main_S[[#This Row],[A/E]]-VLOOKUP(Main_S[[#This Row],[Industry]], Mean_AE_S, 2, FALSE))/(VLOOKUP(Main_S[[#This Row],[Industry]], Mean_AE_S, 3, FALSE))</f>
        <v>-2.1943978900008636</v>
      </c>
      <c r="T126" s="1">
        <f>(Main_S[[#This Row],[P/E]]-VLOOKUP(Main_S[[#This Row],[Industry]], Mean_PE_S, 2, FALSE))/(VLOOKUP(Main_S[[#This Row],[Industry]], Mean_PE_S, 3, FALSE))</f>
        <v>1.5588982419748123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t="s">
        <v>115</v>
      </c>
      <c r="B127" t="s">
        <v>464</v>
      </c>
      <c r="C127" s="2">
        <v>886</v>
      </c>
      <c r="D127">
        <f>RTD("tos.rtd", , "LAST", Main_S[[#This Row],[Symbol]])</f>
        <v>3.21</v>
      </c>
      <c r="E127">
        <v>0.18</v>
      </c>
      <c r="F127">
        <v>4.0199999999999996</v>
      </c>
      <c r="G127">
        <v>-0.37</v>
      </c>
      <c r="H127" s="1">
        <f>IF(ISNUMBER(Main_S[[#This Row],[Free CF]]),IF(Main_S[[#This Row],[Free CF]]&lt;&gt;0,Main_S[[#This Row],[Current Price]]/Main_S[[#This Row],[Free CF]],""),"")</f>
        <v>17.833333333333332</v>
      </c>
      <c r="I127" s="1">
        <f>IF(ISNUMBER(Main_S[[#This Row],[BVPS]]),IF(Main_S[[#This Row],[BVPS]]&lt;&gt;0,Main_S[[#This Row],[Current Price]]/Main_S[[#This Row],[BVPS]],""),"")</f>
        <v>0.79850746268656725</v>
      </c>
      <c r="J127">
        <v>-8.86</v>
      </c>
      <c r="K127">
        <v>0.19</v>
      </c>
      <c r="L127">
        <v>4.66</v>
      </c>
      <c r="M127" s="1">
        <f>IF(ISNUMBER(Main_S[[#This Row],[EPS]]),IF(Main_S[[#This Row],[EPS]]&lt;&gt;0,Main_S[[#This Row],[Current Price]]/Main_S[[#This Row],[EPS]],""),"")</f>
        <v>-8.6756756756756754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0.5679497624458637</v>
      </c>
      <c r="P127" s="1">
        <f>(Main_S[[#This Row],[P/B]]-VLOOKUP(Main_S[[#This Row],[Industry]], Mean_PB_S, 2, FALSE))/(VLOOKUP(Main_S[[#This Row],[Industry]], Mean_PB_S, 3, FALSE))</f>
        <v>-0.49715294183034053</v>
      </c>
      <c r="Q127" s="1">
        <f>(Main_S[[#This Row],[ROE]]-VLOOKUP(Main_S[[#This Row],[Industry]], Mean_ROE_S, 2, FALSE))/(VLOOKUP(Main_S[[#This Row],[Industry]], Mean_ROE_S, 3, FALSE))</f>
        <v>-0.66700400048635777</v>
      </c>
      <c r="R127" s="1">
        <f>(Main_S[[#This Row],[ROA]]-VLOOKUP(Main_S[[#This Row],[Industry]], Mean_ROA_S, 2, FALSE))/(VLOOKUP(Main_S[[#This Row],[Industry]], Mean_ROA_S, 3, FALSE))</f>
        <v>-0.62512025222232526</v>
      </c>
      <c r="S127" s="1">
        <f>(Main_S[[#This Row],[A/E]]-VLOOKUP(Main_S[[#This Row],[Industry]], Mean_AE_S, 2, FALSE))/(VLOOKUP(Main_S[[#This Row],[Industry]], Mean_AE_S, 3, FALSE))</f>
        <v>1.2431683958973918</v>
      </c>
      <c r="T127" s="1">
        <f>(Main_S[[#This Row],[P/E]]-VLOOKUP(Main_S[[#This Row],[Industry]], Mean_PE_S, 2, FALSE))/(VLOOKUP(Main_S[[#This Row],[Industry]], Mean_PE_S, 3, FALSE))</f>
        <v>-1.0187354848311423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8" spans="1:26" x14ac:dyDescent="0.25">
      <c r="A128" t="s">
        <v>115</v>
      </c>
      <c r="B128" t="s">
        <v>465</v>
      </c>
      <c r="C128" s="2">
        <v>1962</v>
      </c>
      <c r="D128">
        <f>RTD("tos.rtd", , "LAST", Main_S[[#This Row],[Symbol]])</f>
        <v>18.48</v>
      </c>
      <c r="E128">
        <v>0.28999999999999998</v>
      </c>
      <c r="F128">
        <v>2.81</v>
      </c>
      <c r="G128">
        <v>-0.17</v>
      </c>
      <c r="H128" s="1">
        <f>IF(ISNUMBER(Main_S[[#This Row],[Free CF]]),IF(Main_S[[#This Row],[Free CF]]&lt;&gt;0,Main_S[[#This Row],[Current Price]]/Main_S[[#This Row],[Free CF]],""),"")</f>
        <v>63.724137931034491</v>
      </c>
      <c r="I128" s="1">
        <f>IF(ISNUMBER(Main_S[[#This Row],[BVPS]]),IF(Main_S[[#This Row],[BVPS]]&lt;&gt;0,Main_S[[#This Row],[Current Price]]/Main_S[[#This Row],[BVPS]],""),"")</f>
        <v>6.5765124555160144</v>
      </c>
      <c r="J128">
        <v>-6.35</v>
      </c>
      <c r="K128">
        <v>-2.84</v>
      </c>
      <c r="L128">
        <v>1.99</v>
      </c>
      <c r="M128" s="1">
        <f>IF(ISNUMBER(Main_S[[#This Row],[EPS]]),IF(Main_S[[#This Row],[EPS]]&lt;&gt;0,Main_S[[#This Row],[Current Price]]/Main_S[[#This Row],[EPS]],""),"")</f>
        <v>-108.70588235294117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3.9624580795995059</v>
      </c>
      <c r="P128" s="1">
        <f>(Main_S[[#This Row],[P/B]]-VLOOKUP(Main_S[[#This Row],[Industry]], Mean_PB_S, 2, FALSE))/(VLOOKUP(Main_S[[#This Row],[Industry]], Mean_PB_S, 3, FALSE))</f>
        <v>3.7442007827314883</v>
      </c>
      <c r="Q128" s="1">
        <f>(Main_S[[#This Row],[ROE]]-VLOOKUP(Main_S[[#This Row],[Industry]], Mean_ROE_S, 2, FALSE))/(VLOOKUP(Main_S[[#This Row],[Industry]], Mean_ROE_S, 3, FALSE))</f>
        <v>-0.55225341413318807</v>
      </c>
      <c r="R128" s="1">
        <f>(Main_S[[#This Row],[ROA]]-VLOOKUP(Main_S[[#This Row],[Industry]], Mean_ROA_S, 2, FALSE))/(VLOOKUP(Main_S[[#This Row],[Industry]], Mean_ROA_S, 3, FALSE))</f>
        <v>-1.4380448720650914</v>
      </c>
      <c r="S128" s="1">
        <f>(Main_S[[#This Row],[A/E]]-VLOOKUP(Main_S[[#This Row],[Industry]], Mean_AE_S, 2, FALSE))/(VLOOKUP(Main_S[[#This Row],[Industry]], Mean_AE_S, 3, FALSE))</f>
        <v>-0.43476615316080608</v>
      </c>
      <c r="T128" s="1">
        <f>(Main_S[[#This Row],[P/E]]-VLOOKUP(Main_S[[#This Row],[Industry]], Mean_PE_S, 2, FALSE))/(VLOOKUP(Main_S[[#This Row],[Industry]], Mean_PE_S, 3, FALSE))</f>
        <v>-6.6795073725754071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9" spans="1:26" x14ac:dyDescent="0.25">
      <c r="A129" t="s">
        <v>115</v>
      </c>
      <c r="B129" t="s">
        <v>466</v>
      </c>
      <c r="C129" s="2">
        <v>1876</v>
      </c>
      <c r="D129">
        <f>RTD("tos.rtd", , "LAST", Main_S[[#This Row],[Symbol]])</f>
        <v>33.229999999999997</v>
      </c>
      <c r="E129">
        <v>-1.61</v>
      </c>
      <c r="F129">
        <v>36.299999999999997</v>
      </c>
      <c r="G129">
        <v>-9.84</v>
      </c>
      <c r="H129" s="1">
        <f>IF(ISNUMBER(Main_S[[#This Row],[Free CF]]),IF(Main_S[[#This Row],[Free CF]]&lt;&gt;0,Main_S[[#This Row],[Current Price]]/Main_S[[#This Row],[Free CF]],""),"")</f>
        <v>-20.639751552795026</v>
      </c>
      <c r="I129" s="1">
        <f>IF(ISNUMBER(Main_S[[#This Row],[BVPS]]),IF(Main_S[[#This Row],[BVPS]]&lt;&gt;0,Main_S[[#This Row],[Current Price]]/Main_S[[#This Row],[BVPS]],""),"")</f>
        <v>0.91542699724517906</v>
      </c>
      <c r="J129">
        <v>-25.03</v>
      </c>
      <c r="K129">
        <v>0.15</v>
      </c>
      <c r="L129">
        <v>4.9800000000000004</v>
      </c>
      <c r="M129" s="1">
        <f>IF(ISNUMBER(Main_S[[#This Row],[EPS]]),IF(Main_S[[#This Row],[EPS]]&lt;&gt;0,Main_S[[#This Row],[Current Price]]/Main_S[[#This Row],[EPS]],""),"")</f>
        <v>-3.3770325203252032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-2.2778754039985465</v>
      </c>
      <c r="P129" s="1">
        <f>(Main_S[[#This Row],[P/B]]-VLOOKUP(Main_S[[#This Row],[Industry]], Mean_PB_S, 2, FALSE))/(VLOOKUP(Main_S[[#This Row],[Industry]], Mean_PB_S, 3, FALSE))</f>
        <v>-0.41132797214104189</v>
      </c>
      <c r="Q129" s="1">
        <f>(Main_S[[#This Row],[ROE]]-VLOOKUP(Main_S[[#This Row],[Industry]], Mean_ROE_S, 2, FALSE))/(VLOOKUP(Main_S[[#This Row],[Industry]], Mean_ROE_S, 3, FALSE))</f>
        <v>-1.4062537938452238</v>
      </c>
      <c r="R129" s="1">
        <f>(Main_S[[#This Row],[ROA]]-VLOOKUP(Main_S[[#This Row],[Industry]], Mean_ROA_S, 2, FALSE))/(VLOOKUP(Main_S[[#This Row],[Industry]], Mean_ROA_S, 3, FALSE))</f>
        <v>-0.63585193037206478</v>
      </c>
      <c r="S129" s="1">
        <f>(Main_S[[#This Row],[A/E]]-VLOOKUP(Main_S[[#This Row],[Industry]], Mean_AE_S, 2, FALSE))/(VLOOKUP(Main_S[[#This Row],[Industry]], Mean_AE_S, 3, FALSE))</f>
        <v>1.44426916582197</v>
      </c>
      <c r="T129" s="1">
        <f>(Main_S[[#This Row],[P/E]]-VLOOKUP(Main_S[[#This Row],[Industry]], Mean_PE_S, 2, FALSE))/(VLOOKUP(Main_S[[#This Row],[Industry]], Mean_PE_S, 3, FALSE))</f>
        <v>-0.71888195844816105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t="s">
        <v>115</v>
      </c>
      <c r="B130" t="s">
        <v>467</v>
      </c>
      <c r="C130" s="2">
        <v>471</v>
      </c>
      <c r="D130">
        <f>RTD("tos.rtd", , "LAST", Main_S[[#This Row],[Symbol]])</f>
        <v>5.26</v>
      </c>
      <c r="E130">
        <v>0.88</v>
      </c>
      <c r="F130">
        <v>2.39</v>
      </c>
      <c r="G130">
        <v>0.13</v>
      </c>
      <c r="H130" s="1">
        <f>IF(ISNUMBER(Main_S[[#This Row],[Free CF]]),IF(Main_S[[#This Row],[Free CF]]&lt;&gt;0,Main_S[[#This Row],[Current Price]]/Main_S[[#This Row],[Free CF]],""),"")</f>
        <v>5.9772727272727266</v>
      </c>
      <c r="I130" s="1">
        <f>IF(ISNUMBER(Main_S[[#This Row],[BVPS]]),IF(Main_S[[#This Row],[BVPS]]&lt;&gt;0,Main_S[[#This Row],[Current Price]]/Main_S[[#This Row],[BVPS]],""),"")</f>
        <v>2.2008368200836816</v>
      </c>
      <c r="J130">
        <v>5.54</v>
      </c>
      <c r="K130">
        <v>1.73</v>
      </c>
      <c r="L130">
        <v>13.08</v>
      </c>
      <c r="M130" s="1">
        <f>IF(ISNUMBER(Main_S[[#This Row],[EPS]]),IF(Main_S[[#This Row],[EPS]]&lt;&gt;0,Main_S[[#This Row],[Current Price]]/Main_S[[#This Row],[EPS]],""),"")</f>
        <v>40.46153846153846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-0.30903412765499594</v>
      </c>
      <c r="P130" s="1">
        <f>(Main_S[[#This Row],[P/B]]-VLOOKUP(Main_S[[#This Row],[Industry]], Mean_PB_S, 2, FALSE))/(VLOOKUP(Main_S[[#This Row],[Industry]], Mean_PB_S, 3, FALSE))</f>
        <v>0.53222914600791604</v>
      </c>
      <c r="Q130" s="1">
        <f>(Main_S[[#This Row],[ROE]]-VLOOKUP(Main_S[[#This Row],[Industry]], Mean_ROE_S, 2, FALSE))/(VLOOKUP(Main_S[[#This Row],[Industry]], Mean_ROE_S, 3, FALSE))</f>
        <v>-8.6739433207628676E-3</v>
      </c>
      <c r="R130" s="1">
        <f>(Main_S[[#This Row],[ROA]]-VLOOKUP(Main_S[[#This Row],[Industry]], Mean_ROA_S, 2, FALSE))/(VLOOKUP(Main_S[[#This Row],[Industry]], Mean_ROA_S, 3, FALSE))</f>
        <v>-0.21195064345735493</v>
      </c>
      <c r="S130" s="1">
        <f>(Main_S[[#This Row],[A/E]]-VLOOKUP(Main_S[[#This Row],[Industry]], Mean_AE_S, 2, FALSE))/(VLOOKUP(Main_S[[#This Row],[Industry]], Mean_AE_S, 3, FALSE))</f>
        <v>6.5346324045378505</v>
      </c>
      <c r="T130" s="1">
        <f>(Main_S[[#This Row],[P/E]]-VLOOKUP(Main_S[[#This Row],[Industry]], Mean_PE_S, 2, FALSE))/(VLOOKUP(Main_S[[#This Row],[Industry]], Mean_PE_S, 3, FALSE))</f>
        <v>1.7619701606889302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t="s">
        <v>115</v>
      </c>
      <c r="B131" t="s">
        <v>468</v>
      </c>
      <c r="C131" s="2">
        <v>352</v>
      </c>
      <c r="D131">
        <f>RTD("tos.rtd", , "LAST", Main_S[[#This Row],[Symbol]])</f>
        <v>2.1269999999999998</v>
      </c>
      <c r="E131">
        <v>0.2</v>
      </c>
      <c r="F131">
        <v>1.2</v>
      </c>
      <c r="G131">
        <v>0.11</v>
      </c>
      <c r="H131" s="1">
        <f>IF(ISNUMBER(Main_S[[#This Row],[Free CF]]),IF(Main_S[[#This Row],[Free CF]]&lt;&gt;0,Main_S[[#This Row],[Current Price]]/Main_S[[#This Row],[Free CF]],""),"")</f>
        <v>10.634999999999998</v>
      </c>
      <c r="I131" s="1">
        <f>IF(ISNUMBER(Main_S[[#This Row],[BVPS]]),IF(Main_S[[#This Row],[BVPS]]&lt;&gt;0,Main_S[[#This Row],[Current Price]]/Main_S[[#This Row],[BVPS]],""),"")</f>
        <v>1.7725</v>
      </c>
      <c r="J131">
        <v>10.119999999999999</v>
      </c>
      <c r="K131">
        <v>6.37</v>
      </c>
      <c r="L131">
        <v>2</v>
      </c>
      <c r="M131" s="1">
        <f>IF(ISNUMBER(Main_S[[#This Row],[EPS]]),IF(Main_S[[#This Row],[EPS]]&lt;&gt;0,Main_S[[#This Row],[Current Price]]/Main_S[[#This Row],[EPS]],""),"")</f>
        <v>19.336363636363636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3.5494457208780673E-2</v>
      </c>
      <c r="P131" s="1">
        <f>(Main_S[[#This Row],[P/B]]-VLOOKUP(Main_S[[#This Row],[Industry]], Mean_PB_S, 2, FALSE))/(VLOOKUP(Main_S[[#This Row],[Industry]], Mean_PB_S, 3, FALSE))</f>
        <v>0.21780782420506745</v>
      </c>
      <c r="Q131" s="1">
        <f>(Main_S[[#This Row],[ROE]]-VLOOKUP(Main_S[[#This Row],[Industry]], Mean_ROE_S, 2, FALSE))/(VLOOKUP(Main_S[[#This Row],[Industry]], Mean_ROE_S, 3, FALSE))</f>
        <v>0.20071158874996103</v>
      </c>
      <c r="R131" s="1">
        <f>(Main_S[[#This Row],[ROA]]-VLOOKUP(Main_S[[#This Row],[Industry]], Mean_ROA_S, 2, FALSE))/(VLOOKUP(Main_S[[#This Row],[Industry]], Mean_ROA_S, 3, FALSE))</f>
        <v>1.0329240219124258</v>
      </c>
      <c r="S131" s="1">
        <f>(Main_S[[#This Row],[A/E]]-VLOOKUP(Main_S[[#This Row],[Industry]], Mean_AE_S, 2, FALSE))/(VLOOKUP(Main_S[[#This Row],[Industry]], Mean_AE_S, 3, FALSE))</f>
        <v>-0.42848175410066303</v>
      </c>
      <c r="T131" s="1">
        <f>(Main_S[[#This Row],[P/E]]-VLOOKUP(Main_S[[#This Row],[Industry]], Mean_PE_S, 2, FALSE))/(VLOOKUP(Main_S[[#This Row],[Industry]], Mean_PE_S, 3, FALSE))</f>
        <v>0.5664833198003838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2" spans="1:26" x14ac:dyDescent="0.25">
      <c r="A132" t="s">
        <v>115</v>
      </c>
      <c r="B132" t="s">
        <v>469</v>
      </c>
      <c r="C132" s="2">
        <v>423</v>
      </c>
      <c r="D132">
        <f>RTD("tos.rtd", , "LAST", Main_S[[#This Row],[Symbol]])</f>
        <v>4.3600000000000003</v>
      </c>
      <c r="E132">
        <v>-1.63</v>
      </c>
      <c r="F132">
        <v>5.39</v>
      </c>
      <c r="G132">
        <v>0.35</v>
      </c>
      <c r="H132" s="1">
        <f>IF(ISNUMBER(Main_S[[#This Row],[Free CF]]),IF(Main_S[[#This Row],[Free CF]]&lt;&gt;0,Main_S[[#This Row],[Current Price]]/Main_S[[#This Row],[Free CF]],""),"")</f>
        <v>-2.6748466257668717</v>
      </c>
      <c r="I132" s="1">
        <f>IF(ISNUMBER(Main_S[[#This Row],[BVPS]]),IF(Main_S[[#This Row],[BVPS]]&lt;&gt;0,Main_S[[#This Row],[Current Price]]/Main_S[[#This Row],[BVPS]],""),"")</f>
        <v>0.80890538033395187</v>
      </c>
      <c r="J132">
        <v>7.59</v>
      </c>
      <c r="K132">
        <v>2.0699999999999998</v>
      </c>
      <c r="L132">
        <v>1.46</v>
      </c>
      <c r="M132" s="1">
        <f>IF(ISNUMBER(Main_S[[#This Row],[EPS]]),IF(Main_S[[#This Row],[EPS]]&lt;&gt;0,Main_S[[#This Row],[Current Price]]/Main_S[[#This Row],[EPS]],""),"")</f>
        <v>12.457142857142859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-0.94902489186944905</v>
      </c>
      <c r="P132" s="1">
        <f>(Main_S[[#This Row],[P/B]]-VLOOKUP(Main_S[[#This Row],[Industry]], Mean_PB_S, 2, FALSE))/(VLOOKUP(Main_S[[#This Row],[Industry]], Mean_PB_S, 3, FALSE))</f>
        <v>-0.4895203338979916</v>
      </c>
      <c r="Q132" s="1">
        <f>(Main_S[[#This Row],[ROE]]-VLOOKUP(Main_S[[#This Row],[Industry]], Mean_ROE_S, 2, FALSE))/(VLOOKUP(Main_S[[#This Row],[Industry]], Mean_ROE_S, 3, FALSE))</f>
        <v>8.5046655095172508E-2</v>
      </c>
      <c r="R132" s="1">
        <f>(Main_S[[#This Row],[ROA]]-VLOOKUP(Main_S[[#This Row],[Industry]], Mean_ROA_S, 2, FALSE))/(VLOOKUP(Main_S[[#This Row],[Industry]], Mean_ROA_S, 3, FALSE))</f>
        <v>-0.1207313791845693</v>
      </c>
      <c r="S132" s="1">
        <f>(Main_S[[#This Row],[A/E]]-VLOOKUP(Main_S[[#This Row],[Industry]], Mean_AE_S, 2, FALSE))/(VLOOKUP(Main_S[[#This Row],[Industry]], Mean_AE_S, 3, FALSE))</f>
        <v>-0.76783930334838846</v>
      </c>
      <c r="T132" s="1">
        <f>(Main_S[[#This Row],[P/E]]-VLOOKUP(Main_S[[#This Row],[Industry]], Mean_PE_S, 2, FALSE))/(VLOOKUP(Main_S[[#This Row],[Industry]], Mean_PE_S, 3, FALSE))</f>
        <v>0.17718391824821544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t="s">
        <v>115</v>
      </c>
      <c r="B133" t="s">
        <v>470</v>
      </c>
      <c r="C133" s="2">
        <v>386</v>
      </c>
      <c r="D133">
        <f>RTD("tos.rtd", , "LAST", Main_S[[#This Row],[Symbol]])</f>
        <v>52.75</v>
      </c>
      <c r="E133">
        <v>-11.38</v>
      </c>
      <c r="F133">
        <v>67.56</v>
      </c>
      <c r="G133">
        <v>1.04</v>
      </c>
      <c r="H133" s="1">
        <f>IF(ISNUMBER(Main_S[[#This Row],[Free CF]]),IF(Main_S[[#This Row],[Free CF]]&lt;&gt;0,Main_S[[#This Row],[Current Price]]/Main_S[[#This Row],[Free CF]],""),"")</f>
        <v>-4.6353251318101929</v>
      </c>
      <c r="I133" s="1">
        <f>IF(ISNUMBER(Main_S[[#This Row],[BVPS]]),IF(Main_S[[#This Row],[BVPS]]&lt;&gt;0,Main_S[[#This Row],[Current Price]]/Main_S[[#This Row],[BVPS]],""),"")</f>
        <v>0.78078744819419776</v>
      </c>
      <c r="J133">
        <v>1.5</v>
      </c>
      <c r="K133">
        <v>3.34</v>
      </c>
      <c r="L133">
        <v>2.88</v>
      </c>
      <c r="M133" s="1">
        <f>IF(ISNUMBER(Main_S[[#This Row],[EPS]]),IF(Main_S[[#This Row],[EPS]]&lt;&gt;0,Main_S[[#This Row],[Current Price]]/Main_S[[#This Row],[EPS]],""),"")</f>
        <v>50.721153846153847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-1.0940400131492876</v>
      </c>
      <c r="P133" s="1">
        <f>(Main_S[[#This Row],[P/B]]-VLOOKUP(Main_S[[#This Row],[Industry]], Mean_PB_S, 2, FALSE))/(VLOOKUP(Main_S[[#This Row],[Industry]], Mean_PB_S, 3, FALSE))</f>
        <v>-0.5101603465590957</v>
      </c>
      <c r="Q133" s="1">
        <f>(Main_S[[#This Row],[ROE]]-VLOOKUP(Main_S[[#This Row],[Industry]], Mean_ROE_S, 2, FALSE))/(VLOOKUP(Main_S[[#This Row],[Industry]], Mean_ROE_S, 3, FALSE))</f>
        <v>-0.19337209824777699</v>
      </c>
      <c r="R133" s="1">
        <f>(Main_S[[#This Row],[ROA]]-VLOOKUP(Main_S[[#This Row],[Industry]], Mean_ROA_S, 2, FALSE))/(VLOOKUP(Main_S[[#This Row],[Industry]], Mean_ROA_S, 3, FALSE))</f>
        <v>0.21999940206965948</v>
      </c>
      <c r="S133" s="1">
        <f>(Main_S[[#This Row],[A/E]]-VLOOKUP(Main_S[[#This Row],[Industry]], Mean_AE_S, 2, FALSE))/(VLOOKUP(Main_S[[#This Row],[Industry]], Mean_AE_S, 3, FALSE))</f>
        <v>0.12454536319192647</v>
      </c>
      <c r="T133" s="1">
        <f>(Main_S[[#This Row],[P/E]]-VLOOKUP(Main_S[[#This Row],[Industry]], Mean_PE_S, 2, FALSE))/(VLOOKUP(Main_S[[#This Row],[Industry]], Mean_PE_S, 3, FALSE))</f>
        <v>2.3425682047945307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4" spans="1:26" x14ac:dyDescent="0.25">
      <c r="A134" t="s">
        <v>115</v>
      </c>
      <c r="B134" t="s">
        <v>471</v>
      </c>
      <c r="C134" s="2">
        <v>862</v>
      </c>
      <c r="D134">
        <f>RTD("tos.rtd", , "LAST", Main_S[[#This Row],[Symbol]])</f>
        <v>16.54</v>
      </c>
      <c r="E134">
        <v>-0.15</v>
      </c>
      <c r="F134">
        <v>4.96</v>
      </c>
      <c r="G134">
        <v>-0.55000000000000004</v>
      </c>
      <c r="H134" s="1">
        <f>IF(ISNUMBER(Main_S[[#This Row],[Free CF]]),IF(Main_S[[#This Row],[Free CF]]&lt;&gt;0,Main_S[[#This Row],[Current Price]]/Main_S[[#This Row],[Free CF]],""),"")</f>
        <v>-110.26666666666667</v>
      </c>
      <c r="I134" s="1">
        <f>IF(ISNUMBER(Main_S[[#This Row],[BVPS]]),IF(Main_S[[#This Row],[BVPS]]&lt;&gt;0,Main_S[[#This Row],[Current Price]]/Main_S[[#This Row],[BVPS]],""),"")</f>
        <v>3.3346774193548385</v>
      </c>
      <c r="J134">
        <v>-17.260000000000002</v>
      </c>
      <c r="K134">
        <v>2.2400000000000002</v>
      </c>
      <c r="L134">
        <v>16.579999999999998</v>
      </c>
      <c r="M134" s="1">
        <f>IF(ISNUMBER(Main_S[[#This Row],[EPS]]),IF(Main_S[[#This Row],[EPS]]&lt;&gt;0,Main_S[[#This Row],[Current Price]]/Main_S[[#This Row],[EPS]],""),"")</f>
        <v>-30.072727272727267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-8.9075109369109775</v>
      </c>
      <c r="P134" s="1">
        <f>(Main_S[[#This Row],[P/B]]-VLOOKUP(Main_S[[#This Row],[Industry]], Mean_PB_S, 2, FALSE))/(VLOOKUP(Main_S[[#This Row],[Industry]], Mean_PB_S, 3, FALSE))</f>
        <v>1.3645266353223369</v>
      </c>
      <c r="Q134" s="1">
        <f>(Main_S[[#This Row],[ROE]]-VLOOKUP(Main_S[[#This Row],[Industry]], Mean_ROE_S, 2, FALSE))/(VLOOKUP(Main_S[[#This Row],[Industry]], Mean_ROE_S, 3, FALSE))</f>
        <v>-1.0510298671662883</v>
      </c>
      <c r="R134" s="1">
        <f>(Main_S[[#This Row],[ROA]]-VLOOKUP(Main_S[[#This Row],[Industry]], Mean_ROA_S, 2, FALSE))/(VLOOKUP(Main_S[[#This Row],[Industry]], Mean_ROA_S, 3, FALSE))</f>
        <v>-7.5121747048176368E-2</v>
      </c>
      <c r="S134" s="1">
        <f>(Main_S[[#This Row],[A/E]]-VLOOKUP(Main_S[[#This Row],[Industry]], Mean_AE_S, 2, FALSE))/(VLOOKUP(Main_S[[#This Row],[Industry]], Mean_AE_S, 3, FALSE))</f>
        <v>8.7341720755879209</v>
      </c>
      <c r="T134" s="1">
        <f>(Main_S[[#This Row],[P/E]]-VLOOKUP(Main_S[[#This Row],[Industry]], Mean_PE_S, 2, FALSE))/(VLOOKUP(Main_S[[#This Row],[Industry]], Mean_PE_S, 3, FALSE))</f>
        <v>-2.229608002089789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t="s">
        <v>115</v>
      </c>
      <c r="B135" t="s">
        <v>472</v>
      </c>
      <c r="C135" s="2">
        <v>490</v>
      </c>
      <c r="D135">
        <f>RTD("tos.rtd", , "LAST", Main_S[[#This Row],[Symbol]])</f>
        <v>3.64</v>
      </c>
      <c r="E135">
        <v>-0.96</v>
      </c>
      <c r="F135">
        <v>-1.97</v>
      </c>
      <c r="G135">
        <v>-0.41</v>
      </c>
      <c r="H135" s="1">
        <f>IF(ISNUMBER(Main_S[[#This Row],[Free CF]]),IF(Main_S[[#This Row],[Free CF]]&lt;&gt;0,Main_S[[#This Row],[Current Price]]/Main_S[[#This Row],[Free CF]],""),"")</f>
        <v>-3.791666666666667</v>
      </c>
      <c r="I135" s="1">
        <f>IF(ISNUMBER(Main_S[[#This Row],[BVPS]]),IF(Main_S[[#This Row],[BVPS]]&lt;&gt;0,Main_S[[#This Row],[Current Price]]/Main_S[[#This Row],[BVPS]],""),"")</f>
        <v>-1.8477157360406091</v>
      </c>
      <c r="J135">
        <v>-25.75</v>
      </c>
      <c r="K135">
        <v>-9.75</v>
      </c>
      <c r="L135">
        <v>-3.14</v>
      </c>
      <c r="M135" s="1">
        <f>IF(ISNUMBER(Main_S[[#This Row],[EPS]]),IF(Main_S[[#This Row],[EPS]]&lt;&gt;0,Main_S[[#This Row],[Current Price]]/Main_S[[#This Row],[EPS]],""),"")</f>
        <v>-8.8780487804878057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-1.0316352307125414</v>
      </c>
      <c r="P135" s="1">
        <f>(Main_S[[#This Row],[P/B]]-VLOOKUP(Main_S[[#This Row],[Industry]], Mean_PB_S, 2, FALSE))/(VLOOKUP(Main_S[[#This Row],[Industry]], Mean_PB_S, 3, FALSE))</f>
        <v>-2.4396172757781249</v>
      </c>
      <c r="Q135" s="1">
        <f>(Main_S[[#This Row],[ROE]]-VLOOKUP(Main_S[[#This Row],[Industry]], Mean_ROE_S, 2, FALSE))/(VLOOKUP(Main_S[[#This Row],[Industry]], Mean_ROE_S, 3, FALSE))</f>
        <v>-1.4391702967035034</v>
      </c>
      <c r="R135" s="1">
        <f>(Main_S[[#This Row],[ROA]]-VLOOKUP(Main_S[[#This Row],[Industry]], Mean_ROA_S, 2, FALSE))/(VLOOKUP(Main_S[[#This Row],[Industry]], Mean_ROA_S, 3, FALSE))</f>
        <v>-3.2919422724325882</v>
      </c>
      <c r="S135" s="1">
        <f>(Main_S[[#This Row],[A/E]]-VLOOKUP(Main_S[[#This Row],[Industry]], Mean_AE_S, 2, FALSE))/(VLOOKUP(Main_S[[#This Row],[Industry]], Mean_AE_S, 3, FALSE))</f>
        <v>-3.6586628710141973</v>
      </c>
      <c r="T135" s="1">
        <f>(Main_S[[#This Row],[P/E]]-VLOOKUP(Main_S[[#This Row],[Industry]], Mean_PE_S, 2, FALSE))/(VLOOKUP(Main_S[[#This Row],[Industry]], Mean_PE_S, 3, FALSE))</f>
        <v>-1.0301879052610243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t="s">
        <v>115</v>
      </c>
      <c r="B136" t="s">
        <v>473</v>
      </c>
      <c r="C136" s="2">
        <v>382</v>
      </c>
      <c r="D136">
        <f>RTD("tos.rtd", , "LAST", Main_S[[#This Row],[Symbol]])</f>
        <v>12.78</v>
      </c>
      <c r="E136">
        <v>2.34</v>
      </c>
      <c r="F136">
        <v>21.67</v>
      </c>
      <c r="G136">
        <v>0.62</v>
      </c>
      <c r="H136" s="1">
        <f>IF(ISNUMBER(Main_S[[#This Row],[Free CF]]),IF(Main_S[[#This Row],[Free CF]]&lt;&gt;0,Main_S[[#This Row],[Current Price]]/Main_S[[#This Row],[Free CF]],""),"")</f>
        <v>5.4615384615384617</v>
      </c>
      <c r="I136" s="1">
        <f>IF(ISNUMBER(Main_S[[#This Row],[BVPS]]),IF(Main_S[[#This Row],[BVPS]]&lt;&gt;0,Main_S[[#This Row],[Current Price]]/Main_S[[#This Row],[BVPS]],""),"")</f>
        <v>0.58975542224273181</v>
      </c>
      <c r="J136">
        <v>3.02</v>
      </c>
      <c r="K136">
        <v>1.96</v>
      </c>
      <c r="L136">
        <v>2.57</v>
      </c>
      <c r="M136" s="1">
        <f>IF(ISNUMBER(Main_S[[#This Row],[EPS]]),IF(Main_S[[#This Row],[EPS]]&lt;&gt;0,Main_S[[#This Row],[Current Price]]/Main_S[[#This Row],[EPS]],""),"")</f>
        <v>20.612903225806452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-0.34718260358221437</v>
      </c>
      <c r="P136" s="1">
        <f>(Main_S[[#This Row],[P/B]]-VLOOKUP(Main_S[[#This Row],[Industry]], Mean_PB_S, 2, FALSE))/(VLOOKUP(Main_S[[#This Row],[Industry]], Mean_PB_S, 3, FALSE))</f>
        <v>-0.65038770804205559</v>
      </c>
      <c r="Q136" s="1">
        <f>(Main_S[[#This Row],[ROE]]-VLOOKUP(Main_S[[#This Row],[Industry]], Mean_ROE_S, 2, FALSE))/(VLOOKUP(Main_S[[#This Row],[Industry]], Mean_ROE_S, 3, FALSE))</f>
        <v>-0.12388170332474198</v>
      </c>
      <c r="R136" s="1">
        <f>(Main_S[[#This Row],[ROA]]-VLOOKUP(Main_S[[#This Row],[Industry]], Mean_ROA_S, 2, FALSE))/(VLOOKUP(Main_S[[#This Row],[Industry]], Mean_ROA_S, 3, FALSE))</f>
        <v>-0.15024349409635288</v>
      </c>
      <c r="S136" s="1">
        <f>(Main_S[[#This Row],[A/E]]-VLOOKUP(Main_S[[#This Row],[Industry]], Mean_AE_S, 2, FALSE))/(VLOOKUP(Main_S[[#This Row],[Industry]], Mean_AE_S, 3, FALSE))</f>
        <v>-7.0271007672508518E-2</v>
      </c>
      <c r="T136" s="1">
        <f>(Main_S[[#This Row],[P/E]]-VLOOKUP(Main_S[[#This Row],[Industry]], Mean_PE_S, 2, FALSE))/(VLOOKUP(Main_S[[#This Row],[Industry]], Mean_PE_S, 3, FALSE))</f>
        <v>0.63872349265961714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t="s">
        <v>115</v>
      </c>
      <c r="B137" t="s">
        <v>474</v>
      </c>
      <c r="C137" s="2">
        <v>922</v>
      </c>
      <c r="D137">
        <f>RTD("tos.rtd", , "LAST", Main_S[[#This Row],[Symbol]])</f>
        <v>4.5999999999999996</v>
      </c>
      <c r="E137">
        <v>-5.23</v>
      </c>
      <c r="F137">
        <v>-0.25</v>
      </c>
      <c r="G137">
        <v>-3.05</v>
      </c>
      <c r="H137" s="1">
        <f>IF(ISNUMBER(Main_S[[#This Row],[Free CF]]),IF(Main_S[[#This Row],[Free CF]]&lt;&gt;0,Main_S[[#This Row],[Current Price]]/Main_S[[#This Row],[Free CF]],""),"")</f>
        <v>-0.87954110898661553</v>
      </c>
      <c r="I137" s="1">
        <f>IF(ISNUMBER(Main_S[[#This Row],[BVPS]]),IF(Main_S[[#This Row],[BVPS]]&lt;&gt;0,Main_S[[#This Row],[Current Price]]/Main_S[[#This Row],[BVPS]],""),"")</f>
        <v>-18.399999999999999</v>
      </c>
      <c r="J137">
        <v>179.99</v>
      </c>
      <c r="K137">
        <v>-8.4</v>
      </c>
      <c r="L137">
        <v>-5.7</v>
      </c>
      <c r="M137" s="1">
        <f>IF(ISNUMBER(Main_S[[#This Row],[EPS]]),IF(Main_S[[#This Row],[EPS]]&lt;&gt;0,Main_S[[#This Row],[Current Price]]/Main_S[[#This Row],[EPS]],""),"")</f>
        <v>-1.5081967213114753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-0.81622749243471182</v>
      </c>
      <c r="P137" s="1">
        <f>(Main_S[[#This Row],[P/B]]-VLOOKUP(Main_S[[#This Row],[Industry]], Mean_PB_S, 2, FALSE))/(VLOOKUP(Main_S[[#This Row],[Industry]], Mean_PB_S, 3, FALSE))</f>
        <v>-14.58984777922597</v>
      </c>
      <c r="Q137" s="1">
        <f>(Main_S[[#This Row],[ROE]]-VLOOKUP(Main_S[[#This Row],[Industry]], Mean_ROE_S, 2, FALSE))/(VLOOKUP(Main_S[[#This Row],[Industry]], Mean_ROE_S, 3, FALSE))</f>
        <v>7.9667203950499337</v>
      </c>
      <c r="R137" s="1">
        <f>(Main_S[[#This Row],[ROA]]-VLOOKUP(Main_S[[#This Row],[Industry]], Mean_ROA_S, 2, FALSE))/(VLOOKUP(Main_S[[#This Row],[Industry]], Mean_ROA_S, 3, FALSE))</f>
        <v>-2.9297481348788805</v>
      </c>
      <c r="S137" s="1">
        <f>(Main_S[[#This Row],[A/E]]-VLOOKUP(Main_S[[#This Row],[Industry]], Mean_AE_S, 2, FALSE))/(VLOOKUP(Main_S[[#This Row],[Industry]], Mean_AE_S, 3, FALSE))</f>
        <v>-5.2674690304108216</v>
      </c>
      <c r="T137" s="1">
        <f>(Main_S[[#This Row],[P/E]]-VLOOKUP(Main_S[[#This Row],[Industry]], Mean_PE_S, 2, FALSE))/(VLOOKUP(Main_S[[#This Row],[Industry]], Mean_PE_S, 3, FALSE))</f>
        <v>-0.61312337306405851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t="s">
        <v>115</v>
      </c>
      <c r="B138" t="s">
        <v>475</v>
      </c>
      <c r="C138" s="2">
        <v>1175</v>
      </c>
      <c r="D138">
        <f>RTD("tos.rtd", , "LAST", Main_S[[#This Row],[Symbol]])</f>
        <v>8.7200000000000006</v>
      </c>
      <c r="E138">
        <v>0.28000000000000003</v>
      </c>
      <c r="F138">
        <v>2.44</v>
      </c>
      <c r="G138">
        <v>0.49</v>
      </c>
      <c r="H138" s="1">
        <f>IF(ISNUMBER(Main_S[[#This Row],[Free CF]]),IF(Main_S[[#This Row],[Free CF]]&lt;&gt;0,Main_S[[#This Row],[Current Price]]/Main_S[[#This Row],[Free CF]],""),"")</f>
        <v>31.142857142857142</v>
      </c>
      <c r="I138" s="1">
        <f>IF(ISNUMBER(Main_S[[#This Row],[BVPS]]),IF(Main_S[[#This Row],[BVPS]]&lt;&gt;0,Main_S[[#This Row],[Current Price]]/Main_S[[#This Row],[BVPS]],""),"")</f>
        <v>3.5737704918032791</v>
      </c>
      <c r="J138">
        <v>20.04</v>
      </c>
      <c r="K138">
        <v>4.6399999999999997</v>
      </c>
      <c r="L138">
        <v>3.51</v>
      </c>
      <c r="M138" s="1">
        <f>IF(ISNUMBER(Main_S[[#This Row],[EPS]]),IF(Main_S[[#This Row],[EPS]]&lt;&gt;0,Main_S[[#This Row],[Current Price]]/Main_S[[#This Row],[EPS]],""),"")</f>
        <v>17.795918367346939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1.5524452330492751</v>
      </c>
      <c r="P138" s="1">
        <f>(Main_S[[#This Row],[P/B]]-VLOOKUP(Main_S[[#This Row],[Industry]], Mean_PB_S, 2, FALSE))/(VLOOKUP(Main_S[[#This Row],[Industry]], Mean_PB_S, 3, FALSE))</f>
        <v>1.5400332841751161</v>
      </c>
      <c r="Q138" s="1">
        <f>(Main_S[[#This Row],[ROE]]-VLOOKUP(Main_S[[#This Row],[Industry]], Mean_ROE_S, 2, FALSE))/(VLOOKUP(Main_S[[#This Row],[Industry]], Mean_ROE_S, 3, FALSE))</f>
        <v>0.6542278503529263</v>
      </c>
      <c r="R138" s="1">
        <f>(Main_S[[#This Row],[ROA]]-VLOOKUP(Main_S[[#This Row],[Industry]], Mean_ROA_S, 2, FALSE))/(VLOOKUP(Main_S[[#This Row],[Industry]], Mean_ROA_S, 3, FALSE))</f>
        <v>0.56877894193619283</v>
      </c>
      <c r="S138" s="1">
        <f>(Main_S[[#This Row],[A/E]]-VLOOKUP(Main_S[[#This Row],[Industry]], Mean_AE_S, 2, FALSE))/(VLOOKUP(Main_S[[#This Row],[Industry]], Mean_AE_S, 3, FALSE))</f>
        <v>0.52046250398093941</v>
      </c>
      <c r="T138" s="1">
        <f>(Main_S[[#This Row],[P/E]]-VLOOKUP(Main_S[[#This Row],[Industry]], Mean_PE_S, 2, FALSE))/(VLOOKUP(Main_S[[#This Row],[Industry]], Mean_PE_S, 3, FALSE))</f>
        <v>0.47930855966425134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t="s">
        <v>115</v>
      </c>
      <c r="B139" t="s">
        <v>476</v>
      </c>
      <c r="C139" s="2">
        <v>304</v>
      </c>
      <c r="D139">
        <f>RTD("tos.rtd", , "LAST", Main_S[[#This Row],[Symbol]])</f>
        <v>20.76</v>
      </c>
      <c r="E139">
        <v>1.85</v>
      </c>
      <c r="F139">
        <v>18.899999999999999</v>
      </c>
      <c r="G139">
        <v>1.28</v>
      </c>
      <c r="H139" s="1">
        <f>IF(ISNUMBER(Main_S[[#This Row],[Free CF]]),IF(Main_S[[#This Row],[Free CF]]&lt;&gt;0,Main_S[[#This Row],[Current Price]]/Main_S[[#This Row],[Free CF]],""),"")</f>
        <v>11.221621621621622</v>
      </c>
      <c r="I139" s="1">
        <f>IF(ISNUMBER(Main_S[[#This Row],[BVPS]]),IF(Main_S[[#This Row],[BVPS]]&lt;&gt;0,Main_S[[#This Row],[Current Price]]/Main_S[[#This Row],[BVPS]],""),"")</f>
        <v>1.0984126984126985</v>
      </c>
      <c r="J139">
        <v>6.97</v>
      </c>
      <c r="K139">
        <v>2.15</v>
      </c>
      <c r="L139">
        <v>2.1</v>
      </c>
      <c r="M139" s="1">
        <f>IF(ISNUMBER(Main_S[[#This Row],[EPS]]),IF(Main_S[[#This Row],[EPS]]&lt;&gt;0,Main_S[[#This Row],[Current Price]]/Main_S[[#This Row],[EPS]],""),"")</f>
        <v>16.21875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7.8886417560604882E-2</v>
      </c>
      <c r="P139" s="1">
        <f>(Main_S[[#This Row],[P/B]]-VLOOKUP(Main_S[[#This Row],[Industry]], Mean_PB_S, 2, FALSE))/(VLOOKUP(Main_S[[#This Row],[Industry]], Mean_PB_S, 3, FALSE))</f>
        <v>-0.27700702812116446</v>
      </c>
      <c r="Q139" s="1">
        <f>(Main_S[[#This Row],[ROE]]-VLOOKUP(Main_S[[#This Row],[Industry]], Mean_ROE_S, 2, FALSE))/(VLOOKUP(Main_S[[#This Row],[Industry]], Mean_ROE_S, 3, FALSE))</f>
        <v>5.6701888744987168E-2</v>
      </c>
      <c r="R139" s="1">
        <f>(Main_S[[#This Row],[ROA]]-VLOOKUP(Main_S[[#This Row],[Industry]], Mean_ROA_S, 2, FALSE))/(VLOOKUP(Main_S[[#This Row],[Industry]], Mean_ROA_S, 3, FALSE))</f>
        <v>-9.9268022885090304E-2</v>
      </c>
      <c r="S139" s="1">
        <f>(Main_S[[#This Row],[A/E]]-VLOOKUP(Main_S[[#This Row],[Industry]], Mean_AE_S, 2, FALSE))/(VLOOKUP(Main_S[[#This Row],[Industry]], Mean_AE_S, 3, FALSE))</f>
        <v>-0.36563776349923233</v>
      </c>
      <c r="T139" s="1">
        <f>(Main_S[[#This Row],[P/E]]-VLOOKUP(Main_S[[#This Row],[Industry]], Mean_PE_S, 2, FALSE))/(VLOOKUP(Main_S[[#This Row],[Industry]], Mean_PE_S, 3, FALSE))</f>
        <v>0.39005561645158682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t="s">
        <v>110</v>
      </c>
      <c r="B140" t="s">
        <v>365</v>
      </c>
      <c r="C140" s="2">
        <v>1861</v>
      </c>
      <c r="D140">
        <f>RTD("tos.rtd", , "LAST", Main_S[[#This Row],[Symbol]])</f>
        <v>18.71</v>
      </c>
      <c r="E140">
        <v>2.84</v>
      </c>
      <c r="F140">
        <v>9.06</v>
      </c>
      <c r="G140">
        <v>-8.56</v>
      </c>
      <c r="H140" s="1">
        <f>IF(ISNUMBER(Main_S[[#This Row],[Free CF]]),IF(Main_S[[#This Row],[Free CF]]&lt;&gt;0,Main_S[[#This Row],[Current Price]]/Main_S[[#This Row],[Free CF]],""),"")</f>
        <v>6.5880281690140849</v>
      </c>
      <c r="I140" s="1">
        <f>IF(ISNUMBER(Main_S[[#This Row],[BVPS]]),IF(Main_S[[#This Row],[BVPS]]&lt;&gt;0,Main_S[[#This Row],[Current Price]]/Main_S[[#This Row],[BVPS]],""),"")</f>
        <v>2.0651214128035318</v>
      </c>
      <c r="J140">
        <v>-67</v>
      </c>
      <c r="K140">
        <v>1.37</v>
      </c>
      <c r="L140">
        <v>5.53</v>
      </c>
      <c r="M140" s="1">
        <f>IF(ISNUMBER(Main_S[[#This Row],[EPS]]),IF(Main_S[[#This Row],[EPS]]&lt;&gt;0,Main_S[[#This Row],[Current Price]]/Main_S[[#This Row],[EPS]],""),"")</f>
        <v>-2.1857476635514019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-0.63262222300940729</v>
      </c>
      <c r="P140" s="1">
        <f>(Main_S[[#This Row],[P/B]]-VLOOKUP(Main_S[[#This Row],[Industry]], Mean_PB_S, 2, FALSE))/(VLOOKUP(Main_S[[#This Row],[Industry]], Mean_PB_S, 3, FALSE))</f>
        <v>0.60937232007045627</v>
      </c>
      <c r="Q140" s="1">
        <f>(Main_S[[#This Row],[ROE]]-VLOOKUP(Main_S[[#This Row],[Industry]], Mean_ROE_S, 2, FALSE))/(VLOOKUP(Main_S[[#This Row],[Industry]], Mean_ROE_S, 3, FALSE))</f>
        <v>-2.3332229472833896</v>
      </c>
      <c r="R140" s="1">
        <f>(Main_S[[#This Row],[ROA]]-VLOOKUP(Main_S[[#This Row],[Industry]], Mean_ROA_S, 2, FALSE))/(VLOOKUP(Main_S[[#This Row],[Industry]], Mean_ROA_S, 3, FALSE))</f>
        <v>-1.1431093778716988</v>
      </c>
      <c r="S140" s="1">
        <f>(Main_S[[#This Row],[A/E]]-VLOOKUP(Main_S[[#This Row],[Industry]], Mean_AE_S, 2, FALSE))/(VLOOKUP(Main_S[[#This Row],[Industry]], Mean_AE_S, 3, FALSE))</f>
        <v>1.7341851612475625</v>
      </c>
      <c r="T140" s="1">
        <f>(Main_S[[#This Row],[P/E]]-VLOOKUP(Main_S[[#This Row],[Industry]], Mean_PE_S, 2, FALSE))/(VLOOKUP(Main_S[[#This Row],[Industry]], Mean_PE_S, 3, FALSE))</f>
        <v>-0.7962565726271944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t="s">
        <v>110</v>
      </c>
      <c r="B141" t="s">
        <v>366</v>
      </c>
      <c r="C141" s="2">
        <v>1194</v>
      </c>
      <c r="D141">
        <f>RTD("tos.rtd", , "LAST", Main_S[[#This Row],[Symbol]])</f>
        <v>35.65</v>
      </c>
      <c r="E141">
        <v>6.25</v>
      </c>
      <c r="F141">
        <v>23.38</v>
      </c>
      <c r="G141">
        <v>4.51</v>
      </c>
      <c r="H141" s="1">
        <f>IF(ISNUMBER(Main_S[[#This Row],[Free CF]]),IF(Main_S[[#This Row],[Free CF]]&lt;&gt;0,Main_S[[#This Row],[Current Price]]/Main_S[[#This Row],[Free CF]],""),"")</f>
        <v>5.7039999999999997</v>
      </c>
      <c r="I141" s="1">
        <f>IF(ISNUMBER(Main_S[[#This Row],[BVPS]]),IF(Main_S[[#This Row],[BVPS]]&lt;&gt;0,Main_S[[#This Row],[Current Price]]/Main_S[[#This Row],[BVPS]],""),"")</f>
        <v>1.5248075278015398</v>
      </c>
      <c r="J141">
        <v>19.309999999999999</v>
      </c>
      <c r="K141">
        <v>6.95</v>
      </c>
      <c r="L141">
        <v>2.75</v>
      </c>
      <c r="M141" s="1">
        <f>IF(ISNUMBER(Main_S[[#This Row],[EPS]]),IF(Main_S[[#This Row],[EPS]]&lt;&gt;0,Main_S[[#This Row],[Current Price]]/Main_S[[#This Row],[EPS]],""),"")</f>
        <v>7.9046563192904653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41" s="1">
        <f>(Main_S[[#This Row],[P/FCF]]-VLOOKUP(Main_S[[#This Row],[Industry]], Mean_PFCF_S, 2, FALSE))/(VLOOKUP(Main_S[[#This Row],[Industry]], Mean_PFCF_S, 3, FALSE))</f>
        <v>-0.89941132248215439</v>
      </c>
      <c r="P141" s="1">
        <f>(Main_S[[#This Row],[P/B]]-VLOOKUP(Main_S[[#This Row],[Industry]], Mean_PB_S, 2, FALSE))/(VLOOKUP(Main_S[[#This Row],[Industry]], Mean_PB_S, 3, FALSE))</f>
        <v>-0.24512744832599115</v>
      </c>
      <c r="Q141" s="1">
        <f>(Main_S[[#This Row],[ROE]]-VLOOKUP(Main_S[[#This Row],[Industry]], Mean_ROE_S, 2, FALSE))/(VLOOKUP(Main_S[[#This Row],[Industry]], Mean_ROE_S, 3, FALSE))</f>
        <v>0.68674424945385004</v>
      </c>
      <c r="R141" s="1">
        <f>(Main_S[[#This Row],[ROA]]-VLOOKUP(Main_S[[#This Row],[Industry]], Mean_ROA_S, 2, FALSE))/(VLOOKUP(Main_S[[#This Row],[Industry]], Mean_ROA_S, 3, FALSE))</f>
        <v>0.60635587954028136</v>
      </c>
      <c r="S141" s="1">
        <f>(Main_S[[#This Row],[A/E]]-VLOOKUP(Main_S[[#This Row],[Industry]], Mean_AE_S, 2, FALSE))/(VLOOKUP(Main_S[[#This Row],[Industry]], Mean_AE_S, 3, FALSE))</f>
        <v>-3.825408443928479E-2</v>
      </c>
      <c r="T141" s="1">
        <f>(Main_S[[#This Row],[P/E]]-VLOOKUP(Main_S[[#This Row],[Industry]], Mean_PE_S, 2, FALSE))/(VLOOKUP(Main_S[[#This Row],[Industry]], Mean_PE_S, 3, FALSE))</f>
        <v>-1.5097191027723103E-2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2" spans="1:26" x14ac:dyDescent="0.25">
      <c r="A142" t="s">
        <v>110</v>
      </c>
      <c r="B142" t="s">
        <v>367</v>
      </c>
      <c r="C142" s="2">
        <v>795</v>
      </c>
      <c r="D142">
        <f>RTD("tos.rtd", , "LAST", Main_S[[#This Row],[Symbol]])</f>
        <v>4.5999999999999996</v>
      </c>
      <c r="E142">
        <v>0.38</v>
      </c>
      <c r="F142">
        <v>2.3199999999999998</v>
      </c>
      <c r="G142">
        <v>0.02</v>
      </c>
      <c r="H142" s="1">
        <f>IF(ISNUMBER(Main_S[[#This Row],[Free CF]]),IF(Main_S[[#This Row],[Free CF]]&lt;&gt;0,Main_S[[#This Row],[Current Price]]/Main_S[[#This Row],[Free CF]],""),"")</f>
        <v>12.105263157894736</v>
      </c>
      <c r="I142" s="1">
        <f>IF(ISNUMBER(Main_S[[#This Row],[BVPS]]),IF(Main_S[[#This Row],[BVPS]]&lt;&gt;0,Main_S[[#This Row],[Current Price]]/Main_S[[#This Row],[BVPS]],""),"")</f>
        <v>1.9827586206896552</v>
      </c>
      <c r="J142">
        <v>0.72</v>
      </c>
      <c r="K142">
        <v>0.28999999999999998</v>
      </c>
      <c r="L142">
        <v>1.35</v>
      </c>
      <c r="M142" s="1">
        <f>IF(ISNUMBER(Main_S[[#This Row],[EPS]]),IF(Main_S[[#This Row],[EPS]]&lt;&gt;0,Main_S[[#This Row],[Current Price]]/Main_S[[#This Row],[EPS]],""),"")</f>
        <v>229.99999999999997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1.0324131297719232</v>
      </c>
      <c r="P142" s="1">
        <f>(Main_S[[#This Row],[P/B]]-VLOOKUP(Main_S[[#This Row],[Industry]], Mean_PB_S, 2, FALSE))/(VLOOKUP(Main_S[[#This Row],[Industry]], Mean_PB_S, 3, FALSE))</f>
        <v>0.47911657662323248</v>
      </c>
      <c r="Q142" s="1">
        <f>(Main_S[[#This Row],[ROE]]-VLOOKUP(Main_S[[#This Row],[Industry]], Mean_ROE_S, 2, FALSE))/(VLOOKUP(Main_S[[#This Row],[Industry]], Mean_ROE_S, 3, FALSE))</f>
        <v>3.6284393268642252E-2</v>
      </c>
      <c r="R142" s="1">
        <f>(Main_S[[#This Row],[ROA]]-VLOOKUP(Main_S[[#This Row],[Industry]], Mean_ROA_S, 2, FALSE))/(VLOOKUP(Main_S[[#This Row],[Industry]], Mean_ROA_S, 3, FALSE))</f>
        <v>-1.4817155567256304</v>
      </c>
      <c r="S142" s="1">
        <f>(Main_S[[#This Row],[A/E]]-VLOOKUP(Main_S[[#This Row],[Industry]], Mean_AE_S, 2, FALSE))/(VLOOKUP(Main_S[[#This Row],[Industry]], Mean_AE_S, 3, FALSE))</f>
        <v>-0.9308493880225891</v>
      </c>
      <c r="T142" s="1">
        <f>(Main_S[[#This Row],[P/E]]-VLOOKUP(Main_S[[#This Row],[Industry]], Mean_PE_S, 2, FALSE))/(VLOOKUP(Main_S[[#This Row],[Industry]], Mean_PE_S, 3, FALSE))</f>
        <v>17.178650613396925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3" spans="1:26" x14ac:dyDescent="0.25">
      <c r="A143" t="s">
        <v>110</v>
      </c>
      <c r="B143" t="s">
        <v>368</v>
      </c>
      <c r="C143" s="2">
        <v>1142</v>
      </c>
      <c r="D143">
        <f>RTD("tos.rtd", , "LAST", Main_S[[#This Row],[Symbol]])</f>
        <v>28.14</v>
      </c>
      <c r="E143">
        <v>6.18</v>
      </c>
      <c r="F143">
        <v>38.270000000000003</v>
      </c>
      <c r="G143">
        <v>4.2</v>
      </c>
      <c r="H143" s="1">
        <f>IF(ISNUMBER(Main_S[[#This Row],[Free CF]]),IF(Main_S[[#This Row],[Free CF]]&lt;&gt;0,Main_S[[#This Row],[Current Price]]/Main_S[[#This Row],[Free CF]],""),"")</f>
        <v>4.5533980582524274</v>
      </c>
      <c r="I143" s="1">
        <f>IF(ISNUMBER(Main_S[[#This Row],[BVPS]]),IF(Main_S[[#This Row],[BVPS]]&lt;&gt;0,Main_S[[#This Row],[Current Price]]/Main_S[[#This Row],[BVPS]],""),"")</f>
        <v>0.73530180297883452</v>
      </c>
      <c r="J143">
        <v>11.98</v>
      </c>
      <c r="K143">
        <v>7.29</v>
      </c>
      <c r="L143">
        <v>1.48</v>
      </c>
      <c r="M143" s="1">
        <f>IF(ISNUMBER(Main_S[[#This Row],[EPS]]),IF(Main_S[[#This Row],[EPS]]&lt;&gt;0,Main_S[[#This Row],[Current Price]]/Main_S[[#This Row],[EPS]],""),"")</f>
        <v>6.7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43" s="1">
        <f>(Main_S[[#This Row],[P/FCF]]-VLOOKUP(Main_S[[#This Row],[Industry]], Mean_PFCF_S, 2, FALSE))/(VLOOKUP(Main_S[[#This Row],[Industry]], Mean_PFCF_S, 3, FALSE))</f>
        <v>-1.2466491896111804</v>
      </c>
      <c r="P143" s="1">
        <f>(Main_S[[#This Row],[P/B]]-VLOOKUP(Main_S[[#This Row],[Industry]], Mean_PB_S, 2, FALSE))/(VLOOKUP(Main_S[[#This Row],[Industry]], Mean_PB_S, 3, FALSE))</f>
        <v>-1.4937210487036381</v>
      </c>
      <c r="Q143" s="1">
        <f>(Main_S[[#This Row],[ROE]]-VLOOKUP(Main_S[[#This Row],[Industry]], Mean_ROE_S, 2, FALSE))/(VLOOKUP(Main_S[[#This Row],[Industry]], Mean_ROE_S, 3, FALSE))</f>
        <v>0.43026922278157603</v>
      </c>
      <c r="R143" s="1">
        <f>(Main_S[[#This Row],[ROA]]-VLOOKUP(Main_S[[#This Row],[Industry]], Mean_ROA_S, 2, FALSE))/(VLOOKUP(Main_S[[#This Row],[Industry]], Mean_ROA_S, 3, FALSE))</f>
        <v>0.71295412103133382</v>
      </c>
      <c r="S143" s="1">
        <f>(Main_S[[#This Row],[A/E]]-VLOOKUP(Main_S[[#This Row],[Industry]], Mean_AE_S, 2, FALSE))/(VLOOKUP(Main_S[[#This Row],[Industry]], Mean_AE_S, 3, FALSE))</f>
        <v>-0.84796553840413946</v>
      </c>
      <c r="T143" s="1">
        <f>(Main_S[[#This Row],[P/E]]-VLOOKUP(Main_S[[#This Row],[Industry]], Mean_PE_S, 2, FALSE))/(VLOOKUP(Main_S[[#This Row],[Industry]], Mean_PE_S, 3, FALSE))</f>
        <v>-0.10835694425633498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t="s">
        <v>110</v>
      </c>
      <c r="B144" t="s">
        <v>369</v>
      </c>
      <c r="C144" s="2">
        <v>803</v>
      </c>
      <c r="D144">
        <f>RTD("tos.rtd", , "LAST", Main_S[[#This Row],[Symbol]])</f>
        <v>9.19</v>
      </c>
      <c r="E144">
        <v>1.53</v>
      </c>
      <c r="F144">
        <v>3.54</v>
      </c>
      <c r="G144">
        <v>0.51</v>
      </c>
      <c r="H144" s="1">
        <f>IF(ISNUMBER(Main_S[[#This Row],[Free CF]]),IF(Main_S[[#This Row],[Free CF]]&lt;&gt;0,Main_S[[#This Row],[Current Price]]/Main_S[[#This Row],[Free CF]],""),"")</f>
        <v>6.0065359477124183</v>
      </c>
      <c r="I144" s="1">
        <f>IF(ISNUMBER(Main_S[[#This Row],[BVPS]]),IF(Main_S[[#This Row],[BVPS]]&lt;&gt;0,Main_S[[#This Row],[Current Price]]/Main_S[[#This Row],[BVPS]],""),"")</f>
        <v>2.5960451977401129</v>
      </c>
      <c r="J144">
        <v>18.350000000000001</v>
      </c>
      <c r="K144">
        <v>5.48</v>
      </c>
      <c r="L144">
        <v>3.49</v>
      </c>
      <c r="M144" s="1">
        <f>IF(ISNUMBER(Main_S[[#This Row],[EPS]]),IF(Main_S[[#This Row],[EPS]]&lt;&gt;0,Main_S[[#This Row],[Current Price]]/Main_S[[#This Row],[EPS]],""),"")</f>
        <v>18.019607843137255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-0.80810960170288793</v>
      </c>
      <c r="P144" s="1">
        <f>(Main_S[[#This Row],[P/B]]-VLOOKUP(Main_S[[#This Row],[Industry]], Mean_PB_S, 2, FALSE))/(VLOOKUP(Main_S[[#This Row],[Industry]], Mean_PB_S, 3, FALSE))</f>
        <v>1.4490217606225926</v>
      </c>
      <c r="Q144" s="1">
        <f>(Main_S[[#This Row],[ROE]]-VLOOKUP(Main_S[[#This Row],[Industry]], Mean_ROE_S, 2, FALSE))/(VLOOKUP(Main_S[[#This Row],[Industry]], Mean_ROE_S, 3, FALSE))</f>
        <v>0.65315406860727665</v>
      </c>
      <c r="R144" s="1">
        <f>(Main_S[[#This Row],[ROA]]-VLOOKUP(Main_S[[#This Row],[Industry]], Mean_ROA_S, 2, FALSE))/(VLOOKUP(Main_S[[#This Row],[Industry]], Mean_ROA_S, 3, FALSE))</f>
        <v>0.14547524721131891</v>
      </c>
      <c r="S144" s="1">
        <f>(Main_S[[#This Row],[A/E]]-VLOOKUP(Main_S[[#This Row],[Industry]], Mean_AE_S, 2, FALSE))/(VLOOKUP(Main_S[[#This Row],[Industry]], Mean_AE_S, 3, FALSE))</f>
        <v>0.43354629031189051</v>
      </c>
      <c r="T144" s="1">
        <f>(Main_S[[#This Row],[P/E]]-VLOOKUP(Main_S[[#This Row],[Industry]], Mean_PE_S, 2, FALSE))/(VLOOKUP(Main_S[[#This Row],[Industry]], Mean_PE_S, 3, FALSE))</f>
        <v>0.76796256462850543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t="s">
        <v>110</v>
      </c>
      <c r="B145" t="s">
        <v>370</v>
      </c>
      <c r="C145" s="2">
        <v>1727</v>
      </c>
      <c r="D145">
        <f>RTD("tos.rtd", , "LAST", Main_S[[#This Row],[Symbol]])</f>
        <v>5.38</v>
      </c>
      <c r="E145">
        <v>0.64</v>
      </c>
      <c r="F145">
        <v>0.1</v>
      </c>
      <c r="G145">
        <v>-0.28000000000000003</v>
      </c>
      <c r="H145" s="1">
        <f>IF(ISNUMBER(Main_S[[#This Row],[Free CF]]),IF(Main_S[[#This Row],[Free CF]]&lt;&gt;0,Main_S[[#This Row],[Current Price]]/Main_S[[#This Row],[Free CF]],""),"")</f>
        <v>8.40625</v>
      </c>
      <c r="I145" s="1">
        <f>IF(ISNUMBER(Main_S[[#This Row],[BVPS]]),IF(Main_S[[#This Row],[BVPS]]&lt;&gt;0,Main_S[[#This Row],[Current Price]]/Main_S[[#This Row],[BVPS]],""),"")</f>
        <v>53.8</v>
      </c>
      <c r="J145">
        <v>-43.23</v>
      </c>
      <c r="K145">
        <v>5.7</v>
      </c>
      <c r="L145">
        <v>112.94</v>
      </c>
      <c r="M145" s="1">
        <f>IF(ISNUMBER(Main_S[[#This Row],[EPS]]),IF(Main_S[[#This Row],[EPS]]&lt;&gt;0,Main_S[[#This Row],[Current Price]]/Main_S[[#This Row],[EPS]],""),"")</f>
        <v>-19.214285714285712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-8.3904679911871713E-2</v>
      </c>
      <c r="P145" s="1">
        <f>(Main_S[[#This Row],[P/B]]-VLOOKUP(Main_S[[#This Row],[Industry]], Mean_PB_S, 2, FALSE))/(VLOOKUP(Main_S[[#This Row],[Industry]], Mean_PB_S, 3, FALSE))</f>
        <v>82.427446957583669</v>
      </c>
      <c r="Q145" s="1">
        <f>(Main_S[[#This Row],[ROE]]-VLOOKUP(Main_S[[#This Row],[Industry]], Mean_ROE_S, 2, FALSE))/(VLOOKUP(Main_S[[#This Row],[Industry]], Mean_ROE_S, 3, FALSE))</f>
        <v>-1.5015160736135458</v>
      </c>
      <c r="R145" s="1">
        <f>(Main_S[[#This Row],[ROA]]-VLOOKUP(Main_S[[#This Row],[Industry]], Mean_ROA_S, 2, FALSE))/(VLOOKUP(Main_S[[#This Row],[Industry]], Mean_ROA_S, 3, FALSE))</f>
        <v>0.21445057994082342</v>
      </c>
      <c r="S145" s="1">
        <f>(Main_S[[#This Row],[A/E]]-VLOOKUP(Main_S[[#This Row],[Industry]], Mean_AE_S, 2, FALSE))/(VLOOKUP(Main_S[[#This Row],[Industry]], Mean_AE_S, 3, FALSE))</f>
        <v>70.215371988306643</v>
      </c>
      <c r="T145" s="1">
        <f>(Main_S[[#This Row],[P/E]]-VLOOKUP(Main_S[[#This Row],[Industry]], Mean_PE_S, 2, FALSE))/(VLOOKUP(Main_S[[#This Row],[Industry]], Mean_PE_S, 3, FALSE))</f>
        <v>-2.1145389997603345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t="s">
        <v>110</v>
      </c>
      <c r="B146" t="s">
        <v>371</v>
      </c>
      <c r="C146" s="2">
        <v>310</v>
      </c>
      <c r="D146">
        <f>RTD("tos.rtd", , "LAST", Main_S[[#This Row],[Symbol]])</f>
        <v>2.42</v>
      </c>
      <c r="E146">
        <v>-0.64</v>
      </c>
      <c r="F146">
        <v>-0.04</v>
      </c>
      <c r="G146">
        <v>-1.46</v>
      </c>
      <c r="H146" s="1">
        <f>IF(ISNUMBER(Main_S[[#This Row],[Free CF]]),IF(Main_S[[#This Row],[Free CF]]&lt;&gt;0,Main_S[[#This Row],[Current Price]]/Main_S[[#This Row],[Free CF]],""),"")</f>
        <v>-3.78125</v>
      </c>
      <c r="I146" s="1">
        <f>IF(ISNUMBER(Main_S[[#This Row],[BVPS]]),IF(Main_S[[#This Row],[BVPS]]&lt;&gt;0,Main_S[[#This Row],[Current Price]]/Main_S[[#This Row],[BVPS]],""),"")</f>
        <v>-60.5</v>
      </c>
      <c r="J146">
        <v>-285.26</v>
      </c>
      <c r="K146">
        <v>-12.32</v>
      </c>
      <c r="L146">
        <v>-139.37</v>
      </c>
      <c r="M146" s="1">
        <f>IF(ISNUMBER(Main_S[[#This Row],[EPS]]),IF(Main_S[[#This Row],[EPS]]&lt;&gt;0,Main_S[[#This Row],[Current Price]]/Main_S[[#This Row],[EPS]],""),"")</f>
        <v>-1.6575342465753424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-3.7619460181763991</v>
      </c>
      <c r="P146" s="1">
        <f>(Main_S[[#This Row],[P/B]]-VLOOKUP(Main_S[[#This Row],[Industry]], Mean_PB_S, 2, FALSE))/(VLOOKUP(Main_S[[#This Row],[Industry]], Mean_PB_S, 3, FALSE))</f>
        <v>-98.336598236912607</v>
      </c>
      <c r="Q146" s="1">
        <f>(Main_S[[#This Row],[ROE]]-VLOOKUP(Main_S[[#This Row],[Industry]], Mean_ROE_S, 2, FALSE))/(VLOOKUP(Main_S[[#This Row],[Industry]], Mean_ROE_S, 3, FALSE))</f>
        <v>-9.9700905218387117</v>
      </c>
      <c r="R146" s="1">
        <f>(Main_S[[#This Row],[ROA]]-VLOOKUP(Main_S[[#This Row],[Industry]], Mean_ROA_S, 2, FALSE))/(VLOOKUP(Main_S[[#This Row],[Industry]], Mean_ROA_S, 3, FALSE))</f>
        <v>-5.4352562190849616</v>
      </c>
      <c r="S146" s="1">
        <f>(Main_S[[#This Row],[A/E]]-VLOOKUP(Main_S[[#This Row],[Industry]], Mean_AE_S, 2, FALSE))/(VLOOKUP(Main_S[[#This Row],[Industry]], Mean_AE_S, 3, FALSE))</f>
        <v>-90.649428759624442</v>
      </c>
      <c r="T146" s="1">
        <f>(Main_S[[#This Row],[P/E]]-VLOOKUP(Main_S[[#This Row],[Industry]], Mean_PE_S, 2, FALSE))/(VLOOKUP(Main_S[[#This Row],[Industry]], Mean_PE_S, 3, FALSE))</f>
        <v>-0.75536436782952754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t="s">
        <v>110</v>
      </c>
      <c r="B147" t="s">
        <v>372</v>
      </c>
      <c r="C147" s="2">
        <v>325</v>
      </c>
      <c r="D147">
        <f>RTD("tos.rtd", , "LAST", Main_S[[#This Row],[Symbol]])</f>
        <v>17.010000000000002</v>
      </c>
      <c r="E147">
        <v>-0.43</v>
      </c>
      <c r="F147">
        <v>21.73</v>
      </c>
      <c r="G147">
        <v>0.81</v>
      </c>
      <c r="H147" s="1">
        <f>IF(ISNUMBER(Main_S[[#This Row],[Free CF]]),IF(Main_S[[#This Row],[Free CF]]&lt;&gt;0,Main_S[[#This Row],[Current Price]]/Main_S[[#This Row],[Free CF]],""),"")</f>
        <v>-39.558139534883722</v>
      </c>
      <c r="I147" s="1">
        <f>IF(ISNUMBER(Main_S[[#This Row],[BVPS]]),IF(Main_S[[#This Row],[BVPS]]&lt;&gt;0,Main_S[[#This Row],[Current Price]]/Main_S[[#This Row],[BVPS]],""),"")</f>
        <v>0.78278877128393931</v>
      </c>
      <c r="J147">
        <v>3.87</v>
      </c>
      <c r="K147">
        <v>1.73</v>
      </c>
      <c r="L147">
        <v>1.52</v>
      </c>
      <c r="M147" s="1">
        <f>IF(ISNUMBER(Main_S[[#This Row],[EPS]]),IF(Main_S[[#This Row],[EPS]]&lt;&gt;0,Main_S[[#This Row],[Current Price]]/Main_S[[#This Row],[EPS]],""),"")</f>
        <v>21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-14.558982216233908</v>
      </c>
      <c r="P147" s="1">
        <f>(Main_S[[#This Row],[P/B]]-VLOOKUP(Main_S[[#This Row],[Industry]], Mean_PB_S, 2, FALSE))/(VLOOKUP(Main_S[[#This Row],[Industry]], Mean_PB_S, 3, FALSE))</f>
        <v>-1.4186209919682613</v>
      </c>
      <c r="Q147" s="1">
        <f>(Main_S[[#This Row],[ROE]]-VLOOKUP(Main_S[[#This Row],[Industry]], Mean_ROE_S, 2, FALSE))/(VLOOKUP(Main_S[[#This Row],[Industry]], Mean_ROE_S, 3, FALSE))</f>
        <v>0.14650217417146122</v>
      </c>
      <c r="R147" s="1">
        <f>(Main_S[[#This Row],[ROA]]-VLOOKUP(Main_S[[#This Row],[Industry]], Mean_ROA_S, 2, FALSE))/(VLOOKUP(Main_S[[#This Row],[Industry]], Mean_ROA_S, 3, FALSE))</f>
        <v>-1.030240651587055</v>
      </c>
      <c r="S147" s="1">
        <f>(Main_S[[#This Row],[A/E]]-VLOOKUP(Main_S[[#This Row],[Industry]], Mean_AE_S, 2, FALSE))/(VLOOKUP(Main_S[[#This Row],[Industry]], Mean_AE_S, 3, FALSE))</f>
        <v>-0.82246281544461641</v>
      </c>
      <c r="T147" s="1">
        <f>(Main_S[[#This Row],[P/E]]-VLOOKUP(Main_S[[#This Row],[Industry]], Mean_PE_S, 2, FALSE))/(VLOOKUP(Main_S[[#This Row],[Industry]], Mean_PE_S, 3, FALSE))</f>
        <v>0.99869280081505618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t="s">
        <v>110</v>
      </c>
      <c r="B148" t="s">
        <v>373</v>
      </c>
      <c r="C148" s="2">
        <v>790</v>
      </c>
      <c r="D148">
        <f>RTD("tos.rtd", , "LAST", Main_S[[#This Row],[Symbol]])</f>
        <v>58.47</v>
      </c>
      <c r="E148">
        <v>3.82</v>
      </c>
      <c r="F148">
        <v>39.64</v>
      </c>
      <c r="G148">
        <v>5.87</v>
      </c>
      <c r="H148" s="1">
        <f>IF(ISNUMBER(Main_S[[#This Row],[Free CF]]),IF(Main_S[[#This Row],[Free CF]]&lt;&gt;0,Main_S[[#This Row],[Current Price]]/Main_S[[#This Row],[Free CF]],""),"")</f>
        <v>15.306282722513089</v>
      </c>
      <c r="I148" s="1">
        <f>IF(ISNUMBER(Main_S[[#This Row],[BVPS]]),IF(Main_S[[#This Row],[BVPS]]&lt;&gt;0,Main_S[[#This Row],[Current Price]]/Main_S[[#This Row],[BVPS]],""),"")</f>
        <v>1.4750252270433906</v>
      </c>
      <c r="J148">
        <v>15.71</v>
      </c>
      <c r="K148">
        <v>6.39</v>
      </c>
      <c r="L148">
        <v>2.0699999999999998</v>
      </c>
      <c r="M148" s="1">
        <f>IF(ISNUMBER(Main_S[[#This Row],[EPS]]),IF(Main_S[[#This Row],[EPS]]&lt;&gt;0,Main_S[[#This Row],[Current Price]]/Main_S[[#This Row],[EPS]],""),"")</f>
        <v>9.9608177172061332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1.9984424453214471</v>
      </c>
      <c r="P148" s="1">
        <f>(Main_S[[#This Row],[P/B]]-VLOOKUP(Main_S[[#This Row],[Industry]], Mean_PB_S, 2, FALSE))/(VLOOKUP(Main_S[[#This Row],[Industry]], Mean_PB_S, 3, FALSE))</f>
        <v>-0.32385754512504716</v>
      </c>
      <c r="Q148" s="1">
        <f>(Main_S[[#This Row],[ROE]]-VLOOKUP(Main_S[[#This Row],[Industry]], Mean_ROE_S, 2, FALSE))/(VLOOKUP(Main_S[[#This Row],[Industry]], Mean_ROE_S, 3, FALSE))</f>
        <v>0.56078107127919985</v>
      </c>
      <c r="R148" s="1">
        <f>(Main_S[[#This Row],[ROA]]-VLOOKUP(Main_S[[#This Row],[Industry]], Mean_ROA_S, 2, FALSE))/(VLOOKUP(Main_S[[#This Row],[Industry]], Mean_ROA_S, 3, FALSE))</f>
        <v>0.430782305319724</v>
      </c>
      <c r="S148" s="1">
        <f>(Main_S[[#This Row],[A/E]]-VLOOKUP(Main_S[[#This Row],[Industry]], Mean_AE_S, 2, FALSE))/(VLOOKUP(Main_S[[#This Row],[Industry]], Mean_AE_S, 3, FALSE))</f>
        <v>-0.47180037475117559</v>
      </c>
      <c r="T148" s="1">
        <f>(Main_S[[#This Row],[P/E]]-VLOOKUP(Main_S[[#This Row],[Industry]], Mean_PE_S, 2, FALSE))/(VLOOKUP(Main_S[[#This Row],[Industry]], Mean_PE_S, 3, FALSE))</f>
        <v>0.14408273564277868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t="s">
        <v>110</v>
      </c>
      <c r="B149" t="s">
        <v>374</v>
      </c>
      <c r="C149" s="2">
        <v>1700</v>
      </c>
      <c r="D149">
        <f>RTD("tos.rtd", , "LAST", Main_S[[#This Row],[Symbol]])</f>
        <v>26.75</v>
      </c>
      <c r="E149">
        <v>2.42</v>
      </c>
      <c r="F149">
        <v>11.75</v>
      </c>
      <c r="G149">
        <v>2.35</v>
      </c>
      <c r="H149" s="1">
        <f>IF(ISNUMBER(Main_S[[#This Row],[Free CF]]),IF(Main_S[[#This Row],[Free CF]]&lt;&gt;0,Main_S[[#This Row],[Current Price]]/Main_S[[#This Row],[Free CF]],""),"")</f>
        <v>11.053719008264464</v>
      </c>
      <c r="I149" s="1">
        <f>IF(ISNUMBER(Main_S[[#This Row],[BVPS]]),IF(Main_S[[#This Row],[BVPS]]&lt;&gt;0,Main_S[[#This Row],[Current Price]]/Main_S[[#This Row],[BVPS]],""),"")</f>
        <v>2.2765957446808511</v>
      </c>
      <c r="J149">
        <v>20.41</v>
      </c>
      <c r="K149">
        <v>11.46</v>
      </c>
      <c r="L149">
        <v>1.67</v>
      </c>
      <c r="M149" s="1">
        <f>IF(ISNUMBER(Main_S[[#This Row],[EPS]]),IF(Main_S[[#This Row],[EPS]]&lt;&gt;0,Main_S[[#This Row],[Current Price]]/Main_S[[#This Row],[EPS]],""),"")</f>
        <v>11.382978723404255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0.71506971632779104</v>
      </c>
      <c r="P149" s="1">
        <f>(Main_S[[#This Row],[P/B]]-VLOOKUP(Main_S[[#This Row],[Industry]], Mean_PB_S, 2, FALSE))/(VLOOKUP(Main_S[[#This Row],[Industry]], Mean_PB_S, 3, FALSE))</f>
        <v>0.94381637680665631</v>
      </c>
      <c r="Q149" s="1">
        <f>(Main_S[[#This Row],[ROE]]-VLOOKUP(Main_S[[#This Row],[Industry]], Mean_ROE_S, 2, FALSE))/(VLOOKUP(Main_S[[#This Row],[Industry]], Mean_ROE_S, 3, FALSE))</f>
        <v>0.72523299834054877</v>
      </c>
      <c r="R149" s="1">
        <f>(Main_S[[#This Row],[ROA]]-VLOOKUP(Main_S[[#This Row],[Industry]], Mean_ROA_S, 2, FALSE))/(VLOOKUP(Main_S[[#This Row],[Industry]], Mean_ROA_S, 3, FALSE))</f>
        <v>2.0203502004951255</v>
      </c>
      <c r="S149" s="1">
        <f>(Main_S[[#This Row],[A/E]]-VLOOKUP(Main_S[[#This Row],[Industry]], Mean_AE_S, 2, FALSE))/(VLOOKUP(Main_S[[#This Row],[Industry]], Mean_AE_S, 3, FALSE))</f>
        <v>-0.72682760434640536</v>
      </c>
      <c r="T149" s="1">
        <f>(Main_S[[#This Row],[P/E]]-VLOOKUP(Main_S[[#This Row],[Industry]], Mean_PE_S, 2, FALSE))/(VLOOKUP(Main_S[[#This Row],[Industry]], Mean_PE_S, 3, FALSE))</f>
        <v>0.25418084608768104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t="s">
        <v>110</v>
      </c>
      <c r="B150" t="s">
        <v>375</v>
      </c>
      <c r="C150" s="2">
        <v>1199</v>
      </c>
      <c r="D150">
        <f>RTD("tos.rtd", , "LAST", Main_S[[#This Row],[Symbol]])</f>
        <v>16.87</v>
      </c>
      <c r="E150">
        <v>2</v>
      </c>
      <c r="F150">
        <v>3.83</v>
      </c>
      <c r="G150">
        <v>0.57999999999999996</v>
      </c>
      <c r="H150" s="1">
        <f>IF(ISNUMBER(Main_S[[#This Row],[Free CF]]),IF(Main_S[[#This Row],[Free CF]]&lt;&gt;0,Main_S[[#This Row],[Current Price]]/Main_S[[#This Row],[Free CF]],""),"")</f>
        <v>8.4350000000000005</v>
      </c>
      <c r="I150" s="1">
        <f>IF(ISNUMBER(Main_S[[#This Row],[BVPS]]),IF(Main_S[[#This Row],[BVPS]]&lt;&gt;0,Main_S[[#This Row],[Current Price]]/Main_S[[#This Row],[BVPS]],""),"")</f>
        <v>4.4046997389033944</v>
      </c>
      <c r="J150">
        <v>16.71</v>
      </c>
      <c r="K150">
        <v>3.5</v>
      </c>
      <c r="L150">
        <v>5.43</v>
      </c>
      <c r="M150" s="1">
        <f>IF(ISNUMBER(Main_S[[#This Row],[EPS]]),IF(Main_S[[#This Row],[EPS]]&lt;&gt;0,Main_S[[#This Row],[Current Price]]/Main_S[[#This Row],[EPS]],""),"")</f>
        <v>29.08620689655173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-7.522827470365781E-2</v>
      </c>
      <c r="P150" s="1">
        <f>(Main_S[[#This Row],[P/B]]-VLOOKUP(Main_S[[#This Row],[Industry]], Mean_PB_S, 2, FALSE))/(VLOOKUP(Main_S[[#This Row],[Industry]], Mean_PB_S, 3, FALSE))</f>
        <v>4.3093866881822631</v>
      </c>
      <c r="Q150" s="1">
        <f>(Main_S[[#This Row],[ROE]]-VLOOKUP(Main_S[[#This Row],[Industry]], Mean_ROE_S, 2, FALSE))/(VLOOKUP(Main_S[[#This Row],[Industry]], Mean_ROE_S, 3, FALSE))</f>
        <v>0.59577084299438043</v>
      </c>
      <c r="R150" s="1">
        <f>(Main_S[[#This Row],[ROA]]-VLOOKUP(Main_S[[#This Row],[Industry]], Mean_ROA_S, 2, FALSE))/(VLOOKUP(Main_S[[#This Row],[Industry]], Mean_ROA_S, 3, FALSE))</f>
        <v>-0.47530274735422257</v>
      </c>
      <c r="S150" s="1">
        <f>(Main_S[[#This Row],[A/E]]-VLOOKUP(Main_S[[#This Row],[Industry]], Mean_AE_S, 2, FALSE))/(VLOOKUP(Main_S[[#This Row],[Industry]], Mean_AE_S, 3, FALSE))</f>
        <v>1.6704283538487548</v>
      </c>
      <c r="T150" s="1">
        <f>(Main_S[[#This Row],[P/E]]-VLOOKUP(Main_S[[#This Row],[Industry]], Mean_PE_S, 2, FALSE))/(VLOOKUP(Main_S[[#This Row],[Industry]], Mean_PE_S, 3, FALSE))</f>
        <v>1.6246951283270925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40"/>
  <sheetViews>
    <sheetView topLeftCell="A5" workbookViewId="0">
      <selection activeCell="B24" sqref="B24"/>
    </sheetView>
  </sheetViews>
  <sheetFormatPr defaultRowHeight="15" x14ac:dyDescent="0.25"/>
  <cols>
    <col min="1" max="1" width="30" bestFit="1" customWidth="1"/>
    <col min="2" max="3" width="61.5703125" bestFit="1" customWidth="1"/>
    <col min="4" max="4" width="45.140625" bestFit="1" customWidth="1"/>
    <col min="5" max="5" width="45.42578125" bestFit="1" customWidth="1"/>
    <col min="6" max="7" width="59.5703125" bestFit="1" customWidth="1"/>
    <col min="8" max="8" width="39" bestFit="1" customWidth="1"/>
    <col min="9" max="9" width="39.28515625" bestFit="1" customWidth="1"/>
    <col min="10" max="11" width="60.140625" bestFit="1" customWidth="1"/>
    <col min="12" max="12" width="40.7109375" bestFit="1" customWidth="1"/>
    <col min="13" max="13" width="41" bestFit="1" customWidth="1"/>
    <col min="14" max="15" width="60.28515625" bestFit="1" customWidth="1"/>
    <col min="16" max="16" width="41.140625" bestFit="1" customWidth="1"/>
    <col min="17" max="17" width="41.42578125" bestFit="1" customWidth="1"/>
    <col min="18" max="19" width="59.42578125" bestFit="1" customWidth="1"/>
    <col min="20" max="20" width="38.5703125" bestFit="1" customWidth="1"/>
    <col min="21" max="21" width="38.85546875" bestFit="1" customWidth="1"/>
    <col min="22" max="23" width="59.4257812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106</v>
      </c>
      <c r="B3" s="1" cm="1">
        <f t="array" ref="B3">_xlfn.QUARTILE.INC(IF(Quartile_L[[#This Row],[Industry]]=Main_L[Industry],Main_L[P/FCF]),1)</f>
        <v>16.023758430410794</v>
      </c>
      <c r="C3" s="1" cm="1">
        <f t="array" ref="C3">_xlfn.QUARTILE.INC(IF(Quartile_L[[#This Row],[Industry]]=Main_L[Industry],Main_L[P/FCF]),3)</f>
        <v>28.38887185775598</v>
      </c>
      <c r="D3" s="1">
        <f>Quartile_L[[#This Row],[P/FCF Q1]]-1.5*(Quartile_L[[#This Row],[P/FCF Q3]]-Quartile_L[[#This Row],[P/FCF Q1]])</f>
        <v>-2.5239117106069848</v>
      </c>
      <c r="E3" s="1">
        <f>Quartile_L[[#This Row],[P/FCF Q3]]+1.5*(Quartile_L[[#This Row],[P/FCF Q3]]-Quartile_L[[#This Row],[P/FCF Q1]])</f>
        <v>46.936541998773762</v>
      </c>
      <c r="F3" s="1" cm="1">
        <f t="array" ref="F3">_xlfn.QUARTILE.INC(IF(Quartile_L[[#This Row],[Industry]]=Main_L[Industry],Main_L[P/B]),1)</f>
        <v>1.2856400674796902</v>
      </c>
      <c r="G3" s="1" cm="1">
        <f t="array" ref="G3">_xlfn.QUARTILE.INC(IF(Quartile_L[[#This Row],[Industry]]=Main_L[Industry],Main_L[P/B]),3)</f>
        <v>1.5739013345145423</v>
      </c>
      <c r="H3" s="1">
        <f>Quartile_L[[#This Row],[P/B Q1]]-1.5*(Quartile_L[[#This Row],[P/B Q3]]-Quartile_L[[#This Row],[P/B Q1]])</f>
        <v>0.85324816692741201</v>
      </c>
      <c r="I3" s="1">
        <f>Quartile_L[[#This Row],[P/B Q3]]+1.5*(Quartile_L[[#This Row],[P/B Q3]]-Quartile_L[[#This Row],[P/B Q1]])</f>
        <v>2.0062932350668206</v>
      </c>
      <c r="J3" s="1" cm="1">
        <f t="array" ref="J3">_xlfn.QUARTILE.INC(IF(Quartile_L[[#This Row],[Industry]]=Main_L[Industry],Main_L[ROE]),1)</f>
        <v>-12.824999999999999</v>
      </c>
      <c r="K3" s="1" cm="1">
        <f t="array" ref="K3">_xlfn.QUARTILE.INC(IF(Quartile_L[[#This Row],[Industry]]=Main_L[Industry],Main_L[ROE]),3)</f>
        <v>5.8850000000000016</v>
      </c>
      <c r="L3" s="1">
        <f>Quartile_L[[#This Row],[ROE Q1]]-1.5*(Quartile_L[[#This Row],[ROE Q3]]-Quartile_L[[#This Row],[ROE Q1]])</f>
        <v>-40.89</v>
      </c>
      <c r="M3" s="1">
        <f>Quartile_L[[#This Row],[ROE Q3]]+1.5*(Quartile_L[[#This Row],[ROE Q3]]-Quartile_L[[#This Row],[ROE Q1]])</f>
        <v>33.950000000000003</v>
      </c>
      <c r="N3" s="1" cm="1">
        <f t="array" ref="N3">_xlfn.QUARTILE.INC(IF(Quartile_L[[#This Row],[Industry]]=Main_L[Industry],Main_L[ROA]),1)</f>
        <v>6.7500000000000115E-2</v>
      </c>
      <c r="O3" s="1" cm="1">
        <f t="array" ref="O3">_xlfn.QUARTILE.INC(IF(Quartile_L[[#This Row],[Industry]]=Main_L[Industry],Main_L[ROA]),3)</f>
        <v>3.8425000000000002</v>
      </c>
      <c r="P3" s="1">
        <f>Quartile_L[[#This Row],[ROA Q1]]-1.5*(Quartile_L[[#This Row],[ROA Q3]]-Quartile_L[[#This Row],[ROA Q1]])</f>
        <v>-5.5950000000000006</v>
      </c>
      <c r="Q3" s="1">
        <f>Quartile_L[[#This Row],[ROA Q3]]+1.5*(Quartile_L[[#This Row],[ROA Q3]]-Quartile_L[[#This Row],[ROA Q1]])</f>
        <v>9.5050000000000008</v>
      </c>
      <c r="R3" s="1" cm="1">
        <f t="array" ref="R3">_xlfn.QUARTILE.INC(IF(Quartile_L[[#This Row],[Industry]]=Main_L[Industry],Main_L[P/E]),1)</f>
        <v>-0.75358514449998903</v>
      </c>
      <c r="S3" s="1" cm="1">
        <f t="array" ref="S3">_xlfn.QUARTILE.INC(IF(Quartile_L[[#This Row],[Industry]]=Main_L[Industry],Main_L[P/E]),3)</f>
        <v>6.9708521959278267</v>
      </c>
      <c r="T3" s="1">
        <f>Quartile_L[[#This Row],[P/E Q1]]-1.5*(Quartile_L[[#This Row],[P/E Q3]]-Quartile_L[[#This Row],[P/E Q1]])</f>
        <v>-12.340241155141712</v>
      </c>
      <c r="U3" s="1">
        <f>Quartile_L[[#This Row],[P/E Q3]]+1.5*(Quartile_L[[#This Row],[P/E Q3]]-Quartile_L[[#This Row],[P/E Q1]])</f>
        <v>18.557508206569551</v>
      </c>
      <c r="V3" s="1" cm="1">
        <f t="array" ref="V3">_xlfn.QUARTILE.INC(IF(Quartile_L[[#This Row],[Industry]]=Main_L[Industry],Main_L[A/E]),1)</f>
        <v>1.425</v>
      </c>
      <c r="W3" s="1" cm="1">
        <f t="array" ref="W3">_xlfn.QUARTILE.INC(IF(Quartile_L[[#This Row],[Industry]]=Main_L[Industry],Main_L[A/E]),3)</f>
        <v>2.1950000000000003</v>
      </c>
      <c r="X3" s="1">
        <f>Quartile_L[[#This Row],[A/E Q1]]-1.5*(Quartile_L[[#This Row],[A/E Q3]]-Quartile_L[[#This Row],[A/E Q1]])</f>
        <v>0.2699999999999998</v>
      </c>
      <c r="Y3" s="1">
        <f>Quartile_L[[#This Row],[A/E Q3]]+1.5*(Quartile_L[[#This Row],[A/E Q3]]-Quartile_L[[#This Row],[A/E Q1]])</f>
        <v>3.3500000000000005</v>
      </c>
    </row>
    <row r="4" spans="1:25" x14ac:dyDescent="0.25">
      <c r="A4" t="s">
        <v>107</v>
      </c>
      <c r="B4" s="1" cm="1">
        <f t="array" ref="B4">_xlfn.QUARTILE.INC(IF(Quartile_L[[#This Row],[Industry]]=Main_L[Industry],Main_L[P/FCF]),1)</f>
        <v>-32.453125</v>
      </c>
      <c r="C4" s="1" cm="1">
        <f t="array" ref="C4">_xlfn.QUARTILE.INC(IF(Quartile_L[[#This Row],[Industry]]=Main_L[Industry],Main_L[P/FCF]),3)</f>
        <v>4.5106382978723403</v>
      </c>
      <c r="D4" s="1">
        <f>Quartile_L[[#This Row],[P/FCF Q1]]-1.5*(Quartile_L[[#This Row],[P/FCF Q3]]-Quartile_L[[#This Row],[P/FCF Q1]])</f>
        <v>-87.898769946808514</v>
      </c>
      <c r="E4" s="1">
        <f>Quartile_L[[#This Row],[P/FCF Q3]]+1.5*(Quartile_L[[#This Row],[P/FCF Q3]]-Quartile_L[[#This Row],[P/FCF Q1]])</f>
        <v>59.956283244680854</v>
      </c>
      <c r="F4" s="1" cm="1">
        <f t="array" ref="F4">_xlfn.QUARTILE.INC(IF(Quartile_L[[#This Row],[Industry]]=Main_L[Industry],Main_L[P/B]),1)</f>
        <v>0.94138543516873885</v>
      </c>
      <c r="G4" s="1" cm="1">
        <f t="array" ref="G4">_xlfn.QUARTILE.INC(IF(Quartile_L[[#This Row],[Industry]]=Main_L[Industry],Main_L[P/B]),3)</f>
        <v>4.6053215077605323</v>
      </c>
      <c r="H4" s="1">
        <f>Quartile_L[[#This Row],[P/B Q1]]-1.5*(Quartile_L[[#This Row],[P/B Q3]]-Quartile_L[[#This Row],[P/B Q1]])</f>
        <v>-4.5545186737189516</v>
      </c>
      <c r="I4" s="1">
        <f>Quartile_L[[#This Row],[P/B Q3]]+1.5*(Quartile_L[[#This Row],[P/B Q3]]-Quartile_L[[#This Row],[P/B Q1]])</f>
        <v>10.101225616648222</v>
      </c>
      <c r="J4" s="1" cm="1">
        <f t="array" ref="J4">_xlfn.QUARTILE.INC(IF(Quartile_L[[#This Row],[Industry]]=Main_L[Industry],Main_L[ROE]),1)</f>
        <v>6.72</v>
      </c>
      <c r="K4" s="1" cm="1">
        <f t="array" ref="K4">_xlfn.QUARTILE.INC(IF(Quartile_L[[#This Row],[Industry]]=Main_L[Industry],Main_L[ROE]),3)</f>
        <v>11.49</v>
      </c>
      <c r="L4" s="1">
        <f>Quartile_L[[#This Row],[ROE Q1]]-1.5*(Quartile_L[[#This Row],[ROE Q3]]-Quartile_L[[#This Row],[ROE Q1]])</f>
        <v>-0.43500000000000139</v>
      </c>
      <c r="M4" s="1">
        <f>Quartile_L[[#This Row],[ROE Q3]]+1.5*(Quartile_L[[#This Row],[ROE Q3]]-Quartile_L[[#This Row],[ROE Q1]])</f>
        <v>18.645000000000003</v>
      </c>
      <c r="N4" s="1" cm="1">
        <f t="array" ref="N4">_xlfn.QUARTILE.INC(IF(Quartile_L[[#This Row],[Industry]]=Main_L[Industry],Main_L[ROA]),1)</f>
        <v>0.96</v>
      </c>
      <c r="O4" s="1" cm="1">
        <f t="array" ref="O4">_xlfn.QUARTILE.INC(IF(Quartile_L[[#This Row],[Industry]]=Main_L[Industry],Main_L[ROA]),3)</f>
        <v>3.07</v>
      </c>
      <c r="P4" s="1">
        <f>Quartile_L[[#This Row],[ROA Q1]]-1.5*(Quartile_L[[#This Row],[ROA Q3]]-Quartile_L[[#This Row],[ROA Q1]])</f>
        <v>-2.2050000000000001</v>
      </c>
      <c r="Q4" s="1">
        <f>Quartile_L[[#This Row],[ROA Q3]]+1.5*(Quartile_L[[#This Row],[ROA Q3]]-Quartile_L[[#This Row],[ROA Q1]])</f>
        <v>6.2349999999999994</v>
      </c>
      <c r="R4" s="1" cm="1">
        <f t="array" ref="R4">_xlfn.QUARTILE.INC(IF(Quartile_L[[#This Row],[Industry]]=Main_L[Industry],Main_L[P/E]),1)</f>
        <v>5.7382198952879584</v>
      </c>
      <c r="S4" s="1" cm="1">
        <f t="array" ref="S4">_xlfn.QUARTILE.INC(IF(Quartile_L[[#This Row],[Industry]]=Main_L[Industry],Main_L[P/E]),3)</f>
        <v>21.31654676258993</v>
      </c>
      <c r="T4" s="1">
        <f>Quartile_L[[#This Row],[P/E Q1]]-1.5*(Quartile_L[[#This Row],[P/E Q3]]-Quartile_L[[#This Row],[P/E Q1]])</f>
        <v>-17.629270405665</v>
      </c>
      <c r="U4" s="1">
        <f>Quartile_L[[#This Row],[P/E Q3]]+1.5*(Quartile_L[[#This Row],[P/E Q3]]-Quartile_L[[#This Row],[P/E Q1]])</f>
        <v>44.684037063542888</v>
      </c>
      <c r="V4" s="1" cm="1">
        <f t="array" ref="V4">_xlfn.QUARTILE.INC(IF(Quartile_L[[#This Row],[Industry]]=Main_L[Industry],Main_L[A/E]),1)</f>
        <v>2.35</v>
      </c>
      <c r="W4" s="1" cm="1">
        <f t="array" ref="W4">_xlfn.QUARTILE.INC(IF(Quartile_L[[#This Row],[Industry]]=Main_L[Industry],Main_L[A/E]),3)</f>
        <v>2.64</v>
      </c>
      <c r="X4" s="1">
        <f>Quartile_L[[#This Row],[A/E Q1]]-1.5*(Quartile_L[[#This Row],[A/E Q3]]-Quartile_L[[#This Row],[A/E Q1]])</f>
        <v>1.915</v>
      </c>
      <c r="Y4" s="1">
        <f>Quartile_L[[#This Row],[A/E Q3]]+1.5*(Quartile_L[[#This Row],[A/E Q3]]-Quartile_L[[#This Row],[A/E Q1]])</f>
        <v>3.0750000000000002</v>
      </c>
    </row>
    <row r="5" spans="1:25" x14ac:dyDescent="0.25">
      <c r="A5" t="s">
        <v>108</v>
      </c>
      <c r="B5" s="1" cm="1">
        <f t="array" ref="B5">_xlfn.QUARTILE.INC(IF(Quartile_L[[#This Row],[Industry]]=Main_L[Industry],Main_L[P/FCF]),1)</f>
        <v>15.033663611096264</v>
      </c>
      <c r="C5" s="1" cm="1">
        <f t="array" ref="C5">_xlfn.QUARTILE.INC(IF(Quartile_L[[#This Row],[Industry]]=Main_L[Industry],Main_L[P/FCF]),3)</f>
        <v>19.099252457533009</v>
      </c>
      <c r="D5" s="1">
        <f>Quartile_L[[#This Row],[P/FCF Q1]]-1.5*(Quartile_L[[#This Row],[P/FCF Q3]]-Quartile_L[[#This Row],[P/FCF Q1]])</f>
        <v>8.9352803414411461</v>
      </c>
      <c r="E5" s="1">
        <f>Quartile_L[[#This Row],[P/FCF Q3]]+1.5*(Quartile_L[[#This Row],[P/FCF Q3]]-Quartile_L[[#This Row],[P/FCF Q1]])</f>
        <v>25.197635727188125</v>
      </c>
      <c r="F5" s="1" cm="1">
        <f t="array" ref="F5">_xlfn.QUARTILE.INC(IF(Quartile_L[[#This Row],[Industry]]=Main_L[Industry],Main_L[P/B]),1)</f>
        <v>1.5529625258013509</v>
      </c>
      <c r="G5" s="1" cm="1">
        <f t="array" ref="G5">_xlfn.QUARTILE.INC(IF(Quartile_L[[#This Row],[Industry]]=Main_L[Industry],Main_L[P/B]),3)</f>
        <v>4.9201611379566845</v>
      </c>
      <c r="H5" s="1">
        <f>Quartile_L[[#This Row],[P/B Q1]]-1.5*(Quartile_L[[#This Row],[P/B Q3]]-Quartile_L[[#This Row],[P/B Q1]])</f>
        <v>-3.4978353924316492</v>
      </c>
      <c r="I5" s="1">
        <f>Quartile_L[[#This Row],[P/B Q3]]+1.5*(Quartile_L[[#This Row],[P/B Q3]]-Quartile_L[[#This Row],[P/B Q1]])</f>
        <v>9.9709590561896846</v>
      </c>
      <c r="J5" s="1" cm="1">
        <f t="array" ref="J5">_xlfn.QUARTILE.INC(IF(Quartile_L[[#This Row],[Industry]]=Main_L[Industry],Main_L[ROE]),1)</f>
        <v>17.04</v>
      </c>
      <c r="K5" s="1" cm="1">
        <f t="array" ref="K5">_xlfn.QUARTILE.INC(IF(Quartile_L[[#This Row],[Industry]]=Main_L[Industry],Main_L[ROE]),3)</f>
        <v>28.702500000000001</v>
      </c>
      <c r="L5" s="1">
        <f>Quartile_L[[#This Row],[ROE Q1]]-1.5*(Quartile_L[[#This Row],[ROE Q3]]-Quartile_L[[#This Row],[ROE Q1]])</f>
        <v>-0.45375000000000298</v>
      </c>
      <c r="M5" s="1">
        <f>Quartile_L[[#This Row],[ROE Q3]]+1.5*(Quartile_L[[#This Row],[ROE Q3]]-Quartile_L[[#This Row],[ROE Q1]])</f>
        <v>46.196250000000006</v>
      </c>
      <c r="N5" s="1" cm="1">
        <f t="array" ref="N5">_xlfn.QUARTILE.INC(IF(Quartile_L[[#This Row],[Industry]]=Main_L[Industry],Main_L[ROA]),1)</f>
        <v>7.99</v>
      </c>
      <c r="O5" s="1" cm="1">
        <f t="array" ref="O5">_xlfn.QUARTILE.INC(IF(Quartile_L[[#This Row],[Industry]]=Main_L[Industry],Main_L[ROA]),3)</f>
        <v>11.760000000000002</v>
      </c>
      <c r="P5" s="1">
        <f>Quartile_L[[#This Row],[ROA Q1]]-1.5*(Quartile_L[[#This Row],[ROA Q3]]-Quartile_L[[#This Row],[ROA Q1]])</f>
        <v>2.3349999999999982</v>
      </c>
      <c r="Q5" s="1">
        <f>Quartile_L[[#This Row],[ROA Q3]]+1.5*(Quartile_L[[#This Row],[ROA Q3]]-Quartile_L[[#This Row],[ROA Q1]])</f>
        <v>17.415000000000003</v>
      </c>
      <c r="R5" s="1" cm="1">
        <f t="array" ref="R5">_xlfn.QUARTILE.INC(IF(Quartile_L[[#This Row],[Industry]]=Main_L[Industry],Main_L[P/E]),1)</f>
        <v>7.9955418381344305</v>
      </c>
      <c r="S5" s="1" cm="1">
        <f t="array" ref="S5">_xlfn.QUARTILE.INC(IF(Quartile_L[[#This Row],[Industry]]=Main_L[Industry],Main_L[P/E]),3)</f>
        <v>22.199565664009292</v>
      </c>
      <c r="T5" s="1">
        <f>Quartile_L[[#This Row],[P/E Q1]]-1.5*(Quartile_L[[#This Row],[P/E Q3]]-Quartile_L[[#This Row],[P/E Q1]])</f>
        <v>-13.31049390067786</v>
      </c>
      <c r="U5" s="1">
        <f>Quartile_L[[#This Row],[P/E Q3]]+1.5*(Quartile_L[[#This Row],[P/E Q3]]-Quartile_L[[#This Row],[P/E Q1]])</f>
        <v>43.505601402821583</v>
      </c>
      <c r="V5" s="1" cm="1">
        <f t="array" ref="V5">_xlfn.QUARTILE.INC(IF(Quartile_L[[#This Row],[Industry]]=Main_L[Industry],Main_L[A/E]),1)</f>
        <v>1.4550000000000001</v>
      </c>
      <c r="W5" s="1" cm="1">
        <f t="array" ref="W5">_xlfn.QUARTILE.INC(IF(Quartile_L[[#This Row],[Industry]]=Main_L[Industry],Main_L[A/E]),3)</f>
        <v>2.4125000000000001</v>
      </c>
      <c r="X5" s="1">
        <f>Quartile_L[[#This Row],[A/E Q1]]-1.5*(Quartile_L[[#This Row],[A/E Q3]]-Quartile_L[[#This Row],[A/E Q1]])</f>
        <v>1.8750000000000044E-2</v>
      </c>
      <c r="Y5" s="1">
        <f>Quartile_L[[#This Row],[A/E Q3]]+1.5*(Quartile_L[[#This Row],[A/E Q3]]-Quartile_L[[#This Row],[A/E Q1]])</f>
        <v>3.8487499999999999</v>
      </c>
    </row>
    <row r="6" spans="1:25" x14ac:dyDescent="0.25">
      <c r="A6" t="s">
        <v>109</v>
      </c>
      <c r="B6" s="1" t="e" cm="1">
        <f t="array" ref="B6">_xlfn.QUARTILE.INC(IF(Quartile_L[[#This Row],[Industry]]=Main_L[Industry],Main_L[P/FCF]),1)</f>
        <v>#NUM!</v>
      </c>
      <c r="C6" s="1" t="e" cm="1">
        <f t="array" ref="C6">_xlfn.QUARTILE.INC(IF(Quartile_L[[#This Row],[Industry]]=Main_L[Industry],Main_L[P/FCF]),3)</f>
        <v>#NUM!</v>
      </c>
      <c r="D6" s="1" t="e">
        <f>Quartile_L[[#This Row],[P/FCF Q1]]-1.5*(Quartile_L[[#This Row],[P/FCF Q3]]-Quartile_L[[#This Row],[P/FCF Q1]])</f>
        <v>#NUM!</v>
      </c>
      <c r="E6" s="1" t="e">
        <f>Quartile_L[[#This Row],[P/FCF Q3]]+1.5*(Quartile_L[[#This Row],[P/FCF Q3]]-Quartile_L[[#This Row],[P/FCF Q1]])</f>
        <v>#NUM!</v>
      </c>
      <c r="F6" s="1" t="e" cm="1">
        <f t="array" ref="F6">_xlfn.QUARTILE.INC(IF(Quartile_L[[#This Row],[Industry]]=Main_L[Industry],Main_L[P/B]),1)</f>
        <v>#NUM!</v>
      </c>
      <c r="G6" s="1" t="e" cm="1">
        <f t="array" ref="G6">_xlfn.QUARTILE.INC(IF(Quartile_L[[#This Row],[Industry]]=Main_L[Industry],Main_L[P/B]),3)</f>
        <v>#NUM!</v>
      </c>
      <c r="H6" s="1" t="e">
        <f>Quartile_L[[#This Row],[P/B Q1]]-1.5*(Quartile_L[[#This Row],[P/B Q3]]-Quartile_L[[#This Row],[P/B Q1]])</f>
        <v>#NUM!</v>
      </c>
      <c r="I6" s="1" t="e">
        <f>Quartile_L[[#This Row],[P/B Q3]]+1.5*(Quartile_L[[#This Row],[P/B Q3]]-Quartile_L[[#This Row],[P/B Q1]])</f>
        <v>#NUM!</v>
      </c>
      <c r="J6" s="1" t="e" cm="1">
        <f t="array" ref="J6">_xlfn.QUARTILE.INC(IF(Quartile_L[[#This Row],[Industry]]=Main_L[Industry],Main_L[ROE]),1)</f>
        <v>#NUM!</v>
      </c>
      <c r="K6" s="1" t="e" cm="1">
        <f t="array" ref="K6">_xlfn.QUARTILE.INC(IF(Quartile_L[[#This Row],[Industry]]=Main_L[Industry],Main_L[ROE]),3)</f>
        <v>#NUM!</v>
      </c>
      <c r="L6" s="1" t="e">
        <f>Quartile_L[[#This Row],[ROE Q1]]-1.5*(Quartile_L[[#This Row],[ROE Q3]]-Quartile_L[[#This Row],[ROE Q1]])</f>
        <v>#NUM!</v>
      </c>
      <c r="M6" s="1" t="e">
        <f>Quartile_L[[#This Row],[ROE Q3]]+1.5*(Quartile_L[[#This Row],[ROE Q3]]-Quartile_L[[#This Row],[ROE Q1]])</f>
        <v>#NUM!</v>
      </c>
      <c r="N6" s="1" t="e" cm="1">
        <f t="array" ref="N6">_xlfn.QUARTILE.INC(IF(Quartile_L[[#This Row],[Industry]]=Main_L[Industry],Main_L[ROA]),1)</f>
        <v>#NUM!</v>
      </c>
      <c r="O6" s="1" t="e" cm="1">
        <f t="array" ref="O6">_xlfn.QUARTILE.INC(IF(Quartile_L[[#This Row],[Industry]]=Main_L[Industry],Main_L[ROA]),3)</f>
        <v>#NUM!</v>
      </c>
      <c r="P6" s="1" t="e">
        <f>Quartile_L[[#This Row],[ROA Q1]]-1.5*(Quartile_L[[#This Row],[ROA Q3]]-Quartile_L[[#This Row],[ROA Q1]])</f>
        <v>#NUM!</v>
      </c>
      <c r="Q6" s="1" t="e">
        <f>Quartile_L[[#This Row],[ROA Q3]]+1.5*(Quartile_L[[#This Row],[ROA Q3]]-Quartile_L[[#This Row],[ROA Q1]])</f>
        <v>#NUM!</v>
      </c>
      <c r="R6" s="1" t="e" cm="1">
        <f t="array" ref="R6">_xlfn.QUARTILE.INC(IF(Quartile_L[[#This Row],[Industry]]=Main_L[Industry],Main_L[P/E]),1)</f>
        <v>#NUM!</v>
      </c>
      <c r="S6" s="1" t="e" cm="1">
        <f t="array" ref="S6">_xlfn.QUARTILE.INC(IF(Quartile_L[[#This Row],[Industry]]=Main_L[Industry],Main_L[P/E]),3)</f>
        <v>#NUM!</v>
      </c>
      <c r="T6" s="1" t="e">
        <f>Quartile_L[[#This Row],[P/E Q1]]-1.5*(Quartile_L[[#This Row],[P/E Q3]]-Quartile_L[[#This Row],[P/E Q1]])</f>
        <v>#NUM!</v>
      </c>
      <c r="U6" s="1" t="e">
        <f>Quartile_L[[#This Row],[P/E Q3]]+1.5*(Quartile_L[[#This Row],[P/E Q3]]-Quartile_L[[#This Row],[P/E Q1]])</f>
        <v>#NUM!</v>
      </c>
      <c r="V6" s="1" t="e" cm="1">
        <f t="array" ref="V6">_xlfn.QUARTILE.INC(IF(Quartile_L[[#This Row],[Industry]]=Main_L[Industry],Main_L[A/E]),1)</f>
        <v>#NUM!</v>
      </c>
      <c r="W6" s="1" t="e" cm="1">
        <f t="array" ref="W6">_xlfn.QUARTILE.INC(IF(Quartile_L[[#This Row],[Industry]]=Main_L[Industry],Main_L[A/E]),3)</f>
        <v>#NUM!</v>
      </c>
      <c r="X6" s="1" t="e">
        <f>Quartile_L[[#This Row],[A/E Q1]]-1.5*(Quartile_L[[#This Row],[A/E Q3]]-Quartile_L[[#This Row],[A/E Q1]])</f>
        <v>#NUM!</v>
      </c>
      <c r="Y6" s="1" t="e">
        <f>Quartile_L[[#This Row],[A/E Q3]]+1.5*(Quartile_L[[#This Row],[A/E Q3]]-Quartile_L[[#This Row],[A/E Q1]])</f>
        <v>#NUM!</v>
      </c>
    </row>
    <row r="7" spans="1:25" x14ac:dyDescent="0.25">
      <c r="A7" t="s">
        <v>110</v>
      </c>
      <c r="B7" s="1" cm="1">
        <f t="array" ref="B7">_xlfn.QUARTILE.INC(IF(Quartile_L[[#This Row],[Industry]]=Main_L[Industry],Main_L[P/FCF]),1)</f>
        <v>18.593187561900208</v>
      </c>
      <c r="C7" s="1" cm="1">
        <f t="array" ref="C7">_xlfn.QUARTILE.INC(IF(Quartile_L[[#This Row],[Industry]]=Main_L[Industry],Main_L[P/FCF]),3)</f>
        <v>31.008203125000001</v>
      </c>
      <c r="D7" s="1">
        <f>Quartile_L[[#This Row],[P/FCF Q1]]-1.5*(Quartile_L[[#This Row],[P/FCF Q3]]-Quartile_L[[#This Row],[P/FCF Q1]])</f>
        <v>-2.9335782749480899E-2</v>
      </c>
      <c r="E7" s="1">
        <f>Quartile_L[[#This Row],[P/FCF Q3]]+1.5*(Quartile_L[[#This Row],[P/FCF Q3]]-Quartile_L[[#This Row],[P/FCF Q1]])</f>
        <v>49.630726469649687</v>
      </c>
      <c r="F7" s="1" cm="1">
        <f t="array" ref="F7">_xlfn.QUARTILE.INC(IF(Quartile_L[[#This Row],[Industry]]=Main_L[Industry],Main_L[P/B]),1)</f>
        <v>6.5735273655750008</v>
      </c>
      <c r="G7" s="1" cm="1">
        <f t="array" ref="G7">_xlfn.QUARTILE.INC(IF(Quartile_L[[#This Row],[Industry]]=Main_L[Industry],Main_L[P/B]),3)</f>
        <v>10.409124102709772</v>
      </c>
      <c r="H7" s="1">
        <f>Quartile_L[[#This Row],[P/B Q1]]-1.5*(Quartile_L[[#This Row],[P/B Q3]]-Quartile_L[[#This Row],[P/B Q1]])</f>
        <v>0.8201322598728451</v>
      </c>
      <c r="I7" s="1">
        <f>Quartile_L[[#This Row],[P/B Q3]]+1.5*(Quartile_L[[#This Row],[P/B Q3]]-Quartile_L[[#This Row],[P/B Q1]])</f>
        <v>16.162519208411929</v>
      </c>
      <c r="J7" s="1" cm="1">
        <f t="array" ref="J7">_xlfn.QUARTILE.INC(IF(Quartile_L[[#This Row],[Industry]]=Main_L[Industry],Main_L[ROE]),1)</f>
        <v>23.61</v>
      </c>
      <c r="K7" s="1" cm="1">
        <f t="array" ref="K7">_xlfn.QUARTILE.INC(IF(Quartile_L[[#This Row],[Industry]]=Main_L[Industry],Main_L[ROE]),3)</f>
        <v>39.81</v>
      </c>
      <c r="L7" s="1">
        <f>Quartile_L[[#This Row],[ROE Q1]]-1.5*(Quartile_L[[#This Row],[ROE Q3]]-Quartile_L[[#This Row],[ROE Q1]])</f>
        <v>-0.69000000000000483</v>
      </c>
      <c r="M7" s="1">
        <f>Quartile_L[[#This Row],[ROE Q3]]+1.5*(Quartile_L[[#This Row],[ROE Q3]]-Quartile_L[[#This Row],[ROE Q1]])</f>
        <v>64.110000000000014</v>
      </c>
      <c r="N7" s="1" cm="1">
        <f t="array" ref="N7">_xlfn.QUARTILE.INC(IF(Quartile_L[[#This Row],[Industry]]=Main_L[Industry],Main_L[ROA]),1)</f>
        <v>7.2850000000000001</v>
      </c>
      <c r="O7" s="1" cm="1">
        <f t="array" ref="O7">_xlfn.QUARTILE.INC(IF(Quartile_L[[#This Row],[Industry]]=Main_L[Industry],Main_L[ROA]),3)</f>
        <v>14.035</v>
      </c>
      <c r="P7" s="1">
        <f>Quartile_L[[#This Row],[ROA Q1]]-1.5*(Quartile_L[[#This Row],[ROA Q3]]-Quartile_L[[#This Row],[ROA Q1]])</f>
        <v>-2.84</v>
      </c>
      <c r="Q7" s="1">
        <f>Quartile_L[[#This Row],[ROA Q3]]+1.5*(Quartile_L[[#This Row],[ROA Q3]]-Quartile_L[[#This Row],[ROA Q1]])</f>
        <v>24.16</v>
      </c>
      <c r="R7" s="1" cm="1">
        <f t="array" ref="R7">_xlfn.QUARTILE.INC(IF(Quartile_L[[#This Row],[Industry]]=Main_L[Industry],Main_L[P/E]),1)</f>
        <v>21.126151206184193</v>
      </c>
      <c r="S7" s="1" cm="1">
        <f t="array" ref="S7">_xlfn.QUARTILE.INC(IF(Quartile_L[[#This Row],[Industry]]=Main_L[Industry],Main_L[P/E]),3)</f>
        <v>47.772775064441731</v>
      </c>
      <c r="T7" s="1">
        <f>Quartile_L[[#This Row],[P/E Q1]]-1.5*(Quartile_L[[#This Row],[P/E Q3]]-Quartile_L[[#This Row],[P/E Q1]])</f>
        <v>-18.843784581202112</v>
      </c>
      <c r="U7" s="1">
        <f>Quartile_L[[#This Row],[P/E Q3]]+1.5*(Quartile_L[[#This Row],[P/E Q3]]-Quartile_L[[#This Row],[P/E Q1]])</f>
        <v>87.742710851828036</v>
      </c>
      <c r="V7" s="1" cm="1">
        <f t="array" ref="V7">_xlfn.QUARTILE.INC(IF(Quartile_L[[#This Row],[Industry]]=Main_L[Industry],Main_L[A/E]),1)</f>
        <v>1.69</v>
      </c>
      <c r="W7" s="1" cm="1">
        <f t="array" ref="W7">_xlfn.QUARTILE.INC(IF(Quartile_L[[#This Row],[Industry]]=Main_L[Industry],Main_L[A/E]),3)</f>
        <v>2.7450000000000001</v>
      </c>
      <c r="X7" s="1">
        <f>Quartile_L[[#This Row],[A/E Q1]]-1.5*(Quartile_L[[#This Row],[A/E Q3]]-Quartile_L[[#This Row],[A/E Q1]])</f>
        <v>0.10749999999999971</v>
      </c>
      <c r="Y7" s="1">
        <f>Quartile_L[[#This Row],[A/E Q3]]+1.5*(Quartile_L[[#This Row],[A/E Q3]]-Quartile_L[[#This Row],[A/E Q1]])</f>
        <v>4.3275000000000006</v>
      </c>
    </row>
    <row r="8" spans="1:25" x14ac:dyDescent="0.25">
      <c r="A8" t="s">
        <v>111</v>
      </c>
      <c r="B8" s="1" cm="1">
        <f t="array" ref="B8">_xlfn.QUARTILE.INC(IF(Quartile_L[[#This Row],[Industry]]=Main_L[Industry],Main_L[P/FCF]),1)</f>
        <v>18.990315467161075</v>
      </c>
      <c r="C8" s="1" cm="1">
        <f t="array" ref="C8">_xlfn.QUARTILE.INC(IF(Quartile_L[[#This Row],[Industry]]=Main_L[Industry],Main_L[P/FCF]),3)</f>
        <v>36.580278263334435</v>
      </c>
      <c r="D8" s="1">
        <f>Quartile_L[[#This Row],[P/FCF Q1]]-1.5*(Quartile_L[[#This Row],[P/FCF Q3]]-Quartile_L[[#This Row],[P/FCF Q1]])</f>
        <v>-7.394628727098965</v>
      </c>
      <c r="E8" s="1">
        <f>Quartile_L[[#This Row],[P/FCF Q3]]+1.5*(Quartile_L[[#This Row],[P/FCF Q3]]-Quartile_L[[#This Row],[P/FCF Q1]])</f>
        <v>62.965222457594479</v>
      </c>
      <c r="F8" s="1" cm="1">
        <f t="array" ref="F8">_xlfn.QUARTILE.INC(IF(Quartile_L[[#This Row],[Industry]]=Main_L[Industry],Main_L[P/B]),1)</f>
        <v>-4.4763045517065976</v>
      </c>
      <c r="G8" s="1" cm="1">
        <f t="array" ref="G8">_xlfn.QUARTILE.INC(IF(Quartile_L[[#This Row],[Industry]]=Main_L[Industry],Main_L[P/B]),3)</f>
        <v>10.672179509558005</v>
      </c>
      <c r="H8" s="1">
        <f>Quartile_L[[#This Row],[P/B Q1]]-1.5*(Quartile_L[[#This Row],[P/B Q3]]-Quartile_L[[#This Row],[P/B Q1]])</f>
        <v>-27.1990306436035</v>
      </c>
      <c r="I8" s="1">
        <f>Quartile_L[[#This Row],[P/B Q3]]+1.5*(Quartile_L[[#This Row],[P/B Q3]]-Quartile_L[[#This Row],[P/B Q1]])</f>
        <v>33.394905601454909</v>
      </c>
      <c r="J8" s="1" cm="1">
        <f t="array" ref="J8">_xlfn.QUARTILE.INC(IF(Quartile_L[[#This Row],[Industry]]=Main_L[Industry],Main_L[ROE]),1)</f>
        <v>-16.092500000000001</v>
      </c>
      <c r="K8" s="1" cm="1">
        <f t="array" ref="K8">_xlfn.QUARTILE.INC(IF(Quartile_L[[#This Row],[Industry]]=Main_L[Industry],Main_L[ROE]),3)</f>
        <v>30.657500000000002</v>
      </c>
      <c r="L8" s="1">
        <f>Quartile_L[[#This Row],[ROE Q1]]-1.5*(Quartile_L[[#This Row],[ROE Q3]]-Quartile_L[[#This Row],[ROE Q1]])</f>
        <v>-86.217500000000001</v>
      </c>
      <c r="M8" s="1">
        <f>Quartile_L[[#This Row],[ROE Q3]]+1.5*(Quartile_L[[#This Row],[ROE Q3]]-Quartile_L[[#This Row],[ROE Q1]])</f>
        <v>100.7825</v>
      </c>
      <c r="N8" s="1" cm="1">
        <f t="array" ref="N8">_xlfn.QUARTILE.INC(IF(Quartile_L[[#This Row],[Industry]]=Main_L[Industry],Main_L[ROA]),1)</f>
        <v>3.8</v>
      </c>
      <c r="O8" s="1" cm="1">
        <f t="array" ref="O8">_xlfn.QUARTILE.INC(IF(Quartile_L[[#This Row],[Industry]]=Main_L[Industry],Main_L[ROA]),3)</f>
        <v>9.7100000000000009</v>
      </c>
      <c r="P8" s="1">
        <f>Quartile_L[[#This Row],[ROA Q1]]-1.5*(Quartile_L[[#This Row],[ROA Q3]]-Quartile_L[[#This Row],[ROA Q1]])</f>
        <v>-5.0650000000000022</v>
      </c>
      <c r="Q8" s="1">
        <f>Quartile_L[[#This Row],[ROA Q3]]+1.5*(Quartile_L[[#This Row],[ROA Q3]]-Quartile_L[[#This Row],[ROA Q1]])</f>
        <v>18.575000000000003</v>
      </c>
      <c r="R8" s="1" cm="1">
        <f t="array" ref="R8">_xlfn.QUARTILE.INC(IF(Quartile_L[[#This Row],[Industry]]=Main_L[Industry],Main_L[P/E]),1)</f>
        <v>19.979124820659969</v>
      </c>
      <c r="S8" s="1" cm="1">
        <f t="array" ref="S8">_xlfn.QUARTILE.INC(IF(Quartile_L[[#This Row],[Industry]]=Main_L[Industry],Main_L[P/E]),3)</f>
        <v>33.375797926223385</v>
      </c>
      <c r="T8" s="1">
        <f>Quartile_L[[#This Row],[P/E Q1]]-1.5*(Quartile_L[[#This Row],[P/E Q3]]-Quartile_L[[#This Row],[P/E Q1]])</f>
        <v>-0.11588483768515445</v>
      </c>
      <c r="U8" s="1">
        <f>Quartile_L[[#This Row],[P/E Q3]]+1.5*(Quartile_L[[#This Row],[P/E Q3]]-Quartile_L[[#This Row],[P/E Q1]])</f>
        <v>53.470807584568504</v>
      </c>
      <c r="V8" s="1" cm="1">
        <f t="array" ref="V8">_xlfn.QUARTILE.INC(IF(Quartile_L[[#This Row],[Industry]]=Main_L[Industry],Main_L[A/E]),1)</f>
        <v>-0.57250000000000001</v>
      </c>
      <c r="W8" s="1" cm="1">
        <f t="array" ref="W8">_xlfn.QUARTILE.INC(IF(Quartile_L[[#This Row],[Industry]]=Main_L[Industry],Main_L[A/E]),3)</f>
        <v>4.8100000000000005</v>
      </c>
      <c r="X8" s="1">
        <f>Quartile_L[[#This Row],[A/E Q1]]-1.5*(Quartile_L[[#This Row],[A/E Q3]]-Quartile_L[[#This Row],[A/E Q1]])</f>
        <v>-8.6462500000000002</v>
      </c>
      <c r="Y8" s="1">
        <f>Quartile_L[[#This Row],[A/E Q3]]+1.5*(Quartile_L[[#This Row],[A/E Q3]]-Quartile_L[[#This Row],[A/E Q1]])</f>
        <v>12.883750000000001</v>
      </c>
    </row>
    <row r="9" spans="1:25" x14ac:dyDescent="0.25">
      <c r="A9" t="s">
        <v>112</v>
      </c>
      <c r="B9" s="1" cm="1">
        <f t="array" ref="B9">_xlfn.QUARTILE.INC(IF(Quartile_L[[#This Row],[Industry]]=Main_L[Industry],Main_L[P/FCF]),1)</f>
        <v>16.903542933130698</v>
      </c>
      <c r="C9" s="1" cm="1">
        <f t="array" ref="C9">_xlfn.QUARTILE.INC(IF(Quartile_L[[#This Row],[Industry]]=Main_L[Industry],Main_L[P/FCF]),3)</f>
        <v>49.031519220283535</v>
      </c>
      <c r="D9" s="1">
        <f>Quartile_L[[#This Row],[P/FCF Q1]]-1.5*(Quartile_L[[#This Row],[P/FCF Q3]]-Quartile_L[[#This Row],[P/FCF Q1]])</f>
        <v>-31.288421497598552</v>
      </c>
      <c r="E9" s="1">
        <f>Quartile_L[[#This Row],[P/FCF Q3]]+1.5*(Quartile_L[[#This Row],[P/FCF Q3]]-Quartile_L[[#This Row],[P/FCF Q1]])</f>
        <v>97.223483651012785</v>
      </c>
      <c r="F9" s="1" cm="1">
        <f t="array" ref="F9">_xlfn.QUARTILE.INC(IF(Quartile_L[[#This Row],[Industry]]=Main_L[Industry],Main_L[P/B]),1)</f>
        <v>4.3348775584795316</v>
      </c>
      <c r="G9" s="1" cm="1">
        <f t="array" ref="G9">_xlfn.QUARTILE.INC(IF(Quartile_L[[#This Row],[Industry]]=Main_L[Industry],Main_L[P/B]),3)</f>
        <v>16.793339261517616</v>
      </c>
      <c r="H9" s="1">
        <f>Quartile_L[[#This Row],[P/B Q1]]-1.5*(Quartile_L[[#This Row],[P/B Q3]]-Quartile_L[[#This Row],[P/B Q1]])</f>
        <v>-14.352814996077596</v>
      </c>
      <c r="I9" s="1">
        <f>Quartile_L[[#This Row],[P/B Q3]]+1.5*(Quartile_L[[#This Row],[P/B Q3]]-Quartile_L[[#This Row],[P/B Q1]])</f>
        <v>35.481031816074747</v>
      </c>
      <c r="J9" s="1" cm="1">
        <f t="array" ref="J9">_xlfn.QUARTILE.INC(IF(Quartile_L[[#This Row],[Industry]]=Main_L[Industry],Main_L[ROE]),1)</f>
        <v>11.440000000000001</v>
      </c>
      <c r="K9" s="1" cm="1">
        <f t="array" ref="K9">_xlfn.QUARTILE.INC(IF(Quartile_L[[#This Row],[Industry]]=Main_L[Industry],Main_L[ROE]),3)</f>
        <v>22.39</v>
      </c>
      <c r="L9" s="1">
        <f>Quartile_L[[#This Row],[ROE Q1]]-1.5*(Quartile_L[[#This Row],[ROE Q3]]-Quartile_L[[#This Row],[ROE Q1]])</f>
        <v>-4.9849999999999959</v>
      </c>
      <c r="M9" s="1">
        <f>Quartile_L[[#This Row],[ROE Q3]]+1.5*(Quartile_L[[#This Row],[ROE Q3]]-Quartile_L[[#This Row],[ROE Q1]])</f>
        <v>38.814999999999998</v>
      </c>
      <c r="N9" s="1" cm="1">
        <f t="array" ref="N9">_xlfn.QUARTILE.INC(IF(Quartile_L[[#This Row],[Industry]]=Main_L[Industry],Main_L[ROA]),1)</f>
        <v>3.5350000000000001</v>
      </c>
      <c r="O9" s="1" cm="1">
        <f t="array" ref="O9">_xlfn.QUARTILE.INC(IF(Quartile_L[[#This Row],[Industry]]=Main_L[Industry],Main_L[ROA]),3)</f>
        <v>4.3900000000000006</v>
      </c>
      <c r="P9" s="1">
        <f>Quartile_L[[#This Row],[ROA Q1]]-1.5*(Quartile_L[[#This Row],[ROA Q3]]-Quartile_L[[#This Row],[ROA Q1]])</f>
        <v>2.2524999999999995</v>
      </c>
      <c r="Q9" s="1">
        <f>Quartile_L[[#This Row],[ROA Q3]]+1.5*(Quartile_L[[#This Row],[ROA Q3]]-Quartile_L[[#This Row],[ROA Q1]])</f>
        <v>5.6725000000000012</v>
      </c>
      <c r="R9" s="1" cm="1">
        <f t="array" ref="R9">_xlfn.QUARTILE.INC(IF(Quartile_L[[#This Row],[Industry]]=Main_L[Industry],Main_L[P/E]),1)</f>
        <v>20.391125690607733</v>
      </c>
      <c r="S9" s="1" cm="1">
        <f t="array" ref="S9">_xlfn.QUARTILE.INC(IF(Quartile_L[[#This Row],[Industry]]=Main_L[Industry],Main_L[P/E]),3)</f>
        <v>140.73217961217637</v>
      </c>
      <c r="T9" s="1">
        <f>Quartile_L[[#This Row],[P/E Q1]]-1.5*(Quartile_L[[#This Row],[P/E Q3]]-Quartile_L[[#This Row],[P/E Q1]])</f>
        <v>-160.12045519174521</v>
      </c>
      <c r="U9" s="1">
        <f>Quartile_L[[#This Row],[P/E Q3]]+1.5*(Quartile_L[[#This Row],[P/E Q3]]-Quartile_L[[#This Row],[P/E Q1]])</f>
        <v>321.24376049452928</v>
      </c>
      <c r="V9" s="1" cm="1">
        <f t="array" ref="V9">_xlfn.QUARTILE.INC(IF(Quartile_L[[#This Row],[Industry]]=Main_L[Industry],Main_L[A/E]),1)</f>
        <v>1.6400000000000001</v>
      </c>
      <c r="W9" s="1" cm="1">
        <f t="array" ref="W9">_xlfn.QUARTILE.INC(IF(Quartile_L[[#This Row],[Industry]]=Main_L[Industry],Main_L[A/E]),3)</f>
        <v>6.1000000000000005</v>
      </c>
      <c r="X9" s="1">
        <f>Quartile_L[[#This Row],[A/E Q1]]-1.5*(Quartile_L[[#This Row],[A/E Q3]]-Quartile_L[[#This Row],[A/E Q1]])</f>
        <v>-5.0500000000000007</v>
      </c>
      <c r="Y9" s="1">
        <f>Quartile_L[[#This Row],[A/E Q3]]+1.5*(Quartile_L[[#This Row],[A/E Q3]]-Quartile_L[[#This Row],[A/E Q1]])</f>
        <v>12.790000000000003</v>
      </c>
    </row>
    <row r="10" spans="1:25" x14ac:dyDescent="0.25">
      <c r="A10" t="s">
        <v>113</v>
      </c>
      <c r="B10" s="1" cm="1">
        <f t="array" ref="B10">_xlfn.QUARTILE.INC(IF(Quartile_L[[#This Row],[Industry]]=Main_L[Industry],Main_L[P/FCF]),1)</f>
        <v>21.971450015877139</v>
      </c>
      <c r="C10" s="1" cm="1">
        <f t="array" ref="C10">_xlfn.QUARTILE.INC(IF(Quartile_L[[#This Row],[Industry]]=Main_L[Industry],Main_L[P/FCF]),3)</f>
        <v>38.46447550890263</v>
      </c>
      <c r="D10" s="1">
        <f>Quartile_L[[#This Row],[P/FCF Q1]]-1.5*(Quartile_L[[#This Row],[P/FCF Q3]]-Quartile_L[[#This Row],[P/FCF Q1]])</f>
        <v>-2.7680882236610991</v>
      </c>
      <c r="E10" s="1">
        <f>Quartile_L[[#This Row],[P/FCF Q3]]+1.5*(Quartile_L[[#This Row],[P/FCF Q3]]-Quartile_L[[#This Row],[P/FCF Q1]])</f>
        <v>63.204013748440872</v>
      </c>
      <c r="F10" s="1" cm="1">
        <f t="array" ref="F10">_xlfn.QUARTILE.INC(IF(Quartile_L[[#This Row],[Industry]]=Main_L[Industry],Main_L[P/B]),1)</f>
        <v>2.7705405920384631</v>
      </c>
      <c r="G10" s="1" cm="1">
        <f t="array" ref="G10">_xlfn.QUARTILE.INC(IF(Quartile_L[[#This Row],[Industry]]=Main_L[Industry],Main_L[P/B]),3)</f>
        <v>6.6612608959295869</v>
      </c>
      <c r="H10" s="1">
        <f>Quartile_L[[#This Row],[P/B Q1]]-1.5*(Quartile_L[[#This Row],[P/B Q3]]-Quartile_L[[#This Row],[P/B Q1]])</f>
        <v>-3.0655398637982225</v>
      </c>
      <c r="I10" s="1">
        <f>Quartile_L[[#This Row],[P/B Q3]]+1.5*(Quartile_L[[#This Row],[P/B Q3]]-Quartile_L[[#This Row],[P/B Q1]])</f>
        <v>12.497341351766273</v>
      </c>
      <c r="J10" s="1" cm="1">
        <f t="array" ref="J10">_xlfn.QUARTILE.INC(IF(Quartile_L[[#This Row],[Industry]]=Main_L[Industry],Main_L[ROE]),1)</f>
        <v>15.26</v>
      </c>
      <c r="K10" s="1" cm="1">
        <f t="array" ref="K10">_xlfn.QUARTILE.INC(IF(Quartile_L[[#This Row],[Industry]]=Main_L[Industry],Main_L[ROE]),3)</f>
        <v>25.39</v>
      </c>
      <c r="L10" s="1">
        <f>Quartile_L[[#This Row],[ROE Q1]]-1.5*(Quartile_L[[#This Row],[ROE Q3]]-Quartile_L[[#This Row],[ROE Q1]])</f>
        <v>6.4999999999999503E-2</v>
      </c>
      <c r="M10" s="1">
        <f>Quartile_L[[#This Row],[ROE Q3]]+1.5*(Quartile_L[[#This Row],[ROE Q3]]-Quartile_L[[#This Row],[ROE Q1]])</f>
        <v>40.585000000000001</v>
      </c>
      <c r="N10" s="1" cm="1">
        <f t="array" ref="N10">_xlfn.QUARTILE.INC(IF(Quartile_L[[#This Row],[Industry]]=Main_L[Industry],Main_L[ROA]),1)</f>
        <v>5.09</v>
      </c>
      <c r="O10" s="1" cm="1">
        <f t="array" ref="O10">_xlfn.QUARTILE.INC(IF(Quartile_L[[#This Row],[Industry]]=Main_L[Industry],Main_L[ROA]),3)</f>
        <v>7.58</v>
      </c>
      <c r="P10" s="1">
        <f>Quartile_L[[#This Row],[ROA Q1]]-1.5*(Quartile_L[[#This Row],[ROA Q3]]-Quartile_L[[#This Row],[ROA Q1]])</f>
        <v>1.3549999999999995</v>
      </c>
      <c r="Q10" s="1">
        <f>Quartile_L[[#This Row],[ROA Q3]]+1.5*(Quartile_L[[#This Row],[ROA Q3]]-Quartile_L[[#This Row],[ROA Q1]])</f>
        <v>11.315000000000001</v>
      </c>
      <c r="R10" s="1" cm="1">
        <f t="array" ref="R10">_xlfn.QUARTILE.INC(IF(Quartile_L[[#This Row],[Industry]]=Main_L[Industry],Main_L[P/E]),1)</f>
        <v>17.801485184912874</v>
      </c>
      <c r="S10" s="1" cm="1">
        <f t="array" ref="S10">_xlfn.QUARTILE.INC(IF(Quartile_L[[#This Row],[Industry]]=Main_L[Industry],Main_L[P/E]),3)</f>
        <v>24.616159477003819</v>
      </c>
      <c r="T10" s="1">
        <f>Quartile_L[[#This Row],[P/E Q1]]-1.5*(Quartile_L[[#This Row],[P/E Q3]]-Quartile_L[[#This Row],[P/E Q1]])</f>
        <v>7.5794737467764559</v>
      </c>
      <c r="U10" s="1">
        <f>Quartile_L[[#This Row],[P/E Q3]]+1.5*(Quartile_L[[#This Row],[P/E Q3]]-Quartile_L[[#This Row],[P/E Q1]])</f>
        <v>34.838170915140239</v>
      </c>
      <c r="V10" s="1" cm="1">
        <f t="array" ref="V10">_xlfn.QUARTILE.INC(IF(Quartile_L[[#This Row],[Industry]]=Main_L[Industry],Main_L[A/E]),1)</f>
        <v>2.7549999999999999</v>
      </c>
      <c r="W10" s="1" cm="1">
        <f t="array" ref="W10">_xlfn.QUARTILE.INC(IF(Quartile_L[[#This Row],[Industry]]=Main_L[Industry],Main_L[A/E]),3)</f>
        <v>3.7250000000000001</v>
      </c>
      <c r="X10" s="1">
        <f>Quartile_L[[#This Row],[A/E Q1]]-1.5*(Quartile_L[[#This Row],[A/E Q3]]-Quartile_L[[#This Row],[A/E Q1]])</f>
        <v>1.2999999999999996</v>
      </c>
      <c r="Y10" s="1">
        <f>Quartile_L[[#This Row],[A/E Q3]]+1.5*(Quartile_L[[#This Row],[A/E Q3]]-Quartile_L[[#This Row],[A/E Q1]])</f>
        <v>5.1800000000000006</v>
      </c>
    </row>
    <row r="11" spans="1:25" x14ac:dyDescent="0.25">
      <c r="A11" t="s">
        <v>114</v>
      </c>
      <c r="B11" s="1" cm="1">
        <f t="array" ref="B11">_xlfn.QUARTILE.INC(IF(Quartile_L[[#This Row],[Industry]]=Main_L[Industry],Main_L[P/FCF]),1)</f>
        <v>12.949025086934922</v>
      </c>
      <c r="C11" s="1" cm="1">
        <f t="array" ref="C11">_xlfn.QUARTILE.INC(IF(Quartile_L[[#This Row],[Industry]]=Main_L[Industry],Main_L[P/FCF]),3)</f>
        <v>32.793596059113298</v>
      </c>
      <c r="D11" s="1">
        <f>Quartile_L[[#This Row],[P/FCF Q1]]-1.5*(Quartile_L[[#This Row],[P/FCF Q3]]-Quartile_L[[#This Row],[P/FCF Q1]])</f>
        <v>-16.817831371332638</v>
      </c>
      <c r="E11" s="1">
        <f>Quartile_L[[#This Row],[P/FCF Q3]]+1.5*(Quartile_L[[#This Row],[P/FCF Q3]]-Quartile_L[[#This Row],[P/FCF Q1]])</f>
        <v>62.56045251738086</v>
      </c>
      <c r="F11" s="1" cm="1">
        <f t="array" ref="F11">_xlfn.QUARTILE.INC(IF(Quartile_L[[#This Row],[Industry]]=Main_L[Industry],Main_L[P/B]),1)</f>
        <v>3.0480194482080814</v>
      </c>
      <c r="G11" s="1" cm="1">
        <f t="array" ref="G11">_xlfn.QUARTILE.INC(IF(Quartile_L[[#This Row],[Industry]]=Main_L[Industry],Main_L[P/B]),3)</f>
        <v>9.4916328816489521</v>
      </c>
      <c r="H11" s="1">
        <f>Quartile_L[[#This Row],[P/B Q1]]-1.5*(Quartile_L[[#This Row],[P/B Q3]]-Quartile_L[[#This Row],[P/B Q1]])</f>
        <v>-6.6174007019532253</v>
      </c>
      <c r="I11" s="1">
        <f>Quartile_L[[#This Row],[P/B Q3]]+1.5*(Quartile_L[[#This Row],[P/B Q3]]-Quartile_L[[#This Row],[P/B Q1]])</f>
        <v>19.157053031810257</v>
      </c>
      <c r="J11" s="1" cm="1">
        <f t="array" ref="J11">_xlfn.QUARTILE.INC(IF(Quartile_L[[#This Row],[Industry]]=Main_L[Industry],Main_L[ROE]),1)</f>
        <v>12.46</v>
      </c>
      <c r="K11" s="1" cm="1">
        <f t="array" ref="K11">_xlfn.QUARTILE.INC(IF(Quartile_L[[#This Row],[Industry]]=Main_L[Industry],Main_L[ROE]),3)</f>
        <v>40.700000000000003</v>
      </c>
      <c r="L11" s="1">
        <f>Quartile_L[[#This Row],[ROE Q1]]-1.5*(Quartile_L[[#This Row],[ROE Q3]]-Quartile_L[[#This Row],[ROE Q1]])</f>
        <v>-29.9</v>
      </c>
      <c r="M11" s="1">
        <f>Quartile_L[[#This Row],[ROE Q3]]+1.5*(Quartile_L[[#This Row],[ROE Q3]]-Quartile_L[[#This Row],[ROE Q1]])</f>
        <v>83.06</v>
      </c>
      <c r="N11" s="1" cm="1">
        <f t="array" ref="N11">_xlfn.QUARTILE.INC(IF(Quartile_L[[#This Row],[Industry]]=Main_L[Industry],Main_L[ROA]),1)</f>
        <v>4.3849999999999998</v>
      </c>
      <c r="O11" s="1" cm="1">
        <f t="array" ref="O11">_xlfn.QUARTILE.INC(IF(Quartile_L[[#This Row],[Industry]]=Main_L[Industry],Main_L[ROA]),3)</f>
        <v>7.6549999999999994</v>
      </c>
      <c r="P11" s="1">
        <f>Quartile_L[[#This Row],[ROA Q1]]-1.5*(Quartile_L[[#This Row],[ROA Q3]]-Quartile_L[[#This Row],[ROA Q1]])</f>
        <v>-0.51999999999999957</v>
      </c>
      <c r="Q11" s="1">
        <f>Quartile_L[[#This Row],[ROA Q3]]+1.5*(Quartile_L[[#This Row],[ROA Q3]]-Quartile_L[[#This Row],[ROA Q1]])</f>
        <v>12.559999999999999</v>
      </c>
      <c r="R11" s="1" cm="1">
        <f t="array" ref="R11">_xlfn.QUARTILE.INC(IF(Quartile_L[[#This Row],[Industry]]=Main_L[Industry],Main_L[P/E]),1)</f>
        <v>14.031036841996144</v>
      </c>
      <c r="S11" s="1" cm="1">
        <f t="array" ref="S11">_xlfn.QUARTILE.INC(IF(Quartile_L[[#This Row],[Industry]]=Main_L[Industry],Main_L[P/E]),3)</f>
        <v>50.578420260257907</v>
      </c>
      <c r="T11" s="1">
        <f>Quartile_L[[#This Row],[P/E Q1]]-1.5*(Quartile_L[[#This Row],[P/E Q3]]-Quartile_L[[#This Row],[P/E Q1]])</f>
        <v>-40.790038285396491</v>
      </c>
      <c r="U11" s="1">
        <f>Quartile_L[[#This Row],[P/E Q3]]+1.5*(Quartile_L[[#This Row],[P/E Q3]]-Quartile_L[[#This Row],[P/E Q1]])</f>
        <v>105.39949538765055</v>
      </c>
      <c r="V11" s="1" cm="1">
        <f t="array" ref="V11">_xlfn.QUARTILE.INC(IF(Quartile_L[[#This Row],[Industry]]=Main_L[Industry],Main_L[A/E]),1)</f>
        <v>1.9750000000000001</v>
      </c>
      <c r="W11" s="1" cm="1">
        <f t="array" ref="W11">_xlfn.QUARTILE.INC(IF(Quartile_L[[#This Row],[Industry]]=Main_L[Industry],Main_L[A/E]),3)</f>
        <v>3.7850000000000001</v>
      </c>
      <c r="X11" s="1">
        <f>Quartile_L[[#This Row],[A/E Q1]]-1.5*(Quartile_L[[#This Row],[A/E Q3]]-Quartile_L[[#This Row],[A/E Q1]])</f>
        <v>-0.73999999999999977</v>
      </c>
      <c r="Y11" s="1">
        <f>Quartile_L[[#This Row],[A/E Q3]]+1.5*(Quartile_L[[#This Row],[A/E Q3]]-Quartile_L[[#This Row],[A/E Q1]])</f>
        <v>6.5</v>
      </c>
    </row>
    <row r="12" spans="1:25" x14ac:dyDescent="0.25">
      <c r="A12" t="s">
        <v>115</v>
      </c>
      <c r="B12" s="1" cm="1">
        <f t="array" ref="B12">_xlfn.QUARTILE.INC(IF(Quartile_L[[#This Row],[Industry]]=Main_L[Industry],Main_L[P/FCF]),1)</f>
        <v>19.551324893424344</v>
      </c>
      <c r="C12" s="1" cm="1">
        <f t="array" ref="C12">_xlfn.QUARTILE.INC(IF(Quartile_L[[#This Row],[Industry]]=Main_L[Industry],Main_L[P/FCF]),3)</f>
        <v>37.352700249964172</v>
      </c>
      <c r="D12" s="1">
        <f>Quartile_L[[#This Row],[P/FCF Q1]]-1.5*(Quartile_L[[#This Row],[P/FCF Q3]]-Quartile_L[[#This Row],[P/FCF Q1]])</f>
        <v>-7.1507381413853999</v>
      </c>
      <c r="E12" s="1">
        <f>Quartile_L[[#This Row],[P/FCF Q3]]+1.5*(Quartile_L[[#This Row],[P/FCF Q3]]-Quartile_L[[#This Row],[P/FCF Q1]])</f>
        <v>64.054763284773912</v>
      </c>
      <c r="F12" s="1" cm="1">
        <f t="array" ref="F12">_xlfn.QUARTILE.INC(IF(Quartile_L[[#This Row],[Industry]]=Main_L[Industry],Main_L[P/B]),1)</f>
        <v>2.1806386852645172</v>
      </c>
      <c r="G12" s="1" cm="1">
        <f t="array" ref="G12">_xlfn.QUARTILE.INC(IF(Quartile_L[[#This Row],[Industry]]=Main_L[Industry],Main_L[P/B]),3)</f>
        <v>12.305743756703592</v>
      </c>
      <c r="H12" s="1">
        <f>Quartile_L[[#This Row],[P/B Q1]]-1.5*(Quartile_L[[#This Row],[P/B Q3]]-Quartile_L[[#This Row],[P/B Q1]])</f>
        <v>-13.007018921894096</v>
      </c>
      <c r="I12" s="1">
        <f>Quartile_L[[#This Row],[P/B Q3]]+1.5*(Quartile_L[[#This Row],[P/B Q3]]-Quartile_L[[#This Row],[P/B Q1]])</f>
        <v>27.493401363862205</v>
      </c>
      <c r="J12" s="1" cm="1">
        <f t="array" ref="J12">_xlfn.QUARTILE.INC(IF(Quartile_L[[#This Row],[Industry]]=Main_L[Industry],Main_L[ROE]),1)</f>
        <v>10.737500000000001</v>
      </c>
      <c r="K12" s="1" cm="1">
        <f t="array" ref="K12">_xlfn.QUARTILE.INC(IF(Quartile_L[[#This Row],[Industry]]=Main_L[Industry],Main_L[ROE]),3)</f>
        <v>58.34</v>
      </c>
      <c r="L12" s="1">
        <f>Quartile_L[[#This Row],[ROE Q1]]-1.5*(Quartile_L[[#This Row],[ROE Q3]]-Quartile_L[[#This Row],[ROE Q1]])</f>
        <v>-60.666250000000005</v>
      </c>
      <c r="M12" s="1">
        <f>Quartile_L[[#This Row],[ROE Q3]]+1.5*(Quartile_L[[#This Row],[ROE Q3]]-Quartile_L[[#This Row],[ROE Q1]])</f>
        <v>129.74375000000001</v>
      </c>
      <c r="N12" s="1" cm="1">
        <f t="array" ref="N12">_xlfn.QUARTILE.INC(IF(Quartile_L[[#This Row],[Industry]]=Main_L[Industry],Main_L[ROA]),1)</f>
        <v>5.9550000000000001</v>
      </c>
      <c r="O12" s="1" cm="1">
        <f t="array" ref="O12">_xlfn.QUARTILE.INC(IF(Quartile_L[[#This Row],[Industry]]=Main_L[Industry],Main_L[ROA]),3)</f>
        <v>13.657500000000001</v>
      </c>
      <c r="P12" s="1">
        <f>Quartile_L[[#This Row],[ROA Q1]]-1.5*(Quartile_L[[#This Row],[ROA Q3]]-Quartile_L[[#This Row],[ROA Q1]])</f>
        <v>-5.5987500000000008</v>
      </c>
      <c r="Q12" s="1">
        <f>Quartile_L[[#This Row],[ROA Q3]]+1.5*(Quartile_L[[#This Row],[ROA Q3]]-Quartile_L[[#This Row],[ROA Q1]])</f>
        <v>25.21125</v>
      </c>
      <c r="R12" s="1" cm="1">
        <f t="array" ref="R12">_xlfn.QUARTILE.INC(IF(Quartile_L[[#This Row],[Industry]]=Main_L[Industry],Main_L[P/E]),1)</f>
        <v>18.260843934501619</v>
      </c>
      <c r="S12" s="1" cm="1">
        <f t="array" ref="S12">_xlfn.QUARTILE.INC(IF(Quartile_L[[#This Row],[Industry]]=Main_L[Industry],Main_L[P/E]),3)</f>
        <v>31.932861780542869</v>
      </c>
      <c r="T12" s="1">
        <f>Quartile_L[[#This Row],[P/E Q1]]-1.5*(Quartile_L[[#This Row],[P/E Q3]]-Quartile_L[[#This Row],[P/E Q1]])</f>
        <v>-2.247182834560256</v>
      </c>
      <c r="U12" s="1">
        <f>Quartile_L[[#This Row],[P/E Q3]]+1.5*(Quartile_L[[#This Row],[P/E Q3]]-Quartile_L[[#This Row],[P/E Q1]])</f>
        <v>52.440888549604743</v>
      </c>
      <c r="V12" s="1" cm="1">
        <f t="array" ref="V12">_xlfn.QUARTILE.INC(IF(Quartile_L[[#This Row],[Industry]]=Main_L[Industry],Main_L[A/E]),1)</f>
        <v>2.4250000000000003</v>
      </c>
      <c r="W12" s="1" cm="1">
        <f t="array" ref="W12">_xlfn.QUARTILE.INC(IF(Quartile_L[[#This Row],[Industry]]=Main_L[Industry],Main_L[A/E]),3)</f>
        <v>5.3725000000000005</v>
      </c>
      <c r="X12" s="1">
        <f>Quartile_L[[#This Row],[A/E Q1]]-1.5*(Quartile_L[[#This Row],[A/E Q3]]-Quartile_L[[#This Row],[A/E Q1]])</f>
        <v>-1.9962500000000003</v>
      </c>
      <c r="Y12" s="1">
        <f>Quartile_L[[#This Row],[A/E Q3]]+1.5*(Quartile_L[[#This Row],[A/E Q3]]-Quartile_L[[#This Row],[A/E Q1]])</f>
        <v>9.7937500000000011</v>
      </c>
    </row>
    <row r="15" spans="1:25" x14ac:dyDescent="0.25">
      <c r="A15" t="s">
        <v>22</v>
      </c>
    </row>
    <row r="16" spans="1:25" x14ac:dyDescent="0.25">
      <c r="A16" t="s">
        <v>1</v>
      </c>
      <c r="B16" t="s">
        <v>2</v>
      </c>
      <c r="C16" t="s">
        <v>3</v>
      </c>
      <c r="D16" t="s">
        <v>4</v>
      </c>
      <c r="E16" t="s">
        <v>5</v>
      </c>
      <c r="F16" t="s">
        <v>72</v>
      </c>
      <c r="G16" t="s">
        <v>73</v>
      </c>
      <c r="H16" t="s">
        <v>74</v>
      </c>
      <c r="I16" t="s">
        <v>75</v>
      </c>
      <c r="J16" t="s">
        <v>6</v>
      </c>
      <c r="K16" t="s">
        <v>7</v>
      </c>
      <c r="L16" t="s">
        <v>8</v>
      </c>
      <c r="M16" t="s">
        <v>9</v>
      </c>
      <c r="N16" t="s">
        <v>10</v>
      </c>
      <c r="O16" t="s">
        <v>11</v>
      </c>
      <c r="P16" t="s">
        <v>12</v>
      </c>
      <c r="Q16" t="s">
        <v>13</v>
      </c>
      <c r="R16" t="s">
        <v>14</v>
      </c>
      <c r="S16" t="s">
        <v>15</v>
      </c>
      <c r="T16" t="s">
        <v>16</v>
      </c>
      <c r="U16" t="s">
        <v>17</v>
      </c>
      <c r="V16" t="s">
        <v>18</v>
      </c>
      <c r="W16" t="s">
        <v>19</v>
      </c>
      <c r="X16" t="s">
        <v>20</v>
      </c>
      <c r="Y16" t="s">
        <v>21</v>
      </c>
    </row>
    <row r="17" spans="1:25" x14ac:dyDescent="0.25">
      <c r="A17" t="s">
        <v>106</v>
      </c>
      <c r="B17" s="1" cm="1">
        <f t="array" ref="B17">_xlfn.QUARTILE.INC(IF(Quartile_M[[#This Row],[Industry]]=Main_M[Industry],Main_M[P/FCF]),1)</f>
        <v>3.6436355305123413</v>
      </c>
      <c r="C17" s="1" cm="1">
        <f t="array" ref="C17">_xlfn.QUARTILE.INC(IF(Quartile_M[[#This Row],[Industry]]=Main_M[Industry],Main_M[P/FCF]),3)</f>
        <v>15.320603341024849</v>
      </c>
      <c r="D17" s="1">
        <f>Quartile_M[[#This Row],[P/FCF Q1]]-1.5*(Quartile_M[[#This Row],[P/FCF Q3]]-Quartile_M[[#This Row],[P/FCF Q1]])</f>
        <v>-13.871816185256421</v>
      </c>
      <c r="E17" s="1">
        <f>Quartile_M[[#This Row],[P/FCF Q3]]+1.5*(Quartile_M[[#This Row],[P/FCF Q3]]-Quartile_M[[#This Row],[P/FCF Q1]])</f>
        <v>32.836055056793612</v>
      </c>
      <c r="F17" s="1" cm="1">
        <f t="array" ref="F17">_xlfn.QUARTILE.INC(IF(Quartile_M[[#This Row],[Industry]]=Main_M[Industry],Main_M[P/B]),1)</f>
        <v>1.2695740058995983</v>
      </c>
      <c r="G17" s="1" cm="1">
        <f t="array" ref="G17">_xlfn.QUARTILE.INC(IF(Quartile_M[[#This Row],[Industry]]=Main_M[Industry],Main_M[P/B]),3)</f>
        <v>2.7906976932778345</v>
      </c>
      <c r="H17" s="1">
        <f>Quartile_M[[#This Row],[P/B Q1]]-1.5*(Quartile_M[[#This Row],[P/B Q3]]-Quartile_M[[#This Row],[P/B Q1]])</f>
        <v>-1.0121115251677557</v>
      </c>
      <c r="I17" s="1">
        <f>Quartile_M[[#This Row],[P/B Q3]]+1.5*(Quartile_M[[#This Row],[P/B Q3]]-Quartile_M[[#This Row],[P/B Q1]])</f>
        <v>5.0723832243451881</v>
      </c>
      <c r="J17" s="1" cm="1">
        <f t="array" ref="J17">_xlfn.QUARTILE.INC(IF(Quartile_M[[#This Row],[Industry]]=Main_M[Industry],Main_M[ROE]),1)</f>
        <v>-1.49</v>
      </c>
      <c r="K17" s="1" cm="1">
        <f t="array" ref="K17">_xlfn.QUARTILE.INC(IF(Quartile_M[[#This Row],[Industry]]=Main_M[Industry],Main_M[ROE]),3)</f>
        <v>16.355</v>
      </c>
      <c r="L17" s="1">
        <f>Quartile_M[[#This Row],[ROE Q1]]-1.5*(Quartile_M[[#This Row],[ROE Q3]]-Quartile_M[[#This Row],[ROE Q1]])</f>
        <v>-28.257499999999997</v>
      </c>
      <c r="M17" s="1">
        <f>Quartile_M[[#This Row],[ROE Q3]]+1.5*(Quartile_M[[#This Row],[ROE Q3]]-Quartile_M[[#This Row],[ROE Q1]])</f>
        <v>43.122500000000002</v>
      </c>
      <c r="N17" s="1" cm="1">
        <f t="array" ref="N17">_xlfn.QUARTILE.INC(IF(Quartile_M[[#This Row],[Industry]]=Main_M[Industry],Main_M[ROA]),1)</f>
        <v>2.3475000000000001</v>
      </c>
      <c r="O17" s="1" cm="1">
        <f t="array" ref="O17">_xlfn.QUARTILE.INC(IF(Quartile_M[[#This Row],[Industry]]=Main_M[Industry],Main_M[ROA]),3)</f>
        <v>8.1425000000000001</v>
      </c>
      <c r="P17" s="1">
        <f>Quartile_M[[#This Row],[ROA Q1]]-1.5*(Quartile_M[[#This Row],[ROA Q3]]-Quartile_M[[#This Row],[ROA Q1]])</f>
        <v>-6.3449999999999989</v>
      </c>
      <c r="Q17" s="1">
        <f>Quartile_M[[#This Row],[ROA Q3]]+1.5*(Quartile_M[[#This Row],[ROA Q3]]-Quartile_M[[#This Row],[ROA Q1]])</f>
        <v>16.835000000000001</v>
      </c>
      <c r="R17" s="1" cm="1">
        <f t="array" ref="R17">_xlfn.QUARTILE.INC(IF(Quartile_M[[#This Row],[Industry]]=Main_M[Industry],Main_M[P/E]),1)</f>
        <v>5.5597018008149917</v>
      </c>
      <c r="S17" s="1" cm="1">
        <f t="array" ref="S17">_xlfn.QUARTILE.INC(IF(Quartile_M[[#This Row],[Industry]]=Main_M[Industry],Main_M[P/E]),3)</f>
        <v>19.167730237388987</v>
      </c>
      <c r="T17" s="1">
        <f>Quartile_M[[#This Row],[P/E Q1]]-1.5*(Quartile_M[[#This Row],[P/E Q3]]-Quartile_M[[#This Row],[P/E Q1]])</f>
        <v>-14.852340854046002</v>
      </c>
      <c r="U17" s="1">
        <f>Quartile_M[[#This Row],[P/E Q3]]+1.5*(Quartile_M[[#This Row],[P/E Q3]]-Quartile_M[[#This Row],[P/E Q1]])</f>
        <v>39.579772892249977</v>
      </c>
      <c r="V17" s="1" cm="1">
        <f t="array" ref="V17">_xlfn.QUARTILE.INC(IF(Quartile_M[[#This Row],[Industry]]=Main_M[Industry],Main_M[A/E]),1)</f>
        <v>1.425</v>
      </c>
      <c r="W17" s="1" cm="1">
        <f t="array" ref="W17">_xlfn.QUARTILE.INC(IF(Quartile_M[[#This Row],[Industry]]=Main_M[Industry],Main_M[A/E]),3)</f>
        <v>2.88</v>
      </c>
      <c r="X17" s="1">
        <f>Quartile_M[[#This Row],[A/E Q1]]-1.5*(Quartile_M[[#This Row],[A/E Q3]]-Quartile_M[[#This Row],[A/E Q1]])</f>
        <v>-0.75749999999999962</v>
      </c>
      <c r="Y17" s="1">
        <f>Quartile_M[[#This Row],[A/E Q3]]+1.5*(Quartile_M[[#This Row],[A/E Q3]]-Quartile_M[[#This Row],[A/E Q1]])</f>
        <v>5.0625</v>
      </c>
    </row>
    <row r="18" spans="1:25" x14ac:dyDescent="0.25">
      <c r="A18" t="s">
        <v>107</v>
      </c>
      <c r="B18" s="1" cm="1">
        <f t="array" ref="B18">_xlfn.QUARTILE.INC(IF(Quartile_M[[#This Row],[Industry]]=Main_M[Industry],Main_M[P/FCF]),1)</f>
        <v>-2.9364542277087828</v>
      </c>
      <c r="C18" s="1" cm="1">
        <f t="array" ref="C18">_xlfn.QUARTILE.INC(IF(Quartile_M[[#This Row],[Industry]]=Main_M[Industry],Main_M[P/FCF]),3)</f>
        <v>5.8133948982033949</v>
      </c>
      <c r="D18" s="1">
        <f>Quartile_M[[#This Row],[P/FCF Q1]]-1.5*(Quartile_M[[#This Row],[P/FCF Q3]]-Quartile_M[[#This Row],[P/FCF Q1]])</f>
        <v>-16.06122791657705</v>
      </c>
      <c r="E18" s="1">
        <f>Quartile_M[[#This Row],[P/FCF Q3]]+1.5*(Quartile_M[[#This Row],[P/FCF Q3]]-Quartile_M[[#This Row],[P/FCF Q1]])</f>
        <v>18.938168587071662</v>
      </c>
      <c r="F18" s="1" cm="1">
        <f t="array" ref="F18">_xlfn.QUARTILE.INC(IF(Quartile_M[[#This Row],[Industry]]=Main_M[Industry],Main_M[P/B]),1)</f>
        <v>-1.2785642062689586</v>
      </c>
      <c r="G18" s="1" cm="1">
        <f t="array" ref="G18">_xlfn.QUARTILE.INC(IF(Quartile_M[[#This Row],[Industry]]=Main_M[Industry],Main_M[P/B]),3)</f>
        <v>1.5907566808023694</v>
      </c>
      <c r="H18" s="1">
        <f>Quartile_M[[#This Row],[P/B Q1]]-1.5*(Quartile_M[[#This Row],[P/B Q3]]-Quartile_M[[#This Row],[P/B Q1]])</f>
        <v>-5.5825455368759505</v>
      </c>
      <c r="I18" s="1">
        <f>Quartile_M[[#This Row],[P/B Q3]]+1.5*(Quartile_M[[#This Row],[P/B Q3]]-Quartile_M[[#This Row],[P/B Q1]])</f>
        <v>5.8947380114093608</v>
      </c>
      <c r="J18" s="1" cm="1">
        <f t="array" ref="J18">_xlfn.QUARTILE.INC(IF(Quartile_M[[#This Row],[Industry]]=Main_M[Industry],Main_M[ROE]),1)</f>
        <v>-24.53</v>
      </c>
      <c r="K18" s="1" cm="1">
        <f t="array" ref="K18">_xlfn.QUARTILE.INC(IF(Quartile_M[[#This Row],[Industry]]=Main_M[Industry],Main_M[ROE]),3)</f>
        <v>79</v>
      </c>
      <c r="L18" s="1">
        <f>Quartile_M[[#This Row],[ROE Q1]]-1.5*(Quartile_M[[#This Row],[ROE Q3]]-Quartile_M[[#This Row],[ROE Q1]])</f>
        <v>-179.82500000000002</v>
      </c>
      <c r="M18" s="1">
        <f>Quartile_M[[#This Row],[ROE Q3]]+1.5*(Quartile_M[[#This Row],[ROE Q3]]-Quartile_M[[#This Row],[ROE Q1]])</f>
        <v>234.29500000000002</v>
      </c>
      <c r="N18" s="1" cm="1">
        <f t="array" ref="N18">_xlfn.QUARTILE.INC(IF(Quartile_M[[#This Row],[Industry]]=Main_M[Industry],Main_M[ROA]),1)</f>
        <v>-21.484999999999999</v>
      </c>
      <c r="O18" s="1" cm="1">
        <f t="array" ref="O18">_xlfn.QUARTILE.INC(IF(Quartile_M[[#This Row],[Industry]]=Main_M[Industry],Main_M[ROA]),3)</f>
        <v>-5.125</v>
      </c>
      <c r="P18" s="1">
        <f>Quartile_M[[#This Row],[ROA Q1]]-1.5*(Quartile_M[[#This Row],[ROA Q3]]-Quartile_M[[#This Row],[ROA Q1]])</f>
        <v>-46.024999999999999</v>
      </c>
      <c r="Q18" s="1">
        <f>Quartile_M[[#This Row],[ROA Q3]]+1.5*(Quartile_M[[#This Row],[ROA Q3]]-Quartile_M[[#This Row],[ROA Q1]])</f>
        <v>19.414999999999999</v>
      </c>
      <c r="R18" s="1" cm="1">
        <f t="array" ref="R18">_xlfn.QUARTILE.INC(IF(Quartile_M[[#This Row],[Industry]]=Main_M[Industry],Main_M[P/E]),1)</f>
        <v>-2.7950076413652574</v>
      </c>
      <c r="S18" s="1" cm="1">
        <f t="array" ref="S18">_xlfn.QUARTILE.INC(IF(Quartile_M[[#This Row],[Industry]]=Main_M[Industry],Main_M[P/E]),3)</f>
        <v>3.7908757908757909</v>
      </c>
      <c r="T18" s="1">
        <f>Quartile_M[[#This Row],[P/E Q1]]-1.5*(Quartile_M[[#This Row],[P/E Q3]]-Quartile_M[[#This Row],[P/E Q1]])</f>
        <v>-12.673832789726831</v>
      </c>
      <c r="U18" s="1">
        <f>Quartile_M[[#This Row],[P/E Q3]]+1.5*(Quartile_M[[#This Row],[P/E Q3]]-Quartile_M[[#This Row],[P/E Q1]])</f>
        <v>13.669700939237364</v>
      </c>
      <c r="V18" s="1" cm="1">
        <f t="array" ref="V18">_xlfn.QUARTILE.INC(IF(Quartile_M[[#This Row],[Industry]]=Main_M[Industry],Main_M[A/E]),1)</f>
        <v>-1.5699999999999998</v>
      </c>
      <c r="W18" s="1" cm="1">
        <f t="array" ref="W18">_xlfn.QUARTILE.INC(IF(Quartile_M[[#This Row],[Industry]]=Main_M[Industry],Main_M[A/E]),3)</f>
        <v>3.1950000000000003</v>
      </c>
      <c r="X18" s="1">
        <f>Quartile_M[[#This Row],[A/E Q1]]-1.5*(Quartile_M[[#This Row],[A/E Q3]]-Quartile_M[[#This Row],[A/E Q1]])</f>
        <v>-8.7175000000000011</v>
      </c>
      <c r="Y18" s="1">
        <f>Quartile_M[[#This Row],[A/E Q3]]+1.5*(Quartile_M[[#This Row],[A/E Q3]]-Quartile_M[[#This Row],[A/E Q1]])</f>
        <v>10.342500000000001</v>
      </c>
    </row>
    <row r="19" spans="1:25" x14ac:dyDescent="0.25">
      <c r="A19" t="s">
        <v>108</v>
      </c>
      <c r="B19" s="1" cm="1">
        <f t="array" ref="B19">_xlfn.QUARTILE.INC(IF(Quartile_M[[#This Row],[Industry]]=Main_M[Industry],Main_M[P/FCF]),1)</f>
        <v>-4.2319703530979336</v>
      </c>
      <c r="C19" s="1" cm="1">
        <f t="array" ref="C19">_xlfn.QUARTILE.INC(IF(Quartile_M[[#This Row],[Industry]]=Main_M[Industry],Main_M[P/FCF]),3)</f>
        <v>23.021226963678657</v>
      </c>
      <c r="D19" s="1">
        <f>Quartile_M[[#This Row],[P/FCF Q1]]-1.5*(Quartile_M[[#This Row],[P/FCF Q3]]-Quartile_M[[#This Row],[P/FCF Q1]])</f>
        <v>-45.111766328262824</v>
      </c>
      <c r="E19" s="1">
        <f>Quartile_M[[#This Row],[P/FCF Q3]]+1.5*(Quartile_M[[#This Row],[P/FCF Q3]]-Quartile_M[[#This Row],[P/FCF Q1]])</f>
        <v>63.901022938843546</v>
      </c>
      <c r="F19" s="1" cm="1">
        <f t="array" ref="F19">_xlfn.QUARTILE.INC(IF(Quartile_M[[#This Row],[Industry]]=Main_M[Industry],Main_M[P/B]),1)</f>
        <v>0.98187524600955534</v>
      </c>
      <c r="G19" s="1" cm="1">
        <f t="array" ref="G19">_xlfn.QUARTILE.INC(IF(Quartile_M[[#This Row],[Industry]]=Main_M[Industry],Main_M[P/B]),3)</f>
        <v>3.0613005915879086</v>
      </c>
      <c r="H19" s="1">
        <f>Quartile_M[[#This Row],[P/B Q1]]-1.5*(Quartile_M[[#This Row],[P/B Q3]]-Quartile_M[[#This Row],[P/B Q1]])</f>
        <v>-2.1372627723579742</v>
      </c>
      <c r="I19" s="1">
        <f>Quartile_M[[#This Row],[P/B Q3]]+1.5*(Quartile_M[[#This Row],[P/B Q3]]-Quartile_M[[#This Row],[P/B Q1]])</f>
        <v>6.1804386099554378</v>
      </c>
      <c r="J19" s="1" cm="1">
        <f t="array" ref="J19">_xlfn.QUARTILE.INC(IF(Quartile_M[[#This Row],[Industry]]=Main_M[Industry],Main_M[ROE]),1)</f>
        <v>11.795</v>
      </c>
      <c r="K19" s="1" cm="1">
        <f t="array" ref="K19">_xlfn.QUARTILE.INC(IF(Quartile_M[[#This Row],[Industry]]=Main_M[Industry],Main_M[ROE]),3)</f>
        <v>24.015000000000001</v>
      </c>
      <c r="L19" s="1">
        <f>Quartile_M[[#This Row],[ROE Q1]]-1.5*(Quartile_M[[#This Row],[ROE Q3]]-Quartile_M[[#This Row],[ROE Q1]])</f>
        <v>-6.5350000000000019</v>
      </c>
      <c r="M19" s="1">
        <f>Quartile_M[[#This Row],[ROE Q3]]+1.5*(Quartile_M[[#This Row],[ROE Q3]]-Quartile_M[[#This Row],[ROE Q1]])</f>
        <v>42.344999999999999</v>
      </c>
      <c r="N19" s="1" cm="1">
        <f t="array" ref="N19">_xlfn.QUARTILE.INC(IF(Quartile_M[[#This Row],[Industry]]=Main_M[Industry],Main_M[ROA]),1)</f>
        <v>6.5925000000000002</v>
      </c>
      <c r="O19" s="1" cm="1">
        <f t="array" ref="O19">_xlfn.QUARTILE.INC(IF(Quartile_M[[#This Row],[Industry]]=Main_M[Industry],Main_M[ROA]),3)</f>
        <v>9.3574999999999999</v>
      </c>
      <c r="P19" s="1">
        <f>Quartile_M[[#This Row],[ROA Q1]]-1.5*(Quartile_M[[#This Row],[ROA Q3]]-Quartile_M[[#This Row],[ROA Q1]])</f>
        <v>2.4450000000000012</v>
      </c>
      <c r="Q19" s="1">
        <f>Quartile_M[[#This Row],[ROA Q3]]+1.5*(Quartile_M[[#This Row],[ROA Q3]]-Quartile_M[[#This Row],[ROA Q1]])</f>
        <v>13.504999999999999</v>
      </c>
      <c r="R19" s="1" cm="1">
        <f t="array" ref="R19">_xlfn.QUARTILE.INC(IF(Quartile_M[[#This Row],[Industry]]=Main_M[Industry],Main_M[P/E]),1)</f>
        <v>7.1286282421492295</v>
      </c>
      <c r="S19" s="1" cm="1">
        <f t="array" ref="S19">_xlfn.QUARTILE.INC(IF(Quartile_M[[#This Row],[Industry]]=Main_M[Industry],Main_M[P/E]),3)</f>
        <v>18.125094463610974</v>
      </c>
      <c r="T19" s="1">
        <f>Quartile_M[[#This Row],[P/E Q1]]-1.5*(Quartile_M[[#This Row],[P/E Q3]]-Quartile_M[[#This Row],[P/E Q1]])</f>
        <v>-9.3660710900433877</v>
      </c>
      <c r="U19" s="1">
        <f>Quartile_M[[#This Row],[P/E Q3]]+1.5*(Quartile_M[[#This Row],[P/E Q3]]-Quartile_M[[#This Row],[P/E Q1]])</f>
        <v>34.619793795803588</v>
      </c>
      <c r="V19" s="1" cm="1">
        <f t="array" ref="V19">_xlfn.QUARTILE.INC(IF(Quartile_M[[#This Row],[Industry]]=Main_M[Industry],Main_M[A/E]),1)</f>
        <v>1.4575</v>
      </c>
      <c r="W19" s="1" cm="1">
        <f t="array" ref="W19">_xlfn.QUARTILE.INC(IF(Quartile_M[[#This Row],[Industry]]=Main_M[Industry],Main_M[A/E]),3)</f>
        <v>2.5375000000000001</v>
      </c>
      <c r="X19" s="1">
        <f>Quartile_M[[#This Row],[A/E Q1]]-1.5*(Quartile_M[[#This Row],[A/E Q3]]-Quartile_M[[#This Row],[A/E Q1]])</f>
        <v>-0.16250000000000009</v>
      </c>
      <c r="Y19" s="1">
        <f>Quartile_M[[#This Row],[A/E Q3]]+1.5*(Quartile_M[[#This Row],[A/E Q3]]-Quartile_M[[#This Row],[A/E Q1]])</f>
        <v>4.1575000000000006</v>
      </c>
    </row>
    <row r="20" spans="1:25" x14ac:dyDescent="0.25">
      <c r="A20" t="s">
        <v>109</v>
      </c>
      <c r="B20" s="1" cm="1">
        <f t="array" ref="B20">_xlfn.QUARTILE.INC(IF(Quartile_M[[#This Row],[Industry]]=Main_M[Industry],Main_M[P/FCF]),1)</f>
        <v>12.046621160409556</v>
      </c>
      <c r="C20" s="1" cm="1">
        <f t="array" ref="C20">_xlfn.QUARTILE.INC(IF(Quartile_M[[#This Row],[Industry]]=Main_M[Industry],Main_M[P/FCF]),3)</f>
        <v>16.59158163265306</v>
      </c>
      <c r="D20" s="1">
        <f>Quartile_M[[#This Row],[P/FCF Q1]]-1.5*(Quartile_M[[#This Row],[P/FCF Q3]]-Quartile_M[[#This Row],[P/FCF Q1]])</f>
        <v>5.2291804520442993</v>
      </c>
      <c r="E20" s="1">
        <f>Quartile_M[[#This Row],[P/FCF Q3]]+1.5*(Quartile_M[[#This Row],[P/FCF Q3]]-Quartile_M[[#This Row],[P/FCF Q1]])</f>
        <v>23.409022341018318</v>
      </c>
      <c r="F20" s="1" cm="1">
        <f t="array" ref="F20">_xlfn.QUARTILE.INC(IF(Quartile_M[[#This Row],[Industry]]=Main_M[Industry],Main_M[P/B]),1)</f>
        <v>2.4308851422550055</v>
      </c>
      <c r="G20" s="1" cm="1">
        <f t="array" ref="G20">_xlfn.QUARTILE.INC(IF(Quartile_M[[#This Row],[Industry]]=Main_M[Industry],Main_M[P/B]),3)</f>
        <v>6.6076525877672525</v>
      </c>
      <c r="H20" s="1">
        <f>Quartile_M[[#This Row],[P/B Q1]]-1.5*(Quartile_M[[#This Row],[P/B Q3]]-Quartile_M[[#This Row],[P/B Q1]])</f>
        <v>-3.8342660260133656</v>
      </c>
      <c r="I20" s="1">
        <f>Quartile_M[[#This Row],[P/B Q3]]+1.5*(Quartile_M[[#This Row],[P/B Q3]]-Quartile_M[[#This Row],[P/B Q1]])</f>
        <v>12.872803756035623</v>
      </c>
      <c r="J20" s="1" cm="1">
        <f t="array" ref="J20">_xlfn.QUARTILE.INC(IF(Quartile_M[[#This Row],[Industry]]=Main_M[Industry],Main_M[ROE]),1)</f>
        <v>17.715</v>
      </c>
      <c r="K20" s="1" cm="1">
        <f t="array" ref="K20">_xlfn.QUARTILE.INC(IF(Quartile_M[[#This Row],[Industry]]=Main_M[Industry],Main_M[ROE]),3)</f>
        <v>32.269999999999996</v>
      </c>
      <c r="L20" s="1">
        <f>Quartile_M[[#This Row],[ROE Q1]]-1.5*(Quartile_M[[#This Row],[ROE Q3]]-Quartile_M[[#This Row],[ROE Q1]])</f>
        <v>-4.1174999999999962</v>
      </c>
      <c r="M20" s="1">
        <f>Quartile_M[[#This Row],[ROE Q3]]+1.5*(Quartile_M[[#This Row],[ROE Q3]]-Quartile_M[[#This Row],[ROE Q1]])</f>
        <v>54.102499999999992</v>
      </c>
      <c r="N20" s="1" cm="1">
        <f t="array" ref="N20">_xlfn.QUARTILE.INC(IF(Quartile_M[[#This Row],[Industry]]=Main_M[Industry],Main_M[ROA]),1)</f>
        <v>4.8849999999999998</v>
      </c>
      <c r="O20" s="1" cm="1">
        <f t="array" ref="O20">_xlfn.QUARTILE.INC(IF(Quartile_M[[#This Row],[Industry]]=Main_M[Industry],Main_M[ROA]),3)</f>
        <v>8.4749999999999996</v>
      </c>
      <c r="P20" s="1">
        <f>Quartile_M[[#This Row],[ROA Q1]]-1.5*(Quartile_M[[#This Row],[ROA Q3]]-Quartile_M[[#This Row],[ROA Q1]])</f>
        <v>-0.5</v>
      </c>
      <c r="Q20" s="1">
        <f>Quartile_M[[#This Row],[ROA Q3]]+1.5*(Quartile_M[[#This Row],[ROA Q3]]-Quartile_M[[#This Row],[ROA Q1]])</f>
        <v>13.86</v>
      </c>
      <c r="R20" s="1" cm="1">
        <f t="array" ref="R20">_xlfn.QUARTILE.INC(IF(Quartile_M[[#This Row],[Industry]]=Main_M[Industry],Main_M[P/E]),1)</f>
        <v>13.988721454093524</v>
      </c>
      <c r="S20" s="1" cm="1">
        <f t="array" ref="S20">_xlfn.QUARTILE.INC(IF(Quartile_M[[#This Row],[Industry]]=Main_M[Industry],Main_M[P/E]),3)</f>
        <v>28.283036303630361</v>
      </c>
      <c r="T20" s="1">
        <f>Quartile_M[[#This Row],[P/E Q1]]-1.5*(Quartile_M[[#This Row],[P/E Q3]]-Quartile_M[[#This Row],[P/E Q1]])</f>
        <v>-7.4527508202117314</v>
      </c>
      <c r="U20" s="1">
        <f>Quartile_M[[#This Row],[P/E Q3]]+1.5*(Quartile_M[[#This Row],[P/E Q3]]-Quartile_M[[#This Row],[P/E Q1]])</f>
        <v>49.724508577935616</v>
      </c>
      <c r="V20" s="1" cm="1">
        <f t="array" ref="V20">_xlfn.QUARTILE.INC(IF(Quartile_M[[#This Row],[Industry]]=Main_M[Industry],Main_M[A/E]),1)</f>
        <v>2.2949999999999999</v>
      </c>
      <c r="W20" s="1" cm="1">
        <f t="array" ref="W20">_xlfn.QUARTILE.INC(IF(Quartile_M[[#This Row],[Industry]]=Main_M[Industry],Main_M[A/E]),3)</f>
        <v>4.1050000000000004</v>
      </c>
      <c r="X20" s="1">
        <f>Quartile_M[[#This Row],[A/E Q1]]-1.5*(Quartile_M[[#This Row],[A/E Q3]]-Quartile_M[[#This Row],[A/E Q1]])</f>
        <v>-0.42000000000000082</v>
      </c>
      <c r="Y20" s="1">
        <f>Quartile_M[[#This Row],[A/E Q3]]+1.5*(Quartile_M[[#This Row],[A/E Q3]]-Quartile_M[[#This Row],[A/E Q1]])</f>
        <v>6.8200000000000012</v>
      </c>
    </row>
    <row r="21" spans="1:25" x14ac:dyDescent="0.25">
      <c r="A21" t="s">
        <v>110</v>
      </c>
      <c r="B21" s="1" cm="1">
        <f t="array" ref="B21">_xlfn.QUARTILE.INC(IF(Quartile_M[[#This Row],[Industry]]=Main_M[Industry],Main_M[P/FCF]),1)</f>
        <v>7.7387289760079145</v>
      </c>
      <c r="C21" s="1" cm="1">
        <f t="array" ref="C21">_xlfn.QUARTILE.INC(IF(Quartile_M[[#This Row],[Industry]]=Main_M[Industry],Main_M[P/FCF]),3)</f>
        <v>17.737492143306095</v>
      </c>
      <c r="D21" s="1">
        <f>Quartile_M[[#This Row],[P/FCF Q1]]-1.5*(Quartile_M[[#This Row],[P/FCF Q3]]-Quartile_M[[#This Row],[P/FCF Q1]])</f>
        <v>-7.2594157749393577</v>
      </c>
      <c r="E21" s="1">
        <f>Quartile_M[[#This Row],[P/FCF Q3]]+1.5*(Quartile_M[[#This Row],[P/FCF Q3]]-Quartile_M[[#This Row],[P/FCF Q1]])</f>
        <v>32.735636894253368</v>
      </c>
      <c r="F21" s="1" cm="1">
        <f t="array" ref="F21">_xlfn.QUARTILE.INC(IF(Quartile_M[[#This Row],[Industry]]=Main_M[Industry],Main_M[P/B]),1)</f>
        <v>1.8872797461159529</v>
      </c>
      <c r="G21" s="1" cm="1">
        <f t="array" ref="G21">_xlfn.QUARTILE.INC(IF(Quartile_M[[#This Row],[Industry]]=Main_M[Industry],Main_M[P/B]),3)</f>
        <v>3.6008233911631828</v>
      </c>
      <c r="H21" s="1">
        <f>Quartile_M[[#This Row],[P/B Q1]]-1.5*(Quartile_M[[#This Row],[P/B Q3]]-Quartile_M[[#This Row],[P/B Q1]])</f>
        <v>-0.68303572145489211</v>
      </c>
      <c r="I21" s="1">
        <f>Quartile_M[[#This Row],[P/B Q3]]+1.5*(Quartile_M[[#This Row],[P/B Q3]]-Quartile_M[[#This Row],[P/B Q1]])</f>
        <v>6.1711388587340279</v>
      </c>
      <c r="J21" s="1" cm="1">
        <f t="array" ref="J21">_xlfn.QUARTILE.INC(IF(Quartile_M[[#This Row],[Industry]]=Main_M[Industry],Main_M[ROE]),1)</f>
        <v>4.7700000000000005</v>
      </c>
      <c r="K21" s="1" cm="1">
        <f t="array" ref="K21">_xlfn.QUARTILE.INC(IF(Quartile_M[[#This Row],[Industry]]=Main_M[Industry],Main_M[ROE]),3)</f>
        <v>19.355</v>
      </c>
      <c r="L21" s="1">
        <f>Quartile_M[[#This Row],[ROE Q1]]-1.5*(Quartile_M[[#This Row],[ROE Q3]]-Quartile_M[[#This Row],[ROE Q1]])</f>
        <v>-17.107500000000002</v>
      </c>
      <c r="M21" s="1">
        <f>Quartile_M[[#This Row],[ROE Q3]]+1.5*(Quartile_M[[#This Row],[ROE Q3]]-Quartile_M[[#This Row],[ROE Q1]])</f>
        <v>41.232500000000002</v>
      </c>
      <c r="N21" s="1" cm="1">
        <f t="array" ref="N21">_xlfn.QUARTILE.INC(IF(Quartile_M[[#This Row],[Industry]]=Main_M[Industry],Main_M[ROA]),1)</f>
        <v>3.8450000000000002</v>
      </c>
      <c r="O21" s="1" cm="1">
        <f t="array" ref="O21">_xlfn.QUARTILE.INC(IF(Quartile_M[[#This Row],[Industry]]=Main_M[Industry],Main_M[ROA]),3)</f>
        <v>8.5649999999999995</v>
      </c>
      <c r="P21" s="1">
        <f>Quartile_M[[#This Row],[ROA Q1]]-1.5*(Quartile_M[[#This Row],[ROA Q3]]-Quartile_M[[#This Row],[ROA Q1]])</f>
        <v>-3.2349999999999981</v>
      </c>
      <c r="Q21" s="1">
        <f>Quartile_M[[#This Row],[ROA Q3]]+1.5*(Quartile_M[[#This Row],[ROA Q3]]-Quartile_M[[#This Row],[ROA Q1]])</f>
        <v>15.644999999999998</v>
      </c>
      <c r="R21" s="1" cm="1">
        <f t="array" ref="R21">_xlfn.QUARTILE.INC(IF(Quartile_M[[#This Row],[Industry]]=Main_M[Industry],Main_M[P/E]),1)</f>
        <v>0.51599279075827198</v>
      </c>
      <c r="S21" s="1" cm="1">
        <f t="array" ref="S21">_xlfn.QUARTILE.INC(IF(Quartile_M[[#This Row],[Industry]]=Main_M[Industry],Main_M[P/E]),3)</f>
        <v>19.332139756944443</v>
      </c>
      <c r="T21" s="1">
        <f>Quartile_M[[#This Row],[P/E Q1]]-1.5*(Quartile_M[[#This Row],[P/E Q3]]-Quartile_M[[#This Row],[P/E Q1]])</f>
        <v>-27.708227658520986</v>
      </c>
      <c r="U21" s="1">
        <f>Quartile_M[[#This Row],[P/E Q3]]+1.5*(Quartile_M[[#This Row],[P/E Q3]]-Quartile_M[[#This Row],[P/E Q1]])</f>
        <v>47.556360206223701</v>
      </c>
      <c r="V21" s="1" cm="1">
        <f t="array" ref="V21">_xlfn.QUARTILE.INC(IF(Quartile_M[[#This Row],[Industry]]=Main_M[Industry],Main_M[A/E]),1)</f>
        <v>2.0924999999999998</v>
      </c>
      <c r="W21" s="1" cm="1">
        <f t="array" ref="W21">_xlfn.QUARTILE.INC(IF(Quartile_M[[#This Row],[Industry]]=Main_M[Industry],Main_M[A/E]),3)</f>
        <v>3.0599999999999996</v>
      </c>
      <c r="X21" s="1">
        <f>Quartile_M[[#This Row],[A/E Q1]]-1.5*(Quartile_M[[#This Row],[A/E Q3]]-Quartile_M[[#This Row],[A/E Q1]])</f>
        <v>0.6412500000000001</v>
      </c>
      <c r="Y21" s="1">
        <f>Quartile_M[[#This Row],[A/E Q3]]+1.5*(Quartile_M[[#This Row],[A/E Q3]]-Quartile_M[[#This Row],[A/E Q1]])</f>
        <v>4.5112499999999995</v>
      </c>
    </row>
    <row r="22" spans="1:25" x14ac:dyDescent="0.25">
      <c r="A22" t="s">
        <v>111</v>
      </c>
      <c r="B22" s="1" cm="1">
        <f t="array" ref="B22">_xlfn.QUARTILE.INC(IF(Quartile_M[[#This Row],[Industry]]=Main_M[Industry],Main_M[P/FCF]),1)</f>
        <v>9.8595041322314056</v>
      </c>
      <c r="C22" s="1" cm="1">
        <f t="array" ref="C22">_xlfn.QUARTILE.INC(IF(Quartile_M[[#This Row],[Industry]]=Main_M[Industry],Main_M[P/FCF]),3)</f>
        <v>34.678571428571431</v>
      </c>
      <c r="D22" s="1">
        <f>Quartile_M[[#This Row],[P/FCF Q1]]-1.5*(Quartile_M[[#This Row],[P/FCF Q3]]-Quartile_M[[#This Row],[P/FCF Q1]])</f>
        <v>-27.369096812278627</v>
      </c>
      <c r="E22" s="1">
        <f>Quartile_M[[#This Row],[P/FCF Q3]]+1.5*(Quartile_M[[#This Row],[P/FCF Q3]]-Quartile_M[[#This Row],[P/FCF Q1]])</f>
        <v>71.907172373081465</v>
      </c>
      <c r="F22" s="1" cm="1">
        <f t="array" ref="F22">_xlfn.QUARTILE.INC(IF(Quartile_M[[#This Row],[Industry]]=Main_M[Industry],Main_M[P/B]),1)</f>
        <v>1.0328477577834905</v>
      </c>
      <c r="G22" s="1" cm="1">
        <f t="array" ref="G22">_xlfn.QUARTILE.INC(IF(Quartile_M[[#This Row],[Industry]]=Main_M[Industry],Main_M[P/B]),3)</f>
        <v>9.6805437553101115</v>
      </c>
      <c r="H22" s="1">
        <f>Quartile_M[[#This Row],[P/B Q1]]-1.5*(Quartile_M[[#This Row],[P/B Q3]]-Quartile_M[[#This Row],[P/B Q1]])</f>
        <v>-11.938696238506441</v>
      </c>
      <c r="I22" s="1">
        <f>Quartile_M[[#This Row],[P/B Q3]]+1.5*(Quartile_M[[#This Row],[P/B Q3]]-Quartile_M[[#This Row],[P/B Q1]])</f>
        <v>22.652087751600043</v>
      </c>
      <c r="J22" s="1" cm="1">
        <f t="array" ref="J22">_xlfn.QUARTILE.INC(IF(Quartile_M[[#This Row],[Industry]]=Main_M[Industry],Main_M[ROE]),1)</f>
        <v>-11.81</v>
      </c>
      <c r="K22" s="1" cm="1">
        <f t="array" ref="K22">_xlfn.QUARTILE.INC(IF(Quartile_M[[#This Row],[Industry]]=Main_M[Industry],Main_M[ROE]),3)</f>
        <v>41.18</v>
      </c>
      <c r="L22" s="1">
        <f>Quartile_M[[#This Row],[ROE Q1]]-1.5*(Quartile_M[[#This Row],[ROE Q3]]-Quartile_M[[#This Row],[ROE Q1]])</f>
        <v>-91.295000000000002</v>
      </c>
      <c r="M22" s="1">
        <f>Quartile_M[[#This Row],[ROE Q3]]+1.5*(Quartile_M[[#This Row],[ROE Q3]]-Quartile_M[[#This Row],[ROE Q1]])</f>
        <v>120.66499999999999</v>
      </c>
      <c r="N22" s="1" cm="1">
        <f t="array" ref="N22">_xlfn.QUARTILE.INC(IF(Quartile_M[[#This Row],[Industry]]=Main_M[Industry],Main_M[ROA]),1)</f>
        <v>3.34</v>
      </c>
      <c r="O22" s="1" cm="1">
        <f t="array" ref="O22">_xlfn.QUARTILE.INC(IF(Quartile_M[[#This Row],[Industry]]=Main_M[Industry],Main_M[ROA]),3)</f>
        <v>8.68</v>
      </c>
      <c r="P22" s="1">
        <f>Quartile_M[[#This Row],[ROA Q1]]-1.5*(Quartile_M[[#This Row],[ROA Q3]]-Quartile_M[[#This Row],[ROA Q1]])</f>
        <v>-4.67</v>
      </c>
      <c r="Q22" s="1">
        <f>Quartile_M[[#This Row],[ROA Q3]]+1.5*(Quartile_M[[#This Row],[ROA Q3]]-Quartile_M[[#This Row],[ROA Q1]])</f>
        <v>16.689999999999998</v>
      </c>
      <c r="R22" s="1" cm="1">
        <f t="array" ref="R22">_xlfn.QUARTILE.INC(IF(Quartile_M[[#This Row],[Industry]]=Main_M[Industry],Main_M[P/E]),1)</f>
        <v>12.293637846655791</v>
      </c>
      <c r="S22" s="1" cm="1">
        <f t="array" ref="S22">_xlfn.QUARTILE.INC(IF(Quartile_M[[#This Row],[Industry]]=Main_M[Industry],Main_M[P/E]),3)</f>
        <v>40.36486486486487</v>
      </c>
      <c r="T22" s="1">
        <f>Quartile_M[[#This Row],[P/E Q1]]-1.5*(Quartile_M[[#This Row],[P/E Q3]]-Quartile_M[[#This Row],[P/E Q1]])</f>
        <v>-29.813202680657831</v>
      </c>
      <c r="U22" s="1">
        <f>Quartile_M[[#This Row],[P/E Q3]]+1.5*(Quartile_M[[#This Row],[P/E Q3]]-Quartile_M[[#This Row],[P/E Q1]])</f>
        <v>82.471705392178492</v>
      </c>
      <c r="V22" s="1" cm="1">
        <f t="array" ref="V22">_xlfn.QUARTILE.INC(IF(Quartile_M[[#This Row],[Industry]]=Main_M[Industry],Main_M[A/E]),1)</f>
        <v>1.89</v>
      </c>
      <c r="W22" s="1" cm="1">
        <f t="array" ref="W22">_xlfn.QUARTILE.INC(IF(Quartile_M[[#This Row],[Industry]]=Main_M[Industry],Main_M[A/E]),3)</f>
        <v>7.45</v>
      </c>
      <c r="X22" s="1">
        <f>Quartile_M[[#This Row],[A/E Q1]]-1.5*(Quartile_M[[#This Row],[A/E Q3]]-Quartile_M[[#This Row],[A/E Q1]])</f>
        <v>-6.45</v>
      </c>
      <c r="Y22" s="1">
        <f>Quartile_M[[#This Row],[A/E Q3]]+1.5*(Quartile_M[[#This Row],[A/E Q3]]-Quartile_M[[#This Row],[A/E Q1]])</f>
        <v>15.79</v>
      </c>
    </row>
    <row r="23" spans="1:25" x14ac:dyDescent="0.25">
      <c r="A23" t="s">
        <v>112</v>
      </c>
      <c r="B23" s="1" cm="1">
        <f t="array" ref="B23">_xlfn.QUARTILE.INC(IF(Quartile_M[[#This Row],[Industry]]=Main_M[Industry],Main_M[P/FCF]),1)</f>
        <v>11.481854838709678</v>
      </c>
      <c r="C23" s="1" cm="1">
        <f t="array" ref="C23">_xlfn.QUARTILE.INC(IF(Quartile_M[[#This Row],[Industry]]=Main_M[Industry],Main_M[P/FCF]),3)</f>
        <v>20.672609400324149</v>
      </c>
      <c r="D23" s="1">
        <f>Quartile_M[[#This Row],[P/FCF Q1]]-1.5*(Quartile_M[[#This Row],[P/FCF Q3]]-Quartile_M[[#This Row],[P/FCF Q1]])</f>
        <v>-2.3042770037120288</v>
      </c>
      <c r="E23" s="1">
        <f>Quartile_M[[#This Row],[P/FCF Q3]]+1.5*(Quartile_M[[#This Row],[P/FCF Q3]]-Quartile_M[[#This Row],[P/FCF Q1]])</f>
        <v>34.458741242745859</v>
      </c>
      <c r="F23" s="1" cm="1">
        <f t="array" ref="F23">_xlfn.QUARTILE.INC(IF(Quartile_M[[#This Row],[Industry]]=Main_M[Industry],Main_M[P/B]),1)</f>
        <v>1.6145161290322581</v>
      </c>
      <c r="G23" s="1" cm="1">
        <f t="array" ref="G23">_xlfn.QUARTILE.INC(IF(Quartile_M[[#This Row],[Industry]]=Main_M[Industry],Main_M[P/B]),3)</f>
        <v>4.6517397881996985</v>
      </c>
      <c r="H23" s="1">
        <f>Quartile_M[[#This Row],[P/B Q1]]-1.5*(Quartile_M[[#This Row],[P/B Q3]]-Quartile_M[[#This Row],[P/B Q1]])</f>
        <v>-2.9413193597189027</v>
      </c>
      <c r="I23" s="1">
        <f>Quartile_M[[#This Row],[P/B Q3]]+1.5*(Quartile_M[[#This Row],[P/B Q3]]-Quartile_M[[#This Row],[P/B Q1]])</f>
        <v>9.207575276950859</v>
      </c>
      <c r="J23" s="1" cm="1">
        <f t="array" ref="J23">_xlfn.QUARTILE.INC(IF(Quartile_M[[#This Row],[Industry]]=Main_M[Industry],Main_M[ROE]),1)</f>
        <v>8.2100000000000009</v>
      </c>
      <c r="K23" s="1" cm="1">
        <f t="array" ref="K23">_xlfn.QUARTILE.INC(IF(Quartile_M[[#This Row],[Industry]]=Main_M[Industry],Main_M[ROE]),3)</f>
        <v>23.76</v>
      </c>
      <c r="L23" s="1">
        <f>Quartile_M[[#This Row],[ROE Q1]]-1.5*(Quartile_M[[#This Row],[ROE Q3]]-Quartile_M[[#This Row],[ROE Q1]])</f>
        <v>-15.115000000000002</v>
      </c>
      <c r="M23" s="1">
        <f>Quartile_M[[#This Row],[ROE Q3]]+1.5*(Quartile_M[[#This Row],[ROE Q3]]-Quartile_M[[#This Row],[ROE Q1]])</f>
        <v>47.085000000000008</v>
      </c>
      <c r="N23" s="1" cm="1">
        <f t="array" ref="N23">_xlfn.QUARTILE.INC(IF(Quartile_M[[#This Row],[Industry]]=Main_M[Industry],Main_M[ROA]),1)</f>
        <v>4.82</v>
      </c>
      <c r="O23" s="1" cm="1">
        <f t="array" ref="O23">_xlfn.QUARTILE.INC(IF(Quartile_M[[#This Row],[Industry]]=Main_M[Industry],Main_M[ROA]),3)</f>
        <v>11.49</v>
      </c>
      <c r="P23" s="1">
        <f>Quartile_M[[#This Row],[ROA Q1]]-1.5*(Quartile_M[[#This Row],[ROA Q3]]-Quartile_M[[#This Row],[ROA Q1]])</f>
        <v>-5.1849999999999987</v>
      </c>
      <c r="Q23" s="1">
        <f>Quartile_M[[#This Row],[ROA Q3]]+1.5*(Quartile_M[[#This Row],[ROA Q3]]-Quartile_M[[#This Row],[ROA Q1]])</f>
        <v>21.494999999999997</v>
      </c>
      <c r="R23" s="1" cm="1">
        <f t="array" ref="R23">_xlfn.QUARTILE.INC(IF(Quartile_M[[#This Row],[Industry]]=Main_M[Industry],Main_M[P/E]),1)</f>
        <v>14.986842105263159</v>
      </c>
      <c r="S23" s="1" cm="1">
        <f t="array" ref="S23">_xlfn.QUARTILE.INC(IF(Quartile_M[[#This Row],[Industry]]=Main_M[Industry],Main_M[P/E]),3)</f>
        <v>25.23803363518758</v>
      </c>
      <c r="T23" s="1">
        <f>Quartile_M[[#This Row],[P/E Q1]]-1.5*(Quartile_M[[#This Row],[P/E Q3]]-Quartile_M[[#This Row],[P/E Q1]])</f>
        <v>-0.38994518962347335</v>
      </c>
      <c r="U23" s="1">
        <f>Quartile_M[[#This Row],[P/E Q3]]+1.5*(Quartile_M[[#This Row],[P/E Q3]]-Quartile_M[[#This Row],[P/E Q1]])</f>
        <v>40.614820930074217</v>
      </c>
      <c r="V23" s="1" cm="1">
        <f t="array" ref="V23">_xlfn.QUARTILE.INC(IF(Quartile_M[[#This Row],[Industry]]=Main_M[Industry],Main_M[A/E]),1)</f>
        <v>1.46</v>
      </c>
      <c r="W23" s="1" cm="1">
        <f t="array" ref="W23">_xlfn.QUARTILE.INC(IF(Quartile_M[[#This Row],[Industry]]=Main_M[Industry],Main_M[A/E]),3)</f>
        <v>2.89</v>
      </c>
      <c r="X23" s="1">
        <f>Quartile_M[[#This Row],[A/E Q1]]-1.5*(Quartile_M[[#This Row],[A/E Q3]]-Quartile_M[[#This Row],[A/E Q1]])</f>
        <v>-0.6850000000000005</v>
      </c>
      <c r="Y23" s="1">
        <f>Quartile_M[[#This Row],[A/E Q3]]+1.5*(Quartile_M[[#This Row],[A/E Q3]]-Quartile_M[[#This Row],[A/E Q1]])</f>
        <v>5.0350000000000001</v>
      </c>
    </row>
    <row r="24" spans="1:25" x14ac:dyDescent="0.25">
      <c r="A24" t="s">
        <v>113</v>
      </c>
      <c r="B24" s="1" t="e" cm="1">
        <f t="array" ref="B24">_xlfn.QUARTILE.INC(IF(Quartile_M[[#This Row],[Industry]]=Main_M[Industry],Main_M[P/FCF]),1)</f>
        <v>#NUM!</v>
      </c>
      <c r="C24" s="1" t="e" cm="1">
        <f t="array" ref="C24">_xlfn.QUARTILE.INC(IF(Quartile_M[[#This Row],[Industry]]=Main_M[Industry],Main_M[P/FCF]),3)</f>
        <v>#NUM!</v>
      </c>
      <c r="D24" s="1" t="e">
        <f>Quartile_M[[#This Row],[P/FCF Q1]]-1.5*(Quartile_M[[#This Row],[P/FCF Q3]]-Quartile_M[[#This Row],[P/FCF Q1]])</f>
        <v>#NUM!</v>
      </c>
      <c r="E24" s="1" t="e">
        <f>Quartile_M[[#This Row],[P/FCF Q3]]+1.5*(Quartile_M[[#This Row],[P/FCF Q3]]-Quartile_M[[#This Row],[P/FCF Q1]])</f>
        <v>#NUM!</v>
      </c>
      <c r="F24" s="1" t="e" cm="1">
        <f t="array" ref="F24">_xlfn.QUARTILE.INC(IF(Quartile_M[[#This Row],[Industry]]=Main_M[Industry],Main_M[P/B]),1)</f>
        <v>#NUM!</v>
      </c>
      <c r="G24" s="1" t="e" cm="1">
        <f t="array" ref="G24">_xlfn.QUARTILE.INC(IF(Quartile_M[[#This Row],[Industry]]=Main_M[Industry],Main_M[P/B]),3)</f>
        <v>#NUM!</v>
      </c>
      <c r="H24" s="1" t="e">
        <f>Quartile_M[[#This Row],[P/B Q1]]-1.5*(Quartile_M[[#This Row],[P/B Q3]]-Quartile_M[[#This Row],[P/B Q1]])</f>
        <v>#NUM!</v>
      </c>
      <c r="I24" s="1" t="e">
        <f>Quartile_M[[#This Row],[P/B Q3]]+1.5*(Quartile_M[[#This Row],[P/B Q3]]-Quartile_M[[#This Row],[P/B Q1]])</f>
        <v>#NUM!</v>
      </c>
      <c r="J24" s="1" t="e" cm="1">
        <f t="array" ref="J24">_xlfn.QUARTILE.INC(IF(Quartile_M[[#This Row],[Industry]]=Main_M[Industry],Main_M[ROE]),1)</f>
        <v>#NUM!</v>
      </c>
      <c r="K24" s="1" t="e" cm="1">
        <f t="array" ref="K24">_xlfn.QUARTILE.INC(IF(Quartile_M[[#This Row],[Industry]]=Main_M[Industry],Main_M[ROE]),3)</f>
        <v>#NUM!</v>
      </c>
      <c r="L24" s="1" t="e">
        <f>Quartile_M[[#This Row],[ROE Q1]]-1.5*(Quartile_M[[#This Row],[ROE Q3]]-Quartile_M[[#This Row],[ROE Q1]])</f>
        <v>#NUM!</v>
      </c>
      <c r="M24" s="1" t="e">
        <f>Quartile_M[[#This Row],[ROE Q3]]+1.5*(Quartile_M[[#This Row],[ROE Q3]]-Quartile_M[[#This Row],[ROE Q1]])</f>
        <v>#NUM!</v>
      </c>
      <c r="N24" s="1" t="e" cm="1">
        <f t="array" ref="N24">_xlfn.QUARTILE.INC(IF(Quartile_M[[#This Row],[Industry]]=Main_M[Industry],Main_M[ROA]),1)</f>
        <v>#NUM!</v>
      </c>
      <c r="O24" s="1" t="e" cm="1">
        <f t="array" ref="O24">_xlfn.QUARTILE.INC(IF(Quartile_M[[#This Row],[Industry]]=Main_M[Industry],Main_M[ROA]),3)</f>
        <v>#NUM!</v>
      </c>
      <c r="P24" s="1" t="e">
        <f>Quartile_M[[#This Row],[ROA Q1]]-1.5*(Quartile_M[[#This Row],[ROA Q3]]-Quartile_M[[#This Row],[ROA Q1]])</f>
        <v>#NUM!</v>
      </c>
      <c r="Q24" s="1" t="e">
        <f>Quartile_M[[#This Row],[ROA Q3]]+1.5*(Quartile_M[[#This Row],[ROA Q3]]-Quartile_M[[#This Row],[ROA Q1]])</f>
        <v>#NUM!</v>
      </c>
      <c r="R24" s="1" t="e" cm="1">
        <f t="array" ref="R24">_xlfn.QUARTILE.INC(IF(Quartile_M[[#This Row],[Industry]]=Main_M[Industry],Main_M[P/E]),1)</f>
        <v>#NUM!</v>
      </c>
      <c r="S24" s="1" t="e" cm="1">
        <f t="array" ref="S24">_xlfn.QUARTILE.INC(IF(Quartile_M[[#This Row],[Industry]]=Main_M[Industry],Main_M[P/E]),3)</f>
        <v>#NUM!</v>
      </c>
      <c r="T24" s="1" t="e">
        <f>Quartile_M[[#This Row],[P/E Q1]]-1.5*(Quartile_M[[#This Row],[P/E Q3]]-Quartile_M[[#This Row],[P/E Q1]])</f>
        <v>#NUM!</v>
      </c>
      <c r="U24" s="1" t="e">
        <f>Quartile_M[[#This Row],[P/E Q3]]+1.5*(Quartile_M[[#This Row],[P/E Q3]]-Quartile_M[[#This Row],[P/E Q1]])</f>
        <v>#NUM!</v>
      </c>
      <c r="V24" s="1" t="e" cm="1">
        <f t="array" ref="V24">_xlfn.QUARTILE.INC(IF(Quartile_M[[#This Row],[Industry]]=Main_M[Industry],Main_M[A/E]),1)</f>
        <v>#NUM!</v>
      </c>
      <c r="W24" s="1" t="e" cm="1">
        <f t="array" ref="W24">_xlfn.QUARTILE.INC(IF(Quartile_M[[#This Row],[Industry]]=Main_M[Industry],Main_M[A/E]),3)</f>
        <v>#NUM!</v>
      </c>
      <c r="X24" s="1" t="e">
        <f>Quartile_M[[#This Row],[A/E Q1]]-1.5*(Quartile_M[[#This Row],[A/E Q3]]-Quartile_M[[#This Row],[A/E Q1]])</f>
        <v>#NUM!</v>
      </c>
      <c r="Y24" s="1" t="e">
        <f>Quartile_M[[#This Row],[A/E Q3]]+1.5*(Quartile_M[[#This Row],[A/E Q3]]-Quartile_M[[#This Row],[A/E Q1]])</f>
        <v>#NUM!</v>
      </c>
    </row>
    <row r="25" spans="1:25" x14ac:dyDescent="0.25">
      <c r="A25" t="s">
        <v>114</v>
      </c>
      <c r="B25" s="1" cm="1">
        <f t="array" ref="B25">_xlfn.QUARTILE.INC(IF(Quartile_M[[#This Row],[Industry]]=Main_M[Industry],Main_M[P/FCF]),1)</f>
        <v>8.4657534246575334</v>
      </c>
      <c r="C25" s="1" cm="1">
        <f t="array" ref="C25">_xlfn.QUARTILE.INC(IF(Quartile_M[[#This Row],[Industry]]=Main_M[Industry],Main_M[P/FCF]),3)</f>
        <v>32</v>
      </c>
      <c r="D25" s="1">
        <f>Quartile_M[[#This Row],[P/FCF Q1]]-1.5*(Quartile_M[[#This Row],[P/FCF Q3]]-Quartile_M[[#This Row],[P/FCF Q1]])</f>
        <v>-26.835616438356162</v>
      </c>
      <c r="E25" s="1">
        <f>Quartile_M[[#This Row],[P/FCF Q3]]+1.5*(Quartile_M[[#This Row],[P/FCF Q3]]-Quartile_M[[#This Row],[P/FCF Q1]])</f>
        <v>67.30136986301369</v>
      </c>
      <c r="F25" s="1" cm="1">
        <f t="array" ref="F25">_xlfn.QUARTILE.INC(IF(Quartile_M[[#This Row],[Industry]]=Main_M[Industry],Main_M[P/B]),1)</f>
        <v>0.75777913361805971</v>
      </c>
      <c r="G25" s="1" cm="1">
        <f t="array" ref="G25">_xlfn.QUARTILE.INC(IF(Quartile_M[[#This Row],[Industry]]=Main_M[Industry],Main_M[P/B]),3)</f>
        <v>4.1237785016286646</v>
      </c>
      <c r="H25" s="1">
        <f>Quartile_M[[#This Row],[P/B Q1]]-1.5*(Quartile_M[[#This Row],[P/B Q3]]-Quartile_M[[#This Row],[P/B Q1]])</f>
        <v>-4.2912199183978466</v>
      </c>
      <c r="I25" s="1">
        <f>Quartile_M[[#This Row],[P/B Q3]]+1.5*(Quartile_M[[#This Row],[P/B Q3]]-Quartile_M[[#This Row],[P/B Q1]])</f>
        <v>9.1727775536445719</v>
      </c>
      <c r="J25" s="1" cm="1">
        <f t="array" ref="J25">_xlfn.QUARTILE.INC(IF(Quartile_M[[#This Row],[Industry]]=Main_M[Industry],Main_M[ROE]),1)</f>
        <v>12.47</v>
      </c>
      <c r="K25" s="1" cm="1">
        <f t="array" ref="K25">_xlfn.QUARTILE.INC(IF(Quartile_M[[#This Row],[Industry]]=Main_M[Industry],Main_M[ROE]),3)</f>
        <v>29.58</v>
      </c>
      <c r="L25" s="1">
        <f>Quartile_M[[#This Row],[ROE Q1]]-1.5*(Quartile_M[[#This Row],[ROE Q3]]-Quartile_M[[#This Row],[ROE Q1]])</f>
        <v>-13.194999999999999</v>
      </c>
      <c r="M25" s="1">
        <f>Quartile_M[[#This Row],[ROE Q3]]+1.5*(Quartile_M[[#This Row],[ROE Q3]]-Quartile_M[[#This Row],[ROE Q1]])</f>
        <v>55.244999999999997</v>
      </c>
      <c r="N25" s="1" cm="1">
        <f t="array" ref="N25">_xlfn.QUARTILE.INC(IF(Quartile_M[[#This Row],[Industry]]=Main_M[Industry],Main_M[ROA]),1)</f>
        <v>3.92</v>
      </c>
      <c r="O25" s="1" cm="1">
        <f t="array" ref="O25">_xlfn.QUARTILE.INC(IF(Quartile_M[[#This Row],[Industry]]=Main_M[Industry],Main_M[ROA]),3)</f>
        <v>10.6</v>
      </c>
      <c r="P25" s="1">
        <f>Quartile_M[[#This Row],[ROA Q1]]-1.5*(Quartile_M[[#This Row],[ROA Q3]]-Quartile_M[[#This Row],[ROA Q1]])</f>
        <v>-6.1</v>
      </c>
      <c r="Q25" s="1">
        <f>Quartile_M[[#This Row],[ROA Q3]]+1.5*(Quartile_M[[#This Row],[ROA Q3]]-Quartile_M[[#This Row],[ROA Q1]])</f>
        <v>20.619999999999997</v>
      </c>
      <c r="R25" s="1" cm="1">
        <f t="array" ref="R25">_xlfn.QUARTILE.INC(IF(Quartile_M[[#This Row],[Industry]]=Main_M[Industry],Main_M[P/E]),1)</f>
        <v>6</v>
      </c>
      <c r="S25" s="1" cm="1">
        <f t="array" ref="S25">_xlfn.QUARTILE.INC(IF(Quartile_M[[#This Row],[Industry]]=Main_M[Industry],Main_M[P/E]),3)</f>
        <v>17.252173913043478</v>
      </c>
      <c r="T25" s="1">
        <f>Quartile_M[[#This Row],[P/E Q1]]-1.5*(Quartile_M[[#This Row],[P/E Q3]]-Quartile_M[[#This Row],[P/E Q1]])</f>
        <v>-10.878260869565217</v>
      </c>
      <c r="U25" s="1">
        <f>Quartile_M[[#This Row],[P/E Q3]]+1.5*(Quartile_M[[#This Row],[P/E Q3]]-Quartile_M[[#This Row],[P/E Q1]])</f>
        <v>34.130434782608695</v>
      </c>
      <c r="V25" s="1" cm="1">
        <f t="array" ref="V25">_xlfn.QUARTILE.INC(IF(Quartile_M[[#This Row],[Industry]]=Main_M[Industry],Main_M[A/E]),1)</f>
        <v>1.41</v>
      </c>
      <c r="W25" s="1" cm="1">
        <f t="array" ref="W25">_xlfn.QUARTILE.INC(IF(Quartile_M[[#This Row],[Industry]]=Main_M[Industry],Main_M[A/E]),3)</f>
        <v>1.97</v>
      </c>
      <c r="X25" s="1">
        <f>Quartile_M[[#This Row],[A/E Q1]]-1.5*(Quartile_M[[#This Row],[A/E Q3]]-Quartile_M[[#This Row],[A/E Q1]])</f>
        <v>0.56999999999999984</v>
      </c>
      <c r="Y25" s="1">
        <f>Quartile_M[[#This Row],[A/E Q3]]+1.5*(Quartile_M[[#This Row],[A/E Q3]]-Quartile_M[[#This Row],[A/E Q1]])</f>
        <v>2.81</v>
      </c>
    </row>
    <row r="26" spans="1:25" x14ac:dyDescent="0.25">
      <c r="A26" t="s">
        <v>115</v>
      </c>
      <c r="B26" s="1" cm="1">
        <f t="array" ref="B26">_xlfn.QUARTILE.INC(IF(Quartile_M[[#This Row],[Industry]]=Main_M[Industry],Main_M[P/FCF]),1)</f>
        <v>8.4354555047485054</v>
      </c>
      <c r="C26" s="1" cm="1">
        <f t="array" ref="C26">_xlfn.QUARTILE.INC(IF(Quartile_M[[#This Row],[Industry]]=Main_M[Industry],Main_M[P/FCF]),3)</f>
        <v>52.417525773195877</v>
      </c>
      <c r="D26" s="1">
        <f>Quartile_M[[#This Row],[P/FCF Q1]]-1.5*(Quartile_M[[#This Row],[P/FCF Q3]]-Quartile_M[[#This Row],[P/FCF Q1]])</f>
        <v>-57.537649897922549</v>
      </c>
      <c r="E26" s="1">
        <f>Quartile_M[[#This Row],[P/FCF Q3]]+1.5*(Quartile_M[[#This Row],[P/FCF Q3]]-Quartile_M[[#This Row],[P/FCF Q1]])</f>
        <v>118.39063117586693</v>
      </c>
      <c r="F26" s="1" cm="1">
        <f t="array" ref="F26">_xlfn.QUARTILE.INC(IF(Quartile_M[[#This Row],[Industry]]=Main_M[Industry],Main_M[P/B]),1)</f>
        <v>1.3011067708333333</v>
      </c>
      <c r="G26" s="1" cm="1">
        <f t="array" ref="G26">_xlfn.QUARTILE.INC(IF(Quartile_M[[#This Row],[Industry]]=Main_M[Industry],Main_M[P/B]),3)</f>
        <v>3.0320297951582864</v>
      </c>
      <c r="H26" s="1">
        <f>Quartile_M[[#This Row],[P/B Q1]]-1.5*(Quartile_M[[#This Row],[P/B Q3]]-Quartile_M[[#This Row],[P/B Q1]])</f>
        <v>-1.2952777656540964</v>
      </c>
      <c r="I26" s="1">
        <f>Quartile_M[[#This Row],[P/B Q3]]+1.5*(Quartile_M[[#This Row],[P/B Q3]]-Quartile_M[[#This Row],[P/B Q1]])</f>
        <v>5.6284143316457165</v>
      </c>
      <c r="J26" s="1" cm="1">
        <f t="array" ref="J26">_xlfn.QUARTILE.INC(IF(Quartile_M[[#This Row],[Industry]]=Main_M[Industry],Main_M[ROE]),1)</f>
        <v>11.92</v>
      </c>
      <c r="K26" s="1" cm="1">
        <f t="array" ref="K26">_xlfn.QUARTILE.INC(IF(Quartile_M[[#This Row],[Industry]]=Main_M[Industry],Main_M[ROE]),3)</f>
        <v>24.52</v>
      </c>
      <c r="L26" s="1">
        <f>Quartile_M[[#This Row],[ROE Q1]]-1.5*(Quartile_M[[#This Row],[ROE Q3]]-Quartile_M[[#This Row],[ROE Q1]])</f>
        <v>-6.9799999999999986</v>
      </c>
      <c r="M26" s="1">
        <f>Quartile_M[[#This Row],[ROE Q3]]+1.5*(Quartile_M[[#This Row],[ROE Q3]]-Quartile_M[[#This Row],[ROE Q1]])</f>
        <v>43.42</v>
      </c>
      <c r="N26" s="1" cm="1">
        <f t="array" ref="N26">_xlfn.QUARTILE.INC(IF(Quartile_M[[#This Row],[Industry]]=Main_M[Industry],Main_M[ROA]),1)</f>
        <v>5.0599999999999996</v>
      </c>
      <c r="O26" s="1" cm="1">
        <f t="array" ref="O26">_xlfn.QUARTILE.INC(IF(Quartile_M[[#This Row],[Industry]]=Main_M[Industry],Main_M[ROA]),3)</f>
        <v>6.94</v>
      </c>
      <c r="P26" s="1">
        <f>Quartile_M[[#This Row],[ROA Q1]]-1.5*(Quartile_M[[#This Row],[ROA Q3]]-Quartile_M[[#This Row],[ROA Q1]])</f>
        <v>2.2399999999999984</v>
      </c>
      <c r="Q26" s="1">
        <f>Quartile_M[[#This Row],[ROA Q3]]+1.5*(Quartile_M[[#This Row],[ROA Q3]]-Quartile_M[[#This Row],[ROA Q1]])</f>
        <v>9.7600000000000016</v>
      </c>
      <c r="R26" s="1" cm="1">
        <f t="array" ref="R26">_xlfn.QUARTILE.INC(IF(Quartile_M[[#This Row],[Industry]]=Main_M[Industry],Main_M[P/E]),1)</f>
        <v>9.3268698060941837</v>
      </c>
      <c r="S26" s="1" cm="1">
        <f t="array" ref="S26">_xlfn.QUARTILE.INC(IF(Quartile_M[[#This Row],[Industry]]=Main_M[Industry],Main_M[P/E]),3)</f>
        <v>16.614285714285714</v>
      </c>
      <c r="T26" s="1">
        <f>Quartile_M[[#This Row],[P/E Q1]]-1.5*(Quartile_M[[#This Row],[P/E Q3]]-Quartile_M[[#This Row],[P/E Q1]])</f>
        <v>-1.6042540561931116</v>
      </c>
      <c r="U26" s="1">
        <f>Quartile_M[[#This Row],[P/E Q3]]+1.5*(Quartile_M[[#This Row],[P/E Q3]]-Quartile_M[[#This Row],[P/E Q1]])</f>
        <v>27.545409576573007</v>
      </c>
      <c r="V26" s="1" cm="1">
        <f t="array" ref="V26">_xlfn.QUARTILE.INC(IF(Quartile_M[[#This Row],[Industry]]=Main_M[Industry],Main_M[A/E]),1)</f>
        <v>1.85</v>
      </c>
      <c r="W26" s="1" cm="1">
        <f t="array" ref="W26">_xlfn.QUARTILE.INC(IF(Quartile_M[[#This Row],[Industry]]=Main_M[Industry],Main_M[A/E]),3)</f>
        <v>3.47</v>
      </c>
      <c r="X26" s="1">
        <f>Quartile_M[[#This Row],[A/E Q1]]-1.5*(Quartile_M[[#This Row],[A/E Q3]]-Quartile_M[[#This Row],[A/E Q1]])</f>
        <v>-0.58000000000000007</v>
      </c>
      <c r="Y26" s="1">
        <f>Quartile_M[[#This Row],[A/E Q3]]+1.5*(Quartile_M[[#This Row],[A/E Q3]]-Quartile_M[[#This Row],[A/E Q1]])</f>
        <v>5.9</v>
      </c>
    </row>
    <row r="29" spans="1:25" x14ac:dyDescent="0.25">
      <c r="A29" t="s">
        <v>23</v>
      </c>
    </row>
    <row r="30" spans="1:25" x14ac:dyDescent="0.25">
      <c r="A30" t="s">
        <v>1</v>
      </c>
      <c r="B30" t="s">
        <v>2</v>
      </c>
      <c r="C30" t="s">
        <v>3</v>
      </c>
      <c r="D30" t="s">
        <v>4</v>
      </c>
      <c r="E30" t="s">
        <v>5</v>
      </c>
      <c r="F30" t="s">
        <v>72</v>
      </c>
      <c r="G30" t="s">
        <v>73</v>
      </c>
      <c r="H30" t="s">
        <v>74</v>
      </c>
      <c r="I30" t="s">
        <v>75</v>
      </c>
      <c r="J30" t="s">
        <v>6</v>
      </c>
      <c r="K30" t="s">
        <v>7</v>
      </c>
      <c r="L30" t="s">
        <v>8</v>
      </c>
      <c r="M30" t="s">
        <v>9</v>
      </c>
      <c r="N30" t="s">
        <v>10</v>
      </c>
      <c r="O30" t="s">
        <v>11</v>
      </c>
      <c r="P30" t="s">
        <v>12</v>
      </c>
      <c r="Q30" t="s">
        <v>13</v>
      </c>
      <c r="R30" t="s">
        <v>14</v>
      </c>
      <c r="S30" t="s">
        <v>15</v>
      </c>
      <c r="T30" t="s">
        <v>16</v>
      </c>
      <c r="U30" t="s">
        <v>17</v>
      </c>
      <c r="V30" t="s">
        <v>18</v>
      </c>
      <c r="W30" t="s">
        <v>19</v>
      </c>
      <c r="X30" t="s">
        <v>20</v>
      </c>
      <c r="Y30" t="s">
        <v>21</v>
      </c>
    </row>
    <row r="31" spans="1:25" x14ac:dyDescent="0.25">
      <c r="A31" t="s">
        <v>106</v>
      </c>
      <c r="B31" s="1" cm="1">
        <f t="array" ref="B31">_xlfn.QUARTILE.INC(IF(Quartile_S[[#This Row],[Industry]]=Main_S[Industry],Main_S[P/FCF]),1)</f>
        <v>4.3119695265364557</v>
      </c>
      <c r="C31" s="1" cm="1">
        <f t="array" ref="C31">_xlfn.QUARTILE.INC(IF(Quartile_S[[#This Row],[Industry]]=Main_S[Industry],Main_S[P/FCF]),3)</f>
        <v>24.934833823082382</v>
      </c>
      <c r="D31" s="1">
        <f>Quartile_S[[#This Row],[P/FCF Q1]]-1.5*(Quartile_S[[#This Row],[P/FCF Q3]]-Quartile_S[[#This Row],[P/FCF Q1]])</f>
        <v>-26.622326918282436</v>
      </c>
      <c r="E31" s="1">
        <f>Quartile_S[[#This Row],[P/FCF Q3]]+1.5*(Quartile_S[[#This Row],[P/FCF Q3]]-Quartile_S[[#This Row],[P/FCF Q1]])</f>
        <v>55.869130267901269</v>
      </c>
      <c r="F31" s="1" cm="1">
        <f t="array" ref="F31">_xlfn.QUARTILE.INC(IF(Quartile_S[[#This Row],[Industry]]=Main_S[Industry],Main_S[P/B]),1)</f>
        <v>0.50480461070690341</v>
      </c>
      <c r="G31" s="1" cm="1">
        <f t="array" ref="G31">_xlfn.QUARTILE.INC(IF(Quartile_S[[#This Row],[Industry]]=Main_S[Industry],Main_S[P/B]),3)</f>
        <v>1.132559960523434</v>
      </c>
      <c r="H31" s="1">
        <f>Quartile_S[[#This Row],[P/B Q1]]-1.5*(Quartile_S[[#This Row],[P/B Q3]]-Quartile_S[[#This Row],[P/B Q1]])</f>
        <v>-0.43682841401789252</v>
      </c>
      <c r="I31" s="1">
        <f>Quartile_S[[#This Row],[P/B Q3]]+1.5*(Quartile_S[[#This Row],[P/B Q3]]-Quartile_S[[#This Row],[P/B Q1]])</f>
        <v>2.0741929852482297</v>
      </c>
      <c r="J31" s="1" cm="1">
        <f t="array" ref="J31">_xlfn.QUARTILE.INC(IF(Quartile_S[[#This Row],[Industry]]=Main_S[Industry],Main_S[ROE]),1)</f>
        <v>3.37</v>
      </c>
      <c r="K31" s="1" cm="1">
        <f t="array" ref="K31">_xlfn.QUARTILE.INC(IF(Quartile_S[[#This Row],[Industry]]=Main_S[Industry],Main_S[ROE]),3)</f>
        <v>19.065000000000001</v>
      </c>
      <c r="L31" s="1">
        <f>Quartile_S[[#This Row],[ROE Q1]]-1.5*(Quartile_S[[#This Row],[ROE Q3]]-Quartile_S[[#This Row],[ROE Q1]])</f>
        <v>-20.172499999999999</v>
      </c>
      <c r="M31" s="1">
        <f>Quartile_S[[#This Row],[ROE Q3]]+1.5*(Quartile_S[[#This Row],[ROE Q3]]-Quartile_S[[#This Row],[ROE Q1]])</f>
        <v>42.607500000000002</v>
      </c>
      <c r="N31" s="1" cm="1">
        <f t="array" ref="N31">_xlfn.QUARTILE.INC(IF(Quartile_S[[#This Row],[Industry]]=Main_S[Industry],Main_S[ROA]),1)</f>
        <v>2.8149999999999999</v>
      </c>
      <c r="O31" s="1" cm="1">
        <f t="array" ref="O31">_xlfn.QUARTILE.INC(IF(Quartile_S[[#This Row],[Industry]]=Main_S[Industry],Main_S[ROA]),3)</f>
        <v>5.4275000000000002</v>
      </c>
      <c r="P31" s="1">
        <f>Quartile_S[[#This Row],[ROA Q1]]-1.5*(Quartile_S[[#This Row],[ROA Q3]]-Quartile_S[[#This Row],[ROA Q1]])</f>
        <v>-1.1037500000000002</v>
      </c>
      <c r="Q31" s="1">
        <f>Quartile_S[[#This Row],[ROA Q3]]+1.5*(Quartile_S[[#This Row],[ROA Q3]]-Quartile_S[[#This Row],[ROA Q1]])</f>
        <v>9.3462500000000013</v>
      </c>
      <c r="R31" s="1" cm="1">
        <f t="array" ref="R31">_xlfn.QUARTILE.INC(IF(Quartile_S[[#This Row],[Industry]]=Main_S[Industry],Main_S[P/E]),1)</f>
        <v>-8.4160396716826256</v>
      </c>
      <c r="S31" s="1" cm="1">
        <f t="array" ref="S31">_xlfn.QUARTILE.INC(IF(Quartile_S[[#This Row],[Industry]]=Main_S[Industry],Main_S[P/E]),3)</f>
        <v>25.086363636363636</v>
      </c>
      <c r="T31" s="1">
        <f>Quartile_S[[#This Row],[P/E Q1]]-1.5*(Quartile_S[[#This Row],[P/E Q3]]-Quartile_S[[#This Row],[P/E Q1]])</f>
        <v>-58.669644633752014</v>
      </c>
      <c r="U31" s="1">
        <f>Quartile_S[[#This Row],[P/E Q3]]+1.5*(Quartile_S[[#This Row],[P/E Q3]]-Quartile_S[[#This Row],[P/E Q1]])</f>
        <v>75.339968598433018</v>
      </c>
      <c r="V31" s="1" cm="1">
        <f t="array" ref="V31">_xlfn.QUARTILE.INC(IF(Quartile_S[[#This Row],[Industry]]=Main_S[Industry],Main_S[A/E]),1)</f>
        <v>1.4175</v>
      </c>
      <c r="W31" s="1" cm="1">
        <f t="array" ref="W31">_xlfn.QUARTILE.INC(IF(Quartile_S[[#This Row],[Industry]]=Main_S[Industry],Main_S[A/E]),3)</f>
        <v>2.9224999999999999</v>
      </c>
      <c r="X31" s="1">
        <f>Quartile_S[[#This Row],[A/E Q1]]-1.5*(Quartile_S[[#This Row],[A/E Q3]]-Quartile_S[[#This Row],[A/E Q1]])</f>
        <v>-0.83999999999999986</v>
      </c>
      <c r="Y31" s="1">
        <f>Quartile_S[[#This Row],[A/E Q3]]+1.5*(Quartile_S[[#This Row],[A/E Q3]]-Quartile_S[[#This Row],[A/E Q1]])</f>
        <v>5.18</v>
      </c>
    </row>
    <row r="32" spans="1:25" x14ac:dyDescent="0.25">
      <c r="A32" t="s">
        <v>107</v>
      </c>
      <c r="B32" s="1" cm="1">
        <f t="array" ref="B32">_xlfn.QUARTILE.INC(IF(Quartile_S[[#This Row],[Industry]]=Main_S[Industry],Main_S[P/FCF]),1)</f>
        <v>-8.5422619047619044</v>
      </c>
      <c r="C32" s="1" cm="1">
        <f t="array" ref="C32">_xlfn.QUARTILE.INC(IF(Quartile_S[[#This Row],[Industry]]=Main_S[Industry],Main_S[P/FCF]),3)</f>
        <v>3.5726837928153721</v>
      </c>
      <c r="D32" s="1">
        <f>Quartile_S[[#This Row],[P/FCF Q1]]-1.5*(Quartile_S[[#This Row],[P/FCF Q3]]-Quartile_S[[#This Row],[P/FCF Q1]])</f>
        <v>-26.714680451127819</v>
      </c>
      <c r="E32" s="1">
        <f>Quartile_S[[#This Row],[P/FCF Q3]]+1.5*(Quartile_S[[#This Row],[P/FCF Q3]]-Quartile_S[[#This Row],[P/FCF Q1]])</f>
        <v>21.745102339181287</v>
      </c>
      <c r="F32" s="1" cm="1">
        <f t="array" ref="F32">_xlfn.QUARTILE.INC(IF(Quartile_S[[#This Row],[Industry]]=Main_S[Industry],Main_S[P/B]),1)</f>
        <v>-0.56239387227759341</v>
      </c>
      <c r="G32" s="1" cm="1">
        <f t="array" ref="G32">_xlfn.QUARTILE.INC(IF(Quartile_S[[#This Row],[Industry]]=Main_S[Industry],Main_S[P/B]),3)</f>
        <v>1.1846322934914433</v>
      </c>
      <c r="H32" s="1">
        <f>Quartile_S[[#This Row],[P/B Q1]]-1.5*(Quartile_S[[#This Row],[P/B Q3]]-Quartile_S[[#This Row],[P/B Q1]])</f>
        <v>-3.1829331209311484</v>
      </c>
      <c r="I32" s="1">
        <f>Quartile_S[[#This Row],[P/B Q3]]+1.5*(Quartile_S[[#This Row],[P/B Q3]]-Quartile_S[[#This Row],[P/B Q1]])</f>
        <v>3.8051715421449983</v>
      </c>
      <c r="J32" s="1" cm="1">
        <f t="array" ref="J32">_xlfn.QUARTILE.INC(IF(Quartile_S[[#This Row],[Industry]]=Main_S[Industry],Main_S[ROE]),1)</f>
        <v>-5.1074999999999982</v>
      </c>
      <c r="K32" s="1" cm="1">
        <f t="array" ref="K32">_xlfn.QUARTILE.INC(IF(Quartile_S[[#This Row],[Industry]]=Main_S[Industry],Main_S[ROE]),3)</f>
        <v>124.0775</v>
      </c>
      <c r="L32" s="1">
        <f>Quartile_S[[#This Row],[ROE Q1]]-1.5*(Quartile_S[[#This Row],[ROE Q3]]-Quartile_S[[#This Row],[ROE Q1]])</f>
        <v>-198.88499999999999</v>
      </c>
      <c r="M32" s="1">
        <f>Quartile_S[[#This Row],[ROE Q3]]+1.5*(Quartile_S[[#This Row],[ROE Q3]]-Quartile_S[[#This Row],[ROE Q1]])</f>
        <v>317.85500000000002</v>
      </c>
      <c r="N32" s="1" cm="1">
        <f t="array" ref="N32">_xlfn.QUARTILE.INC(IF(Quartile_S[[#This Row],[Industry]]=Main_S[Industry],Main_S[ROA]),1)</f>
        <v>-23.427499999999998</v>
      </c>
      <c r="O32" s="1" cm="1">
        <f t="array" ref="O32">_xlfn.QUARTILE.INC(IF(Quartile_S[[#This Row],[Industry]]=Main_S[Industry],Main_S[ROA]),3)</f>
        <v>-4.4649999999999999</v>
      </c>
      <c r="P32" s="1">
        <f>Quartile_S[[#This Row],[ROA Q1]]-1.5*(Quartile_S[[#This Row],[ROA Q3]]-Quartile_S[[#This Row],[ROA Q1]])</f>
        <v>-51.871249999999996</v>
      </c>
      <c r="Q32" s="1">
        <f>Quartile_S[[#This Row],[ROA Q3]]+1.5*(Quartile_S[[#This Row],[ROA Q3]]-Quartile_S[[#This Row],[ROA Q1]])</f>
        <v>23.978749999999998</v>
      </c>
      <c r="R32" s="1" cm="1">
        <f t="array" ref="R32">_xlfn.QUARTILE.INC(IF(Quartile_S[[#This Row],[Industry]]=Main_S[Industry],Main_S[P/E]),1)</f>
        <v>-54.655681818181819</v>
      </c>
      <c r="S32" s="1" cm="1">
        <f t="array" ref="S32">_xlfn.QUARTILE.INC(IF(Quartile_S[[#This Row],[Industry]]=Main_S[Industry],Main_S[P/E]),3)</f>
        <v>-0.99298801973220574</v>
      </c>
      <c r="T32" s="1">
        <f>Quartile_S[[#This Row],[P/E Q1]]-1.5*(Quartile_S[[#This Row],[P/E Q3]]-Quartile_S[[#This Row],[P/E Q1]])</f>
        <v>-135.14972251585624</v>
      </c>
      <c r="U32" s="1">
        <f>Quartile_S[[#This Row],[P/E Q3]]+1.5*(Quartile_S[[#This Row],[P/E Q3]]-Quartile_S[[#This Row],[P/E Q1]])</f>
        <v>79.501052677942212</v>
      </c>
      <c r="V32" s="1" cm="1">
        <f t="array" ref="V32">_xlfn.QUARTILE.INC(IF(Quartile_S[[#This Row],[Industry]]=Main_S[Industry],Main_S[A/E]),1)</f>
        <v>-2.3125</v>
      </c>
      <c r="W32" s="1" cm="1">
        <f t="array" ref="W32">_xlfn.QUARTILE.INC(IF(Quartile_S[[#This Row],[Industry]]=Main_S[Industry],Main_S[A/E]),3)</f>
        <v>2.0525000000000002</v>
      </c>
      <c r="X32" s="1">
        <f>Quartile_S[[#This Row],[A/E Q1]]-1.5*(Quartile_S[[#This Row],[A/E Q3]]-Quartile_S[[#This Row],[A/E Q1]])</f>
        <v>-8.86</v>
      </c>
      <c r="Y32" s="1">
        <f>Quartile_S[[#This Row],[A/E Q3]]+1.5*(Quartile_S[[#This Row],[A/E Q3]]-Quartile_S[[#This Row],[A/E Q1]])</f>
        <v>8.6000000000000014</v>
      </c>
    </row>
    <row r="33" spans="1:25" x14ac:dyDescent="0.25">
      <c r="A33" t="s">
        <v>108</v>
      </c>
      <c r="B33" s="1" cm="1">
        <f t="array" ref="B33">_xlfn.QUARTILE.INC(IF(Quartile_S[[#This Row],[Industry]]=Main_S[Industry],Main_S[P/FCF]),1)</f>
        <v>5.2928176795580111</v>
      </c>
      <c r="C33" s="1" cm="1">
        <f t="array" ref="C33">_xlfn.QUARTILE.INC(IF(Quartile_S[[#This Row],[Industry]]=Main_S[Industry],Main_S[P/FCF]),3)</f>
        <v>18.884955752212392</v>
      </c>
      <c r="D33" s="1">
        <f>Quartile_S[[#This Row],[P/FCF Q1]]-1.5*(Quartile_S[[#This Row],[P/FCF Q3]]-Quartile_S[[#This Row],[P/FCF Q1]])</f>
        <v>-15.095389429423561</v>
      </c>
      <c r="E33" s="1">
        <f>Quartile_S[[#This Row],[P/FCF Q3]]+1.5*(Quartile_S[[#This Row],[P/FCF Q3]]-Quartile_S[[#This Row],[P/FCF Q1]])</f>
        <v>39.273162861193967</v>
      </c>
      <c r="F33" s="1" cm="1">
        <f t="array" ref="F33">_xlfn.QUARTILE.INC(IF(Quartile_S[[#This Row],[Industry]]=Main_S[Industry],Main_S[P/B]),1)</f>
        <v>0.6827088346510829</v>
      </c>
      <c r="G33" s="1" cm="1">
        <f t="array" ref="G33">_xlfn.QUARTILE.INC(IF(Quartile_S[[#This Row],[Industry]]=Main_S[Industry],Main_S[P/B]),3)</f>
        <v>1.7684509326845093</v>
      </c>
      <c r="H33" s="1">
        <f>Quartile_S[[#This Row],[P/B Q1]]-1.5*(Quartile_S[[#This Row],[P/B Q3]]-Quartile_S[[#This Row],[P/B Q1]])</f>
        <v>-0.94590431239905681</v>
      </c>
      <c r="I33" s="1">
        <f>Quartile_S[[#This Row],[P/B Q3]]+1.5*(Quartile_S[[#This Row],[P/B Q3]]-Quartile_S[[#This Row],[P/B Q1]])</f>
        <v>3.397064079734649</v>
      </c>
      <c r="J33" s="1" cm="1">
        <f t="array" ref="J33">_xlfn.QUARTILE.INC(IF(Quartile_S[[#This Row],[Industry]]=Main_S[Industry],Main_S[ROE]),1)</f>
        <v>7.45</v>
      </c>
      <c r="K33" s="1" cm="1">
        <f t="array" ref="K33">_xlfn.QUARTILE.INC(IF(Quartile_S[[#This Row],[Industry]]=Main_S[Industry],Main_S[ROE]),3)</f>
        <v>12.55</v>
      </c>
      <c r="L33" s="1">
        <f>Quartile_S[[#This Row],[ROE Q1]]-1.5*(Quartile_S[[#This Row],[ROE Q3]]-Quartile_S[[#This Row],[ROE Q1]])</f>
        <v>-0.20000000000000018</v>
      </c>
      <c r="M33" s="1">
        <f>Quartile_S[[#This Row],[ROE Q3]]+1.5*(Quartile_S[[#This Row],[ROE Q3]]-Quartile_S[[#This Row],[ROE Q1]])</f>
        <v>20.200000000000003</v>
      </c>
      <c r="N33" s="1" cm="1">
        <f t="array" ref="N33">_xlfn.QUARTILE.INC(IF(Quartile_S[[#This Row],[Industry]]=Main_S[Industry],Main_S[ROA]),1)</f>
        <v>3.33</v>
      </c>
      <c r="O33" s="1" cm="1">
        <f t="array" ref="O33">_xlfn.QUARTILE.INC(IF(Quartile_S[[#This Row],[Industry]]=Main_S[Industry],Main_S[ROA]),3)</f>
        <v>6.71</v>
      </c>
      <c r="P33" s="1">
        <f>Quartile_S[[#This Row],[ROA Q1]]-1.5*(Quartile_S[[#This Row],[ROA Q3]]-Quartile_S[[#This Row],[ROA Q1]])</f>
        <v>-1.7400000000000002</v>
      </c>
      <c r="Q33" s="1">
        <f>Quartile_S[[#This Row],[ROA Q3]]+1.5*(Quartile_S[[#This Row],[ROA Q3]]-Quartile_S[[#This Row],[ROA Q1]])</f>
        <v>11.780000000000001</v>
      </c>
      <c r="R33" s="1" cm="1">
        <f t="array" ref="R33">_xlfn.QUARTILE.INC(IF(Quartile_S[[#This Row],[Industry]]=Main_S[Industry],Main_S[P/E]),1)</f>
        <v>5.8628865979381448</v>
      </c>
      <c r="S33" s="1" cm="1">
        <f t="array" ref="S33">_xlfn.QUARTILE.INC(IF(Quartile_S[[#This Row],[Industry]]=Main_S[Industry],Main_S[P/E]),3)</f>
        <v>12.213333333333333</v>
      </c>
      <c r="T33" s="1">
        <f>Quartile_S[[#This Row],[P/E Q1]]-1.5*(Quartile_S[[#This Row],[P/E Q3]]-Quartile_S[[#This Row],[P/E Q1]])</f>
        <v>-3.6627835051546374</v>
      </c>
      <c r="U33" s="1">
        <f>Quartile_S[[#This Row],[P/E Q3]]+1.5*(Quartile_S[[#This Row],[P/E Q3]]-Quartile_S[[#This Row],[P/E Q1]])</f>
        <v>21.739003436426117</v>
      </c>
      <c r="V33" s="1" cm="1">
        <f t="array" ref="V33">_xlfn.QUARTILE.INC(IF(Quartile_S[[#This Row],[Industry]]=Main_S[Industry],Main_S[A/E]),1)</f>
        <v>1.77</v>
      </c>
      <c r="W33" s="1" cm="1">
        <f t="array" ref="W33">_xlfn.QUARTILE.INC(IF(Quartile_S[[#This Row],[Industry]]=Main_S[Industry],Main_S[A/E]),3)</f>
        <v>2.46</v>
      </c>
      <c r="X33" s="1">
        <f>Quartile_S[[#This Row],[A/E Q1]]-1.5*(Quartile_S[[#This Row],[A/E Q3]]-Quartile_S[[#This Row],[A/E Q1]])</f>
        <v>0.7350000000000001</v>
      </c>
      <c r="Y33" s="1">
        <f>Quartile_S[[#This Row],[A/E Q3]]+1.5*(Quartile_S[[#This Row],[A/E Q3]]-Quartile_S[[#This Row],[A/E Q1]])</f>
        <v>3.4950000000000001</v>
      </c>
    </row>
    <row r="34" spans="1:25" x14ac:dyDescent="0.25">
      <c r="A34" t="s">
        <v>109</v>
      </c>
      <c r="B34" s="1" cm="1">
        <f t="array" ref="B34">_xlfn.QUARTILE.INC(IF(Quartile_S[[#This Row],[Industry]]=Main_S[Industry],Main_S[P/FCF]),1)</f>
        <v>7.9795321637426904</v>
      </c>
      <c r="C34" s="1" cm="1">
        <f t="array" ref="C34">_xlfn.QUARTILE.INC(IF(Quartile_S[[#This Row],[Industry]]=Main_S[Industry],Main_S[P/FCF]),3)</f>
        <v>15.943965517241381</v>
      </c>
      <c r="D34" s="1">
        <f>Quartile_S[[#This Row],[P/FCF Q1]]-1.5*(Quartile_S[[#This Row],[P/FCF Q3]]-Quartile_S[[#This Row],[P/FCF Q1]])</f>
        <v>-3.9671178665053448</v>
      </c>
      <c r="E34" s="1">
        <f>Quartile_S[[#This Row],[P/FCF Q3]]+1.5*(Quartile_S[[#This Row],[P/FCF Q3]]-Quartile_S[[#This Row],[P/FCF Q1]])</f>
        <v>27.890615547489418</v>
      </c>
      <c r="F34" s="1" cm="1">
        <f t="array" ref="F34">_xlfn.QUARTILE.INC(IF(Quartile_S[[#This Row],[Industry]]=Main_S[Industry],Main_S[P/B]),1)</f>
        <v>1.1729141475211609</v>
      </c>
      <c r="G34" s="1" cm="1">
        <f t="array" ref="G34">_xlfn.QUARTILE.INC(IF(Quartile_S[[#This Row],[Industry]]=Main_S[Industry],Main_S[P/B]),3)</f>
        <v>1.9076843733883446</v>
      </c>
      <c r="H34" s="1">
        <f>Quartile_S[[#This Row],[P/B Q1]]-1.5*(Quartile_S[[#This Row],[P/B Q3]]-Quartile_S[[#This Row],[P/B Q1]])</f>
        <v>7.0758808720385202E-2</v>
      </c>
      <c r="I34" s="1">
        <f>Quartile_S[[#This Row],[P/B Q3]]+1.5*(Quartile_S[[#This Row],[P/B Q3]]-Quartile_S[[#This Row],[P/B Q1]])</f>
        <v>3.0098397121891205</v>
      </c>
      <c r="J34" s="1" cm="1">
        <f t="array" ref="J34">_xlfn.QUARTILE.INC(IF(Quartile_S[[#This Row],[Industry]]=Main_S[Industry],Main_S[ROE]),1)</f>
        <v>-9.6999999999999993</v>
      </c>
      <c r="K34" s="1" cm="1">
        <f t="array" ref="K34">_xlfn.QUARTILE.INC(IF(Quartile_S[[#This Row],[Industry]]=Main_S[Industry],Main_S[ROE]),3)</f>
        <v>8.0500000000000007</v>
      </c>
      <c r="L34" s="1">
        <f>Quartile_S[[#This Row],[ROE Q1]]-1.5*(Quartile_S[[#This Row],[ROE Q3]]-Quartile_S[[#This Row],[ROE Q1]])</f>
        <v>-36.325000000000003</v>
      </c>
      <c r="M34" s="1">
        <f>Quartile_S[[#This Row],[ROE Q3]]+1.5*(Quartile_S[[#This Row],[ROE Q3]]-Quartile_S[[#This Row],[ROE Q1]])</f>
        <v>34.674999999999997</v>
      </c>
      <c r="N34" s="1" cm="1">
        <f t="array" ref="N34">_xlfn.QUARTILE.INC(IF(Quartile_S[[#This Row],[Industry]]=Main_S[Industry],Main_S[ROA]),1)</f>
        <v>0.3</v>
      </c>
      <c r="O34" s="1" cm="1">
        <f t="array" ref="O34">_xlfn.QUARTILE.INC(IF(Quartile_S[[#This Row],[Industry]]=Main_S[Industry],Main_S[ROA]),3)</f>
        <v>3.59</v>
      </c>
      <c r="P34" s="1">
        <f>Quartile_S[[#This Row],[ROA Q1]]-1.5*(Quartile_S[[#This Row],[ROA Q3]]-Quartile_S[[#This Row],[ROA Q1]])</f>
        <v>-4.6350000000000007</v>
      </c>
      <c r="Q34" s="1">
        <f>Quartile_S[[#This Row],[ROA Q3]]+1.5*(Quartile_S[[#This Row],[ROA Q3]]-Quartile_S[[#This Row],[ROA Q1]])</f>
        <v>8.5250000000000004</v>
      </c>
      <c r="R34" s="1" cm="1">
        <f t="array" ref="R34">_xlfn.QUARTILE.INC(IF(Quartile_S[[#This Row],[Industry]]=Main_S[Industry],Main_S[P/E]),1)</f>
        <v>-7.3506787330316747</v>
      </c>
      <c r="S34" s="1" cm="1">
        <f t="array" ref="S34">_xlfn.QUARTILE.INC(IF(Quartile_S[[#This Row],[Industry]]=Main_S[Industry],Main_S[P/E]),3)</f>
        <v>20.023255813953487</v>
      </c>
      <c r="T34" s="1">
        <f>Quartile_S[[#This Row],[P/E Q1]]-1.5*(Quartile_S[[#This Row],[P/E Q3]]-Quartile_S[[#This Row],[P/E Q1]])</f>
        <v>-48.41158055350941</v>
      </c>
      <c r="U34" s="1">
        <f>Quartile_S[[#This Row],[P/E Q3]]+1.5*(Quartile_S[[#This Row],[P/E Q3]]-Quartile_S[[#This Row],[P/E Q1]])</f>
        <v>61.084157634431222</v>
      </c>
      <c r="V34" s="1" cm="1">
        <f t="array" ref="V34">_xlfn.QUARTILE.INC(IF(Quartile_S[[#This Row],[Industry]]=Main_S[Industry],Main_S[A/E]),1)</f>
        <v>1.42</v>
      </c>
      <c r="W34" s="1" cm="1">
        <f t="array" ref="W34">_xlfn.QUARTILE.INC(IF(Quartile_S[[#This Row],[Industry]]=Main_S[Industry],Main_S[A/E]),3)</f>
        <v>2.0499999999999998</v>
      </c>
      <c r="X34" s="1">
        <f>Quartile_S[[#This Row],[A/E Q1]]-1.5*(Quartile_S[[#This Row],[A/E Q3]]-Quartile_S[[#This Row],[A/E Q1]])</f>
        <v>0.47500000000000009</v>
      </c>
      <c r="Y34" s="1">
        <f>Quartile_S[[#This Row],[A/E Q3]]+1.5*(Quartile_S[[#This Row],[A/E Q3]]-Quartile_S[[#This Row],[A/E Q1]])</f>
        <v>2.9949999999999997</v>
      </c>
    </row>
    <row r="35" spans="1:25" x14ac:dyDescent="0.25">
      <c r="A35" t="s">
        <v>110</v>
      </c>
      <c r="B35" s="1" cm="1">
        <f t="array" ref="B35">_xlfn.QUARTILE.INC(IF(Quartile_S[[#This Row],[Industry]]=Main_S[Industry],Main_S[P/FCF]),1)</f>
        <v>5.1286990291262136</v>
      </c>
      <c r="C35" s="1" cm="1">
        <f t="array" ref="C35">_xlfn.QUARTILE.INC(IF(Quartile_S[[#This Row],[Industry]]=Main_S[Industry],Main_S[P/FCF]),3)</f>
        <v>9.7443595041322322</v>
      </c>
      <c r="D35" s="1">
        <f>Quartile_S[[#This Row],[P/FCF Q1]]-1.5*(Quartile_S[[#This Row],[P/FCF Q3]]-Quartile_S[[#This Row],[P/FCF Q1]])</f>
        <v>-1.7947916833828144</v>
      </c>
      <c r="E35" s="1">
        <f>Quartile_S[[#This Row],[P/FCF Q3]]+1.5*(Quartile_S[[#This Row],[P/FCF Q3]]-Quartile_S[[#This Row],[P/FCF Q1]])</f>
        <v>16.667850216641259</v>
      </c>
      <c r="F35" s="1" cm="1">
        <f t="array" ref="F35">_xlfn.QUARTILE.INC(IF(Quartile_S[[#This Row],[Industry]]=Main_S[Industry],Main_S[P/B]),1)</f>
        <v>1.1289069991636649</v>
      </c>
      <c r="G35" s="1" cm="1">
        <f t="array" ref="G35">_xlfn.QUARTILE.INC(IF(Quartile_S[[#This Row],[Industry]]=Main_S[Industry],Main_S[P/B]),3)</f>
        <v>2.436320471210482</v>
      </c>
      <c r="H35" s="1">
        <f>Quartile_S[[#This Row],[P/B Q1]]-1.5*(Quartile_S[[#This Row],[P/B Q3]]-Quartile_S[[#This Row],[P/B Q1]])</f>
        <v>-0.83221320890656081</v>
      </c>
      <c r="I35" s="1">
        <f>Quartile_S[[#This Row],[P/B Q3]]+1.5*(Quartile_S[[#This Row],[P/B Q3]]-Quartile_S[[#This Row],[P/B Q1]])</f>
        <v>4.3974406792807077</v>
      </c>
      <c r="J35" s="1" cm="1">
        <f t="array" ref="J35">_xlfn.QUARTILE.INC(IF(Quartile_S[[#This Row],[Industry]]=Main_S[Industry],Main_S[ROE]),1)</f>
        <v>-21.254999999999999</v>
      </c>
      <c r="K35" s="1" cm="1">
        <f t="array" ref="K35">_xlfn.QUARTILE.INC(IF(Quartile_S[[#This Row],[Industry]]=Main_S[Industry],Main_S[ROE]),3)</f>
        <v>17.53</v>
      </c>
      <c r="L35" s="1">
        <f>Quartile_S[[#This Row],[ROE Q1]]-1.5*(Quartile_S[[#This Row],[ROE Q3]]-Quartile_S[[#This Row],[ROE Q1]])</f>
        <v>-79.43249999999999</v>
      </c>
      <c r="M35" s="1">
        <f>Quartile_S[[#This Row],[ROE Q3]]+1.5*(Quartile_S[[#This Row],[ROE Q3]]-Quartile_S[[#This Row],[ROE Q1]])</f>
        <v>75.707499999999996</v>
      </c>
      <c r="N35" s="1" cm="1">
        <f t="array" ref="N35">_xlfn.QUARTILE.INC(IF(Quartile_S[[#This Row],[Industry]]=Main_S[Industry],Main_S[ROA]),1)</f>
        <v>1.55</v>
      </c>
      <c r="O35" s="1" cm="1">
        <f t="array" ref="O35">_xlfn.QUARTILE.INC(IF(Quartile_S[[#This Row],[Industry]]=Main_S[Industry],Main_S[ROA]),3)</f>
        <v>6.67</v>
      </c>
      <c r="P35" s="1">
        <f>Quartile_S[[#This Row],[ROA Q1]]-1.5*(Quartile_S[[#This Row],[ROA Q3]]-Quartile_S[[#This Row],[ROA Q1]])</f>
        <v>-6.13</v>
      </c>
      <c r="Q35" s="1">
        <f>Quartile_S[[#This Row],[ROA Q3]]+1.5*(Quartile_S[[#This Row],[ROA Q3]]-Quartile_S[[#This Row],[ROA Q1]])</f>
        <v>14.35</v>
      </c>
      <c r="R35" s="1" cm="1">
        <f t="array" ref="R35">_xlfn.QUARTILE.INC(IF(Quartile_S[[#This Row],[Industry]]=Main_S[Industry],Main_S[P/E]),1)</f>
        <v>2.5212328767123289</v>
      </c>
      <c r="S35" s="1" cm="1">
        <f t="array" ref="S35">_xlfn.QUARTILE.INC(IF(Quartile_S[[#This Row],[Industry]]=Main_S[Industry],Main_S[P/E]),3)</f>
        <v>19.509803921568626</v>
      </c>
      <c r="T35" s="1">
        <f>Quartile_S[[#This Row],[P/E Q1]]-1.5*(Quartile_S[[#This Row],[P/E Q3]]-Quartile_S[[#This Row],[P/E Q1]])</f>
        <v>-22.961623690572114</v>
      </c>
      <c r="U35" s="1">
        <f>Quartile_S[[#This Row],[P/E Q3]]+1.5*(Quartile_S[[#This Row],[P/E Q3]]-Quartile_S[[#This Row],[P/E Q1]])</f>
        <v>44.992660488853069</v>
      </c>
      <c r="V35" s="1" cm="1">
        <f t="array" ref="V35">_xlfn.QUARTILE.INC(IF(Quartile_S[[#This Row],[Industry]]=Main_S[Industry],Main_S[A/E]),1)</f>
        <v>1.5</v>
      </c>
      <c r="W35" s="1" cm="1">
        <f t="array" ref="W35">_xlfn.QUARTILE.INC(IF(Quartile_S[[#This Row],[Industry]]=Main_S[Industry],Main_S[A/E]),3)</f>
        <v>4.46</v>
      </c>
      <c r="X35" s="1">
        <f>Quartile_S[[#This Row],[A/E Q1]]-1.5*(Quartile_S[[#This Row],[A/E Q3]]-Quartile_S[[#This Row],[A/E Q1]])</f>
        <v>-2.9399999999999995</v>
      </c>
      <c r="Y35" s="1">
        <f>Quartile_S[[#This Row],[A/E Q3]]+1.5*(Quartile_S[[#This Row],[A/E Q3]]-Quartile_S[[#This Row],[A/E Q1]])</f>
        <v>8.8999999999999986</v>
      </c>
    </row>
    <row r="36" spans="1:25" x14ac:dyDescent="0.25">
      <c r="A36" t="s">
        <v>111</v>
      </c>
      <c r="B36" s="1" cm="1">
        <f t="array" ref="B36">_xlfn.QUARTILE.INC(IF(Quartile_S[[#This Row],[Industry]]=Main_S[Industry],Main_S[P/FCF]),1)</f>
        <v>-6.4715909090909083</v>
      </c>
      <c r="C36" s="1" cm="1">
        <f t="array" ref="C36">_xlfn.QUARTILE.INC(IF(Quartile_S[[#This Row],[Industry]]=Main_S[Industry],Main_S[P/FCF]),3)</f>
        <v>24.132709268384545</v>
      </c>
      <c r="D36" s="1">
        <f>Quartile_S[[#This Row],[P/FCF Q1]]-1.5*(Quartile_S[[#This Row],[P/FCF Q3]]-Quartile_S[[#This Row],[P/FCF Q1]])</f>
        <v>-52.378041175304084</v>
      </c>
      <c r="E36" s="1">
        <f>Quartile_S[[#This Row],[P/FCF Q3]]+1.5*(Quartile_S[[#This Row],[P/FCF Q3]]-Quartile_S[[#This Row],[P/FCF Q1]])</f>
        <v>70.039159534597729</v>
      </c>
      <c r="F36" s="1" cm="1">
        <f t="array" ref="F36">_xlfn.QUARTILE.INC(IF(Quartile_S[[#This Row],[Industry]]=Main_S[Industry],Main_S[P/B]),1)</f>
        <v>-0.38130646600123763</v>
      </c>
      <c r="G36" s="1" cm="1">
        <f t="array" ref="G36">_xlfn.QUARTILE.INC(IF(Quartile_S[[#This Row],[Industry]]=Main_S[Industry],Main_S[P/B]),3)</f>
        <v>4.3008765107095845</v>
      </c>
      <c r="H36" s="1">
        <f>Quartile_S[[#This Row],[P/B Q1]]-1.5*(Quartile_S[[#This Row],[P/B Q3]]-Quartile_S[[#This Row],[P/B Q1]])</f>
        <v>-7.4045809310674713</v>
      </c>
      <c r="I36" s="1">
        <f>Quartile_S[[#This Row],[P/B Q3]]+1.5*(Quartile_S[[#This Row],[P/B Q3]]-Quartile_S[[#This Row],[P/B Q1]])</f>
        <v>11.324150975775819</v>
      </c>
      <c r="J36" s="1" cm="1">
        <f t="array" ref="J36">_xlfn.QUARTILE.INC(IF(Quartile_S[[#This Row],[Industry]]=Main_S[Industry],Main_S[ROE]),1)</f>
        <v>-8.4599999999999991</v>
      </c>
      <c r="K36" s="1" cm="1">
        <f t="array" ref="K36">_xlfn.QUARTILE.INC(IF(Quartile_S[[#This Row],[Industry]]=Main_S[Industry],Main_S[ROE]),3)</f>
        <v>18.565000000000001</v>
      </c>
      <c r="L36" s="1">
        <f>Quartile_S[[#This Row],[ROE Q1]]-1.5*(Quartile_S[[#This Row],[ROE Q3]]-Quartile_S[[#This Row],[ROE Q1]])</f>
        <v>-48.997499999999995</v>
      </c>
      <c r="M36" s="1">
        <f>Quartile_S[[#This Row],[ROE Q3]]+1.5*(Quartile_S[[#This Row],[ROE Q3]]-Quartile_S[[#This Row],[ROE Q1]])</f>
        <v>59.102499999999992</v>
      </c>
      <c r="N36" s="1" cm="1">
        <f t="array" ref="N36">_xlfn.QUARTILE.INC(IF(Quartile_S[[#This Row],[Industry]]=Main_S[Industry],Main_S[ROA]),1)</f>
        <v>1.8049999999999999</v>
      </c>
      <c r="O36" s="1" cm="1">
        <f t="array" ref="O36">_xlfn.QUARTILE.INC(IF(Quartile_S[[#This Row],[Industry]]=Main_S[Industry],Main_S[ROA]),3)</f>
        <v>6.4450000000000003</v>
      </c>
      <c r="P36" s="1">
        <f>Quartile_S[[#This Row],[ROA Q1]]-1.5*(Quartile_S[[#This Row],[ROA Q3]]-Quartile_S[[#This Row],[ROA Q1]])</f>
        <v>-5.1550000000000011</v>
      </c>
      <c r="Q36" s="1">
        <f>Quartile_S[[#This Row],[ROA Q3]]+1.5*(Quartile_S[[#This Row],[ROA Q3]]-Quartile_S[[#This Row],[ROA Q1]])</f>
        <v>13.405000000000001</v>
      </c>
      <c r="R36" s="1" cm="1">
        <f t="array" ref="R36">_xlfn.QUARTILE.INC(IF(Quartile_S[[#This Row],[Industry]]=Main_S[Industry],Main_S[P/E]),1)</f>
        <v>-8.1014129951045835</v>
      </c>
      <c r="S36" s="1" cm="1">
        <f t="array" ref="S36">_xlfn.QUARTILE.INC(IF(Quartile_S[[#This Row],[Industry]]=Main_S[Industry],Main_S[P/E]),3)</f>
        <v>27.240905057675242</v>
      </c>
      <c r="T36" s="1">
        <f>Quartile_S[[#This Row],[P/E Q1]]-1.5*(Quartile_S[[#This Row],[P/E Q3]]-Quartile_S[[#This Row],[P/E Q1]])</f>
        <v>-61.114890074274314</v>
      </c>
      <c r="U36" s="1">
        <f>Quartile_S[[#This Row],[P/E Q3]]+1.5*(Quartile_S[[#This Row],[P/E Q3]]-Quartile_S[[#This Row],[P/E Q1]])</f>
        <v>80.254382136844981</v>
      </c>
      <c r="V36" s="1" cm="1">
        <f t="array" ref="V36">_xlfn.QUARTILE.INC(IF(Quartile_S[[#This Row],[Industry]]=Main_S[Industry],Main_S[A/E]),1)</f>
        <v>-1.9649999999999999</v>
      </c>
      <c r="W36" s="1" cm="1">
        <f t="array" ref="W36">_xlfn.QUARTILE.INC(IF(Quartile_S[[#This Row],[Industry]]=Main_S[Industry],Main_S[A/E]),3)</f>
        <v>4.2750000000000004</v>
      </c>
      <c r="X36" s="1">
        <f>Quartile_S[[#This Row],[A/E Q1]]-1.5*(Quartile_S[[#This Row],[A/E Q3]]-Quartile_S[[#This Row],[A/E Q1]])</f>
        <v>-11.324999999999999</v>
      </c>
      <c r="Y36" s="1">
        <f>Quartile_S[[#This Row],[A/E Q3]]+1.5*(Quartile_S[[#This Row],[A/E Q3]]-Quartile_S[[#This Row],[A/E Q1]])</f>
        <v>13.635</v>
      </c>
    </row>
    <row r="37" spans="1:25" x14ac:dyDescent="0.25">
      <c r="A37" t="s">
        <v>112</v>
      </c>
      <c r="B37" s="1" cm="1">
        <f t="array" ref="B37">_xlfn.QUARTILE.INC(IF(Quartile_S[[#This Row],[Industry]]=Main_S[Industry],Main_S[P/FCF]),1)</f>
        <v>1.8523809523809547</v>
      </c>
      <c r="C37" s="1" cm="1">
        <f t="array" ref="C37">_xlfn.QUARTILE.INC(IF(Quartile_S[[#This Row],[Industry]]=Main_S[Industry],Main_S[P/FCF]),3)</f>
        <v>28.40625</v>
      </c>
      <c r="D37" s="1">
        <f>Quartile_S[[#This Row],[P/FCF Q1]]-1.5*(Quartile_S[[#This Row],[P/FCF Q3]]-Quartile_S[[#This Row],[P/FCF Q1]])</f>
        <v>-37.978422619047613</v>
      </c>
      <c r="E37" s="1">
        <f>Quartile_S[[#This Row],[P/FCF Q3]]+1.5*(Quartile_S[[#This Row],[P/FCF Q3]]-Quartile_S[[#This Row],[P/FCF Q1]])</f>
        <v>68.237053571428561</v>
      </c>
      <c r="F37" s="1" cm="1">
        <f t="array" ref="F37">_xlfn.QUARTILE.INC(IF(Quartile_S[[#This Row],[Industry]]=Main_S[Industry],Main_S[P/B]),1)</f>
        <v>1.8449637265049796</v>
      </c>
      <c r="G37" s="1" cm="1">
        <f t="array" ref="G37">_xlfn.QUARTILE.INC(IF(Quartile_S[[#This Row],[Industry]]=Main_S[Industry],Main_S[P/B]),3)</f>
        <v>3.8736874827300363</v>
      </c>
      <c r="H37" s="1">
        <f>Quartile_S[[#This Row],[P/B Q1]]-1.5*(Quartile_S[[#This Row],[P/B Q3]]-Quartile_S[[#This Row],[P/B Q1]])</f>
        <v>-1.1981219078326051</v>
      </c>
      <c r="I37" s="1">
        <f>Quartile_S[[#This Row],[P/B Q3]]+1.5*(Quartile_S[[#This Row],[P/B Q3]]-Quartile_S[[#This Row],[P/B Q1]])</f>
        <v>6.9167731170676205</v>
      </c>
      <c r="J37" s="1" cm="1">
        <f t="array" ref="J37">_xlfn.QUARTILE.INC(IF(Quartile_S[[#This Row],[Industry]]=Main_S[Industry],Main_S[ROE]),1)</f>
        <v>-17.170000000000002</v>
      </c>
      <c r="K37" s="1" cm="1">
        <f t="array" ref="K37">_xlfn.QUARTILE.INC(IF(Quartile_S[[#This Row],[Industry]]=Main_S[Industry],Main_S[ROE]),3)</f>
        <v>16.32</v>
      </c>
      <c r="L37" s="1">
        <f>Quartile_S[[#This Row],[ROE Q1]]-1.5*(Quartile_S[[#This Row],[ROE Q3]]-Quartile_S[[#This Row],[ROE Q1]])</f>
        <v>-67.405000000000001</v>
      </c>
      <c r="M37" s="1">
        <f>Quartile_S[[#This Row],[ROE Q3]]+1.5*(Quartile_S[[#This Row],[ROE Q3]]-Quartile_S[[#This Row],[ROE Q1]])</f>
        <v>66.555000000000007</v>
      </c>
      <c r="N37" s="1" cm="1">
        <f t="array" ref="N37">_xlfn.QUARTILE.INC(IF(Quartile_S[[#This Row],[Industry]]=Main_S[Industry],Main_S[ROA]),1)</f>
        <v>-4.91</v>
      </c>
      <c r="O37" s="1" cm="1">
        <f t="array" ref="O37">_xlfn.QUARTILE.INC(IF(Quartile_S[[#This Row],[Industry]]=Main_S[Industry],Main_S[ROA]),3)</f>
        <v>6.09</v>
      </c>
      <c r="P37" s="1">
        <f>Quartile_S[[#This Row],[ROA Q1]]-1.5*(Quartile_S[[#This Row],[ROA Q3]]-Quartile_S[[#This Row],[ROA Q1]])</f>
        <v>-21.41</v>
      </c>
      <c r="Q37" s="1">
        <f>Quartile_S[[#This Row],[ROA Q3]]+1.5*(Quartile_S[[#This Row],[ROA Q3]]-Quartile_S[[#This Row],[ROA Q1]])</f>
        <v>22.59</v>
      </c>
      <c r="R37" s="1" cm="1">
        <f t="array" ref="R37">_xlfn.QUARTILE.INC(IF(Quartile_S[[#This Row],[Industry]]=Main_S[Industry],Main_S[P/E]),1)</f>
        <v>-7.0625350140056025</v>
      </c>
      <c r="S37" s="1" cm="1">
        <f t="array" ref="S37">_xlfn.QUARTILE.INC(IF(Quartile_S[[#This Row],[Industry]]=Main_S[Industry],Main_S[P/E]),3)</f>
        <v>31.305228276877763</v>
      </c>
      <c r="T37" s="1">
        <f>Quartile_S[[#This Row],[P/E Q1]]-1.5*(Quartile_S[[#This Row],[P/E Q3]]-Quartile_S[[#This Row],[P/E Q1]])</f>
        <v>-64.614179950330652</v>
      </c>
      <c r="U37" s="1">
        <f>Quartile_S[[#This Row],[P/E Q3]]+1.5*(Quartile_S[[#This Row],[P/E Q3]]-Quartile_S[[#This Row],[P/E Q1]])</f>
        <v>88.856873213202817</v>
      </c>
      <c r="V37" s="1" cm="1">
        <f t="array" ref="V37">_xlfn.QUARTILE.INC(IF(Quartile_S[[#This Row],[Industry]]=Main_S[Industry],Main_S[A/E]),1)</f>
        <v>1.56</v>
      </c>
      <c r="W37" s="1" cm="1">
        <f t="array" ref="W37">_xlfn.QUARTILE.INC(IF(Quartile_S[[#This Row],[Industry]]=Main_S[Industry],Main_S[A/E]),3)</f>
        <v>3.05</v>
      </c>
      <c r="X37" s="1">
        <f>Quartile_S[[#This Row],[A/E Q1]]-1.5*(Quartile_S[[#This Row],[A/E Q3]]-Quartile_S[[#This Row],[A/E Q1]])</f>
        <v>-0.67499999999999938</v>
      </c>
      <c r="Y37" s="1">
        <f>Quartile_S[[#This Row],[A/E Q3]]+1.5*(Quartile_S[[#This Row],[A/E Q3]]-Quartile_S[[#This Row],[A/E Q1]])</f>
        <v>5.2849999999999993</v>
      </c>
    </row>
    <row r="38" spans="1:25" x14ac:dyDescent="0.25">
      <c r="A38" t="s">
        <v>113</v>
      </c>
      <c r="B38" s="1" cm="1">
        <f t="array" ref="B38">_xlfn.QUARTILE.INC(IF(Quartile_S[[#This Row],[Industry]]=Main_S[Industry],Main_S[P/FCF]),1)</f>
        <v>5.123997232781754</v>
      </c>
      <c r="C38" s="1" cm="1">
        <f t="array" ref="C38">_xlfn.QUARTILE.INC(IF(Quartile_S[[#This Row],[Industry]]=Main_S[Industry],Main_S[P/FCF]),3)</f>
        <v>7.2861240775939189</v>
      </c>
      <c r="D38" s="1">
        <f>Quartile_S[[#This Row],[P/FCF Q1]]-1.5*(Quartile_S[[#This Row],[P/FCF Q3]]-Quartile_S[[#This Row],[P/FCF Q1]])</f>
        <v>1.8808069655635067</v>
      </c>
      <c r="E38" s="1">
        <f>Quartile_S[[#This Row],[P/FCF Q3]]+1.5*(Quartile_S[[#This Row],[P/FCF Q3]]-Quartile_S[[#This Row],[P/FCF Q1]])</f>
        <v>10.529314344812166</v>
      </c>
      <c r="F38" s="1" cm="1">
        <f t="array" ref="F38">_xlfn.QUARTILE.INC(IF(Quartile_S[[#This Row],[Industry]]=Main_S[Industry],Main_S[P/B]),1)</f>
        <v>0.9490448925199193</v>
      </c>
      <c r="G38" s="1" cm="1">
        <f t="array" ref="G38">_xlfn.QUARTILE.INC(IF(Quartile_S[[#This Row],[Industry]]=Main_S[Industry],Main_S[P/B]),3)</f>
        <v>1.1491632275221919</v>
      </c>
      <c r="H38" s="1">
        <f>Quartile_S[[#This Row],[P/B Q1]]-1.5*(Quartile_S[[#This Row],[P/B Q3]]-Quartile_S[[#This Row],[P/B Q1]])</f>
        <v>0.64886739001651039</v>
      </c>
      <c r="I38" s="1">
        <f>Quartile_S[[#This Row],[P/B Q3]]+1.5*(Quartile_S[[#This Row],[P/B Q3]]-Quartile_S[[#This Row],[P/B Q1]])</f>
        <v>1.4493407300256007</v>
      </c>
      <c r="J38" s="1" cm="1">
        <f t="array" ref="J38">_xlfn.QUARTILE.INC(IF(Quartile_S[[#This Row],[Industry]]=Main_S[Industry],Main_S[ROE]),1)</f>
        <v>9.1449999999999996</v>
      </c>
      <c r="K38" s="1" cm="1">
        <f t="array" ref="K38">_xlfn.QUARTILE.INC(IF(Quartile_S[[#This Row],[Industry]]=Main_S[Industry],Main_S[ROE]),3)</f>
        <v>11.295</v>
      </c>
      <c r="L38" s="1">
        <f>Quartile_S[[#This Row],[ROE Q1]]-1.5*(Quartile_S[[#This Row],[ROE Q3]]-Quartile_S[[#This Row],[ROE Q1]])</f>
        <v>5.919999999999999</v>
      </c>
      <c r="M38" s="1">
        <f>Quartile_S[[#This Row],[ROE Q3]]+1.5*(Quartile_S[[#This Row],[ROE Q3]]-Quartile_S[[#This Row],[ROE Q1]])</f>
        <v>14.52</v>
      </c>
      <c r="N38" s="1" cm="1">
        <f t="array" ref="N38">_xlfn.QUARTILE.INC(IF(Quartile_S[[#This Row],[Industry]]=Main_S[Industry],Main_S[ROA]),1)</f>
        <v>3.3024999999999998</v>
      </c>
      <c r="O38" s="1" cm="1">
        <f t="array" ref="O38">_xlfn.QUARTILE.INC(IF(Quartile_S[[#This Row],[Industry]]=Main_S[Industry],Main_S[ROA]),3)</f>
        <v>5.8874999999999993</v>
      </c>
      <c r="P38" s="1">
        <f>Quartile_S[[#This Row],[ROA Q1]]-1.5*(Quartile_S[[#This Row],[ROA Q3]]-Quartile_S[[#This Row],[ROA Q1]])</f>
        <v>-0.57499999999999973</v>
      </c>
      <c r="Q38" s="1">
        <f>Quartile_S[[#This Row],[ROA Q3]]+1.5*(Quartile_S[[#This Row],[ROA Q3]]-Quartile_S[[#This Row],[ROA Q1]])</f>
        <v>9.7649999999999988</v>
      </c>
      <c r="R38" s="1" cm="1">
        <f t="array" ref="R38">_xlfn.QUARTILE.INC(IF(Quartile_S[[#This Row],[Industry]]=Main_S[Industry],Main_S[P/E]),1)</f>
        <v>10.253698115984694</v>
      </c>
      <c r="S38" s="1" cm="1">
        <f t="array" ref="S38">_xlfn.QUARTILE.INC(IF(Quartile_S[[#This Row],[Industry]]=Main_S[Industry],Main_S[P/E]),3)</f>
        <v>10.425651309979393</v>
      </c>
      <c r="T38" s="1">
        <f>Quartile_S[[#This Row],[P/E Q1]]-1.5*(Quartile_S[[#This Row],[P/E Q3]]-Quartile_S[[#This Row],[P/E Q1]])</f>
        <v>9.9957683249926443</v>
      </c>
      <c r="U38" s="1">
        <f>Quartile_S[[#This Row],[P/E Q3]]+1.5*(Quartile_S[[#This Row],[P/E Q3]]-Quartile_S[[#This Row],[P/E Q1]])</f>
        <v>10.683581100971443</v>
      </c>
      <c r="V38" s="1" cm="1">
        <f t="array" ref="V38">_xlfn.QUARTILE.INC(IF(Quartile_S[[#This Row],[Industry]]=Main_S[Industry],Main_S[A/E]),1)</f>
        <v>1.7524999999999999</v>
      </c>
      <c r="W38" s="1" cm="1">
        <f t="array" ref="W38">_xlfn.QUARTILE.INC(IF(Quartile_S[[#This Row],[Industry]]=Main_S[Industry],Main_S[A/E]),3)</f>
        <v>2.6174999999999997</v>
      </c>
      <c r="X38" s="1">
        <f>Quartile_S[[#This Row],[A/E Q1]]-1.5*(Quartile_S[[#This Row],[A/E Q3]]-Quartile_S[[#This Row],[A/E Q1]])</f>
        <v>0.45500000000000029</v>
      </c>
      <c r="Y38" s="1">
        <f>Quartile_S[[#This Row],[A/E Q3]]+1.5*(Quartile_S[[#This Row],[A/E Q3]]-Quartile_S[[#This Row],[A/E Q1]])</f>
        <v>3.9149999999999991</v>
      </c>
    </row>
    <row r="39" spans="1:25" x14ac:dyDescent="0.25">
      <c r="A39" t="s">
        <v>114</v>
      </c>
      <c r="B39" s="1" cm="1">
        <f t="array" ref="B39">_xlfn.QUARTILE.INC(IF(Quartile_S[[#This Row],[Industry]]=Main_S[Industry],Main_S[P/FCF]),1)</f>
        <v>4.9146341463414638</v>
      </c>
      <c r="C39" s="1" cm="1">
        <f t="array" ref="C39">_xlfn.QUARTILE.INC(IF(Quartile_S[[#This Row],[Industry]]=Main_S[Industry],Main_S[P/FCF]),3)</f>
        <v>25.931372549019606</v>
      </c>
      <c r="D39" s="1">
        <f>Quartile_S[[#This Row],[P/FCF Q1]]-1.5*(Quartile_S[[#This Row],[P/FCF Q3]]-Quartile_S[[#This Row],[P/FCF Q1]])</f>
        <v>-26.610473457675752</v>
      </c>
      <c r="E39" s="1">
        <f>Quartile_S[[#This Row],[P/FCF Q3]]+1.5*(Quartile_S[[#This Row],[P/FCF Q3]]-Quartile_S[[#This Row],[P/FCF Q1]])</f>
        <v>57.456480153036821</v>
      </c>
      <c r="F39" s="1" cm="1">
        <f t="array" ref="F39">_xlfn.QUARTILE.INC(IF(Quartile_S[[#This Row],[Industry]]=Main_S[Industry],Main_S[P/B]),1)</f>
        <v>3.7557251908396942</v>
      </c>
      <c r="G39" s="1" cm="1">
        <f t="array" ref="G39">_xlfn.QUARTILE.INC(IF(Quartile_S[[#This Row],[Industry]]=Main_S[Industry],Main_S[P/B]),3)</f>
        <v>9.5862068965517242</v>
      </c>
      <c r="H39" s="1">
        <f>Quartile_S[[#This Row],[P/B Q1]]-1.5*(Quartile_S[[#This Row],[P/B Q3]]-Quartile_S[[#This Row],[P/B Q1]])</f>
        <v>-4.9899973677283498</v>
      </c>
      <c r="I39" s="1">
        <f>Quartile_S[[#This Row],[P/B Q3]]+1.5*(Quartile_S[[#This Row],[P/B Q3]]-Quartile_S[[#This Row],[P/B Q1]])</f>
        <v>18.33192945511977</v>
      </c>
      <c r="J39" s="1" cm="1">
        <f t="array" ref="J39">_xlfn.QUARTILE.INC(IF(Quartile_S[[#This Row],[Industry]]=Main_S[Industry],Main_S[ROE]),1)</f>
        <v>-127.87</v>
      </c>
      <c r="K39" s="1" cm="1">
        <f t="array" ref="K39">_xlfn.QUARTILE.INC(IF(Quartile_S[[#This Row],[Industry]]=Main_S[Industry],Main_S[ROE]),3)</f>
        <v>2.83</v>
      </c>
      <c r="L39" s="1">
        <f>Quartile_S[[#This Row],[ROE Q1]]-1.5*(Quartile_S[[#This Row],[ROE Q3]]-Quartile_S[[#This Row],[ROE Q1]])</f>
        <v>-323.92</v>
      </c>
      <c r="M39" s="1">
        <f>Quartile_S[[#This Row],[ROE Q3]]+1.5*(Quartile_S[[#This Row],[ROE Q3]]-Quartile_S[[#This Row],[ROE Q1]])</f>
        <v>198.88000000000002</v>
      </c>
      <c r="N39" s="1" cm="1">
        <f t="array" ref="N39">_xlfn.QUARTILE.INC(IF(Quartile_S[[#This Row],[Industry]]=Main_S[Industry],Main_S[ROA]),1)</f>
        <v>0.04</v>
      </c>
      <c r="O39" s="1" cm="1">
        <f t="array" ref="O39">_xlfn.QUARTILE.INC(IF(Quartile_S[[#This Row],[Industry]]=Main_S[Industry],Main_S[ROA]),3)</f>
        <v>2.2599999999999998</v>
      </c>
      <c r="P39" s="1">
        <f>Quartile_S[[#This Row],[ROA Q1]]-1.5*(Quartile_S[[#This Row],[ROA Q3]]-Quartile_S[[#This Row],[ROA Q1]])</f>
        <v>-3.2899999999999996</v>
      </c>
      <c r="Q39" s="1">
        <f>Quartile_S[[#This Row],[ROA Q3]]+1.5*(Quartile_S[[#This Row],[ROA Q3]]-Quartile_S[[#This Row],[ROA Q1]])</f>
        <v>5.59</v>
      </c>
      <c r="R39" s="1" cm="1">
        <f t="array" ref="R39">_xlfn.QUARTILE.INC(IF(Quartile_S[[#This Row],[Industry]]=Main_S[Industry],Main_S[P/E]),1)</f>
        <v>-17.516556291390728</v>
      </c>
      <c r="S39" s="1" cm="1">
        <f t="array" ref="S39">_xlfn.QUARTILE.INC(IF(Quartile_S[[#This Row],[Industry]]=Main_S[Industry],Main_S[P/E]),3)</f>
        <v>8.2244897959183678</v>
      </c>
      <c r="T39" s="1">
        <f>Quartile_S[[#This Row],[P/E Q1]]-1.5*(Quartile_S[[#This Row],[P/E Q3]]-Quartile_S[[#This Row],[P/E Q1]])</f>
        <v>-56.128125422354373</v>
      </c>
      <c r="U39" s="1">
        <f>Quartile_S[[#This Row],[P/E Q3]]+1.5*(Quartile_S[[#This Row],[P/E Q3]]-Quartile_S[[#This Row],[P/E Q1]])</f>
        <v>46.836058926882011</v>
      </c>
      <c r="V39" s="1" cm="1">
        <f t="array" ref="V39">_xlfn.QUARTILE.INC(IF(Quartile_S[[#This Row],[Industry]]=Main_S[Industry],Main_S[A/E]),1)</f>
        <v>3.57</v>
      </c>
      <c r="W39" s="1" cm="1">
        <f t="array" ref="W39">_xlfn.QUARTILE.INC(IF(Quartile_S[[#This Row],[Industry]]=Main_S[Industry],Main_S[A/E]),3)</f>
        <v>7.87</v>
      </c>
      <c r="X39" s="1">
        <f>Quartile_S[[#This Row],[A/E Q1]]-1.5*(Quartile_S[[#This Row],[A/E Q3]]-Quartile_S[[#This Row],[A/E Q1]])</f>
        <v>-2.8800000000000012</v>
      </c>
      <c r="Y39" s="1">
        <f>Quartile_S[[#This Row],[A/E Q3]]+1.5*(Quartile_S[[#This Row],[A/E Q3]]-Quartile_S[[#This Row],[A/E Q1]])</f>
        <v>14.32</v>
      </c>
    </row>
    <row r="40" spans="1:25" x14ac:dyDescent="0.25">
      <c r="A40" t="s">
        <v>115</v>
      </c>
      <c r="B40" s="1" cm="1">
        <f t="array" ref="B40">_xlfn.QUARTILE.INC(IF(Quartile_S[[#This Row],[Industry]]=Main_S[Industry],Main_S[P/FCF]),1)</f>
        <v>-2.2260202465718075</v>
      </c>
      <c r="C40" s="1" cm="1">
        <f t="array" ref="C40">_xlfn.QUARTILE.INC(IF(Quartile_S[[#This Row],[Industry]]=Main_S[Industry],Main_S[P/FCF]),3)</f>
        <v>17.777173913043477</v>
      </c>
      <c r="D40" s="1">
        <f>Quartile_S[[#This Row],[P/FCF Q1]]-1.5*(Quartile_S[[#This Row],[P/FCF Q3]]-Quartile_S[[#This Row],[P/FCF Q1]])</f>
        <v>-32.230811485994735</v>
      </c>
      <c r="E40" s="1">
        <f>Quartile_S[[#This Row],[P/FCF Q3]]+1.5*(Quartile_S[[#This Row],[P/FCF Q3]]-Quartile_S[[#This Row],[P/FCF Q1]])</f>
        <v>47.781965152466398</v>
      </c>
      <c r="F40" s="1" cm="1">
        <f t="array" ref="F40">_xlfn.QUARTILE.INC(IF(Quartile_S[[#This Row],[Industry]]=Main_S[Industry],Main_S[P/B]),1)</f>
        <v>0.69433769769154297</v>
      </c>
      <c r="G40" s="1" cm="1">
        <f t="array" ref="G40">_xlfn.QUARTILE.INC(IF(Quartile_S[[#This Row],[Industry]]=Main_S[Industry],Main_S[P/B]),3)</f>
        <v>2.655764760576476</v>
      </c>
      <c r="H40" s="1">
        <f>Quartile_S[[#This Row],[P/B Q1]]-1.5*(Quartile_S[[#This Row],[P/B Q3]]-Quartile_S[[#This Row],[P/B Q1]])</f>
        <v>-2.2478028966358563</v>
      </c>
      <c r="I40" s="1">
        <f>Quartile_S[[#This Row],[P/B Q3]]+1.5*(Quartile_S[[#This Row],[P/B Q3]]-Quartile_S[[#This Row],[P/B Q1]])</f>
        <v>5.597905354903876</v>
      </c>
      <c r="J40" s="1" cm="1">
        <f t="array" ref="J40">_xlfn.QUARTILE.INC(IF(Quartile_S[[#This Row],[Industry]]=Main_S[Industry],Main_S[ROE]),1)</f>
        <v>-7.2249999999999996</v>
      </c>
      <c r="K40" s="1" cm="1">
        <f t="array" ref="K40">_xlfn.QUARTILE.INC(IF(Quartile_S[[#This Row],[Industry]]=Main_S[Industry],Main_S[ROE]),3)</f>
        <v>18.990000000000002</v>
      </c>
      <c r="L40" s="1">
        <f>Quartile_S[[#This Row],[ROE Q1]]-1.5*(Quartile_S[[#This Row],[ROE Q3]]-Quartile_S[[#This Row],[ROE Q1]])</f>
        <v>-46.547500000000007</v>
      </c>
      <c r="M40" s="1">
        <f>Quartile_S[[#This Row],[ROE Q3]]+1.5*(Quartile_S[[#This Row],[ROE Q3]]-Quartile_S[[#This Row],[ROE Q1]])</f>
        <v>58.312500000000007</v>
      </c>
      <c r="N40" s="1" cm="1">
        <f t="array" ref="N40">_xlfn.QUARTILE.INC(IF(Quartile_S[[#This Row],[Industry]]=Main_S[Industry],Main_S[ROA]),1)</f>
        <v>0.26500000000000001</v>
      </c>
      <c r="O40" s="1" cm="1">
        <f t="array" ref="O40">_xlfn.QUARTILE.INC(IF(Quartile_S[[#This Row],[Industry]]=Main_S[Industry],Main_S[ROA]),3)</f>
        <v>5.9250000000000007</v>
      </c>
      <c r="P40" s="1">
        <f>Quartile_S[[#This Row],[ROA Q1]]-1.5*(Quartile_S[[#This Row],[ROA Q3]]-Quartile_S[[#This Row],[ROA Q1]])</f>
        <v>-8.2250000000000014</v>
      </c>
      <c r="Q40" s="1">
        <f>Quartile_S[[#This Row],[ROA Q3]]+1.5*(Quartile_S[[#This Row],[ROA Q3]]-Quartile_S[[#This Row],[ROA Q1]])</f>
        <v>14.415000000000003</v>
      </c>
      <c r="R40" s="1" cm="1">
        <f t="array" ref="R40">_xlfn.QUARTILE.INC(IF(Quartile_S[[#This Row],[Industry]]=Main_S[Industry],Main_S[P/E]),1)</f>
        <v>-4.435483870967742</v>
      </c>
      <c r="S40" s="1" cm="1">
        <f t="array" ref="S40">_xlfn.QUARTILE.INC(IF(Quartile_S[[#This Row],[Industry]]=Main_S[Industry],Main_S[P/E]),3)</f>
        <v>17.795918367346939</v>
      </c>
      <c r="T40" s="1">
        <f>Quartile_S[[#This Row],[P/E Q1]]-1.5*(Quartile_S[[#This Row],[P/E Q3]]-Quartile_S[[#This Row],[P/E Q1]])</f>
        <v>-37.782587228439766</v>
      </c>
      <c r="U40" s="1">
        <f>Quartile_S[[#This Row],[P/E Q3]]+1.5*(Quartile_S[[#This Row],[P/E Q3]]-Quartile_S[[#This Row],[P/E Q1]])</f>
        <v>51.143021724818965</v>
      </c>
      <c r="V40" s="1" cm="1">
        <f t="array" ref="V40">_xlfn.QUARTILE.INC(IF(Quartile_S[[#This Row],[Industry]]=Main_S[Industry],Main_S[A/E]),1)</f>
        <v>1.73</v>
      </c>
      <c r="W40" s="1" cm="1">
        <f t="array" ref="W40">_xlfn.QUARTILE.INC(IF(Quartile_S[[#This Row],[Industry]]=Main_S[Industry],Main_S[A/E]),3)</f>
        <v>3.9849999999999999</v>
      </c>
      <c r="X40" s="1">
        <f>Quartile_S[[#This Row],[A/E Q1]]-1.5*(Quartile_S[[#This Row],[A/E Q3]]-Quartile_S[[#This Row],[A/E Q1]])</f>
        <v>-1.6524999999999999</v>
      </c>
      <c r="Y40" s="1">
        <f>Quartile_S[[#This Row],[A/E Q3]]+1.5*(Quartile_S[[#This Row],[A/E Q3]]-Quartile_S[[#This Row],[A/E Q1]])</f>
        <v>7.3674999999999997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3"/>
  <sheetViews>
    <sheetView workbookViewId="0">
      <selection activeCell="I29" sqref="I29"/>
    </sheetView>
  </sheetViews>
  <sheetFormatPr defaultRowHeight="15" x14ac:dyDescent="0.25"/>
  <cols>
    <col min="1" max="1" width="30" bestFit="1" customWidth="1"/>
    <col min="2" max="2" width="14.85546875" bestFit="1" customWidth="1"/>
    <col min="3" max="3" width="15.42578125" bestFit="1" customWidth="1"/>
    <col min="5" max="5" width="30" bestFit="1" customWidth="1"/>
    <col min="6" max="6" width="14" bestFit="1" customWidth="1"/>
    <col min="7" max="7" width="14.5703125" bestFit="1" customWidth="1"/>
    <col min="9" max="9" width="30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22.206315144083387</v>
      </c>
      <c r="C5" s="1">
        <v>12.365113427345191</v>
      </c>
      <c r="E5" s="6" t="s">
        <v>106</v>
      </c>
      <c r="F5" s="1">
        <v>1.4297707009971163</v>
      </c>
      <c r="G5" s="1">
        <v>0.2882612670348515</v>
      </c>
      <c r="I5" s="6" t="s">
        <v>106</v>
      </c>
      <c r="J5" s="1">
        <v>-3.4699999999999998</v>
      </c>
      <c r="K5" s="1">
        <v>18.71</v>
      </c>
    </row>
    <row r="6" spans="1:11" x14ac:dyDescent="0.25">
      <c r="A6" s="6" t="s">
        <v>107</v>
      </c>
      <c r="B6" s="1">
        <v>-12.108109543936477</v>
      </c>
      <c r="C6" s="1">
        <v>30.462775434075851</v>
      </c>
      <c r="E6" s="6" t="s">
        <v>107</v>
      </c>
      <c r="F6" s="1">
        <v>1.9730027029823591</v>
      </c>
      <c r="G6" s="1">
        <v>1.3767517544155596</v>
      </c>
      <c r="I6" s="6" t="s">
        <v>107</v>
      </c>
      <c r="J6" s="1">
        <v>10.141428571428571</v>
      </c>
      <c r="K6" s="1">
        <v>2.4973553358441807</v>
      </c>
    </row>
    <row r="7" spans="1:11" x14ac:dyDescent="0.25">
      <c r="A7" s="6" t="s">
        <v>114</v>
      </c>
      <c r="B7" s="1">
        <v>19.921691981545155</v>
      </c>
      <c r="C7" s="1">
        <v>12.745154948792374</v>
      </c>
      <c r="E7" s="6" t="s">
        <v>114</v>
      </c>
      <c r="F7" s="1">
        <v>5.5331329308348414</v>
      </c>
      <c r="G7" s="1">
        <v>3.4237435366244724</v>
      </c>
      <c r="I7" s="6" t="s">
        <v>114</v>
      </c>
      <c r="J7" s="1">
        <v>26.378571428571433</v>
      </c>
      <c r="K7" s="1">
        <v>17.278081431663164</v>
      </c>
    </row>
    <row r="8" spans="1:11" x14ac:dyDescent="0.25">
      <c r="A8" s="6" t="s">
        <v>113</v>
      </c>
      <c r="B8" s="1">
        <v>32.136810833095581</v>
      </c>
      <c r="C8" s="1">
        <v>14.519036353123914</v>
      </c>
      <c r="E8" s="6" t="s">
        <v>113</v>
      </c>
      <c r="F8" s="1">
        <v>5.0277304159753733</v>
      </c>
      <c r="G8" s="1">
        <v>3.2969235574114064</v>
      </c>
      <c r="I8" s="6" t="s">
        <v>113</v>
      </c>
      <c r="J8" s="1">
        <v>20.723333333333333</v>
      </c>
      <c r="K8" s="1">
        <v>8.3474919719770959</v>
      </c>
    </row>
    <row r="9" spans="1:11" x14ac:dyDescent="0.25">
      <c r="A9" s="6" t="s">
        <v>112</v>
      </c>
      <c r="B9" s="1">
        <v>38.315339054657109</v>
      </c>
      <c r="C9" s="1">
        <v>30.280857124990828</v>
      </c>
      <c r="E9" s="6" t="s">
        <v>112</v>
      </c>
      <c r="F9" s="1">
        <v>11.891612139257356</v>
      </c>
      <c r="G9" s="1">
        <v>10.843137978169064</v>
      </c>
      <c r="I9" s="6" t="s">
        <v>112</v>
      </c>
      <c r="J9" s="1">
        <v>18.533333333333335</v>
      </c>
      <c r="K9" s="1">
        <v>10.0442531938528</v>
      </c>
    </row>
    <row r="10" spans="1:11" x14ac:dyDescent="0.25">
      <c r="A10" s="6" t="s">
        <v>111</v>
      </c>
      <c r="B10" s="1">
        <v>28.179854325029137</v>
      </c>
      <c r="C10" s="1">
        <v>12.247797046057258</v>
      </c>
      <c r="E10" s="6" t="s">
        <v>111</v>
      </c>
      <c r="F10" s="1">
        <v>4.8279164075955112</v>
      </c>
      <c r="G10" s="1">
        <v>9.8759794503467795</v>
      </c>
      <c r="I10" s="6" t="s">
        <v>111</v>
      </c>
      <c r="J10" s="1">
        <v>13.982400000000002</v>
      </c>
      <c r="K10" s="1">
        <v>27.458845464440049</v>
      </c>
    </row>
    <row r="11" spans="1:11" x14ac:dyDescent="0.25">
      <c r="A11" s="6" t="s">
        <v>108</v>
      </c>
      <c r="B11" s="1">
        <v>16.653509528293615</v>
      </c>
      <c r="C11" s="1">
        <v>2.0181420302818558</v>
      </c>
      <c r="E11" s="6" t="s">
        <v>108</v>
      </c>
      <c r="F11" s="1">
        <v>2.731979797248044</v>
      </c>
      <c r="G11" s="1">
        <v>1.5936275167175153</v>
      </c>
      <c r="I11" s="6" t="s">
        <v>108</v>
      </c>
      <c r="J11" s="1">
        <v>21.474285714285713</v>
      </c>
      <c r="K11" s="1">
        <v>7.6539230970470422</v>
      </c>
    </row>
    <row r="12" spans="1:11" x14ac:dyDescent="0.25">
      <c r="A12" s="6" t="s">
        <v>115</v>
      </c>
      <c r="B12" s="1">
        <v>28.217078413395022</v>
      </c>
      <c r="C12" s="1">
        <v>10.105606899806789</v>
      </c>
      <c r="E12" s="6" t="s">
        <v>115</v>
      </c>
      <c r="F12" s="1">
        <v>6.6821517170004023</v>
      </c>
      <c r="G12" s="1">
        <v>6.3358707472559832</v>
      </c>
      <c r="I12" s="6" t="s">
        <v>115</v>
      </c>
      <c r="J12" s="1">
        <v>33.751874999999998</v>
      </c>
      <c r="K12" s="1">
        <v>40.232176833156501</v>
      </c>
    </row>
    <row r="13" spans="1:11" x14ac:dyDescent="0.25">
      <c r="A13" s="6" t="s">
        <v>110</v>
      </c>
      <c r="B13" s="1">
        <v>22.915722523665817</v>
      </c>
      <c r="C13" s="1">
        <v>7.1683072174838811</v>
      </c>
      <c r="E13" s="6" t="s">
        <v>110</v>
      </c>
      <c r="F13" s="1">
        <v>8.2609597641565564</v>
      </c>
      <c r="G13" s="1">
        <v>3.0778732719770119</v>
      </c>
      <c r="I13" s="6" t="s">
        <v>110</v>
      </c>
      <c r="J13" s="1">
        <v>29.202857142857141</v>
      </c>
      <c r="K13" s="1">
        <v>12.959640332625762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1.9550000000000001</v>
      </c>
      <c r="C25" s="1">
        <v>3.7750000000000004</v>
      </c>
      <c r="E25" s="6" t="s">
        <v>106</v>
      </c>
      <c r="F25" s="1">
        <v>1.81</v>
      </c>
      <c r="G25" s="1">
        <v>0.77000000000000013</v>
      </c>
      <c r="I25" s="6" t="s">
        <v>106</v>
      </c>
      <c r="J25" s="1">
        <v>3.1086335257139184</v>
      </c>
      <c r="K25" s="1">
        <v>7.7244373404278157</v>
      </c>
    </row>
    <row r="26" spans="1:11" x14ac:dyDescent="0.25">
      <c r="A26" s="6" t="s">
        <v>107</v>
      </c>
      <c r="B26" s="1">
        <v>2.6642857142857141</v>
      </c>
      <c r="C26" s="1">
        <v>0.86679800156103526</v>
      </c>
      <c r="E26" s="6" t="s">
        <v>107</v>
      </c>
      <c r="F26" s="1">
        <v>2.4766666666666666</v>
      </c>
      <c r="G26" s="1">
        <v>0.13792107243718377</v>
      </c>
      <c r="I26" s="6" t="s">
        <v>107</v>
      </c>
      <c r="J26" s="1">
        <v>10.633914600601198</v>
      </c>
      <c r="K26" s="1">
        <v>9.3809174503571953</v>
      </c>
    </row>
    <row r="27" spans="1:11" x14ac:dyDescent="0.25">
      <c r="A27" s="6" t="s">
        <v>114</v>
      </c>
      <c r="B27" s="1">
        <v>5.5516666666666667</v>
      </c>
      <c r="C27" s="1">
        <v>1.9815264878931658</v>
      </c>
      <c r="E27" s="6" t="s">
        <v>114</v>
      </c>
      <c r="F27" s="1">
        <v>3.12</v>
      </c>
      <c r="G27" s="1">
        <v>1.3622879913691421</v>
      </c>
      <c r="I27" s="6" t="s">
        <v>114</v>
      </c>
      <c r="J27" s="1">
        <v>26.474150086151244</v>
      </c>
      <c r="K27" s="1">
        <v>19.674842368058609</v>
      </c>
    </row>
    <row r="28" spans="1:11" x14ac:dyDescent="0.25">
      <c r="A28" s="6" t="s">
        <v>113</v>
      </c>
      <c r="B28" s="1">
        <v>6.66</v>
      </c>
      <c r="C28" s="1">
        <v>2.2312328430712927</v>
      </c>
      <c r="E28" s="6" t="s">
        <v>113</v>
      </c>
      <c r="F28" s="1">
        <v>3.3200000000000003</v>
      </c>
      <c r="G28" s="1">
        <v>0.82369088052901662</v>
      </c>
      <c r="I28" s="6" t="s">
        <v>113</v>
      </c>
      <c r="J28" s="1">
        <v>21.64460383044036</v>
      </c>
      <c r="K28" s="1">
        <v>5.6990438900324651</v>
      </c>
    </row>
    <row r="29" spans="1:11" x14ac:dyDescent="0.25">
      <c r="A29" s="6" t="s">
        <v>112</v>
      </c>
      <c r="B29" s="1">
        <v>4.0866666666666669</v>
      </c>
      <c r="C29" s="1">
        <v>0.78146585906800015</v>
      </c>
      <c r="E29" s="6" t="s">
        <v>112</v>
      </c>
      <c r="F29" s="1">
        <v>4.59</v>
      </c>
      <c r="G29" s="1">
        <v>4.1723214960818478</v>
      </c>
      <c r="I29" s="6" t="s">
        <v>112</v>
      </c>
      <c r="J29" s="1">
        <v>100.43395307478424</v>
      </c>
      <c r="K29" s="1">
        <v>113.19855460904245</v>
      </c>
    </row>
    <row r="30" spans="1:11" x14ac:dyDescent="0.25">
      <c r="A30" s="6" t="s">
        <v>111</v>
      </c>
      <c r="B30" s="1">
        <v>6.984799999999999</v>
      </c>
      <c r="C30" s="1">
        <v>4.199399118921658</v>
      </c>
      <c r="E30" s="6" t="s">
        <v>111</v>
      </c>
      <c r="F30" s="1">
        <v>2.5641666666666669</v>
      </c>
      <c r="G30" s="1">
        <v>3.1684564021337307</v>
      </c>
      <c r="I30" s="6" t="s">
        <v>111</v>
      </c>
      <c r="J30" s="1">
        <v>26.085232705634777</v>
      </c>
      <c r="K30" s="1">
        <v>7.4095217161546199</v>
      </c>
    </row>
    <row r="31" spans="1:11" x14ac:dyDescent="0.25">
      <c r="A31" s="6" t="s">
        <v>108</v>
      </c>
      <c r="B31" s="1">
        <v>8.9457142857142866</v>
      </c>
      <c r="C31" s="1">
        <v>3.2593200743312636</v>
      </c>
      <c r="E31" s="6" t="s">
        <v>108</v>
      </c>
      <c r="F31" s="1">
        <v>1.4900000000000002</v>
      </c>
      <c r="G31" s="1">
        <v>0.16703293088489862</v>
      </c>
      <c r="I31" s="6" t="s">
        <v>108</v>
      </c>
      <c r="J31" s="1">
        <v>15.60003652432642</v>
      </c>
      <c r="K31" s="1">
        <v>8.4093993704523609</v>
      </c>
    </row>
    <row r="32" spans="1:11" x14ac:dyDescent="0.25">
      <c r="A32" s="6" t="s">
        <v>115</v>
      </c>
      <c r="B32" s="1">
        <v>9.6966666666666637</v>
      </c>
      <c r="C32" s="1">
        <v>5.1675096086563421</v>
      </c>
      <c r="E32" s="6" t="s">
        <v>115</v>
      </c>
      <c r="F32" s="1">
        <v>3.9846153846153851</v>
      </c>
      <c r="G32" s="1">
        <v>1.5956026851926763</v>
      </c>
      <c r="I32" s="6" t="s">
        <v>115</v>
      </c>
      <c r="J32" s="1">
        <v>23.611344007334893</v>
      </c>
      <c r="K32" s="1">
        <v>7.9261458543275314</v>
      </c>
    </row>
    <row r="33" spans="1:11" x14ac:dyDescent="0.25">
      <c r="A33" s="6" t="s">
        <v>110</v>
      </c>
      <c r="B33" s="1">
        <v>10.777142857142858</v>
      </c>
      <c r="C33" s="1">
        <v>6.3757256489767808</v>
      </c>
      <c r="E33" s="6" t="s">
        <v>110</v>
      </c>
      <c r="F33" s="1">
        <v>2.0233333333333334</v>
      </c>
      <c r="G33" s="1">
        <v>0.51664516084274115</v>
      </c>
      <c r="I33" s="6" t="s">
        <v>110</v>
      </c>
      <c r="J33" s="1">
        <v>30.471292145579628</v>
      </c>
      <c r="K33" s="1">
        <v>18.122300362643401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3"/>
  <sheetViews>
    <sheetView workbookViewId="0">
      <selection activeCell="G13" sqref="G13"/>
    </sheetView>
  </sheetViews>
  <sheetFormatPr defaultRowHeight="15" x14ac:dyDescent="0.25"/>
  <cols>
    <col min="1" max="1" width="30" bestFit="1" customWidth="1"/>
    <col min="2" max="2" width="16.28515625" bestFit="1" customWidth="1"/>
    <col min="3" max="3" width="16.85546875" bestFit="1" customWidth="1"/>
    <col min="5" max="5" width="30" bestFit="1" customWidth="1"/>
    <col min="6" max="6" width="14" bestFit="1" customWidth="1"/>
    <col min="7" max="7" width="14.5703125" bestFit="1" customWidth="1"/>
    <col min="9" max="9" width="30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8.0452070192272238</v>
      </c>
      <c r="C5" s="1">
        <v>9.2788770882987119</v>
      </c>
      <c r="E5" s="6" t="s">
        <v>106</v>
      </c>
      <c r="F5" s="1">
        <v>2.12011774246132</v>
      </c>
      <c r="G5" s="1">
        <v>0.99839952556539568</v>
      </c>
      <c r="I5" s="6" t="s">
        <v>106</v>
      </c>
      <c r="J5" s="1">
        <v>8.430714285714286</v>
      </c>
      <c r="K5" s="1">
        <v>15.735051620182118</v>
      </c>
    </row>
    <row r="6" spans="1:11" x14ac:dyDescent="0.25">
      <c r="A6" s="6" t="s">
        <v>107</v>
      </c>
      <c r="B6" s="1">
        <v>-8.2860434349515764E-3</v>
      </c>
      <c r="C6" s="1">
        <v>4.4729103903768559</v>
      </c>
      <c r="E6" s="6" t="s">
        <v>107</v>
      </c>
      <c r="F6" s="1">
        <v>-0.4862668880437328</v>
      </c>
      <c r="G6" s="1">
        <v>2.1889130643440842</v>
      </c>
      <c r="I6" s="6" t="s">
        <v>107</v>
      </c>
      <c r="J6" s="1">
        <v>19.605714285714289</v>
      </c>
      <c r="K6" s="1">
        <v>74.72570276057111</v>
      </c>
    </row>
    <row r="7" spans="1:11" x14ac:dyDescent="0.25">
      <c r="A7" s="6" t="s">
        <v>114</v>
      </c>
      <c r="B7" s="1">
        <v>21.197499979187157</v>
      </c>
      <c r="C7" s="1">
        <v>19.760287789462787</v>
      </c>
      <c r="E7" s="6" t="s">
        <v>114</v>
      </c>
      <c r="F7" s="1">
        <v>2.8944941417200321</v>
      </c>
      <c r="G7" s="1">
        <v>2.8938235355116273</v>
      </c>
      <c r="I7" s="6" t="s">
        <v>114</v>
      </c>
      <c r="J7" s="1">
        <v>81.535555555555561</v>
      </c>
      <c r="K7" s="1">
        <v>195.19339271098465</v>
      </c>
    </row>
    <row r="8" spans="1:11" x14ac:dyDescent="0.25">
      <c r="A8" s="6" t="s">
        <v>112</v>
      </c>
      <c r="B8" s="1">
        <v>17.895001027958926</v>
      </c>
      <c r="C8" s="1">
        <v>6.5358969459494833</v>
      </c>
      <c r="E8" s="6" t="s">
        <v>112</v>
      </c>
      <c r="F8" s="1">
        <v>3.1355300379980067</v>
      </c>
      <c r="G8" s="1">
        <v>1.8015095704082575</v>
      </c>
      <c r="I8" s="6" t="s">
        <v>112</v>
      </c>
      <c r="J8" s="1">
        <v>18.270769230769233</v>
      </c>
      <c r="K8" s="1">
        <v>40.101441650958222</v>
      </c>
    </row>
    <row r="9" spans="1:11" x14ac:dyDescent="0.25">
      <c r="A9" s="6" t="s">
        <v>111</v>
      </c>
      <c r="B9" s="1">
        <v>18.478990910413327</v>
      </c>
      <c r="C9" s="1">
        <v>15.909986421921475</v>
      </c>
      <c r="E9" s="6" t="s">
        <v>111</v>
      </c>
      <c r="F9" s="1">
        <v>4.8961009128973307</v>
      </c>
      <c r="G9" s="1">
        <v>6.1998234599349864</v>
      </c>
      <c r="I9" s="6" t="s">
        <v>111</v>
      </c>
      <c r="J9" s="1">
        <v>-178.53935483870973</v>
      </c>
      <c r="K9" s="1">
        <v>1100.807678989461</v>
      </c>
    </row>
    <row r="10" spans="1:11" x14ac:dyDescent="0.25">
      <c r="A10" s="6" t="s">
        <v>108</v>
      </c>
      <c r="B10" s="1">
        <v>14.926548435623753</v>
      </c>
      <c r="C10" s="1">
        <v>14.63389491278202</v>
      </c>
      <c r="E10" s="6" t="s">
        <v>108</v>
      </c>
      <c r="F10" s="1">
        <v>1.8215963172005845</v>
      </c>
      <c r="G10" s="1">
        <v>1.1831124283547525</v>
      </c>
      <c r="I10" s="6" t="s">
        <v>108</v>
      </c>
      <c r="J10" s="1">
        <v>15.082307692307694</v>
      </c>
      <c r="K10" s="1">
        <v>11.279313368249483</v>
      </c>
    </row>
    <row r="11" spans="1:11" x14ac:dyDescent="0.25">
      <c r="A11" s="6" t="s">
        <v>109</v>
      </c>
      <c r="B11" s="1">
        <v>13.475521760941087</v>
      </c>
      <c r="C11" s="1">
        <v>2.9281367610836284</v>
      </c>
      <c r="E11" s="6" t="s">
        <v>109</v>
      </c>
      <c r="F11" s="1">
        <v>4.3255047781075575</v>
      </c>
      <c r="G11" s="1">
        <v>2.0596618588783735</v>
      </c>
      <c r="I11" s="6" t="s">
        <v>109</v>
      </c>
      <c r="J11" s="1">
        <v>21.52333333333333</v>
      </c>
      <c r="K11" s="1">
        <v>10.763352431076283</v>
      </c>
    </row>
    <row r="12" spans="1:11" x14ac:dyDescent="0.25">
      <c r="A12" s="6" t="s">
        <v>115</v>
      </c>
      <c r="B12" s="1">
        <v>28.320587656466429</v>
      </c>
      <c r="C12" s="1">
        <v>32.979702103785208</v>
      </c>
      <c r="E12" s="6" t="s">
        <v>115</v>
      </c>
      <c r="F12" s="1">
        <v>2.4454430863017205</v>
      </c>
      <c r="G12" s="1">
        <v>0.87612877431827374</v>
      </c>
      <c r="I12" s="6" t="s">
        <v>115</v>
      </c>
      <c r="J12" s="1">
        <v>13.481538461538465</v>
      </c>
      <c r="K12" s="1">
        <v>14.761725897715682</v>
      </c>
    </row>
    <row r="13" spans="1:11" x14ac:dyDescent="0.25">
      <c r="A13" s="6" t="s">
        <v>110</v>
      </c>
      <c r="B13" s="1">
        <v>14.799299520228011</v>
      </c>
      <c r="C13" s="1">
        <v>5.6491494113074108</v>
      </c>
      <c r="E13" s="6" t="s">
        <v>110</v>
      </c>
      <c r="F13" s="1">
        <v>2.6769417438891199</v>
      </c>
      <c r="G13" s="1">
        <v>1.2382038832462825</v>
      </c>
      <c r="I13" s="6" t="s">
        <v>110</v>
      </c>
      <c r="J13" s="1">
        <v>16.6675</v>
      </c>
      <c r="K13" s="1">
        <v>21.863440612508057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5.4838461538461534</v>
      </c>
      <c r="C25" s="1">
        <v>3.4168238478301158</v>
      </c>
      <c r="E25" s="6" t="s">
        <v>106</v>
      </c>
      <c r="F25" s="1">
        <v>2.3042857142857147</v>
      </c>
      <c r="G25" s="1">
        <v>0.92912181490845047</v>
      </c>
      <c r="I25" s="6" t="s">
        <v>106</v>
      </c>
      <c r="J25" s="1">
        <v>12.891542387129773</v>
      </c>
      <c r="K25" s="1">
        <v>9.9409015890054899</v>
      </c>
    </row>
    <row r="26" spans="1:11" x14ac:dyDescent="0.25">
      <c r="A26" s="6" t="s">
        <v>107</v>
      </c>
      <c r="B26" s="1">
        <v>-12.377142857142857</v>
      </c>
      <c r="C26" s="1">
        <v>10.089983313430507</v>
      </c>
      <c r="E26" s="6" t="s">
        <v>107</v>
      </c>
      <c r="F26" s="1">
        <v>0.36166666666666664</v>
      </c>
      <c r="G26" s="1">
        <v>2.4813398038604508</v>
      </c>
      <c r="I26" s="6" t="s">
        <v>107</v>
      </c>
      <c r="J26" s="1">
        <v>-1.2958870874180579</v>
      </c>
      <c r="K26" s="1">
        <v>5.0805502101735254</v>
      </c>
    </row>
    <row r="27" spans="1:11" x14ac:dyDescent="0.25">
      <c r="A27" s="6" t="s">
        <v>114</v>
      </c>
      <c r="B27" s="1">
        <v>6.1728571428571426</v>
      </c>
      <c r="C27" s="1">
        <v>5.1998233878956048</v>
      </c>
      <c r="E27" s="6" t="s">
        <v>114</v>
      </c>
      <c r="F27" s="1">
        <v>1.704</v>
      </c>
      <c r="G27" s="1">
        <v>0.212377023239334</v>
      </c>
      <c r="I27" s="6" t="s">
        <v>114</v>
      </c>
      <c r="J27" s="1">
        <v>12.011065469836751</v>
      </c>
      <c r="K27" s="1">
        <v>9.4134067604379474</v>
      </c>
    </row>
    <row r="28" spans="1:11" x14ac:dyDescent="0.25">
      <c r="A28" s="6" t="s">
        <v>112</v>
      </c>
      <c r="B28" s="1">
        <v>7.1945454545454544</v>
      </c>
      <c r="C28" s="1">
        <v>4.6311580402085655</v>
      </c>
      <c r="E28" s="6" t="s">
        <v>112</v>
      </c>
      <c r="F28" s="1">
        <v>2.1427272727272726</v>
      </c>
      <c r="G28" s="1">
        <v>0.89459072317092103</v>
      </c>
      <c r="I28" s="6" t="s">
        <v>112</v>
      </c>
      <c r="J28" s="1">
        <v>19.231824761868602</v>
      </c>
      <c r="K28" s="1">
        <v>6.9595561780203292</v>
      </c>
    </row>
    <row r="29" spans="1:11" x14ac:dyDescent="0.25">
      <c r="A29" s="6" t="s">
        <v>111</v>
      </c>
      <c r="B29" s="1">
        <v>5.3859999999999992</v>
      </c>
      <c r="C29" s="1">
        <v>4.9029505402359499</v>
      </c>
      <c r="E29" s="6" t="s">
        <v>111</v>
      </c>
      <c r="F29" s="1">
        <v>4.8955555555555543</v>
      </c>
      <c r="G29" s="1">
        <v>4.7676574986770373</v>
      </c>
      <c r="I29" s="6" t="s">
        <v>111</v>
      </c>
      <c r="J29" s="1">
        <v>17.627561808605833</v>
      </c>
      <c r="K29" s="1">
        <v>21.36036031764586</v>
      </c>
    </row>
    <row r="30" spans="1:11" x14ac:dyDescent="0.25">
      <c r="A30" s="6" t="s">
        <v>108</v>
      </c>
      <c r="B30" s="1">
        <v>8.4092307692307706</v>
      </c>
      <c r="C30" s="1">
        <v>2.9649450936373216</v>
      </c>
      <c r="E30" s="6" t="s">
        <v>108</v>
      </c>
      <c r="F30" s="1">
        <v>1.7649999999999997</v>
      </c>
      <c r="G30" s="1">
        <v>0.5037939393574864</v>
      </c>
      <c r="I30" s="6" t="s">
        <v>108</v>
      </c>
      <c r="J30" s="1">
        <v>13.078853399409986</v>
      </c>
      <c r="K30" s="1">
        <v>8.4602575181869426</v>
      </c>
    </row>
    <row r="31" spans="1:11" x14ac:dyDescent="0.25">
      <c r="A31" s="6" t="s">
        <v>109</v>
      </c>
      <c r="B31" s="1">
        <v>7.6466666666666656</v>
      </c>
      <c r="C31" s="1">
        <v>2.4992309928367087</v>
      </c>
      <c r="E31" s="6" t="s">
        <v>109</v>
      </c>
      <c r="F31" s="1">
        <v>3.1420000000000003</v>
      </c>
      <c r="G31" s="1">
        <v>1.0826522987552372</v>
      </c>
      <c r="I31" s="6" t="s">
        <v>109</v>
      </c>
      <c r="J31" s="1">
        <v>21.07962298439519</v>
      </c>
      <c r="K31" s="1">
        <v>7.6764812528371049</v>
      </c>
    </row>
    <row r="32" spans="1:11" x14ac:dyDescent="0.25">
      <c r="A32" s="6" t="s">
        <v>115</v>
      </c>
      <c r="B32" s="1">
        <v>5.0307692307692298</v>
      </c>
      <c r="C32" s="1">
        <v>2.9807832257735991</v>
      </c>
      <c r="E32" s="6" t="s">
        <v>115</v>
      </c>
      <c r="F32" s="1">
        <v>3.1284615384615382</v>
      </c>
      <c r="G32" s="1">
        <v>1.1327763453218442</v>
      </c>
      <c r="I32" s="6" t="s">
        <v>115</v>
      </c>
      <c r="J32" s="1">
        <v>12.991569040865189</v>
      </c>
      <c r="K32" s="1">
        <v>4.8976308501350427</v>
      </c>
    </row>
    <row r="33" spans="1:11" x14ac:dyDescent="0.25">
      <c r="A33" s="6" t="s">
        <v>110</v>
      </c>
      <c r="B33" s="1">
        <v>5.5850000000000009</v>
      </c>
      <c r="C33" s="1">
        <v>2.6549999999999976</v>
      </c>
      <c r="E33" s="6" t="s">
        <v>110</v>
      </c>
      <c r="F33" s="1">
        <v>2.5063636363636363</v>
      </c>
      <c r="G33" s="1">
        <v>0.68420189374552143</v>
      </c>
      <c r="I33" s="6" t="s">
        <v>110</v>
      </c>
      <c r="J33" s="1">
        <v>12.213478796039963</v>
      </c>
      <c r="K33" s="1">
        <v>18.449802196225509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4"/>
  <sheetViews>
    <sheetView workbookViewId="0">
      <selection activeCell="F12" sqref="F12"/>
    </sheetView>
  </sheetViews>
  <sheetFormatPr defaultRowHeight="15" x14ac:dyDescent="0.25"/>
  <cols>
    <col min="1" max="1" width="30" bestFit="1" customWidth="1"/>
    <col min="2" max="2" width="16.28515625" bestFit="1" customWidth="1"/>
    <col min="3" max="3" width="16.85546875" bestFit="1" customWidth="1"/>
    <col min="5" max="5" width="30" bestFit="1" customWidth="1"/>
    <col min="6" max="6" width="14" bestFit="1" customWidth="1"/>
    <col min="7" max="7" width="14.5703125" bestFit="1" customWidth="1"/>
    <col min="9" max="9" width="30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13.482543982727776</v>
      </c>
      <c r="C5" s="1">
        <v>13.068688124554297</v>
      </c>
      <c r="E5" s="6" t="s">
        <v>106</v>
      </c>
      <c r="F5" s="1">
        <v>0.9369472481109955</v>
      </c>
      <c r="G5" s="1">
        <v>0.27699149947894974</v>
      </c>
      <c r="I5" s="6" t="s">
        <v>106</v>
      </c>
      <c r="J5" s="1">
        <v>9.301111111111112</v>
      </c>
      <c r="K5" s="1">
        <v>11.905946641577847</v>
      </c>
    </row>
    <row r="6" spans="1:11" x14ac:dyDescent="0.25">
      <c r="A6" s="6" t="s">
        <v>107</v>
      </c>
      <c r="B6" s="1">
        <v>4.3649317738791433</v>
      </c>
      <c r="C6" s="1">
        <v>7.3923612151735076</v>
      </c>
      <c r="E6" s="6" t="s">
        <v>107</v>
      </c>
      <c r="F6" s="1">
        <v>0.28511638172607745</v>
      </c>
      <c r="G6" s="1">
        <v>1.4155333459824988</v>
      </c>
      <c r="I6" s="6" t="s">
        <v>107</v>
      </c>
      <c r="J6" s="1">
        <v>58.350000000000009</v>
      </c>
      <c r="K6" s="1">
        <v>68.515970036189358</v>
      </c>
    </row>
    <row r="7" spans="1:11" x14ac:dyDescent="0.25">
      <c r="A7" s="6" t="s">
        <v>114</v>
      </c>
      <c r="B7" s="1">
        <v>15.208677623657195</v>
      </c>
      <c r="C7" s="1">
        <v>17.235090404521163</v>
      </c>
      <c r="E7" s="6" t="s">
        <v>114</v>
      </c>
      <c r="F7" s="1">
        <v>4.6091038710305421</v>
      </c>
      <c r="G7" s="1">
        <v>3.3426129941222062</v>
      </c>
      <c r="I7" s="6" t="s">
        <v>114</v>
      </c>
      <c r="J7" s="1">
        <v>-39.647500000000001</v>
      </c>
      <c r="K7" s="1">
        <v>54.044259813138346</v>
      </c>
    </row>
    <row r="8" spans="1:11" x14ac:dyDescent="0.25">
      <c r="A8" s="6" t="s">
        <v>113</v>
      </c>
      <c r="B8" s="1">
        <v>6.205060655187836</v>
      </c>
      <c r="C8" s="1">
        <v>2.1621268448121653</v>
      </c>
      <c r="E8" s="6" t="s">
        <v>113</v>
      </c>
      <c r="F8" s="1">
        <v>1.0491040600210555</v>
      </c>
      <c r="G8" s="1">
        <v>0.2001183350022735</v>
      </c>
      <c r="I8" s="6" t="s">
        <v>113</v>
      </c>
      <c r="J8" s="1">
        <v>10.219999999999999</v>
      </c>
      <c r="K8" s="1">
        <v>2.1500000000000039</v>
      </c>
    </row>
    <row r="9" spans="1:11" x14ac:dyDescent="0.25">
      <c r="A9" s="6" t="s">
        <v>112</v>
      </c>
      <c r="B9" s="1">
        <v>19.520996538774899</v>
      </c>
      <c r="C9" s="1">
        <v>15.861752851873637</v>
      </c>
      <c r="E9" s="6" t="s">
        <v>112</v>
      </c>
      <c r="F9" s="1">
        <v>3.0060453925877808</v>
      </c>
      <c r="G9" s="1">
        <v>1.4552363287283119</v>
      </c>
      <c r="I9" s="6" t="s">
        <v>112</v>
      </c>
      <c r="J9" s="1">
        <v>-2.6140000000000017</v>
      </c>
      <c r="K9" s="1">
        <v>20.362952569147076</v>
      </c>
    </row>
    <row r="10" spans="1:11" x14ac:dyDescent="0.25">
      <c r="A10" s="6" t="s">
        <v>111</v>
      </c>
      <c r="B10" s="1">
        <v>4.3731733510683606</v>
      </c>
      <c r="C10" s="1">
        <v>19.694942700613396</v>
      </c>
      <c r="E10" s="6" t="s">
        <v>111</v>
      </c>
      <c r="F10" s="1">
        <v>1.6916178951636547</v>
      </c>
      <c r="G10" s="1">
        <v>3.2248281163310106</v>
      </c>
      <c r="I10" s="6" t="s">
        <v>111</v>
      </c>
      <c r="J10" s="1">
        <v>7.5058064516129033</v>
      </c>
      <c r="K10" s="1">
        <v>19.582395611825</v>
      </c>
    </row>
    <row r="11" spans="1:11" x14ac:dyDescent="0.25">
      <c r="A11" s="6" t="s">
        <v>108</v>
      </c>
      <c r="B11" s="1">
        <v>9.6460173779150082</v>
      </c>
      <c r="C11" s="1">
        <v>10.410700949559777</v>
      </c>
      <c r="E11" s="6" t="s">
        <v>108</v>
      </c>
      <c r="F11" s="1">
        <v>1.4746942717736122</v>
      </c>
      <c r="G11" s="1">
        <v>0.81690123207097831</v>
      </c>
      <c r="I11" s="6" t="s">
        <v>108</v>
      </c>
      <c r="J11" s="1">
        <v>10.314444444444444</v>
      </c>
      <c r="K11" s="1">
        <v>2.6885688514776396</v>
      </c>
    </row>
    <row r="12" spans="1:11" x14ac:dyDescent="0.25">
      <c r="A12" s="6" t="s">
        <v>109</v>
      </c>
      <c r="B12" s="1">
        <v>14.128854712729563</v>
      </c>
      <c r="C12" s="1">
        <v>3.2805713382225865</v>
      </c>
      <c r="E12" s="6" t="s">
        <v>109</v>
      </c>
      <c r="F12" s="1">
        <v>1.4768666534422943</v>
      </c>
      <c r="G12" s="1">
        <v>0.59868293113556481</v>
      </c>
      <c r="I12" s="6" t="s">
        <v>109</v>
      </c>
      <c r="J12" s="1">
        <v>-0.2424999999999996</v>
      </c>
      <c r="K12" s="1">
        <v>9.1290603979818208</v>
      </c>
    </row>
    <row r="13" spans="1:11" x14ac:dyDescent="0.25">
      <c r="A13" s="6" t="s">
        <v>115</v>
      </c>
      <c r="B13" s="1">
        <v>10.155145762542876</v>
      </c>
      <c r="C13" s="1">
        <v>13.519131582561991</v>
      </c>
      <c r="E13" s="6" t="s">
        <v>115</v>
      </c>
      <c r="F13" s="1">
        <v>1.4757799484640455</v>
      </c>
      <c r="G13" s="1">
        <v>1.3623020780768218</v>
      </c>
      <c r="I13" s="6" t="s">
        <v>115</v>
      </c>
      <c r="J13" s="1">
        <v>5.7297297297297289</v>
      </c>
      <c r="K13" s="1">
        <v>21.873526574190514</v>
      </c>
    </row>
    <row r="14" spans="1:11" x14ac:dyDescent="0.25">
      <c r="A14" s="6" t="s">
        <v>110</v>
      </c>
      <c r="B14" s="1">
        <v>8.6842752292945793</v>
      </c>
      <c r="C14" s="1">
        <v>3.3135842909668423</v>
      </c>
      <c r="E14" s="6" t="s">
        <v>110</v>
      </c>
      <c r="F14" s="1">
        <v>1.6798055381277319</v>
      </c>
      <c r="G14" s="1">
        <v>0.63231601105749147</v>
      </c>
      <c r="I14" s="6" t="s">
        <v>110</v>
      </c>
      <c r="J14" s="1">
        <v>-0.31699999999999873</v>
      </c>
      <c r="K14" s="1">
        <v>28.579780632468122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3.9299999999999997</v>
      </c>
      <c r="C25" s="1">
        <v>1.3401026080117904</v>
      </c>
      <c r="E25" s="6" t="s">
        <v>106</v>
      </c>
      <c r="F25" s="1">
        <v>2.5499999999999998</v>
      </c>
      <c r="G25" s="1">
        <v>0.9691527964449892</v>
      </c>
      <c r="I25" s="6" t="s">
        <v>106</v>
      </c>
      <c r="J25" s="1">
        <v>9.9404513456859753</v>
      </c>
      <c r="K25" s="1">
        <v>14.988733583692698</v>
      </c>
    </row>
    <row r="26" spans="1:11" x14ac:dyDescent="0.25">
      <c r="A26" s="6" t="s">
        <v>107</v>
      </c>
      <c r="B26" s="1">
        <v>-13.247499999999999</v>
      </c>
      <c r="C26" s="1">
        <v>11.258866228444143</v>
      </c>
      <c r="E26" s="6" t="s">
        <v>107</v>
      </c>
      <c r="F26" s="1">
        <v>-6.5000000000000058E-2</v>
      </c>
      <c r="G26" s="1">
        <v>2.4030033291695627</v>
      </c>
      <c r="I26" s="6" t="s">
        <v>107</v>
      </c>
      <c r="J26" s="1">
        <v>-4.0803852478271079</v>
      </c>
      <c r="K26" s="1">
        <v>4.7392725617784812</v>
      </c>
    </row>
    <row r="27" spans="1:11" x14ac:dyDescent="0.25">
      <c r="A27" s="6" t="s">
        <v>114</v>
      </c>
      <c r="B27" s="1">
        <v>1.7949999999999999</v>
      </c>
      <c r="C27" s="1">
        <v>1.70700761568307</v>
      </c>
      <c r="E27" s="6" t="s">
        <v>114</v>
      </c>
      <c r="F27" s="1">
        <v>4.5350000000000001</v>
      </c>
      <c r="G27" s="1">
        <v>2.0893240533722857</v>
      </c>
      <c r="I27" s="6" t="s">
        <v>114</v>
      </c>
      <c r="J27" s="1">
        <v>-8.2456356714871379</v>
      </c>
      <c r="K27" s="1">
        <v>11.308299088484139</v>
      </c>
    </row>
    <row r="28" spans="1:11" x14ac:dyDescent="0.25">
      <c r="A28" s="6" t="s">
        <v>113</v>
      </c>
      <c r="B28" s="1">
        <v>4.5949999999999998</v>
      </c>
      <c r="C28" s="1">
        <v>2.5850000000000004</v>
      </c>
      <c r="E28" s="6" t="s">
        <v>113</v>
      </c>
      <c r="F28" s="1">
        <v>2.1850000000000001</v>
      </c>
      <c r="G28" s="1">
        <v>0.86499999999999932</v>
      </c>
      <c r="I28" s="6" t="s">
        <v>113</v>
      </c>
      <c r="J28" s="1">
        <v>10.339674712982044</v>
      </c>
      <c r="K28" s="1">
        <v>0.17195319399472656</v>
      </c>
    </row>
    <row r="29" spans="1:11" x14ac:dyDescent="0.25">
      <c r="A29" s="6" t="s">
        <v>112</v>
      </c>
      <c r="B29" s="1">
        <v>1.2605882352941178</v>
      </c>
      <c r="C29" s="1">
        <v>8.9275274691710003</v>
      </c>
      <c r="E29" s="6" t="s">
        <v>112</v>
      </c>
      <c r="F29" s="1">
        <v>2.4607142857142859</v>
      </c>
      <c r="G29" s="1">
        <v>0.94869432293407574</v>
      </c>
      <c r="I29" s="6" t="s">
        <v>112</v>
      </c>
      <c r="J29" s="1">
        <v>10.907092206332578</v>
      </c>
      <c r="K29" s="1">
        <v>24.083132809939258</v>
      </c>
    </row>
    <row r="30" spans="1:11" x14ac:dyDescent="0.25">
      <c r="A30" s="6" t="s">
        <v>111</v>
      </c>
      <c r="B30" s="1">
        <v>3.9700000000000006</v>
      </c>
      <c r="C30" s="1">
        <v>3.1964203192231855</v>
      </c>
      <c r="E30" s="6" t="s">
        <v>111</v>
      </c>
      <c r="F30" s="1">
        <v>0.97742857142857165</v>
      </c>
      <c r="G30" s="1">
        <v>4.1535061559789588</v>
      </c>
      <c r="I30" s="6" t="s">
        <v>111</v>
      </c>
      <c r="J30" s="1">
        <v>7.7746341939300088</v>
      </c>
      <c r="K30" s="1">
        <v>19.403740909721236</v>
      </c>
    </row>
    <row r="31" spans="1:11" x14ac:dyDescent="0.25">
      <c r="A31" s="6" t="s">
        <v>108</v>
      </c>
      <c r="B31" s="1">
        <v>4.877272727272727</v>
      </c>
      <c r="C31" s="1">
        <v>1.8580003469472761</v>
      </c>
      <c r="E31" s="6" t="s">
        <v>108</v>
      </c>
      <c r="F31" s="1">
        <v>1.8219999999999998</v>
      </c>
      <c r="G31" s="1">
        <v>0.366081958036722</v>
      </c>
      <c r="I31" s="6" t="s">
        <v>108</v>
      </c>
      <c r="J31" s="1">
        <v>8.8738072736735791</v>
      </c>
      <c r="K31" s="1">
        <v>6.0114634491582075</v>
      </c>
    </row>
    <row r="32" spans="1:11" x14ac:dyDescent="0.25">
      <c r="A32" s="6" t="s">
        <v>109</v>
      </c>
      <c r="B32" s="1">
        <v>1.68</v>
      </c>
      <c r="C32" s="1">
        <v>2.874841058408466</v>
      </c>
      <c r="E32" s="6" t="s">
        <v>109</v>
      </c>
      <c r="F32" s="1">
        <v>1.5057142857142856</v>
      </c>
      <c r="G32" s="1">
        <v>0.24904716379818267</v>
      </c>
      <c r="I32" s="6" t="s">
        <v>109</v>
      </c>
      <c r="J32" s="1">
        <v>0.91253586343460491</v>
      </c>
      <c r="K32" s="1">
        <v>29.528164838368991</v>
      </c>
    </row>
    <row r="33" spans="1:11" x14ac:dyDescent="0.25">
      <c r="A33" s="6" t="s">
        <v>115</v>
      </c>
      <c r="B33" s="1">
        <v>2.52</v>
      </c>
      <c r="C33" s="1">
        <v>3.7272828575250365</v>
      </c>
      <c r="E33" s="6" t="s">
        <v>115</v>
      </c>
      <c r="F33" s="1">
        <v>2.6818181818181812</v>
      </c>
      <c r="G33" s="1">
        <v>1.5912420430812604</v>
      </c>
      <c r="I33" s="6" t="s">
        <v>115</v>
      </c>
      <c r="J33" s="1">
        <v>9.3261663200686264</v>
      </c>
      <c r="K33" s="1">
        <v>17.670771523903621</v>
      </c>
    </row>
    <row r="34" spans="1:11" x14ac:dyDescent="0.25">
      <c r="A34" s="6" t="s">
        <v>110</v>
      </c>
      <c r="B34" s="1">
        <v>5.016</v>
      </c>
      <c r="C34" s="1">
        <v>3.1895460492051204</v>
      </c>
      <c r="E34" s="6" t="s">
        <v>110</v>
      </c>
      <c r="F34" s="1">
        <v>2.8100000000000005</v>
      </c>
      <c r="G34" s="1">
        <v>1.5684599665489283</v>
      </c>
      <c r="I34" s="6" t="s">
        <v>110</v>
      </c>
      <c r="J34" s="1">
        <v>8.0996699875177391</v>
      </c>
      <c r="K34" s="1">
        <v>12.917215385906461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6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Consumer Discretionary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8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6">_xlfn._xlws.FILTER(_xlfn._xlws.FILTER(Main_L[], Main_L[Preliminary Criteria]="YES"), COUNTIF($A$8:$S$8,Main_L[#Headers]))</f>
        <v>Broadline Retail</v>
      </c>
      <c r="B9" t="str">
        <v>BABA</v>
      </c>
      <c r="C9" s="9">
        <v>293994</v>
      </c>
      <c r="D9" s="1">
        <v>131.65</v>
      </c>
      <c r="E9" s="1">
        <v>7.25</v>
      </c>
      <c r="F9" s="1">
        <v>59.26</v>
      </c>
      <c r="G9" s="1">
        <v>6.75</v>
      </c>
      <c r="H9" s="1">
        <v>18.158620689655173</v>
      </c>
      <c r="I9" s="1">
        <v>2.221565980425245</v>
      </c>
      <c r="J9" s="1">
        <v>10.27</v>
      </c>
      <c r="K9" s="1">
        <v>5.04</v>
      </c>
      <c r="L9" s="1">
        <v>1.85</v>
      </c>
      <c r="M9" s="1">
        <v>19.503703703703703</v>
      </c>
      <c r="N9" s="1">
        <v>-0.13833266829423965</v>
      </c>
      <c r="O9" s="1">
        <v>-0.96723569244749186</v>
      </c>
      <c r="P9" s="1">
        <v>-0.93231250774472385</v>
      </c>
      <c r="Q9" s="1">
        <v>-0.2582184340168423</v>
      </c>
      <c r="R9" s="1">
        <v>-0.93225515312926621</v>
      </c>
      <c r="S9" s="1">
        <v>-0.35428219713535325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3</v>
      </c>
    </row>
    <row r="10" spans="1:20" x14ac:dyDescent="0.25">
      <c r="A10" t="str">
        <v>Broadline Retail</v>
      </c>
      <c r="B10" t="str">
        <v>PDD</v>
      </c>
      <c r="C10" s="2">
        <v>155295</v>
      </c>
      <c r="D10" s="1">
        <v>119.45</v>
      </c>
      <c r="E10" s="1">
        <v>11.97</v>
      </c>
      <c r="F10" s="1">
        <v>30.83</v>
      </c>
      <c r="G10" s="1">
        <v>10.41</v>
      </c>
      <c r="H10" s="1">
        <v>9.9791144527986635</v>
      </c>
      <c r="I10" s="1">
        <v>3.8744729159909181</v>
      </c>
      <c r="J10" s="1">
        <v>44.92</v>
      </c>
      <c r="K10" s="1">
        <v>15.89</v>
      </c>
      <c r="L10" s="1">
        <v>1.61</v>
      </c>
      <c r="M10" s="1">
        <v>11.474543707973103</v>
      </c>
      <c r="N10" s="1">
        <v>-0.78010644583717426</v>
      </c>
      <c r="O10" s="1">
        <v>-0.48445802003009392</v>
      </c>
      <c r="P10" s="1">
        <v>1.073118485102764</v>
      </c>
      <c r="Q10" s="1">
        <v>5.2173581309657102</v>
      </c>
      <c r="R10" s="1">
        <v>-1.1084293552954267</v>
      </c>
      <c r="S10" s="1">
        <v>-0.76237492009234376</v>
      </c>
      <c r="T10">
        <f t="shared" si="0"/>
        <v>4</v>
      </c>
    </row>
    <row r="11" spans="1:20" x14ac:dyDescent="0.25">
      <c r="A11" t="str">
        <v>Distributors</v>
      </c>
      <c r="B11" t="str">
        <v>LKQ</v>
      </c>
      <c r="C11" s="2">
        <v>10171</v>
      </c>
      <c r="D11" s="1">
        <v>42.08</v>
      </c>
      <c r="E11" s="1">
        <v>2.16</v>
      </c>
      <c r="F11" s="1">
        <v>23.9</v>
      </c>
      <c r="G11" s="1">
        <v>2.68</v>
      </c>
      <c r="H11" s="1">
        <v>19.481481481481481</v>
      </c>
      <c r="I11" s="1">
        <v>1.7606694560669456</v>
      </c>
      <c r="J11" s="1">
        <v>11.39</v>
      </c>
      <c r="K11" s="1">
        <v>5.36</v>
      </c>
      <c r="L11" s="1">
        <v>2.5099999999999998</v>
      </c>
      <c r="M11" s="1">
        <v>15.701492537313431</v>
      </c>
      <c r="N11" s="1">
        <v>-0.87163700426241997</v>
      </c>
      <c r="O11" s="1">
        <v>-0.99094228392531325</v>
      </c>
      <c r="P11" s="1">
        <v>-1.1181003066149389</v>
      </c>
      <c r="Q11" s="1">
        <v>-0.58263753334257551</v>
      </c>
      <c r="R11" s="1">
        <v>-0.98337861829886575</v>
      </c>
      <c r="S11" s="1">
        <v>-1.0428260262254401</v>
      </c>
      <c r="T11">
        <f t="shared" si="0"/>
        <v>3</v>
      </c>
    </row>
    <row r="12" spans="1:20" x14ac:dyDescent="0.25">
      <c r="A12" t="str">
        <v>Diversified Consumer Services</v>
      </c>
      <c r="B12" t="str">
        <v>PSO</v>
      </c>
      <c r="C12" s="2">
        <v>10457</v>
      </c>
      <c r="D12" s="1">
        <v>15.87</v>
      </c>
      <c r="E12" s="1">
        <v>0.94</v>
      </c>
      <c r="F12" s="1">
        <v>7.6</v>
      </c>
      <c r="G12" s="1">
        <v>0.8</v>
      </c>
      <c r="H12" s="1">
        <v>16.882978723404257</v>
      </c>
      <c r="I12" s="1">
        <v>2.0881578947368422</v>
      </c>
      <c r="J12" s="1">
        <v>10.82</v>
      </c>
      <c r="K12" s="1">
        <v>5.19</v>
      </c>
      <c r="L12" s="1">
        <v>1.71</v>
      </c>
      <c r="M12" s="1">
        <v>19.837499999999999</v>
      </c>
      <c r="N12" s="1">
        <v>-0.70778578832118655</v>
      </c>
      <c r="O12" s="1">
        <v>-0.90411597309360181</v>
      </c>
      <c r="P12" s="1">
        <v>-0.76793497579829872</v>
      </c>
      <c r="Q12" s="1">
        <v>1.4118765657263674</v>
      </c>
      <c r="R12" s="1">
        <v>-0.69026320304045508</v>
      </c>
      <c r="S12" s="1">
        <v>-0.71199189206207503</v>
      </c>
      <c r="T12">
        <f t="shared" si="0"/>
        <v>4</v>
      </c>
    </row>
    <row r="13" spans="1:20" x14ac:dyDescent="0.25">
      <c r="A13" t="str">
        <v>Hotels, Restaurants &amp; Leisure</v>
      </c>
      <c r="B13" t="str">
        <v>YUMC</v>
      </c>
      <c r="C13" s="2">
        <v>16221</v>
      </c>
      <c r="D13" s="1">
        <v>46.09</v>
      </c>
      <c r="E13" s="1">
        <v>2.0299999999999998</v>
      </c>
      <c r="F13" s="1">
        <v>15.38</v>
      </c>
      <c r="G13" s="1">
        <v>2.38</v>
      </c>
      <c r="H13" s="1">
        <v>22.70443349753695</v>
      </c>
      <c r="I13" s="1">
        <v>2.9967490247074124</v>
      </c>
      <c r="J13" s="1">
        <v>15.14</v>
      </c>
      <c r="K13" s="1">
        <v>6.9</v>
      </c>
      <c r="L13" s="1">
        <v>1.9</v>
      </c>
      <c r="M13" s="1">
        <v>19.365546218487399</v>
      </c>
      <c r="N13" s="1">
        <v>-0.44705352373999396</v>
      </c>
      <c r="O13" s="1">
        <v>-0.18541628119971434</v>
      </c>
      <c r="P13" s="1">
        <v>4.2157635560428862E-2</v>
      </c>
      <c r="Q13" s="1">
        <v>-2.0193365193107438E-2</v>
      </c>
      <c r="R13" s="1">
        <v>-0.20961837007427273</v>
      </c>
      <c r="S13" s="1">
        <v>-0.90689881811086026</v>
      </c>
      <c r="T13">
        <f t="shared" si="0"/>
        <v>4</v>
      </c>
    </row>
    <row r="14" spans="1:20" x14ac:dyDescent="0.25">
      <c r="A14" t="str">
        <v>Household Durables</v>
      </c>
      <c r="B14" t="str">
        <v>DHI</v>
      </c>
      <c r="C14" s="2">
        <v>37713</v>
      </c>
      <c r="D14" s="1">
        <v>126.36</v>
      </c>
      <c r="E14" s="1">
        <v>8.48</v>
      </c>
      <c r="F14" s="1">
        <v>78.819999999999993</v>
      </c>
      <c r="G14" s="1">
        <v>13.25</v>
      </c>
      <c r="H14" s="1">
        <v>14.900943396226415</v>
      </c>
      <c r="I14" s="1">
        <v>1.6031464095407257</v>
      </c>
      <c r="J14" s="1">
        <v>17.649999999999999</v>
      </c>
      <c r="K14" s="1">
        <v>9.89</v>
      </c>
      <c r="L14" s="1">
        <v>1.47</v>
      </c>
      <c r="M14" s="1">
        <v>9.5366037735849059</v>
      </c>
      <c r="N14" s="1">
        <v>-0.86840574437787932</v>
      </c>
      <c r="O14" s="1">
        <v>-0.70834205350095869</v>
      </c>
      <c r="P14" s="1">
        <v>-0.49965039703118541</v>
      </c>
      <c r="Q14" s="1">
        <v>0.28971862006509419</v>
      </c>
      <c r="R14" s="1">
        <v>-0.11973686801785283</v>
      </c>
      <c r="S14" s="1">
        <v>-0.72103041889605823</v>
      </c>
      <c r="T14">
        <f t="shared" si="0"/>
        <v>4</v>
      </c>
    </row>
    <row r="15" spans="1:20" x14ac:dyDescent="0.25">
      <c r="A15" t="str">
        <v>Household Durables</v>
      </c>
      <c r="B15" t="str">
        <v>PHM</v>
      </c>
      <c r="C15" s="2">
        <v>20307</v>
      </c>
      <c r="D15" s="1">
        <v>106.45</v>
      </c>
      <c r="E15" s="1">
        <v>7.06</v>
      </c>
      <c r="F15" s="1">
        <v>61.33</v>
      </c>
      <c r="G15" s="1">
        <v>14.2</v>
      </c>
      <c r="H15" s="1">
        <v>15.077903682719548</v>
      </c>
      <c r="I15" s="1">
        <v>1.7356921571824557</v>
      </c>
      <c r="J15" s="1">
        <v>25.52</v>
      </c>
      <c r="K15" s="1">
        <v>13.89</v>
      </c>
      <c r="L15" s="1">
        <v>1.41</v>
      </c>
      <c r="M15" s="1">
        <v>7.496478873239437</v>
      </c>
      <c r="N15" s="1">
        <v>-0.7807209908581193</v>
      </c>
      <c r="O15" s="1">
        <v>-0.6251697022135374</v>
      </c>
      <c r="P15" s="1">
        <v>0.52858047231689098</v>
      </c>
      <c r="Q15" s="1">
        <v>1.5169684478748735</v>
      </c>
      <c r="R15" s="1">
        <v>-0.47894747207140731</v>
      </c>
      <c r="S15" s="1">
        <v>-0.9636309674576764</v>
      </c>
      <c r="T15">
        <f t="shared" si="0"/>
        <v>5</v>
      </c>
    </row>
    <row r="16" spans="1:20" x14ac:dyDescent="0.25">
      <c r="A16" t="str">
        <v>Textiles, Apparel &amp; Luxury Goods</v>
      </c>
      <c r="B16" t="str">
        <v>DECK</v>
      </c>
      <c r="C16" s="2">
        <v>18343</v>
      </c>
      <c r="D16" s="1">
        <v>129.37</v>
      </c>
      <c r="E16" s="1">
        <v>6.58</v>
      </c>
      <c r="F16" s="1">
        <v>17.329999999999998</v>
      </c>
      <c r="G16" s="1">
        <v>6.15</v>
      </c>
      <c r="H16" s="1">
        <v>19.661094224924014</v>
      </c>
      <c r="I16" s="1">
        <v>7.4650894402769774</v>
      </c>
      <c r="J16" s="1">
        <v>39.799999999999997</v>
      </c>
      <c r="K16" s="1">
        <v>19.809999999999999</v>
      </c>
      <c r="L16" s="1">
        <v>1.51</v>
      </c>
      <c r="M16" s="1">
        <v>21.035772357723577</v>
      </c>
      <c r="N16" s="1">
        <v>-0.45403024730909863</v>
      </c>
      <c r="O16" s="1">
        <v>-0.25857800291055105</v>
      </c>
      <c r="P16" s="1">
        <v>0.81770346901253554</v>
      </c>
      <c r="Q16" s="1">
        <v>1.4167575018393075</v>
      </c>
      <c r="R16" s="1">
        <v>-0.99358974445051307</v>
      </c>
      <c r="S16" s="1">
        <v>-0.52065795175242002</v>
      </c>
      <c r="T16">
        <f t="shared" si="0"/>
        <v>4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6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Consumer Discretionary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5/5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8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6">_xlfn._xlws.FILTER(_xlfn._xlws.FILTER(Main_M[], Main_M[Preliminary Criteria]="YES"), COUNTIF($A$8:$S$8,Main_M[#Headers]))</f>
        <v>Diversified Consumer Services</v>
      </c>
      <c r="B9" t="str">
        <v>GHC</v>
      </c>
      <c r="C9" s="2">
        <v>4204</v>
      </c>
      <c r="D9" s="1">
        <v>985.47</v>
      </c>
      <c r="E9" s="1">
        <v>86.28</v>
      </c>
      <c r="F9" s="1">
        <v>984.96</v>
      </c>
      <c r="G9" s="1">
        <v>141.53</v>
      </c>
      <c r="H9" s="1">
        <v>11.421766342141863</v>
      </c>
      <c r="I9" s="1">
        <v>1.0005177875243665</v>
      </c>
      <c r="J9" s="1">
        <v>14.86</v>
      </c>
      <c r="K9" s="1">
        <v>8.9499999999999993</v>
      </c>
      <c r="L9" s="1">
        <v>1.77</v>
      </c>
      <c r="M9" s="1">
        <v>6.9629760474810993</v>
      </c>
      <c r="N9" s="1">
        <v>-0.99041259973181583</v>
      </c>
      <c r="O9" s="1">
        <v>-1.1851240124079965</v>
      </c>
      <c r="P9" s="1">
        <v>-8.5053531502843935E-2</v>
      </c>
      <c r="Q9" s="1">
        <v>0.37905304250327149</v>
      </c>
      <c r="R9" s="1">
        <v>-0.41664558224583675</v>
      </c>
      <c r="S9" s="1">
        <v>-1.7628780342538193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4</v>
      </c>
    </row>
    <row r="10" spans="1:20" x14ac:dyDescent="0.25">
      <c r="A10" t="str">
        <v>Hotels, Restaurants &amp; Leisure</v>
      </c>
      <c r="B10" t="str">
        <v>BYD</v>
      </c>
      <c r="C10" s="2">
        <v>5772</v>
      </c>
      <c r="D10" s="1">
        <v>75.36</v>
      </c>
      <c r="E10" s="1">
        <v>5.34</v>
      </c>
      <c r="F10" s="1">
        <v>16.48</v>
      </c>
      <c r="G10" s="1">
        <v>6.13</v>
      </c>
      <c r="H10" s="1">
        <v>14.112359550561798</v>
      </c>
      <c r="I10" s="1">
        <v>4.5728155339805827</v>
      </c>
      <c r="J10" s="1">
        <v>35.549999999999997</v>
      </c>
      <c r="K10" s="1">
        <v>9.36</v>
      </c>
      <c r="L10" s="1">
        <v>4.79</v>
      </c>
      <c r="M10" s="1">
        <v>12.293637846655791</v>
      </c>
      <c r="N10" s="1">
        <v>-0.27445852209119376</v>
      </c>
      <c r="O10" s="1">
        <v>-5.214428781817896E-2</v>
      </c>
      <c r="P10" s="1">
        <v>0.19448388571856917</v>
      </c>
      <c r="Q10" s="1">
        <v>0.81053234524547235</v>
      </c>
      <c r="R10" s="1">
        <v>-2.2139919988976679E-2</v>
      </c>
      <c r="S10" s="1">
        <v>-0.2497113289584198</v>
      </c>
      <c r="T10">
        <f t="shared" si="0"/>
        <v>4</v>
      </c>
    </row>
    <row r="11" spans="1:20" x14ac:dyDescent="0.25">
      <c r="A11" t="str">
        <v>Household Durables</v>
      </c>
      <c r="B11" t="str">
        <v>TPH</v>
      </c>
      <c r="C11" s="2">
        <v>2817</v>
      </c>
      <c r="D11" s="1">
        <v>32.270000000000003</v>
      </c>
      <c r="E11" s="1">
        <v>5.32</v>
      </c>
      <c r="F11" s="1">
        <v>36.64</v>
      </c>
      <c r="G11" s="1">
        <v>4.51</v>
      </c>
      <c r="H11" s="1">
        <v>6.0657894736842106</v>
      </c>
      <c r="I11" s="1">
        <v>0.88073144104803502</v>
      </c>
      <c r="J11" s="1">
        <v>13.28</v>
      </c>
      <c r="K11" s="1">
        <v>6.93</v>
      </c>
      <c r="L11" s="1">
        <v>1.45</v>
      </c>
      <c r="M11" s="1">
        <v>7.155210643015522</v>
      </c>
      <c r="N11" s="1">
        <v>-0.60549559872813385</v>
      </c>
      <c r="O11" s="1">
        <v>-0.79524553508488216</v>
      </c>
      <c r="P11" s="1">
        <v>-0.1597887773364885</v>
      </c>
      <c r="Q11" s="1">
        <v>-0.49890663149383552</v>
      </c>
      <c r="R11" s="1">
        <v>-0.62525563606766488</v>
      </c>
      <c r="S11" s="1">
        <v>-0.70017286632947762</v>
      </c>
      <c r="T11">
        <f t="shared" si="0"/>
        <v>3</v>
      </c>
    </row>
    <row r="12" spans="1:20" x14ac:dyDescent="0.25">
      <c r="A12" t="str">
        <v>Leisure Products</v>
      </c>
      <c r="B12" t="str">
        <v>MAT</v>
      </c>
      <c r="C12" s="2">
        <v>5628</v>
      </c>
      <c r="D12" s="1">
        <v>19.670000000000002</v>
      </c>
      <c r="E12" s="1">
        <v>1.75</v>
      </c>
      <c r="F12" s="1">
        <v>6.5</v>
      </c>
      <c r="G12" s="1">
        <v>1.57</v>
      </c>
      <c r="H12" s="1">
        <v>11.24</v>
      </c>
      <c r="I12" s="1">
        <v>3.0261538461538464</v>
      </c>
      <c r="J12" s="1">
        <v>25.5</v>
      </c>
      <c r="K12" s="1">
        <v>7.29</v>
      </c>
      <c r="L12" s="1">
        <v>2.91</v>
      </c>
      <c r="M12" s="1">
        <v>12.528662420382167</v>
      </c>
      <c r="N12" s="1">
        <v>-0.76346220936544551</v>
      </c>
      <c r="O12" s="1">
        <v>-0.63085643225985477</v>
      </c>
      <c r="P12" s="1">
        <v>0.36946357486029308</v>
      </c>
      <c r="Q12" s="1">
        <v>-0.1427105648453236</v>
      </c>
      <c r="R12" s="1">
        <v>-0.21428855807791536</v>
      </c>
      <c r="S12" s="1">
        <v>-1.1139166868743051</v>
      </c>
      <c r="T12">
        <f t="shared" si="0"/>
        <v>4</v>
      </c>
    </row>
    <row r="13" spans="1:20" x14ac:dyDescent="0.25">
      <c r="A13" t="str">
        <v>Specialty Retail</v>
      </c>
      <c r="B13" t="str">
        <v>URBN</v>
      </c>
      <c r="C13" s="2">
        <v>4798</v>
      </c>
      <c r="D13" s="1">
        <v>59.33</v>
      </c>
      <c r="E13" s="1">
        <v>3.46</v>
      </c>
      <c r="F13" s="1">
        <v>26.78</v>
      </c>
      <c r="G13" s="1">
        <v>4.26</v>
      </c>
      <c r="H13" s="1">
        <v>17.147398843930635</v>
      </c>
      <c r="I13" s="1">
        <v>2.2154592979835699</v>
      </c>
      <c r="J13" s="1">
        <v>17.559999999999999</v>
      </c>
      <c r="K13" s="1">
        <v>6.93</v>
      </c>
      <c r="L13" s="1">
        <v>1.83</v>
      </c>
      <c r="M13" s="1">
        <v>13.927230046948358</v>
      </c>
      <c r="N13" s="1">
        <v>-0.33878986466810457</v>
      </c>
      <c r="O13" s="1">
        <v>-0.2624999829472599</v>
      </c>
      <c r="P13" s="1">
        <v>0.27628622606335346</v>
      </c>
      <c r="Q13" s="1">
        <v>0.63715829880177377</v>
      </c>
      <c r="R13" s="1">
        <v>-1.1462647007275029</v>
      </c>
      <c r="S13" s="1">
        <v>0.19104359530432355</v>
      </c>
      <c r="T13">
        <f t="shared" si="0"/>
        <v>3</v>
      </c>
    </row>
    <row r="14" spans="1:20" x14ac:dyDescent="0.25">
      <c r="A14" t="str">
        <v>Specialty Retail</v>
      </c>
      <c r="B14" t="str">
        <v>ASO</v>
      </c>
      <c r="C14" s="2">
        <v>2587</v>
      </c>
      <c r="D14" s="1">
        <v>46.54</v>
      </c>
      <c r="E14" s="1">
        <v>4.59</v>
      </c>
      <c r="F14" s="1">
        <v>29.33</v>
      </c>
      <c r="G14" s="1">
        <v>5.73</v>
      </c>
      <c r="H14" s="1">
        <v>10.139433551198257</v>
      </c>
      <c r="I14" s="1">
        <v>1.5867712240027276</v>
      </c>
      <c r="J14" s="1">
        <v>21.14</v>
      </c>
      <c r="K14" s="1">
        <v>6.94</v>
      </c>
      <c r="L14" s="1">
        <v>2.4500000000000002</v>
      </c>
      <c r="M14" s="1">
        <v>8.1221640488656188</v>
      </c>
      <c r="N14" s="1">
        <v>-0.55128315131692618</v>
      </c>
      <c r="O14" s="1">
        <v>-0.98007494727831035</v>
      </c>
      <c r="P14" s="1">
        <v>0.5188052936036871</v>
      </c>
      <c r="Q14" s="1">
        <v>0.64051312176022801</v>
      </c>
      <c r="R14" s="1">
        <v>-0.59893688746543661</v>
      </c>
      <c r="S14" s="1">
        <v>-0.99423683429822107</v>
      </c>
      <c r="T14">
        <f t="shared" si="0"/>
        <v>5</v>
      </c>
    </row>
    <row r="15" spans="1:20" x14ac:dyDescent="0.25">
      <c r="A15" t="str">
        <v>Specialty Retail</v>
      </c>
      <c r="B15" t="str">
        <v>ABG</v>
      </c>
      <c r="C15" s="2">
        <v>4283</v>
      </c>
      <c r="D15" s="1">
        <v>239.82</v>
      </c>
      <c r="E15" s="1">
        <v>28.43</v>
      </c>
      <c r="F15" s="1">
        <v>184.32</v>
      </c>
      <c r="G15" s="1">
        <v>20.94</v>
      </c>
      <c r="H15" s="1">
        <v>8.4354555047485054</v>
      </c>
      <c r="I15" s="1">
        <v>1.3011067708333333</v>
      </c>
      <c r="J15" s="1">
        <v>11.92</v>
      </c>
      <c r="K15" s="1">
        <v>6.05</v>
      </c>
      <c r="L15" s="1">
        <v>2.82</v>
      </c>
      <c r="M15" s="1">
        <v>11.452722063037248</v>
      </c>
      <c r="N15" s="1">
        <v>-0.60295062972796332</v>
      </c>
      <c r="O15" s="1">
        <v>-1.3061279905557364</v>
      </c>
      <c r="P15" s="1">
        <v>-0.10578291944711606</v>
      </c>
      <c r="Q15" s="1">
        <v>0.3419338784578172</v>
      </c>
      <c r="R15" s="1">
        <v>-0.27230577309936527</v>
      </c>
      <c r="S15" s="1">
        <v>-0.31420232045163426</v>
      </c>
      <c r="T15">
        <f t="shared" si="0"/>
        <v>4</v>
      </c>
    </row>
    <row r="16" spans="1:20" x14ac:dyDescent="0.25">
      <c r="A16" t="str">
        <v>Textiles, Apparel &amp; Luxury Goods</v>
      </c>
      <c r="B16" t="str">
        <v>COLM</v>
      </c>
      <c r="C16" s="2">
        <v>3567</v>
      </c>
      <c r="D16" s="1">
        <v>68.63</v>
      </c>
      <c r="E16" s="1">
        <v>5.09</v>
      </c>
      <c r="F16" s="1">
        <v>30.68</v>
      </c>
      <c r="G16" s="1">
        <v>3.88</v>
      </c>
      <c r="H16" s="1">
        <v>13.483300589390963</v>
      </c>
      <c r="I16" s="1">
        <v>2.2369621903520209</v>
      </c>
      <c r="J16" s="1">
        <v>12.34</v>
      </c>
      <c r="K16" s="1">
        <v>6.23</v>
      </c>
      <c r="L16" s="1">
        <v>1.58</v>
      </c>
      <c r="M16" s="1">
        <v>17.688144329896907</v>
      </c>
      <c r="N16" s="1">
        <v>-0.23295523538515875</v>
      </c>
      <c r="O16" s="1">
        <v>-0.35533691946077162</v>
      </c>
      <c r="P16" s="1">
        <v>-0.19793316508126543</v>
      </c>
      <c r="Q16" s="1">
        <v>0.2429378531073447</v>
      </c>
      <c r="R16" s="1">
        <v>-1.3539331662653702</v>
      </c>
      <c r="S16" s="1">
        <v>0.29673302052945372</v>
      </c>
      <c r="T16">
        <f t="shared" si="0"/>
        <v>2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14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Consumer Discretionary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5/5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6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4">_xlfn._xlws.FILTER(_xlfn._xlws.FILTER(Main_S[], Main_S[Preliminary Criteria]="YES"), COUNTIF($A$8:$S$8,Main_S[#Headers]))</f>
        <v>Diversified Consumer Services</v>
      </c>
      <c r="B9" t="str">
        <v>AFYA</v>
      </c>
      <c r="C9">
        <v>1764</v>
      </c>
      <c r="D9">
        <v>19.22</v>
      </c>
      <c r="E9">
        <v>1.87</v>
      </c>
      <c r="F9">
        <v>7.65</v>
      </c>
      <c r="G9">
        <v>1.1200000000000001</v>
      </c>
      <c r="H9" s="1">
        <v>10.27807486631016</v>
      </c>
      <c r="I9" s="1">
        <v>2.5124183006535947</v>
      </c>
      <c r="J9" s="1">
        <v>16.32</v>
      </c>
      <c r="K9" s="1">
        <v>7.72</v>
      </c>
      <c r="L9" s="1">
        <v>2.0699999999999998</v>
      </c>
      <c r="M9" s="1">
        <v>17.160714285714285</v>
      </c>
      <c r="N9" s="1">
        <v>-0.58271754444673107</v>
      </c>
      <c r="O9" s="1">
        <v>-0.33920751027810875</v>
      </c>
      <c r="P9" s="1">
        <v>0.92982586565996561</v>
      </c>
      <c r="Q9" s="1">
        <v>0.72353871629203681</v>
      </c>
      <c r="R9" s="1">
        <v>-0.41184423293048056</v>
      </c>
      <c r="S9" s="1">
        <v>0.25966813075086304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3</v>
      </c>
    </row>
    <row r="10" spans="1:20" x14ac:dyDescent="0.25">
      <c r="A10" t="str">
        <v>Diversified Consumer Services</v>
      </c>
      <c r="B10" t="str">
        <v>PRDO</v>
      </c>
      <c r="C10">
        <v>1989</v>
      </c>
      <c r="D10">
        <v>31.31</v>
      </c>
      <c r="E10">
        <v>2.54</v>
      </c>
      <c r="F10">
        <v>14.8</v>
      </c>
      <c r="G10">
        <v>2.25</v>
      </c>
      <c r="H10" s="1">
        <v>12.326771653543306</v>
      </c>
      <c r="I10" s="1">
        <v>2.1155405405405405</v>
      </c>
      <c r="J10" s="1">
        <v>16.54</v>
      </c>
      <c r="K10" s="1">
        <v>9.83</v>
      </c>
      <c r="L10" s="1">
        <v>1.31</v>
      </c>
      <c r="M10" s="1">
        <v>13.915555555555555</v>
      </c>
      <c r="N10" s="1">
        <v>-0.45355799906955363</v>
      </c>
      <c r="O10" s="1">
        <v>-0.61193143303770203</v>
      </c>
      <c r="P10" s="1">
        <v>0.94062979987593642</v>
      </c>
      <c r="Q10" s="1">
        <v>0.95988635087354468</v>
      </c>
      <c r="R10" s="1">
        <v>-1.2129452637129867</v>
      </c>
      <c r="S10" s="1">
        <v>0.12491993350555146</v>
      </c>
      <c r="T10">
        <f>SUM(IF($I10 &lt; (0.7*VLOOKUP($A10, Mean_PB_S, 2, FALSE)),1,0), IF($J10&gt;VLOOKUP($A10, Mean_ROE_S, 2, FALSE),1,0), IF($K10&gt;VLOOKUP($A10, Mean_ROA_S, 2,FALSE),1,0), IF($M10&lt;VLOOKUP($A10, Mean_PE_S, 2, FALSE),1,0), IF(AND($M10&gt;1,$M10&lt;25),1,0))</f>
        <v>3</v>
      </c>
    </row>
    <row r="11" spans="1:20" x14ac:dyDescent="0.25">
      <c r="A11" t="str">
        <v>Specialty Retail</v>
      </c>
      <c r="B11" t="str">
        <v>AEO</v>
      </c>
      <c r="C11">
        <v>1927</v>
      </c>
      <c r="D11">
        <v>12.72</v>
      </c>
      <c r="E11">
        <v>1.32</v>
      </c>
      <c r="F11">
        <v>9.3699999999999992</v>
      </c>
      <c r="G11">
        <v>1.68</v>
      </c>
      <c r="H11" s="1">
        <v>9.6363636363636367</v>
      </c>
      <c r="I11" s="1">
        <v>1.3575240128068304</v>
      </c>
      <c r="J11" s="1">
        <v>18.8</v>
      </c>
      <c r="K11" s="1">
        <v>7.61</v>
      </c>
      <c r="L11" s="1">
        <v>2.17</v>
      </c>
      <c r="M11" s="1">
        <v>7.5714285714285721</v>
      </c>
      <c r="N11" s="1">
        <v>-3.8373923873069198E-2</v>
      </c>
      <c r="O11" s="1">
        <v>-8.6805957034256573E-2</v>
      </c>
      <c r="P11" s="1">
        <v>0.59753831765255572</v>
      </c>
      <c r="Q11" s="1">
        <v>1.3656060445543499</v>
      </c>
      <c r="R11" s="1">
        <v>-0.32164697007823095</v>
      </c>
      <c r="S11" s="1">
        <v>-9.9301705432973536E-2</v>
      </c>
      <c r="T11">
        <f>SUM(IF($I11 &lt; (0.7*VLOOKUP($A11, Mean_PB_S, 2, FALSE)),1,0), IF($J11&gt;VLOOKUP($A11, Mean_ROE_S, 2, FALSE),1,0), IF($K11&gt;VLOOKUP($A11, Mean_ROA_S, 2,FALSE),1,0), IF($M11&lt;VLOOKUP($A11, Mean_PE_S, 2, FALSE),1,0), IF(AND($M11&gt;1,$M11&lt;25),1,0))</f>
        <v>4</v>
      </c>
    </row>
    <row r="12" spans="1:20" x14ac:dyDescent="0.25">
      <c r="A12" t="str">
        <v>Specialty Retail</v>
      </c>
      <c r="B12" t="str">
        <v>SCVL</v>
      </c>
      <c r="C12">
        <v>485</v>
      </c>
      <c r="D12">
        <v>19.43</v>
      </c>
      <c r="E12">
        <v>2.56</v>
      </c>
      <c r="F12">
        <v>23.88</v>
      </c>
      <c r="G12">
        <v>2.68</v>
      </c>
      <c r="H12" s="1">
        <v>7.58984375</v>
      </c>
      <c r="I12" s="1">
        <v>0.81365159128978226</v>
      </c>
      <c r="J12" s="1">
        <v>11.97</v>
      </c>
      <c r="K12" s="1">
        <v>5.26</v>
      </c>
      <c r="L12" s="1">
        <v>1.73</v>
      </c>
      <c r="M12" s="1">
        <v>7.2499999999999991</v>
      </c>
      <c r="N12" s="1">
        <v>-0.1897534613726076</v>
      </c>
      <c r="O12" s="1">
        <v>-0.48603637022193913</v>
      </c>
      <c r="P12" s="1">
        <v>0.28528871414970763</v>
      </c>
      <c r="Q12" s="1">
        <v>0.73511995325715496</v>
      </c>
      <c r="R12" s="1">
        <v>-0.59816052872452574</v>
      </c>
      <c r="S12" s="1">
        <v>-0.11749154909620974</v>
      </c>
      <c r="T12">
        <f>SUM(IF($I12 &lt; (0.7*VLOOKUP($A12, Mean_PB_S, 2, FALSE)),1,0), IF($J12&gt;VLOOKUP($A12, Mean_ROE_S, 2, FALSE),1,0), IF($K12&gt;VLOOKUP($A12, Mean_ROA_S, 2,FALSE),1,0), IF($M12&lt;VLOOKUP($A12, Mean_PE_S, 2, FALSE),1,0), IF(AND($M12&gt;1,$M12&lt;25),1,0))</f>
        <v>5</v>
      </c>
    </row>
    <row r="13" spans="1:20" x14ac:dyDescent="0.25">
      <c r="A13" t="str">
        <v>Textiles, Apparel &amp; Luxury Goods</v>
      </c>
      <c r="B13" t="str">
        <v>CRI</v>
      </c>
      <c r="C13">
        <v>1194</v>
      </c>
      <c r="D13">
        <v>35.65</v>
      </c>
      <c r="E13">
        <v>6.25</v>
      </c>
      <c r="F13">
        <v>23.38</v>
      </c>
      <c r="G13">
        <v>4.51</v>
      </c>
      <c r="H13" s="1">
        <v>5.7039999999999997</v>
      </c>
      <c r="I13" s="1">
        <v>1.5248075278015398</v>
      </c>
      <c r="J13" s="1">
        <v>19.309999999999999</v>
      </c>
      <c r="K13" s="1">
        <v>6.95</v>
      </c>
      <c r="L13" s="1">
        <v>2.75</v>
      </c>
      <c r="M13" s="1">
        <v>7.9046563192904653</v>
      </c>
      <c r="N13" s="1">
        <v>-0.89941132248215439</v>
      </c>
      <c r="O13" s="1">
        <v>-0.24512744832599115</v>
      </c>
      <c r="P13" s="1">
        <v>0.68674424945385004</v>
      </c>
      <c r="Q13" s="1">
        <v>0.60635587954028136</v>
      </c>
      <c r="R13" s="1">
        <v>-3.825408443928479E-2</v>
      </c>
      <c r="S13" s="1">
        <v>-1.5097191027723103E-2</v>
      </c>
      <c r="T13">
        <f>SUM(IF($I13 &lt; (0.7*VLOOKUP($A13, Mean_PB_S, 2, FALSE)),1,0), IF($J13&gt;VLOOKUP($A13, Mean_ROE_S, 2, FALSE),1,0), IF($K13&gt;VLOOKUP($A13, Mean_ROA_S, 2,FALSE),1,0), IF($M13&lt;VLOOKUP($A13, Mean_PE_S, 2, FALSE),1,0), IF(AND($M13&gt;1,$M13&lt;25),1,0))</f>
        <v>4</v>
      </c>
    </row>
    <row r="14" spans="1:20" x14ac:dyDescent="0.25">
      <c r="A14" t="str">
        <v>Textiles, Apparel &amp; Luxury Goods</v>
      </c>
      <c r="B14" t="str">
        <v>GIII</v>
      </c>
      <c r="C14">
        <v>1142</v>
      </c>
      <c r="D14">
        <v>28.14</v>
      </c>
      <c r="E14">
        <v>6.18</v>
      </c>
      <c r="F14">
        <v>38.270000000000003</v>
      </c>
      <c r="G14">
        <v>4.2</v>
      </c>
      <c r="H14" s="1">
        <v>4.5533980582524274</v>
      </c>
      <c r="I14" s="1">
        <v>0.73530180297883452</v>
      </c>
      <c r="J14" s="1">
        <v>11.98</v>
      </c>
      <c r="K14" s="1">
        <v>7.29</v>
      </c>
      <c r="L14" s="1">
        <v>1.48</v>
      </c>
      <c r="M14" s="1">
        <v>6.7</v>
      </c>
      <c r="N14" s="1">
        <v>-1.2466491896111804</v>
      </c>
      <c r="O14" s="1">
        <v>-1.4937210487036381</v>
      </c>
      <c r="P14" s="1">
        <v>0.43026922278157603</v>
      </c>
      <c r="Q14" s="1">
        <v>0.71295412103133382</v>
      </c>
      <c r="R14" s="1">
        <v>-0.84796553840413946</v>
      </c>
      <c r="S14" s="1">
        <v>-0.10835694425633498</v>
      </c>
      <c r="T14">
        <f>SUM(IF($I14 &lt; (0.7*VLOOKUP($A14, Mean_PB_S, 2, FALSE)),1,0), IF($J14&gt;VLOOKUP($A14, Mean_ROE_S, 2, FALSE),1,0), IF($K14&gt;VLOOKUP($A14, Mean_ROA_S, 2,FALSE),1,0), IF($M14&lt;VLOOKUP($A14, Mean_PE_S, 2, FALSE),1,0), IF(AND($M14&gt;1,$M14&lt;25),1,0))</f>
        <v>5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2025-05-14T02:55:55Z</dcterms:modified>
</cp:coreProperties>
</file>